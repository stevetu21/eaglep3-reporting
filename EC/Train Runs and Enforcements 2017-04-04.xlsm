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Trips'!$A$2:$J$88</definedName>
    <definedName name="_xlnm._FilterDatabase" localSheetId="0" hidden="1">'Train Runs'!$A$12:$AG$260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B3" i="6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S18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24" i="3" s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S11" i="3" s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P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88" i="1"/>
  <c r="L88" i="1"/>
  <c r="M88" i="1"/>
  <c r="P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R14" i="3" s="1"/>
  <c r="AF94" i="1"/>
  <c r="AH94" i="1"/>
  <c r="AM94" i="1"/>
  <c r="AN94" i="1"/>
  <c r="K95" i="1"/>
  <c r="L95" i="1"/>
  <c r="M95" i="1"/>
  <c r="N95" i="1" s="1"/>
  <c r="V95" i="1"/>
  <c r="S38" i="3" s="1"/>
  <c r="Y95" i="1"/>
  <c r="Z95" i="1"/>
  <c r="AB95" i="1"/>
  <c r="AC95" i="1"/>
  <c r="AD95" i="1"/>
  <c r="T95" i="1" s="1"/>
  <c r="AE95" i="1"/>
  <c r="R38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X106" i="1"/>
  <c r="Y106" i="1"/>
  <c r="Z106" i="1"/>
  <c r="AB106" i="1"/>
  <c r="AC106" i="1"/>
  <c r="AD106" i="1"/>
  <c r="T106" i="1" s="1"/>
  <c r="AE106" i="1"/>
  <c r="AF106" i="1"/>
  <c r="AG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R39" i="3" s="1"/>
  <c r="AF115" i="1"/>
  <c r="AH115" i="1"/>
  <c r="AM115" i="1"/>
  <c r="AN115" i="1"/>
  <c r="K116" i="1"/>
  <c r="L116" i="1"/>
  <c r="M116" i="1"/>
  <c r="N116" i="1" s="1"/>
  <c r="V116" i="1"/>
  <c r="S40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5" i="3" s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8" i="3" s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7" i="3" s="1"/>
  <c r="Y132" i="1"/>
  <c r="Z132" i="1"/>
  <c r="AB132" i="1"/>
  <c r="AC132" i="1"/>
  <c r="AD132" i="1"/>
  <c r="AE132" i="1"/>
  <c r="R7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9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S41" i="3" s="1"/>
  <c r="Y138" i="1"/>
  <c r="Z138" i="1"/>
  <c r="AB138" i="1"/>
  <c r="AC138" i="1"/>
  <c r="AD138" i="1"/>
  <c r="AG138" i="1" s="1"/>
  <c r="AE138" i="1"/>
  <c r="R41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S22" i="3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S48" i="3" s="1"/>
  <c r="Y210" i="1"/>
  <c r="AA210" i="1" s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25" i="1"/>
  <c r="L225" i="1"/>
  <c r="M225" i="1"/>
  <c r="N225" i="1" s="1"/>
  <c r="V225" i="1"/>
  <c r="S52" i="3" s="1"/>
  <c r="Y225" i="1"/>
  <c r="Z225" i="1"/>
  <c r="AB225" i="1"/>
  <c r="AC225" i="1"/>
  <c r="AD225" i="1"/>
  <c r="T225" i="1" s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G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V162" i="1"/>
  <c r="S43" i="3" s="1"/>
  <c r="Y162" i="1"/>
  <c r="Z162" i="1"/>
  <c r="AB162" i="1"/>
  <c r="AC162" i="1"/>
  <c r="AD162" i="1"/>
  <c r="AE162" i="1"/>
  <c r="R43" i="3" s="1"/>
  <c r="AF162" i="1"/>
  <c r="AH187" i="1"/>
  <c r="AM187" i="1"/>
  <c r="AN187" i="1"/>
  <c r="AH188" i="1"/>
  <c r="AM188" i="1"/>
  <c r="AN188" i="1"/>
  <c r="K163" i="1"/>
  <c r="L163" i="1"/>
  <c r="M163" i="1"/>
  <c r="P163" i="1" s="1"/>
  <c r="V163" i="1"/>
  <c r="Y163" i="1"/>
  <c r="AA163" i="1" s="1"/>
  <c r="AB163" i="1"/>
  <c r="AC163" i="1"/>
  <c r="AD163" i="1"/>
  <c r="AG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G167" i="1"/>
  <c r="AH193" i="1"/>
  <c r="AM193" i="1"/>
  <c r="AN19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94" i="1"/>
  <c r="AM194" i="1"/>
  <c r="AN19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95" i="1"/>
  <c r="AM195" i="1"/>
  <c r="AN19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6" i="1"/>
  <c r="AM196" i="1"/>
  <c r="AN19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8" i="1"/>
  <c r="AM198" i="1"/>
  <c r="AN19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9" i="1"/>
  <c r="AM199" i="1"/>
  <c r="AN19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02" i="1"/>
  <c r="AM202" i="1"/>
  <c r="AN20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203" i="1"/>
  <c r="AM203" i="1"/>
  <c r="AN203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4" i="1"/>
  <c r="AM204" i="1"/>
  <c r="AN204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G171" i="1" s="1"/>
  <c r="AI171" i="1" s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11" i="1"/>
  <c r="AM211" i="1"/>
  <c r="AN211" i="1"/>
  <c r="K175" i="1"/>
  <c r="L175" i="1"/>
  <c r="M175" i="1"/>
  <c r="N175" i="1"/>
  <c r="V175" i="1"/>
  <c r="Y175" i="1"/>
  <c r="Z175" i="1"/>
  <c r="AB175" i="1"/>
  <c r="AC175" i="1"/>
  <c r="AD175" i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15" i="1"/>
  <c r="AM215" i="1"/>
  <c r="AN215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16" i="1"/>
  <c r="AM216" i="1"/>
  <c r="AN216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17" i="1"/>
  <c r="AM217" i="1"/>
  <c r="AN217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18" i="1"/>
  <c r="AM218" i="1"/>
  <c r="AN218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9" i="1"/>
  <c r="AM219" i="1"/>
  <c r="AN219" i="1"/>
  <c r="K253" i="1"/>
  <c r="L253" i="1"/>
  <c r="M253" i="1"/>
  <c r="N253" i="1" s="1"/>
  <c r="V253" i="1"/>
  <c r="Y253" i="1"/>
  <c r="Z253" i="1"/>
  <c r="AB253" i="1"/>
  <c r="AC253" i="1"/>
  <c r="AD253" i="1"/>
  <c r="AG253" i="1" s="1"/>
  <c r="AE253" i="1"/>
  <c r="AF253" i="1"/>
  <c r="AH220" i="1"/>
  <c r="AM220" i="1"/>
  <c r="AN220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21" i="1"/>
  <c r="AM221" i="1"/>
  <c r="AN221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22" i="1"/>
  <c r="AM222" i="1"/>
  <c r="AN222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23" i="1"/>
  <c r="AM223" i="1"/>
  <c r="AN22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4" i="1"/>
  <c r="AM224" i="1"/>
  <c r="AN22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5" i="1"/>
  <c r="AM225" i="1"/>
  <c r="AN22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26" i="1"/>
  <c r="AM226" i="1"/>
  <c r="AN22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7" i="1"/>
  <c r="AM227" i="1"/>
  <c r="AN22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28" i="1"/>
  <c r="AM228" i="1"/>
  <c r="AN22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9" i="1"/>
  <c r="AM229" i="1"/>
  <c r="AN229" i="1"/>
  <c r="K184" i="1"/>
  <c r="L184" i="1"/>
  <c r="M184" i="1"/>
  <c r="N184" i="1" s="1"/>
  <c r="V184" i="1"/>
  <c r="S45" i="3" s="1"/>
  <c r="Y184" i="1"/>
  <c r="Z184" i="1"/>
  <c r="AB184" i="1"/>
  <c r="AC184" i="1"/>
  <c r="AD184" i="1"/>
  <c r="AG184" i="1" s="1"/>
  <c r="AE184" i="1"/>
  <c r="AF184" i="1"/>
  <c r="AH230" i="1"/>
  <c r="AM230" i="1"/>
  <c r="AN23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31" i="1"/>
  <c r="AM231" i="1"/>
  <c r="AN23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2" i="1"/>
  <c r="AM232" i="1"/>
  <c r="AN23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3" i="1"/>
  <c r="AM233" i="1"/>
  <c r="AN233" i="1"/>
  <c r="K188" i="1"/>
  <c r="L188" i="1"/>
  <c r="M188" i="1"/>
  <c r="N188" i="1" s="1"/>
  <c r="V188" i="1"/>
  <c r="S46" i="3" s="1"/>
  <c r="Y188" i="1"/>
  <c r="Z188" i="1"/>
  <c r="AB188" i="1"/>
  <c r="AC188" i="1"/>
  <c r="AD188" i="1"/>
  <c r="AG188" i="1" s="1"/>
  <c r="AE188" i="1"/>
  <c r="AF188" i="1"/>
  <c r="AH234" i="1"/>
  <c r="AM234" i="1"/>
  <c r="AN23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5" i="1"/>
  <c r="AM235" i="1"/>
  <c r="AN23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36" i="1"/>
  <c r="AM236" i="1"/>
  <c r="AN23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7" i="1"/>
  <c r="AM237" i="1"/>
  <c r="AN23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8" i="1"/>
  <c r="AM238" i="1"/>
  <c r="AN23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9" i="1"/>
  <c r="AM239" i="1"/>
  <c r="AN23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40" i="1"/>
  <c r="AM240" i="1"/>
  <c r="AN240" i="1"/>
  <c r="K195" i="1"/>
  <c r="L195" i="1"/>
  <c r="M195" i="1"/>
  <c r="N195" i="1" s="1"/>
  <c r="V195" i="1"/>
  <c r="S42" i="3" s="1"/>
  <c r="Y195" i="1"/>
  <c r="Z195" i="1"/>
  <c r="AB195" i="1"/>
  <c r="AC195" i="1"/>
  <c r="AD195" i="1"/>
  <c r="T195" i="1" s="1"/>
  <c r="AE195" i="1"/>
  <c r="R42" i="3" s="1"/>
  <c r="AF195" i="1"/>
  <c r="AH241" i="1"/>
  <c r="AM241" i="1"/>
  <c r="AN24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42" i="1"/>
  <c r="AM242" i="1"/>
  <c r="AN24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3" i="1"/>
  <c r="AM243" i="1"/>
  <c r="AN243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44" i="1"/>
  <c r="AM244" i="1"/>
  <c r="AN24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5" i="1"/>
  <c r="AM245" i="1"/>
  <c r="AN245" i="1"/>
  <c r="K200" i="1"/>
  <c r="L200" i="1"/>
  <c r="M200" i="1"/>
  <c r="N200" i="1" s="1"/>
  <c r="V200" i="1"/>
  <c r="S47" i="3" s="1"/>
  <c r="Y200" i="1"/>
  <c r="Z200" i="1"/>
  <c r="AB200" i="1"/>
  <c r="AC200" i="1"/>
  <c r="AD200" i="1"/>
  <c r="AE200" i="1"/>
  <c r="AF200" i="1"/>
  <c r="AH246" i="1"/>
  <c r="AM246" i="1"/>
  <c r="AN24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7" i="1"/>
  <c r="AM247" i="1"/>
  <c r="AN24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48" i="1"/>
  <c r="AM248" i="1"/>
  <c r="AN24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9" i="1"/>
  <c r="AM249" i="1"/>
  <c r="AN24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50" i="1"/>
  <c r="AM250" i="1"/>
  <c r="AN25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51" i="1"/>
  <c r="AM251" i="1"/>
  <c r="AN251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52" i="1"/>
  <c r="AM252" i="1"/>
  <c r="AN25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3" i="1"/>
  <c r="AM253" i="1"/>
  <c r="AN25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54" i="1"/>
  <c r="AM254" i="1"/>
  <c r="AN25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5" i="1"/>
  <c r="AM255" i="1"/>
  <c r="AN255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56" i="1"/>
  <c r="AM256" i="1"/>
  <c r="AN256" i="1"/>
  <c r="M51" i="3"/>
  <c r="R51" i="3"/>
  <c r="S51" i="3"/>
  <c r="U51" i="3"/>
  <c r="T51" i="3" s="1"/>
  <c r="V51" i="3"/>
  <c r="W51" i="3"/>
  <c r="X51" i="3"/>
  <c r="M30" i="3"/>
  <c r="R30" i="3"/>
  <c r="S30" i="3"/>
  <c r="U30" i="3"/>
  <c r="T30" i="3" s="1"/>
  <c r="V30" i="3"/>
  <c r="W30" i="3"/>
  <c r="X30" i="3"/>
  <c r="M32" i="3"/>
  <c r="R32" i="3"/>
  <c r="S32" i="3"/>
  <c r="U32" i="3"/>
  <c r="AC32" i="3" s="1"/>
  <c r="V32" i="3"/>
  <c r="W32" i="3"/>
  <c r="X32" i="3"/>
  <c r="M25" i="3"/>
  <c r="R25" i="3"/>
  <c r="S25" i="3"/>
  <c r="U25" i="3"/>
  <c r="AC25" i="3" s="1"/>
  <c r="V25" i="3"/>
  <c r="W25" i="3"/>
  <c r="X25" i="3"/>
  <c r="M17" i="3"/>
  <c r="R17" i="3"/>
  <c r="S17" i="3"/>
  <c r="U17" i="3"/>
  <c r="T17" i="3" s="1"/>
  <c r="V17" i="3"/>
  <c r="W17" i="3"/>
  <c r="X17" i="3"/>
  <c r="AC17" i="3"/>
  <c r="M16" i="3"/>
  <c r="R16" i="3"/>
  <c r="S16" i="3"/>
  <c r="U16" i="3"/>
  <c r="T16" i="3" s="1"/>
  <c r="V16" i="3"/>
  <c r="W16" i="3"/>
  <c r="X16" i="3"/>
  <c r="AC16" i="3"/>
  <c r="M18" i="3"/>
  <c r="R18" i="3"/>
  <c r="U18" i="3"/>
  <c r="AC18" i="3" s="1"/>
  <c r="V18" i="3"/>
  <c r="W18" i="3"/>
  <c r="X18" i="3"/>
  <c r="M24" i="3"/>
  <c r="R24" i="3"/>
  <c r="U24" i="3"/>
  <c r="AC24" i="3" s="1"/>
  <c r="V24" i="3"/>
  <c r="W24" i="3"/>
  <c r="X24" i="3"/>
  <c r="M43" i="3"/>
  <c r="U43" i="3"/>
  <c r="V43" i="3"/>
  <c r="W43" i="3"/>
  <c r="X43" i="3"/>
  <c r="AC43" i="3"/>
  <c r="M23" i="3"/>
  <c r="R23" i="3"/>
  <c r="S23" i="3"/>
  <c r="U23" i="3"/>
  <c r="T23" i="3" s="1"/>
  <c r="V23" i="3"/>
  <c r="W23" i="3"/>
  <c r="X23" i="3"/>
  <c r="AC23" i="3"/>
  <c r="M10" i="3"/>
  <c r="R10" i="3"/>
  <c r="S10" i="3"/>
  <c r="U10" i="3"/>
  <c r="AC10" i="3" s="1"/>
  <c r="V10" i="3"/>
  <c r="W10" i="3"/>
  <c r="X10" i="3"/>
  <c r="M29" i="3"/>
  <c r="R29" i="3"/>
  <c r="S29" i="3"/>
  <c r="U29" i="3"/>
  <c r="AC29" i="3" s="1"/>
  <c r="V29" i="3"/>
  <c r="W29" i="3"/>
  <c r="X29" i="3"/>
  <c r="M26" i="3"/>
  <c r="R26" i="3"/>
  <c r="S26" i="3"/>
  <c r="U26" i="3"/>
  <c r="T26" i="3" s="1"/>
  <c r="V26" i="3"/>
  <c r="W26" i="3"/>
  <c r="X26" i="3"/>
  <c r="M27" i="3"/>
  <c r="R27" i="3"/>
  <c r="S27" i="3"/>
  <c r="U27" i="3"/>
  <c r="T27" i="3" s="1"/>
  <c r="V27" i="3"/>
  <c r="W27" i="3"/>
  <c r="X27" i="3"/>
  <c r="M21" i="3"/>
  <c r="R21" i="3"/>
  <c r="S21" i="3"/>
  <c r="U21" i="3"/>
  <c r="AC21" i="3" s="1"/>
  <c r="V21" i="3"/>
  <c r="W21" i="3"/>
  <c r="X21" i="3"/>
  <c r="M35" i="3"/>
  <c r="R35" i="3"/>
  <c r="S35" i="3"/>
  <c r="U35" i="3"/>
  <c r="AC35" i="3" s="1"/>
  <c r="V35" i="3"/>
  <c r="W35" i="3"/>
  <c r="X35" i="3"/>
  <c r="M13" i="3"/>
  <c r="R13" i="3"/>
  <c r="S13" i="3"/>
  <c r="U13" i="3"/>
  <c r="AD13" i="3" s="1"/>
  <c r="V13" i="3"/>
  <c r="W13" i="3"/>
  <c r="X13" i="3"/>
  <c r="AC13" i="3"/>
  <c r="M11" i="3"/>
  <c r="R11" i="3"/>
  <c r="U11" i="3"/>
  <c r="T11" i="3" s="1"/>
  <c r="V11" i="3"/>
  <c r="W11" i="3"/>
  <c r="X11" i="3"/>
  <c r="AC11" i="3"/>
  <c r="M31" i="3"/>
  <c r="R31" i="3"/>
  <c r="U31" i="3"/>
  <c r="AC31" i="3" s="1"/>
  <c r="V31" i="3"/>
  <c r="W31" i="3"/>
  <c r="X31" i="3"/>
  <c r="M36" i="3"/>
  <c r="R36" i="3"/>
  <c r="S36" i="3"/>
  <c r="U36" i="3"/>
  <c r="AC36" i="3" s="1"/>
  <c r="V36" i="3"/>
  <c r="W36" i="3"/>
  <c r="X36" i="3"/>
  <c r="M34" i="3"/>
  <c r="R34" i="3"/>
  <c r="S34" i="3"/>
  <c r="U34" i="3"/>
  <c r="T34" i="3" s="1"/>
  <c r="V34" i="3"/>
  <c r="W34" i="3"/>
  <c r="X34" i="3"/>
  <c r="M52" i="3"/>
  <c r="R52" i="3"/>
  <c r="U52" i="3"/>
  <c r="T52" i="3" s="1"/>
  <c r="V52" i="3"/>
  <c r="W52" i="3"/>
  <c r="X52" i="3"/>
  <c r="AC52" i="3"/>
  <c r="M37" i="3"/>
  <c r="R37" i="3"/>
  <c r="S37" i="3"/>
  <c r="U37" i="3"/>
  <c r="V37" i="3"/>
  <c r="W37" i="3"/>
  <c r="X37" i="3"/>
  <c r="M20" i="3"/>
  <c r="R20" i="3"/>
  <c r="S20" i="3"/>
  <c r="U20" i="3"/>
  <c r="AC20" i="3" s="1"/>
  <c r="V20" i="3"/>
  <c r="W20" i="3"/>
  <c r="X20" i="3"/>
  <c r="M19" i="3"/>
  <c r="R19" i="3"/>
  <c r="S19" i="3"/>
  <c r="U19" i="3"/>
  <c r="T19" i="3" s="1"/>
  <c r="V19" i="3"/>
  <c r="W19" i="3"/>
  <c r="X19" i="3"/>
  <c r="M14" i="3"/>
  <c r="S14" i="3"/>
  <c r="U14" i="3"/>
  <c r="T14" i="3" s="1"/>
  <c r="V14" i="3"/>
  <c r="W14" i="3"/>
  <c r="X14" i="3"/>
  <c r="AC14" i="3"/>
  <c r="M44" i="3"/>
  <c r="R44" i="3"/>
  <c r="S44" i="3"/>
  <c r="U44" i="3"/>
  <c r="V44" i="3"/>
  <c r="W44" i="3"/>
  <c r="X44" i="3"/>
  <c r="M38" i="3"/>
  <c r="U38" i="3"/>
  <c r="AC38" i="3" s="1"/>
  <c r="V38" i="3"/>
  <c r="W38" i="3"/>
  <c r="X38" i="3"/>
  <c r="M45" i="3"/>
  <c r="R45" i="3"/>
  <c r="U45" i="3"/>
  <c r="V45" i="3"/>
  <c r="W45" i="3"/>
  <c r="X45" i="3"/>
  <c r="AC45" i="3"/>
  <c r="M33" i="3"/>
  <c r="R33" i="3"/>
  <c r="S33" i="3"/>
  <c r="U33" i="3"/>
  <c r="T33" i="3" s="1"/>
  <c r="V33" i="3"/>
  <c r="W33" i="3"/>
  <c r="X33" i="3"/>
  <c r="M46" i="3"/>
  <c r="R46" i="3"/>
  <c r="U46" i="3"/>
  <c r="V46" i="3"/>
  <c r="W46" i="3"/>
  <c r="X46" i="3"/>
  <c r="M40" i="3"/>
  <c r="R40" i="3"/>
  <c r="U40" i="3"/>
  <c r="AC40" i="3" s="1"/>
  <c r="V40" i="3"/>
  <c r="W40" i="3"/>
  <c r="X40" i="3"/>
  <c r="M12" i="3"/>
  <c r="R12" i="3"/>
  <c r="S12" i="3"/>
  <c r="U12" i="3"/>
  <c r="V12" i="3"/>
  <c r="W12" i="3"/>
  <c r="X12" i="3"/>
  <c r="AC12" i="3"/>
  <c r="M39" i="3"/>
  <c r="S39" i="3"/>
  <c r="U39" i="3"/>
  <c r="T39" i="3" s="1"/>
  <c r="V39" i="3"/>
  <c r="W39" i="3"/>
  <c r="X39" i="3"/>
  <c r="AC39" i="3"/>
  <c r="M42" i="3"/>
  <c r="U42" i="3"/>
  <c r="V42" i="3"/>
  <c r="W42" i="3"/>
  <c r="X42" i="3"/>
  <c r="AC42" i="3"/>
  <c r="M7" i="3"/>
  <c r="U7" i="3"/>
  <c r="AC7" i="3" s="1"/>
  <c r="V7" i="3"/>
  <c r="W7" i="3"/>
  <c r="X7" i="3"/>
  <c r="M15" i="3"/>
  <c r="R15" i="3"/>
  <c r="U15" i="3"/>
  <c r="T15" i="3" s="1"/>
  <c r="V15" i="3"/>
  <c r="W15" i="3"/>
  <c r="X15" i="3"/>
  <c r="AC15" i="3"/>
  <c r="M49" i="3"/>
  <c r="R49" i="3"/>
  <c r="S49" i="3"/>
  <c r="U49" i="3"/>
  <c r="T49" i="3" s="1"/>
  <c r="V49" i="3"/>
  <c r="W49" i="3"/>
  <c r="X49" i="3"/>
  <c r="M8" i="3"/>
  <c r="R8" i="3"/>
  <c r="U8" i="3"/>
  <c r="V8" i="3"/>
  <c r="W8" i="3"/>
  <c r="X8" i="3"/>
  <c r="M48" i="3"/>
  <c r="R48" i="3"/>
  <c r="U48" i="3"/>
  <c r="AC48" i="3" s="1"/>
  <c r="V48" i="3"/>
  <c r="W48" i="3"/>
  <c r="X48" i="3"/>
  <c r="M9" i="3"/>
  <c r="R9" i="3"/>
  <c r="U9" i="3"/>
  <c r="T9" i="3" s="1"/>
  <c r="V9" i="3"/>
  <c r="W9" i="3"/>
  <c r="X9" i="3"/>
  <c r="AC9" i="3"/>
  <c r="M41" i="3"/>
  <c r="U41" i="3"/>
  <c r="T41" i="3" s="1"/>
  <c r="V41" i="3"/>
  <c r="W41" i="3"/>
  <c r="X41" i="3"/>
  <c r="AC41" i="3"/>
  <c r="M47" i="3"/>
  <c r="R47" i="3"/>
  <c r="U47" i="3"/>
  <c r="V47" i="3"/>
  <c r="W47" i="3"/>
  <c r="X47" i="3"/>
  <c r="M28" i="3"/>
  <c r="S28" i="3"/>
  <c r="U28" i="3"/>
  <c r="AC28" i="3" s="1"/>
  <c r="V28" i="3"/>
  <c r="W28" i="3"/>
  <c r="X28" i="3"/>
  <c r="M22" i="3"/>
  <c r="R22" i="3"/>
  <c r="U22" i="3"/>
  <c r="T22" i="3" s="1"/>
  <c r="V22" i="3"/>
  <c r="W22" i="3"/>
  <c r="X22" i="3"/>
  <c r="AC22" i="3"/>
  <c r="M53" i="3"/>
  <c r="R53" i="3"/>
  <c r="S53" i="3"/>
  <c r="U53" i="3"/>
  <c r="AD53" i="3" s="1"/>
  <c r="V53" i="3"/>
  <c r="W53" i="3"/>
  <c r="X53" i="3"/>
  <c r="AC53" i="3"/>
  <c r="W163" i="1" l="1"/>
  <c r="AA160" i="1"/>
  <c r="AA113" i="1"/>
  <c r="W113" i="1" s="1"/>
  <c r="AI71" i="1"/>
  <c r="AA67" i="1"/>
  <c r="W67" i="1" s="1"/>
  <c r="AI63" i="1"/>
  <c r="AA43" i="1"/>
  <c r="AA41" i="1"/>
  <c r="X171" i="1"/>
  <c r="AA141" i="1"/>
  <c r="W141" i="1" s="1"/>
  <c r="AA139" i="1"/>
  <c r="AA118" i="1"/>
  <c r="X169" i="1"/>
  <c r="AG250" i="1"/>
  <c r="X250" i="1"/>
  <c r="T198" i="1"/>
  <c r="AA193" i="1"/>
  <c r="AA189" i="1"/>
  <c r="X237" i="1"/>
  <c r="AA235" i="1"/>
  <c r="AG206" i="1"/>
  <c r="AI117" i="1"/>
  <c r="AA112" i="1"/>
  <c r="AI105" i="1"/>
  <c r="X42" i="1"/>
  <c r="X168" i="1"/>
  <c r="AC49" i="3"/>
  <c r="Y20" i="3"/>
  <c r="AC19" i="3"/>
  <c r="AD39" i="3"/>
  <c r="AD22" i="3"/>
  <c r="AD41" i="3"/>
  <c r="Y10" i="3"/>
  <c r="Y23" i="3"/>
  <c r="AC27" i="3"/>
  <c r="AC26" i="3"/>
  <c r="AC30" i="3"/>
  <c r="AC33" i="3"/>
  <c r="AC34" i="3"/>
  <c r="Y30" i="3"/>
  <c r="AE45" i="3"/>
  <c r="AE9" i="3"/>
  <c r="Y36" i="3"/>
  <c r="AA234" i="1"/>
  <c r="AA213" i="1"/>
  <c r="AI134" i="1"/>
  <c r="X89" i="1"/>
  <c r="AA84" i="1"/>
  <c r="AA80" i="1"/>
  <c r="AI44" i="1"/>
  <c r="AI32" i="1"/>
  <c r="T21" i="1"/>
  <c r="AA19" i="1"/>
  <c r="R28" i="3"/>
  <c r="AD12" i="3"/>
  <c r="Y44" i="3"/>
  <c r="S31" i="3"/>
  <c r="Y32" i="3"/>
  <c r="AA202" i="1"/>
  <c r="W202" i="1" s="1"/>
  <c r="AA176" i="1"/>
  <c r="AI228" i="1"/>
  <c r="AG131" i="1"/>
  <c r="U131" i="1" s="1"/>
  <c r="S131" i="1" s="1"/>
  <c r="X131" i="1"/>
  <c r="AG130" i="1"/>
  <c r="X92" i="1"/>
  <c r="X87" i="1"/>
  <c r="AG86" i="1"/>
  <c r="U86" i="1" s="1"/>
  <c r="S86" i="1" s="1"/>
  <c r="AI58" i="1"/>
  <c r="AG21" i="1"/>
  <c r="AI21" i="1" s="1"/>
  <c r="AI16" i="1"/>
  <c r="X164" i="1"/>
  <c r="AA186" i="1"/>
  <c r="AA182" i="1"/>
  <c r="W182" i="1" s="1"/>
  <c r="X254" i="1"/>
  <c r="AA249" i="1"/>
  <c r="W249" i="1" s="1"/>
  <c r="AA170" i="1"/>
  <c r="AI232" i="1"/>
  <c r="AA231" i="1"/>
  <c r="AA133" i="1"/>
  <c r="AI121" i="1"/>
  <c r="X85" i="1"/>
  <c r="AA56" i="1"/>
  <c r="AG45" i="1"/>
  <c r="AI45" i="1" s="1"/>
  <c r="X45" i="1"/>
  <c r="X163" i="1"/>
  <c r="X246" i="1"/>
  <c r="AG147" i="1"/>
  <c r="AI147" i="1" s="1"/>
  <c r="X77" i="1"/>
  <c r="Y48" i="3"/>
  <c r="Y38" i="3"/>
  <c r="Y26" i="3"/>
  <c r="T169" i="1"/>
  <c r="U169" i="1" s="1"/>
  <c r="S169" i="1" s="1"/>
  <c r="AA226" i="1"/>
  <c r="AA155" i="1"/>
  <c r="AI146" i="1"/>
  <c r="AI141" i="1"/>
  <c r="AA131" i="1"/>
  <c r="AI113" i="1"/>
  <c r="AA105" i="1"/>
  <c r="X103" i="1"/>
  <c r="AI101" i="1"/>
  <c r="AG95" i="1"/>
  <c r="X95" i="1"/>
  <c r="AA91" i="1"/>
  <c r="AA63" i="1"/>
  <c r="W63" i="1" s="1"/>
  <c r="AA60" i="1"/>
  <c r="X55" i="1"/>
  <c r="AA37" i="1"/>
  <c r="AG22" i="1"/>
  <c r="AI22" i="1" s="1"/>
  <c r="X88" i="1"/>
  <c r="X76" i="1"/>
  <c r="Y9" i="3"/>
  <c r="Y7" i="3"/>
  <c r="Y42" i="3"/>
  <c r="Y33" i="3"/>
  <c r="AE19" i="3"/>
  <c r="Y31" i="3"/>
  <c r="Y35" i="3"/>
  <c r="Y24" i="3"/>
  <c r="AA204" i="1"/>
  <c r="T202" i="1"/>
  <c r="U202" i="1" s="1"/>
  <c r="S202" i="1" s="1"/>
  <c r="AA201" i="1"/>
  <c r="AA194" i="1"/>
  <c r="W194" i="1" s="1"/>
  <c r="X183" i="1"/>
  <c r="AA183" i="1"/>
  <c r="U250" i="1"/>
  <c r="AA169" i="1"/>
  <c r="T246" i="1"/>
  <c r="AA245" i="1"/>
  <c r="W245" i="1" s="1"/>
  <c r="AA205" i="1"/>
  <c r="AA156" i="1"/>
  <c r="AI106" i="1"/>
  <c r="AA97" i="1"/>
  <c r="W97" i="1" s="1"/>
  <c r="X91" i="1"/>
  <c r="AA90" i="1"/>
  <c r="W90" i="1" s="1"/>
  <c r="X68" i="1"/>
  <c r="AA55" i="1"/>
  <c r="W55" i="1" s="1"/>
  <c r="T55" i="1"/>
  <c r="U55" i="1" s="1"/>
  <c r="S55" i="1" s="1"/>
  <c r="AA54" i="1"/>
  <c r="AA52" i="1"/>
  <c r="AA31" i="1"/>
  <c r="T16" i="1"/>
  <c r="U16" i="1" s="1"/>
  <c r="S16" i="1" s="1"/>
  <c r="X90" i="1"/>
  <c r="X86" i="1"/>
  <c r="X74" i="1"/>
  <c r="AA138" i="1"/>
  <c r="W138" i="1" s="1"/>
  <c r="AA117" i="1"/>
  <c r="W117" i="1" s="1"/>
  <c r="AD47" i="3"/>
  <c r="AG221" i="1"/>
  <c r="AI221" i="1" s="1"/>
  <c r="X221" i="1"/>
  <c r="Y14" i="3"/>
  <c r="Y37" i="3"/>
  <c r="AA153" i="1"/>
  <c r="AA101" i="1"/>
  <c r="W101" i="1" s="1"/>
  <c r="AI97" i="1"/>
  <c r="AG81" i="1"/>
  <c r="AI47" i="1"/>
  <c r="AG41" i="1"/>
  <c r="AI41" i="1" s="1"/>
  <c r="AG30" i="1"/>
  <c r="AG25" i="1"/>
  <c r="AI25" i="1" s="1"/>
  <c r="X25" i="1"/>
  <c r="AG14" i="1"/>
  <c r="U14" i="1" s="1"/>
  <c r="S14" i="1" s="1"/>
  <c r="AI224" i="1"/>
  <c r="AD42" i="3"/>
  <c r="Y46" i="3"/>
  <c r="Y52" i="3"/>
  <c r="AD43" i="3"/>
  <c r="Y18" i="3"/>
  <c r="Y17" i="3"/>
  <c r="Y51" i="3"/>
  <c r="AA219" i="1"/>
  <c r="T254" i="1"/>
  <c r="T233" i="1"/>
  <c r="T228" i="1"/>
  <c r="U228" i="1" s="1"/>
  <c r="S228" i="1" s="1"/>
  <c r="X215" i="1"/>
  <c r="AG214" i="1"/>
  <c r="AI208" i="1"/>
  <c r="AD32" i="3"/>
  <c r="AE32" i="3"/>
  <c r="Y47" i="3"/>
  <c r="Y15" i="3"/>
  <c r="AD45" i="3"/>
  <c r="AD44" i="3"/>
  <c r="AD14" i="3"/>
  <c r="AE13" i="3"/>
  <c r="AE43" i="3"/>
  <c r="AA220" i="1"/>
  <c r="W220" i="1" s="1"/>
  <c r="AA195" i="1"/>
  <c r="AA191" i="1"/>
  <c r="W191" i="1" s="1"/>
  <c r="AA187" i="1"/>
  <c r="AA185" i="1"/>
  <c r="X179" i="1"/>
  <c r="AA173" i="1"/>
  <c r="W173" i="1" s="1"/>
  <c r="AA171" i="1"/>
  <c r="W171" i="1" s="1"/>
  <c r="AA247" i="1"/>
  <c r="AA240" i="1"/>
  <c r="AG225" i="1"/>
  <c r="U225" i="1" s="1"/>
  <c r="S225" i="1" s="1"/>
  <c r="AI150" i="1"/>
  <c r="AA134" i="1"/>
  <c r="W134" i="1" s="1"/>
  <c r="AG114" i="1"/>
  <c r="AA86" i="1"/>
  <c r="AA83" i="1"/>
  <c r="X78" i="1"/>
  <c r="AA68" i="1"/>
  <c r="AA62" i="1"/>
  <c r="W62" i="1" s="1"/>
  <c r="AG49" i="1"/>
  <c r="U49" i="1" s="1"/>
  <c r="S49" i="1" s="1"/>
  <c r="AA40" i="1"/>
  <c r="W40" i="1" s="1"/>
  <c r="AA33" i="1"/>
  <c r="AA190" i="1"/>
  <c r="AA159" i="1"/>
  <c r="AA157" i="1"/>
  <c r="W157" i="1" s="1"/>
  <c r="X138" i="1"/>
  <c r="W105" i="1"/>
  <c r="AA100" i="1"/>
  <c r="T98" i="1"/>
  <c r="AA93" i="1"/>
  <c r="AA42" i="1"/>
  <c r="AA36" i="1"/>
  <c r="W36" i="1" s="1"/>
  <c r="AA28" i="1"/>
  <c r="W28" i="1" s="1"/>
  <c r="AA17" i="1"/>
  <c r="AA74" i="1"/>
  <c r="AA167" i="1"/>
  <c r="W167" i="1" s="1"/>
  <c r="AG161" i="1"/>
  <c r="AA158" i="1"/>
  <c r="AA236" i="1"/>
  <c r="AA217" i="1"/>
  <c r="W217" i="1" s="1"/>
  <c r="T217" i="1"/>
  <c r="AA216" i="1"/>
  <c r="AA209" i="1"/>
  <c r="T150" i="1"/>
  <c r="AA146" i="1"/>
  <c r="W146" i="1" s="1"/>
  <c r="T143" i="1"/>
  <c r="U143" i="1" s="1"/>
  <c r="S143" i="1" s="1"/>
  <c r="AI138" i="1"/>
  <c r="AA135" i="1"/>
  <c r="AA129" i="1"/>
  <c r="AG127" i="1"/>
  <c r="AI127" i="1" s="1"/>
  <c r="X127" i="1"/>
  <c r="T126" i="1"/>
  <c r="U126" i="1" s="1"/>
  <c r="S126" i="1" s="1"/>
  <c r="AA125" i="1"/>
  <c r="AA120" i="1"/>
  <c r="AA116" i="1"/>
  <c r="AG110" i="1"/>
  <c r="U110" i="1" s="1"/>
  <c r="S110" i="1" s="1"/>
  <c r="AA108" i="1"/>
  <c r="AA104" i="1"/>
  <c r="AG102" i="1"/>
  <c r="U102" i="1" s="1"/>
  <c r="S102" i="1" s="1"/>
  <c r="AA94" i="1"/>
  <c r="AG82" i="1"/>
  <c r="AI82" i="1" s="1"/>
  <c r="X82" i="1"/>
  <c r="AA81" i="1"/>
  <c r="W81" i="1" s="1"/>
  <c r="AA77" i="1"/>
  <c r="AA76" i="1"/>
  <c r="AG88" i="1"/>
  <c r="AI88" i="1" s="1"/>
  <c r="X72" i="1"/>
  <c r="X69" i="1"/>
  <c r="AG61" i="1"/>
  <c r="AI61" i="1" s="1"/>
  <c r="X61" i="1"/>
  <c r="AA59" i="1"/>
  <c r="AG53" i="1"/>
  <c r="X53" i="1"/>
  <c r="AA51" i="1"/>
  <c r="AA48" i="1"/>
  <c r="AI40" i="1"/>
  <c r="AI36" i="1"/>
  <c r="X33" i="1"/>
  <c r="AG29" i="1"/>
  <c r="AI29" i="1" s="1"/>
  <c r="X29" i="1"/>
  <c r="AI28" i="1"/>
  <c r="AA23" i="1"/>
  <c r="AA20" i="1"/>
  <c r="W20" i="1" s="1"/>
  <c r="AG18" i="1"/>
  <c r="U18" i="1" s="1"/>
  <c r="AA16" i="1"/>
  <c r="W16" i="1" s="1"/>
  <c r="AA224" i="1"/>
  <c r="W224" i="1" s="1"/>
  <c r="AA222" i="1"/>
  <c r="X202" i="1"/>
  <c r="AA198" i="1"/>
  <c r="W198" i="1" s="1"/>
  <c r="AA188" i="1"/>
  <c r="W188" i="1" s="1"/>
  <c r="T183" i="1"/>
  <c r="AA181" i="1"/>
  <c r="AA180" i="1"/>
  <c r="T179" i="1"/>
  <c r="U179" i="1" s="1"/>
  <c r="S179" i="1" s="1"/>
  <c r="AA256" i="1"/>
  <c r="AA255" i="1"/>
  <c r="T253" i="1"/>
  <c r="U253" i="1" s="1"/>
  <c r="S253" i="1" s="1"/>
  <c r="AG176" i="1"/>
  <c r="W176" i="1" s="1"/>
  <c r="AA175" i="1"/>
  <c r="AA172" i="1"/>
  <c r="X245" i="1"/>
  <c r="X167" i="1"/>
  <c r="AI157" i="1"/>
  <c r="X134" i="1"/>
  <c r="X123" i="1"/>
  <c r="X121" i="1"/>
  <c r="X94" i="1"/>
  <c r="T44" i="1"/>
  <c r="AA24" i="1"/>
  <c r="W24" i="1" s="1"/>
  <c r="AA244" i="1"/>
  <c r="AA241" i="1"/>
  <c r="W241" i="1" s="1"/>
  <c r="AA166" i="1"/>
  <c r="AG164" i="1"/>
  <c r="U164" i="1" s="1"/>
  <c r="S164" i="1" s="1"/>
  <c r="AA162" i="1"/>
  <c r="AA237" i="1"/>
  <c r="AA218" i="1"/>
  <c r="X217" i="1"/>
  <c r="AA215" i="1"/>
  <c r="AA214" i="1"/>
  <c r="W214" i="1" s="1"/>
  <c r="AA212" i="1"/>
  <c r="AG207" i="1"/>
  <c r="U207" i="1" s="1"/>
  <c r="S207" i="1" s="1"/>
  <c r="X207" i="1"/>
  <c r="AA206" i="1"/>
  <c r="AG155" i="1"/>
  <c r="AI155" i="1" s="1"/>
  <c r="AA151" i="1"/>
  <c r="AA150" i="1"/>
  <c r="W150" i="1" s="1"/>
  <c r="AG140" i="1"/>
  <c r="X140" i="1"/>
  <c r="AA127" i="1"/>
  <c r="AA124" i="1"/>
  <c r="AA122" i="1"/>
  <c r="AA121" i="1"/>
  <c r="W121" i="1" s="1"/>
  <c r="AA119" i="1"/>
  <c r="AA107" i="1"/>
  <c r="AA106" i="1"/>
  <c r="W106" i="1" s="1"/>
  <c r="AA103" i="1"/>
  <c r="AA102" i="1"/>
  <c r="AA96" i="1"/>
  <c r="W96" i="1" s="1"/>
  <c r="AA92" i="1"/>
  <c r="AA89" i="1"/>
  <c r="AA75" i="1"/>
  <c r="AA88" i="1"/>
  <c r="AA73" i="1"/>
  <c r="AA70" i="1"/>
  <c r="AI67" i="1"/>
  <c r="AG64" i="1"/>
  <c r="AI64" i="1" s="1"/>
  <c r="AA58" i="1"/>
  <c r="W58" i="1" s="1"/>
  <c r="AG56" i="1"/>
  <c r="AI56" i="1" s="1"/>
  <c r="X56" i="1"/>
  <c r="AG52" i="1"/>
  <c r="AI52" i="1" s="1"/>
  <c r="AA47" i="1"/>
  <c r="W47" i="1" s="1"/>
  <c r="AA39" i="1"/>
  <c r="AA32" i="1"/>
  <c r="W32" i="1" s="1"/>
  <c r="X30" i="1"/>
  <c r="AA27" i="1"/>
  <c r="AA18" i="1"/>
  <c r="AA223" i="1"/>
  <c r="AG203" i="1"/>
  <c r="U203" i="1" s="1"/>
  <c r="S203" i="1" s="1"/>
  <c r="X203" i="1"/>
  <c r="AG199" i="1"/>
  <c r="U199" i="1" s="1"/>
  <c r="S199" i="1" s="1"/>
  <c r="X199" i="1"/>
  <c r="X194" i="1"/>
  <c r="AG183" i="1"/>
  <c r="U183" i="1" s="1"/>
  <c r="S183" i="1" s="1"/>
  <c r="AG179" i="1"/>
  <c r="AG255" i="1"/>
  <c r="U255" i="1" s="1"/>
  <c r="S255" i="1" s="1"/>
  <c r="AA253" i="1"/>
  <c r="W253" i="1" s="1"/>
  <c r="AG251" i="1"/>
  <c r="U251" i="1" s="1"/>
  <c r="T171" i="1"/>
  <c r="X187" i="1"/>
  <c r="AG187" i="1"/>
  <c r="W187" i="1" s="1"/>
  <c r="X232" i="1"/>
  <c r="X225" i="1"/>
  <c r="AG154" i="1"/>
  <c r="AI154" i="1" s="1"/>
  <c r="X154" i="1"/>
  <c r="T154" i="1"/>
  <c r="X151" i="1"/>
  <c r="AG151" i="1"/>
  <c r="X135" i="1"/>
  <c r="AG135" i="1"/>
  <c r="AI135" i="1" s="1"/>
  <c r="T135" i="1"/>
  <c r="T224" i="1"/>
  <c r="AA221" i="1"/>
  <c r="W221" i="1" s="1"/>
  <c r="T220" i="1"/>
  <c r="AA199" i="1"/>
  <c r="W199" i="1" s="1"/>
  <c r="AG195" i="1"/>
  <c r="U195" i="1" s="1"/>
  <c r="S195" i="1" s="1"/>
  <c r="X195" i="1"/>
  <c r="T194" i="1"/>
  <c r="U194" i="1" s="1"/>
  <c r="S194" i="1" s="1"/>
  <c r="AG191" i="1"/>
  <c r="U191" i="1" s="1"/>
  <c r="S191" i="1" s="1"/>
  <c r="X191" i="1"/>
  <c r="AG190" i="1"/>
  <c r="T190" i="1"/>
  <c r="AG186" i="1"/>
  <c r="T186" i="1"/>
  <c r="AA178" i="1"/>
  <c r="W178" i="1" s="1"/>
  <c r="AG172" i="1"/>
  <c r="W172" i="1" s="1"/>
  <c r="T172" i="1"/>
  <c r="X238" i="1"/>
  <c r="AG238" i="1"/>
  <c r="U238" i="1" s="1"/>
  <c r="S238" i="1" s="1"/>
  <c r="T238" i="1"/>
  <c r="W226" i="1"/>
  <c r="T210" i="1"/>
  <c r="AG210" i="1"/>
  <c r="W210" i="1" s="1"/>
  <c r="X155" i="1"/>
  <c r="X224" i="1"/>
  <c r="U220" i="1"/>
  <c r="S220" i="1" s="1"/>
  <c r="AI220" i="1"/>
  <c r="AG178" i="1"/>
  <c r="X178" i="1"/>
  <c r="AG175" i="1"/>
  <c r="T175" i="1"/>
  <c r="T229" i="1"/>
  <c r="X229" i="1"/>
  <c r="AG229" i="1"/>
  <c r="U229" i="1" s="1"/>
  <c r="S229" i="1" s="1"/>
  <c r="X218" i="1"/>
  <c r="AG218" i="1"/>
  <c r="U218" i="1" s="1"/>
  <c r="S218" i="1" s="1"/>
  <c r="AG213" i="1"/>
  <c r="W213" i="1" s="1"/>
  <c r="T213" i="1"/>
  <c r="U213" i="1" s="1"/>
  <c r="S213" i="1" s="1"/>
  <c r="X152" i="1"/>
  <c r="T151" i="1"/>
  <c r="AA203" i="1"/>
  <c r="AA197" i="1"/>
  <c r="AA196" i="1"/>
  <c r="W196" i="1" s="1"/>
  <c r="AA192" i="1"/>
  <c r="T187" i="1"/>
  <c r="W183" i="1"/>
  <c r="T182" i="1"/>
  <c r="T177" i="1"/>
  <c r="AG177" i="1"/>
  <c r="AI177" i="1" s="1"/>
  <c r="X176" i="1"/>
  <c r="X242" i="1"/>
  <c r="AG242" i="1"/>
  <c r="U242" i="1" s="1"/>
  <c r="X241" i="1"/>
  <c r="X160" i="1"/>
  <c r="AG160" i="1"/>
  <c r="U160" i="1" s="1"/>
  <c r="S160" i="1" s="1"/>
  <c r="X161" i="1"/>
  <c r="X236" i="1"/>
  <c r="AG236" i="1"/>
  <c r="AI236" i="1" s="1"/>
  <c r="AA232" i="1"/>
  <c r="W232" i="1" s="1"/>
  <c r="X214" i="1"/>
  <c r="W209" i="1"/>
  <c r="T144" i="1"/>
  <c r="X144" i="1"/>
  <c r="AG144" i="1"/>
  <c r="X139" i="1"/>
  <c r="AG139" i="1"/>
  <c r="AI139" i="1" s="1"/>
  <c r="AA248" i="1"/>
  <c r="AA177" i="1"/>
  <c r="T245" i="1"/>
  <c r="U245" i="1" s="1"/>
  <c r="S245" i="1" s="1"/>
  <c r="AA243" i="1"/>
  <c r="W243" i="1" s="1"/>
  <c r="AA242" i="1"/>
  <c r="T241" i="1"/>
  <c r="U241" i="1" s="1"/>
  <c r="S241" i="1" s="1"/>
  <c r="AA239" i="1"/>
  <c r="U167" i="1"/>
  <c r="S167" i="1" s="1"/>
  <c r="T232" i="1"/>
  <c r="U232" i="1" s="1"/>
  <c r="S232" i="1" s="1"/>
  <c r="AA230" i="1"/>
  <c r="AA227" i="1"/>
  <c r="AI169" i="1"/>
  <c r="U214" i="1"/>
  <c r="S214" i="1" s="1"/>
  <c r="W206" i="1"/>
  <c r="AA154" i="1"/>
  <c r="AA152" i="1"/>
  <c r="AA142" i="1"/>
  <c r="U140" i="1"/>
  <c r="S140" i="1" s="1"/>
  <c r="AA137" i="1"/>
  <c r="AA136" i="1"/>
  <c r="W136" i="1" s="1"/>
  <c r="AI90" i="1"/>
  <c r="AA254" i="1"/>
  <c r="U171" i="1"/>
  <c r="T163" i="1"/>
  <c r="U163" i="1" s="1"/>
  <c r="S163" i="1" s="1"/>
  <c r="T237" i="1"/>
  <c r="AA228" i="1"/>
  <c r="W228" i="1" s="1"/>
  <c r="AA143" i="1"/>
  <c r="W143" i="1" s="1"/>
  <c r="T134" i="1"/>
  <c r="U134" i="1" s="1"/>
  <c r="S134" i="1" s="1"/>
  <c r="AA130" i="1"/>
  <c r="W130" i="1" s="1"/>
  <c r="AA128" i="1"/>
  <c r="X122" i="1"/>
  <c r="AG122" i="1"/>
  <c r="AG118" i="1"/>
  <c r="T118" i="1"/>
  <c r="X182" i="1"/>
  <c r="AA179" i="1"/>
  <c r="W179" i="1" s="1"/>
  <c r="AG254" i="1"/>
  <c r="U254" i="1" s="1"/>
  <c r="S254" i="1" s="1"/>
  <c r="AA252" i="1"/>
  <c r="AA251" i="1"/>
  <c r="AA250" i="1"/>
  <c r="W250" i="1" s="1"/>
  <c r="T249" i="1"/>
  <c r="U249" i="1" s="1"/>
  <c r="S249" i="1" s="1"/>
  <c r="AG173" i="1"/>
  <c r="U173" i="1" s="1"/>
  <c r="S173" i="1" s="1"/>
  <c r="AG246" i="1"/>
  <c r="U246" i="1" s="1"/>
  <c r="S246" i="1" s="1"/>
  <c r="AA165" i="1"/>
  <c r="AA164" i="1"/>
  <c r="W164" i="1" s="1"/>
  <c r="U161" i="1"/>
  <c r="S161" i="1" s="1"/>
  <c r="AG237" i="1"/>
  <c r="AI237" i="1" s="1"/>
  <c r="AG233" i="1"/>
  <c r="AI233" i="1" s="1"/>
  <c r="AA225" i="1"/>
  <c r="AG156" i="1"/>
  <c r="W156" i="1" s="1"/>
  <c r="X156" i="1"/>
  <c r="AA149" i="1"/>
  <c r="AA147" i="1"/>
  <c r="W147" i="1" s="1"/>
  <c r="AA140" i="1"/>
  <c r="T138" i="1"/>
  <c r="U138" i="1" s="1"/>
  <c r="S138" i="1" s="1"/>
  <c r="AA132" i="1"/>
  <c r="AA123" i="1"/>
  <c r="X119" i="1"/>
  <c r="X117" i="1"/>
  <c r="AA111" i="1"/>
  <c r="AA109" i="1"/>
  <c r="X105" i="1"/>
  <c r="X101" i="1"/>
  <c r="AG91" i="1"/>
  <c r="U91" i="1" s="1"/>
  <c r="AA79" i="1"/>
  <c r="AA78" i="1"/>
  <c r="T78" i="1"/>
  <c r="U78" i="1" s="1"/>
  <c r="S78" i="1" s="1"/>
  <c r="AG77" i="1"/>
  <c r="AI77" i="1" s="1"/>
  <c r="AG74" i="1"/>
  <c r="AI74" i="1" s="1"/>
  <c r="X73" i="1"/>
  <c r="X71" i="1"/>
  <c r="AG68" i="1"/>
  <c r="AG57" i="1"/>
  <c r="U57" i="1" s="1"/>
  <c r="S57" i="1" s="1"/>
  <c r="X57" i="1"/>
  <c r="X52" i="1"/>
  <c r="AA46" i="1"/>
  <c r="X41" i="1"/>
  <c r="T40" i="1"/>
  <c r="AG34" i="1"/>
  <c r="U34" i="1" s="1"/>
  <c r="S34" i="1" s="1"/>
  <c r="X34" i="1"/>
  <c r="U30" i="1"/>
  <c r="S30" i="1" s="1"/>
  <c r="AA25" i="1"/>
  <c r="W25" i="1" s="1"/>
  <c r="T24" i="1"/>
  <c r="U24" i="1" s="1"/>
  <c r="S24" i="1" s="1"/>
  <c r="AG17" i="1"/>
  <c r="AI17" i="1" s="1"/>
  <c r="X17" i="1"/>
  <c r="W112" i="1"/>
  <c r="T94" i="1"/>
  <c r="T85" i="1"/>
  <c r="U81" i="1"/>
  <c r="S81" i="1" s="1"/>
  <c r="T72" i="1"/>
  <c r="T67" i="1"/>
  <c r="U67" i="1" s="1"/>
  <c r="S67" i="1" s="1"/>
  <c r="T33" i="1"/>
  <c r="W18" i="1"/>
  <c r="AA126" i="1"/>
  <c r="AG111" i="1"/>
  <c r="X111" i="1"/>
  <c r="AA110" i="1"/>
  <c r="W110" i="1" s="1"/>
  <c r="T105" i="1"/>
  <c r="AG94" i="1"/>
  <c r="T90" i="1"/>
  <c r="U90" i="1" s="1"/>
  <c r="S90" i="1" s="1"/>
  <c r="AG85" i="1"/>
  <c r="AI85" i="1" s="1"/>
  <c r="X81" i="1"/>
  <c r="AG78" i="1"/>
  <c r="AG72" i="1"/>
  <c r="AI72" i="1" s="1"/>
  <c r="AA71" i="1"/>
  <c r="W71" i="1" s="1"/>
  <c r="T71" i="1"/>
  <c r="U71" i="1" s="1"/>
  <c r="S71" i="1" s="1"/>
  <c r="AA69" i="1"/>
  <c r="AA66" i="1"/>
  <c r="AA64" i="1"/>
  <c r="AG60" i="1"/>
  <c r="U60" i="1" s="1"/>
  <c r="S60" i="1" s="1"/>
  <c r="AA57" i="1"/>
  <c r="AI55" i="1"/>
  <c r="AG50" i="1"/>
  <c r="AI50" i="1" s="1"/>
  <c r="X50" i="1"/>
  <c r="AA49" i="1"/>
  <c r="AG46" i="1"/>
  <c r="U46" i="1" s="1"/>
  <c r="S46" i="1" s="1"/>
  <c r="X46" i="1"/>
  <c r="AA45" i="1"/>
  <c r="W45" i="1" s="1"/>
  <c r="AA44" i="1"/>
  <c r="W44" i="1" s="1"/>
  <c r="AG37" i="1"/>
  <c r="W37" i="1" s="1"/>
  <c r="AA35" i="1"/>
  <c r="W35" i="1" s="1"/>
  <c r="AG33" i="1"/>
  <c r="AI33" i="1" s="1"/>
  <c r="T32" i="1"/>
  <c r="U32" i="1" s="1"/>
  <c r="S32" i="1" s="1"/>
  <c r="AA29" i="1"/>
  <c r="W29" i="1" s="1"/>
  <c r="T28" i="1"/>
  <c r="U22" i="1"/>
  <c r="S22" i="1" s="1"/>
  <c r="AA21" i="1"/>
  <c r="W21" i="1" s="1"/>
  <c r="T121" i="1"/>
  <c r="AA114" i="1"/>
  <c r="AI102" i="1"/>
  <c r="AA98" i="1"/>
  <c r="W98" i="1" s="1"/>
  <c r="AA95" i="1"/>
  <c r="AI81" i="1"/>
  <c r="X67" i="1"/>
  <c r="T20" i="1"/>
  <c r="U20" i="1" s="1"/>
  <c r="S20" i="1" s="1"/>
  <c r="AI214" i="1"/>
  <c r="T212" i="1"/>
  <c r="X212" i="1"/>
  <c r="AG212" i="1"/>
  <c r="AI212" i="1" s="1"/>
  <c r="T188" i="1"/>
  <c r="X188" i="1"/>
  <c r="T185" i="1"/>
  <c r="X185" i="1"/>
  <c r="AG185" i="1"/>
  <c r="AI185" i="1" s="1"/>
  <c r="S171" i="1"/>
  <c r="AA246" i="1"/>
  <c r="T243" i="1"/>
  <c r="X243" i="1"/>
  <c r="AG243" i="1"/>
  <c r="AI194" i="1"/>
  <c r="AA161" i="1"/>
  <c r="W161" i="1" s="1"/>
  <c r="T158" i="1"/>
  <c r="X158" i="1"/>
  <c r="AG158" i="1"/>
  <c r="AI178" i="1"/>
  <c r="AG227" i="1"/>
  <c r="X227" i="1"/>
  <c r="T227" i="1"/>
  <c r="X228" i="1"/>
  <c r="AA208" i="1"/>
  <c r="W208" i="1" s="1"/>
  <c r="AG205" i="1"/>
  <c r="AI205" i="1" s="1"/>
  <c r="X205" i="1"/>
  <c r="T205" i="1"/>
  <c r="X206" i="1"/>
  <c r="AA145" i="1"/>
  <c r="W145" i="1" s="1"/>
  <c r="AI143" i="1"/>
  <c r="AG142" i="1"/>
  <c r="X142" i="1"/>
  <c r="T142" i="1"/>
  <c r="X143" i="1"/>
  <c r="AI110" i="1"/>
  <c r="U95" i="1"/>
  <c r="S95" i="1" s="1"/>
  <c r="AI253" i="1"/>
  <c r="T234" i="1"/>
  <c r="X234" i="1"/>
  <c r="AG234" i="1"/>
  <c r="W234" i="1" s="1"/>
  <c r="T223" i="1"/>
  <c r="X223" i="1"/>
  <c r="AI241" i="1"/>
  <c r="AI245" i="1"/>
  <c r="W180" i="1"/>
  <c r="W175" i="1"/>
  <c r="W169" i="1"/>
  <c r="T247" i="1"/>
  <c r="X247" i="1"/>
  <c r="AG247" i="1"/>
  <c r="S242" i="1"/>
  <c r="AI198" i="1"/>
  <c r="T162" i="1"/>
  <c r="X162" i="1"/>
  <c r="AG162" i="1"/>
  <c r="AI162" i="1" s="1"/>
  <c r="AI182" i="1"/>
  <c r="U206" i="1"/>
  <c r="S206" i="1" s="1"/>
  <c r="U155" i="1"/>
  <c r="S155" i="1" s="1"/>
  <c r="T200" i="1"/>
  <c r="X200" i="1"/>
  <c r="T197" i="1"/>
  <c r="X197" i="1"/>
  <c r="AG197" i="1"/>
  <c r="AI242" i="1"/>
  <c r="T184" i="1"/>
  <c r="U184" i="1" s="1"/>
  <c r="S184" i="1" s="1"/>
  <c r="X184" i="1"/>
  <c r="T181" i="1"/>
  <c r="X181" i="1"/>
  <c r="AG181" i="1"/>
  <c r="AI181" i="1" s="1"/>
  <c r="AI226" i="1"/>
  <c r="S251" i="1"/>
  <c r="AI218" i="1"/>
  <c r="AI206" i="1"/>
  <c r="T239" i="1"/>
  <c r="X239" i="1"/>
  <c r="AG239" i="1"/>
  <c r="W239" i="1" s="1"/>
  <c r="T149" i="1"/>
  <c r="X149" i="1"/>
  <c r="AG149" i="1"/>
  <c r="W149" i="1" s="1"/>
  <c r="AI144" i="1"/>
  <c r="AG109" i="1"/>
  <c r="X109" i="1"/>
  <c r="T109" i="1"/>
  <c r="X110" i="1"/>
  <c r="T204" i="1"/>
  <c r="X204" i="1"/>
  <c r="T201" i="1"/>
  <c r="X201" i="1"/>
  <c r="AG201" i="1"/>
  <c r="AI201" i="1" s="1"/>
  <c r="AG200" i="1"/>
  <c r="X198" i="1"/>
  <c r="AG223" i="1"/>
  <c r="W223" i="1" s="1"/>
  <c r="AG222" i="1"/>
  <c r="AI222" i="1" s="1"/>
  <c r="X222" i="1"/>
  <c r="U221" i="1"/>
  <c r="S221" i="1" s="1"/>
  <c r="T219" i="1"/>
  <c r="X219" i="1"/>
  <c r="AG219" i="1"/>
  <c r="AG204" i="1"/>
  <c r="T192" i="1"/>
  <c r="X192" i="1"/>
  <c r="T189" i="1"/>
  <c r="X189" i="1"/>
  <c r="AG189" i="1"/>
  <c r="AI189" i="1" s="1"/>
  <c r="X186" i="1"/>
  <c r="U224" i="1"/>
  <c r="S224" i="1" s="1"/>
  <c r="X220" i="1"/>
  <c r="AI249" i="1"/>
  <c r="AA200" i="1"/>
  <c r="U198" i="1"/>
  <c r="S198" i="1" s="1"/>
  <c r="T196" i="1"/>
  <c r="U196" i="1" s="1"/>
  <c r="S196" i="1" s="1"/>
  <c r="X196" i="1"/>
  <c r="T193" i="1"/>
  <c r="X193" i="1"/>
  <c r="AG193" i="1"/>
  <c r="AI193" i="1" s="1"/>
  <c r="AG192" i="1"/>
  <c r="X190" i="1"/>
  <c r="U188" i="1"/>
  <c r="S188" i="1" s="1"/>
  <c r="AA184" i="1"/>
  <c r="W184" i="1" s="1"/>
  <c r="U182" i="1"/>
  <c r="S182" i="1" s="1"/>
  <c r="T180" i="1"/>
  <c r="U180" i="1" s="1"/>
  <c r="S180" i="1" s="1"/>
  <c r="X180" i="1"/>
  <c r="T256" i="1"/>
  <c r="X256" i="1"/>
  <c r="AG256" i="1"/>
  <c r="AI256" i="1" s="1"/>
  <c r="X253" i="1"/>
  <c r="T252" i="1"/>
  <c r="X252" i="1"/>
  <c r="AG252" i="1"/>
  <c r="AI252" i="1" s="1"/>
  <c r="X249" i="1"/>
  <c r="T248" i="1"/>
  <c r="X248" i="1"/>
  <c r="AG248" i="1"/>
  <c r="X175" i="1"/>
  <c r="T174" i="1"/>
  <c r="X174" i="1"/>
  <c r="AG174" i="1"/>
  <c r="AI174" i="1" s="1"/>
  <c r="T170" i="1"/>
  <c r="AG170" i="1"/>
  <c r="AI170" i="1" s="1"/>
  <c r="AI202" i="1"/>
  <c r="AA238" i="1"/>
  <c r="W238" i="1" s="1"/>
  <c r="T165" i="1"/>
  <c r="AG165" i="1"/>
  <c r="AI165" i="1" s="1"/>
  <c r="AI186" i="1"/>
  <c r="AA233" i="1"/>
  <c r="T230" i="1"/>
  <c r="X230" i="1"/>
  <c r="AG230" i="1"/>
  <c r="AI230" i="1" s="1"/>
  <c r="X213" i="1"/>
  <c r="X211" i="1"/>
  <c r="AG211" i="1"/>
  <c r="AI161" i="1"/>
  <c r="X150" i="1"/>
  <c r="X148" i="1"/>
  <c r="AG148" i="1"/>
  <c r="AI145" i="1"/>
  <c r="AI128" i="1"/>
  <c r="W128" i="1"/>
  <c r="S250" i="1"/>
  <c r="T216" i="1"/>
  <c r="X216" i="1"/>
  <c r="T215" i="1"/>
  <c r="U210" i="1"/>
  <c r="S210" i="1" s="1"/>
  <c r="T153" i="1"/>
  <c r="X153" i="1"/>
  <c r="T152" i="1"/>
  <c r="U147" i="1"/>
  <c r="S147" i="1" s="1"/>
  <c r="T132" i="1"/>
  <c r="X132" i="1"/>
  <c r="AI130" i="1"/>
  <c r="AG129" i="1"/>
  <c r="W129" i="1" s="1"/>
  <c r="X129" i="1"/>
  <c r="T129" i="1"/>
  <c r="X130" i="1"/>
  <c r="U106" i="1"/>
  <c r="S106" i="1" s="1"/>
  <c r="AG59" i="1"/>
  <c r="W59" i="1" s="1"/>
  <c r="X59" i="1"/>
  <c r="T59" i="1"/>
  <c r="X60" i="1"/>
  <c r="X255" i="1"/>
  <c r="X251" i="1"/>
  <c r="AI217" i="1"/>
  <c r="X177" i="1"/>
  <c r="AI213" i="1"/>
  <c r="X173" i="1"/>
  <c r="AI209" i="1"/>
  <c r="AG168" i="1"/>
  <c r="AG244" i="1"/>
  <c r="AI244" i="1" s="1"/>
  <c r="AG240" i="1"/>
  <c r="AI240" i="1" s="1"/>
  <c r="AG166" i="1"/>
  <c r="AI166" i="1" s="1"/>
  <c r="AG159" i="1"/>
  <c r="AG235" i="1"/>
  <c r="AG231" i="1"/>
  <c r="AA229" i="1"/>
  <c r="T226" i="1"/>
  <c r="U226" i="1" s="1"/>
  <c r="S226" i="1" s="1"/>
  <c r="X226" i="1"/>
  <c r="AG216" i="1"/>
  <c r="AI216" i="1" s="1"/>
  <c r="AG215" i="1"/>
  <c r="X210" i="1"/>
  <c r="T209" i="1"/>
  <c r="U209" i="1" s="1"/>
  <c r="S209" i="1" s="1"/>
  <c r="AA207" i="1"/>
  <c r="T157" i="1"/>
  <c r="U157" i="1" s="1"/>
  <c r="S157" i="1" s="1"/>
  <c r="X157" i="1"/>
  <c r="AG153" i="1"/>
  <c r="AG152" i="1"/>
  <c r="U150" i="1"/>
  <c r="S150" i="1" s="1"/>
  <c r="X147" i="1"/>
  <c r="T146" i="1"/>
  <c r="U146" i="1" s="1"/>
  <c r="S146" i="1" s="1"/>
  <c r="AA144" i="1"/>
  <c r="T141" i="1"/>
  <c r="U141" i="1" s="1"/>
  <c r="S141" i="1" s="1"/>
  <c r="X141" i="1"/>
  <c r="T136" i="1"/>
  <c r="U136" i="1" s="1"/>
  <c r="S136" i="1" s="1"/>
  <c r="X136" i="1"/>
  <c r="T133" i="1"/>
  <c r="X133" i="1"/>
  <c r="AG133" i="1"/>
  <c r="AG132" i="1"/>
  <c r="W131" i="1"/>
  <c r="U130" i="1"/>
  <c r="S130" i="1" s="1"/>
  <c r="U127" i="1"/>
  <c r="S127" i="1" s="1"/>
  <c r="W126" i="1"/>
  <c r="T116" i="1"/>
  <c r="X116" i="1"/>
  <c r="AG116" i="1"/>
  <c r="X115" i="1"/>
  <c r="AG115" i="1"/>
  <c r="AI112" i="1"/>
  <c r="X244" i="1"/>
  <c r="X240" i="1"/>
  <c r="X166" i="1"/>
  <c r="X159" i="1"/>
  <c r="X235" i="1"/>
  <c r="X231" i="1"/>
  <c r="U217" i="1"/>
  <c r="S217" i="1" s="1"/>
  <c r="AA211" i="1"/>
  <c r="X209" i="1"/>
  <c r="T208" i="1"/>
  <c r="U208" i="1" s="1"/>
  <c r="S208" i="1" s="1"/>
  <c r="X208" i="1"/>
  <c r="AI156" i="1"/>
  <c r="U154" i="1"/>
  <c r="S154" i="1" s="1"/>
  <c r="AA148" i="1"/>
  <c r="X146" i="1"/>
  <c r="T145" i="1"/>
  <c r="U145" i="1" s="1"/>
  <c r="S145" i="1" s="1"/>
  <c r="X145" i="1"/>
  <c r="AI140" i="1"/>
  <c r="T137" i="1"/>
  <c r="X137" i="1"/>
  <c r="AG137" i="1"/>
  <c r="AI136" i="1"/>
  <c r="W135" i="1"/>
  <c r="AI126" i="1"/>
  <c r="AG125" i="1"/>
  <c r="W125" i="1" s="1"/>
  <c r="X125" i="1"/>
  <c r="T125" i="1"/>
  <c r="X126" i="1"/>
  <c r="AI111" i="1"/>
  <c r="U111" i="1"/>
  <c r="S111" i="1" s="1"/>
  <c r="T100" i="1"/>
  <c r="X100" i="1"/>
  <c r="AG100" i="1"/>
  <c r="X99" i="1"/>
  <c r="AG99" i="1"/>
  <c r="AI96" i="1"/>
  <c r="T87" i="1"/>
  <c r="AG87" i="1"/>
  <c r="T83" i="1"/>
  <c r="X83" i="1"/>
  <c r="AG83" i="1"/>
  <c r="AI78" i="1"/>
  <c r="T120" i="1"/>
  <c r="X120" i="1"/>
  <c r="T119" i="1"/>
  <c r="U114" i="1"/>
  <c r="S114" i="1" s="1"/>
  <c r="T104" i="1"/>
  <c r="X104" i="1"/>
  <c r="T103" i="1"/>
  <c r="U98" i="1"/>
  <c r="S98" i="1" s="1"/>
  <c r="T92" i="1"/>
  <c r="T89" i="1"/>
  <c r="AG89" i="1"/>
  <c r="W89" i="1" s="1"/>
  <c r="U85" i="1"/>
  <c r="S85" i="1" s="1"/>
  <c r="U56" i="1"/>
  <c r="S56" i="1" s="1"/>
  <c r="AI34" i="1"/>
  <c r="T31" i="1"/>
  <c r="X31" i="1"/>
  <c r="AG31" i="1"/>
  <c r="W31" i="1" s="1"/>
  <c r="X32" i="1"/>
  <c r="T124" i="1"/>
  <c r="X124" i="1"/>
  <c r="T123" i="1"/>
  <c r="AG120" i="1"/>
  <c r="AG119" i="1"/>
  <c r="X114" i="1"/>
  <c r="T113" i="1"/>
  <c r="U113" i="1" s="1"/>
  <c r="S113" i="1" s="1"/>
  <c r="T108" i="1"/>
  <c r="X108" i="1"/>
  <c r="T107" i="1"/>
  <c r="AG104" i="1"/>
  <c r="AG103" i="1"/>
  <c r="W103" i="1" s="1"/>
  <c r="X98" i="1"/>
  <c r="T97" i="1"/>
  <c r="U97" i="1" s="1"/>
  <c r="S97" i="1" s="1"/>
  <c r="T93" i="1"/>
  <c r="AG93" i="1"/>
  <c r="AG92" i="1"/>
  <c r="W78" i="1"/>
  <c r="T75" i="1"/>
  <c r="AG75" i="1"/>
  <c r="X65" i="1"/>
  <c r="AG65" i="1"/>
  <c r="AI62" i="1"/>
  <c r="T39" i="1"/>
  <c r="X39" i="1"/>
  <c r="AG39" i="1"/>
  <c r="W39" i="1" s="1"/>
  <c r="X40" i="1"/>
  <c r="T128" i="1"/>
  <c r="U128" i="1" s="1"/>
  <c r="S128" i="1" s="1"/>
  <c r="X128" i="1"/>
  <c r="AG124" i="1"/>
  <c r="AG123" i="1"/>
  <c r="U121" i="1"/>
  <c r="S121" i="1" s="1"/>
  <c r="X118" i="1"/>
  <c r="T117" i="1"/>
  <c r="U117" i="1" s="1"/>
  <c r="S117" i="1" s="1"/>
  <c r="AA115" i="1"/>
  <c r="AI114" i="1"/>
  <c r="X113" i="1"/>
  <c r="T112" i="1"/>
  <c r="U112" i="1" s="1"/>
  <c r="S112" i="1" s="1"/>
  <c r="X112" i="1"/>
  <c r="AG108" i="1"/>
  <c r="AG107" i="1"/>
  <c r="U105" i="1"/>
  <c r="S105" i="1" s="1"/>
  <c r="X102" i="1"/>
  <c r="T101" i="1"/>
  <c r="U101" i="1" s="1"/>
  <c r="S101" i="1" s="1"/>
  <c r="AA99" i="1"/>
  <c r="AI98" i="1"/>
  <c r="X97" i="1"/>
  <c r="T96" i="1"/>
  <c r="U96" i="1" s="1"/>
  <c r="S96" i="1" s="1"/>
  <c r="X96" i="1"/>
  <c r="S91" i="1"/>
  <c r="AA87" i="1"/>
  <c r="AA82" i="1"/>
  <c r="W82" i="1" s="1"/>
  <c r="T79" i="1"/>
  <c r="X79" i="1"/>
  <c r="AG79" i="1"/>
  <c r="W79" i="1" s="1"/>
  <c r="T66" i="1"/>
  <c r="X66" i="1"/>
  <c r="AG66" i="1"/>
  <c r="W66" i="1" s="1"/>
  <c r="U61" i="1"/>
  <c r="S61" i="1" s="1"/>
  <c r="AI53" i="1"/>
  <c r="U53" i="1"/>
  <c r="S53" i="1" s="1"/>
  <c r="T70" i="1"/>
  <c r="X70" i="1"/>
  <c r="T69" i="1"/>
  <c r="T54" i="1"/>
  <c r="X54" i="1"/>
  <c r="AI26" i="1"/>
  <c r="U26" i="1"/>
  <c r="S26" i="1" s="1"/>
  <c r="AG84" i="1"/>
  <c r="AG80" i="1"/>
  <c r="AG76" i="1"/>
  <c r="AG73" i="1"/>
  <c r="T73" i="1"/>
  <c r="AG70" i="1"/>
  <c r="AG69" i="1"/>
  <c r="X64" i="1"/>
  <c r="T63" i="1"/>
  <c r="U63" i="1" s="1"/>
  <c r="S63" i="1" s="1"/>
  <c r="AA61" i="1"/>
  <c r="T58" i="1"/>
  <c r="U58" i="1" s="1"/>
  <c r="S58" i="1" s="1"/>
  <c r="X58" i="1"/>
  <c r="AG54" i="1"/>
  <c r="W54" i="1" s="1"/>
  <c r="AA53" i="1"/>
  <c r="W53" i="1" s="1"/>
  <c r="T51" i="1"/>
  <c r="X51" i="1"/>
  <c r="AG51" i="1"/>
  <c r="U50" i="1"/>
  <c r="S50" i="1" s="1"/>
  <c r="W49" i="1"/>
  <c r="T23" i="1"/>
  <c r="X23" i="1"/>
  <c r="AG23" i="1"/>
  <c r="X24" i="1"/>
  <c r="X84" i="1"/>
  <c r="X80" i="1"/>
  <c r="AA65" i="1"/>
  <c r="X63" i="1"/>
  <c r="T62" i="1"/>
  <c r="U62" i="1" s="1"/>
  <c r="S62" i="1" s="1"/>
  <c r="X62" i="1"/>
  <c r="AI49" i="1"/>
  <c r="AG48" i="1"/>
  <c r="W48" i="1" s="1"/>
  <c r="X48" i="1"/>
  <c r="T48" i="1"/>
  <c r="X49" i="1"/>
  <c r="X38" i="1"/>
  <c r="AG38" i="1"/>
  <c r="AI35" i="1"/>
  <c r="U28" i="1"/>
  <c r="S28" i="1" s="1"/>
  <c r="X44" i="1"/>
  <c r="T43" i="1"/>
  <c r="X43" i="1"/>
  <c r="T42" i="1"/>
  <c r="U37" i="1"/>
  <c r="S37" i="1" s="1"/>
  <c r="AI30" i="1"/>
  <c r="T19" i="1"/>
  <c r="X19" i="1"/>
  <c r="AG19" i="1"/>
  <c r="X20" i="1"/>
  <c r="AA14" i="1"/>
  <c r="AA50" i="1"/>
  <c r="W50" i="1" s="1"/>
  <c r="T47" i="1"/>
  <c r="U47" i="1" s="1"/>
  <c r="S47" i="1" s="1"/>
  <c r="X47" i="1"/>
  <c r="AG43" i="1"/>
  <c r="AG42" i="1"/>
  <c r="U40" i="1"/>
  <c r="S40" i="1" s="1"/>
  <c r="X37" i="1"/>
  <c r="T36" i="1"/>
  <c r="U36" i="1" s="1"/>
  <c r="S36" i="1" s="1"/>
  <c r="AA34" i="1"/>
  <c r="AA26" i="1"/>
  <c r="W26" i="1" s="1"/>
  <c r="S18" i="1"/>
  <c r="AI18" i="1"/>
  <c r="T15" i="1"/>
  <c r="X15" i="1"/>
  <c r="AG15" i="1"/>
  <c r="X16" i="1"/>
  <c r="AI46" i="1"/>
  <c r="U44" i="1"/>
  <c r="S44" i="1" s="1"/>
  <c r="AA38" i="1"/>
  <c r="AI37" i="1"/>
  <c r="X36" i="1"/>
  <c r="T35" i="1"/>
  <c r="U35" i="1" s="1"/>
  <c r="S35" i="1" s="1"/>
  <c r="X35" i="1"/>
  <c r="AA30" i="1"/>
  <c r="W30" i="1" s="1"/>
  <c r="T27" i="1"/>
  <c r="X27" i="1"/>
  <c r="AG27" i="1"/>
  <c r="W27" i="1" s="1"/>
  <c r="X28" i="1"/>
  <c r="AA22" i="1"/>
  <c r="AI14" i="1"/>
  <c r="U29" i="1"/>
  <c r="S29" i="1" s="1"/>
  <c r="U25" i="1"/>
  <c r="S25" i="1" s="1"/>
  <c r="U21" i="1"/>
  <c r="S21" i="1" s="1"/>
  <c r="X26" i="1"/>
  <c r="X22" i="1"/>
  <c r="X18" i="1"/>
  <c r="Y53" i="3"/>
  <c r="Y28" i="3"/>
  <c r="Y41" i="3"/>
  <c r="Y40" i="3"/>
  <c r="AC44" i="3"/>
  <c r="Y34" i="3"/>
  <c r="T13" i="3"/>
  <c r="Y27" i="3"/>
  <c r="Y25" i="3"/>
  <c r="AD25" i="3"/>
  <c r="AD8" i="3"/>
  <c r="AD30" i="3"/>
  <c r="AE30" i="3"/>
  <c r="AE25" i="3"/>
  <c r="T43" i="3"/>
  <c r="AE17" i="3"/>
  <c r="AE33" i="3"/>
  <c r="AC47" i="3"/>
  <c r="Y8" i="3"/>
  <c r="AD15" i="3"/>
  <c r="AE15" i="3"/>
  <c r="AD46" i="3"/>
  <c r="T45" i="3"/>
  <c r="Y19" i="3"/>
  <c r="AD37" i="3"/>
  <c r="Y11" i="3"/>
  <c r="Y21" i="3"/>
  <c r="AD26" i="3"/>
  <c r="AE26" i="3"/>
  <c r="Y29" i="3"/>
  <c r="Y16" i="3"/>
  <c r="AD17" i="3"/>
  <c r="AD51" i="3"/>
  <c r="AD9" i="3"/>
  <c r="AC8" i="3"/>
  <c r="T12" i="3"/>
  <c r="AD19" i="3"/>
  <c r="AC37" i="3"/>
  <c r="AE36" i="3"/>
  <c r="AD11" i="3"/>
  <c r="T35" i="3"/>
  <c r="AE29" i="3"/>
  <c r="AD23" i="3"/>
  <c r="T24" i="3"/>
  <c r="Y12" i="3"/>
  <c r="Y49" i="3"/>
  <c r="AE12" i="3"/>
  <c r="Y22" i="3"/>
  <c r="AD49" i="3"/>
  <c r="Y39" i="3"/>
  <c r="AC46" i="3"/>
  <c r="Y45" i="3"/>
  <c r="AD52" i="3"/>
  <c r="T36" i="3"/>
  <c r="Y13" i="3"/>
  <c r="AE35" i="3"/>
  <c r="AD27" i="3"/>
  <c r="T29" i="3"/>
  <c r="Y43" i="3"/>
  <c r="AE24" i="3"/>
  <c r="AD16" i="3"/>
  <c r="T25" i="3"/>
  <c r="AE38" i="3"/>
  <c r="T38" i="3"/>
  <c r="AE20" i="3"/>
  <c r="T20" i="3"/>
  <c r="AE40" i="3"/>
  <c r="T40" i="3"/>
  <c r="AE53" i="3"/>
  <c r="T53" i="3"/>
  <c r="AE47" i="3"/>
  <c r="T47" i="3"/>
  <c r="AE8" i="3"/>
  <c r="T8" i="3"/>
  <c r="AD7" i="3"/>
  <c r="AE42" i="3"/>
  <c r="T42" i="3"/>
  <c r="AE46" i="3"/>
  <c r="T46" i="3"/>
  <c r="AD38" i="3"/>
  <c r="AE44" i="3"/>
  <c r="T44" i="3"/>
  <c r="AD20" i="3"/>
  <c r="AE37" i="3"/>
  <c r="T37" i="3"/>
  <c r="AD36" i="3"/>
  <c r="AE28" i="3"/>
  <c r="T31" i="3"/>
  <c r="AD35" i="3"/>
  <c r="AE21" i="3"/>
  <c r="T21" i="3"/>
  <c r="AD29" i="3"/>
  <c r="AE10" i="3"/>
  <c r="T10" i="3"/>
  <c r="AD24" i="3"/>
  <c r="AE18" i="3"/>
  <c r="T18" i="3"/>
  <c r="AD33" i="3"/>
  <c r="AE34" i="3"/>
  <c r="T32" i="3"/>
  <c r="AC51" i="3"/>
  <c r="AE31" i="3"/>
  <c r="T28" i="3"/>
  <c r="AE48" i="3"/>
  <c r="T48" i="3"/>
  <c r="AE7" i="3"/>
  <c r="T7" i="3"/>
  <c r="AD31" i="3"/>
  <c r="AD48" i="3"/>
  <c r="AD40" i="3"/>
  <c r="AE22" i="3"/>
  <c r="AE41" i="3"/>
  <c r="AE49" i="3"/>
  <c r="AE39" i="3"/>
  <c r="AE14" i="3"/>
  <c r="AE52" i="3"/>
  <c r="AD28" i="3"/>
  <c r="AE11" i="3"/>
  <c r="AD21" i="3"/>
  <c r="AE27" i="3"/>
  <c r="AD10" i="3"/>
  <c r="AE23" i="3"/>
  <c r="AD18" i="3"/>
  <c r="AE16" i="3"/>
  <c r="AD34" i="3"/>
  <c r="AE51" i="3"/>
  <c r="M50" i="3"/>
  <c r="R50" i="3"/>
  <c r="S50" i="3"/>
  <c r="U50" i="3"/>
  <c r="AC50" i="3" s="1"/>
  <c r="V50" i="3"/>
  <c r="W50" i="3"/>
  <c r="X50" i="3"/>
  <c r="AI60" i="1" l="1"/>
  <c r="W152" i="1"/>
  <c r="AI210" i="1"/>
  <c r="AI225" i="1"/>
  <c r="U72" i="1"/>
  <c r="S72" i="1" s="1"/>
  <c r="U176" i="1"/>
  <c r="S176" i="1" s="1"/>
  <c r="W127" i="1"/>
  <c r="W34" i="1"/>
  <c r="W60" i="1"/>
  <c r="U139" i="1"/>
  <c r="S139" i="1" s="1"/>
  <c r="U236" i="1"/>
  <c r="S236" i="1" s="1"/>
  <c r="W109" i="1"/>
  <c r="W225" i="1"/>
  <c r="U88" i="1"/>
  <c r="S88" i="1" s="1"/>
  <c r="W158" i="1"/>
  <c r="W246" i="1"/>
  <c r="W111" i="1"/>
  <c r="W83" i="1"/>
  <c r="W95" i="1"/>
  <c r="W14" i="1"/>
  <c r="W23" i="1"/>
  <c r="U64" i="1"/>
  <c r="S64" i="1" s="1"/>
  <c r="W107" i="1"/>
  <c r="AI86" i="1"/>
  <c r="W116" i="1"/>
  <c r="W159" i="1"/>
  <c r="AI229" i="1"/>
  <c r="AI95" i="1"/>
  <c r="U52" i="1"/>
  <c r="S52" i="1" s="1"/>
  <c r="W64" i="1"/>
  <c r="W203" i="1"/>
  <c r="W102" i="1"/>
  <c r="W86" i="1"/>
  <c r="W22" i="1"/>
  <c r="AI57" i="1"/>
  <c r="W61" i="1"/>
  <c r="W120" i="1"/>
  <c r="AI131" i="1"/>
  <c r="W144" i="1"/>
  <c r="W207" i="1"/>
  <c r="W215" i="1"/>
  <c r="W229" i="1"/>
  <c r="W212" i="1"/>
  <c r="AI234" i="1"/>
  <c r="W251" i="1"/>
  <c r="W142" i="1"/>
  <c r="AI173" i="1"/>
  <c r="U41" i="1"/>
  <c r="S41" i="1" s="1"/>
  <c r="U135" i="1"/>
  <c r="S135" i="1" s="1"/>
  <c r="U17" i="1"/>
  <c r="S17" i="1" s="1"/>
  <c r="U33" i="1"/>
  <c r="S33" i="1" s="1"/>
  <c r="U77" i="1"/>
  <c r="S77" i="1" s="1"/>
  <c r="U82" i="1"/>
  <c r="S82" i="1" s="1"/>
  <c r="AI91" i="1"/>
  <c r="U233" i="1"/>
  <c r="S233" i="1" s="1"/>
  <c r="U45" i="1"/>
  <c r="S45" i="1" s="1"/>
  <c r="W154" i="1"/>
  <c r="U190" i="1"/>
  <c r="S190" i="1" s="1"/>
  <c r="W151" i="1"/>
  <c r="W91" i="1"/>
  <c r="W227" i="1"/>
  <c r="U144" i="1"/>
  <c r="S144" i="1" s="1"/>
  <c r="U177" i="1"/>
  <c r="S177" i="1" s="1"/>
  <c r="AI190" i="1"/>
  <c r="W114" i="1"/>
  <c r="W140" i="1"/>
  <c r="W195" i="1"/>
  <c r="W115" i="1"/>
  <c r="W148" i="1"/>
  <c r="W132" i="1"/>
  <c r="W177" i="1"/>
  <c r="W255" i="1"/>
  <c r="W68" i="1"/>
  <c r="W233" i="1"/>
  <c r="AI160" i="1"/>
  <c r="W94" i="1"/>
  <c r="W56" i="1"/>
  <c r="W88" i="1"/>
  <c r="W41" i="1"/>
  <c r="U74" i="1"/>
  <c r="S74" i="1" s="1"/>
  <c r="W74" i="1"/>
  <c r="W87" i="1"/>
  <c r="W99" i="1"/>
  <c r="W155" i="1"/>
  <c r="W200" i="1"/>
  <c r="U237" i="1"/>
  <c r="S237" i="1" s="1"/>
  <c r="W242" i="1"/>
  <c r="U172" i="1"/>
  <c r="S172" i="1" s="1"/>
  <c r="U186" i="1"/>
  <c r="S186" i="1" s="1"/>
  <c r="W52" i="1"/>
  <c r="W248" i="1"/>
  <c r="AI248" i="1"/>
  <c r="W185" i="1"/>
  <c r="W17" i="1"/>
  <c r="W57" i="1"/>
  <c r="W33" i="1"/>
  <c r="W254" i="1"/>
  <c r="W139" i="1"/>
  <c r="U178" i="1"/>
  <c r="S178" i="1"/>
  <c r="W197" i="1"/>
  <c r="AI197" i="1"/>
  <c r="W165" i="1"/>
  <c r="W222" i="1"/>
  <c r="W201" i="1"/>
  <c r="W72" i="1"/>
  <c r="W218" i="1"/>
  <c r="W186" i="1"/>
  <c r="W190" i="1"/>
  <c r="W38" i="1"/>
  <c r="W252" i="1"/>
  <c r="AI159" i="1"/>
  <c r="U94" i="1"/>
  <c r="S94" i="1"/>
  <c r="AI94" i="1"/>
  <c r="U118" i="1"/>
  <c r="S118" i="1" s="1"/>
  <c r="AI118" i="1"/>
  <c r="U156" i="1"/>
  <c r="S156" i="1" s="1"/>
  <c r="W77" i="1"/>
  <c r="W236" i="1"/>
  <c r="U175" i="1"/>
  <c r="S175" i="1" s="1"/>
  <c r="W85" i="1"/>
  <c r="U151" i="1"/>
  <c r="S151" i="1" s="1"/>
  <c r="AI151" i="1"/>
  <c r="W244" i="1"/>
  <c r="W46" i="1"/>
  <c r="U68" i="1"/>
  <c r="AI68" i="1"/>
  <c r="U122" i="1"/>
  <c r="S122" i="1" s="1"/>
  <c r="AI122" i="1"/>
  <c r="W237" i="1"/>
  <c r="W122" i="1"/>
  <c r="W160" i="1"/>
  <c r="W118" i="1"/>
  <c r="U187" i="1"/>
  <c r="S187" i="1" s="1"/>
  <c r="S43" i="1"/>
  <c r="U43" i="1"/>
  <c r="AI43" i="1"/>
  <c r="AI38" i="1"/>
  <c r="U38" i="1"/>
  <c r="S38" i="1" s="1"/>
  <c r="U137" i="1"/>
  <c r="S137" i="1" s="1"/>
  <c r="AI137" i="1"/>
  <c r="S230" i="1"/>
  <c r="AI175" i="1"/>
  <c r="U230" i="1"/>
  <c r="U15" i="1"/>
  <c r="S15" i="1" s="1"/>
  <c r="AI15" i="1"/>
  <c r="U51" i="1"/>
  <c r="S51" i="1" s="1"/>
  <c r="AI51" i="1"/>
  <c r="W51" i="1"/>
  <c r="U54" i="1"/>
  <c r="S54" i="1" s="1"/>
  <c r="AI54" i="1"/>
  <c r="AI69" i="1"/>
  <c r="U69" i="1"/>
  <c r="S69" i="1" s="1"/>
  <c r="U76" i="1"/>
  <c r="S76" i="1" s="1"/>
  <c r="W76" i="1"/>
  <c r="AI76" i="1"/>
  <c r="AI107" i="1"/>
  <c r="U107" i="1"/>
  <c r="S107" i="1" s="1"/>
  <c r="S124" i="1"/>
  <c r="U124" i="1"/>
  <c r="AI124" i="1"/>
  <c r="W124" i="1"/>
  <c r="AI39" i="1"/>
  <c r="U39" i="1"/>
  <c r="S39" i="1" s="1"/>
  <c r="AI92" i="1"/>
  <c r="U92" i="1"/>
  <c r="S92" i="1" s="1"/>
  <c r="AI103" i="1"/>
  <c r="U103" i="1"/>
  <c r="S103" i="1" s="1"/>
  <c r="U31" i="1"/>
  <c r="S31" i="1" s="1"/>
  <c r="AI31" i="1"/>
  <c r="AI100" i="1"/>
  <c r="U100" i="1"/>
  <c r="S100" i="1" s="1"/>
  <c r="W211" i="1"/>
  <c r="W92" i="1"/>
  <c r="AI152" i="1"/>
  <c r="U152" i="1"/>
  <c r="S152" i="1" s="1"/>
  <c r="U235" i="1"/>
  <c r="S235" i="1" s="1"/>
  <c r="AI180" i="1"/>
  <c r="W235" i="1"/>
  <c r="U240" i="1"/>
  <c r="S240" i="1" s="1"/>
  <c r="W240" i="1"/>
  <c r="AI196" i="1"/>
  <c r="U59" i="1"/>
  <c r="S59" i="1" s="1"/>
  <c r="AI59" i="1"/>
  <c r="U129" i="1"/>
  <c r="S129" i="1" s="1"/>
  <c r="AI129" i="1"/>
  <c r="AI191" i="1"/>
  <c r="U165" i="1"/>
  <c r="S165" i="1" s="1"/>
  <c r="U193" i="1"/>
  <c r="S193" i="1"/>
  <c r="AI239" i="1"/>
  <c r="W193" i="1"/>
  <c r="AI250" i="1"/>
  <c r="U204" i="1"/>
  <c r="S204" i="1" s="1"/>
  <c r="AI195" i="1"/>
  <c r="U239" i="1"/>
  <c r="S239" i="1" s="1"/>
  <c r="W204" i="1"/>
  <c r="W137" i="1"/>
  <c r="U142" i="1"/>
  <c r="S142" i="1" s="1"/>
  <c r="AI142" i="1"/>
  <c r="U205" i="1"/>
  <c r="S205" i="1" s="1"/>
  <c r="AI158" i="1"/>
  <c r="U227" i="1"/>
  <c r="S227" i="1" s="1"/>
  <c r="AI172" i="1"/>
  <c r="W205" i="1"/>
  <c r="AI164" i="1"/>
  <c r="S212" i="1"/>
  <c r="U212" i="1"/>
  <c r="U19" i="1"/>
  <c r="S19" i="1" s="1"/>
  <c r="AI19" i="1"/>
  <c r="AI123" i="1"/>
  <c r="U123" i="1"/>
  <c r="S123" i="1" s="1"/>
  <c r="AI65" i="1"/>
  <c r="U65" i="1"/>
  <c r="S65" i="1" s="1"/>
  <c r="U133" i="1"/>
  <c r="S133" i="1" s="1"/>
  <c r="AI133" i="1"/>
  <c r="W133" i="1"/>
  <c r="U231" i="1"/>
  <c r="S231" i="1" s="1"/>
  <c r="AI176" i="1"/>
  <c r="U166" i="1"/>
  <c r="S166" i="1" s="1"/>
  <c r="AI192" i="1"/>
  <c r="U197" i="1"/>
  <c r="S197" i="1"/>
  <c r="AI243" i="1"/>
  <c r="W230" i="1"/>
  <c r="U70" i="1"/>
  <c r="S70" i="1" s="1"/>
  <c r="AI70" i="1"/>
  <c r="U80" i="1"/>
  <c r="S80" i="1" s="1"/>
  <c r="AI80" i="1"/>
  <c r="U108" i="1"/>
  <c r="S108" i="1" s="1"/>
  <c r="AI108" i="1"/>
  <c r="W108" i="1"/>
  <c r="AI75" i="1"/>
  <c r="U75" i="1"/>
  <c r="S75" i="1" s="1"/>
  <c r="S104" i="1"/>
  <c r="U104" i="1"/>
  <c r="AI104" i="1"/>
  <c r="AI119" i="1"/>
  <c r="U119" i="1"/>
  <c r="S119" i="1" s="1"/>
  <c r="W75" i="1"/>
  <c r="AI87" i="1"/>
  <c r="U87" i="1"/>
  <c r="S87" i="1" s="1"/>
  <c r="U125" i="1"/>
  <c r="S125" i="1" s="1"/>
  <c r="AI125" i="1"/>
  <c r="AI115" i="1"/>
  <c r="U115" i="1"/>
  <c r="S115" i="1" s="1"/>
  <c r="AI148" i="1"/>
  <c r="U148" i="1"/>
  <c r="S148" i="1" s="1"/>
  <c r="AI163" i="1"/>
  <c r="U211" i="1"/>
  <c r="S211" i="1" s="1"/>
  <c r="AI211" i="1"/>
  <c r="U174" i="1"/>
  <c r="S174" i="1" s="1"/>
  <c r="U256" i="1"/>
  <c r="S256" i="1" s="1"/>
  <c r="AI223" i="1"/>
  <c r="U219" i="1"/>
  <c r="S219" i="1" s="1"/>
  <c r="AI251" i="1"/>
  <c r="W219" i="1"/>
  <c r="AI246" i="1"/>
  <c r="U200" i="1"/>
  <c r="S200" i="1" s="1"/>
  <c r="W104" i="1"/>
  <c r="W174" i="1"/>
  <c r="U23" i="1"/>
  <c r="S23" i="1"/>
  <c r="AI23" i="1"/>
  <c r="U73" i="1"/>
  <c r="S73" i="1" s="1"/>
  <c r="AI73" i="1"/>
  <c r="W19" i="1"/>
  <c r="W73" i="1"/>
  <c r="AI116" i="1"/>
  <c r="U116" i="1"/>
  <c r="S116" i="1" s="1"/>
  <c r="AI238" i="1"/>
  <c r="U192" i="1"/>
  <c r="S192" i="1" s="1"/>
  <c r="U223" i="1"/>
  <c r="S223" i="1" s="1"/>
  <c r="AI255" i="1"/>
  <c r="AI149" i="1"/>
  <c r="U149" i="1"/>
  <c r="S149" i="1" s="1"/>
  <c r="AI179" i="1"/>
  <c r="U234" i="1"/>
  <c r="S234" i="1" s="1"/>
  <c r="W192" i="1"/>
  <c r="U27" i="1"/>
  <c r="S27" i="1"/>
  <c r="AI27" i="1"/>
  <c r="W15" i="1"/>
  <c r="W65" i="1"/>
  <c r="W70" i="1"/>
  <c r="AI79" i="1"/>
  <c r="U79" i="1"/>
  <c r="S79" i="1" s="1"/>
  <c r="U93" i="1"/>
  <c r="S93" i="1" s="1"/>
  <c r="AI93" i="1"/>
  <c r="W93" i="1"/>
  <c r="U89" i="1"/>
  <c r="S89" i="1" s="1"/>
  <c r="AI89" i="1"/>
  <c r="W123" i="1"/>
  <c r="U153" i="1"/>
  <c r="S153" i="1" s="1"/>
  <c r="AI153" i="1"/>
  <c r="AI167" i="1"/>
  <c r="U215" i="1"/>
  <c r="S215" i="1" s="1"/>
  <c r="U159" i="1"/>
  <c r="S159" i="1"/>
  <c r="AI184" i="1"/>
  <c r="U244" i="1"/>
  <c r="S244" i="1" s="1"/>
  <c r="AI200" i="1"/>
  <c r="W80" i="1"/>
  <c r="AI207" i="1"/>
  <c r="U170" i="1"/>
  <c r="S170" i="1" s="1"/>
  <c r="AI215" i="1"/>
  <c r="U248" i="1"/>
  <c r="S248" i="1" s="1"/>
  <c r="AI219" i="1"/>
  <c r="U252" i="1"/>
  <c r="S252" i="1" s="1"/>
  <c r="AI42" i="1"/>
  <c r="U42" i="1"/>
  <c r="S42" i="1" s="1"/>
  <c r="W42" i="1"/>
  <c r="U48" i="1"/>
  <c r="S48" i="1" s="1"/>
  <c r="AI48" i="1"/>
  <c r="U84" i="1"/>
  <c r="S84" i="1" s="1"/>
  <c r="AI84" i="1"/>
  <c r="W84" i="1"/>
  <c r="AI66" i="1"/>
  <c r="U66" i="1"/>
  <c r="S66" i="1" s="1"/>
  <c r="W69" i="1"/>
  <c r="U120" i="1"/>
  <c r="S120" i="1" s="1"/>
  <c r="AI120" i="1"/>
  <c r="W43" i="1"/>
  <c r="AI83" i="1"/>
  <c r="U83" i="1"/>
  <c r="S83" i="1" s="1"/>
  <c r="AI99" i="1"/>
  <c r="U99" i="1"/>
  <c r="S99" i="1" s="1"/>
  <c r="W100" i="1"/>
  <c r="W119" i="1"/>
  <c r="AI132" i="1"/>
  <c r="U132" i="1"/>
  <c r="S132" i="1" s="1"/>
  <c r="U216" i="1"/>
  <c r="S216" i="1" s="1"/>
  <c r="AI168" i="1"/>
  <c r="AI188" i="1"/>
  <c r="U168" i="1"/>
  <c r="S168" i="1" s="1"/>
  <c r="AI204" i="1"/>
  <c r="W168" i="1"/>
  <c r="U189" i="1"/>
  <c r="S189" i="1" s="1"/>
  <c r="AI235" i="1"/>
  <c r="W189" i="1"/>
  <c r="AI254" i="1"/>
  <c r="U222" i="1"/>
  <c r="S222" i="1" s="1"/>
  <c r="U201" i="1"/>
  <c r="S201" i="1" s="1"/>
  <c r="AI247" i="1"/>
  <c r="U109" i="1"/>
  <c r="S109" i="1" s="1"/>
  <c r="AI109" i="1"/>
  <c r="W153" i="1"/>
  <c r="U181" i="1"/>
  <c r="S181" i="1" s="1"/>
  <c r="AI227" i="1"/>
  <c r="AI187" i="1"/>
  <c r="U162" i="1"/>
  <c r="S162" i="1" s="1"/>
  <c r="AI203" i="1"/>
  <c r="U247" i="1"/>
  <c r="S247" i="1" s="1"/>
  <c r="W170" i="1"/>
  <c r="W256" i="1"/>
  <c r="W216" i="1"/>
  <c r="AI183" i="1"/>
  <c r="U158" i="1"/>
  <c r="S158" i="1" s="1"/>
  <c r="W162" i="1"/>
  <c r="AI199" i="1"/>
  <c r="U243" i="1"/>
  <c r="S243" i="1" s="1"/>
  <c r="W247" i="1"/>
  <c r="U185" i="1"/>
  <c r="S185" i="1" s="1"/>
  <c r="AI231" i="1"/>
  <c r="W231" i="1"/>
  <c r="W166" i="1"/>
  <c r="W181" i="1"/>
  <c r="Y50" i="3"/>
  <c r="T50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50" i="3"/>
  <c r="B31" i="9"/>
  <c r="B32" i="9"/>
  <c r="C33" i="9" s="1"/>
  <c r="AE50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51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18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24" i="3" s="1"/>
  <c r="G63" i="4"/>
  <c r="G64" i="4"/>
  <c r="G65" i="4"/>
  <c r="G66" i="4"/>
  <c r="G67" i="4"/>
  <c r="N23" i="3" s="1"/>
  <c r="G68" i="4"/>
  <c r="G69" i="4"/>
  <c r="N10" i="3" s="1"/>
  <c r="G70" i="4"/>
  <c r="N43" i="3" s="1"/>
  <c r="G71" i="4"/>
  <c r="N29" i="3" s="1"/>
  <c r="G72" i="4"/>
  <c r="G73" i="4"/>
  <c r="G74" i="4"/>
  <c r="G75" i="4"/>
  <c r="N21" i="3" s="1"/>
  <c r="G76" i="4"/>
  <c r="G77" i="4"/>
  <c r="G78" i="4"/>
  <c r="G79" i="4"/>
  <c r="G80" i="4"/>
  <c r="G81" i="4"/>
  <c r="G82" i="4"/>
  <c r="G83" i="4"/>
  <c r="G84" i="4"/>
  <c r="G85" i="4"/>
  <c r="N35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3" i="3" s="1"/>
  <c r="G100" i="4"/>
  <c r="G101" i="4"/>
  <c r="G102" i="4"/>
  <c r="G103" i="4"/>
  <c r="G104" i="4"/>
  <c r="G105" i="4"/>
  <c r="G106" i="4"/>
  <c r="G107" i="4"/>
  <c r="N36" i="3" s="1"/>
  <c r="G108" i="4"/>
  <c r="G109" i="4"/>
  <c r="G110" i="4"/>
  <c r="G111" i="4"/>
  <c r="G112" i="4"/>
  <c r="G113" i="4"/>
  <c r="G114" i="4"/>
  <c r="G115" i="4"/>
  <c r="N37" i="3" s="1"/>
  <c r="G116" i="4"/>
  <c r="N52" i="3" s="1"/>
  <c r="G117" i="4"/>
  <c r="G118" i="4"/>
  <c r="N34" i="3" s="1"/>
  <c r="G119" i="4"/>
  <c r="G120" i="4"/>
  <c r="G121" i="4"/>
  <c r="N20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9" i="3" s="1"/>
  <c r="G144" i="4"/>
  <c r="G145" i="4"/>
  <c r="G146" i="4"/>
  <c r="G147" i="4"/>
  <c r="G148" i="4"/>
  <c r="G149" i="4"/>
  <c r="G150" i="4"/>
  <c r="G151" i="4"/>
  <c r="G152" i="4"/>
  <c r="G153" i="4"/>
  <c r="N14" i="3" s="1"/>
  <c r="G154" i="4"/>
  <c r="G155" i="4"/>
  <c r="G156" i="4"/>
  <c r="G157" i="4"/>
  <c r="G158" i="4"/>
  <c r="G159" i="4"/>
  <c r="G160" i="4"/>
  <c r="G161" i="4"/>
  <c r="N44" i="3" s="1"/>
  <c r="G162" i="4"/>
  <c r="N38" i="3" s="1"/>
  <c r="G163" i="4"/>
  <c r="G164" i="4"/>
  <c r="G165" i="4"/>
  <c r="G166" i="4"/>
  <c r="G167" i="4"/>
  <c r="G168" i="4"/>
  <c r="G169" i="4"/>
  <c r="G170" i="4"/>
  <c r="G171" i="4"/>
  <c r="G172" i="4"/>
  <c r="G173" i="4"/>
  <c r="N45" i="3" s="1"/>
  <c r="G174" i="4"/>
  <c r="G175" i="4"/>
  <c r="N33" i="3" s="1"/>
  <c r="G176" i="4"/>
  <c r="G177" i="4"/>
  <c r="G178" i="4"/>
  <c r="G179" i="4"/>
  <c r="G180" i="4"/>
  <c r="G181" i="4"/>
  <c r="G182" i="4"/>
  <c r="G183" i="4"/>
  <c r="N40" i="3" s="1"/>
  <c r="G184" i="4"/>
  <c r="G185" i="4"/>
  <c r="N46" i="3" s="1"/>
  <c r="G186" i="4"/>
  <c r="N12" i="3" s="1"/>
  <c r="G187" i="4"/>
  <c r="G188" i="4"/>
  <c r="G189" i="4"/>
  <c r="G190" i="4"/>
  <c r="N39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42" i="3" s="1"/>
  <c r="G215" i="4"/>
  <c r="N15" i="3" s="1"/>
  <c r="G216" i="4"/>
  <c r="G217" i="4"/>
  <c r="N7" i="3" s="1"/>
  <c r="G218" i="4"/>
  <c r="G219" i="4"/>
  <c r="G220" i="4"/>
  <c r="G221" i="4"/>
  <c r="G222" i="4"/>
  <c r="G223" i="4"/>
  <c r="G224" i="4"/>
  <c r="N8" i="3" s="1"/>
  <c r="G225" i="4"/>
  <c r="N49" i="3" s="1"/>
  <c r="G226" i="4"/>
  <c r="G227" i="4"/>
  <c r="G228" i="4"/>
  <c r="G229" i="4"/>
  <c r="G230" i="4"/>
  <c r="G231" i="4"/>
  <c r="G232" i="4"/>
  <c r="N48" i="3" s="1"/>
  <c r="G233" i="4"/>
  <c r="N9" i="3" s="1"/>
  <c r="G234" i="4"/>
  <c r="N41" i="3" s="1"/>
  <c r="G235" i="4"/>
  <c r="G236" i="4"/>
  <c r="N53" i="3" s="1"/>
  <c r="G237" i="4"/>
  <c r="G238" i="4"/>
  <c r="G239" i="4"/>
  <c r="N47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31" i="3"/>
  <c r="N50" i="3"/>
  <c r="N27" i="3"/>
  <c r="N26" i="3"/>
  <c r="N28" i="3"/>
  <c r="N30" i="3"/>
  <c r="N32" i="3"/>
  <c r="N25" i="3"/>
  <c r="N17" i="3"/>
  <c r="N1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N22" i="3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J3" i="6"/>
  <c r="H3" i="6"/>
  <c r="G3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<sst xmlns="http://schemas.openxmlformats.org/spreadsheetml/2006/main" count="3134" uniqueCount="1063">
  <si>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</si>
  <si>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</si>
  <si>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</si>
  <si>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</si>
  <si>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</si>
  <si>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</si>
  <si>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</si>
  <si>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</si>
  <si>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</si>
  <si>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</si>
  <si>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</si>
  <si>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</si>
  <si>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</si>
  <si>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</si>
  <si>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</si>
  <si>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</si>
  <si>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</si>
  <si>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</si>
  <si>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</si>
  <si>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</si>
  <si>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</si>
  <si>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</si>
  <si>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</si>
  <si>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</si>
  <si>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</si>
  <si>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</si>
  <si>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</si>
  <si>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</si>
  <si>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</si>
  <si>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</si>
  <si>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</si>
  <si>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</si>
  <si>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</si>
  <si>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</si>
  <si>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</si>
  <si>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</si>
  <si>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</si>
  <si>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</si>
  <si>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</si>
  <si>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</si>
  <si>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</si>
  <si>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</si>
  <si>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</si>
  <si>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</si>
  <si>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</si>
  <si>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</si>
  <si>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</si>
  <si>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</si>
  <si>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</si>
  <si>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</si>
  <si>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</si>
  <si>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</si>
  <si>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</si>
  <si>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</si>
  <si>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</si>
  <si>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</si>
  <si>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</si>
  <si>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</si>
  <si>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</si>
  <si>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</si>
  <si>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</si>
  <si>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</si>
  <si>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</si>
  <si>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</si>
  <si>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</si>
  <si>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</si>
  <si>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</si>
  <si>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</si>
  <si>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</si>
  <si>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</si>
  <si>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</si>
  <si>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</si>
  <si>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</si>
  <si>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</si>
  <si>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</si>
  <si>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</si>
  <si>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</si>
  <si>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</si>
  <si>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</si>
  <si>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</si>
  <si>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</si>
  <si>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</si>
  <si>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</si>
  <si>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</si>
  <si>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</si>
  <si>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</si>
  <si>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</si>
  <si>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</si>
  <si>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</si>
  <si>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</si>
  <si>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</si>
  <si>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</si>
  <si>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</si>
  <si>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</si>
  <si>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</si>
  <si>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</si>
  <si>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</si>
  <si>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</si>
  <si>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</si>
  <si>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</si>
  <si>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</si>
  <si>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</si>
  <si>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</si>
  <si>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</si>
  <si>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</si>
  <si>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</si>
  <si>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</si>
  <si>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</si>
  <si>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</si>
  <si>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</si>
  <si>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</si>
  <si>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</si>
  <si>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</si>
  <si>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</si>
  <si>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</si>
  <si>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</si>
  <si>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</si>
  <si>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</si>
  <si>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</si>
  <si>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</si>
  <si>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</si>
  <si>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</si>
  <si>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</si>
  <si>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</si>
  <si>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</si>
  <si>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</si>
  <si>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</si>
  <si>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</si>
  <si>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</si>
  <si>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</si>
  <si>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</si>
  <si>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</si>
  <si>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</si>
  <si>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</si>
  <si>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</si>
  <si>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</si>
  <si>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</si>
  <si>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</si>
  <si>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</si>
  <si>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</si>
  <si>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</si>
  <si>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</si>
  <si>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</si>
  <si>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</si>
  <si>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</si>
  <si>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</si>
  <si>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</si>
  <si>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</si>
  <si>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</si>
  <si>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</si>
  <si>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</si>
  <si>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</si>
  <si>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</si>
  <si>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</si>
  <si>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</si>
  <si>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</si>
  <si>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</si>
  <si>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</si>
  <si>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</si>
  <si>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</si>
  <si>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</si>
  <si>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</si>
  <si>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</si>
  <si>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</si>
  <si>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</si>
  <si>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</si>
  <si>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</si>
  <si>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</si>
  <si>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</si>
  <si>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</si>
  <si>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</si>
  <si>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</si>
  <si>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</si>
  <si>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</si>
  <si>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</si>
  <si>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</si>
  <si>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</si>
  <si>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</si>
  <si>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</si>
  <si>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</si>
  <si>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</si>
  <si>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</si>
  <si>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</si>
  <si>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</si>
  <si>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</si>
  <si>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</si>
  <si>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</si>
  <si>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</si>
  <si>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</si>
  <si>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</si>
  <si>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</si>
  <si>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</si>
  <si>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</si>
  <si>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</si>
  <si>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</si>
  <si>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</si>
  <si>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</si>
  <si>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</si>
  <si>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</si>
  <si>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</si>
  <si>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</si>
  <si>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</si>
  <si>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</si>
  <si>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</si>
  <si>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</si>
  <si>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</si>
  <si>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</si>
  <si>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</si>
  <si>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</si>
  <si>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</si>
  <si>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</si>
  <si>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</si>
  <si>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</si>
  <si>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</si>
  <si>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</si>
  <si>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</si>
  <si>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</si>
  <si>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</si>
  <si>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</si>
  <si>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</si>
  <si>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</si>
  <si>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</si>
  <si>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</si>
  <si>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</si>
  <si>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</si>
  <si>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</si>
  <si>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</si>
  <si>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</si>
  <si>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</si>
  <si>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</si>
  <si>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</si>
  <si>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</si>
  <si>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</si>
  <si>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</si>
  <si>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</si>
  <si>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</si>
  <si>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</si>
  <si>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</si>
  <si>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</si>
  <si>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</si>
  <si>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</si>
  <si>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</si>
  <si>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</si>
  <si>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</si>
  <si>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</si>
  <si>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</si>
  <si>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</si>
  <si>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</si>
  <si>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</si>
  <si>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</si>
  <si>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</si>
  <si>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</si>
  <si>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</si>
  <si>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</si>
  <si>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</si>
  <si>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</si>
  <si>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</si>
  <si>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</si>
  <si>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</si>
  <si>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</si>
  <si>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</si>
  <si>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</si>
  <si>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</si>
  <si>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</si>
  <si>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</si>
  <si>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</si>
  <si>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</si>
  <si>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</si>
  <si>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</si>
  <si>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</si>
  <si>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</si>
  <si>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</si>
  <si>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</si>
  <si>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</si>
  <si>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</si>
  <si>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</si>
  <si>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</si>
  <si>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</si>
  <si>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</si>
  <si>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</si>
  <si>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</si>
  <si>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</si>
  <si>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</si>
  <si>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</si>
  <si>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</si>
  <si>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</si>
  <si>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</si>
  <si>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</si>
  <si>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</si>
  <si>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</si>
  <si>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</si>
  <si>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</si>
  <si>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</si>
  <si>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</si>
  <si>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</si>
  <si>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</si>
  <si>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</si>
  <si>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</si>
  <si>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</si>
  <si>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</si>
  <si>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</si>
  <si>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</si>
  <si>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</si>
  <si>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</si>
  <si>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</si>
  <si>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</si>
  <si>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</si>
  <si>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</si>
  <si>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</si>
  <si>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</si>
  <si>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</si>
  <si>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</si>
  <si>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</si>
  <si>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</si>
  <si>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</si>
  <si>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</si>
  <si>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</si>
  <si>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</si>
  <si>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</si>
  <si>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</si>
  <si>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</si>
  <si>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</si>
  <si>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</si>
  <si>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</si>
  <si>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</si>
  <si>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</si>
  <si>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</si>
  <si>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</si>
  <si>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</si>
  <si>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</si>
  <si>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</si>
  <si>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</si>
  <si>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</si>
  <si>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</si>
  <si>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</si>
  <si>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</si>
  <si>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</si>
  <si>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</si>
  <si>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</si>
  <si>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</si>
  <si>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</si>
  <si>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</si>
  <si>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</si>
  <si>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</si>
  <si>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</si>
  <si>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</si>
  <si>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</si>
  <si>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</si>
  <si>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</si>
  <si>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</si>
  <si>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</si>
  <si>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</si>
  <si>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</si>
  <si>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</si>
  <si>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</si>
  <si>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</si>
  <si>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</si>
  <si>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</si>
  <si>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</si>
  <si>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</si>
  <si>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</si>
  <si>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</si>
  <si>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</si>
  <si>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</si>
  <si>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</si>
  <si>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</si>
  <si>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</si>
  <si>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</si>
  <si>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</si>
  <si>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</si>
  <si>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</si>
  <si>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</si>
  <si>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</si>
  <si>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</si>
  <si>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</si>
  <si>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</si>
  <si>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</si>
  <si>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</si>
  <si>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</si>
  <si>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</si>
  <si>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</si>
  <si>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</si>
  <si>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</si>
  <si>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</si>
  <si>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</si>
  <si>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</si>
  <si>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</si>
  <si>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204:473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</si>
  <si>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</si>
  <si>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</si>
  <si>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</si>
  <si>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</si>
  <si>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</si>
  <si>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</si>
  <si>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</si>
  <si>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</si>
  <si>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</si>
  <si>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</si>
  <si>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</si>
  <si>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</si>
  <si>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204:233314</t>
  </si>
  <si>
    <t>204:232996</t>
  </si>
  <si>
    <t>LOCKLEAR</t>
  </si>
  <si>
    <t>TRAVIS</t>
  </si>
  <si>
    <t>CHANDLER</t>
  </si>
  <si>
    <t>KELVIN</t>
  </si>
  <si>
    <t>NEWELL</t>
  </si>
  <si>
    <t>Mostly Cloudy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</si>
  <si>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</si>
  <si>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</si>
  <si>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</si>
  <si>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</si>
  <si>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</si>
  <si>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</si>
  <si>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</si>
  <si>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204:233301</t>
  </si>
  <si>
    <t>204:232984</t>
  </si>
  <si>
    <t>204:232982</t>
  </si>
  <si>
    <t>204:233295</t>
  </si>
  <si>
    <t>204:138</t>
  </si>
  <si>
    <t>204:139</t>
  </si>
  <si>
    <t>204:233299</t>
  </si>
  <si>
    <t>precipType</t>
  </si>
  <si>
    <t>rain</t>
  </si>
  <si>
    <t>204:447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</si>
  <si>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</si>
  <si>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</si>
  <si>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</si>
  <si>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</si>
  <si>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</si>
  <si>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</si>
  <si>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</si>
  <si>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</si>
  <si>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Light Rain</t>
  </si>
  <si>
    <t>204:233304</t>
  </si>
  <si>
    <t>204:462</t>
  </si>
  <si>
    <t>204:232973</t>
  </si>
  <si>
    <t>204:232993</t>
  </si>
  <si>
    <t>204:440</t>
  </si>
  <si>
    <t>204:232979</t>
  </si>
  <si>
    <t>204:232992</t>
  </si>
  <si>
    <t>204:232989</t>
  </si>
  <si>
    <t>204:233308</t>
  </si>
  <si>
    <t>300:23346</t>
  </si>
  <si>
    <t>300:58939</t>
  </si>
  <si>
    <t>rtdc.l.rtdc.4052:itc</t>
  </si>
  <si>
    <t>YORK</t>
  </si>
  <si>
    <t>EDGAR</t>
  </si>
  <si>
    <t>LALONDE</t>
  </si>
  <si>
    <t>GREGORY</t>
  </si>
  <si>
    <t>204:233315</t>
  </si>
  <si>
    <t>204:446</t>
  </si>
  <si>
    <t>204:233025</t>
  </si>
  <si>
    <t>204:233000</t>
  </si>
  <si>
    <t>300:58623</t>
  </si>
  <si>
    <t>rtdc.l.rtdc.4009:itc</t>
  </si>
  <si>
    <t>rtdc.l.rtdc.4045:itc</t>
  </si>
  <si>
    <t>partly-cloudy-night</t>
  </si>
  <si>
    <t>204:471</t>
  </si>
  <si>
    <t>204:232988</t>
  </si>
  <si>
    <t>204:233297</t>
  </si>
  <si>
    <t>204:145</t>
  </si>
  <si>
    <t>204:466</t>
  </si>
  <si>
    <t>204:233284</t>
  </si>
  <si>
    <t>204:482</t>
  </si>
  <si>
    <t>204:160</t>
  </si>
  <si>
    <t>204:233280</t>
  </si>
  <si>
    <t>204:232998</t>
  </si>
  <si>
    <t>204:442</t>
  </si>
  <si>
    <t>300:58950</t>
  </si>
  <si>
    <t>rtdc.l.rtdc.4054:itc</t>
  </si>
  <si>
    <t>rtdc.l.rtdc.4017:itc</t>
  </si>
  <si>
    <t>rtdc.l.rtdc.4018:itc</t>
  </si>
  <si>
    <t>SANTIZO</t>
  </si>
  <si>
    <t>D. EDY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</si>
  <si>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</si>
  <si>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</si>
  <si>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</si>
  <si>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</si>
  <si>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</si>
  <si>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</si>
  <si>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</si>
  <si>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</si>
  <si>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</si>
  <si>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204:458</t>
  </si>
  <si>
    <t>204:233346</t>
  </si>
  <si>
    <t>204:232985</t>
  </si>
  <si>
    <t>300:58617</t>
  </si>
  <si>
    <t>300:58928</t>
  </si>
  <si>
    <t>300:58946</t>
  </si>
  <si>
    <t>300:58933</t>
  </si>
  <si>
    <t>204:232991</t>
  </si>
  <si>
    <t>204:233298</t>
  </si>
  <si>
    <t>300:23306</t>
  </si>
  <si>
    <t>300:23302</t>
  </si>
  <si>
    <t>rtdc.l.rtdc.4041:itc</t>
  </si>
  <si>
    <t>rtdc.l.rtdc.4004:itc</t>
  </si>
  <si>
    <t>rtdc.l.rtdc.4003:itc</t>
  </si>
  <si>
    <t>rtdc.l.rtdc.4007:itc</t>
  </si>
  <si>
    <t>SIGNAL</t>
  </si>
  <si>
    <t>Signal based authority (5)</t>
  </si>
  <si>
    <t>80-03</t>
  </si>
  <si>
    <t>Y</t>
  </si>
  <si>
    <t>STARKS</t>
  </si>
  <si>
    <t>ANGELINA</t>
  </si>
  <si>
    <t>FORTUNATO</t>
  </si>
  <si>
    <t>FRANK</t>
  </si>
  <si>
    <t>rtdc.l.rtdc.4008:itc</t>
  </si>
  <si>
    <t>MENGES</t>
  </si>
  <si>
    <t>BRAD</t>
  </si>
  <si>
    <t>CLARK</t>
  </si>
  <si>
    <t>KATHLEEN</t>
  </si>
  <si>
    <t>WILLIAMS</t>
  </si>
  <si>
    <t>DONTE</t>
  </si>
  <si>
    <t>rtdc.l.rtdc.4042:itc</t>
  </si>
  <si>
    <t>GUZMAN</t>
  </si>
  <si>
    <t>DANNY</t>
  </si>
  <si>
    <t>MAGEE</t>
  </si>
  <si>
    <t>KENYA</t>
  </si>
  <si>
    <t>243-03</t>
  </si>
  <si>
    <t>315-03</t>
  </si>
  <si>
    <t>309-03</t>
  </si>
  <si>
    <t>244-03</t>
  </si>
  <si>
    <t>311-03</t>
  </si>
  <si>
    <t>313-03</t>
  </si>
  <si>
    <t>sleet</t>
  </si>
  <si>
    <t>Light Sleet</t>
  </si>
  <si>
    <t>204:232652</t>
  </si>
  <si>
    <t>204:233286</t>
  </si>
  <si>
    <t>204:232971</t>
  </si>
  <si>
    <t>204:174</t>
  </si>
  <si>
    <t>204:233323</t>
  </si>
  <si>
    <t>204:433</t>
  </si>
  <si>
    <t>204:233268</t>
  </si>
  <si>
    <t>204:475</t>
  </si>
  <si>
    <t>204:233319</t>
  </si>
  <si>
    <t>204:233316</t>
  </si>
  <si>
    <t>204:232964</t>
  </si>
  <si>
    <t>204:165</t>
  </si>
  <si>
    <t>204:233040</t>
  </si>
  <si>
    <t>204:233003</t>
  </si>
  <si>
    <t>204:519</t>
  </si>
  <si>
    <t>204:486</t>
  </si>
  <si>
    <t>204:232966</t>
  </si>
  <si>
    <t>204:491</t>
  </si>
  <si>
    <t>204:176</t>
  </si>
  <si>
    <t>204:232957</t>
  </si>
  <si>
    <t>204:232963</t>
  </si>
  <si>
    <t>204:232975</t>
  </si>
  <si>
    <t>204:480</t>
  </si>
  <si>
    <t>204:232987</t>
  </si>
  <si>
    <t>204:233338</t>
  </si>
  <si>
    <t>204:183</t>
  </si>
  <si>
    <t>300:23312</t>
  </si>
  <si>
    <t>204:232310</t>
  </si>
  <si>
    <t>204:190082</t>
  </si>
  <si>
    <t>204:232416</t>
  </si>
  <si>
    <t>204:190062</t>
  </si>
  <si>
    <t>204:190363</t>
  </si>
  <si>
    <t>204:232631</t>
  </si>
  <si>
    <t>204:955</t>
  </si>
  <si>
    <t>300:58628</t>
  </si>
  <si>
    <t>204:678</t>
  </si>
  <si>
    <t>204:958</t>
  </si>
  <si>
    <t>204:233263</t>
  </si>
  <si>
    <t>300:58924</t>
  </si>
  <si>
    <t>300:58632</t>
  </si>
  <si>
    <t>204:974</t>
  </si>
  <si>
    <t>204:937</t>
  </si>
  <si>
    <t>300:58611</t>
  </si>
  <si>
    <t>300:58929</t>
  </si>
  <si>
    <t>204:656</t>
  </si>
  <si>
    <t>204:636</t>
  </si>
  <si>
    <t>300:58613</t>
  </si>
  <si>
    <t>300:58931</t>
  </si>
  <si>
    <t>204:661</t>
  </si>
  <si>
    <t>204:666</t>
  </si>
  <si>
    <t>204:694</t>
  </si>
  <si>
    <t>start /low /b %USERPROFILE%\Documents\GitHub\eaglep3\Utilities\DownloadLogsFromS3.py --loco 4044 --day 2017-04-04</t>
  </si>
  <si>
    <t>start /low /b %USERPROFILE%\Documents\GitHub\eaglep3\Utilities\DownloadLogsFromS3.py --loco 4004 --day 2017-04-04</t>
  </si>
  <si>
    <t>Early arrival</t>
  </si>
  <si>
    <t>Form C</t>
  </si>
  <si>
    <t>Selected wrong track</t>
  </si>
  <si>
    <t>Minor onboard in-route failure</t>
  </si>
  <si>
    <t>306-04</t>
  </si>
  <si>
    <t>105-04</t>
  </si>
  <si>
    <t>SWITCH UNKNOWN</t>
  </si>
  <si>
    <t>Track device (7)</t>
  </si>
  <si>
    <t>106-04</t>
  </si>
  <si>
    <t>113-04</t>
  </si>
  <si>
    <t>119-04</t>
  </si>
  <si>
    <t>804-04</t>
  </si>
  <si>
    <t>123-04</t>
  </si>
  <si>
    <t>118-04</t>
  </si>
  <si>
    <t>125-04</t>
  </si>
  <si>
    <t>120-04</t>
  </si>
  <si>
    <t>122-04</t>
  </si>
  <si>
    <t>rtdc.l.rtdc.4053:itc</t>
  </si>
  <si>
    <t>128-04</t>
  </si>
  <si>
    <t>134-04</t>
  </si>
  <si>
    <t>147-04</t>
  </si>
  <si>
    <t>142-04</t>
  </si>
  <si>
    <t>155-04</t>
  </si>
  <si>
    <t>rtdc.l.rtdc.4019:itc</t>
  </si>
  <si>
    <t>52-04</t>
  </si>
  <si>
    <t>148-04</t>
  </si>
  <si>
    <t>157-04</t>
  </si>
  <si>
    <t>168-04</t>
  </si>
  <si>
    <t>181-04</t>
  </si>
  <si>
    <t>824-04</t>
  </si>
  <si>
    <t>182-04</t>
  </si>
  <si>
    <t>826-04</t>
  </si>
  <si>
    <t>197-04</t>
  </si>
  <si>
    <t>830-04</t>
  </si>
  <si>
    <t>203-04</t>
  </si>
  <si>
    <t>198-04</t>
  </si>
  <si>
    <t>202-04</t>
  </si>
  <si>
    <t>837-04</t>
  </si>
  <si>
    <t>219-04</t>
  </si>
  <si>
    <t>212-04</t>
  </si>
  <si>
    <t>305-04</t>
  </si>
  <si>
    <t>218-04</t>
  </si>
  <si>
    <t>307-04</t>
  </si>
  <si>
    <t>222-04</t>
  </si>
  <si>
    <t>225-04</t>
  </si>
  <si>
    <t>842-04</t>
  </si>
  <si>
    <t>226-04</t>
  </si>
  <si>
    <t>239-04</t>
  </si>
  <si>
    <t>81-04</t>
  </si>
  <si>
    <t>302-04</t>
  </si>
  <si>
    <t>101-04</t>
  </si>
  <si>
    <t>304-04</t>
  </si>
  <si>
    <t>103-04</t>
  </si>
  <si>
    <t>102-04</t>
  </si>
  <si>
    <t>308-04</t>
  </si>
  <si>
    <t>310-04</t>
  </si>
  <si>
    <t>107-04</t>
  </si>
  <si>
    <t>104-04</t>
  </si>
  <si>
    <t>109-04</t>
  </si>
  <si>
    <t>rtdc.l.rtdc.4016:itc</t>
  </si>
  <si>
    <t>901-04</t>
  </si>
  <si>
    <t>111-04</t>
  </si>
  <si>
    <t>LOZA</t>
  </si>
  <si>
    <t>FIDEL</t>
  </si>
  <si>
    <t>rtdc.l.rtdc.4015:itc</t>
  </si>
  <si>
    <t>800-04</t>
  </si>
  <si>
    <t>108-04</t>
  </si>
  <si>
    <t>801-04</t>
  </si>
  <si>
    <t>115-04</t>
  </si>
  <si>
    <t>117-04</t>
  </si>
  <si>
    <t>110-04</t>
  </si>
  <si>
    <t>112-04</t>
  </si>
  <si>
    <t>902-04</t>
  </si>
  <si>
    <t>ACKERMAN</t>
  </si>
  <si>
    <t>JARED</t>
  </si>
  <si>
    <t>114-04</t>
  </si>
  <si>
    <t>802-04</t>
  </si>
  <si>
    <t>803-04</t>
  </si>
  <si>
    <t>121-04</t>
  </si>
  <si>
    <t>116-04</t>
  </si>
  <si>
    <t>805-04</t>
  </si>
  <si>
    <t>127-04</t>
  </si>
  <si>
    <t>806-04</t>
  </si>
  <si>
    <t>129-04</t>
  </si>
  <si>
    <t>807-04</t>
  </si>
  <si>
    <t>124-04</t>
  </si>
  <si>
    <t>131-04</t>
  </si>
  <si>
    <t>809-04</t>
  </si>
  <si>
    <t>126-04</t>
  </si>
  <si>
    <t>808-04</t>
  </si>
  <si>
    <t>133-04</t>
  </si>
  <si>
    <t>135-04</t>
  </si>
  <si>
    <t>130-04</t>
  </si>
  <si>
    <t>811-04</t>
  </si>
  <si>
    <t>810-04</t>
  </si>
  <si>
    <t>137-04</t>
  </si>
  <si>
    <t>132-04</t>
  </si>
  <si>
    <t>139-04</t>
  </si>
  <si>
    <t>903-04</t>
  </si>
  <si>
    <t>141-04</t>
  </si>
  <si>
    <t>812-04</t>
  </si>
  <si>
    <t>136-04</t>
  </si>
  <si>
    <t>143-04</t>
  </si>
  <si>
    <t>138-04</t>
  </si>
  <si>
    <t>813-04</t>
  </si>
  <si>
    <t>145-04</t>
  </si>
  <si>
    <t>140-04</t>
  </si>
  <si>
    <t>814-04</t>
  </si>
  <si>
    <t>149-04</t>
  </si>
  <si>
    <t>144-04</t>
  </si>
  <si>
    <t>151-04</t>
  </si>
  <si>
    <t>146-04</t>
  </si>
  <si>
    <t>153-04</t>
  </si>
  <si>
    <t>815-04</t>
  </si>
  <si>
    <t>BEAM</t>
  </si>
  <si>
    <t>ROSS</t>
  </si>
  <si>
    <t>DE LA ROSA</t>
  </si>
  <si>
    <t>ALEX</t>
  </si>
  <si>
    <t>150-04</t>
  </si>
  <si>
    <t>816-04</t>
  </si>
  <si>
    <t>152-04</t>
  </si>
  <si>
    <t>159-04</t>
  </si>
  <si>
    <t>154-04</t>
  </si>
  <si>
    <t>156-04</t>
  </si>
  <si>
    <t>161-04</t>
  </si>
  <si>
    <t>rtdc.l.rtdc.4020:itc</t>
  </si>
  <si>
    <t>53-04</t>
  </si>
  <si>
    <t>817-04</t>
  </si>
  <si>
    <t>163-04</t>
  </si>
  <si>
    <t>LEVERE</t>
  </si>
  <si>
    <t>CRAIG</t>
  </si>
  <si>
    <t>158-04</t>
  </si>
  <si>
    <t>818-04</t>
  </si>
  <si>
    <t>165-04</t>
  </si>
  <si>
    <t>160-04</t>
  </si>
  <si>
    <t>167-04</t>
  </si>
  <si>
    <t>169-04</t>
  </si>
  <si>
    <t>ROMERO</t>
  </si>
  <si>
    <t>CHAD</t>
  </si>
  <si>
    <t>162-04</t>
  </si>
  <si>
    <t>819-04</t>
  </si>
  <si>
    <t>164-04</t>
  </si>
  <si>
    <t>171-04</t>
  </si>
  <si>
    <t>STRICKLAND</t>
  </si>
  <si>
    <t>EVAN</t>
  </si>
  <si>
    <t>166-04</t>
  </si>
  <si>
    <t>820-04</t>
  </si>
  <si>
    <t>173-04</t>
  </si>
  <si>
    <t>170-04</t>
  </si>
  <si>
    <t>177-04</t>
  </si>
  <si>
    <t>172-04</t>
  </si>
  <si>
    <t>821-04</t>
  </si>
  <si>
    <t>175-04</t>
  </si>
  <si>
    <t>179-04</t>
  </si>
  <si>
    <t>822-04</t>
  </si>
  <si>
    <t>174-04</t>
  </si>
  <si>
    <t>176-04</t>
  </si>
  <si>
    <t>183-04</t>
  </si>
  <si>
    <t>185-04</t>
  </si>
  <si>
    <t>178-04</t>
  </si>
  <si>
    <t>180-04</t>
  </si>
  <si>
    <t>823-04</t>
  </si>
  <si>
    <t>187-04</t>
  </si>
  <si>
    <t>189-04</t>
  </si>
  <si>
    <t>184-04</t>
  </si>
  <si>
    <t>191-04</t>
  </si>
  <si>
    <t>186-04</t>
  </si>
  <si>
    <t>193-04</t>
  </si>
  <si>
    <t>825-04</t>
  </si>
  <si>
    <t>188-04</t>
  </si>
  <si>
    <t>904-04</t>
  </si>
  <si>
    <t>195-04</t>
  </si>
  <si>
    <t>827-04</t>
  </si>
  <si>
    <t>190-04</t>
  </si>
  <si>
    <t>192-04</t>
  </si>
  <si>
    <t>199-04</t>
  </si>
  <si>
    <t>194-04</t>
  </si>
  <si>
    <t>828-04</t>
  </si>
  <si>
    <t>201-04</t>
  </si>
  <si>
    <t>829-04</t>
  </si>
  <si>
    <t>196-04</t>
  </si>
  <si>
    <t>831-04</t>
  </si>
  <si>
    <t>200-04</t>
  </si>
  <si>
    <t>205-04</t>
  </si>
  <si>
    <t>207-04</t>
  </si>
  <si>
    <t>832-04</t>
  </si>
  <si>
    <t>209-04</t>
  </si>
  <si>
    <t>833-04</t>
  </si>
  <si>
    <t>204-04</t>
  </si>
  <si>
    <t>211-04</t>
  </si>
  <si>
    <t>835-04</t>
  </si>
  <si>
    <t>65-04</t>
  </si>
  <si>
    <t>206-04</t>
  </si>
  <si>
    <t>217-04</t>
  </si>
  <si>
    <t>72-04</t>
  </si>
  <si>
    <t>834-04</t>
  </si>
  <si>
    <t>213-04</t>
  </si>
  <si>
    <t>74-04</t>
  </si>
  <si>
    <t>208-04</t>
  </si>
  <si>
    <t>215-04</t>
  </si>
  <si>
    <t>836-04</t>
  </si>
  <si>
    <t>210-04</t>
  </si>
  <si>
    <t>77-04</t>
  </si>
  <si>
    <t>214-04</t>
  </si>
  <si>
    <t>839-04</t>
  </si>
  <si>
    <t>838-04</t>
  </si>
  <si>
    <t>216-04</t>
  </si>
  <si>
    <t>303-04</t>
  </si>
  <si>
    <t>221-04</t>
  </si>
  <si>
    <t>906-04</t>
  </si>
  <si>
    <t>841-04</t>
  </si>
  <si>
    <t>220-04</t>
  </si>
  <si>
    <t>223-04</t>
  </si>
  <si>
    <t>80-04</t>
  </si>
  <si>
    <t>840-04</t>
  </si>
  <si>
    <t>843-04</t>
  </si>
  <si>
    <t>227-04</t>
  </si>
  <si>
    <t>224-04</t>
  </si>
  <si>
    <t>82-04</t>
  </si>
  <si>
    <t>229-04</t>
  </si>
  <si>
    <t>845-04</t>
  </si>
  <si>
    <t>228-04</t>
  </si>
  <si>
    <t>231-04</t>
  </si>
  <si>
    <t>844-04</t>
  </si>
  <si>
    <t>230-04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</si>
  <si>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</si>
  <si>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</si>
  <si>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</si>
  <si>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</si>
  <si>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</si>
  <si>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</si>
  <si>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</si>
  <si>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</si>
  <si>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</si>
  <si>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</si>
  <si>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</si>
  <si>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</si>
  <si>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</si>
  <si>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</si>
  <si>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</si>
  <si>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</si>
  <si>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</si>
  <si>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</si>
  <si>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precipAccumulation</t>
  </si>
  <si>
    <t>snow</t>
  </si>
  <si>
    <t>Snow</t>
  </si>
  <si>
    <t>Light Snow</t>
  </si>
  <si>
    <t>204:728</t>
  </si>
  <si>
    <t>204:233378</t>
  </si>
  <si>
    <t>204:232710</t>
  </si>
  <si>
    <t>204:786</t>
  </si>
  <si>
    <t>204:233340</t>
  </si>
  <si>
    <t>204:232707</t>
  </si>
  <si>
    <t>204:19205</t>
  </si>
  <si>
    <t>204:233330</t>
  </si>
  <si>
    <t>204:232990</t>
  </si>
  <si>
    <t>204:765</t>
  </si>
  <si>
    <t>204:233342</t>
  </si>
  <si>
    <t>204:167</t>
  </si>
  <si>
    <t>204:743</t>
  </si>
  <si>
    <t>204:233332</t>
  </si>
  <si>
    <t>204:233007</t>
  </si>
  <si>
    <t>204:132</t>
  </si>
  <si>
    <t>204:726</t>
  </si>
  <si>
    <t>204:437</t>
  </si>
  <si>
    <t>204:233321</t>
  </si>
  <si>
    <t>204:233339</t>
  </si>
  <si>
    <t>204:189</t>
  </si>
  <si>
    <t>204:488</t>
  </si>
  <si>
    <t>204:232948</t>
  </si>
  <si>
    <t>204:435</t>
  </si>
  <si>
    <t>204:233364</t>
  </si>
  <si>
    <t>204:233318</t>
  </si>
  <si>
    <t>204:444</t>
  </si>
  <si>
    <t>204:233312</t>
  </si>
  <si>
    <t>204:198</t>
  </si>
  <si>
    <t>204:233010</t>
  </si>
  <si>
    <t>204:233001</t>
  </si>
  <si>
    <t>204:233322</t>
  </si>
  <si>
    <t>204:233011</t>
  </si>
  <si>
    <t>204:19119</t>
  </si>
  <si>
    <t>204:484</t>
  </si>
  <si>
    <t>204:2625</t>
  </si>
  <si>
    <t>204:233307</t>
  </si>
  <si>
    <t>204:233359</t>
  </si>
  <si>
    <t>204:233257</t>
  </si>
  <si>
    <t>204:477</t>
  </si>
  <si>
    <t>204:57074</t>
  </si>
  <si>
    <t>204:438</t>
  </si>
  <si>
    <t>204:232955</t>
  </si>
  <si>
    <t>204:233023</t>
  </si>
  <si>
    <t>204:233351</t>
  </si>
  <si>
    <t>204:233036</t>
  </si>
  <si>
    <t>204:233045</t>
  </si>
  <si>
    <t>204:233326</t>
  </si>
  <si>
    <t>204:3807</t>
  </si>
  <si>
    <t>204:478</t>
  </si>
  <si>
    <t>204:232968</t>
  </si>
  <si>
    <t>204:181</t>
  </si>
  <si>
    <t>204:233343</t>
  </si>
  <si>
    <t>204:233019</t>
  </si>
  <si>
    <t>204:233327</t>
  </si>
  <si>
    <t>204:233006</t>
  </si>
  <si>
    <t>204:81</t>
  </si>
  <si>
    <t>204:233382</t>
  </si>
  <si>
    <t>204:233072</t>
  </si>
  <si>
    <t>204:431</t>
  </si>
  <si>
    <t>204:233300</t>
  </si>
  <si>
    <t>204:205</t>
  </si>
  <si>
    <t>204:233051</t>
  </si>
  <si>
    <t>204:393</t>
  </si>
  <si>
    <t>204:233357</t>
  </si>
  <si>
    <t>204:212</t>
  </si>
  <si>
    <t>204:938</t>
  </si>
  <si>
    <t>204:101</t>
  </si>
  <si>
    <t>204:178</t>
  </si>
  <si>
    <t>204:522</t>
  </si>
  <si>
    <t>204:233344</t>
  </si>
  <si>
    <t>204:233027</t>
  </si>
  <si>
    <t>204:233070</t>
  </si>
  <si>
    <t>204:233281</t>
  </si>
  <si>
    <t>204:233004</t>
  </si>
  <si>
    <t>204:233349</t>
  </si>
  <si>
    <t>204:2765</t>
  </si>
  <si>
    <t>204:500</t>
  </si>
  <si>
    <t>204:243</t>
  </si>
  <si>
    <t>204:233361</t>
  </si>
  <si>
    <t>204:233047</t>
  </si>
  <si>
    <t>300:19395</t>
  </si>
  <si>
    <t>204:497</t>
  </si>
  <si>
    <t>300:21825</t>
  </si>
  <si>
    <t>300:22919</t>
  </si>
  <si>
    <t>204:4502</t>
  </si>
  <si>
    <t>300:23555</t>
  </si>
  <si>
    <t>300:23176</t>
  </si>
  <si>
    <t>300:23658</t>
  </si>
  <si>
    <t>204:551</t>
  </si>
  <si>
    <t>300:23297</t>
  </si>
  <si>
    <t>300:23455</t>
  </si>
  <si>
    <t>204:923</t>
  </si>
  <si>
    <t>204:1240</t>
  </si>
  <si>
    <t>300:24246</t>
  </si>
  <si>
    <t>204:1473</t>
  </si>
  <si>
    <t>300:23440</t>
  </si>
  <si>
    <t>300:22170</t>
  </si>
  <si>
    <t>204:1749</t>
  </si>
  <si>
    <t>204:361</t>
  </si>
  <si>
    <t>204:231917</t>
  </si>
  <si>
    <t>204:173</t>
  </si>
  <si>
    <t>204:232846</t>
  </si>
  <si>
    <t>204:231911</t>
  </si>
  <si>
    <t>204:190381</t>
  </si>
  <si>
    <t>204:232656</t>
  </si>
  <si>
    <t>300:23304</t>
  </si>
  <si>
    <t>300:58615</t>
  </si>
  <si>
    <t>204:757</t>
  </si>
  <si>
    <t>204:1030</t>
  </si>
  <si>
    <t>300:58624</t>
  </si>
  <si>
    <t>204:734</t>
  </si>
  <si>
    <t>204:1046</t>
  </si>
  <si>
    <t>300:58937</t>
  </si>
  <si>
    <t>300:58638</t>
  </si>
  <si>
    <t>204:129</t>
  </si>
  <si>
    <t>204:1020</t>
  </si>
  <si>
    <t>204:1324</t>
  </si>
  <si>
    <t>204:738</t>
  </si>
  <si>
    <t>204:428</t>
  </si>
  <si>
    <t>300:58961</t>
  </si>
  <si>
    <t>300:58651</t>
  </si>
  <si>
    <t>204:755</t>
  </si>
  <si>
    <t>204:1216</t>
  </si>
  <si>
    <t>204:232612</t>
  </si>
  <si>
    <t>204:189605</t>
  </si>
  <si>
    <t>204:232629</t>
  </si>
  <si>
    <t>204:190426</t>
  </si>
  <si>
    <t>204:190524</t>
  </si>
  <si>
    <t>204:190653</t>
  </si>
  <si>
    <t>204:192360</t>
  </si>
  <si>
    <t>204:191723</t>
  </si>
  <si>
    <t>204:192232</t>
  </si>
  <si>
    <t>204:192230</t>
  </si>
  <si>
    <t>204:232546</t>
  </si>
  <si>
    <t>204:232080</t>
  </si>
  <si>
    <t>204:232320</t>
  </si>
  <si>
    <t>204:233380</t>
  </si>
  <si>
    <t>204:232330</t>
  </si>
  <si>
    <t>204:233347</t>
  </si>
  <si>
    <t>300:58564</t>
  </si>
  <si>
    <t>204:817</t>
  </si>
  <si>
    <t>204:1025</t>
  </si>
  <si>
    <t>300:58973</t>
  </si>
  <si>
    <t>300:58666</t>
  </si>
  <si>
    <t>204:762</t>
  </si>
  <si>
    <t>204:1023</t>
  </si>
  <si>
    <t>204:715</t>
  </si>
  <si>
    <t>204:999</t>
  </si>
  <si>
    <t>204:719</t>
  </si>
  <si>
    <t>204:1000</t>
  </si>
  <si>
    <t>300:58965</t>
  </si>
  <si>
    <t>300:58640</t>
  </si>
  <si>
    <t>204:717</t>
  </si>
  <si>
    <t>300:58944</t>
  </si>
  <si>
    <t>204:232226</t>
  </si>
  <si>
    <t>204:190346</t>
  </si>
  <si>
    <t>204:232285</t>
  </si>
  <si>
    <t>204:190114</t>
  </si>
  <si>
    <t>204:232303</t>
  </si>
  <si>
    <t>204:189304</t>
  </si>
  <si>
    <t>204:190221</t>
  </si>
  <si>
    <t>204:190297</t>
  </si>
  <si>
    <t>204:233017</t>
  </si>
  <si>
    <t>204:232019</t>
  </si>
  <si>
    <t>204:233021</t>
  </si>
  <si>
    <t>204:218</t>
  </si>
  <si>
    <t>204:233067</t>
  </si>
  <si>
    <t>204:231763</t>
  </si>
  <si>
    <t>204:233128</t>
  </si>
  <si>
    <t>204:231992</t>
  </si>
  <si>
    <t>204:713</t>
  </si>
  <si>
    <t>204:990</t>
  </si>
  <si>
    <t>204:708</t>
  </si>
  <si>
    <t>204:936</t>
  </si>
  <si>
    <t>300:58918</t>
  </si>
  <si>
    <t>204:682</t>
  </si>
  <si>
    <t>204:962</t>
  </si>
  <si>
    <t>300:58956</t>
  </si>
  <si>
    <t>204:628</t>
  </si>
  <si>
    <t>204:972</t>
  </si>
  <si>
    <t>204:605</t>
  </si>
  <si>
    <t>204:927</t>
  </si>
  <si>
    <t>300:58943</t>
  </si>
  <si>
    <t>204:899</t>
  </si>
  <si>
    <t>204:635</t>
  </si>
  <si>
    <t>300:58602</t>
  </si>
  <si>
    <t>204:948</t>
  </si>
  <si>
    <t>300:58630</t>
  </si>
  <si>
    <t>204:671</t>
  </si>
  <si>
    <t>204:922</t>
  </si>
  <si>
    <t>300:58609</t>
  </si>
  <si>
    <t>300:29765</t>
  </si>
  <si>
    <t>300:23591</t>
  </si>
  <si>
    <t>204:775</t>
  </si>
  <si>
    <t>204:1105</t>
  </si>
  <si>
    <t>300:24237</t>
  </si>
  <si>
    <t>300:23095</t>
  </si>
  <si>
    <t>300:58621</t>
  </si>
  <si>
    <t>300:28782</t>
  </si>
  <si>
    <t>300:58608</t>
  </si>
  <si>
    <t>300:21532</t>
  </si>
  <si>
    <t>start /low /b %USERPROFILE%\Documents\GitHub\eaglep3\Utilities\DownloadLogsFromS3.py --loco 4054 --day 2017-04-04</t>
  </si>
  <si>
    <t>start /low /b %USERPROFILE%\Documents\GitHub\eaglep3\Utilities\DownloadLogsFromS3.py --loco 4043 --day 2017-04-04</t>
  </si>
  <si>
    <t>start /low /b %USERPROFILE%\Documents\GitHub\eaglep3\Utilities\DownloadLogsFromS3.py --loco 4046 --day 2017-04-05</t>
  </si>
  <si>
    <t>start /low /b %USERPROFILE%\Documents\GitHub\eaglep3\Utilities\DownloadLogsFromS3.py --loco 4009 --day 2017-04-05</t>
  </si>
  <si>
    <t>start /low /b %USERPROFILE%\Documents\GitHub\eaglep3\Utilities\DownloadLogsFromS3.py --loco 4013 --day 2017-04-05</t>
  </si>
  <si>
    <t>start /low /b %USERPROFILE%\Documents\GitHub\eaglep3\Utilities\DownloadLogsFromS3.py --loco 4031 --day 2017-04-04</t>
  </si>
  <si>
    <t>start /low /b %USERPROFILE%\Documents\GitHub\eaglep3\Utilities\DownloadLogsFromS3.py --loco 4053 --day 2017-04-04</t>
  </si>
  <si>
    <t>start /low /b %USERPROFILE%\Documents\GitHub\eaglep3\Utilities\DownloadLogsFromS3.py --loco 4014 --day 2017-04-04</t>
  </si>
  <si>
    <t>start /low /b %USERPROFILE%\Documents\GitHub\eaglep3\Utilities\DownloadLogsFromS3.py --loco 4053 --day 2017-04-05</t>
  </si>
  <si>
    <t>start /low /b %USERPROFILE%\Documents\GitHub\eaglep3\Utilities\DownloadLogsFromS3.py --loco 4009 --day 2017-04-04</t>
  </si>
  <si>
    <t>start /low /b %USERPROFILE%\Documents\GitHub\eaglep3\Utilities\DownloadLogsFromS3.py --loco 4013 --day 2017-04-04</t>
  </si>
  <si>
    <t>start /low /b %USERPROFILE%\Documents\GitHub\eaglep3\Utilities\DownloadLogsFromS3.py --loco 4045 --day 2017-04-04</t>
  </si>
  <si>
    <t>start /low /b %USERPROFILE%\Documents\GitHub\eaglep3\Utilities\DownloadLogsFromS3.py --loco 4004 --day 2017-04-05</t>
  </si>
  <si>
    <t>start /low /b %USERPROFILE%\Documents\GitHub\eaglep3\Utilities\DownloadLogsFromS3.py --loco 4008 --day 2017-04-04</t>
  </si>
  <si>
    <t>start /low /b %USERPROFILE%\Documents\GitHub\eaglep3\Utilities\DownloadLogsFromS3.py --loco 4010 --day 2017-04-04</t>
  </si>
  <si>
    <t>start /low /b %USERPROFILE%\Documents\GitHub\eaglep3\Utilities\DownloadLogsFromS3.py --loco 4010 --day 2017-04-05</t>
  </si>
  <si>
    <t>start /low /b %USERPROFILE%\Documents\GitHub\eaglep3\Utilities\DownloadLogsFromS3.py --loco 4042 --day 2017-04-05</t>
  </si>
  <si>
    <t>start /low /b %USERPROFILE%\Documents\GitHub\eaglep3\Utilities\DownloadLogsFromS3.py --loco 4041 --day 2017-04-04</t>
  </si>
  <si>
    <t>start /low /b %USERPROFILE%\Documents\GitHub\eaglep3\Utilities\DownloadLogsFromS3.py --loco 4041 --day 2017-04-05</t>
  </si>
  <si>
    <t>Onboard in-route failure</t>
  </si>
  <si>
    <t>Selected wrong track, then corrected</t>
  </si>
  <si>
    <t>Office-commanded cut out</t>
  </si>
  <si>
    <t>DUS Main 3 arrival</t>
  </si>
  <si>
    <t>Wi-MAX data drop</t>
  </si>
  <si>
    <t>Overspeed</t>
  </si>
  <si>
    <t>http://stevetu21.github.io/eaglep3/load_kml.html?kml=http://rtdc.gmaps-snips.s3.amazonaws.com/693f963a-c69e-48ad-bb35-f326eef20b51.kml</t>
  </si>
  <si>
    <t>At 07:18:20, EC0816RH 88-2T 2S dropped from 270 to 0 unexpectedly while train was approaching, do logs tell of anything unusual?</t>
  </si>
  <si>
    <t>Premature downgrade at EC0816RH 88-2T 2S</t>
  </si>
  <si>
    <t>http://stevetu21.github.io/eaglep3/load_kml.html?kml=http://rtdc.gmaps-snips.s3.amazonaws.com/9af4916a-e381-460a-9748-d3153cb79764.kml</t>
  </si>
  <si>
    <t>http://stevetu21.github.io/eaglep3/load_kml.html?kml=http://rtdc.gmaps-snips.s3.amazonaws.com/afdf1c19-b1a3-48b9-aa97-7600a2acc2b7.kml</t>
  </si>
  <si>
    <t>http://stevetu21.github.io/eaglep3/load_kml.html?kml=http://rtdc.gmaps-snips.s3.amazonaws.com/0fc9ec79-74f2-4f9c-8af3-8f1cd1e38d89.kml</t>
  </si>
  <si>
    <t>http://stevetu21.github.io/eaglep3/load_kml.html?kml=http://rtdc.gmaps-snips.s3.amazonaws.com/7e6ffd5b-5ab7-4589-98a3-f07e7f5c7d40.kml</t>
  </si>
  <si>
    <t>http://stevetu21.github.io/eaglep3/load_kml.html?kml=http://rtdc.gmaps-snips.s3.amazonaws.com/af990355-1e12-4996-bdbe-dca07498e438.kml</t>
  </si>
  <si>
    <t>http://stevetu21.github.io/eaglep3/load_kml.html?kml=http://rtdc.gmaps-snips.s3.amazonaws.com/1a718e50-9f68-4b0a-b64c-310fee2d3ca9.kml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</si>
</sst>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42829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COUNTIFS($N$13:$N$9325,"&gt;0",$AG$13:$AG$9325,I1)</f>
        <v>141</v>
      </c>
      <c r="K5" s="40"/>
      <c r="L5" s="40"/>
      <c r="M5" s="41">
        <f>AVERAGEIFS($N$13:$N$9325,$AG$13:$AG$9325,I1)</f>
        <v>39.447635934029293</v>
      </c>
      <c r="N5" s="39">
        <f t="array" ref="N5">MIN(IF($AG$13:$AG$9325=I1,IF(ISNUMBER($N$13:$N$9325),IF($N$13:$N$9325&gt;0,$N$13:$N$9325))))</f>
        <v>34.949999997625127</v>
      </c>
      <c r="O5" s="3">
        <f t="array" ref="O5">MAX(IF($AG$13:$AG$9325=I1,IF(ISNUMBER($N$13:$N$9325),IF($N$13:$N$9325&gt;0,$N$13:$N$9325))))</f>
        <v>49.916666673962027</v>
      </c>
      <c r="P5" s="2"/>
      <c r="R5" s="74" t="s">
        <v>17</v>
      </c>
      <c r="S5" s="50">
        <f>COUNTIFS($N$13:$N$9325,"&gt;0",$AG$13:$AG$9325,R1)</f>
        <v>46</v>
      </c>
      <c r="T5" s="40"/>
      <c r="U5" s="173"/>
      <c r="V5" s="170">
        <f>AVERAGEIFS($N$13:$N$9325,$AG$13:$AG$9325,R1)</f>
        <v>15.091666666836398</v>
      </c>
      <c r="W5" s="171">
        <f t="array" ref="W5">MIN(IF($AG$13:$AG$9325=R1,IF(ISNUMBER($N$13:$N$9325),IF($N$13:$N$9325&gt;0,$N$13:$N$9325))))</f>
        <v>12.449999997625127</v>
      </c>
      <c r="X5" s="172">
        <f t="array" ref="X5">MAX(IF($AG$13:$AG$9325=R1,IF(ISNUMBER($N$13:$N$9325),IF($N$13:$N$9325&gt;0,$N$13:$N$9325))))</f>
        <v>18.73333333292976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3"/>
      <c r="V6" s="170">
        <f>IFERROR(AVERAGE($O$13:$O$114),0)</f>
        <v>0</v>
      </c>
      <c r="W6" s="171">
        <f>MIN($O$13:$O$114)</f>
        <v>0</v>
      </c>
      <c r="X6" s="17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COUNTIFS($P$13:$P$9325,"&gt;0",$AG$13:$AG$9325,I1)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COUNTIFS($P$13:$P$9325,"&gt;0",$AG$13:$AG$9325,R1)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39.447635934029293</v>
      </c>
      <c r="N8" s="39">
        <f>N5</f>
        <v>34.949999997625127</v>
      </c>
      <c r="O8" s="3">
        <f>O5</f>
        <v>49.916666673962027</v>
      </c>
      <c r="P8" s="2"/>
      <c r="R8" s="74" t="s">
        <v>16</v>
      </c>
      <c r="S8" s="50">
        <f>S5</f>
        <v>46</v>
      </c>
      <c r="T8" s="40"/>
      <c r="U8" s="173"/>
      <c r="V8" s="170">
        <f>V5</f>
        <v>15.091666666836398</v>
      </c>
      <c r="W8" s="171">
        <f>W5</f>
        <v>12.449999997625127</v>
      </c>
      <c r="X8" s="172">
        <f>X5</f>
        <v>18.73333333292976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- 2017-04-04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AVERAGE(S13:S85)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429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630</v>
      </c>
      <c r="B13" s="7">
        <v>4014</v>
      </c>
      <c r="C13" s="21" t="s">
        <v>217</v>
      </c>
      <c r="D13" s="21" t="s">
        <v>827</v>
      </c>
      <c r="E13" s="13">
        <v>42829.130752314813</v>
      </c>
      <c r="F13" s="13">
        <v>42829.135625000003</v>
      </c>
      <c r="G13" s="7">
        <v>1</v>
      </c>
      <c r="H13" s="21" t="s">
        <v>828</v>
      </c>
      <c r="I13" s="13">
        <v>42829.160844907405</v>
      </c>
      <c r="J13" s="7">
        <v>0</v>
      </c>
      <c r="K13" s="97" t="str">
        <f>IF(ISEVEN(B13),(B13-1)&amp;"/"&amp;B13,B13&amp;"/"&amp;(B13+1))</f>
        <v>4013/4014</v>
      </c>
      <c r="L13" s="21" t="str">
        <f>VLOOKUP(A13,'Trips&amp;Operators'!$C$1:$G$99999,5,FALSE)</f>
        <v>SANTIZO D. EDY</v>
      </c>
      <c r="M13" s="6">
        <f>I13-F13</f>
        <v>2.5219907402060926E-2</v>
      </c>
      <c r="N13" s="7">
        <f>24*60*SUM($M13:$M13)</f>
        <v>36.316666658967733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-04T02:08:17-0600',mode:absolute,to:'2017-04-04T04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83" t="str">
        <f>IF(AA13&lt;IF(AG13="EC",23,5.65),"Y","N")</f>
        <v>N</v>
      </c>
      <c r="X13" s="183" t="e">
        <f>VALUE(LEFT(AD13,4))-VALUE(LEFT(AD12,4))</f>
        <v>#VALUE!</v>
      </c>
      <c r="Y13" s="62">
        <f>RIGHT(D13,LEN(D13)-4)/10000</f>
        <v>7.2800000000000004E-2</v>
      </c>
      <c r="Z13" s="62">
        <f>RIGHT(H13,LEN(H13)-4)/10000</f>
        <v>23.337800000000001</v>
      </c>
      <c r="AA13" s="62">
        <f>ABS(Z13-Y13)</f>
        <v>23.265000000000001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0101-04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/stypes="app*4014*20170404*"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4014 --swversion DE.1.0.9.0 --startMP 204:728 --initTime 2017-04-04T03:08:17 --startdatetime 2017-04-04T03:15:18 --delay 1 --endMP 204:233378 --enddatetime 2017-04-04T03:51:37 --enforcementcount 0 &gt;&gt;C:\Users\stu\Documents\GitHub\eaglep3-reporting\EC\2017-04-04-refined-times.txt</v>
      </c>
      <c r="AI13" s="10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ID","value":"101-04"},{"id":16,"name":"Locomotive ID","value":"4014"},{"id":130,"name":"Impact","value":""},{"id":150,"name":"Time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2">"start /low /b "&amp;dls3logs&amp;" --loco "&amp;B13&amp;" --day "&amp;TEXT(F13,"YYYY-MM-DD")</f>
        <v>start /low /b %USERPROFILE%\Documents\GitHub\eaglep3\Utilities\DownloadLogsFromS3.py --loco 4014 --day 2017-04-04</v>
      </c>
      <c r="AN13" s="15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633</v>
      </c>
      <c r="B14" s="7">
        <v>4053</v>
      </c>
      <c r="C14" s="21" t="s">
        <v>217</v>
      </c>
      <c r="D14" s="21" t="s">
        <v>829</v>
      </c>
      <c r="E14" s="13">
        <v>42829.163645833331</v>
      </c>
      <c r="F14" s="13">
        <v>42829.174490740741</v>
      </c>
      <c r="G14" s="7">
        <v>1</v>
      </c>
      <c r="H14" s="21" t="s">
        <v>184</v>
      </c>
      <c r="I14" s="13">
        <v>42829.201967592591</v>
      </c>
      <c r="J14" s="7">
        <v>0</v>
      </c>
      <c r="K14" s="97" t="str">
        <f>IF(ISEVEN(B14),(B14-1)&amp;"/"&amp;B14,B14&amp;"/"&amp;(B14+1))</f>
        <v>4053/4054</v>
      </c>
      <c r="L14" s="21" t="str">
        <f>VLOOKUP(A14,'Trips&amp;Operators'!$C$1:$G$99999,5,FALSE)</f>
        <v>SANTIZO D. EDY</v>
      </c>
      <c r="M14" s="6">
        <f>I14-F14</f>
        <v>2.7476851850224193E-2</v>
      </c>
      <c r="N14" s="7">
        <f>24*60*SUM($M14:$M14)</f>
        <v>39.566666664322838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-04T02:55:39-0600',mode:absolute,to:'2017-04-04T05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83" t="str">
        <f>IF(AA14&lt;IF(AG14="EC",23,5.65),"Y","N")</f>
        <v>N</v>
      </c>
      <c r="X14" s="183">
        <f>VALUE(LEFT(AD14,4))-VALUE(LEFT(AD13,4))</f>
        <v>1</v>
      </c>
      <c r="Y14" s="62">
        <f>RIGHT(D14,LEN(D14)-4)/10000</f>
        <v>23.271000000000001</v>
      </c>
      <c r="Z14" s="62">
        <f>RIGHT(H14,LEN(H14)-4)/10000</f>
        <v>1.49E-2</v>
      </c>
      <c r="AA14" s="62">
        <f>ABS(Z14-Y14)</f>
        <v>23.2561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0102-04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/stypes="app*4053*20170404*"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4053 --swversion DE.1.0.9.0 --startMP 204:232710 --initTime 2017-04-04T03:55:39 --startdatetime 2017-04-04T04:11:16 --delay 1 --endMP 204:149 --enddatetime 2017-04-04T04:50:50 --enforcementcount 0 &gt;&gt;C:\Users\stu\Documents\GitHub\eaglep3-reporting\EC\2017-04-04-refined-times.txt</v>
      </c>
      <c r="AI14" s="104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ID","value":"102-04"},{"id":16,"name":"Locomotive ID","value":"4053"},{"id":130,"name":"Impact","value":""},{"id":150,"name":"Time of Event (Mountain Time)","value":"04:50:50"},{"id":151,"name":"Denver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6">"start /low /b "&amp;dls3logs&amp;" --loco "&amp;B14&amp;" --day "&amp;TEXT(F14,"YYYY-MM-DD")</f>
        <v>start /low /b %USERPROFILE%\Documents\GitHub\eaglep3\Utilities\DownloadLogsFromS3.py --loco 4053 --day 2017-04-04</v>
      </c>
      <c r="AN14" s="159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632</v>
      </c>
      <c r="B15" s="7">
        <v>4004</v>
      </c>
      <c r="C15" s="21" t="s">
        <v>217</v>
      </c>
      <c r="D15" s="21" t="s">
        <v>830</v>
      </c>
      <c r="E15" s="13">
        <v>42829.149629629632</v>
      </c>
      <c r="F15" s="13">
        <v>42829.156504629631</v>
      </c>
      <c r="G15" s="7">
        <v>1</v>
      </c>
      <c r="H15" s="21" t="s">
        <v>831</v>
      </c>
      <c r="I15" s="13">
        <v>42829.182986111111</v>
      </c>
      <c r="J15" s="7">
        <v>0</v>
      </c>
      <c r="K15" s="97" t="str">
        <f>IF(ISEVEN(B15),(B15-1)&amp;"/"&amp;B15,B15&amp;"/"&amp;(B15+1))</f>
        <v>4003/4004</v>
      </c>
      <c r="L15" s="21" t="str">
        <f>VLOOKUP(A15,'Trips&amp;Operators'!$C$1:$G$99999,5,FALSE)</f>
        <v>MAELZER KURT</v>
      </c>
      <c r="M15" s="6">
        <f>I15-F15</f>
        <v>2.6481481480004732E-2</v>
      </c>
      <c r="N15" s="7">
        <f>24*60*SUM($M15:$M15)</f>
        <v>38.133333331206813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-04T02:35:28-0600',mode:absolute,to:'2017-04-04T05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83" t="str">
        <f>IF(AA15&lt;IF(AG15="EC",23,5.65),"Y","N")</f>
        <v>N</v>
      </c>
      <c r="X15" s="183">
        <f>VALUE(LEFT(AD15,4))-VALUE(LEFT(AD14,4))</f>
        <v>1</v>
      </c>
      <c r="Y15" s="62">
        <f>RIGHT(D15,LEN(D15)-4)/10000</f>
        <v>7.8600000000000003E-2</v>
      </c>
      <c r="Z15" s="62">
        <f>RIGHT(H15,LEN(H15)-4)/10000</f>
        <v>23.334</v>
      </c>
      <c r="AA15" s="62">
        <f>ABS(Z15-Y15)</f>
        <v>23.255399999999998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0103-04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/stypes="app*4004*20170404*"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4"/>
        <v>"%USERPROFILE%\Documents\GitHub\eaglep3\Utilities\RefineRTDCRunTimes.py" --tripid 103-04 --locoid 4004 --swversion DE.1.0.9.0 --startMP 204:786 --initTime 2017-04-04T03:35:28 --startdatetime 2017-04-04T03:45:22 --delay 1 --endMP 204:233340 --enddatetime 2017-04-04T04:23:30 --enforcementcount 0 &gt;&gt;C:\Users\stu\Documents\GitHub\eaglep3-reporting\EC\2017-04-04-refined-times.txt</v>
      </c>
      <c r="AI15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ID","value":"103-04"},{"id":16,"name":"Locomotive ID","value":"4004"},{"id":130,"name":"Impact","value":""},{"id":150,"name":"Time of Event (Mountain Time)","value":"04:23:30"},{"id":151,"name":"Denver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6"/>
        <v>start /low /b %USERPROFILE%\Documents\GitHub\eaglep3\Utilities\DownloadLogsFromS3.py --loco 4004 --day 2017-04-04</v>
      </c>
      <c r="AN15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637</v>
      </c>
      <c r="B16" s="7">
        <v>4031</v>
      </c>
      <c r="C16" s="21" t="s">
        <v>217</v>
      </c>
      <c r="D16" s="21" t="s">
        <v>832</v>
      </c>
      <c r="E16" s="13">
        <v>42829.18954861111</v>
      </c>
      <c r="F16" s="13">
        <v>42829.195416666669</v>
      </c>
      <c r="G16" s="7">
        <v>1</v>
      </c>
      <c r="H16" s="21" t="s">
        <v>383</v>
      </c>
      <c r="I16" s="13">
        <v>42829.222800925927</v>
      </c>
      <c r="J16" s="7">
        <v>0</v>
      </c>
      <c r="K16" s="97" t="str">
        <f>IF(ISEVEN(B16),(B16-1)&amp;"/"&amp;B16,B16&amp;"/"&amp;(B16+1))</f>
        <v>4031/4032</v>
      </c>
      <c r="L16" s="21" t="str">
        <f>VLOOKUP(A16,'Trips&amp;Operators'!$C$1:$G$99999,5,FALSE)</f>
        <v>MAELZER KURT</v>
      </c>
      <c r="M16" s="6">
        <f>I16-F16</f>
        <v>2.7384259257814847E-2</v>
      </c>
      <c r="N16" s="7">
        <f>24*60*SUM($M16:$M16)</f>
        <v>39.43333333125338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83" t="str">
        <f>IF(AA16&lt;IF(AG16="EC",23,5.65),"Y","N")</f>
        <v>N</v>
      </c>
      <c r="X16" s="183">
        <f>VALUE(LEFT(AD16,4))-VALUE(LEFT(AD15,4))</f>
        <v>1</v>
      </c>
      <c r="Y16" s="62">
        <f>RIGHT(D16,LEN(D16)-4)/10000</f>
        <v>23.270700000000001</v>
      </c>
      <c r="Z16" s="62">
        <f>RIGHT(H16,LEN(H16)-4)/10000</f>
        <v>1.43E-2</v>
      </c>
      <c r="AA16" s="62">
        <f>ABS(Z16-Y16)</f>
        <v>23.256400000000003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0104-04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/stypes="app*4031*20170404*"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4"/>
        <v>"%USERPROFILE%\Documents\GitHub\eaglep3\Utilities\RefineRTDCRunTimes.py" --tripid 104-04 --locoid 4031 --swversion DE.1.0.9.0 --startMP 204:232707 --initTime 2017-04-04T04:32:57 --startdatetime 2017-04-04T04:41:24 --delay 1 --endMP 204:143 --enddatetime 2017-04-04T05:20:50 --enforcementcount 0 &gt;&gt;C:\Users\stu\Documents\GitHub\eaglep3-reporting\EC\2017-04-04-refined-times.txt</v>
      </c>
      <c r="AI16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{"issue":{"subject":"","project_id":79,"tracker_id":40,"status_id":1,"priority_id":2,"assigned_to_id":23,"start_date":"2017-04-04","description":"","custom_fields":[{"id":1,"name":"Subdivision","value":"EC"},{"id":4,"name":"Milepost","value":"0.0143"},{"id":17,"name":"Train ID","value":"104-04"},{"id":16,"name":"Locomotive ID","value":"4031"},{"id":130,"name":"Impact","value":""},{"id":150,"name":"Time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6"/>
        <v>start /low /b %USERPROFILE%\Documents\GitHub\eaglep3\Utilities\DownloadLogsFromS3.py --loco 4031 --day 2017-04-04</v>
      </c>
      <c r="AN16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585</v>
      </c>
      <c r="B17" s="7">
        <v>4044</v>
      </c>
      <c r="C17" s="21" t="s">
        <v>217</v>
      </c>
      <c r="D17" s="21" t="s">
        <v>833</v>
      </c>
      <c r="E17" s="13">
        <v>42829.178599537037</v>
      </c>
      <c r="F17" s="13">
        <v>42829.186319444445</v>
      </c>
      <c r="G17" s="7">
        <v>10</v>
      </c>
      <c r="H17" s="21" t="s">
        <v>376</v>
      </c>
      <c r="I17" s="13">
        <v>42829.210462962961</v>
      </c>
      <c r="J17" s="7">
        <v>0</v>
      </c>
      <c r="K17" s="97" t="str">
        <f>IF(ISEVEN(B17),(B17-1)&amp;"/"&amp;B17,B17&amp;"/"&amp;(B17+1))</f>
        <v>4043/4044</v>
      </c>
      <c r="L17" s="21" t="str">
        <f>VLOOKUP(A17,'Trips&amp;Operators'!$C$1:$G$99999,5,FALSE)</f>
        <v>STARKS ANGELINA</v>
      </c>
      <c r="M17" s="6">
        <f>I17-F17</f>
        <v>2.414351851621177E-2</v>
      </c>
      <c r="N17" s="7"/>
      <c r="O17" s="7"/>
      <c r="P17" s="7">
        <f>24*60*SUM($M17:$M17)</f>
        <v>34.766666663344949</v>
      </c>
      <c r="Q17" s="22"/>
      <c r="R17" s="22" t="s">
        <v>1048</v>
      </c>
      <c r="S17" s="31">
        <f>SUM(U17:U17)/IF(AG17="EC",12,1)</f>
        <v>1</v>
      </c>
      <c r="T17" s="46" t="str">
        <f>IF(ISEVEN(LEFT(AD17,4)),"Southbound","NorthBound")</f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83" t="str">
        <f>IF(AA17&lt;IF(AG17="EC",23,5.65),"Y","N")</f>
        <v>Y</v>
      </c>
      <c r="X17" s="183">
        <f>VALUE(LEFT(AD17,4))-VALUE(LEFT(AD16,4))</f>
        <v>1</v>
      </c>
      <c r="Y17" s="62">
        <f>RIGHT(D17,LEN(D17)-4)/10000</f>
        <v>1.9205000000000001</v>
      </c>
      <c r="Z17" s="62">
        <f>RIGHT(H17,LEN(H17)-4)/10000</f>
        <v>23.3293</v>
      </c>
      <c r="AA17" s="62">
        <f>ABS(Z17-Y17)</f>
        <v>21.408799999999999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0105-04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/stypes="app*4044*20170404*" /stext=" 11:.+((SYSTEM_STATE.+slice.+state.+changed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4"/>
        <v>"%USERPROFILE%\Documents\GitHub\eaglep3\Utilities\RefineRTDCRunTimes.py" --tripid 105-04 --locoid 4044 --swversion DE.1.0.9.0 --startMP 204:19205 --initTime 2017-04-04T04:17:11 --startdatetime 2017-04-04T04:28:18 --delay 10 --endMP 204:233293 --enddatetime 2017-04-04T05:03:04 --enforcementcount 0 &gt;&gt;C:\Users\stu\Documents\GitHub\eaglep3-reporting\EC\2017-04-04-refined-times.txt</v>
      </c>
      <c r="AI17" s="104" t="str">
        <f t="shared" si="5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failure","project_id":79,"tracker_id":40,"status_id":1,"priority_id":2,"assigned_to_id":23,"start_date":"2017-04-04","description":"","custom_fields":[{"id":1,"name":"Subdivision","value":"EC"},{"id":4,"name":"Milepost","value":"23.3293"},{"id":17,"name":"Train ID","value":"105-04"},{"id":16,"name":"Locomotive ID","value":"4044"},{"id":130,"name":"Impact","value":""},{"id":150,"name":"Time of Event (Mountain Time)","value":"05:03:04"},{"id":151,"name":"Denver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6"/>
        <v>start /low /b %USERPROFILE%\Documents\GitHub\eaglep3\Utilities\DownloadLogsFromS3.py --loco 4044 --day 2017-04-04</v>
      </c>
      <c r="AN17" s="159" t="str">
        <f t="shared" si="7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588</v>
      </c>
      <c r="B18" s="7">
        <v>4009</v>
      </c>
      <c r="C18" s="21" t="s">
        <v>217</v>
      </c>
      <c r="D18" s="21" t="s">
        <v>527</v>
      </c>
      <c r="E18" s="13">
        <v>42829.216331018521</v>
      </c>
      <c r="F18" s="13">
        <v>42829.21769675926</v>
      </c>
      <c r="G18" s="7">
        <v>1</v>
      </c>
      <c r="H18" s="21" t="s">
        <v>213</v>
      </c>
      <c r="I18" s="13">
        <v>42829.247650462959</v>
      </c>
      <c r="J18" s="7">
        <v>0</v>
      </c>
      <c r="K18" s="97" t="str">
        <f>IF(ISEVEN(B18),(B18-1)&amp;"/"&amp;B18,B18&amp;"/"&amp;(B18+1))</f>
        <v>4009/4010</v>
      </c>
      <c r="L18" s="21" t="str">
        <f>VLOOKUP(A18,'Trips&amp;Operators'!$C$1:$G$99999,5,FALSE)</f>
        <v>STARKS ANGELINA</v>
      </c>
      <c r="M18" s="6">
        <f>I18-F18</f>
        <v>2.9953703698993195E-2</v>
      </c>
      <c r="N18" s="7">
        <f>24*60*SUM($M18:$M18)</f>
        <v>43.133333326550201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83" t="str">
        <f>IF(AA18&lt;IF(AG18="EC",23,5.65),"Y","N")</f>
        <v>N</v>
      </c>
      <c r="X18" s="183">
        <f>VALUE(LEFT(AD18,4))-VALUE(LEFT(AD17,4))</f>
        <v>1</v>
      </c>
      <c r="Y18" s="62">
        <f>RIGHT(D18,LEN(D18)-4)/10000</f>
        <v>23.2652</v>
      </c>
      <c r="Z18" s="62">
        <f>RIGHT(H18,LEN(H18)-4)/10000</f>
        <v>1.5599999999999999E-2</v>
      </c>
      <c r="AA18" s="62">
        <f>ABS(Z18-Y18)</f>
        <v>23.249600000000001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0106-04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/stypes="app*4009*20170404*" /stext=" 11:.+((SYSTEM_STATE.+slice.+state.+changed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4"/>
        <v>"%USERPROFILE%\Documents\GitHub\eaglep3\Utilities\RefineRTDCRunTimes.py" --tripid 106-04 --locoid 4009 --swversion DE.1.0.9.0 --startMP 204:232652 --initTime 2017-04-04T05:11:31 --startdatetime 2017-04-04T05:13:29 --delay 1 --endMP 204:156 --enddatetime 2017-04-04T05:56:37 --enforcementcount 0 &gt;&gt;C:\Users\stu\Documents\GitHub\eaglep3-reporting\EC\2017-04-04-refined-times.txt</v>
      </c>
      <c r="AI18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ID","value":"106-04"},{"id":16,"name":"Locomotive ID","value":"4009"},{"id":130,"name":"Impact","value":""},{"id":150,"name":"Time of Event (Mountain Time)","value":"05:56:37"},{"id":151,"name":"Denver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6"/>
        <v>start /low /b %USERPROFILE%\Documents\GitHub\eaglep3\Utilities\DownloadLogsFromS3.py --loco 4009 --day 2017-04-04</v>
      </c>
      <c r="AN18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636</v>
      </c>
      <c r="B19" s="7">
        <v>4046</v>
      </c>
      <c r="C19" s="21" t="s">
        <v>217</v>
      </c>
      <c r="D19" s="21" t="s">
        <v>484</v>
      </c>
      <c r="E19" s="13">
        <v>42829.180011574077</v>
      </c>
      <c r="F19" s="13">
        <v>42829.187754629631</v>
      </c>
      <c r="G19" s="7">
        <v>2</v>
      </c>
      <c r="H19" s="21" t="s">
        <v>535</v>
      </c>
      <c r="I19" s="13">
        <v>42829.214687500003</v>
      </c>
      <c r="J19" s="7">
        <v>0</v>
      </c>
      <c r="K19" s="97" t="str">
        <f>IF(ISEVEN(B19),(B19-1)&amp;"/"&amp;B19,B19&amp;"/"&amp;(B19+1))</f>
        <v>4045/4046</v>
      </c>
      <c r="L19" s="21" t="str">
        <f>VLOOKUP(A19,'Trips&amp;Operators'!$C$1:$G$99999,5,FALSE)</f>
        <v>FORTUNATO FRANK</v>
      </c>
      <c r="M19" s="6">
        <f>I19-F19</f>
        <v>2.6932870372547768E-2</v>
      </c>
      <c r="N19" s="7">
        <f>24*60*SUM($M19:$M19)</f>
        <v>38.783333336468786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-04T03:19:13-0600',mode:absolute,to:'2017-04-04T06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3" t="str">
        <f>IF(AA19&lt;IF(AG19="EC",23,5.65),"Y","N")</f>
        <v>N</v>
      </c>
      <c r="X19" s="183">
        <f>VALUE(LEFT(AD19,4))-VALUE(LEFT(AD18,4))</f>
        <v>1</v>
      </c>
      <c r="Y19" s="62">
        <f>RIGHT(D19,LEN(D19)-4)/10000</f>
        <v>4.58E-2</v>
      </c>
      <c r="Z19" s="62">
        <f>RIGHT(H19,LEN(H19)-4)/10000</f>
        <v>23.331900000000001</v>
      </c>
      <c r="AA19" s="62">
        <f>ABS(Z19-Y19)</f>
        <v>23.286100000000001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0107-04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/stypes="app*4046*20170404*"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4"/>
        <v>"%USERPROFILE%\Documents\GitHub\eaglep3\Utilities\RefineRTDCRunTimes.py" --tripid 107-04 --locoid 4046 --swversion DE.1.0.9.0 --startMP 204:458 --initTime 2017-04-04T04:19:13 --startdatetime 2017-04-04T04:30:22 --delay 2 --endMP 204:233319 --enddatetime 2017-04-04T05:09:09 --enforcementcount 0 &gt;&gt;C:\Users\stu\Documents\GitHub\eaglep3-reporting\EC\2017-04-04-refined-times.txt</v>
      </c>
      <c r="AI19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ID","value":"107-04"},{"id":16,"name":"Locomotive ID","value":"4046"},{"id":130,"name":"Impact","value":""},{"id":150,"name":"Time of Event (Mountain Time)","value":"05:09:09"},{"id":151,"name":"Denver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6"/>
        <v>start /low /b %USERPROFILE%\Documents\GitHub\eaglep3\Utilities\DownloadLogsFromS3.py --loco 4046 --day 2017-04-04</v>
      </c>
      <c r="AN19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646</v>
      </c>
      <c r="B20" s="7">
        <v>4045</v>
      </c>
      <c r="C20" s="21" t="s">
        <v>217</v>
      </c>
      <c r="D20" s="21" t="s">
        <v>441</v>
      </c>
      <c r="E20" s="13">
        <v>42829.220023148147</v>
      </c>
      <c r="F20" s="13">
        <v>42829.226550925923</v>
      </c>
      <c r="G20" s="7">
        <v>1</v>
      </c>
      <c r="H20" s="21" t="s">
        <v>408</v>
      </c>
      <c r="I20" s="13">
        <v>42829.257847222223</v>
      </c>
      <c r="J20" s="7">
        <v>0</v>
      </c>
      <c r="K20" s="97" t="str">
        <f>IF(ISEVEN(B20),(B20-1)&amp;"/"&amp;B20,B20&amp;"/"&amp;(B20+1))</f>
        <v>4045/4046</v>
      </c>
      <c r="L20" s="21" t="str">
        <f>VLOOKUP(A20,'Trips&amp;Operators'!$C$1:$G$99999,5,FALSE)</f>
        <v>FORTUNATO FRANK</v>
      </c>
      <c r="M20" s="6">
        <f>I20-F20</f>
        <v>3.1296296299842652E-2</v>
      </c>
      <c r="N20" s="7">
        <f>24*60*SUM($M20:$M20)</f>
        <v>45.066666671773419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-04T04:16:50-0600',mode:absolute,to:'2017-04-04T07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3" t="str">
        <f>IF(AA20&lt;IF(AG20="EC",23,5.65),"Y","N")</f>
        <v>N</v>
      </c>
      <c r="X20" s="183">
        <f>VALUE(LEFT(AD20,4))-VALUE(LEFT(AD19,4))</f>
        <v>1</v>
      </c>
      <c r="Y20" s="62">
        <f>RIGHT(D20,LEN(D20)-4)/10000</f>
        <v>23.2989</v>
      </c>
      <c r="Z20" s="62">
        <f>RIGHT(H20,LEN(H20)-4)/10000</f>
        <v>1.61E-2</v>
      </c>
      <c r="AA20" s="62">
        <f>ABS(Z20-Y20)</f>
        <v>23.282799999999998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0108-04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/stypes="app*4045*20170404*"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4"/>
        <v>"%USERPROFILE%\Documents\GitHub\eaglep3\Utilities\RefineRTDCRunTimes.py" --tripid 108-04 --locoid 4045 --swversion DE.1.0.9.0 --startMP 204:232989 --initTime 2017-04-04T05:16:50 --startdatetime 2017-04-04T05:26:14 --delay 1 --endMP 204:161 --enddatetime 2017-04-04T06:11:18 --enforcementcount 0 &gt;&gt;C:\Users\stu\Documents\GitHub\eaglep3-reporting\EC\2017-04-04-refined-times.txt</v>
      </c>
      <c r="AI20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ID","value":"108-04"},{"id":16,"name":"Locomotive ID","value":"4045"},{"id":130,"name":"Impact","value":""},{"id":150,"name":"Time of Event (Mountain Time)","value":"06:11:18"},{"id":151,"name":"Denver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6"/>
        <v>start /low /b %USERPROFILE%\Documents\GitHub\eaglep3\Utilities\DownloadLogsFromS3.py --loco 4045 --day 2017-04-04</v>
      </c>
      <c r="AN20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638</v>
      </c>
      <c r="B21" s="7">
        <v>4008</v>
      </c>
      <c r="C21" s="21" t="s">
        <v>217</v>
      </c>
      <c r="D21" s="21" t="s">
        <v>208</v>
      </c>
      <c r="E21" s="13">
        <v>42829.194085648145</v>
      </c>
      <c r="F21" s="13">
        <v>42829.198101851849</v>
      </c>
      <c r="G21" s="7">
        <v>1</v>
      </c>
      <c r="H21" s="21" t="s">
        <v>834</v>
      </c>
      <c r="I21" s="13">
        <v>42829.224849537037</v>
      </c>
      <c r="J21" s="7">
        <v>0</v>
      </c>
      <c r="K21" s="97" t="str">
        <f>IF(ISEVEN(B21),(B21-1)&amp;"/"&amp;B21,B21&amp;"/"&amp;(B21+1))</f>
        <v>4007/4008</v>
      </c>
      <c r="L21" s="21" t="str">
        <f>VLOOKUP(A21,'Trips&amp;Operators'!$C$1:$G$99999,5,FALSE)</f>
        <v>DAVIS WENDY</v>
      </c>
      <c r="M21" s="6">
        <f>I21-F21</f>
        <v>2.6747685187729076E-2</v>
      </c>
      <c r="N21" s="7">
        <f>24*60*SUM($M21:$M21)</f>
        <v>38.516666670329869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-04T03:39:29-0600',mode:absolute,to:'2017-04-04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83" t="str">
        <f>IF(AA21&lt;IF(AG21="EC",23,5.65),"Y","N")</f>
        <v>N</v>
      </c>
      <c r="X21" s="183">
        <f>VALUE(LEFT(AD21,4))-VALUE(LEFT(AD20,4))</f>
        <v>1</v>
      </c>
      <c r="Y21" s="62">
        <f>RIGHT(D21,LEN(D21)-4)/10000</f>
        <v>4.5999999999999999E-2</v>
      </c>
      <c r="Z21" s="62">
        <f>RIGHT(H21,LEN(H21)-4)/10000</f>
        <v>23.332999999999998</v>
      </c>
      <c r="AA21" s="62">
        <f>ABS(Z21-Y21)</f>
        <v>23.286999999999999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0109-04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/stypes="app*4008*20170404*"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4"/>
        <v>"%USERPROFILE%\Documents\GitHub\eaglep3\Utilities\RefineRTDCRunTimes.py" --tripid 109-04 --locoid 4008 --swversion DE.1.0.9.0 --startMP 204:460 --initTime 2017-04-04T04:39:29 --startdatetime 2017-04-04T04:45:16 --delay 1 --endMP 204:233330 --enddatetime 2017-04-04T05:23:47 --enforcementcount 0 &gt;&gt;C:\Users\stu\Documents\GitHub\eaglep3-reporting\EC\2017-04-04-refined-times.txt</v>
      </c>
      <c r="AI21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{"issue":{"subject":"","project_id":79,"tracker_id":40,"status_id":1,"priority_id":2,"assigned_to_id":23,"start_date":"2017-04-04","description":"","custom_fields":[{"id":1,"name":"Subdivision","value":"EC"},{"id":4,"name":"Milepost","value":"23.333"},{"id":17,"name":"Train ID","value":"109-04"},{"id":16,"name":"Locomotive ID","value":"4008"},{"id":130,"name":"Impact","value":""},{"id":150,"name":"Time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6"/>
        <v>start /low /b %USERPROFILE%\Documents\GitHub\eaglep3\Utilities\DownloadLogsFromS3.py --loco 4008 --day 2017-04-04</v>
      </c>
      <c r="AN21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650</v>
      </c>
      <c r="B22" s="7">
        <v>4007</v>
      </c>
      <c r="C22" s="21" t="s">
        <v>217</v>
      </c>
      <c r="D22" s="21" t="s">
        <v>835</v>
      </c>
      <c r="E22" s="13">
        <v>42829.231608796297</v>
      </c>
      <c r="F22" s="13">
        <v>42829.236956018518</v>
      </c>
      <c r="G22" s="7">
        <v>1</v>
      </c>
      <c r="H22" s="21" t="s">
        <v>205</v>
      </c>
      <c r="I22" s="13">
        <v>42829.266400462962</v>
      </c>
      <c r="J22" s="7">
        <v>0</v>
      </c>
      <c r="K22" s="97" t="str">
        <f>IF(ISEVEN(B22),(B22-1)&amp;"/"&amp;B22,B22&amp;"/"&amp;(B22+1))</f>
        <v>4007/4008</v>
      </c>
      <c r="L22" s="21" t="str">
        <f>VLOOKUP(A22,'Trips&amp;Operators'!$C$1:$G$99999,5,FALSE)</f>
        <v>DAVIS WENDY</v>
      </c>
      <c r="M22" s="6">
        <f>I22-F22</f>
        <v>2.9444444444379769E-2</v>
      </c>
      <c r="N22" s="7">
        <f>24*60*SUM($M22:$M22)</f>
        <v>42.399999999906868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-04T04:33:31-0600',mode:absolute,to:'2017-04-04T07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3" t="str">
        <f>IF(AA22&lt;IF(AG22="EC",23,5.65),"Y","N")</f>
        <v>N</v>
      </c>
      <c r="X22" s="183">
        <f>VALUE(LEFT(AD22,4))-VALUE(LEFT(AD21,4))</f>
        <v>1</v>
      </c>
      <c r="Y22" s="62">
        <f>RIGHT(D22,LEN(D22)-4)/10000</f>
        <v>23.298999999999999</v>
      </c>
      <c r="Z22" s="62">
        <f>RIGHT(H22,LEN(H22)-4)/10000</f>
        <v>1.54E-2</v>
      </c>
      <c r="AA22" s="62">
        <f>ABS(Z22-Y22)</f>
        <v>23.2836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0110-04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/stypes="app*4007*20170404*"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4"/>
        <v>"%USERPROFILE%\Documents\GitHub\eaglep3\Utilities\RefineRTDCRunTimes.py" --tripid 110-04 --locoid 4007 --swversion DE.1.0.9.0 --startMP 204:232990 --initTime 2017-04-04T05:33:31 --startdatetime 2017-04-04T05:41:13 --delay 1 --endMP 204:154 --enddatetime 2017-04-04T06:23:37 --enforcementcount 0 &gt;&gt;C:\Users\stu\Documents\GitHub\eaglep3-reporting\EC\2017-04-04-refined-times.txt</v>
      </c>
      <c r="AI22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ID","value":"110-04"},{"id":16,"name":"Locomotive ID","value":"4007"},{"id":130,"name":"Impact","value":""},{"id":150,"name":"Time of Event (Mountain Time)","value":"06:23:37"},{"id":151,"name":"Denver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6"/>
        <v>start /low /b %USERPROFILE%\Documents\GitHub\eaglep3\Utilities\DownloadLogsFromS3.py --loco 4007 --day 2017-04-04</v>
      </c>
      <c r="AN22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641</v>
      </c>
      <c r="B23" s="7">
        <v>4014</v>
      </c>
      <c r="C23" s="21" t="s">
        <v>217</v>
      </c>
      <c r="D23" s="21" t="s">
        <v>836</v>
      </c>
      <c r="E23" s="13">
        <v>42829.209791666668</v>
      </c>
      <c r="F23" s="13">
        <v>42829.211770833332</v>
      </c>
      <c r="G23" s="7">
        <v>1</v>
      </c>
      <c r="H23" s="21" t="s">
        <v>837</v>
      </c>
      <c r="I23" s="13">
        <v>42829.236770833333</v>
      </c>
      <c r="J23" s="7">
        <v>0</v>
      </c>
      <c r="K23" s="97" t="str">
        <f>IF(ISEVEN(B23),(B23-1)&amp;"/"&amp;B23,B23&amp;"/"&amp;(B23+1))</f>
        <v>4013/4014</v>
      </c>
      <c r="L23" s="21" t="str">
        <f>VLOOKUP(A23,'Trips&amp;Operators'!$C$1:$G$99999,5,FALSE)</f>
        <v>LOZA FIDEL</v>
      </c>
      <c r="M23" s="6">
        <f>I23-F23</f>
        <v>2.5000000001455192E-2</v>
      </c>
      <c r="N23" s="7">
        <f>24*60*SUM($M23:$M23)</f>
        <v>36.000000002095476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-04T04:02:06-0600',mode:absolute,to:'2017-04-04T06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83" t="str">
        <f>IF(AA23&lt;IF(AG23="EC",23,5.65),"Y","N")</f>
        <v>N</v>
      </c>
      <c r="X23" s="183">
        <f>VALUE(LEFT(AD23,4))-VALUE(LEFT(AD22,4))</f>
        <v>1</v>
      </c>
      <c r="Y23" s="62">
        <f>RIGHT(D23,LEN(D23)-4)/10000</f>
        <v>7.6499999999999999E-2</v>
      </c>
      <c r="Z23" s="62">
        <f>RIGHT(H23,LEN(H23)-4)/10000</f>
        <v>23.334199999999999</v>
      </c>
      <c r="AA23" s="62">
        <f>ABS(Z23-Y23)</f>
        <v>23.2577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0111-04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/stypes="app*4014*20170404*"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4"/>
        <v>"%USERPROFILE%\Documents\GitHub\eaglep3\Utilities\RefineRTDCRunTimes.py" --tripid 111-04 --locoid 4014 --swversion DE.1.0.9.0 --startMP 204:765 --initTime 2017-04-04T05:02:06 --startdatetime 2017-04-04T05:04:57 --delay 1 --endMP 204:233342 --enddatetime 2017-04-04T05:40:57 --enforcementcount 0 &gt;&gt;C:\Users\stu\Documents\GitHub\eaglep3-reporting\EC\2017-04-04-refined-times.txt</v>
      </c>
      <c r="AI23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{"issue":{"subject":"","project_id":79,"tracker_id":40,"status_id":1,"priority_id":2,"assigned_to_id":23,"start_date":"2017-04-04","description":"","custom_fields":[{"id":1,"name":"Subdivision","value":"EC"},{"id":4,"name":"Milepost","value":"23.3342"},{"id":17,"name":"Train ID","value":"111-04"},{"id":16,"name":"Locomotive ID","value":"4014"},{"id":130,"name":"Impact","value":""},{"id":150,"name":"Time of Event (Mountain Time)","value":"05:40:57"},{"id":151,"name":"Denver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6"/>
        <v>start /low /b %USERPROFILE%\Documents\GitHub\eaglep3\Utilities\DownloadLogsFromS3.py --loco 4014 --day 2017-04-04</v>
      </c>
      <c r="AN23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651</v>
      </c>
      <c r="B24" s="7">
        <v>4013</v>
      </c>
      <c r="C24" s="21" t="s">
        <v>217</v>
      </c>
      <c r="D24" s="21" t="s">
        <v>401</v>
      </c>
      <c r="E24" s="13">
        <v>42829.242962962962</v>
      </c>
      <c r="F24" s="13">
        <v>42829.247499999998</v>
      </c>
      <c r="G24" s="7">
        <v>1</v>
      </c>
      <c r="H24" s="21" t="s">
        <v>838</v>
      </c>
      <c r="I24" s="13">
        <v>42829.274907407409</v>
      </c>
      <c r="J24" s="7">
        <v>0</v>
      </c>
      <c r="K24" s="97" t="str">
        <f>IF(ISEVEN(B24),(B24-1)&amp;"/"&amp;B24,B24&amp;"/"&amp;(B24+1))</f>
        <v>4013/4014</v>
      </c>
      <c r="L24" s="21" t="str">
        <f>VLOOKUP(A24,'Trips&amp;Operators'!$C$1:$G$99999,5,FALSE)</f>
        <v>LOZA FIDEL</v>
      </c>
      <c r="M24" s="6">
        <f>I24-F24</f>
        <v>2.7407407411374152E-2</v>
      </c>
      <c r="N24" s="7">
        <f>24*60*SUM($M24:$M24)</f>
        <v>39.466666672378778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-04T04:49:52-0600',mode:absolute,to:'2017-04-04T07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83" t="str">
        <f>IF(AA24&lt;IF(AG24="EC",23,5.65),"Y","N")</f>
        <v>N</v>
      </c>
      <c r="X24" s="183">
        <f>VALUE(LEFT(AD24,4))-VALUE(LEFT(AD23,4))</f>
        <v>1</v>
      </c>
      <c r="Y24" s="62">
        <f>RIGHT(D24,LEN(D24)-4)/10000</f>
        <v>23.299600000000002</v>
      </c>
      <c r="Z24" s="62">
        <f>RIGHT(H24,LEN(H24)-4)/10000</f>
        <v>1.67E-2</v>
      </c>
      <c r="AA24" s="62">
        <f>ABS(Z24-Y24)</f>
        <v>23.282900000000001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0112-04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/stypes="app*4013*20170404*"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4"/>
        <v>"%USERPROFILE%\Documents\GitHub\eaglep3\Utilities\RefineRTDCRunTimes.py" --tripid 112-04 --locoid 4013 --swversion DE.1.0.9.0 --startMP 204:232996 --initTime 2017-04-04T05:49:52 --startdatetime 2017-04-04T05:56:24 --delay 1 --endMP 204:167 --enddatetime 2017-04-04T06:35:52 --enforcementcount 0 &gt;&gt;C:\Users\stu\Documents\GitHub\eaglep3-reporting\EC\2017-04-04-refined-times.txt</v>
      </c>
      <c r="AI24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ID","value":"112-04"},{"id":16,"name":"Locomotive ID","value":"4013"},{"id":130,"name":"Impact","value":""},{"id":150,"name":"Time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6"/>
        <v>start /low /b %USERPROFILE%\Documents\GitHub\eaglep3\Utilities\DownloadLogsFromS3.py --loco 4013 --day 2017-04-04</v>
      </c>
      <c r="AN24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589</v>
      </c>
      <c r="B25" s="7">
        <v>4054</v>
      </c>
      <c r="C25" s="21" t="s">
        <v>217</v>
      </c>
      <c r="D25" s="21" t="s">
        <v>424</v>
      </c>
      <c r="E25" s="13">
        <v>42829.212511574071</v>
      </c>
      <c r="F25" s="13">
        <v>42829.218958333331</v>
      </c>
      <c r="G25" s="7">
        <v>1</v>
      </c>
      <c r="H25" s="21" t="s">
        <v>400</v>
      </c>
      <c r="I25" s="13">
        <v>42829.245798611111</v>
      </c>
      <c r="J25" s="7">
        <v>0</v>
      </c>
      <c r="K25" s="97" t="str">
        <f>IF(ISEVEN(B25),(B25-1)&amp;"/"&amp;B25,B25&amp;"/"&amp;(B25+1))</f>
        <v>4053/4054</v>
      </c>
      <c r="L25" s="21" t="str">
        <f>VLOOKUP(A25,'Trips&amp;Operators'!$C$1:$G$99999,5,FALSE)</f>
        <v>SANTIZO D. EDY</v>
      </c>
      <c r="M25" s="6">
        <f>I25-F25</f>
        <v>2.6840277780138422E-2</v>
      </c>
      <c r="N25" s="7">
        <f>24*60*SUM($M25:$M25)</f>
        <v>38.650000003399327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83" t="str">
        <f>IF(AA25&lt;IF(AG25="EC",23,5.65),"Y","N")</f>
        <v>N</v>
      </c>
      <c r="X25" s="183">
        <f>VALUE(LEFT(AD25,4))-VALUE(LEFT(AD24,4))</f>
        <v>1</v>
      </c>
      <c r="Y25" s="62">
        <f>RIGHT(D25,LEN(D25)-4)/10000</f>
        <v>4.4699999999999997E-2</v>
      </c>
      <c r="Z25" s="62">
        <f>RIGHT(H25,LEN(H25)-4)/10000</f>
        <v>23.331399999999999</v>
      </c>
      <c r="AA25" s="62">
        <f>ABS(Z25-Y25)</f>
        <v>23.2867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0113-04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/stypes="app*4054*20170404*"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4"/>
        <v>"%USERPROFILE%\Documents\GitHub\eaglep3\Utilities\RefineRTDCRunTimes.py" --tripid 113-04 --locoid 4054 --swversion DE.1.0.9.0 --startMP 204:447 --initTime 2017-04-04T05:06:01 --startdatetime 2017-04-04T05:15:18 --delay 1 --endMP 204:233314 --enddatetime 2017-04-04T05:53:57 --enforcementcount 0 &gt;&gt;C:\Users\stu\Documents\GitHub\eaglep3-reporting\EC\2017-04-04-refined-times.txt</v>
      </c>
      <c r="AI25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ID","value":"113-04"},{"id":16,"name":"Locomotive ID","value":"4054"},{"id":130,"name":"Impact","value":""},{"id":150,"name":"Time of Event (Mountain Time)","value":"05:53:57"},{"id":151,"name":"Denver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6"/>
        <v>start /low /b %USERPROFILE%\Documents\GitHub\eaglep3\Utilities\DownloadLogsFromS3.py --loco 4054 --day 2017-04-04</v>
      </c>
      <c r="AN25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655</v>
      </c>
      <c r="B26" s="7">
        <v>4053</v>
      </c>
      <c r="C26" s="21" t="s">
        <v>217</v>
      </c>
      <c r="D26" s="21" t="s">
        <v>529</v>
      </c>
      <c r="E26" s="13">
        <v>42829.247662037036</v>
      </c>
      <c r="F26" s="13">
        <v>42829.257800925923</v>
      </c>
      <c r="G26" s="7">
        <v>1</v>
      </c>
      <c r="H26" s="21" t="s">
        <v>425</v>
      </c>
      <c r="I26" s="13">
        <v>42829.28460648148</v>
      </c>
      <c r="J26" s="7">
        <v>0</v>
      </c>
      <c r="K26" s="97" t="str">
        <f>IF(ISEVEN(B26),(B26-1)&amp;"/"&amp;B26,B26&amp;"/"&amp;(B26+1))</f>
        <v>4053/4054</v>
      </c>
      <c r="L26" s="21" t="str">
        <f>VLOOKUP(A26,'Trips&amp;Operators'!$C$1:$G$99999,5,FALSE)</f>
        <v>SANTIZO D. EDY</v>
      </c>
      <c r="M26" s="6">
        <f>I26-F26</f>
        <v>2.6805555557075422E-2</v>
      </c>
      <c r="N26" s="7">
        <f>24*60*SUM($M26:$M26)</f>
        <v>38.600000002188608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-04T04:56:38-0600',mode:absolute,to:'2017-04-04T07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83" t="str">
        <f>IF(AA26&lt;IF(AG26="EC",23,5.65),"Y","N")</f>
        <v>N</v>
      </c>
      <c r="X26" s="183">
        <f>VALUE(LEFT(AD26,4))-VALUE(LEFT(AD25,4))</f>
        <v>1</v>
      </c>
      <c r="Y26" s="62">
        <f>RIGHT(D26,LEN(D26)-4)/10000</f>
        <v>23.2971</v>
      </c>
      <c r="Z26" s="62">
        <f>RIGHT(H26,LEN(H26)-4)/10000</f>
        <v>1.41E-2</v>
      </c>
      <c r="AA26" s="62">
        <f>ABS(Z26-Y26)</f>
        <v>23.283000000000001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0114-04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/stypes="app*4053*20170404*"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4"/>
        <v>"%USERPROFILE%\Documents\GitHub\eaglep3\Utilities\RefineRTDCRunTimes.py" --tripid 114-04 --locoid 4053 --swversion DE.1.0.9.0 --startMP 204:232971 --initTime 2017-04-04T05:56:38 --startdatetime 2017-04-04T06:11:14 --delay 1 --endMP 204:141 --enddatetime 2017-04-04T06:49:50 --enforcementcount 0 &gt;&gt;C:\Users\stu\Documents\GitHub\eaglep3-reporting\EC\2017-04-04-refined-times.txt</v>
      </c>
      <c r="AI26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ID","value":"114-04"},{"id":16,"name":"Locomotive ID","value":"4053"},{"id":130,"name":"Impact","value":""},{"id":150,"name":"Time of Event (Mountain Time)","value":"06:49:50"},{"id":151,"name":"Denver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6"/>
        <v>start /low /b %USERPROFILE%\Documents\GitHub\eaglep3\Utilities\DownloadLogsFromS3.py --loco 4053 --day 2017-04-04</v>
      </c>
      <c r="AN26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648</v>
      </c>
      <c r="B27" s="7">
        <v>4004</v>
      </c>
      <c r="C27" s="21" t="s">
        <v>217</v>
      </c>
      <c r="D27" s="21" t="s">
        <v>839</v>
      </c>
      <c r="E27" s="13">
        <v>42829.225243055553</v>
      </c>
      <c r="F27" s="13">
        <v>42829.22934027778</v>
      </c>
      <c r="G27" s="7">
        <v>2</v>
      </c>
      <c r="H27" s="21" t="s">
        <v>460</v>
      </c>
      <c r="I27" s="13">
        <v>42829.254016203704</v>
      </c>
      <c r="J27" s="7">
        <v>0</v>
      </c>
      <c r="K27" s="97" t="str">
        <f>IF(ISEVEN(B27),(B27-1)&amp;"/"&amp;B27,B27&amp;"/"&amp;(B27+1))</f>
        <v>4003/4004</v>
      </c>
      <c r="L27" s="21" t="str">
        <f>VLOOKUP(A27,'Trips&amp;Operators'!$C$1:$G$99999,5,FALSE)</f>
        <v>MENGES BRAD</v>
      </c>
      <c r="M27" s="6">
        <f>I27-F27</f>
        <v>2.4675925924384501E-2</v>
      </c>
      <c r="N27" s="7">
        <f>24*60*SUM($M27:$M27)</f>
        <v>35.533333331113681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-04T04:24:21-0600',mode:absolute,to:'2017-04-04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83" t="str">
        <f>IF(AA27&lt;IF(AG27="EC",23,5.65),"Y","N")</f>
        <v>N</v>
      </c>
      <c r="X27" s="183">
        <f>VALUE(LEFT(AD27,4))-VALUE(LEFT(AD26,4))</f>
        <v>1</v>
      </c>
      <c r="Y27" s="62">
        <f>RIGHT(D27,LEN(D27)-4)/10000</f>
        <v>7.4300000000000005E-2</v>
      </c>
      <c r="Z27" s="62">
        <f>RIGHT(H27,LEN(H27)-4)/10000</f>
        <v>23.329699999999999</v>
      </c>
      <c r="AA27" s="62">
        <f>ABS(Z27-Y27)</f>
        <v>23.255399999999998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0115-04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/stypes="app*4004*20170404*"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4"/>
        <v>"%USERPROFILE%\Documents\GitHub\eaglep3\Utilities\RefineRTDCRunTimes.py" --tripid 115-04 --locoid 4004 --swversion DE.1.0.9.0 --startMP 204:743 --initTime 2017-04-04T05:24:21 --startdatetime 2017-04-04T05:30:15 --delay 2 --endMP 204:233297 --enddatetime 2017-04-04T06:05:47 --enforcementcount 0 &gt;&gt;C:\Users\stu\Documents\GitHub\eaglep3-reporting\EC\2017-04-04-refined-times.txt</v>
      </c>
      <c r="AI27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ID","value":"115-04"},{"id":16,"name":"Locomotive ID","value":"4004"},{"id":130,"name":"Impact","value":""},{"id":150,"name":"Time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6"/>
        <v>start /low /b %USERPROFILE%\Documents\GitHub\eaglep3\Utilities\DownloadLogsFromS3.py --loco 4004 --day 2017-04-04</v>
      </c>
      <c r="AN27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659</v>
      </c>
      <c r="B28" s="7">
        <v>4003</v>
      </c>
      <c r="C28" s="21" t="s">
        <v>217</v>
      </c>
      <c r="D28" s="21" t="s">
        <v>437</v>
      </c>
      <c r="E28" s="13">
        <v>42829.26699074074</v>
      </c>
      <c r="F28" s="13">
        <v>42829.268414351849</v>
      </c>
      <c r="G28" s="7">
        <v>1</v>
      </c>
      <c r="H28" s="21" t="s">
        <v>199</v>
      </c>
      <c r="I28" s="13">
        <v>42829.295115740744</v>
      </c>
      <c r="J28" s="7">
        <v>0</v>
      </c>
      <c r="K28" s="97" t="str">
        <f>IF(ISEVEN(B28),(B28-1)&amp;"/"&amp;B28,B28&amp;"/"&amp;(B28+1))</f>
        <v>4003/4004</v>
      </c>
      <c r="L28" s="21" t="str">
        <f>VLOOKUP(A28,'Trips&amp;Operators'!$C$1:$G$99999,5,FALSE)</f>
        <v>MENGES BRAD</v>
      </c>
      <c r="M28" s="6">
        <f>I28-F28</f>
        <v>2.6701388895162381E-2</v>
      </c>
      <c r="N28" s="7">
        <f>24*60*SUM($M28:$M28)</f>
        <v>38.450000009033829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-04T05:24:28-0600',mode:absolute,to:'2017-04-04T08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83" t="str">
        <f>IF(AA28&lt;IF(AG28="EC",23,5.65),"Y","N")</f>
        <v>N</v>
      </c>
      <c r="X28" s="183">
        <f>VALUE(LEFT(AD28,4))-VALUE(LEFT(AD27,4))</f>
        <v>1</v>
      </c>
      <c r="Y28" s="62">
        <f>RIGHT(D28,LEN(D28)-4)/10000</f>
        <v>23.299299999999999</v>
      </c>
      <c r="Z28" s="62">
        <f>RIGHT(H28,LEN(H28)-4)/10000</f>
        <v>1.52E-2</v>
      </c>
      <c r="AA28" s="62">
        <f>ABS(Z28-Y28)</f>
        <v>23.284099999999999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0116-04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/stypes="app*4003*20170404*"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4"/>
        <v>"%USERPROFILE%\Documents\GitHub\eaglep3\Utilities\RefineRTDCRunTimes.py" --tripid 116-04 --locoid 4003 --swversion DE.1.0.9.0 --startMP 204:232993 --initTime 2017-04-04T06:24:28 --startdatetime 2017-04-04T06:26:31 --delay 1 --endMP 204:152 --enddatetime 2017-04-04T07:04:58 --enforcementcount 0 &gt;&gt;C:\Users\stu\Documents\GitHub\eaglep3-reporting\EC\2017-04-04-refined-times.txt</v>
      </c>
      <c r="AI28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ID","value":"116-04"},{"id":16,"name":"Locomotive ID","value":"4003"},{"id":130,"name":"Impact","value":""},{"id":150,"name":"Time of Event (Mountain Time)","value":"07:04:58"},{"id":151,"name":"Denver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6"/>
        <v>start /low /b %USERPROFILE%\Documents\GitHub\eaglep3\Utilities\DownloadLogsFromS3.py --loco 4003 --day 2017-04-04</v>
      </c>
      <c r="AN28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649</v>
      </c>
      <c r="B29" s="7">
        <v>4032</v>
      </c>
      <c r="C29" s="21" t="s">
        <v>217</v>
      </c>
      <c r="D29" s="21" t="s">
        <v>532</v>
      </c>
      <c r="E29" s="13">
        <v>42829.226817129631</v>
      </c>
      <c r="F29" s="13">
        <v>42829.239872685182</v>
      </c>
      <c r="G29" s="7">
        <v>1</v>
      </c>
      <c r="H29" s="21" t="s">
        <v>840</v>
      </c>
      <c r="I29" s="13">
        <v>42829.264756944445</v>
      </c>
      <c r="J29" s="7">
        <v>0</v>
      </c>
      <c r="K29" s="97" t="str">
        <f>IF(ISEVEN(B29),(B29-1)&amp;"/"&amp;B29,B29&amp;"/"&amp;(B29+1))</f>
        <v>4031/4032</v>
      </c>
      <c r="L29" s="21" t="str">
        <f>VLOOKUP(A29,'Trips&amp;Operators'!$C$1:$G$99999,5,FALSE)</f>
        <v>MAELZER KURT</v>
      </c>
      <c r="M29" s="6">
        <f>I29-F29</f>
        <v>2.4884259262762498E-2</v>
      </c>
      <c r="N29" s="7">
        <f>24*60*SUM($M29:$M29)</f>
        <v>35.833333338377997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-04T04:26:37-0600',mode:absolute,to:'2017-04-04T07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83" t="str">
        <f>IF(AA29&lt;IF(AG29="EC",23,5.65),"Y","N")</f>
        <v>N</v>
      </c>
      <c r="X29" s="183">
        <f>VALUE(LEFT(AD29,4))-VALUE(LEFT(AD28,4))</f>
        <v>1</v>
      </c>
      <c r="Y29" s="62">
        <f>RIGHT(D29,LEN(D29)-4)/10000</f>
        <v>4.3299999999999998E-2</v>
      </c>
      <c r="Z29" s="62">
        <f>RIGHT(H29,LEN(H29)-4)/10000</f>
        <v>23.333200000000001</v>
      </c>
      <c r="AA29" s="62">
        <f>ABS(Z29-Y29)</f>
        <v>23.289900000000003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0117-04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/stypes="app*4032*20170404*"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4"/>
        <v>"%USERPROFILE%\Documents\GitHub\eaglep3\Utilities\RefineRTDCRunTimes.py" --tripid 117-04 --locoid 4032 --swversion DE.1.0.9.0 --startMP 204:433 --initTime 2017-04-04T05:26:37 --startdatetime 2017-04-04T05:45:25 --delay 1 --endMP 204:233332 --enddatetime 2017-04-04T06:21:15 --enforcementcount 0 &gt;&gt;C:\Users\stu\Documents\GitHub\eaglep3-reporting\EC\2017-04-04-refined-times.txt</v>
      </c>
      <c r="AI29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ID","value":"117-04"},{"id":16,"name":"Locomotive ID","value":"4032"},{"id":130,"name":"Impact","value":""},{"id":150,"name":"Time of Event (Mountain Time)","value":"06:21:15"},{"id":151,"name":"Denver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6"/>
        <v>start /low /b %USERPROFILE%\Documents\GitHub\eaglep3\Utilities\DownloadLogsFromS3.py --loco 4032 --day 2017-04-04</v>
      </c>
      <c r="AN29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593</v>
      </c>
      <c r="B30" s="7">
        <v>4031</v>
      </c>
      <c r="C30" s="21" t="s">
        <v>217</v>
      </c>
      <c r="D30" s="21" t="s">
        <v>841</v>
      </c>
      <c r="E30" s="13">
        <v>42829.273240740738</v>
      </c>
      <c r="F30" s="13">
        <v>42829.278738425928</v>
      </c>
      <c r="G30" s="7">
        <v>1</v>
      </c>
      <c r="H30" s="21" t="s">
        <v>842</v>
      </c>
      <c r="I30" s="13">
        <v>42829.306354166663</v>
      </c>
      <c r="J30" s="7">
        <v>0</v>
      </c>
      <c r="K30" s="97" t="str">
        <f>IF(ISEVEN(B30),(B30-1)&amp;"/"&amp;B30,B30&amp;"/"&amp;(B30+1))</f>
        <v>4031/4032</v>
      </c>
      <c r="L30" s="21" t="str">
        <f>VLOOKUP(A30,'Trips&amp;Operators'!$C$1:$G$99999,5,FALSE)</f>
        <v>MAELZER KURT</v>
      </c>
      <c r="M30" s="6">
        <f>I30-F30</f>
        <v>2.7615740735200234E-2</v>
      </c>
      <c r="N30" s="7">
        <f>24*60*SUM($M30:$M30)</f>
        <v>39.766666658688337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83" t="str">
        <f>IF(AA30&lt;IF(AG30="EC",23,5.65),"Y","N")</f>
        <v>N</v>
      </c>
      <c r="X30" s="183">
        <f>VALUE(LEFT(AD30,4))-VALUE(LEFT(AD29,4))</f>
        <v>1</v>
      </c>
      <c r="Y30" s="62">
        <f>RIGHT(D30,LEN(D30)-4)/10000</f>
        <v>23.300699999999999</v>
      </c>
      <c r="Z30" s="62">
        <f>RIGHT(H30,LEN(H30)-4)/10000</f>
        <v>1.32E-2</v>
      </c>
      <c r="AA30" s="62">
        <f>ABS(Z30-Y30)</f>
        <v>23.287499999999998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>IF(LEN(A30)=6,"0"&amp;A30,A30)</f>
        <v>0118-04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/stypes="app*4031*20170404*"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4"/>
        <v>"%USERPROFILE%\Documents\GitHub\eaglep3\Utilities\RefineRTDCRunTimes.py" --tripid 118-04 --locoid 4031 --swversion DE.1.0.9.0 --startMP 204:233007 --initTime 2017-04-04T06:33:28 --startdatetime 2017-04-04T06:41:23 --delay 1 --endMP 204:132 --enddatetime 2017-04-04T07:21:09 --enforcementcount 0 &gt;&gt;C:\Users\stu\Documents\GitHub\eaglep3-reporting\EC\2017-04-04-refined-times.txt</v>
      </c>
      <c r="AI30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ID","value":"118-04"},{"id":16,"name":"Locomotive ID","value":"4031"},{"id":130,"name":"Impact","value":""},{"id":150,"name":"Time of Event (Mountain Time)","value":"07:21:09"},{"id":151,"name":"Denver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6"/>
        <v>start /low /b %USERPROFILE%\Documents\GitHub\eaglep3\Utilities\DownloadLogsFromS3.py --loco 4031 --day 2017-04-04</v>
      </c>
      <c r="AN30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590</v>
      </c>
      <c r="B31" s="7">
        <v>4044</v>
      </c>
      <c r="C31" s="21" t="s">
        <v>217</v>
      </c>
      <c r="D31" s="21" t="s">
        <v>843</v>
      </c>
      <c r="E31" s="13">
        <v>42829.2496875</v>
      </c>
      <c r="F31" s="13">
        <v>42829.251192129632</v>
      </c>
      <c r="G31" s="7">
        <v>1</v>
      </c>
      <c r="H31" s="21" t="s">
        <v>492</v>
      </c>
      <c r="I31" s="13">
        <v>42829.276574074072</v>
      </c>
      <c r="J31" s="7">
        <v>0</v>
      </c>
      <c r="K31" s="97" t="str">
        <f>IF(ISEVEN(B31),(B31-1)&amp;"/"&amp;B31,B31&amp;"/"&amp;(B31+1))</f>
        <v>4043/4044</v>
      </c>
      <c r="L31" s="21" t="str">
        <f>VLOOKUP(A31,'Trips&amp;Operators'!$C$1:$G$99999,5,FALSE)</f>
        <v>STARKS ANGELINA</v>
      </c>
      <c r="M31" s="6">
        <f>I31-F31</f>
        <v>2.5381944440596271E-2</v>
      </c>
      <c r="N31" s="7">
        <f>24*60*SUM($M31:$M31)</f>
        <v>36.549999994458631</v>
      </c>
      <c r="O31" s="7"/>
      <c r="P31" s="7"/>
      <c r="Q31" s="22"/>
      <c r="R31" s="22" t="s">
        <v>1049</v>
      </c>
      <c r="S31" s="31">
        <f>SUM(U31:U31)/IF(AG31="EC",12,1)</f>
        <v>1</v>
      </c>
      <c r="T31" s="46" t="str">
        <f>IF(ISEVEN(LEFT(AD31,4)),"Southbound","NorthBound")</f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83" t="str">
        <f>IF(AA31&lt;IF(AG31="EC",23,5.65),"Y","N")</f>
        <v>N</v>
      </c>
      <c r="X31" s="183">
        <f>VALUE(LEFT(AD31,4))-VALUE(LEFT(AD30,4))</f>
        <v>1</v>
      </c>
      <c r="Y31" s="62">
        <f>RIGHT(D31,LEN(D31)-4)/10000</f>
        <v>7.2599999999999998E-2</v>
      </c>
      <c r="Z31" s="62">
        <f>RIGHT(H31,LEN(H31)-4)/10000</f>
        <v>23.329799999999999</v>
      </c>
      <c r="AA31" s="62">
        <f>ABS(Z31-Y31)</f>
        <v>23.257199999999997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0119-04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/stypes="app*4044*20170404*"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4"/>
        <v>"%USERPROFILE%\Documents\GitHub\eaglep3\Utilities\RefineRTDCRunTimes.py" --tripid 119-04 --locoid 4044 --swversion DE.1.0.9.0 --startMP 204:726 --initTime 2017-04-04T05:59:33 --startdatetime 2017-04-04T06:01:43 --delay 1 --endMP 204:233298 --enddatetime 2017-04-04T06:38:16 --enforcementcount 0 &gt;&gt;C:\Users\stu\Documents\GitHub\eaglep3-reporting\EC\2017-04-04-refined-times.txt</v>
      </c>
      <c r="AI31" s="104" t="str">
        <f t="shared" si="5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corrected","project_id":79,"tracker_id":40,"status_id":1,"priority_id":2,"assigned_to_id":23,"start_date":"2017-04-04","description":"","custom_fields":[{"id":1,"name":"Subdivision","value":"EC"},{"id":4,"name":"Milepost","value":"23.3298"},{"id":17,"name":"Train ID","value":"119-04"},{"id":16,"name":"Locomotive ID","value":"4044"},{"id":130,"name":"Impact","value":""},{"id":150,"name":"Time of Event (Mountain Time)","value":"06:38:16"},{"id":151,"name":"Denver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6"/>
        <v>start /low /b %USERPROFILE%\Documents\GitHub\eaglep3\Utilities\DownloadLogsFromS3.py --loco 4044 --day 2017-04-04</v>
      </c>
      <c r="AN31" s="159" t="str">
        <f t="shared" si="7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595</v>
      </c>
      <c r="B32" s="7">
        <v>4043</v>
      </c>
      <c r="C32" s="21" t="s">
        <v>217</v>
      </c>
      <c r="D32" s="21" t="s">
        <v>441</v>
      </c>
      <c r="E32" s="13">
        <v>42829.28665509259</v>
      </c>
      <c r="F32" s="13">
        <v>42829.289074074077</v>
      </c>
      <c r="G32" s="7">
        <v>1</v>
      </c>
      <c r="H32" s="21" t="s">
        <v>191</v>
      </c>
      <c r="I32" s="13">
        <v>42829.319884259261</v>
      </c>
      <c r="J32" s="7">
        <v>0</v>
      </c>
      <c r="K32" s="97" t="str">
        <f>IF(ISEVEN(B32),(B32-1)&amp;"/"&amp;B32,B32&amp;"/"&amp;(B32+1))</f>
        <v>4043/4044</v>
      </c>
      <c r="L32" s="21" t="str">
        <f>VLOOKUP(A32,'Trips&amp;Operators'!$C$1:$G$99999,5,FALSE)</f>
        <v>STARKS ANGELINA</v>
      </c>
      <c r="M32" s="6">
        <f>I32-F32</f>
        <v>3.0810185184236616E-2</v>
      </c>
      <c r="N32" s="7">
        <f>24*60*SUM($M32:$M32)</f>
        <v>44.366666665300727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83" t="str">
        <f>IF(AA32&lt;IF(AG32="EC",23,5.65),"Y","N")</f>
        <v>N</v>
      </c>
      <c r="X32" s="183">
        <f>VALUE(LEFT(AD32,4))-VALUE(LEFT(AD31,4))</f>
        <v>1</v>
      </c>
      <c r="Y32" s="62">
        <f>RIGHT(D32,LEN(D32)-4)/10000</f>
        <v>23.2989</v>
      </c>
      <c r="Z32" s="62">
        <f>RIGHT(H32,LEN(H32)-4)/10000</f>
        <v>1.4999999999999999E-2</v>
      </c>
      <c r="AA32" s="62">
        <f>ABS(Z32-Y32)</f>
        <v>23.283899999999999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0120-04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/stypes="app*4043*20170404*"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4"/>
        <v>"%USERPROFILE%\Documents\GitHub\eaglep3\Utilities\RefineRTDCRunTimes.py" --tripid 120-04 --locoid 4043 --swversion DE.1.0.9.0 --startMP 204:232989 --initTime 2017-04-04T06:52:47 --startdatetime 2017-04-04T06:56:16 --delay 1 --endMP 204:150 --enddatetime 2017-04-04T07:40:38 --enforcementcount 0 &gt;&gt;C:\Users\stu\Documents\GitHub\eaglep3-reporting\EC\2017-04-04-refined-times.txt</v>
      </c>
      <c r="AI32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ID","value":"120-04"},{"id":16,"name":"Locomotive ID","value":"4043"},{"id":130,"name":"Impact","value":""},{"id":150,"name":"Time of Event (Mountain Time)","value":"07:40:38"},{"id":151,"name":"Denver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6"/>
        <v>start /low /b %USERPROFILE%\Documents\GitHub\eaglep3\Utilities\DownloadLogsFromS3.py --loco 4043 --day 2017-04-04</v>
      </c>
      <c r="AN32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658</v>
      </c>
      <c r="B33" s="7">
        <v>4046</v>
      </c>
      <c r="C33" s="21" t="s">
        <v>217</v>
      </c>
      <c r="D33" s="21" t="s">
        <v>844</v>
      </c>
      <c r="E33" s="13">
        <v>42829.259097222224</v>
      </c>
      <c r="F33" s="13">
        <v>42829.260648148149</v>
      </c>
      <c r="G33" s="7">
        <v>1</v>
      </c>
      <c r="H33" s="21" t="s">
        <v>400</v>
      </c>
      <c r="I33" s="13">
        <v>42829.286539351851</v>
      </c>
      <c r="J33" s="7">
        <v>0</v>
      </c>
      <c r="K33" s="97" t="str">
        <f>IF(ISEVEN(B33),(B33-1)&amp;"/"&amp;B33,B33&amp;"/"&amp;(B33+1))</f>
        <v>4045/4046</v>
      </c>
      <c r="L33" s="21" t="str">
        <f>VLOOKUP(A33,'Trips&amp;Operators'!$C$1:$G$99999,5,FALSE)</f>
        <v>FORTUNATO FRANK</v>
      </c>
      <c r="M33" s="6">
        <f>I33-F33</f>
        <v>2.5891203702485655E-2</v>
      </c>
      <c r="N33" s="7">
        <f>24*60*SUM($M33:$M33)</f>
        <v>37.283333331579342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-04T05:13:06-0600',mode:absolute,to:'2017-04-04T07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3" t="str">
        <f>IF(AA33&lt;IF(AG33="EC",23,5.65),"Y","N")</f>
        <v>N</v>
      </c>
      <c r="X33" s="183">
        <f>VALUE(LEFT(AD33,4))-VALUE(LEFT(AD32,4))</f>
        <v>1</v>
      </c>
      <c r="Y33" s="62">
        <f>RIGHT(D33,LEN(D33)-4)/10000</f>
        <v>4.3700000000000003E-2</v>
      </c>
      <c r="Z33" s="62">
        <f>RIGHT(H33,LEN(H33)-4)/10000</f>
        <v>23.331399999999999</v>
      </c>
      <c r="AA33" s="62">
        <f>ABS(Z33-Y33)</f>
        <v>23.287699999999997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0121-04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/stypes="app*4046*20170404*"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4"/>
        <v>"%USERPROFILE%\Documents\GitHub\eaglep3\Utilities\RefineRTDCRunTimes.py" --tripid 121-04 --locoid 4046 --swversion DE.1.0.9.0 --startMP 204:437 --initTime 2017-04-04T06:13:06 --startdatetime 2017-04-04T06:15:20 --delay 1 --endMP 204:233314 --enddatetime 2017-04-04T06:52:37 --enforcementcount 0 &gt;&gt;C:\Users\stu\Documents\GitHub\eaglep3-reporting\EC\2017-04-04-refined-times.txt</v>
      </c>
      <c r="AI33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ID","value":"121-04"},{"id":16,"name":"Locomotive ID","value":"4046"},{"id":130,"name":"Impact","value":""},{"id":150,"name":"Time of Event (Mountain Time)","value":"06:52:37"},{"id":151,"name":"Denver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6"/>
        <v>start /low /b %USERPROFILE%\Documents\GitHub\eaglep3\Utilities\DownloadLogsFromS3.py --loco 4046 --day 2017-04-04</v>
      </c>
      <c r="AN33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596</v>
      </c>
      <c r="B34" s="7">
        <v>4045</v>
      </c>
      <c r="C34" s="21" t="s">
        <v>217</v>
      </c>
      <c r="D34" s="21" t="s">
        <v>401</v>
      </c>
      <c r="E34" s="13">
        <v>42829.291851851849</v>
      </c>
      <c r="F34" s="13">
        <v>42829.29954861111</v>
      </c>
      <c r="G34" s="7">
        <v>1</v>
      </c>
      <c r="H34" s="21" t="s">
        <v>420</v>
      </c>
      <c r="I34" s="13">
        <v>42829.328368055554</v>
      </c>
      <c r="J34" s="7">
        <v>0</v>
      </c>
      <c r="K34" s="97" t="str">
        <f>IF(ISEVEN(B34),(B34-1)&amp;"/"&amp;B34,B34&amp;"/"&amp;(B34+1))</f>
        <v>4045/4046</v>
      </c>
      <c r="L34" s="21" t="str">
        <f>VLOOKUP(A34,'Trips&amp;Operators'!$C$1:$G$99999,5,FALSE)</f>
        <v>FORTUNATO FRANK</v>
      </c>
      <c r="M34" s="6">
        <f>I34-F34</f>
        <v>2.8819444443797693E-2</v>
      </c>
      <c r="N34" s="7">
        <f>24*60*SUM($M34:$M34)</f>
        <v>41.499999999068677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3" t="str">
        <f>IF(AA34&lt;IF(AG34="EC",23,5.65),"Y","N")</f>
        <v>N</v>
      </c>
      <c r="X34" s="183">
        <f>VALUE(LEFT(AD34,4))-VALUE(LEFT(AD33,4))</f>
        <v>1</v>
      </c>
      <c r="Y34" s="62">
        <f>RIGHT(D34,LEN(D34)-4)/10000</f>
        <v>23.299600000000002</v>
      </c>
      <c r="Z34" s="62">
        <f>RIGHT(H34,LEN(H34)-4)/10000</f>
        <v>1.3899999999999999E-2</v>
      </c>
      <c r="AA34" s="62">
        <f>ABS(Z34-Y34)</f>
        <v>23.285700000000002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0122-04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/stypes="app*4045*20170404*"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4"/>
        <v>"%USERPROFILE%\Documents\GitHub\eaglep3\Utilities\RefineRTDCRunTimes.py" --tripid 122-04 --locoid 4045 --swversion DE.1.0.9.0 --startMP 204:232996 --initTime 2017-04-04T07:00:16 --startdatetime 2017-04-04T07:11:21 --delay 1 --endMP 204:139 --enddatetime 2017-04-04T07:52:51 --enforcementcount 0 &gt;&gt;C:\Users\stu\Documents\GitHub\eaglep3-reporting\EC\2017-04-04-refined-times.txt</v>
      </c>
      <c r="AI34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ID","value":"122-04"},{"id":16,"name":"Locomotive ID","value":"4045"},{"id":130,"name":"Impact","value":""},{"id":150,"name":"Time of Event (Mountain Time)","value":"07:52:51"},{"id":151,"name":"Denver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6"/>
        <v>start /low /b %USERPROFILE%\Documents\GitHub\eaglep3\Utilities\DownloadLogsFromS3.py --loco 4045 --day 2017-04-04</v>
      </c>
      <c r="AN34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592</v>
      </c>
      <c r="B35" s="7">
        <v>4008</v>
      </c>
      <c r="C35" s="21" t="s">
        <v>217</v>
      </c>
      <c r="D35" s="21" t="s">
        <v>435</v>
      </c>
      <c r="E35" s="13">
        <v>42829.268842592595</v>
      </c>
      <c r="F35" s="13">
        <v>42829.270972222221</v>
      </c>
      <c r="G35" s="7">
        <v>1</v>
      </c>
      <c r="H35" s="21" t="s">
        <v>845</v>
      </c>
      <c r="I35" s="13">
        <v>42829.297372685185</v>
      </c>
      <c r="J35" s="7">
        <v>0</v>
      </c>
      <c r="K35" s="97" t="str">
        <f>IF(ISEVEN(B35),(B35-1)&amp;"/"&amp;B35,B35&amp;"/"&amp;(B35+1))</f>
        <v>4007/4008</v>
      </c>
      <c r="L35" s="21" t="str">
        <f>VLOOKUP(A35,'Trips&amp;Operators'!$C$1:$G$99999,5,FALSE)</f>
        <v>DAVIS WENDY</v>
      </c>
      <c r="M35" s="6">
        <f>I35-F35</f>
        <v>2.6400462964375038E-2</v>
      </c>
      <c r="N35" s="7">
        <f>24*60*SUM($M35:$M35)</f>
        <v>38.016666668700054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83" t="str">
        <f>IF(AA35&lt;IF(AG35="EC",23,5.65),"Y","N")</f>
        <v>N</v>
      </c>
      <c r="X35" s="183">
        <f>VALUE(LEFT(AD35,4))-VALUE(LEFT(AD34,4))</f>
        <v>1</v>
      </c>
      <c r="Y35" s="62">
        <f>RIGHT(D35,LEN(D35)-4)/10000</f>
        <v>4.6199999999999998E-2</v>
      </c>
      <c r="Z35" s="62">
        <f>RIGHT(H35,LEN(H35)-4)/10000</f>
        <v>23.332100000000001</v>
      </c>
      <c r="AA35" s="62">
        <f>ABS(Z35-Y35)</f>
        <v>23.285900000000002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0123-04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/stypes="app*4008*20170404*"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4"/>
        <v>"%USERPROFILE%\Documents\GitHub\eaglep3\Utilities\RefineRTDCRunTimes.py" --tripid 123-04 --locoid 4008 --swversion DE.1.0.9.0 --startMP 204:462 --initTime 2017-04-04T06:27:08 --startdatetime 2017-04-04T06:30:12 --delay 1 --endMP 204:233321 --enddatetime 2017-04-04T07:08:13 --enforcementcount 0 &gt;&gt;C:\Users\stu\Documents\GitHub\eaglep3-reporting\EC\2017-04-04-refined-times.txt</v>
      </c>
      <c r="AI35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{"issue":{"subject":"","project_id":79,"tracker_id":40,"status_id":1,"priority_id":2,"assigned_to_id":23,"start_date":"2017-04-04","description":"","custom_fields":[{"id":1,"name":"Subdivision","value":"EC"},{"id":4,"name":"Milepost","value":"23.3321"},{"id":17,"name":"Train ID","value":"123-04"},{"id":16,"name":"Locomotive ID","value":"4008"},{"id":130,"name":"Impact","value":""},{"id":150,"name":"Time of Event (Mountain Time)","value":"07:08:13"},{"id":151,"name":"Denver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6"/>
        <v>start /low /b %USERPROFILE%\Documents\GitHub\eaglep3\Utilities\DownloadLogsFromS3.py --loco 4008 --day 2017-04-04</v>
      </c>
      <c r="AN35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665</v>
      </c>
      <c r="B36" s="7">
        <v>4007</v>
      </c>
      <c r="C36" s="21" t="s">
        <v>217</v>
      </c>
      <c r="D36" s="21" t="s">
        <v>441</v>
      </c>
      <c r="E36" s="13">
        <v>42829.306435185186</v>
      </c>
      <c r="F36" s="13">
        <v>42829.309953703705</v>
      </c>
      <c r="G36" s="7">
        <v>1</v>
      </c>
      <c r="H36" s="21" t="s">
        <v>199</v>
      </c>
      <c r="I36" s="13">
        <v>42829.337673611109</v>
      </c>
      <c r="J36" s="7">
        <v>0</v>
      </c>
      <c r="K36" s="97" t="str">
        <f>IF(ISEVEN(B36),(B36-1)&amp;"/"&amp;B36,B36&amp;"/"&amp;(B36+1))</f>
        <v>4007/4008</v>
      </c>
      <c r="L36" s="21" t="str">
        <f>VLOOKUP(A36,'Trips&amp;Operators'!$C$1:$G$99999,5,FALSE)</f>
        <v>DAVIS WENDY</v>
      </c>
      <c r="M36" s="6">
        <f>I36-F36</f>
        <v>2.7719907404389232E-2</v>
      </c>
      <c r="N36" s="7">
        <f>24*60*SUM($M36:$M36)</f>
        <v>39.916666662320495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-04T06:21:16-0600',mode:absolute,to:'2017-04-04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3" t="str">
        <f>IF(AA36&lt;IF(AG36="EC",23,5.65),"Y","N")</f>
        <v>N</v>
      </c>
      <c r="X36" s="183">
        <f>VALUE(LEFT(AD36,4))-VALUE(LEFT(AD35,4))</f>
        <v>1</v>
      </c>
      <c r="Y36" s="62">
        <f>RIGHT(D36,LEN(D36)-4)/10000</f>
        <v>23.2989</v>
      </c>
      <c r="Z36" s="62">
        <f>RIGHT(H36,LEN(H36)-4)/10000</f>
        <v>1.52E-2</v>
      </c>
      <c r="AA36" s="62">
        <f>ABS(Z36-Y36)</f>
        <v>23.2837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0124-04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/stypes="app*4007*20170404*"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4"/>
        <v>"%USERPROFILE%\Documents\GitHub\eaglep3\Utilities\RefineRTDCRunTimes.py" --tripid 124-04 --locoid 4007 --swversion DE.1.0.9.0 --startMP 204:232989 --initTime 2017-04-04T07:21:16 --startdatetime 2017-04-04T07:26:20 --delay 1 --endMP 204:152 --enddatetime 2017-04-04T08:06:15 --enforcementcount 0 &gt;&gt;C:\Users\stu\Documents\GitHub\eaglep3-reporting\EC\2017-04-04-refined-times.txt</v>
      </c>
      <c r="AI36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ID","value":"124-04"},{"id":16,"name":"Locomotive ID","value":"4007"},{"id":130,"name":"Impact","value":""},{"id":150,"name":"Time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6"/>
        <v>start /low /b %USERPROFILE%\Documents\GitHub\eaglep3\Utilities\DownloadLogsFromS3.py --loco 4007 --day 2017-04-04</v>
      </c>
      <c r="AN36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594</v>
      </c>
      <c r="B37" s="7">
        <v>4014</v>
      </c>
      <c r="C37" s="21" t="s">
        <v>217</v>
      </c>
      <c r="D37" s="21" t="s">
        <v>464</v>
      </c>
      <c r="E37" s="13">
        <v>42829.277013888888</v>
      </c>
      <c r="F37" s="13">
        <v>42829.281481481485</v>
      </c>
      <c r="G37" s="7">
        <v>1</v>
      </c>
      <c r="H37" s="21" t="s">
        <v>846</v>
      </c>
      <c r="I37" s="13">
        <v>42829.30672453704</v>
      </c>
      <c r="J37" s="7">
        <v>0</v>
      </c>
      <c r="K37" s="97" t="str">
        <f>IF(ISEVEN(B37),(B37-1)&amp;"/"&amp;B37,B37&amp;"/"&amp;(B37+1))</f>
        <v>4013/4014</v>
      </c>
      <c r="L37" s="21" t="str">
        <f>VLOOKUP(A37,'Trips&amp;Operators'!$C$1:$G$99999,5,FALSE)</f>
        <v>LOZA FIDEL</v>
      </c>
      <c r="M37" s="6">
        <f>I37-F37</f>
        <v>2.5243055555620231E-2</v>
      </c>
      <c r="N37" s="7">
        <f>24*60*SUM($M37:$M37)</f>
        <v>36.350000000093132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83" t="str">
        <f>IF(AA37&lt;IF(AG37="EC",23,5.65),"Y","N")</f>
        <v>N</v>
      </c>
      <c r="X37" s="183">
        <f>VALUE(LEFT(AD37,4))-VALUE(LEFT(AD36,4))</f>
        <v>1</v>
      </c>
      <c r="Y37" s="62">
        <f>RIGHT(D37,LEN(D37)-4)/10000</f>
        <v>4.82E-2</v>
      </c>
      <c r="Z37" s="62">
        <f>RIGHT(H37,LEN(H37)-4)/10000</f>
        <v>23.3339</v>
      </c>
      <c r="AA37" s="62">
        <f>ABS(Z37-Y37)</f>
        <v>23.285699999999999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0125-04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/stypes="app*4014*20170404*"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4"/>
        <v>"%USERPROFILE%\Documents\GitHub\eaglep3\Utilities\RefineRTDCRunTimes.py" --tripid 125-04 --locoid 4014 --swversion DE.1.0.9.0 --startMP 204:482 --initTime 2017-04-04T06:38:54 --startdatetime 2017-04-04T06:45:20 --delay 1 --endMP 204:233339 --enddatetime 2017-04-04T07:21:41 --enforcementcount 0 &gt;&gt;C:\Users\stu\Documents\GitHub\eaglep3-reporting\EC\2017-04-04-refined-times.txt</v>
      </c>
      <c r="AI37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{"issue":{"subject":"","project_id":79,"tracker_id":40,"status_id":1,"priority_id":2,"assigned_to_id":23,"start_date":"2017-04-04","description":"","custom_fields":[{"id":1,"name":"Subdivision","value":"EC"},{"id":4,"name":"Milepost","value":"23.3339"},{"id":17,"name":"Train ID","value":"125-04"},{"id":16,"name":"Locomotive ID","value":"4014"},{"id":130,"name":"Impact","value":""},{"id":150,"name":"Time of Event (Mountain Time)","value":"07:21:41"},{"id":151,"name":"Denver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6"/>
        <v>start /low /b %USERPROFILE%\Documents\GitHub\eaglep3\Utilities\DownloadLogsFromS3.py --loco 4014 --day 2017-04-04</v>
      </c>
      <c r="AN37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668</v>
      </c>
      <c r="B38" s="7">
        <v>4013</v>
      </c>
      <c r="C38" s="21" t="s">
        <v>217</v>
      </c>
      <c r="D38" s="21" t="s">
        <v>835</v>
      </c>
      <c r="E38" s="13">
        <v>42829.31659722222</v>
      </c>
      <c r="F38" s="13">
        <v>42829.3203587963</v>
      </c>
      <c r="G38" s="7">
        <v>1</v>
      </c>
      <c r="H38" s="21" t="s">
        <v>191</v>
      </c>
      <c r="I38" s="13">
        <v>42829.34884259259</v>
      </c>
      <c r="J38" s="7">
        <v>0</v>
      </c>
      <c r="K38" s="97" t="str">
        <f>IF(ISEVEN(B38),(B38-1)&amp;"/"&amp;B38,B38&amp;"/"&amp;(B38+1))</f>
        <v>4013/4014</v>
      </c>
      <c r="L38" s="21" t="str">
        <f>VLOOKUP(A38,'Trips&amp;Operators'!$C$1:$G$99999,5,FALSE)</f>
        <v>LOZA FIDEL</v>
      </c>
      <c r="M38" s="6">
        <f>I38-F38</f>
        <v>2.848379628994735E-2</v>
      </c>
      <c r="N38" s="7">
        <f>24*60*SUM($M38:$M38)</f>
        <v>41.016666657524183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83" t="str">
        <f>IF(AA38&lt;IF(AG38="EC",23,5.65),"Y","N")</f>
        <v>N</v>
      </c>
      <c r="X38" s="183">
        <f>VALUE(LEFT(AD38,4))-VALUE(LEFT(AD37,4))</f>
        <v>1</v>
      </c>
      <c r="Y38" s="62">
        <f>RIGHT(D38,LEN(D38)-4)/10000</f>
        <v>23.298999999999999</v>
      </c>
      <c r="Z38" s="62">
        <f>RIGHT(H38,LEN(H38)-4)/10000</f>
        <v>1.4999999999999999E-2</v>
      </c>
      <c r="AA38" s="62">
        <f>ABS(Z38-Y38)</f>
        <v>23.283999999999999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0126-04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/stypes="app*4013*20170404*"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4"/>
        <v>"%USERPROFILE%\Documents\GitHub\eaglep3\Utilities\RefineRTDCRunTimes.py" --tripid 126-04 --locoid 4013 --swversion DE.1.0.9.0 --startMP 204:232990 --initTime 2017-04-04T07:35:54 --startdatetime 2017-04-04T07:41:19 --delay 1 --endMP 204:150 --enddatetime 2017-04-04T08:22:20 --enforcementcount 0 &gt;&gt;C:\Users\stu\Documents\GitHub\eaglep3-reporting\EC\2017-04-04-refined-times.txt</v>
      </c>
      <c r="AI38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ID","value":"126-04"},{"id":16,"name":"Locomotive ID","value":"4013"},{"id":130,"name":"Impact","value":""},{"id":150,"name":"Time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6"/>
        <v>start /low /b %USERPROFILE%\Documents\GitHub\eaglep3\Utilities\DownloadLogsFromS3.py --loco 4013 --day 2017-04-04</v>
      </c>
      <c r="AN38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661</v>
      </c>
      <c r="B39" s="7">
        <v>4054</v>
      </c>
      <c r="C39" s="21" t="s">
        <v>217</v>
      </c>
      <c r="D39" s="21" t="s">
        <v>211</v>
      </c>
      <c r="E39" s="13">
        <v>42829.28738425926</v>
      </c>
      <c r="F39" s="13">
        <v>42829.330810185187</v>
      </c>
      <c r="G39" s="7">
        <v>1</v>
      </c>
      <c r="H39" s="21" t="s">
        <v>434</v>
      </c>
      <c r="I39" s="13">
        <v>42829.356921296298</v>
      </c>
      <c r="J39" s="7">
        <v>0</v>
      </c>
      <c r="K39" s="97" t="str">
        <f>IF(ISEVEN(B39),(B39-1)&amp;"/"&amp;B39,B39&amp;"/"&amp;(B39+1))</f>
        <v>4053/4054</v>
      </c>
      <c r="L39" s="21" t="str">
        <f>VLOOKUP(A39,'Trips&amp;Operators'!$C$1:$G$99999,5,FALSE)</f>
        <v>SANTIZO D. EDY</v>
      </c>
      <c r="M39" s="6">
        <f>I39-F39</f>
        <v>2.6111111110367347E-2</v>
      </c>
      <c r="N39" s="7">
        <f>24*60*SUM($M39:$M39)</f>
        <v>37.599999998928979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-04T05:53:50-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183" t="str">
        <f>IF(AA39&lt;IF(AG39="EC",23,5.65),"Y","N")</f>
        <v>N</v>
      </c>
      <c r="X39" s="183">
        <f>VALUE(LEFT(AD39,4))-VALUE(LEFT(AD38,4))</f>
        <v>1</v>
      </c>
      <c r="Y39" s="62">
        <f>RIGHT(D39,LEN(D39)-4)/10000</f>
        <v>4.53E-2</v>
      </c>
      <c r="Z39" s="62">
        <f>RIGHT(H39,LEN(H39)-4)/10000</f>
        <v>23.330400000000001</v>
      </c>
      <c r="AA39" s="62">
        <f>ABS(Z39-Y39)</f>
        <v>23.2851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0127-04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/stypes="app*4054*20170404*" /stext=" 14:.+((SYSTEM_STATE.+slice.+state.+changed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4"/>
        <v>"%USERPROFILE%\Documents\GitHub\eaglep3\Utilities\RefineRTDCRunTimes.py" --tripid 127-04 --locoid 4054 --swversion DE.1.0.9.0 --startMP 204:453 --initTime 2017-04-04T06:53:50 --startdatetime 2017-04-04T07:56:22 --delay 1 --endMP 204:233304 --enddatetime 2017-04-04T08:33:58 --enforcementcount 0 &gt;&gt;C:\Users\stu\Documents\GitHub\eaglep3-reporting\EC\2017-04-04-refined-times.txt</v>
      </c>
      <c r="AI39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{"issue":{"subject":"","project_id":79,"tracker_id":40,"status_id":1,"priority_id":2,"assigned_to_id":23,"start_date":"2017-04-04","description":"","custom_fields":[{"id":1,"name":"Subdivision","value":"EC"},{"id":4,"name":"Milepost","value":"23.3304"},{"id":17,"name":"Train ID","value":"127-04"},{"id":16,"name":"Locomotive ID","value":"4054"},{"id":130,"name":"Impact","value":""},{"id":150,"name":"Time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6"/>
        <v>start /low /b %USERPROFILE%\Documents\GitHub\eaglep3\Utilities\DownloadLogsFromS3.py --loco 4054 --day 2017-04-04</v>
      </c>
      <c r="AN39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598</v>
      </c>
      <c r="B40" s="7">
        <v>4053</v>
      </c>
      <c r="C40" s="21" t="s">
        <v>217</v>
      </c>
      <c r="D40" s="21" t="s">
        <v>401</v>
      </c>
      <c r="E40" s="13">
        <v>42829.319953703707</v>
      </c>
      <c r="F40" s="13">
        <v>42829.330810185187</v>
      </c>
      <c r="G40" s="7">
        <v>1</v>
      </c>
      <c r="H40" s="21" t="s">
        <v>847</v>
      </c>
      <c r="I40" s="13">
        <v>42829.356921296298</v>
      </c>
      <c r="J40" s="7">
        <v>0</v>
      </c>
      <c r="K40" s="97" t="str">
        <f>IF(ISEVEN(B40),(B40-1)&amp;"/"&amp;B40,B40&amp;"/"&amp;(B40+1))</f>
        <v>4053/4054</v>
      </c>
      <c r="L40" s="21" t="str">
        <f>VLOOKUP(A40,'Trips&amp;Operators'!$C$1:$G$99999,5,FALSE)</f>
        <v>SANTIZO D. EDY</v>
      </c>
      <c r="M40" s="6">
        <f>I40-F40</f>
        <v>2.6111111110367347E-2</v>
      </c>
      <c r="N40" s="7">
        <f>24*60*SUM($M40:$M40)</f>
        <v>37.599999998928979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83" t="str">
        <f>IF(AA40&lt;IF(AG40="EC",23,5.65),"Y","N")</f>
        <v>N</v>
      </c>
      <c r="X40" s="183">
        <f>VALUE(LEFT(AD40,4))-VALUE(LEFT(AD39,4))</f>
        <v>1</v>
      </c>
      <c r="Y40" s="62">
        <f>RIGHT(D40,LEN(D40)-4)/10000</f>
        <v>23.299600000000002</v>
      </c>
      <c r="Z40" s="62">
        <f>RIGHT(H40,LEN(H40)-4)/10000</f>
        <v>1.89E-2</v>
      </c>
      <c r="AA40" s="62">
        <f>ABS(Z40-Y40)</f>
        <v>23.280700000000003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0128-04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/stypes="app*4053*20170404*"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4"/>
        <v>"%USERPROFILE%\Documents\GitHub\eaglep3\Utilities\RefineRTDCRunTimes.py" --tripid 128-04 --locoid 4053 --swversion DE.1.0.9.0 --startMP 204:232996 --initTime 2017-04-04T07:40:44 --startdatetime 2017-04-04T07:56:22 --delay 1 --endMP 204:189 --enddatetime 2017-04-04T08:33:58 --enforcementcount 0 &gt;&gt;C:\Users\stu\Documents\GitHub\eaglep3-reporting\EC\2017-04-04-refined-times.txt</v>
      </c>
      <c r="AI40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{"issue":{"subject":"","project_id":79,"tracker_id":40,"status_id":1,"priority_id":2,"assigned_to_id":23,"start_date":"2017-04-04","description":"","custom_fields":[{"id":1,"name":"Subdivision","value":"EC"},{"id":4,"name":"Milepost","value":"0.0189"},{"id":17,"name":"Train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6"/>
        <v>start /low /b %USERPROFILE%\Documents\GitHub\eaglep3\Utilities\DownloadLogsFromS3.py --loco 4053 --day 2017-04-04</v>
      </c>
      <c r="AN40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663</v>
      </c>
      <c r="B41" s="7">
        <v>4004</v>
      </c>
      <c r="C41" s="21" t="s">
        <v>217</v>
      </c>
      <c r="D41" s="21" t="s">
        <v>848</v>
      </c>
      <c r="E41" s="13">
        <v>42829.297129629631</v>
      </c>
      <c r="F41" s="13">
        <v>42829.302546296298</v>
      </c>
      <c r="G41" s="7">
        <v>2</v>
      </c>
      <c r="H41" s="21" t="s">
        <v>564</v>
      </c>
      <c r="I41" s="13">
        <v>42829.328530092593</v>
      </c>
      <c r="J41" s="7">
        <v>0</v>
      </c>
      <c r="K41" s="97" t="str">
        <f>IF(ISEVEN(B41),(B41-1)&amp;"/"&amp;B41,B41&amp;"/"&amp;(B41+1))</f>
        <v>4003/4004</v>
      </c>
      <c r="L41" s="21" t="str">
        <f>VLOOKUP(A41,'Trips&amp;Operators'!$C$1:$G$99999,5,FALSE)</f>
        <v>MENGES BRAD</v>
      </c>
      <c r="M41" s="6">
        <f>I41-F41</f>
        <v>2.5983796294895001E-2</v>
      </c>
      <c r="N41" s="7">
        <f>24*60*SUM($M41:$M41)</f>
        <v>37.416666664648801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-04T06:07:52-0600',mode:absolute,to:'2017-04-04T08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83" t="str">
        <f>IF(AA41&lt;IF(AG41="EC",23,5.65),"Y","N")</f>
        <v>N</v>
      </c>
      <c r="X41" s="183">
        <f>VALUE(LEFT(AD41,4))-VALUE(LEFT(AD40,4))</f>
        <v>1</v>
      </c>
      <c r="Y41" s="62">
        <f>RIGHT(D41,LEN(D41)-4)/10000</f>
        <v>4.8800000000000003E-2</v>
      </c>
      <c r="Z41" s="62">
        <f>RIGHT(H41,LEN(H41)-4)/10000</f>
        <v>23.3263</v>
      </c>
      <c r="AA41" s="62">
        <f>ABS(Z41-Y41)</f>
        <v>23.2775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0129-04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/stypes="app*4004*20170404*"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4"/>
        <v>"%USERPROFILE%\Documents\GitHub\eaglep3\Utilities\RefineRTDCRunTimes.py" --tripid 129-04 --locoid 4004 --swversion DE.1.0.9.0 --startMP 204:488 --initTime 2017-04-04T07:07:52 --startdatetime 2017-04-04T07:15:40 --delay 2 --endMP 204:233263 --enddatetime 2017-04-04T07:53:05 --enforcementcount 0 &gt;&gt;C:\Users\stu\Documents\GitHub\eaglep3-reporting\EC\2017-04-04-refined-times.txt</v>
      </c>
      <c r="AI41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{"issue":{"subject":"","project_id":79,"tracker_id":40,"status_id":1,"priority_id":2,"assigned_to_id":23,"start_date":"2017-04-04","description":"","custom_fields":[{"id":1,"name":"Subdivision","value":"EC"},{"id":4,"name":"Milepost","value":"23.3263"},{"id":17,"name":"Train ID","value":"129-04"},{"id":16,"name":"Locomotive ID","value":"4004"},{"id":130,"name":"Impact","value":""},{"id":150,"name":"Time of Event (Mountain Time)","value":"07:53:05"},{"id":151,"name":"Denver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6"/>
        <v>start /low /b %USERPROFILE%\Documents\GitHub\eaglep3\Utilities\DownloadLogsFromS3.py --loco 4004 --day 2017-04-04</v>
      </c>
      <c r="AN41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672</v>
      </c>
      <c r="B42" s="7">
        <v>4003</v>
      </c>
      <c r="C42" s="21" t="s">
        <v>217</v>
      </c>
      <c r="D42" s="21" t="s">
        <v>849</v>
      </c>
      <c r="E42" s="13">
        <v>42829.333310185182</v>
      </c>
      <c r="F42" s="13">
        <v>42829.341331018521</v>
      </c>
      <c r="G42" s="7">
        <v>1</v>
      </c>
      <c r="H42" s="21" t="s">
        <v>838</v>
      </c>
      <c r="I42" s="13">
        <v>42829.369421296295</v>
      </c>
      <c r="J42" s="7">
        <v>0</v>
      </c>
      <c r="K42" s="97" t="str">
        <f>IF(ISEVEN(B42),(B42-1)&amp;"/"&amp;B42,B42&amp;"/"&amp;(B42+1))</f>
        <v>4003/4004</v>
      </c>
      <c r="L42" s="21" t="str">
        <f>VLOOKUP(A42,'Trips&amp;Operators'!$C$1:$G$99999,5,FALSE)</f>
        <v>MENGES BRAD</v>
      </c>
      <c r="M42" s="6">
        <f>I42-F42</f>
        <v>2.8090277774026617E-2</v>
      </c>
      <c r="N42" s="7">
        <f>24*60*SUM($M42:$M42)</f>
        <v>40.449999994598329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83" t="str">
        <f>IF(AA42&lt;IF(AG42="EC",23,5.65),"Y","N")</f>
        <v>N</v>
      </c>
      <c r="X42" s="183">
        <f>VALUE(LEFT(AD42,4))-VALUE(LEFT(AD41,4))</f>
        <v>1</v>
      </c>
      <c r="Y42" s="62">
        <f>RIGHT(D42,LEN(D42)-4)/10000</f>
        <v>23.294799999999999</v>
      </c>
      <c r="Z42" s="62">
        <f>RIGHT(H42,LEN(H42)-4)/10000</f>
        <v>1.67E-2</v>
      </c>
      <c r="AA42" s="62">
        <f>ABS(Z42-Y42)</f>
        <v>23.278099999999998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0130-04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/stypes="app*4003*20170404*"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4"/>
        <v>"%USERPROFILE%\Documents\GitHub\eaglep3\Utilities\RefineRTDCRunTimes.py" --tripid 130-04 --locoid 4003 --swversion DE.1.0.9.0 --startMP 204:232948 --initTime 2017-04-04T07:59:58 --startdatetime 2017-04-04T08:11:31 --delay 1 --endMP 204:167 --enddatetime 2017-04-04T08:51:58 --enforcementcount 0 &gt;&gt;C:\Users\stu\Documents\GitHub\eaglep3-reporting\EC\2017-04-04-refined-times.txt</v>
      </c>
      <c r="AI42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ID","value":"130-04"},{"id":16,"name":"Locomotive ID","value":"4003"},{"id":130,"name":"Impact","value":""},{"id":150,"name":"Time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6"/>
        <v>start /low /b %USERPROFILE%\Documents\GitHub\eaglep3\Utilities\DownloadLogsFromS3.py --loco 4003 --day 2017-04-04</v>
      </c>
      <c r="AN42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666</v>
      </c>
      <c r="B43" s="7">
        <v>4032</v>
      </c>
      <c r="C43" s="21" t="s">
        <v>217</v>
      </c>
      <c r="D43" s="21" t="s">
        <v>850</v>
      </c>
      <c r="E43" s="13">
        <v>42829.308449074073</v>
      </c>
      <c r="F43" s="13">
        <v>42829.312731481485</v>
      </c>
      <c r="G43" s="7">
        <v>1</v>
      </c>
      <c r="H43" s="21" t="s">
        <v>418</v>
      </c>
      <c r="I43" s="13">
        <v>42829.337812500002</v>
      </c>
      <c r="J43" s="7">
        <v>0</v>
      </c>
      <c r="K43" s="97" t="str">
        <f>IF(ISEVEN(B43),(B43-1)&amp;"/"&amp;B43,B43&amp;"/"&amp;(B43+1))</f>
        <v>4031/4032</v>
      </c>
      <c r="L43" s="21" t="str">
        <f>VLOOKUP(A43,'Trips&amp;Operators'!$C$1:$G$99999,5,FALSE)</f>
        <v>MAELZER KURT</v>
      </c>
      <c r="M43" s="6">
        <f>I43-F43</f>
        <v>2.5081018517084885E-2</v>
      </c>
      <c r="N43" s="7">
        <f>24*60*SUM($M43:$M43)</f>
        <v>36.116666664602235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-04T06:24:10-0600',mode:absolute,to:'2017-04-04T09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83" t="str">
        <f>IF(AA43&lt;IF(AG43="EC",23,5.65),"Y","N")</f>
        <v>N</v>
      </c>
      <c r="X43" s="183">
        <f>VALUE(LEFT(AD43,4))-VALUE(LEFT(AD42,4))</f>
        <v>1</v>
      </c>
      <c r="Y43" s="62">
        <f>RIGHT(D43,LEN(D43)-4)/10000</f>
        <v>4.3499999999999997E-2</v>
      </c>
      <c r="Z43" s="62">
        <f>RIGHT(H43,LEN(H43)-4)/10000</f>
        <v>23.329499999999999</v>
      </c>
      <c r="AA43" s="62">
        <f>ABS(Z43-Y43)</f>
        <v>23.285999999999998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0131-04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/stypes="app*4032*20170404*" /stext=" 14:.+((SYSTEM_STATE.+slice.+state.+changed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4"/>
        <v>"%USERPROFILE%\Documents\GitHub\eaglep3\Utilities\RefineRTDCRunTimes.py" --tripid 131-04 --locoid 4032 --swversion DE.1.0.9.0 --startMP 204:435 --initTime 2017-04-04T07:24:10 --startdatetime 2017-04-04T07:30:20 --delay 1 --endMP 204:233295 --enddatetime 2017-04-04T08:06:27 --enforcementcount 0 &gt;&gt;C:\Users\stu\Documents\GitHub\eaglep3-reporting\EC\2017-04-04-refined-times.txt</v>
      </c>
      <c r="AI43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ID","value":"131-04"},{"id":16,"name":"Locomotive ID","value":"4032"},{"id":130,"name":"Impact","value":""},{"id":150,"name":"Time of Event (Mountain Time)","value":"08:06:27"},{"id":151,"name":"Denver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6"/>
        <v>start /low /b %USERPROFILE%\Documents\GitHub\eaglep3\Utilities\DownloadLogsFromS3.py --loco 4032 --day 2017-04-04</v>
      </c>
      <c r="AN43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676</v>
      </c>
      <c r="B44" s="7">
        <v>4031</v>
      </c>
      <c r="C44" s="21" t="s">
        <v>217</v>
      </c>
      <c r="D44" s="21" t="s">
        <v>439</v>
      </c>
      <c r="E44" s="13">
        <v>42829.345520833333</v>
      </c>
      <c r="F44" s="13">
        <v>42829.351712962962</v>
      </c>
      <c r="G44" s="7">
        <v>0</v>
      </c>
      <c r="H44" s="21" t="s">
        <v>420</v>
      </c>
      <c r="I44" s="13">
        <v>42829.383576388886</v>
      </c>
      <c r="J44" s="7">
        <v>0</v>
      </c>
      <c r="K44" s="97" t="str">
        <f>IF(ISEVEN(B44),(B44-1)&amp;"/"&amp;B44,B44&amp;"/"&amp;(B44+1))</f>
        <v>4031/4032</v>
      </c>
      <c r="L44" s="21" t="str">
        <f>VLOOKUP(A44,'Trips&amp;Operators'!$C$1:$G$99999,5,FALSE)</f>
        <v>MAELZER KURT</v>
      </c>
      <c r="M44" s="6">
        <f>I44-F44</f>
        <v>3.1863425923802424E-2</v>
      </c>
      <c r="N44" s="7">
        <f>24*60*SUM($M44:$M44)</f>
        <v>45.883333330275491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83" t="str">
        <f>IF(AA44&lt;IF(AG44="EC",23,5.65),"Y","N")</f>
        <v>N</v>
      </c>
      <c r="X44" s="183">
        <f>VALUE(LEFT(AD44,4))-VALUE(LEFT(AD43,4))</f>
        <v>1</v>
      </c>
      <c r="Y44" s="62">
        <f>RIGHT(D44,LEN(D44)-4)/10000</f>
        <v>23.297899999999998</v>
      </c>
      <c r="Z44" s="62">
        <f>RIGHT(H44,LEN(H44)-4)/10000</f>
        <v>1.3899999999999999E-2</v>
      </c>
      <c r="AA44" s="62">
        <f>ABS(Z44-Y44)</f>
        <v>23.283999999999999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0132-04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/stypes="app*4031*20170404*" /stext=" 15:.+((SYSTEM_STATE.+slice.+state.+changed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4"/>
        <v>"%USERPROFILE%\Documents\GitHub\eaglep3\Utilities\RefineRTDCRunTimes.py" --tripid 132-04 --locoid 4031 --swversion DE.1.0.9.0 --startMP 204:232979 --initTime 2017-04-04T08:17:33 --startdatetime 2017-04-04T08:26:28 --delay 0 --endMP 204:139 --enddatetime 2017-04-04T09:12:21 --enforcementcount 0 &gt;&gt;C:\Users\stu\Documents\GitHub\eaglep3-reporting\EC\2017-04-04-refined-times.txt</v>
      </c>
      <c r="AI44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ID","value":"132-04"},{"id":16,"name":"Locomotive ID","value":"4031"},{"id":130,"name":"Impact","value":""},{"id":150,"name":"Time of Event (Mountain Time)","value":"09:12:21"},{"id":151,"name":"Denver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6"/>
        <v>start /low /b %USERPROFILE%\Documents\GitHub\eaglep3\Utilities\DownloadLogsFromS3.py --loco 4031 --day 2017-04-04</v>
      </c>
      <c r="AN44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670</v>
      </c>
      <c r="B45" s="7">
        <v>4044</v>
      </c>
      <c r="C45" s="21" t="s">
        <v>217</v>
      </c>
      <c r="D45" s="21" t="s">
        <v>462</v>
      </c>
      <c r="E45" s="13">
        <v>42829.321261574078</v>
      </c>
      <c r="F45" s="13">
        <v>42829.323101851849</v>
      </c>
      <c r="G45" s="7">
        <v>1</v>
      </c>
      <c r="H45" s="21" t="s">
        <v>466</v>
      </c>
      <c r="I45" s="13">
        <v>42829.34783564815</v>
      </c>
      <c r="J45" s="7">
        <v>0</v>
      </c>
      <c r="K45" s="97" t="str">
        <f>IF(ISEVEN(B45),(B45-1)&amp;"/"&amp;B45,B45&amp;"/"&amp;(B45+1))</f>
        <v>4043/4044</v>
      </c>
      <c r="L45" s="21" t="str">
        <f>VLOOKUP(A45,'Trips&amp;Operators'!$C$1:$G$99999,5,FALSE)</f>
        <v>STARKS ANGELINA</v>
      </c>
      <c r="M45" s="6">
        <f>I45-F45</f>
        <v>2.4733796301006805E-2</v>
      </c>
      <c r="N45" s="7">
        <f>24*60*SUM($M45:$M45)</f>
        <v>35.616666673449799</v>
      </c>
      <c r="O45" s="7"/>
      <c r="P45" s="7"/>
      <c r="Q45" s="22"/>
      <c r="R45" s="22" t="s">
        <v>1049</v>
      </c>
      <c r="S45" s="31">
        <f>SUM(U45:U45)/IF(AG45="EC",12,1)</f>
        <v>1</v>
      </c>
      <c r="T45" s="46" t="str">
        <f>IF(ISEVEN(LEFT(AD45,4)),"Southbound","NorthBound")</f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-04T06:42:37-0600',mode:absolute,to:'2017-04-04T09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83" t="str">
        <f>IF(AA45&lt;IF(AG45="EC",23,5.65),"Y","N")</f>
        <v>N</v>
      </c>
      <c r="X45" s="183">
        <f>VALUE(LEFT(AD45,4))-VALUE(LEFT(AD44,4))</f>
        <v>1</v>
      </c>
      <c r="Y45" s="62">
        <f>RIGHT(D45,LEN(D45)-4)/10000</f>
        <v>4.6600000000000003E-2</v>
      </c>
      <c r="Z45" s="62">
        <f>RIGHT(H45,LEN(H45)-4)/10000</f>
        <v>23.327999999999999</v>
      </c>
      <c r="AA45" s="62">
        <f>ABS(Z45-Y45)</f>
        <v>23.281399999999998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0133-04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/stypes="app*4044*20170404*"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4"/>
        <v>"%USERPROFILE%\Documents\GitHub\eaglep3\Utilities\RefineRTDCRunTimes.py" --tripid 133-04 --locoid 4044 --swversion DE.1.0.9.0 --startMP 204:466 --initTime 2017-04-04T07:42:37 --startdatetime 2017-04-04T07:45:16 --delay 1 --endMP 204:233280 --enddatetime 2017-04-04T08:20:53 --enforcementcount 0 &gt;&gt;C:\Users\stu\Documents\GitHub\eaglep3-reporting\EC\2017-04-04-refined-times.txt</v>
      </c>
      <c r="AI45" s="104" t="str">
        <f t="shared" si="5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corrected","project_id":79,"tracker_id":40,"status_id":1,"priority_id":2,"assigned_to_id":23,"start_date":"2017-04-04","description":"","custom_fields":[{"id":1,"name":"Subdivision","value":"EC"},{"id":4,"name":"Milepost","value":"23.328"},{"id":17,"name":"Train ID","value":"133-04"},{"id":16,"name":"Locomotive ID","value":"4044"},{"id":130,"name":"Impact","value":""},{"id":150,"name":"Time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6"/>
        <v>start /low /b %USERPROFILE%\Documents\GitHub\eaglep3\Utilities\DownloadLogsFromS3.py --loco 4044 --day 2017-04-04</v>
      </c>
      <c r="AN45" s="159" t="str">
        <f t="shared" si="7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599</v>
      </c>
      <c r="B46" s="7">
        <v>4043</v>
      </c>
      <c r="C46" s="21" t="s">
        <v>217</v>
      </c>
      <c r="D46" s="21" t="s">
        <v>436</v>
      </c>
      <c r="E46" s="13">
        <v>42829.359652777777</v>
      </c>
      <c r="F46" s="13">
        <v>42829.362002314818</v>
      </c>
      <c r="G46" s="7">
        <v>1</v>
      </c>
      <c r="H46" s="21" t="s">
        <v>199</v>
      </c>
      <c r="I46" s="13">
        <v>42829.393263888887</v>
      </c>
      <c r="J46" s="7">
        <v>0</v>
      </c>
      <c r="K46" s="97" t="str">
        <f>IF(ISEVEN(B46),(B46-1)&amp;"/"&amp;B46,B46&amp;"/"&amp;(B46+1))</f>
        <v>4043/4044</v>
      </c>
      <c r="L46" s="21" t="str">
        <f>VLOOKUP(A46,'Trips&amp;Operators'!$C$1:$G$99999,5,FALSE)</f>
        <v>STARKS ANGELINA</v>
      </c>
      <c r="M46" s="6">
        <f>I46-F46</f>
        <v>3.1261574069503695E-2</v>
      </c>
      <c r="N46" s="7">
        <f>24*60*SUM($M46:$M46)</f>
        <v>45.01666666008532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83" t="str">
        <f>IF(AA46&lt;IF(AG46="EC",23,5.65),"Y","N")</f>
        <v>N</v>
      </c>
      <c r="X46" s="183">
        <f>VALUE(LEFT(AD46,4))-VALUE(LEFT(AD45,4))</f>
        <v>1</v>
      </c>
      <c r="Y46" s="62">
        <f>RIGHT(D46,LEN(D46)-4)/10000</f>
        <v>23.2973</v>
      </c>
      <c r="Z46" s="62">
        <f>RIGHT(H46,LEN(H46)-4)/10000</f>
        <v>1.52E-2</v>
      </c>
      <c r="AA46" s="62">
        <f>ABS(Z46-Y46)</f>
        <v>23.2821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>IF(LEN(A46)=6,"0"&amp;A46,A46)</f>
        <v>0134-04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/stypes="app*4043*20170404*"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4"/>
        <v>"%USERPROFILE%\Documents\GitHub\eaglep3\Utilities\RefineRTDCRunTimes.py" --tripid 134-04 --locoid 4043 --swversion DE.1.0.9.0 --startMP 204:232973 --initTime 2017-04-04T08:37:54 --startdatetime 2017-04-04T08:41:17 --delay 1 --endMP 204:152 --enddatetime 2017-04-04T09:26:18 --enforcementcount 0 &gt;&gt;C:\Users\stu\Documents\GitHub\eaglep3-reporting\EC\2017-04-04-refined-times.txt</v>
      </c>
      <c r="AI46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ID","value":"134-04"},{"id":16,"name":"Locomotive ID","value":"4043"},{"id":130,"name":"Impact","value":""},{"id":150,"name":"Time of Event (Mountain Time)","value":"09:26:18"},{"id":151,"name":"Denver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6"/>
        <v>start /low /b %USERPROFILE%\Documents\GitHub\eaglep3\Utilities\DownloadLogsFromS3.py --loco 4043 --day 2017-04-04</v>
      </c>
      <c r="AN46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671</v>
      </c>
      <c r="B47" s="7">
        <v>4046</v>
      </c>
      <c r="C47" s="21" t="s">
        <v>217</v>
      </c>
      <c r="D47" s="21" t="s">
        <v>212</v>
      </c>
      <c r="E47" s="13">
        <v>42829.330428240741</v>
      </c>
      <c r="F47" s="13">
        <v>42829.333564814813</v>
      </c>
      <c r="G47" s="7">
        <v>1</v>
      </c>
      <c r="H47" s="21" t="s">
        <v>851</v>
      </c>
      <c r="I47" s="13">
        <v>42829.360671296294</v>
      </c>
      <c r="J47" s="7">
        <v>0</v>
      </c>
      <c r="K47" s="97" t="str">
        <f>IF(ISEVEN(B47),(B47-1)&amp;"/"&amp;B47,B47&amp;"/"&amp;(B47+1))</f>
        <v>4045/4046</v>
      </c>
      <c r="L47" s="21" t="str">
        <f>VLOOKUP(A47,'Trips&amp;Operators'!$C$1:$G$99999,5,FALSE)</f>
        <v>FORTUNATO FRANK</v>
      </c>
      <c r="M47" s="6">
        <f>I47-F47</f>
        <v>2.7106481480586808E-2</v>
      </c>
      <c r="N47" s="7">
        <f>24*60*SUM($M47:$M47)</f>
        <v>39.033333332045004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-04T06:55:49-0600',mode:absolute,to:'2017-04-04T09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83" t="str">
        <f>IF(AA47&lt;IF(AG47="EC",23,5.65),"Y","N")</f>
        <v>N</v>
      </c>
      <c r="X47" s="183">
        <f>VALUE(LEFT(AD47,4))-VALUE(LEFT(AD46,4))</f>
        <v>1</v>
      </c>
      <c r="Y47" s="62">
        <f>RIGHT(D47,LEN(D47)-4)/10000</f>
        <v>4.5499999999999999E-2</v>
      </c>
      <c r="Z47" s="62">
        <f>RIGHT(H47,LEN(H47)-4)/10000</f>
        <v>23.336400000000001</v>
      </c>
      <c r="AA47" s="62">
        <f>ABS(Z47-Y47)</f>
        <v>23.290900000000001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0135-04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/stypes="app*4046*20170404*"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4"/>
        <v>"%USERPROFILE%\Documents\GitHub\eaglep3\Utilities\RefineRTDCRunTimes.py" --tripid 135-04 --locoid 4046 --swversion DE.1.0.9.0 --startMP 204:455 --initTime 2017-04-04T07:55:49 --startdatetime 2017-04-04T08:00:20 --delay 1 --endMP 204:233364 --enddatetime 2017-04-04T08:39:22 --enforcementcount 0 &gt;&gt;C:\Users\stu\Documents\GitHub\eaglep3-reporting\EC\2017-04-04-refined-times.txt</v>
      </c>
      <c r="AI47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ID","value":"135-04"},{"id":16,"name":"Locomotive ID","value":"4046"},{"id":130,"name":"Impact","value":""},{"id":150,"name":"Time of Event (Mountain Time)","value":"08:39:22"},{"id":151,"name":"Denver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6"/>
        <v>start /low /b %USERPROFILE%\Documents\GitHub\eaglep3\Utilities\DownloadLogsFromS3.py --loco 4046 --day 2017-04-04</v>
      </c>
      <c r="AN47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681</v>
      </c>
      <c r="B48" s="7">
        <v>4045</v>
      </c>
      <c r="C48" s="21" t="s">
        <v>217</v>
      </c>
      <c r="D48" s="21" t="s">
        <v>467</v>
      </c>
      <c r="E48" s="13">
        <v>42829.366770833331</v>
      </c>
      <c r="F48" s="13">
        <v>42829.372453703705</v>
      </c>
      <c r="G48" s="7">
        <v>1</v>
      </c>
      <c r="H48" s="21" t="s">
        <v>213</v>
      </c>
      <c r="I48" s="13">
        <v>42829.405636574076</v>
      </c>
      <c r="J48" s="7">
        <v>0</v>
      </c>
      <c r="K48" s="97" t="str">
        <f>IF(ISEVEN(B48),(B48-1)&amp;"/"&amp;B48,B48&amp;"/"&amp;(B48+1))</f>
        <v>4045/4046</v>
      </c>
      <c r="L48" s="21" t="str">
        <f>VLOOKUP(A48,'Trips&amp;Operators'!$C$1:$G$99999,5,FALSE)</f>
        <v>FORTUNATO FRANK</v>
      </c>
      <c r="M48" s="6">
        <f>I48-F48</f>
        <v>3.3182870371092577E-2</v>
      </c>
      <c r="N48" s="7">
        <f>24*60*SUM($M48:$M48)</f>
        <v>47.78333333437331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83" t="str">
        <f>IF(AA48&lt;IF(AG48="EC",23,5.65),"Y","N")</f>
        <v>N</v>
      </c>
      <c r="X48" s="183">
        <f>VALUE(LEFT(AD48,4))-VALUE(LEFT(AD47,4))</f>
        <v>1</v>
      </c>
      <c r="Y48" s="62">
        <f>RIGHT(D48,LEN(D48)-4)/10000</f>
        <v>23.299800000000001</v>
      </c>
      <c r="Z48" s="62">
        <f>RIGHT(H48,LEN(H48)-4)/10000</f>
        <v>1.5599999999999999E-2</v>
      </c>
      <c r="AA48" s="62">
        <f>ABS(Z48-Y48)</f>
        <v>23.284200000000002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0136-04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/stypes="app*4045*20170404*"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4"/>
        <v>"%USERPROFILE%\Documents\GitHub\eaglep3\Utilities\RefineRTDCRunTimes.py" --tripid 136-04 --locoid 4045 --swversion DE.1.0.9.0 --startMP 204:232998 --initTime 2017-04-04T08:48:09 --startdatetime 2017-04-04T08:56:20 --delay 1 --endMP 204:156 --enddatetime 2017-04-04T09:44:07 --enforcementcount 0 &gt;&gt;C:\Users\stu\Documents\GitHub\eaglep3-reporting\EC\2017-04-04-refined-times.txt</v>
      </c>
      <c r="AI48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ID","value":"136-04"},{"id":16,"name":"Locomotive ID","value":"4045"},{"id":130,"name":"Impact","value":""},{"id":150,"name":"Time of Event (Mountain Time)","value":"09:44:07"},{"id":151,"name":"Denver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6"/>
        <v>start /low /b %USERPROFILE%\Documents\GitHub\eaglep3\Utilities\DownloadLogsFromS3.py --loco 4045 --day 2017-04-04</v>
      </c>
      <c r="AN48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15:44:07"},{"id":29,"name":"Sharepoint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675</v>
      </c>
      <c r="B49" s="7">
        <v>4008</v>
      </c>
      <c r="C49" s="21" t="s">
        <v>217</v>
      </c>
      <c r="D49" s="21" t="s">
        <v>484</v>
      </c>
      <c r="E49" s="13">
        <v>42829.340949074074</v>
      </c>
      <c r="F49" s="13">
        <v>42829.343900462962</v>
      </c>
      <c r="G49" s="7">
        <v>1</v>
      </c>
      <c r="H49" s="21" t="s">
        <v>852</v>
      </c>
      <c r="I49" s="13">
        <v>42829.369143518517</v>
      </c>
      <c r="J49" s="7">
        <v>0</v>
      </c>
      <c r="K49" s="97" t="str">
        <f>IF(ISEVEN(B49),(B49-1)&amp;"/"&amp;B49,B49&amp;"/"&amp;(B49+1))</f>
        <v>4007/4008</v>
      </c>
      <c r="L49" s="21" t="str">
        <f>VLOOKUP(A49,'Trips&amp;Operators'!$C$1:$G$99999,5,FALSE)</f>
        <v>DAVIS WENDY</v>
      </c>
      <c r="M49" s="6">
        <f>I49-F49</f>
        <v>2.5243055555620231E-2</v>
      </c>
      <c r="N49" s="7">
        <f>24*60*SUM($M49:$M49)</f>
        <v>36.350000000093132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-04T07:10:58-0600',mode:absolute,to:'2017-04-04T09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83" t="str">
        <f>IF(AA49&lt;IF(AG49="EC",23,5.65),"Y","N")</f>
        <v>N</v>
      </c>
      <c r="X49" s="183">
        <f>VALUE(LEFT(AD49,4))-VALUE(LEFT(AD48,4))</f>
        <v>1</v>
      </c>
      <c r="Y49" s="62">
        <f>RIGHT(D49,LEN(D49)-4)/10000</f>
        <v>4.58E-2</v>
      </c>
      <c r="Z49" s="62">
        <f>RIGHT(H49,LEN(H49)-4)/10000</f>
        <v>23.331800000000001</v>
      </c>
      <c r="AA49" s="62">
        <f>ABS(Z49-Y49)</f>
        <v>23.286000000000001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0137-04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/stypes="app*4008*20170404*" /stext=" 14:.+((SYSTEM_STATE.+slice.+state.+changed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4"/>
        <v>"%USERPROFILE%\Documents\GitHub\eaglep3\Utilities\RefineRTDCRunTimes.py" --tripid 137-04 --locoid 4008 --swversion DE.1.0.9.0 --startMP 204:458 --initTime 2017-04-04T08:10:58 --startdatetime 2017-04-04T08:15:13 --delay 1 --endMP 204:233318 --enddatetime 2017-04-04T08:51:34 --enforcementcount 0 &gt;&gt;C:\Users\stu\Documents\GitHub\eaglep3-reporting\EC\2017-04-04-refined-times.txt</v>
      </c>
      <c r="AI49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{"issue":{"subject":"","project_id":79,"tracker_id":40,"status_id":1,"priority_id":2,"assigned_to_id":23,"start_date":"2017-04-04","description":"","custom_fields":[{"id":1,"name":"Subdivision","value":"EC"},{"id":4,"name":"Milepost","value":"23.3318"},{"id":17,"name":"Train ID","value":"137-04"},{"id":16,"name":"Locomotive ID","value":"4008"},{"id":130,"name":"Impact","value":""},{"id":150,"name":"Time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6"/>
        <v>start /low /b %USERPROFILE%\Documents\GitHub\eaglep3\Utilities\DownloadLogsFromS3.py --loco 4008 --day 2017-04-04</v>
      </c>
      <c r="AN49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683</v>
      </c>
      <c r="B50" s="7">
        <v>4007</v>
      </c>
      <c r="C50" s="21" t="s">
        <v>217</v>
      </c>
      <c r="D50" s="21" t="s">
        <v>412</v>
      </c>
      <c r="E50" s="13">
        <v>42829.378668981481</v>
      </c>
      <c r="F50" s="13">
        <v>42829.382800925923</v>
      </c>
      <c r="G50" s="7">
        <v>1</v>
      </c>
      <c r="H50" s="21" t="s">
        <v>199</v>
      </c>
      <c r="I50" s="13">
        <v>42829.41746527778</v>
      </c>
      <c r="J50" s="7">
        <v>0</v>
      </c>
      <c r="K50" s="97" t="str">
        <f>IF(ISEVEN(B50),(B50-1)&amp;"/"&amp;B50,B50&amp;"/"&amp;(B50+1))</f>
        <v>4007/4008</v>
      </c>
      <c r="L50" s="21" t="str">
        <f>VLOOKUP(A50,'Trips&amp;Operators'!$C$1:$G$99999,5,FALSE)</f>
        <v>DAVIS WENDY</v>
      </c>
      <c r="M50" s="6">
        <f>I50-F50</f>
        <v>3.4664351856918074E-2</v>
      </c>
      <c r="N50" s="7">
        <f>24*60*SUM($M50:$M50)</f>
        <v>49.916666673962027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3" t="str">
        <f>IF(AA50&lt;IF(AG50="EC",23,5.65),"Y","N")</f>
        <v>N</v>
      </c>
      <c r="X50" s="183">
        <f>VALUE(LEFT(AD50,4))-VALUE(LEFT(AD49,4))</f>
        <v>1</v>
      </c>
      <c r="Y50" s="62">
        <f>RIGHT(D50,LEN(D50)-4)/10000</f>
        <v>23.299399999999999</v>
      </c>
      <c r="Z50" s="62">
        <f>RIGHT(H50,LEN(H50)-4)/10000</f>
        <v>1.52E-2</v>
      </c>
      <c r="AA50" s="62">
        <f>ABS(Z50-Y50)</f>
        <v>23.284199999999998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0138-04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/stypes="app*4007*20170404*" /stext=" 16:.+((SYSTEM_STATE.+slice.+state.+changed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4"/>
        <v>"%USERPROFILE%\Documents\GitHub\eaglep3\Utilities\RefineRTDCRunTimes.py" --tripid 138-04 --locoid 4007 --swversion DE.1.0.9.0 --startMP 204:232994 --initTime 2017-04-04T09:05:17 --startdatetime 2017-04-04T09:11:14 --delay 1 --endMP 204:152 --enddatetime 2017-04-04T10:01:09 --enforcementcount 0 &gt;&gt;C:\Users\stu\Documents\GitHub\eaglep3-reporting\EC\2017-04-04-refined-times.txt</v>
      </c>
      <c r="AI50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ID","value":"138-04"},{"id":16,"name":"Locomotive ID","value":"4007"},{"id":130,"name":"Impact","value":""},{"id":150,"name":"Time of Event (Mountain Time)","value":"10:01:09"},{"id":151,"name":"Denver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6"/>
        <v>start /low /b %USERPROFILE%\Documents\GitHub\eaglep3\Utilities\DownloadLogsFromS3.py --loco 4007 --day 2017-04-04</v>
      </c>
      <c r="AN50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677</v>
      </c>
      <c r="B51" s="7">
        <v>4014</v>
      </c>
      <c r="C51" s="21" t="s">
        <v>217</v>
      </c>
      <c r="D51" s="21" t="s">
        <v>853</v>
      </c>
      <c r="E51" s="13">
        <v>42829.352118055554</v>
      </c>
      <c r="F51" s="13">
        <v>42829.354814814818</v>
      </c>
      <c r="G51" s="7">
        <v>1</v>
      </c>
      <c r="H51" s="21" t="s">
        <v>492</v>
      </c>
      <c r="I51" s="13">
        <v>42829.379282407404</v>
      </c>
      <c r="J51" s="7">
        <v>0</v>
      </c>
      <c r="K51" s="97" t="str">
        <f>IF(ISEVEN(B51),(B51-1)&amp;"/"&amp;B51,B51&amp;"/"&amp;(B51+1))</f>
        <v>4013/4014</v>
      </c>
      <c r="L51" s="21" t="str">
        <f>VLOOKUP(A51,'Trips&amp;Operators'!$C$1:$G$99999,5,FALSE)</f>
        <v>LOZA FIDEL</v>
      </c>
      <c r="M51" s="6">
        <f>I51-F51</f>
        <v>2.4467592586006504E-2</v>
      </c>
      <c r="N51" s="7">
        <f>24*60*SUM($M51:$M51)</f>
        <v>35.233333323849365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-04T07:27:03-0600',mode:absolute,to:'2017-04-04T10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83" t="str">
        <f>IF(AA51&lt;IF(AG51="EC",23,5.65),"Y","N")</f>
        <v>N</v>
      </c>
      <c r="X51" s="183">
        <f>VALUE(LEFT(AD51,4))-VALUE(LEFT(AD50,4))</f>
        <v>1</v>
      </c>
      <c r="Y51" s="62">
        <f>RIGHT(D51,LEN(D51)-4)/10000</f>
        <v>4.4400000000000002E-2</v>
      </c>
      <c r="Z51" s="62">
        <f>RIGHT(H51,LEN(H51)-4)/10000</f>
        <v>23.329799999999999</v>
      </c>
      <c r="AA51" s="62">
        <f>ABS(Z51-Y51)</f>
        <v>23.285399999999999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0139-04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/stypes="app*4014*20170404*"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4"/>
        <v>"%USERPROFILE%\Documents\GitHub\eaglep3\Utilities\RefineRTDCRunTimes.py" --tripid 139-04 --locoid 4014 --swversion DE.1.0.9.0 --startMP 204:444 --initTime 2017-04-04T08:27:03 --startdatetime 2017-04-04T08:30:56 --delay 1 --endMP 204:233298 --enddatetime 2017-04-04T09:06:10 --enforcementcount 0 &gt;&gt;C:\Users\stu\Documents\GitHub\eaglep3-reporting\EC\2017-04-04-refined-times.txt</v>
      </c>
      <c r="AI51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ID","value":"139-04"},{"id":16,"name":"Locomotive ID","value":"4014"},{"id":130,"name":"Impact","value":""},{"id":150,"name":"Time of Event (Mountain Time)","value":"09:06:10"},{"id":151,"name":"Denver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6"/>
        <v>start /low /b %USERPROFILE%\Documents\GitHub\eaglep3\Utilities\DownloadLogsFromS3.py --loco 4014 --day 2017-04-04</v>
      </c>
      <c r="AN51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686</v>
      </c>
      <c r="B52" s="7">
        <v>4013</v>
      </c>
      <c r="C52" s="21" t="s">
        <v>217</v>
      </c>
      <c r="D52" s="21" t="s">
        <v>401</v>
      </c>
      <c r="E52" s="13">
        <v>42829.387731481482</v>
      </c>
      <c r="F52" s="13">
        <v>42829.393657407411</v>
      </c>
      <c r="G52" s="7">
        <v>2</v>
      </c>
      <c r="H52" s="21" t="s">
        <v>426</v>
      </c>
      <c r="I52" s="13">
        <v>42829.42465277778</v>
      </c>
      <c r="J52" s="7">
        <v>0</v>
      </c>
      <c r="K52" s="97" t="str">
        <f>IF(ISEVEN(B52),(B52-1)&amp;"/"&amp;B52,B52&amp;"/"&amp;(B52+1))</f>
        <v>4013/4014</v>
      </c>
      <c r="L52" s="21" t="str">
        <f>VLOOKUP(A52,'Trips&amp;Operators'!$C$1:$G$99999,5,FALSE)</f>
        <v>LOZA FIDEL</v>
      </c>
      <c r="M52" s="6">
        <f>I52-F52</f>
        <v>3.0995370369055308E-2</v>
      </c>
      <c r="N52" s="7">
        <f>24*60*SUM($M52:$M52)</f>
        <v>44.633333331439644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83" t="str">
        <f>IF(AA52&lt;IF(AG52="EC",23,5.65),"Y","N")</f>
        <v>N</v>
      </c>
      <c r="X52" s="183">
        <f>VALUE(LEFT(AD52,4))-VALUE(LEFT(AD51,4))</f>
        <v>1</v>
      </c>
      <c r="Y52" s="62">
        <f>RIGHT(D52,LEN(D52)-4)/10000</f>
        <v>23.299600000000002</v>
      </c>
      <c r="Z52" s="62">
        <f>RIGHT(H52,LEN(H52)-4)/10000</f>
        <v>1.6299999999999999E-2</v>
      </c>
      <c r="AA52" s="62">
        <f>ABS(Z52-Y52)</f>
        <v>23.283300000000001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0140-04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/stypes="app*4013*20170404*" /stext=" 16:.+((SYSTEM_STATE.+slice.+state.+changed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4"/>
        <v>"%USERPROFILE%\Documents\GitHub\eaglep3\Utilities\RefineRTDCRunTimes.py" --tripid 140-04 --locoid 4013 --swversion DE.1.0.9.0 --startMP 204:232996 --initTime 2017-04-04T09:18:20 --startdatetime 2017-04-04T09:26:52 --delay 2 --endMP 204:163 --enddatetime 2017-04-04T10:11:30 --enforcementcount 0 &gt;&gt;C:\Users\stu\Documents\GitHub\eaglep3-reporting\EC\2017-04-04-refined-times.txt</v>
      </c>
      <c r="AI52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ID","value":"140-04"},{"id":16,"name":"Locomotive ID","value":"4013"},{"id":130,"name":"Impact","value":""},{"id":150,"name":"Time of Event (Mountain Time)","value":"10:11:30"},{"id":151,"name":"Denver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6"/>
        <v>start /low /b %USERPROFILE%\Documents\GitHub\eaglep3\Utilities\DownloadLogsFromS3.py --loco 4013 --day 2017-04-04</v>
      </c>
      <c r="AN52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679</v>
      </c>
      <c r="B53" s="7">
        <v>4054</v>
      </c>
      <c r="C53" s="21" t="s">
        <v>217</v>
      </c>
      <c r="D53" s="21" t="s">
        <v>534</v>
      </c>
      <c r="E53" s="13">
        <v>42829.358495370368</v>
      </c>
      <c r="F53" s="13">
        <v>42829.364849537036</v>
      </c>
      <c r="G53" s="7">
        <v>1</v>
      </c>
      <c r="H53" s="21" t="s">
        <v>854</v>
      </c>
      <c r="I53" s="13">
        <v>42829.39266203704</v>
      </c>
      <c r="J53" s="7">
        <v>0</v>
      </c>
      <c r="K53" s="97" t="str">
        <f>IF(ISEVEN(B53),(B53-1)&amp;"/"&amp;B53,B53&amp;"/"&amp;(B53+1))</f>
        <v>4053/4054</v>
      </c>
      <c r="L53" s="21" t="str">
        <f>VLOOKUP(A53,'Trips&amp;Operators'!$C$1:$G$99999,5,FALSE)</f>
        <v>SANTIZO D. EDY</v>
      </c>
      <c r="M53" s="6">
        <f>I53-F53</f>
        <v>2.7812500004074536E-2</v>
      </c>
      <c r="N53" s="7">
        <f>24*60*SUM($M53:$M53)</f>
        <v>40.050000005867332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-04T07:36:14-0600',mode:absolute,to:'2017-04-04T10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183" t="str">
        <f>IF(AA53&lt;IF(AG53="EC",23,5.65),"Y","N")</f>
        <v>N</v>
      </c>
      <c r="X53" s="183">
        <f>VALUE(LEFT(AD53,4))-VALUE(LEFT(AD52,4))</f>
        <v>1</v>
      </c>
      <c r="Y53" s="62">
        <f>RIGHT(D53,LEN(D53)-4)/10000</f>
        <v>4.7500000000000001E-2</v>
      </c>
      <c r="Z53" s="62">
        <f>RIGHT(H53,LEN(H53)-4)/10000</f>
        <v>23.331199999999999</v>
      </c>
      <c r="AA53" s="62">
        <f>ABS(Z53-Y53)</f>
        <v>23.2837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0141-04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/stypes="app*4054*20170404*"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4"/>
        <v>"%USERPROFILE%\Documents\GitHub\eaglep3\Utilities\RefineRTDCRunTimes.py" --tripid 141-04 --locoid 4054 --swversion DE.1.0.9.0 --startMP 204:475 --initTime 2017-04-04T08:36:14 --startdatetime 2017-04-04T08:45:23 --delay 1 --endMP 204:233312 --enddatetime 2017-04-04T09:25:26 --enforcementcount 0 &gt;&gt;C:\Users\stu\Documents\GitHub\eaglep3-reporting\EC\2017-04-04-refined-times.txt</v>
      </c>
      <c r="AI53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ID","value":"141-04"},{"id":16,"name":"Locomotive ID","value":"4054"},{"id":130,"name":"Impact","value":""},{"id":150,"name":"Time of Event (Mountain Time)","value":"09:25:26"},{"id":151,"name":"Denver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6"/>
        <v>start /low /b %USERPROFILE%\Documents\GitHub\eaglep3\Utilities\DownloadLogsFromS3.py --loco 4054 --day 2017-04-04</v>
      </c>
      <c r="AN53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601</v>
      </c>
      <c r="B54" s="7">
        <v>4053</v>
      </c>
      <c r="C54" s="21" t="s">
        <v>217</v>
      </c>
      <c r="D54" s="21" t="s">
        <v>835</v>
      </c>
      <c r="E54" s="13">
        <v>42829.394733796296</v>
      </c>
      <c r="F54" s="13">
        <v>42829.403715277775</v>
      </c>
      <c r="G54" s="7">
        <v>1</v>
      </c>
      <c r="H54" s="21" t="s">
        <v>855</v>
      </c>
      <c r="I54" s="13">
        <v>42829.436006944445</v>
      </c>
      <c r="J54" s="7">
        <v>0</v>
      </c>
      <c r="K54" s="97" t="str">
        <f>IF(ISEVEN(B54),(B54-1)&amp;"/"&amp;B54,B54&amp;"/"&amp;(B54+1))</f>
        <v>4053/4054</v>
      </c>
      <c r="L54" s="21" t="str">
        <f>VLOOKUP(A54,'Trips&amp;Operators'!$C$1:$G$99999,5,FALSE)</f>
        <v>SANTIZO D. EDY</v>
      </c>
      <c r="M54" s="6">
        <f>I54-F54</f>
        <v>3.2291666670062114E-2</v>
      </c>
      <c r="N54" s="7">
        <f>24*60*SUM($M54:$M54)</f>
        <v>46.500000004889444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83" t="str">
        <f>IF(AA54&lt;IF(AG54="EC",23,5.65),"Y","N")</f>
        <v>N</v>
      </c>
      <c r="X54" s="183">
        <f>VALUE(LEFT(AD54,4))-VALUE(LEFT(AD53,4))</f>
        <v>1</v>
      </c>
      <c r="Y54" s="62">
        <f>RIGHT(D54,LEN(D54)-4)/10000</f>
        <v>23.298999999999999</v>
      </c>
      <c r="Z54" s="62">
        <f>RIGHT(H54,LEN(H54)-4)/10000</f>
        <v>1.9800000000000002E-2</v>
      </c>
      <c r="AA54" s="62">
        <f>ABS(Z54-Y54)</f>
        <v>23.279199999999999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0142-04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/stypes="app*4053*20170404*" /stext=" 16:.+((SYSTEM_STATE.+slice.+state.+changed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4"/>
        <v>"%USERPROFILE%\Documents\GitHub\eaglep3\Utilities\RefineRTDCRunTimes.py" --tripid 142-04 --locoid 4053 --swversion DE.1.0.9.0 --startMP 204:232990 --initTime 2017-04-04T09:28:25 --startdatetime 2017-04-04T09:41:21 --delay 1 --endMP 204:198 --enddatetime 2017-04-04T10:27:51 --enforcementcount 0 &gt;&gt;C:\Users\stu\Documents\GitHub\eaglep3-reporting\EC\2017-04-04-refined-times.txt</v>
      </c>
      <c r="AI54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{"issue":{"subject":"","project_id":79,"tracker_id":40,"status_id":1,"priority_id":2,"assigned_to_id":23,"start_date":"2017-04-04","description":"","custom_fields":[{"id":1,"name":"Subdivision","value":"EC"},{"id":4,"name":"Milepost","value":"0.0198"},{"id":17,"name":"Train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6"/>
        <v>start /low /b %USERPROFILE%\Documents\GitHub\eaglep3\Utilities\DownloadLogsFromS3.py --loco 4053 --day 2017-04-04</v>
      </c>
      <c r="AN54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682</v>
      </c>
      <c r="B55" s="7">
        <v>4004</v>
      </c>
      <c r="C55" s="21" t="s">
        <v>217</v>
      </c>
      <c r="D55" s="21" t="s">
        <v>549</v>
      </c>
      <c r="E55" s="13">
        <v>42829.371111111112</v>
      </c>
      <c r="F55" s="13">
        <v>42829.375706018516</v>
      </c>
      <c r="G55" s="7">
        <v>5</v>
      </c>
      <c r="H55" s="21" t="s">
        <v>442</v>
      </c>
      <c r="I55" s="13">
        <v>42829.40084490741</v>
      </c>
      <c r="J55" s="7">
        <v>0</v>
      </c>
      <c r="K55" s="97" t="str">
        <f>IF(ISEVEN(B55),(B55-1)&amp;"/"&amp;B55,B55&amp;"/"&amp;(B55+1))</f>
        <v>4003/4004</v>
      </c>
      <c r="L55" s="21" t="str">
        <f>VLOOKUP(A55,'Trips&amp;Operators'!$C$1:$G$99999,5,FALSE)</f>
        <v>MENGES BRAD</v>
      </c>
      <c r="M55" s="6">
        <f>I55-F55</f>
        <v>2.513888889370719E-2</v>
      </c>
      <c r="N55" s="7">
        <f>24*60*SUM($M55:$M55)</f>
        <v>36.200000006938353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-04T07:54:24-0600',mode:absolute,to:'2017-04-04T10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83" t="str">
        <f>IF(AA55&lt;IF(AG55="EC",23,5.65),"Y","N")</f>
        <v>N</v>
      </c>
      <c r="X55" s="183">
        <f>VALUE(LEFT(AD55,4))-VALUE(LEFT(AD54,4))</f>
        <v>1</v>
      </c>
      <c r="Y55" s="62">
        <f>RIGHT(D55,LEN(D55)-4)/10000</f>
        <v>4.8000000000000001E-2</v>
      </c>
      <c r="Z55" s="62">
        <f>RIGHT(H55,LEN(H55)-4)/10000</f>
        <v>23.3308</v>
      </c>
      <c r="AA55" s="62">
        <f>ABS(Z55-Y55)</f>
        <v>23.282800000000002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0143-04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/stypes="app*4004*20170404*" /stext=" 15:.+((SYSTEM_STATE.+slice.+state.+changed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4"/>
        <v>"%USERPROFILE%\Documents\GitHub\eaglep3\Utilities\RefineRTDCRunTimes.py" --tripid 143-04 --locoid 4004 --swversion DE.1.0.9.0 --startMP 204:480 --initTime 2017-04-04T08:54:24 --startdatetime 2017-04-04T09:01:01 --delay 5 --endMP 204:233308 --enddatetime 2017-04-04T09:37:13 --enforcementcount 0 &gt;&gt;C:\Users\stu\Documents\GitHub\eaglep3-reporting\EC\2017-04-04-refined-times.txt</v>
      </c>
      <c r="AI55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{"issue":{"subject":"","project_id":79,"tracker_id":40,"status_id":1,"priority_id":2,"assigned_to_id":23,"start_date":"2017-04-04","description":"","custom_fields":[{"id":1,"name":"Subdivision","value":"EC"},{"id":4,"name":"Milepost","value":"23.3308"},{"id":17,"name":"Train ID","value":"143-04"},{"id":16,"name":"Locomotive ID","value":"4004"},{"id":130,"name":"Impact","value":""},{"id":150,"name":"Time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6"/>
        <v>start /low /b %USERPROFILE%\Documents\GitHub\eaglep3\Utilities\DownloadLogsFromS3.py --loco 4004 --day 2017-04-04</v>
      </c>
      <c r="AN55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689</v>
      </c>
      <c r="B56" s="7">
        <v>4003</v>
      </c>
      <c r="C56" s="21" t="s">
        <v>217</v>
      </c>
      <c r="D56" s="21" t="s">
        <v>856</v>
      </c>
      <c r="E56" s="13">
        <v>42829.41300925926</v>
      </c>
      <c r="F56" s="13">
        <v>42829.414085648146</v>
      </c>
      <c r="G56" s="7">
        <v>0</v>
      </c>
      <c r="H56" s="21" t="s">
        <v>461</v>
      </c>
      <c r="I56" s="13">
        <v>42829.444768518515</v>
      </c>
      <c r="J56" s="7">
        <v>0</v>
      </c>
      <c r="K56" s="97" t="str">
        <f>IF(ISEVEN(B56),(B56-1)&amp;"/"&amp;B56,B56&amp;"/"&amp;(B56+1))</f>
        <v>4003/4004</v>
      </c>
      <c r="L56" s="21" t="str">
        <f>VLOOKUP(A56,'Trips&amp;Operators'!$C$1:$G$99999,5,FALSE)</f>
        <v>MENGES BRAD</v>
      </c>
      <c r="M56" s="6">
        <f>I56-F56</f>
        <v>3.068287036876427E-2</v>
      </c>
      <c r="N56" s="7">
        <f>24*60*SUM($M56:$M56)</f>
        <v>44.183333331020549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83" t="str">
        <f>IF(AA56&lt;IF(AG56="EC",23,5.65),"Y","N")</f>
        <v>N</v>
      </c>
      <c r="X56" s="183">
        <f>VALUE(LEFT(AD56,4))-VALUE(LEFT(AD55,4))</f>
        <v>1</v>
      </c>
      <c r="Y56" s="62">
        <f>RIGHT(D56,LEN(D56)-4)/10000</f>
        <v>23.300999999999998</v>
      </c>
      <c r="Z56" s="62">
        <f>RIGHT(H56,LEN(H56)-4)/10000</f>
        <v>1.4500000000000001E-2</v>
      </c>
      <c r="AA56" s="62">
        <f>ABS(Z56-Y56)</f>
        <v>23.286499999999997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0144-04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/stypes="app*4003*20170404*" /stext=" 16:.+((SYSTEM_STATE.+slice.+state.+changed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4"/>
        <v>"%USERPROFILE%\Documents\GitHub\eaglep3\Utilities\RefineRTDCRunTimes.py" --tripid 144-04 --locoid 4003 --swversion DE.1.0.9.0 --startMP 204:233010 --initTime 2017-04-04T09:54:44 --startdatetime 2017-04-04T09:56:17 --delay 0 --endMP 204:145 --enddatetime 2017-04-04T10:40:28 --enforcementcount 0 &gt;&gt;C:\Users\stu\Documents\GitHub\eaglep3-reporting\EC\2017-04-04-refined-times.txt</v>
      </c>
      <c r="AI56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ID","value":"144-04"},{"id":16,"name":"Locomotive ID","value":"4003"},{"id":130,"name":"Impact","value":""},{"id":150,"name":"Time of Event (Mountain Time)","value":"10:40:28"},{"id":151,"name":"Denver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6"/>
        <v>start /low /b %USERPROFILE%\Documents\GitHub\eaglep3\Utilities\DownloadLogsFromS3.py --loco 4003 --day 2017-04-04</v>
      </c>
      <c r="AN56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685</v>
      </c>
      <c r="B57" s="7">
        <v>4032</v>
      </c>
      <c r="C57" s="21" t="s">
        <v>217</v>
      </c>
      <c r="D57" s="21" t="s">
        <v>462</v>
      </c>
      <c r="E57" s="13">
        <v>42829.38548611111</v>
      </c>
      <c r="F57" s="13">
        <v>42829.387048611112</v>
      </c>
      <c r="G57" s="7">
        <v>1</v>
      </c>
      <c r="H57" s="21" t="s">
        <v>415</v>
      </c>
      <c r="I57" s="13">
        <v>42829.412939814814</v>
      </c>
      <c r="J57" s="7">
        <v>0</v>
      </c>
      <c r="K57" s="97" t="str">
        <f>IF(ISEVEN(B57),(B57-1)&amp;"/"&amp;B57,B57&amp;"/"&amp;(B57+1))</f>
        <v>4031/4032</v>
      </c>
      <c r="L57" s="21" t="str">
        <f>VLOOKUP(A57,'Trips&amp;Operators'!$C$1:$G$99999,5,FALSE)</f>
        <v>MAELZER KURT</v>
      </c>
      <c r="M57" s="6">
        <f>I57-F57</f>
        <v>2.5891203702485655E-2</v>
      </c>
      <c r="N57" s="7">
        <f>24*60*SUM($M57:$M57)</f>
        <v>37.283333331579342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-04T08:15:06-0600',mode:absolute,to:'2017-04-04T10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183" t="str">
        <f>IF(AA57&lt;IF(AG57="EC",23,5.65),"Y","N")</f>
        <v>N</v>
      </c>
      <c r="X57" s="183">
        <f>VALUE(LEFT(AD57,4))-VALUE(LEFT(AD56,4))</f>
        <v>1</v>
      </c>
      <c r="Y57" s="62">
        <f>RIGHT(D57,LEN(D57)-4)/10000</f>
        <v>4.6600000000000003E-2</v>
      </c>
      <c r="Z57" s="62">
        <f>RIGHT(H57,LEN(H57)-4)/10000</f>
        <v>23.330100000000002</v>
      </c>
      <c r="AA57" s="62">
        <f>ABS(Z57-Y57)</f>
        <v>23.2835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0145-04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/stypes="app*4032*20170404*" /stext=" 15:.+((SYSTEM_STATE.+slice.+state.+changed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4"/>
        <v>"%USERPROFILE%\Documents\GitHub\eaglep3\Utilities\RefineRTDCRunTimes.py" --tripid 145-04 --locoid 4032 --swversion DE.1.0.9.0 --startMP 204:466 --initTime 2017-04-04T09:15:06 --startdatetime 2017-04-04T09:17:21 --delay 1 --endMP 204:233301 --enddatetime 2017-04-04T09:54:38 --enforcementcount 0 &gt;&gt;C:\Users\stu\Documents\GitHub\eaglep3-reporting\EC\2017-04-04-refined-times.txt</v>
      </c>
      <c r="AI57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{"issue":{"subject":"","project_id":79,"tracker_id":40,"status_id":1,"priority_id":2,"assigned_to_id":23,"start_date":"2017-04-04","description":"","custom_fields":[{"id":1,"name":"Subdivision","value":"EC"},{"id":4,"name":"Milepost","value":"23.3301"},{"id":17,"name":"Train ID","value":"145-04"},{"id":16,"name":"Locomotive ID","value":"4032"},{"id":130,"name":"Impact","value":""},{"id":150,"name":"Time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6"/>
        <v>start /low /b %USERPROFILE%\Documents\GitHub\eaglep3\Utilities\DownloadLogsFromS3.py --loco 4032 --day 2017-04-04</v>
      </c>
      <c r="AN57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691</v>
      </c>
      <c r="B58" s="7">
        <v>4031</v>
      </c>
      <c r="C58" s="21" t="s">
        <v>217</v>
      </c>
      <c r="D58" s="21" t="s">
        <v>857</v>
      </c>
      <c r="E58" s="13">
        <v>42829.420763888891</v>
      </c>
      <c r="F58" s="13">
        <v>42829.425856481481</v>
      </c>
      <c r="G58" s="7">
        <v>1</v>
      </c>
      <c r="H58" s="21" t="s">
        <v>461</v>
      </c>
      <c r="I58" s="13">
        <v>42829.455578703702</v>
      </c>
      <c r="J58" s="7">
        <v>0</v>
      </c>
      <c r="K58" s="97" t="str">
        <f>IF(ISEVEN(B58),(B58-1)&amp;"/"&amp;B58,B58&amp;"/"&amp;(B58+1))</f>
        <v>4031/4032</v>
      </c>
      <c r="L58" s="21" t="str">
        <f>VLOOKUP(A58,'Trips&amp;Operators'!$C$1:$G$99999,5,FALSE)</f>
        <v>MAELZER KURT</v>
      </c>
      <c r="M58" s="6">
        <f>I58-F58</f>
        <v>2.9722222221607808E-2</v>
      </c>
      <c r="N58" s="7">
        <f>24*60*SUM($M58:$M58)</f>
        <v>42.799999999115244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83" t="str">
        <f>IF(AA58&lt;IF(AG58="EC",23,5.65),"Y","N")</f>
        <v>N</v>
      </c>
      <c r="X58" s="183">
        <f>VALUE(LEFT(AD58,4))-VALUE(LEFT(AD57,4))</f>
        <v>1</v>
      </c>
      <c r="Y58" s="62">
        <f>RIGHT(D58,LEN(D58)-4)/10000</f>
        <v>23.3001</v>
      </c>
      <c r="Z58" s="62">
        <f>RIGHT(H58,LEN(H58)-4)/10000</f>
        <v>1.4500000000000001E-2</v>
      </c>
      <c r="AA58" s="62">
        <f>ABS(Z58-Y58)</f>
        <v>23.285599999999999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0146-04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/stypes="app*4031*20170404*" /stext=" 16:.+((SYSTEM_STATE.+slice.+state.+changed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4"/>
        <v>"%USERPROFILE%\Documents\GitHub\eaglep3\Utilities\RefineRTDCRunTimes.py" --tripid 146-04 --locoid 4031 --swversion DE.1.0.9.0 --startMP 204:233001 --initTime 2017-04-04T10:05:54 --startdatetime 2017-04-04T10:13:14 --delay 1 --endMP 204:145 --enddatetime 2017-04-04T10:56:02 --enforcementcount 0 &gt;&gt;C:\Users\stu\Documents\GitHub\eaglep3-reporting\EC\2017-04-04-refined-times.txt</v>
      </c>
      <c r="AI58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ID","value":"146-04"},{"id":16,"name":"Locomotive ID","value":"4031"},{"id":130,"name":"Impact","value":""},{"id":150,"name":"Time of Event (Mountain Time)","value":"10:56:02"},{"id":151,"name":"Denver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6"/>
        <v>start /low /b %USERPROFILE%\Documents\GitHub\eaglep3\Utilities\DownloadLogsFromS3.py --loco 4031 --day 2017-04-04</v>
      </c>
      <c r="AN58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600</v>
      </c>
      <c r="B59" s="7">
        <v>4044</v>
      </c>
      <c r="C59" s="21" t="s">
        <v>217</v>
      </c>
      <c r="D59" s="21" t="s">
        <v>438</v>
      </c>
      <c r="E59" s="13">
        <v>42829.394814814812</v>
      </c>
      <c r="F59" s="13">
        <v>42829.396018518521</v>
      </c>
      <c r="G59" s="7">
        <v>1</v>
      </c>
      <c r="H59" s="21" t="s">
        <v>492</v>
      </c>
      <c r="I59" s="13">
        <v>42829.424872685187</v>
      </c>
      <c r="J59" s="7">
        <v>0</v>
      </c>
      <c r="K59" s="97" t="str">
        <f>IF(ISEVEN(B59),(B59-1)&amp;"/"&amp;B59,B59&amp;"/"&amp;(B59+1))</f>
        <v>4043/4044</v>
      </c>
      <c r="L59" s="21" t="str">
        <f>VLOOKUP(A59,'Trips&amp;Operators'!$C$1:$G$99999,5,FALSE)</f>
        <v>STARKS ANGELINA</v>
      </c>
      <c r="M59" s="6">
        <f>I59-F59</f>
        <v>2.8854166666860692E-2</v>
      </c>
      <c r="N59" s="7">
        <f>24*60*SUM($M59:$M59)</f>
        <v>41.550000000279397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83" t="str">
        <f>IF(AA59&lt;IF(AG59="EC",23,5.65),"Y","N")</f>
        <v>N</v>
      </c>
      <c r="X59" s="183">
        <f>VALUE(LEFT(AD59,4))-VALUE(LEFT(AD58,4))</f>
        <v>1</v>
      </c>
      <c r="Y59" s="62">
        <f>RIGHT(D59,LEN(D59)-4)/10000</f>
        <v>4.3999999999999997E-2</v>
      </c>
      <c r="Z59" s="62">
        <f>RIGHT(H59,LEN(H59)-4)/10000</f>
        <v>23.329799999999999</v>
      </c>
      <c r="AA59" s="62">
        <f>ABS(Z59-Y59)</f>
        <v>23.285799999999998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>IF(LEN(A59)=6,"0"&amp;A59,A59)</f>
        <v>0147-04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/stypes="app*4044*20170404*"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4"/>
        <v>"%USERPROFILE%\Documents\GitHub\eaglep3\Utilities\RefineRTDCRunTimes.py" --tripid 147-04 --locoid 4044 --swversion DE.1.0.9.0 --startMP 204:440 --initTime 2017-04-04T09:28:32 --startdatetime 2017-04-04T09:30:16 --delay 1 --endMP 204:233298 --enddatetime 2017-04-04T10:11:49 --enforcementcount 0 &gt;&gt;C:\Users\stu\Documents\GitHub\eaglep3-reporting\EC\2017-04-04-refined-times.txt</v>
      </c>
      <c r="AI59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ID","value":"147-04"},{"id":16,"name":"Locomotive ID","value":"4044"},{"id":130,"name":"Impact","value":""},{"id":150,"name":"Time of Event (Mountain Time)","value":"10:11:49"},{"id":151,"name":"Denver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6"/>
        <v>start /low /b %USERPROFILE%\Documents\GitHub\eaglep3\Utilities\DownloadLogsFromS3.py --loco 4044 --day 2017-04-04</v>
      </c>
      <c r="AN59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605</v>
      </c>
      <c r="B60" s="7">
        <v>4043</v>
      </c>
      <c r="C60" s="21" t="s">
        <v>217</v>
      </c>
      <c r="D60" s="21" t="s">
        <v>550</v>
      </c>
      <c r="E60" s="13">
        <v>42829.432789351849</v>
      </c>
      <c r="F60" s="13">
        <v>42829.435208333336</v>
      </c>
      <c r="G60" s="7">
        <v>1</v>
      </c>
      <c r="H60" s="21" t="s">
        <v>530</v>
      </c>
      <c r="I60" s="13">
        <v>42829.462835648148</v>
      </c>
      <c r="J60" s="7">
        <v>0</v>
      </c>
      <c r="K60" s="97" t="str">
        <f>IF(ISEVEN(B60),(B60-1)&amp;"/"&amp;B60,B60&amp;"/"&amp;(B60+1))</f>
        <v>4043/4044</v>
      </c>
      <c r="L60" s="21" t="str">
        <f>VLOOKUP(A60,'Trips&amp;Operators'!$C$1:$G$99999,5,FALSE)</f>
        <v>STARKS ANGELINA</v>
      </c>
      <c r="M60" s="6">
        <f>I60-F60</f>
        <v>2.7627314811979886E-2</v>
      </c>
      <c r="N60" s="7">
        <f>24*60*SUM($M60:$M60)</f>
        <v>39.783333329251036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83" t="str">
        <f>IF(AA60&lt;IF(AG60="EC",23,5.65),"Y","N")</f>
        <v>N</v>
      </c>
      <c r="X60" s="183">
        <f>VALUE(LEFT(AD60,4))-VALUE(LEFT(AD59,4))</f>
        <v>1</v>
      </c>
      <c r="Y60" s="62">
        <f>RIGHT(D60,LEN(D60)-4)/10000</f>
        <v>23.2987</v>
      </c>
      <c r="Z60" s="62">
        <f>RIGHT(H60,LEN(H60)-4)/10000</f>
        <v>1.7399999999999999E-2</v>
      </c>
      <c r="AA60" s="62">
        <f>ABS(Z60-Y60)</f>
        <v>23.281300000000002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0148-04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/stypes="app*4043*20170404*" /stext=" 17:.+((SYSTEM_STATE.+slice.+state.+changed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4"/>
        <v>"%USERPROFILE%\Documents\GitHub\eaglep3\Utilities\RefineRTDCRunTimes.py" --tripid 148-04 --locoid 4043 --swversion DE.1.0.9.0 --startMP 204:232987 --initTime 2017-04-04T10:23:13 --startdatetime 2017-04-04T10:26:42 --delay 1 --endMP 204:174 --enddatetime 2017-04-04T11:06:29 --enforcementcount 0 &gt;&gt;C:\Users\stu\Documents\GitHub\eaglep3-reporting\EC\2017-04-04-refined-times.txt</v>
      </c>
      <c r="AI60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6"/>
        <v>start /low /b %USERPROFILE%\Documents\GitHub\eaglep3\Utilities\DownloadLogsFromS3.py --loco 4043 --day 2017-04-04</v>
      </c>
      <c r="AN60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688</v>
      </c>
      <c r="B61" s="7">
        <v>4046</v>
      </c>
      <c r="C61" s="21" t="s">
        <v>217</v>
      </c>
      <c r="D61" s="21" t="s">
        <v>424</v>
      </c>
      <c r="E61" s="13">
        <v>42829.406087962961</v>
      </c>
      <c r="F61" s="13">
        <v>42829.407395833332</v>
      </c>
      <c r="G61" s="7">
        <v>1</v>
      </c>
      <c r="H61" s="21" t="s">
        <v>858</v>
      </c>
      <c r="I61" s="13">
        <v>42829.434629629628</v>
      </c>
      <c r="J61" s="7">
        <v>0</v>
      </c>
      <c r="K61" s="97" t="str">
        <f>IF(ISEVEN(B61),(B61-1)&amp;"/"&amp;B61,B61&amp;"/"&amp;(B61+1))</f>
        <v>4045/4046</v>
      </c>
      <c r="L61" s="21" t="str">
        <f>VLOOKUP(A61,'Trips&amp;Operators'!$C$1:$G$99999,5,FALSE)</f>
        <v>FORTUNATO FRANK</v>
      </c>
      <c r="M61" s="6">
        <f>I61-F61</f>
        <v>2.7233796296059154E-2</v>
      </c>
      <c r="N61" s="7">
        <f>24*60*SUM($M61:$M61)</f>
        <v>39.216666666325182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-04T08:44:46-0600',mode:absolute,to:'2017-04-04T11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83" t="str">
        <f>IF(AA61&lt;IF(AG61="EC",23,5.65),"Y","N")</f>
        <v>N</v>
      </c>
      <c r="X61" s="183">
        <f>VALUE(LEFT(AD61,4))-VALUE(LEFT(AD60,4))</f>
        <v>1</v>
      </c>
      <c r="Y61" s="62">
        <f>RIGHT(D61,LEN(D61)-4)/10000</f>
        <v>4.4699999999999997E-2</v>
      </c>
      <c r="Z61" s="62">
        <f>RIGHT(H61,LEN(H61)-4)/10000</f>
        <v>23.3322</v>
      </c>
      <c r="AA61" s="62">
        <f>ABS(Z61-Y61)</f>
        <v>23.287500000000001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0149-04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/stypes="app*4046*20170404*"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4"/>
        <v>"%USERPROFILE%\Documents\GitHub\eaglep3\Utilities\RefineRTDCRunTimes.py" --tripid 149-04 --locoid 4046 --swversion DE.1.0.9.0 --startMP 204:447 --initTime 2017-04-04T09:44:46 --startdatetime 2017-04-04T09:46:39 --delay 1 --endMP 204:233322 --enddatetime 2017-04-04T10:25:52 --enforcementcount 0 &gt;&gt;C:\Users\stu\Documents\GitHub\eaglep3-reporting\EC\2017-04-04-refined-times.txt</v>
      </c>
      <c r="AI61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{"issue":{"subject":"","project_id":79,"tracker_id":40,"status_id":1,"priority_id":2,"assigned_to_id":23,"start_date":"2017-04-04","description":"","custom_fields":[{"id":1,"name":"Subdivision","value":"EC"},{"id":4,"name":"Milepost","value":"23.3322"},{"id":17,"name":"Train ID","value":"149-04"},{"id":16,"name":"Locomotive ID","value":"4046"},{"id":130,"name":"Impact","value":""},{"id":150,"name":"Time of Event (Mountain Time)","value":"10:25:52"},{"id":151,"name":"Denver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6"/>
        <v>start /low /b %USERPROFILE%\Documents\GitHub\eaglep3\Utilities\DownloadLogsFromS3.py --loco 4046 --day 2017-04-04</v>
      </c>
      <c r="AN61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698</v>
      </c>
      <c r="B62" s="7">
        <v>4045</v>
      </c>
      <c r="C62" s="21" t="s">
        <v>217</v>
      </c>
      <c r="D62" s="21" t="s">
        <v>440</v>
      </c>
      <c r="E62" s="13">
        <v>42829.43645833333</v>
      </c>
      <c r="F62" s="13">
        <v>42829.445555555554</v>
      </c>
      <c r="G62" s="7">
        <v>1</v>
      </c>
      <c r="H62" s="21" t="s">
        <v>200</v>
      </c>
      <c r="I62" s="13">
        <v>42829.474293981482</v>
      </c>
      <c r="J62" s="7">
        <v>0</v>
      </c>
      <c r="K62" s="97" t="str">
        <f>IF(ISEVEN(B62),(B62-1)&amp;"/"&amp;B62,B62&amp;"/"&amp;(B62+1))</f>
        <v>4045/4046</v>
      </c>
      <c r="L62" s="21" t="str">
        <f>VLOOKUP(A62,'Trips&amp;Operators'!$C$1:$G$99999,5,FALSE)</f>
        <v>FORTUNATO FRANK</v>
      </c>
      <c r="M62" s="6">
        <f>I62-F62</f>
        <v>2.8738425928167999E-2</v>
      </c>
      <c r="N62" s="7">
        <f>24*60*SUM($M62:$M62)</f>
        <v>41.383333336561918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-04T09:28:30-0600',mode:absolute,to:'2017-04-04T12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83" t="str">
        <f>IF(AA62&lt;IF(AG62="EC",23,5.65),"Y","N")</f>
        <v>N</v>
      </c>
      <c r="X62" s="183">
        <f>VALUE(LEFT(AD62,4))-VALUE(LEFT(AD61,4))</f>
        <v>1</v>
      </c>
      <c r="Y62" s="62">
        <f>RIGHT(D62,LEN(D62)-4)/10000</f>
        <v>23.299199999999999</v>
      </c>
      <c r="Z62" s="62">
        <f>RIGHT(H62,LEN(H62)-4)/10000</f>
        <v>1.5800000000000002E-2</v>
      </c>
      <c r="AA62" s="62">
        <f>ABS(Z62-Y62)</f>
        <v>23.2834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0150-04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/stypes="app*4045*20170404*" /stext=" 17:.+((SYSTEM_STATE.+slice.+state.+changed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4"/>
        <v>"%USERPROFILE%\Documents\GitHub\eaglep3\Utilities\RefineRTDCRunTimes.py" --tripid 150-04 --locoid 4045 --swversion DE.1.0.9.0 --startMP 204:232992 --initTime 2017-04-04T10:28:30 --startdatetime 2017-04-04T10:41:36 --delay 1 --endMP 204:158 --enddatetime 2017-04-04T11:22:59 --enforcementcount 0 &gt;&gt;C:\Users\stu\Documents\GitHub\eaglep3-reporting\EC\2017-04-04-refined-times.txt</v>
      </c>
      <c r="AI62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{"issue":{"subject":"","project_id":79,"tracker_id":40,"status_id":1,"priority_id":2,"assigned_to_id":23,"start_date":"2017-04-04","description":"","custom_fields":[{"id":1,"name":"Subdivision","value":"EC"},{"id":4,"name":"Milepost","value":"0.0158"},{"id":17,"name":"Train ID","value":"150-04"},{"id":16,"name":"Locomotive ID","value":"4045"},{"id":130,"name":"Impact","value":""},{"id":150,"name":"Time of Event (Mountain Time)","value":"11:22:59"},{"id":151,"name":"Denver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6"/>
        <v>start /low /b %USERPROFILE%\Documents\GitHub\eaglep3\Utilities\DownloadLogsFromS3.py --loco 4045 --day 2017-04-04</v>
      </c>
      <c r="AN62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690</v>
      </c>
      <c r="B63" s="7">
        <v>4008</v>
      </c>
      <c r="C63" s="21" t="s">
        <v>217</v>
      </c>
      <c r="D63" s="21" t="s">
        <v>399</v>
      </c>
      <c r="E63" s="13">
        <v>42829.41847222222</v>
      </c>
      <c r="F63" s="13">
        <v>42829.420023148145</v>
      </c>
      <c r="G63" s="7">
        <v>1</v>
      </c>
      <c r="H63" s="21" t="s">
        <v>450</v>
      </c>
      <c r="I63" s="13">
        <v>42829.449201388888</v>
      </c>
      <c r="J63" s="7">
        <v>0</v>
      </c>
      <c r="K63" s="97" t="str">
        <f>IF(ISEVEN(B63),(B63-1)&amp;"/"&amp;B63,B63&amp;"/"&amp;(B63+1))</f>
        <v>4007/4008</v>
      </c>
      <c r="L63" s="21" t="str">
        <f>VLOOKUP(A63,'Trips&amp;Operators'!$C$1:$G$99999,5,FALSE)</f>
        <v>DAVIS WENDY</v>
      </c>
      <c r="M63" s="6">
        <f>I63-F63</f>
        <v>2.9178240743931383E-2</v>
      </c>
      <c r="N63" s="7">
        <f>24*60*SUM($M63:$M63)</f>
        <v>42.016666671261191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-04T09:02:36-0600',mode:absolute,to:'2017-04-04T11:46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83" t="str">
        <f>IF(AA63&lt;IF(AG63="EC",23,5.65),"Y","N")</f>
        <v>N</v>
      </c>
      <c r="X63" s="183">
        <f>VALUE(LEFT(AD63,4))-VALUE(LEFT(AD62,4))</f>
        <v>1</v>
      </c>
      <c r="Y63" s="62">
        <f>RIGHT(D63,LEN(D63)-4)/10000</f>
        <v>4.4900000000000002E-2</v>
      </c>
      <c r="Z63" s="62">
        <f>RIGHT(H63,LEN(H63)-4)/10000</f>
        <v>23.331499999999998</v>
      </c>
      <c r="AA63" s="62">
        <f>ABS(Z63-Y63)</f>
        <v>23.2866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0151-04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/stypes="app*4008*20170404*" /stext=" 16:.+((SYSTEM_STATE.+slice.+state.+changed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4"/>
        <v>"%USERPROFILE%\Documents\GitHub\eaglep3\Utilities\RefineRTDCRunTimes.py" --tripid 151-04 --locoid 4008 --swversion DE.1.0.9.0 --startMP 204:449 --initTime 2017-04-04T10:02:36 --startdatetime 2017-04-04T10:04:50 --delay 1 --endMP 204:233315 --enddatetime 2017-04-04T10:46:51 --enforcementcount 0 &gt;&gt;C:\Users\stu\Documents\GitHub\eaglep3-reporting\EC\2017-04-04-refined-times.txt</v>
      </c>
      <c r="AI63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{"issue":{"subject":"","project_id":79,"tracker_id":40,"status_id":1,"priority_id":2,"assigned_to_id":23,"start_date":"2017-04-04","description":"","custom_fields":[{"id":1,"name":"Subdivision","value":"EC"},{"id":4,"name":"Milepost","value":"23.3315"},{"id":17,"name":"Train ID","value":"151-04"},{"id":16,"name":"Locomotive ID","value":"4008"},{"id":130,"name":"Impact","value":""},{"id":150,"name":"Time of Event (Mountain Time)","value":"10:46:51"},{"id":151,"name":"Denver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6"/>
        <v>start /low /b %USERPROFILE%\Documents\GitHub\eaglep3\Utilities\DownloadLogsFromS3.py --loco 4008 --day 2017-04-04</v>
      </c>
      <c r="AN63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700</v>
      </c>
      <c r="B64" s="7">
        <v>4007</v>
      </c>
      <c r="C64" s="21" t="s">
        <v>217</v>
      </c>
      <c r="D64" s="21" t="s">
        <v>859</v>
      </c>
      <c r="E64" s="13">
        <v>42829.454432870371</v>
      </c>
      <c r="F64" s="13">
        <v>42829.455729166664</v>
      </c>
      <c r="G64" s="7">
        <v>1</v>
      </c>
      <c r="H64" s="21" t="s">
        <v>427</v>
      </c>
      <c r="I64" s="13">
        <v>42829.483923611115</v>
      </c>
      <c r="J64" s="7">
        <v>0</v>
      </c>
      <c r="K64" s="97" t="str">
        <f>IF(ISEVEN(B64),(B64-1)&amp;"/"&amp;B64,B64&amp;"/"&amp;(B64+1))</f>
        <v>4007/4008</v>
      </c>
      <c r="L64" s="21" t="str">
        <f>VLOOKUP(A64,'Trips&amp;Operators'!$C$1:$G$99999,5,FALSE)</f>
        <v>DAVIS WENDY</v>
      </c>
      <c r="M64" s="6">
        <f>I64-F64</f>
        <v>2.8194444450491574E-2</v>
      </c>
      <c r="N64" s="7">
        <f>24*60*SUM($M64:$M64)</f>
        <v>40.600000008707866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-04T09:54:23-0600',mode:absolute,to:'2017-04-04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3" t="str">
        <f>IF(AA64&lt;IF(AG64="EC",23,5.65),"Y","N")</f>
        <v>N</v>
      </c>
      <c r="X64" s="183">
        <f>VALUE(LEFT(AD64,4))-VALUE(LEFT(AD63,4))</f>
        <v>1</v>
      </c>
      <c r="Y64" s="62">
        <f>RIGHT(D64,LEN(D64)-4)/10000</f>
        <v>23.301100000000002</v>
      </c>
      <c r="Z64" s="62">
        <f>RIGHT(H64,LEN(H64)-4)/10000</f>
        <v>1.34E-2</v>
      </c>
      <c r="AA64" s="62">
        <f>ABS(Z64-Y64)</f>
        <v>23.287700000000001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0152-04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/stypes="app*4007*20170404*" /stext=" 17:.+((SYSTEM_STATE.+slice.+state.+changed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4"/>
        <v>"%USERPROFILE%\Documents\GitHub\eaglep3\Utilities\RefineRTDCRunTimes.py" --tripid 152-04 --locoid 4007 --swversion DE.1.0.9.0 --startMP 204:233011 --initTime 2017-04-04T10:54:23 --startdatetime 2017-04-04T10:56:15 --delay 1 --endMP 204:134 --enddatetime 2017-04-04T11:36:51 --enforcementcount 0 &gt;&gt;C:\Users\stu\Documents\GitHub\eaglep3-reporting\EC\2017-04-04-refined-times.txt</v>
      </c>
      <c r="AI64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ID","value":"152-04"},{"id":16,"name":"Locomotive ID","value":"4007"},{"id":130,"name":"Impact","value":""},{"id":150,"name":"Time of Event (Mountain Time)","value":"11:36:51"},{"id":151,"name":"Denver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6"/>
        <v>start /low /b %USERPROFILE%\Documents\GitHub\eaglep3\Utilities\DownloadLogsFromS3.py --loco 4007 --day 2017-04-04</v>
      </c>
      <c r="AN64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692</v>
      </c>
      <c r="B65" s="7">
        <v>4014</v>
      </c>
      <c r="C65" s="21" t="s">
        <v>217</v>
      </c>
      <c r="D65" s="21" t="s">
        <v>207</v>
      </c>
      <c r="E65" s="13">
        <v>42829.426319444443</v>
      </c>
      <c r="F65" s="13">
        <v>42829.428379629629</v>
      </c>
      <c r="G65" s="7">
        <v>1</v>
      </c>
      <c r="H65" s="21" t="s">
        <v>428</v>
      </c>
      <c r="I65" s="13">
        <v>42829.453229166669</v>
      </c>
      <c r="J65" s="7">
        <v>0</v>
      </c>
      <c r="K65" s="97" t="str">
        <f>IF(ISEVEN(B65),(B65-1)&amp;"/"&amp;B65,B65&amp;"/"&amp;(B65+1))</f>
        <v>4013/4014</v>
      </c>
      <c r="L65" s="21" t="str">
        <f>VLOOKUP(A65,'Trips&amp;Operators'!$C$1:$G$99999,5,FALSE)</f>
        <v>LOZA FIDEL</v>
      </c>
      <c r="M65" s="6">
        <f>I65-F65</f>
        <v>2.4849537039699499E-2</v>
      </c>
      <c r="N65" s="7">
        <f>24*60*SUM($M65:$M65)</f>
        <v>35.783333337167278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-04T09:13:54-0600',mode:absolute,to:'2017-04-04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183" t="str">
        <f>IF(AA65&lt;IF(AG65="EC",23,5.65),"Y","N")</f>
        <v>N</v>
      </c>
      <c r="X65" s="183">
        <f>VALUE(LEFT(AD65,4))-VALUE(LEFT(AD64,4))</f>
        <v>1</v>
      </c>
      <c r="Y65" s="62">
        <f>RIGHT(D65,LEN(D65)-4)/10000</f>
        <v>4.5699999999999998E-2</v>
      </c>
      <c r="Z65" s="62">
        <f>RIGHT(H65,LEN(H65)-4)/10000</f>
        <v>23.330300000000001</v>
      </c>
      <c r="AA65" s="62">
        <f>ABS(Z65-Y65)</f>
        <v>23.284600000000001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0153-04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/stypes="app*4014*20170404*" /stext=" 16:.+((SYSTEM_STATE.+slice.+state.+changed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4"/>
        <v>"%USERPROFILE%\Documents\GitHub\eaglep3\Utilities\RefineRTDCRunTimes.py" --tripid 153-04 --locoid 4014 --swversion DE.1.0.9.0 --startMP 204:457 --initTime 2017-04-04T10:13:54 --startdatetime 2017-04-04T10:16:52 --delay 1 --endMP 204:233303 --enddatetime 2017-04-04T10:52:39 --enforcementcount 0 &gt;&gt;C:\Users\stu\Documents\GitHub\eaglep3-reporting\EC\2017-04-04-refined-times.txt</v>
      </c>
      <c r="AI65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{"issue":{"subject":"","project_id":79,"tracker_id":40,"status_id":1,"priority_id":2,"assigned_to_id":23,"start_date":"2017-04-04","description":"","custom_fields":[{"id":1,"name":"Subdivision","value":"EC"},{"id":4,"name":"Milepost","value":"23.3303"},{"id":17,"name":"Train ID","value":"153-04"},{"id":16,"name":"Locomotive ID","value":"4014"},{"id":130,"name":"Impact","value":""},{"id":150,"name":"Time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6"/>
        <v>start /low /b %USERPROFILE%\Documents\GitHub\eaglep3\Utilities\DownloadLogsFromS3.py --loco 4014 --day 2017-04-04</v>
      </c>
      <c r="AN65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702</v>
      </c>
      <c r="B66" s="7">
        <v>4013</v>
      </c>
      <c r="C66" s="21" t="s">
        <v>217</v>
      </c>
      <c r="D66" s="21" t="s">
        <v>417</v>
      </c>
      <c r="E66" s="13">
        <v>42829.463217592594</v>
      </c>
      <c r="F66" s="13">
        <v>42829.466273148151</v>
      </c>
      <c r="G66" s="7">
        <v>1</v>
      </c>
      <c r="H66" s="21" t="s">
        <v>213</v>
      </c>
      <c r="I66" s="13">
        <v>42829.49627314815</v>
      </c>
      <c r="J66" s="7">
        <v>0</v>
      </c>
      <c r="K66" s="97" t="str">
        <f>IF(ISEVEN(B66),(B66-1)&amp;"/"&amp;B66,B66&amp;"/"&amp;(B66+1))</f>
        <v>4013/4014</v>
      </c>
      <c r="L66" s="21" t="str">
        <f>VLOOKUP(A66,'Trips&amp;Operators'!$C$1:$G$99999,5,FALSE)</f>
        <v>LOZA FIDEL</v>
      </c>
      <c r="M66" s="6">
        <f>I66-F66</f>
        <v>2.9999999998835847E-2</v>
      </c>
      <c r="N66" s="7">
        <f>24*60*SUM($M66:$M66)</f>
        <v>43.199999998323619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-04T10:07:02-0600',mode:absolute,to:'2017-04-04T12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183" t="str">
        <f>IF(AA66&lt;IF(AG66="EC",23,5.65),"Y","N")</f>
        <v>N</v>
      </c>
      <c r="X66" s="183">
        <f>VALUE(LEFT(AD66,4))-VALUE(LEFT(AD65,4))</f>
        <v>1</v>
      </c>
      <c r="Y66" s="62">
        <f>RIGHT(D66,LEN(D66)-4)/10000</f>
        <v>23.298200000000001</v>
      </c>
      <c r="Z66" s="62">
        <f>RIGHT(H66,LEN(H66)-4)/10000</f>
        <v>1.5599999999999999E-2</v>
      </c>
      <c r="AA66" s="62">
        <f>ABS(Z66-Y66)</f>
        <v>23.282600000000002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0154-04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/stypes="app*4013*20170404*" /stext=" 17:.+((SYSTEM_STATE.+slice.+state.+changed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4"/>
        <v>"%USERPROFILE%\Documents\GitHub\eaglep3\Utilities\RefineRTDCRunTimes.py" --tripid 154-04 --locoid 4013 --swversion DE.1.0.9.0 --startMP 204:232982 --initTime 2017-04-04T11:07:02 --startdatetime 2017-04-04T11:11:26 --delay 1 --endMP 204:156 --enddatetime 2017-04-04T11:54:38 --enforcementcount 0 &gt;&gt;C:\Users\stu\Documents\GitHub\eaglep3-reporting\EC\2017-04-04-refined-times.txt</v>
      </c>
      <c r="AI66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ID","value":"154-04"},{"id":16,"name":"Locomotive ID","value":"4013"},{"id":130,"name":"Impact","value":""},{"id":150,"name":"Time of Event (Mountain Time)","value":"11:54:38"},{"id":151,"name":"Denver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6"/>
        <v>start /low /b %USERPROFILE%\Documents\GitHub\eaglep3\Utilities\DownloadLogsFromS3.py --loco 4013 --day 2017-04-04</v>
      </c>
      <c r="AN66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602</v>
      </c>
      <c r="B67" s="7">
        <v>4054</v>
      </c>
      <c r="C67" s="21" t="s">
        <v>217</v>
      </c>
      <c r="D67" s="21" t="s">
        <v>860</v>
      </c>
      <c r="E67" s="13">
        <v>42829.442418981482</v>
      </c>
      <c r="F67" s="13">
        <v>42829.443194444444</v>
      </c>
      <c r="G67" s="7">
        <v>0</v>
      </c>
      <c r="H67" s="21" t="s">
        <v>434</v>
      </c>
      <c r="I67" s="13">
        <v>42829.463449074072</v>
      </c>
      <c r="J67" s="7">
        <v>0</v>
      </c>
      <c r="K67" s="97" t="str">
        <f>IF(ISEVEN(B67),(B67-1)&amp;"/"&amp;B67,B67&amp;"/"&amp;(B67+1))</f>
        <v>4053/4054</v>
      </c>
      <c r="L67" s="21" t="str">
        <f>VLOOKUP(A67,'Trips&amp;Operators'!$C$1:$G$99999,5,FALSE)</f>
        <v>YORK EDGAR</v>
      </c>
      <c r="M67" s="6">
        <f>I67-F67</f>
        <v>2.025462962774327E-2</v>
      </c>
      <c r="N67" s="7"/>
      <c r="O67" s="7"/>
      <c r="P67" s="7">
        <f>24*60*SUM($M67:$M67)</f>
        <v>29.166666663950309</v>
      </c>
      <c r="Q67" s="22"/>
      <c r="R67" s="22" t="s">
        <v>1048</v>
      </c>
      <c r="S67" s="31">
        <f>SUM(U67:U67)/IF(AG67="EC",12,1)</f>
        <v>1</v>
      </c>
      <c r="T67" s="46" t="str">
        <f>IF(ISEVEN(LEFT(AD67,4)),"Southbound","NorthBound")</f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83" t="str">
        <f>IF(AA67&lt;IF(AG67="EC",23,5.65),"Y","N")</f>
        <v>Y</v>
      </c>
      <c r="X67" s="183">
        <f>VALUE(LEFT(AD67,4))-VALUE(LEFT(AD66,4))</f>
        <v>1</v>
      </c>
      <c r="Y67" s="62">
        <f>RIGHT(D67,LEN(D67)-4)/10000</f>
        <v>1.9118999999999999</v>
      </c>
      <c r="Z67" s="62">
        <f>RIGHT(H67,LEN(H67)-4)/10000</f>
        <v>23.330400000000001</v>
      </c>
      <c r="AA67" s="62">
        <f>ABS(Z67-Y67)</f>
        <v>21.418500000000002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0155-04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4"/>
        <v>"%USERPROFILE%\Documents\GitHub\eaglep3\Utilities\RefineRTDCRunTimes.py" --tripid 155-04 --locoid 4054 --swversion DE.1.0.9.0 --startMP 204:19119 --initTime 2017-04-04T10:37:05 --startdatetime 2017-04-04T10:38:12 --delay 0 --endMP 204:233304 --enddatetime 2017-04-04T11:07:22 --enforcementcount 0 &gt;&gt;C:\Users\stu\Documents\GitHub\eaglep3-reporting\EC\2017-04-04-refined-times.txt</v>
      </c>
      <c r="AI67" s="104" t="str">
        <f t="shared" si="5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failure","project_id":79,"tracker_id":40,"status_id":1,"priority_id":2,"assigned_to_id":23,"start_date":"2017-04-04","description":"","custom_fields":[{"id":1,"name":"Subdivision","value":"EC"},{"id":4,"name":"Milepost","value":"23.3304"},{"id":17,"name":"Train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6"/>
        <v>start /low /b %USERPROFILE%\Documents\GitHub\eaglep3\Utilities\DownloadLogsFromS3.py --loco 4054 --day 2017-04-04</v>
      </c>
      <c r="AN67" s="159" t="str">
        <f t="shared" si="7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602</v>
      </c>
      <c r="B68" s="7">
        <v>4054</v>
      </c>
      <c r="C68" s="21" t="s">
        <v>217</v>
      </c>
      <c r="D68" s="21" t="s">
        <v>861</v>
      </c>
      <c r="E68" s="13">
        <v>42829.437777777777</v>
      </c>
      <c r="F68" s="13">
        <v>42829.443194444444</v>
      </c>
      <c r="G68" s="7">
        <v>1</v>
      </c>
      <c r="H68" s="21" t="s">
        <v>862</v>
      </c>
      <c r="I68" s="13">
        <v>42829.463449074072</v>
      </c>
      <c r="J68" s="7">
        <v>0</v>
      </c>
      <c r="K68" s="97" t="str">
        <f>IF(ISEVEN(B68),(B68-1)&amp;"/"&amp;B68,B68&amp;"/"&amp;(B68+1))</f>
        <v>4053/4054</v>
      </c>
      <c r="L68" s="21" t="str">
        <f>VLOOKUP(A68,'Trips&amp;Operators'!$C$1:$G$99999,5,FALSE)</f>
        <v>YORK EDGAR</v>
      </c>
      <c r="M68" s="6">
        <f>I68-F68</f>
        <v>2.025462962774327E-2</v>
      </c>
      <c r="N68" s="7"/>
      <c r="O68" s="7"/>
      <c r="P68" s="7"/>
      <c r="Q68" s="22"/>
      <c r="R68" s="22"/>
      <c r="S68" s="31"/>
      <c r="T68" s="46" t="str">
        <f>IF(ISEVEN(LEFT(AD68,4)),"Southbound","NorthBound")</f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8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-04T09:30:24-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183" t="str">
        <f>IF(AA68&lt;IF(AG68="EC",23,5.65),"Y","N")</f>
        <v>Y</v>
      </c>
      <c r="X68" s="183">
        <f>VALUE(LEFT(AD68,4))-VALUE(LEFT(AD67,4))</f>
        <v>0</v>
      </c>
      <c r="Y68" s="62">
        <f>RIGHT(D68,LEN(D68)-4)/10000</f>
        <v>4.8399999999999999E-2</v>
      </c>
      <c r="Z68" s="62">
        <f>RIGHT(H68,LEN(H68)-4)/10000</f>
        <v>0.26250000000000001</v>
      </c>
      <c r="AA68" s="62">
        <f>ABS(Z68-Y68)</f>
        <v>0.21410000000000001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0155-04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4"/>
        <v>"%USERPROFILE%\Documents\GitHub\eaglep3\Utilities\RefineRTDCRunTimes.py" --tripid 155-04 --locoid 4054 --swversion DE.1.0.9.0 --startMP 204:484 --initTime 2017-04-04T10:30:24 --startdatetime 2017-04-04T10:38:12 --delay 1 --endMP 204:2625 --enddatetime 2017-04-04T11:07:22 --enforcementcount 0 &gt;&gt;C:\Users\stu\Documents\GitHub\eaglep3-reporting\EC\2017-04-04-refined-times.txt</v>
      </c>
      <c r="AI68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{"issue":{"subject":"","project_id":79,"tracker_id":40,"status_id":1,"priority_id":2,"assigned_to_id":23,"start_date":"2017-04-04","description":"","custom_fields":[{"id":1,"name":"Subdivision","value":"EC"},{"id":4,"name":"Milepost","value":"0.2625"},{"id":17,"name":"Train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6"/>
        <v>start /low /b %USERPROFILE%\Documents\GitHub\eaglep3\Utilities\DownloadLogsFromS3.py --loco 4054 --day 2017-04-04</v>
      </c>
      <c r="AN68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703</v>
      </c>
      <c r="B69" s="7">
        <v>4053</v>
      </c>
      <c r="C69" s="21" t="s">
        <v>217</v>
      </c>
      <c r="D69" s="21" t="s">
        <v>467</v>
      </c>
      <c r="E69" s="13">
        <v>42829.464502314811</v>
      </c>
      <c r="F69" s="13">
        <v>42829.476863425924</v>
      </c>
      <c r="G69" s="7">
        <v>1</v>
      </c>
      <c r="H69" s="21" t="s">
        <v>191</v>
      </c>
      <c r="I69" s="13">
        <v>42829.502766203703</v>
      </c>
      <c r="J69" s="7">
        <v>0</v>
      </c>
      <c r="K69" s="97" t="str">
        <f>IF(ISEVEN(B69),(B69-1)&amp;"/"&amp;B69,B69&amp;"/"&amp;(B69+1))</f>
        <v>4053/4054</v>
      </c>
      <c r="L69" s="21" t="str">
        <f>VLOOKUP(A69,'Trips&amp;Operators'!$C$1:$G$99999,5,FALSE)</f>
        <v>YORK EDGAR</v>
      </c>
      <c r="M69" s="6">
        <f>I69-F69</f>
        <v>2.5902777779265307E-2</v>
      </c>
      <c r="N69" s="7">
        <f>24*60*SUM($M69:$M69)</f>
        <v>37.300000002142042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-04T10:08:53-0600',mode:absolute,to:'2017-04-04T13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83" t="str">
        <f>IF(AA69&lt;IF(AG69="EC",23,5.65),"Y","N")</f>
        <v>N</v>
      </c>
      <c r="X69" s="183">
        <f>VALUE(LEFT(AD69,4))-VALUE(LEFT(AD68,4))</f>
        <v>1</v>
      </c>
      <c r="Y69" s="62">
        <f>RIGHT(D69,LEN(D69)-4)/10000</f>
        <v>23.299800000000001</v>
      </c>
      <c r="Z69" s="62">
        <f>RIGHT(H69,LEN(H69)-4)/10000</f>
        <v>1.4999999999999999E-2</v>
      </c>
      <c r="AA69" s="62">
        <f>ABS(Z69-Y69)</f>
        <v>23.284800000000001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0156-04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/stypes="app*4053*20170404*" /stext=" 18:.+((SYSTEM_STATE.+slice.+state.+changed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4"/>
        <v>"%USERPROFILE%\Documents\GitHub\eaglep3\Utilities\RefineRTDCRunTimes.py" --tripid 156-04 --locoid 4053 --swversion DE.1.0.9.0 --startMP 204:232998 --initTime 2017-04-04T11:08:53 --startdatetime 2017-04-04T11:26:41 --delay 1 --endMP 204:150 --enddatetime 2017-04-04T12:03:59 --enforcementcount 0 &gt;&gt;C:\Users\stu\Documents\GitHub\eaglep3-reporting\EC\2017-04-04-refined-times.txt</v>
      </c>
      <c r="AI69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ID","value":"156-04"},{"id":16,"name":"Locomotive ID","value":"4053"},{"id":130,"name":"Impact","value":""},{"id":150,"name":"Time of Event (Mountain Time)","value":"12:03:59"},{"id":151,"name":"Denver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6"/>
        <v>start /low /b %USERPROFILE%\Documents\GitHub\eaglep3\Utilities\DownloadLogsFromS3.py --loco 4053 --day 2017-04-04</v>
      </c>
      <c r="AN69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606</v>
      </c>
      <c r="B70" s="7">
        <v>4004</v>
      </c>
      <c r="C70" s="21" t="s">
        <v>217</v>
      </c>
      <c r="D70" s="21" t="s">
        <v>424</v>
      </c>
      <c r="E70" s="13">
        <v>42829.446226851855</v>
      </c>
      <c r="F70" s="13">
        <v>42829.44835648148</v>
      </c>
      <c r="G70" s="7">
        <v>1</v>
      </c>
      <c r="H70" s="21" t="s">
        <v>863</v>
      </c>
      <c r="I70" s="13">
        <v>42829.474189814813</v>
      </c>
      <c r="J70" s="7">
        <v>0</v>
      </c>
      <c r="K70" s="97" t="str">
        <f>IF(ISEVEN(B70),(B70-1)&amp;"/"&amp;B70,B70&amp;"/"&amp;(B70+1))</f>
        <v>4003/4004</v>
      </c>
      <c r="L70" s="21" t="str">
        <f>VLOOKUP(A70,'Trips&amp;Operators'!$C$1:$G$99999,5,FALSE)</f>
        <v>MENGES BRAD</v>
      </c>
      <c r="M70" s="6">
        <f>I70-F70</f>
        <v>2.5833333333139308E-2</v>
      </c>
      <c r="N70" s="7">
        <f>24*60*SUM($M70:$M70)</f>
        <v>37.199999999720603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83" t="str">
        <f>IF(AA70&lt;IF(AG70="EC",23,5.65),"Y","N")</f>
        <v>N</v>
      </c>
      <c r="X70" s="183">
        <f>VALUE(LEFT(AD70,4))-VALUE(LEFT(AD69,4))</f>
        <v>1</v>
      </c>
      <c r="Y70" s="62">
        <f>RIGHT(D70,LEN(D70)-4)/10000</f>
        <v>4.4699999999999997E-2</v>
      </c>
      <c r="Z70" s="62">
        <f>RIGHT(H70,LEN(H70)-4)/10000</f>
        <v>23.3307</v>
      </c>
      <c r="AA70" s="62">
        <f>ABS(Z70-Y70)</f>
        <v>23.286000000000001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0157-04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/stypes="app*4004*20170404*" /stext=" 17:.+((SYSTEM_STATE.+slice.+state.+changed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4"/>
        <v>"%USERPROFILE%\Documents\GitHub\eaglep3\Utilities\RefineRTDCRunTimes.py" --tripid 157-04 --locoid 4004 --swversion DE.1.0.9.0 --startMP 204:447 --initTime 2017-04-04T10:42:34 --startdatetime 2017-04-04T10:45:38 --delay 1 --endMP 204:233307 --enddatetime 2017-04-04T11:22:50 --enforcementcount 0 &gt;&gt;C:\Users\stu\Documents\GitHub\eaglep3-reporting\EC\2017-04-04-refined-times.txt</v>
      </c>
      <c r="AI70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ID","value":"157-04"},{"id":16,"name":"Locomotive ID","value":"4004"},{"id":130,"name":"Impact","value":""},{"id":150,"name":"Time of Event (Mountain Time)","value":"11:22:50"},{"id":151,"name":"Denver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6"/>
        <v>start /low /b %USERPROFILE%\Documents\GitHub\eaglep3\Utilities\DownloadLogsFromS3.py --loco 4004 --day 2017-04-04</v>
      </c>
      <c r="AN70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711</v>
      </c>
      <c r="B71" s="7">
        <v>4003</v>
      </c>
      <c r="C71" s="21" t="s">
        <v>217</v>
      </c>
      <c r="D71" s="21" t="s">
        <v>547</v>
      </c>
      <c r="E71" s="13">
        <v>42829.481122685182</v>
      </c>
      <c r="F71" s="13">
        <v>42829.487129629626</v>
      </c>
      <c r="G71" s="7">
        <v>1</v>
      </c>
      <c r="H71" s="21" t="s">
        <v>427</v>
      </c>
      <c r="I71" s="13">
        <v>42829.515798611108</v>
      </c>
      <c r="J71" s="7">
        <v>0</v>
      </c>
      <c r="K71" s="97" t="str">
        <f>IF(ISEVEN(B71),(B71-1)&amp;"/"&amp;B71,B71&amp;"/"&amp;(B71+1))</f>
        <v>4003/4004</v>
      </c>
      <c r="L71" s="21" t="str">
        <f>VLOOKUP(A71,'Trips&amp;Operators'!$C$1:$G$99999,5,FALSE)</f>
        <v>MENGES BRAD</v>
      </c>
      <c r="M71" s="6">
        <f>I71-F71</f>
        <v>2.8668981482042E-2</v>
      </c>
      <c r="N71" s="7">
        <f>24*60*SUM($M71:$M71)</f>
        <v>41.28333333414048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-04T10:32:49-0600',mode:absolute,to:'2017-04-04T13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83" t="str">
        <f>IF(AA71&lt;IF(AG71="EC",23,5.65),"Y","N")</f>
        <v>N</v>
      </c>
      <c r="X71" s="183">
        <f>VALUE(LEFT(AD71,4))-VALUE(LEFT(AD70,4))</f>
        <v>1</v>
      </c>
      <c r="Y71" s="62">
        <f>RIGHT(D71,LEN(D71)-4)/10000</f>
        <v>23.296299999999999</v>
      </c>
      <c r="Z71" s="62">
        <f>RIGHT(H71,LEN(H71)-4)/10000</f>
        <v>1.34E-2</v>
      </c>
      <c r="AA71" s="62">
        <f>ABS(Z71-Y71)</f>
        <v>23.282899999999998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0158-04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/stypes="app*4003*20170404*" /stext=" 18:.+((SYSTEM_STATE.+slice.+state.+changed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4"/>
        <v>"%USERPROFILE%\Documents\GitHub\eaglep3\Utilities\RefineRTDCRunTimes.py" --tripid 158-04 --locoid 4003 --swversion DE.1.0.9.0 --startMP 204:232963 --initTime 2017-04-04T11:32:49 --startdatetime 2017-04-04T11:41:28 --delay 1 --endMP 204:134 --enddatetime 2017-04-04T12:22:45 --enforcementcount 0 &gt;&gt;C:\Users\stu\Documents\GitHub\eaglep3-reporting\EC\2017-04-04-refined-times.txt</v>
      </c>
      <c r="AI71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ID","value":"158-04"},{"id":16,"name":"Locomotive ID","value":"4003"},{"id":130,"name":"Impact","value":""},{"id":150,"name":"Time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6"/>
        <v>start /low /b %USERPROFILE%\Documents\GitHub\eaglep3\Utilities\DownloadLogsFromS3.py --loco 4003 --day 2017-04-04</v>
      </c>
      <c r="AN71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701</v>
      </c>
      <c r="B72" s="7">
        <v>4032</v>
      </c>
      <c r="C72" s="21" t="s">
        <v>217</v>
      </c>
      <c r="D72" s="21" t="s">
        <v>462</v>
      </c>
      <c r="E72" s="13">
        <v>42829.458124999997</v>
      </c>
      <c r="F72" s="13">
        <v>42829.460856481484</v>
      </c>
      <c r="G72" s="7">
        <v>2</v>
      </c>
      <c r="H72" s="21" t="s">
        <v>864</v>
      </c>
      <c r="I72" s="13">
        <v>42829.490567129629</v>
      </c>
      <c r="J72" s="7">
        <v>0</v>
      </c>
      <c r="K72" s="97" t="str">
        <f>IF(ISEVEN(B72),(B72-1)&amp;"/"&amp;B72,B72&amp;"/"&amp;(B72+1))</f>
        <v>4031/4032</v>
      </c>
      <c r="L72" s="21" t="str">
        <f>VLOOKUP(A72,'Trips&amp;Operators'!$C$1:$G$99999,5,FALSE)</f>
        <v>DAVIS MICHAEL</v>
      </c>
      <c r="M72" s="6">
        <f>I72-F72</f>
        <v>2.9710648144828156E-2</v>
      </c>
      <c r="N72" s="7">
        <f>24*60*SUM($M72:$M72)</f>
        <v>42.783333328552544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-04T09:59:42-0600',mode:absolute,to:'2017-04-04T12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83" t="str">
        <f>IF(AA72&lt;IF(AG72="EC",23,5.65),"Y","N")</f>
        <v>N</v>
      </c>
      <c r="X72" s="183">
        <f>VALUE(LEFT(AD72,4))-VALUE(LEFT(AD71,4))</f>
        <v>1</v>
      </c>
      <c r="Y72" s="62">
        <f>RIGHT(D72,LEN(D72)-4)/10000</f>
        <v>4.6600000000000003E-2</v>
      </c>
      <c r="Z72" s="62">
        <f>RIGHT(H72,LEN(H72)-4)/10000</f>
        <v>23.335899999999999</v>
      </c>
      <c r="AA72" s="62">
        <f>ABS(Z72-Y72)</f>
        <v>23.289299999999997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0159-04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/stypes="app*4032*20170404*" /stext=" 17:.+((SYSTEM_STATE.+slice.+state.+changed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4"/>
        <v>"%USERPROFILE%\Documents\GitHub\eaglep3\Utilities\RefineRTDCRunTimes.py" --tripid 159-04 --locoid 4032 --swversion DE.1.0.9.0 --startMP 204:466 --initTime 2017-04-04T10:59:42 --startdatetime 2017-04-04T11:03:38 --delay 2 --endMP 204:233359 --enddatetime 2017-04-04T11:46:25 --enforcementcount 0 &gt;&gt;C:\Users\stu\Documents\GitHub\eaglep3-reporting\EC\2017-04-04-refined-times.txt</v>
      </c>
      <c r="AI72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{"issue":{"subject":"","project_id":79,"tracker_id":40,"status_id":1,"priority_id":2,"assigned_to_id":23,"start_date":"2017-04-04","description":"","custom_fields":[{"id":1,"name":"Subdivision","value":"EC"},{"id":4,"name":"Milepost","value":"23.3359"},{"id":17,"name":"Train ID","value":"159-04"},{"id":16,"name":"Locomotive ID","value":"4032"},{"id":130,"name":"Impact","value":""},{"id":150,"name":"Time of Event (Mountain Time)","value":"11:46:25"},{"id":151,"name":"Denver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6"/>
        <v>start /low /b %USERPROFILE%\Documents\GitHub\eaglep3\Utilities\DownloadLogsFromS3.py --loco 4032 --day 2017-04-04</v>
      </c>
      <c r="AN72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714</v>
      </c>
      <c r="B73" s="7">
        <v>4031</v>
      </c>
      <c r="C73" s="21" t="s">
        <v>217</v>
      </c>
      <c r="D73" s="21" t="s">
        <v>467</v>
      </c>
      <c r="E73" s="13">
        <v>42829.495451388888</v>
      </c>
      <c r="F73" s="13">
        <v>42829.497557870367</v>
      </c>
      <c r="G73" s="7">
        <v>1</v>
      </c>
      <c r="H73" s="21" t="s">
        <v>199</v>
      </c>
      <c r="I73" s="13">
        <v>42829.526342592595</v>
      </c>
      <c r="J73" s="7">
        <v>0</v>
      </c>
      <c r="K73" s="97" t="str">
        <f>IF(ISEVEN(B73),(B73-1)&amp;"/"&amp;B73,B73&amp;"/"&amp;(B73+1))</f>
        <v>4031/4032</v>
      </c>
      <c r="L73" s="21" t="str">
        <f>VLOOKUP(A73,'Trips&amp;Operators'!$C$1:$G$99999,5,FALSE)</f>
        <v>DAVIS MICHAEL</v>
      </c>
      <c r="M73" s="6">
        <f>I73-F73</f>
        <v>2.8784722228010651E-2</v>
      </c>
      <c r="N73" s="7">
        <f>24*60*SUM($M73:$M73)</f>
        <v>41.450000008335337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-04T10:53:27-0600',mode:absolute,to:'2017-04-04T13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83" t="str">
        <f>IF(AA73&lt;IF(AG73="EC",23,5.65),"Y","N")</f>
        <v>N</v>
      </c>
      <c r="X73" s="183">
        <f>VALUE(LEFT(AD73,4))-VALUE(LEFT(AD72,4))</f>
        <v>1</v>
      </c>
      <c r="Y73" s="62">
        <f>RIGHT(D73,LEN(D73)-4)/10000</f>
        <v>23.299800000000001</v>
      </c>
      <c r="Z73" s="62">
        <f>RIGHT(H73,LEN(H73)-4)/10000</f>
        <v>1.52E-2</v>
      </c>
      <c r="AA73" s="62">
        <f>ABS(Z73-Y73)</f>
        <v>23.284600000000001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0160-04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/stypes="app*4031*20170404*" /stext=" 18:.+((SYSTEM_STATE.+slice.+state.+changed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4"/>
        <v>"%USERPROFILE%\Documents\GitHub\eaglep3\Utilities\RefineRTDCRunTimes.py" --tripid 160-04 --locoid 4031 --swversion DE.1.0.9.0 --startMP 204:232998 --initTime 2017-04-04T11:53:27 --startdatetime 2017-04-04T11:56:29 --delay 1 --endMP 204:152 --enddatetime 2017-04-04T12:37:56 --enforcementcount 0 &gt;&gt;C:\Users\stu\Documents\GitHub\eaglep3-reporting\EC\2017-04-04-refined-times.txt</v>
      </c>
      <c r="AI73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ID","value":"160-04"},{"id":16,"name":"Locomotive ID","value":"4031"},{"id":130,"name":"Impact","value":""},{"id":150,"name":"Time of Event (Mountain Time)","value":"12:37:56"},{"id":151,"name":"Denver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6"/>
        <v>start /low /b %USERPROFILE%\Documents\GitHub\eaglep3\Utilities\DownloadLogsFromS3.py --loco 4031 --day 2017-04-04</v>
      </c>
      <c r="AN73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704</v>
      </c>
      <c r="B74" s="7">
        <v>4044</v>
      </c>
      <c r="C74" s="21" t="s">
        <v>217</v>
      </c>
      <c r="D74" s="21" t="s">
        <v>207</v>
      </c>
      <c r="E74" s="13">
        <v>42829.464930555558</v>
      </c>
      <c r="F74" s="13">
        <v>42829.467314814814</v>
      </c>
      <c r="G74" s="7">
        <v>3</v>
      </c>
      <c r="H74" s="21" t="s">
        <v>865</v>
      </c>
      <c r="I74" s="13">
        <v>42829.495312500003</v>
      </c>
      <c r="J74" s="7">
        <v>0</v>
      </c>
      <c r="K74" s="97" t="str">
        <f>IF(ISEVEN(B74),(B74-1)&amp;"/"&amp;B74,B74&amp;"/"&amp;(B74+1))</f>
        <v>4043/4044</v>
      </c>
      <c r="L74" s="21" t="str">
        <f>VLOOKUP(A74,'Trips&amp;Operators'!$C$1:$G$99999,5,FALSE)</f>
        <v>STEWART MICHAEL</v>
      </c>
      <c r="M74" s="6">
        <f>I74-F74</f>
        <v>2.7997685188893229E-2</v>
      </c>
      <c r="N74" s="7">
        <f>24*60*SUM($M74:$M74)</f>
        <v>40.316666672006249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-04T10:09:30-0600',mode:absolute,to:'2017-04-04T12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83" t="str">
        <f>IF(AA74&lt;IF(AG74="EC",23,5.65),"Y","N")</f>
        <v>N</v>
      </c>
      <c r="X74" s="183">
        <f t="shared" ref="X74:X77" si="8">VALUE(LEFT(AD74,4))-VALUE(LEFT(AD73,4))</f>
        <v>1</v>
      </c>
      <c r="Y74" s="62">
        <f>RIGHT(D74,LEN(D74)-4)/10000</f>
        <v>4.5699999999999998E-2</v>
      </c>
      <c r="Z74" s="62">
        <f>RIGHT(H74,LEN(H74)-4)/10000</f>
        <v>23.325700000000001</v>
      </c>
      <c r="AA74" s="62">
        <f>ABS(Z74-Y74)</f>
        <v>23.28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0161-04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/stypes="app*4044*20170404*" /stext=" 17:.+((SYSTEM_STATE.+slice.+state.+changed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4"/>
        <v>"%USERPROFILE%\Documents\GitHub\eaglep3\Utilities\RefineRTDCRunTimes.py" --tripid 161-04 --locoid 4044 --swversion DE.1.0.9.0 --startMP 204:457 --initTime 2017-04-04T11:09:30 --startdatetime 2017-04-04T11:12:56 --delay 3 --endMP 204:233257 --enddatetime 2017-04-04T11:53:15 --enforcementcount 0 &gt;&gt;C:\Users\stu\Documents\GitHub\eaglep3-reporting\EC\2017-04-04-refined-times.txt</v>
      </c>
      <c r="AI74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{"issue":{"subject":"","project_id":79,"tracker_id":40,"status_id":1,"priority_id":2,"assigned_to_id":23,"start_date":"2017-04-04","description":"","custom_fields":[{"id":1,"name":"Subdivision","value":"EC"},{"id":4,"name":"Milepost","value":"23.3257"},{"id":17,"name":"Train ID","value":"161-04"},{"id":16,"name":"Locomotive ID","value":"4044"},{"id":130,"name":"Impact","value":""},{"id":150,"name":"Time of Event (Mountain Time)","value":"11:53:15"},{"id":151,"name":"Denver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6"/>
        <v>start /low /b %USERPROFILE%\Documents\GitHub\eaglep3\Utilities\DownloadLogsFromS3.py --loco 4044 --day 2017-04-04</v>
      </c>
      <c r="AN74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719</v>
      </c>
      <c r="B75" s="7">
        <v>4043</v>
      </c>
      <c r="C75" s="21" t="s">
        <v>217</v>
      </c>
      <c r="D75" s="21" t="s">
        <v>459</v>
      </c>
      <c r="E75" s="13">
        <v>42829.505659722221</v>
      </c>
      <c r="F75" s="13">
        <v>42829.507905092592</v>
      </c>
      <c r="G75" s="7">
        <v>1</v>
      </c>
      <c r="H75" s="21" t="s">
        <v>408</v>
      </c>
      <c r="I75" s="13">
        <v>42829.535393518519</v>
      </c>
      <c r="J75" s="7">
        <v>0</v>
      </c>
      <c r="K75" s="97" t="str">
        <f>IF(ISEVEN(B75),(B75-1)&amp;"/"&amp;B75,B75&amp;"/"&amp;(B75+1))</f>
        <v>4043/4044</v>
      </c>
      <c r="L75" s="21" t="str">
        <f>VLOOKUP(A75,'Trips&amp;Operators'!$C$1:$G$99999,5,FALSE)</f>
        <v>STEWART MICHAEL</v>
      </c>
      <c r="M75" s="6">
        <f>I75-F75</f>
        <v>2.7488425927003846E-2</v>
      </c>
      <c r="N75" s="7">
        <f>24*60*SUM($M75:$M75)</f>
        <v>39.583333334885538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-04T11:08:09-0600',mode:absolute,to:'2017-04-04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83" t="str">
        <f>IF(AA75&lt;IF(AG75="EC",23,5.65),"Y","N")</f>
        <v>N</v>
      </c>
      <c r="X75" s="183">
        <f t="shared" si="8"/>
        <v>1</v>
      </c>
      <c r="Y75" s="62">
        <f>RIGHT(D75,LEN(D75)-4)/10000</f>
        <v>23.2988</v>
      </c>
      <c r="Z75" s="62">
        <f>RIGHT(H75,LEN(H75)-4)/10000</f>
        <v>1.61E-2</v>
      </c>
      <c r="AA75" s="62">
        <f>ABS(Z75-Y75)</f>
        <v>23.282699999999998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0162-04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/stypes="app*4043*20170404*"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4"/>
        <v>"%USERPROFILE%\Documents\GitHub\eaglep3\Utilities\RefineRTDCRunTimes.py" --tripid 162-04 --locoid 4043 --swversion DE.1.0.9.0 --startMP 204:232988 --initTime 2017-04-04T12:08:09 --startdatetime 2017-04-04T12:11:23 --delay 1 --endMP 204:161 --enddatetime 2017-04-04T12:50:58 --enforcementcount 0 &gt;&gt;C:\Users\stu\Documents\GitHub\eaglep3-reporting\EC\2017-04-04-refined-times.txt</v>
      </c>
      <c r="AI75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ID","value":"162-04"},{"id":16,"name":"Locomotive ID","value":"4043"},{"id":130,"name":"Impact","value":""},{"id":150,"name":"Time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6"/>
        <v>start /low /b %USERPROFILE%\Documents\GitHub\eaglep3\Utilities\DownloadLogsFromS3.py --loco 4043 --day 2017-04-04</v>
      </c>
      <c r="AN75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708</v>
      </c>
      <c r="B76" s="7">
        <v>4046</v>
      </c>
      <c r="C76" s="21" t="s">
        <v>217</v>
      </c>
      <c r="D76" s="21" t="s">
        <v>462</v>
      </c>
      <c r="E76" s="13">
        <v>42829.477083333331</v>
      </c>
      <c r="F76" s="13">
        <v>42829.479467592595</v>
      </c>
      <c r="G76" s="7">
        <v>1</v>
      </c>
      <c r="H76" s="21" t="s">
        <v>854</v>
      </c>
      <c r="I76" s="13">
        <v>42829.505972222221</v>
      </c>
      <c r="J76" s="7">
        <v>0</v>
      </c>
      <c r="K76" s="97" t="str">
        <f>IF(ISEVEN(B76),(B76-1)&amp;"/"&amp;B76,B76&amp;"/"&amp;(B76+1))</f>
        <v>4045/4046</v>
      </c>
      <c r="L76" s="21" t="str">
        <f>VLOOKUP(A76,'Trips&amp;Operators'!$C$1:$G$99999,5,FALSE)</f>
        <v>LEVERE CRAIG</v>
      </c>
      <c r="M76" s="6">
        <f>I76-F76</f>
        <v>2.6504629626288079E-2</v>
      </c>
      <c r="N76" s="7">
        <f>24*60*SUM($M76:$M76)</f>
        <v>38.166666661854833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-04T10:27:00-0600',mode:absolute,to:'2017-04-04T13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83" t="str">
        <f>IF(AA76&lt;IF(AG76="EC",23,5.65),"Y","N")</f>
        <v>N</v>
      </c>
      <c r="X76" s="183">
        <f t="shared" si="8"/>
        <v>1</v>
      </c>
      <c r="Y76" s="62">
        <f>RIGHT(D76,LEN(D76)-4)/10000</f>
        <v>4.6600000000000003E-2</v>
      </c>
      <c r="Z76" s="62">
        <f>RIGHT(H76,LEN(H76)-4)/10000</f>
        <v>23.331199999999999</v>
      </c>
      <c r="AA76" s="62">
        <f>ABS(Z76-Y76)</f>
        <v>23.284599999999998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0163-04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/stypes="app*4046*20170404*" /stext=" 18:.+((SYSTEM_STATE.+slice.+state.+changed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4"/>
        <v>"%USERPROFILE%\Documents\GitHub\eaglep3\Utilities\RefineRTDCRunTimes.py" --tripid 163-04 --locoid 4046 --swversion DE.1.0.9.0 --startMP 204:466 --initTime 2017-04-04T11:27:00 --startdatetime 2017-04-04T11:30:26 --delay 1 --endMP 204:233312 --enddatetime 2017-04-04T12:08:36 --enforcementcount 0 &gt;&gt;C:\Users\stu\Documents\GitHub\eaglep3-reporting\EC\2017-04-04-refined-times.txt</v>
      </c>
      <c r="AI76" s="104" t="str">
        <f t="shared" si="5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ID","value":"163-04"},{"id":16,"name":"Locomotive ID","value":"4046"},{"id":130,"name":"Impact","value":""},{"id":150,"name":"Time of Event (Mountain Time)","value":"12:08:36"},{"id":151,"name":"Denver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6"/>
        <v>start /low /b %USERPROFILE%\Documents\GitHub\eaglep3\Utilities\DownloadLogsFromS3.py --loco 4046 --day 2017-04-04</v>
      </c>
      <c r="AN76" s="159" t="str">
        <f t="shared" si="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721</v>
      </c>
      <c r="B77" s="7">
        <v>4045</v>
      </c>
      <c r="C77" s="21" t="s">
        <v>217</v>
      </c>
      <c r="D77" s="21" t="s">
        <v>441</v>
      </c>
      <c r="E77" s="13">
        <v>42829.512152777781</v>
      </c>
      <c r="F77" s="13">
        <v>42829.518541666665</v>
      </c>
      <c r="G77" s="7">
        <v>1</v>
      </c>
      <c r="H77" s="21" t="s">
        <v>426</v>
      </c>
      <c r="I77" s="13">
        <v>42829.545925925922</v>
      </c>
      <c r="J77" s="7">
        <v>0</v>
      </c>
      <c r="K77" s="97" t="str">
        <f>IF(ISEVEN(B77),(B77-1)&amp;"/"&amp;B77,B77&amp;"/"&amp;(B77+1))</f>
        <v>4045/4046</v>
      </c>
      <c r="L77" s="21" t="str">
        <f>VLOOKUP(A77,'Trips&amp;Operators'!$C$1:$G$99999,5,FALSE)</f>
        <v>LEVERE CRAIG</v>
      </c>
      <c r="M77" s="6">
        <f>I77-F77</f>
        <v>2.7384259257814847E-2</v>
      </c>
      <c r="N77" s="7">
        <f>24*60*SUM($M77:$M77)</f>
        <v>39.43333333125338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-04T11:17:30-0600',mode:absolute,to:'2017-04-04T14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83" t="str">
        <f>IF(AA77&lt;IF(AG77="EC",23,5.65),"Y","N")</f>
        <v>N</v>
      </c>
      <c r="X77" s="183">
        <f t="shared" si="8"/>
        <v>1</v>
      </c>
      <c r="Y77" s="62">
        <f>RIGHT(D77,LEN(D77)-4)/10000</f>
        <v>23.2989</v>
      </c>
      <c r="Z77" s="62">
        <f>RIGHT(H77,LEN(H77)-4)/10000</f>
        <v>1.6299999999999999E-2</v>
      </c>
      <c r="AA77" s="62">
        <f>ABS(Z77-Y77)</f>
        <v>23.282599999999999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0164-04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/stypes="app*4045*20170404*" /stext=" 19:.+((SYSTEM_STATE.+slice.+state.+changed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ref="AH77:AH141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164-04 --locoid 4045 --swversion DE.1.0.9.0 --startMP 204:232989 --initTime 2017-04-04T12:17:30 --startdatetime 2017-04-04T12:26:42 --delay 1 --endMP 204:163 --enddatetime 2017-04-04T13:06:08 --enforcementcount 0 &gt;&gt;C:\Users\stu\Documents\GitHub\eaglep3-reporting\EC\2017-04-04-refined-times.txt</v>
      </c>
      <c r="AI77" s="104" t="str">
        <f t="shared" ref="AI77:AI141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ID","value":"164-04"},{"id":16,"name":"Locomotive ID","value":"4045"},{"id":130,"name":"Impact","value":""},{"id":150,"name":"Time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1" si="11">"start /low /b "&amp;dls3logs&amp;" --loco "&amp;B77&amp;" --day "&amp;TEXT(F77,"YYYY-MM-DD")</f>
        <v>start /low /b %USERPROFILE%\Documents\GitHub\eaglep3\Utilities\DownloadLogsFromS3.py --loco 4045 --day 2017-04-04</v>
      </c>
      <c r="AN77" s="159" t="str">
        <f t="shared" ref="AN77:AN141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713</v>
      </c>
      <c r="B78" s="7">
        <v>4008</v>
      </c>
      <c r="C78" s="21" t="s">
        <v>217</v>
      </c>
      <c r="D78" s="21" t="s">
        <v>868</v>
      </c>
      <c r="E78" s="13">
        <v>42829.485671296294</v>
      </c>
      <c r="F78" s="13">
        <v>42829.489733796298</v>
      </c>
      <c r="G78" s="7">
        <v>1</v>
      </c>
      <c r="H78" s="21" t="s">
        <v>528</v>
      </c>
      <c r="I78" s="13">
        <v>42829.5156712963</v>
      </c>
      <c r="J78" s="7">
        <v>0</v>
      </c>
      <c r="K78" s="97" t="str">
        <f>IF(ISEVEN(B78),(B78-1)&amp;"/"&amp;B78,B78&amp;"/"&amp;(B78+1))</f>
        <v>4007/4008</v>
      </c>
      <c r="L78" s="21" t="str">
        <f>VLOOKUP(A78,'Trips&amp;Operators'!$C$1:$G$99999,5,FALSE)</f>
        <v>CLARK KATHLEEN</v>
      </c>
      <c r="M78" s="6">
        <f>I78-F78</f>
        <v>2.5937500002328306E-2</v>
      </c>
      <c r="N78" s="7">
        <f>24*60*SUM($M78:$M78)</f>
        <v>37.350000003352761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-04T10:39:22-0600',mode:absolute,to:'2017-04-04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183" t="str">
        <f>IF(AA78&lt;IF(AG78="EC",23,5.65),"Y","N")</f>
        <v>N</v>
      </c>
      <c r="X78" s="183">
        <f>VALUE(LEFT(AD78,4))-VALUE(LEFT(AD77,4))</f>
        <v>1</v>
      </c>
      <c r="Y78" s="62">
        <f>RIGHT(D78,LEN(D78)-4)/10000</f>
        <v>4.3799999999999999E-2</v>
      </c>
      <c r="Z78" s="62">
        <f>RIGHT(H78,LEN(H78)-4)/10000</f>
        <v>23.328600000000002</v>
      </c>
      <c r="AA78" s="62">
        <f>ABS(Z78-Y78)</f>
        <v>23.284800000000001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0165-04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/stypes="app*4008*20170404*" /stext=" 18:.+((SYSTEM_STATE.+slice.+state.+changed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si="9"/>
        <v>"%USERPROFILE%\Documents\GitHub\eaglep3\Utilities\RefineRTDCRunTimes.py" --tripid 165-04 --locoid 4008 --swversion DE.1.0.9.0 --startMP 204:438 --initTime 2017-04-04T11:39:22 --startdatetime 2017-04-04T11:45:13 --delay 1 --endMP 204:233286 --enddatetime 2017-04-04T12:22:34 --enforcementcount 0 &gt;&gt;C:\Users\stu\Documents\GitHub\eaglep3-reporting\EC\2017-04-04-refined-times.txt</v>
      </c>
      <c r="AI78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ID","value":"165-04"},{"id":16,"name":"Locomotive ID","value":"4008"},{"id":130,"name":"Impact","value":""},{"id":150,"name":"Time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11"/>
        <v>start /low /b %USERPROFILE%\Documents\GitHub\eaglep3\Utilities\DownloadLogsFromS3.py --loco 4008 --day 2017-04-04</v>
      </c>
      <c r="AN78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725</v>
      </c>
      <c r="B79" s="7">
        <v>4007</v>
      </c>
      <c r="C79" s="21" t="s">
        <v>217</v>
      </c>
      <c r="D79" s="21" t="s">
        <v>869</v>
      </c>
      <c r="E79" s="13">
        <v>42829.524016203701</v>
      </c>
      <c r="F79" s="13">
        <v>42829.528645833336</v>
      </c>
      <c r="G79" s="7">
        <v>1</v>
      </c>
      <c r="H79" s="21" t="s">
        <v>530</v>
      </c>
      <c r="I79" s="13">
        <v>42829.557349537034</v>
      </c>
      <c r="J79" s="7">
        <v>0</v>
      </c>
      <c r="K79" s="97" t="str">
        <f>IF(ISEVEN(B79),(B79-1)&amp;"/"&amp;B79,B79&amp;"/"&amp;(B79+1))</f>
        <v>4007/4008</v>
      </c>
      <c r="L79" s="21" t="str">
        <f>VLOOKUP(A79,'Trips&amp;Operators'!$C$1:$G$99999,5,FALSE)</f>
        <v>CLARK KATHLEEN</v>
      </c>
      <c r="M79" s="6">
        <f>I79-F79</f>
        <v>2.8703703697829042E-2</v>
      </c>
      <c r="N79" s="7">
        <f>24*60*SUM($M79:$M79)</f>
        <v>41.33333332487382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-04T11:34:35-0600',mode:absolute,to:'2017-04-04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183" t="str">
        <f>IF(AA79&lt;IF(AG79="EC",23,5.65),"Y","N")</f>
        <v>N</v>
      </c>
      <c r="X79" s="183">
        <f>VALUE(LEFT(AD79,4))-VALUE(LEFT(AD78,4))</f>
        <v>1</v>
      </c>
      <c r="Y79" s="62">
        <f>RIGHT(D79,LEN(D79)-4)/10000</f>
        <v>23.295500000000001</v>
      </c>
      <c r="Z79" s="62">
        <f>RIGHT(H79,LEN(H79)-4)/10000</f>
        <v>1.7399999999999999E-2</v>
      </c>
      <c r="AA79" s="62">
        <f>ABS(Z79-Y79)</f>
        <v>23.278100000000002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0166-04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/stypes="app*4007*20170404*" /stext=" 19:.+((SYSTEM_STATE.+slice.+state.+changed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9"/>
        <v>"%USERPROFILE%\Documents\GitHub\eaglep3\Utilities\RefineRTDCRunTimes.py" --tripid 166-04 --locoid 4007 --swversion DE.1.0.9.0 --startMP 204:232955 --initTime 2017-04-04T12:34:35 --startdatetime 2017-04-04T12:41:15 --delay 1 --endMP 204:174 --enddatetime 2017-04-04T13:22:35 --enforcementcount 0 &gt;&gt;C:\Users\stu\Documents\GitHub\eaglep3-reporting\EC\2017-04-04-refined-times.txt</v>
      </c>
      <c r="AI79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ID","value":"166-04"},{"id":16,"name":"Locomotive ID","value":"4007"},{"id":130,"name":"Impact","value":""},{"id":150,"name":"Time of Event (Mountain Time)","value":"13:22:35"},{"id":151,"name":"Denver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11"/>
        <v>start /low /b %USERPROFILE%\Documents\GitHub\eaglep3\Utilities\DownloadLogsFromS3.py --loco 4007 --day 2017-04-04</v>
      </c>
      <c r="AN79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715</v>
      </c>
      <c r="B80" s="7">
        <v>4014</v>
      </c>
      <c r="C80" s="21" t="s">
        <v>217</v>
      </c>
      <c r="D80" s="21" t="s">
        <v>451</v>
      </c>
      <c r="E80" s="13">
        <v>42829.498518518521</v>
      </c>
      <c r="F80" s="13">
        <v>42829.500289351854</v>
      </c>
      <c r="G80" s="7">
        <v>1</v>
      </c>
      <c r="H80" s="21" t="s">
        <v>485</v>
      </c>
      <c r="I80" s="13">
        <v>42829.525462962964</v>
      </c>
      <c r="J80" s="7">
        <v>0</v>
      </c>
      <c r="K80" s="97" t="str">
        <f>IF(ISEVEN(B80),(B80-1)&amp;"/"&amp;B80,B80&amp;"/"&amp;(B80+1))</f>
        <v>4013/4014</v>
      </c>
      <c r="L80" s="21" t="str">
        <f>VLOOKUP(A80,'Trips&amp;Operators'!$C$1:$G$99999,5,FALSE)</f>
        <v>LOCKLEAR TRAVIS</v>
      </c>
      <c r="M80" s="6">
        <f>I80-F80</f>
        <v>2.5173611109494232E-2</v>
      </c>
      <c r="N80" s="7">
        <f>24*60*SUM($M80:$M80)</f>
        <v>36.249999997671694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-04T10:57:52-0600',mode:absolute,to:'2017-04-04T13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183" t="str">
        <f>IF(AA80&lt;IF(AG80="EC",23,5.65),"Y","N")</f>
        <v>N</v>
      </c>
      <c r="X80" s="183">
        <f>VALUE(LEFT(AD80,4))-VALUE(LEFT(AD79,4))</f>
        <v>1</v>
      </c>
      <c r="Y80" s="62">
        <f>RIGHT(D80,LEN(D80)-4)/10000</f>
        <v>4.4600000000000001E-2</v>
      </c>
      <c r="Z80" s="62">
        <f>RIGHT(H80,LEN(H80)-4)/10000</f>
        <v>23.334599999999998</v>
      </c>
      <c r="AA80" s="62">
        <f>ABS(Z80-Y80)</f>
        <v>23.29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0167-04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/stypes="app*4014*20170404*" /stext=" 18:.+((SYSTEM_STATE.+slice.+state.+changed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9"/>
        <v>"%USERPROFILE%\Documents\GitHub\eaglep3\Utilities\RefineRTDCRunTimes.py" --tripid 167-04 --locoid 4014 --swversion DE.1.0.9.0 --startMP 204:446 --initTime 2017-04-04T11:57:52 --startdatetime 2017-04-04T12:00:25 --delay 1 --endMP 204:233346 --enddatetime 2017-04-04T12:36:40 --enforcementcount 0 &gt;&gt;C:\Users\stu\Documents\GitHub\eaglep3-reporting\EC\2017-04-04-refined-times.txt</v>
      </c>
      <c r="AI80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ID","value":"167-04"},{"id":16,"name":"Locomotive ID","value":"4014"},{"id":130,"name":"Impact","value":""},{"id":150,"name":"Time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11"/>
        <v>start /low /b %USERPROFILE%\Documents\GitHub\eaglep3\Utilities\DownloadLogsFromS3.py --loco 4014 --day 2017-04-04</v>
      </c>
      <c r="AN80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607</v>
      </c>
      <c r="B81" s="7">
        <v>4013</v>
      </c>
      <c r="C81" s="21" t="s">
        <v>217</v>
      </c>
      <c r="D81" s="21" t="s">
        <v>870</v>
      </c>
      <c r="E81" s="13">
        <v>42829.531342592592</v>
      </c>
      <c r="F81" s="13">
        <v>42829.539363425924</v>
      </c>
      <c r="G81" s="7">
        <v>1</v>
      </c>
      <c r="H81" s="21" t="s">
        <v>838</v>
      </c>
      <c r="I81" s="13">
        <v>42829.567488425928</v>
      </c>
      <c r="J81" s="7">
        <v>0</v>
      </c>
      <c r="K81" s="97" t="str">
        <f>IF(ISEVEN(B81),(B81-1)&amp;"/"&amp;B81,B81&amp;"/"&amp;(B81+1))</f>
        <v>4013/4014</v>
      </c>
      <c r="L81" s="21" t="str">
        <f>VLOOKUP(A81,'Trips&amp;Operators'!$C$1:$G$99999,5,FALSE)</f>
        <v>LOCKLEAR TRAVIS</v>
      </c>
      <c r="M81" s="6">
        <f>I81-F81</f>
        <v>2.8125000004365575E-2</v>
      </c>
      <c r="N81" s="7">
        <f>24*60*SUM($M81:$M81)</f>
        <v>40.500000006286427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183" t="str">
        <f>IF(AA81&lt;IF(AG81="EC",23,5.65),"Y","N")</f>
        <v>N</v>
      </c>
      <c r="X81" s="183">
        <f>VALUE(LEFT(AD81,4))-VALUE(LEFT(AD80,4))</f>
        <v>1</v>
      </c>
      <c r="Y81" s="62">
        <f>RIGHT(D81,LEN(D81)-4)/10000</f>
        <v>23.302299999999999</v>
      </c>
      <c r="Z81" s="62">
        <f>RIGHT(H81,LEN(H81)-4)/10000</f>
        <v>1.67E-2</v>
      </c>
      <c r="AA81" s="62">
        <f>ABS(Z81-Y81)</f>
        <v>23.285599999999999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0168-04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/stypes="app*4013*20170404*" /stext=" 19:.+((SYSTEM_STATE.+slice.+state.+changed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9"/>
        <v>"%USERPROFILE%\Documents\GitHub\eaglep3\Utilities\RefineRTDCRunTimes.py" --tripid 168-04 --locoid 4013 --swversion DE.1.0.9.0 --startMP 204:233023 --initTime 2017-04-04T12:45:08 --startdatetime 2017-04-04T12:56:41 --delay 1 --endMP 204:167 --enddatetime 2017-04-04T13:37:11 --enforcementcount 0 &gt;&gt;C:\Users\stu\Documents\GitHub\eaglep3-reporting\EC\2017-04-04-refined-times.txt</v>
      </c>
      <c r="AI81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ID","value":"168-04"},{"id":16,"name":"Locomotive ID","value":"4013"},{"id":130,"name":"Impact","value":""},{"id":150,"name":"Time of Event (Mountain Time)","value":"13:37:11"},{"id":151,"name":"Denver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11"/>
        <v>start /low /b %USERPROFILE%\Documents\GitHub\eaglep3\Utilities\DownloadLogsFromS3.py --loco 4013 --day 2017-04-04</v>
      </c>
      <c r="AN81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716</v>
      </c>
      <c r="B82" s="7">
        <v>4054</v>
      </c>
      <c r="C82" s="21" t="s">
        <v>217</v>
      </c>
      <c r="D82" s="21" t="s">
        <v>853</v>
      </c>
      <c r="E82" s="13">
        <v>42829.504780092589</v>
      </c>
      <c r="F82" s="13">
        <v>42829.510578703703</v>
      </c>
      <c r="G82" s="7">
        <v>1</v>
      </c>
      <c r="H82" s="21" t="s">
        <v>871</v>
      </c>
      <c r="I82" s="13">
        <v>42829.535891203705</v>
      </c>
      <c r="J82" s="7">
        <v>0</v>
      </c>
      <c r="K82" s="97" t="str">
        <f>IF(ISEVEN(B82),(B82-1)&amp;"/"&amp;B82,B82&amp;"/"&amp;(B82+1))</f>
        <v>4053/4054</v>
      </c>
      <c r="L82" s="21" t="str">
        <f>VLOOKUP(A82,'Trips&amp;Operators'!$C$1:$G$99999,5,FALSE)</f>
        <v>ROMERO CHAD</v>
      </c>
      <c r="M82" s="6">
        <f>I82-F82</f>
        <v>2.531250000174623E-2</v>
      </c>
      <c r="N82" s="7">
        <f>24*60*SUM($M82:$M82)</f>
        <v>36.450000002514571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-04T11:06:53-0600',mode:absolute,to:'2017-04-04T13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83" t="str">
        <f>IF(AA82&lt;IF(AG82="EC",23,5.65),"Y","N")</f>
        <v>N</v>
      </c>
      <c r="X82" s="183">
        <f>VALUE(LEFT(AD82,4))-VALUE(LEFT(AD81,4))</f>
        <v>1</v>
      </c>
      <c r="Y82" s="62">
        <f>RIGHT(D82,LEN(D82)-4)/10000</f>
        <v>4.4400000000000002E-2</v>
      </c>
      <c r="Z82" s="62">
        <f>RIGHT(H82,LEN(H82)-4)/10000</f>
        <v>23.335100000000001</v>
      </c>
      <c r="AA82" s="62">
        <f>ABS(Z82-Y82)</f>
        <v>23.290700000000001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0169-04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/stypes="app*4054*20170404*" /stext=" 18:.+((SYSTEM_STATE.+slice.+state.+changed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9"/>
        <v>"%USERPROFILE%\Documents\GitHub\eaglep3\Utilities\RefineRTDCRunTimes.py" --tripid 169-04 --locoid 4054 --swversion DE.1.0.9.0 --startMP 204:444 --initTime 2017-04-04T12:06:53 --startdatetime 2017-04-04T12:15:14 --delay 1 --endMP 204:233351 --enddatetime 2017-04-04T12:51:41 --enforcementcount 0 &gt;&gt;C:\Users\stu\Documents\GitHub\eaglep3-reporting\EC\2017-04-04-refined-times.txt</v>
      </c>
      <c r="AI82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{"issue":{"subject":"","project_id":79,"tracker_id":40,"status_id":1,"priority_id":2,"assigned_to_id":23,"start_date":"2017-04-04","description":"","custom_fields":[{"id":1,"name":"Subdivision","value":"EC"},{"id":4,"name":"Milepost","value":"23.3351"},{"id":17,"name":"Train ID","value":"169-04"},{"id":16,"name":"Locomotive ID","value":"4054"},{"id":130,"name":"Impact","value":""},{"id":150,"name":"Time of Event (Mountain Time)","value":"12:51:41"},{"id":151,"name":"Denver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11"/>
        <v>start /low /b %USERPROFILE%\Documents\GitHub\eaglep3\Utilities\DownloadLogsFromS3.py --loco 4054 --day 2017-04-04</v>
      </c>
      <c r="AN82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728</v>
      </c>
      <c r="B83" s="7">
        <v>4053</v>
      </c>
      <c r="C83" s="21" t="s">
        <v>217</v>
      </c>
      <c r="D83" s="21" t="s">
        <v>872</v>
      </c>
      <c r="E83" s="13">
        <v>42829.537893518522</v>
      </c>
      <c r="F83" s="13">
        <v>42829.549571759257</v>
      </c>
      <c r="G83" s="7">
        <v>1</v>
      </c>
      <c r="H83" s="21" t="s">
        <v>205</v>
      </c>
      <c r="I83" s="13">
        <v>42829.576284722221</v>
      </c>
      <c r="J83" s="7">
        <v>0</v>
      </c>
      <c r="K83" s="97" t="str">
        <f>IF(ISEVEN(B83),(B83-1)&amp;"/"&amp;B83,B83&amp;"/"&amp;(B83+1))</f>
        <v>4053/4054</v>
      </c>
      <c r="L83" s="21" t="str">
        <f>VLOOKUP(A83,'Trips&amp;Operators'!$C$1:$G$99999,5,FALSE)</f>
        <v>ROMERO CHAD</v>
      </c>
      <c r="M83" s="6">
        <f>I83-F83</f>
        <v>2.6712962964666076E-2</v>
      </c>
      <c r="N83" s="7">
        <f>24*60*SUM($M83:$M83)</f>
        <v>38.466666669119149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-04T11:54:34-0600',mode:absolute,to:'2017-04-04T14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83" t="str">
        <f>IF(AA83&lt;IF(AG83="EC",23,5.65),"Y","N")</f>
        <v>N</v>
      </c>
      <c r="X83" s="183">
        <f>VALUE(LEFT(AD83,4))-VALUE(LEFT(AD82,4))</f>
        <v>1</v>
      </c>
      <c r="Y83" s="62">
        <f>RIGHT(D83,LEN(D83)-4)/10000</f>
        <v>23.303599999999999</v>
      </c>
      <c r="Z83" s="62">
        <f>RIGHT(H83,LEN(H83)-4)/10000</f>
        <v>1.54E-2</v>
      </c>
      <c r="AA83" s="62">
        <f>ABS(Z83-Y83)</f>
        <v>23.2882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0170-04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/stypes="app*4053*20170404*"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9"/>
        <v>"%USERPROFILE%\Documents\GitHub\eaglep3\Utilities\RefineRTDCRunTimes.py" --tripid 170-04 --locoid 4053 --swversion DE.1.0.9.0 --startMP 204:233036 --initTime 2017-04-04T12:54:34 --startdatetime 2017-04-04T13:11:23 --delay 1 --endMP 204:154 --enddatetime 2017-04-04T13:49:51 --enforcementcount 0 &gt;&gt;C:\Users\stu\Documents\GitHub\eaglep3-reporting\EC\2017-04-04-refined-times.txt</v>
      </c>
      <c r="AI83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ID","value":"170-04"},{"id":16,"name":"Locomotive ID","value":"4053"},{"id":130,"name":"Impact","value":""},{"id":150,"name":"Time of Event (Mountain Time)","value":"13:49:51"},{"id":151,"name":"Denver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11"/>
        <v>start /low /b %USERPROFILE%\Documents\GitHub\eaglep3\Utilities\DownloadLogsFromS3.py --loco 4053 --day 2017-04-04</v>
      </c>
      <c r="AN83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20" customFormat="1" x14ac:dyDescent="0.25">
      <c r="A84" s="33" t="s">
        <v>722</v>
      </c>
      <c r="B84" s="7">
        <v>4004</v>
      </c>
      <c r="C84" s="21" t="s">
        <v>217</v>
      </c>
      <c r="D84" s="21" t="s">
        <v>866</v>
      </c>
      <c r="E84" s="13">
        <v>42829.517291666663</v>
      </c>
      <c r="F84" s="13">
        <v>42829.521157407406</v>
      </c>
      <c r="G84" s="7">
        <v>2</v>
      </c>
      <c r="H84" s="21" t="s">
        <v>851</v>
      </c>
      <c r="I84" s="13">
        <v>42829.547777777778</v>
      </c>
      <c r="J84" s="7">
        <v>0</v>
      </c>
      <c r="K84" s="97" t="str">
        <f>IF(ISEVEN(B84),(B84-1)&amp;"/"&amp;B84,B84&amp;"/"&amp;(B84+1))</f>
        <v>4003/4004</v>
      </c>
      <c r="L84" s="21" t="str">
        <f>VLOOKUP(A84,'Trips&amp;Operators'!$C$1:$G$99999,5,FALSE)</f>
        <v>STRICKLAND EVAN</v>
      </c>
      <c r="M84" s="6">
        <f>I84-F84</f>
        <v>2.662037037225673E-2</v>
      </c>
      <c r="N84" s="7">
        <f>24*60*SUM($M84:$M84)</f>
        <v>38.333333336049691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-04T11:24:54-0600',mode:absolute,to:'2017-04-04T14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183" t="str">
        <f>IF(AA84&lt;IF(AG84="EC",23,5.65),"Y","N")</f>
        <v>N</v>
      </c>
      <c r="X84" s="183">
        <f>VALUE(LEFT(AD84,4))-VALUE(LEFT(AD83,4))</f>
        <v>1</v>
      </c>
      <c r="Y84" s="62">
        <f>RIGHT(D84,LEN(D84)-4)/10000</f>
        <v>4.7699999999999999E-2</v>
      </c>
      <c r="Z84" s="62">
        <f>RIGHT(H84,LEN(H84)-4)/10000</f>
        <v>23.336400000000001</v>
      </c>
      <c r="AA84" s="62">
        <f>ABS(Z84-Y84)</f>
        <v>23.288700000000002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0171-04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/stypes="app*4004*20170404*" /stext=" 19:.+((SYSTEM_STATE.+slice.+state.+changed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9"/>
        <v>"%USERPROFILE%\Documents\GitHub\eaglep3\Utilities\RefineRTDCRunTimes.py" --tripid 171-04 --locoid 4004 --swversion DE.1.0.9.0 --startMP 204:477 --initTime 2017-04-04T12:24:54 --startdatetime 2017-04-04T12:30:28 --delay 2 --endMP 204:233364 --enddatetime 2017-04-04T13:08:48 --enforcementcount 0 &gt;&gt;C:\Users\stu\Documents\GitHub\eaglep3-reporting\EC\2017-04-04-refined-times.txt</v>
      </c>
      <c r="AI84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ID","value":"171-04"},{"id":16,"name":"Locomotive ID","value":"4004"},{"id":130,"name":"Impact","value":""},{"id":150,"name":"Time of Event (Mountain Time)","value":"13:08:48"},{"id":151,"name":"Denver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11"/>
        <v>start /low /b %USERPROFILE%\Documents\GitHub\eaglep3\Utilities\DownloadLogsFromS3.py --loco 4004 --day 2017-04-04</v>
      </c>
      <c r="AN84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730</v>
      </c>
      <c r="B85" s="7">
        <v>4003</v>
      </c>
      <c r="C85" s="21" t="s">
        <v>217</v>
      </c>
      <c r="D85" s="21" t="s">
        <v>873</v>
      </c>
      <c r="E85" s="13">
        <v>42829.54954861111</v>
      </c>
      <c r="F85" s="13">
        <v>42829.560034722221</v>
      </c>
      <c r="G85" s="7">
        <v>1</v>
      </c>
      <c r="H85" s="21" t="s">
        <v>426</v>
      </c>
      <c r="I85" s="13">
        <v>42829.586759259262</v>
      </c>
      <c r="J85" s="7">
        <v>0</v>
      </c>
      <c r="K85" s="97" t="str">
        <f>IF(ISEVEN(B85),(B85-1)&amp;"/"&amp;B85,B85&amp;"/"&amp;(B85+1))</f>
        <v>4003/4004</v>
      </c>
      <c r="L85" s="21" t="str">
        <f>VLOOKUP(A85,'Trips&amp;Operators'!$C$1:$G$99999,5,FALSE)</f>
        <v>STRICKLAND EVAN</v>
      </c>
      <c r="M85" s="6">
        <f>I85-F85</f>
        <v>2.6724537041445728E-2</v>
      </c>
      <c r="N85" s="7">
        <f>24*60*SUM($M85:$M85)</f>
        <v>38.483333339681849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-04T12:11:21-0600',mode:absolute,to:'2017-04-04T15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5" s="183" t="str">
        <f>IF(AA85&lt;IF(AG85="EC",23,5.65),"Y","N")</f>
        <v>N</v>
      </c>
      <c r="X85" s="183">
        <f>VALUE(LEFT(AD85,4))-VALUE(LEFT(AD84,4))</f>
        <v>1</v>
      </c>
      <c r="Y85" s="62">
        <f>RIGHT(D85,LEN(D85)-4)/10000</f>
        <v>23.304500000000001</v>
      </c>
      <c r="Z85" s="62">
        <f>RIGHT(H85,LEN(H85)-4)/10000</f>
        <v>1.6299999999999999E-2</v>
      </c>
      <c r="AA85" s="62">
        <f>ABS(Z85-Y85)</f>
        <v>23.2882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0172-04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/stypes="app*4003*20170404*" /stext=" 20:.+((SYSTEM_STATE.+slice.+state.+changed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9"/>
        <v>"%USERPROFILE%\Documents\GitHub\eaglep3\Utilities\RefineRTDCRunTimes.py" --tripid 172-04 --locoid 4003 --swversion DE.1.0.9.0 --startMP 204:233045 --initTime 2017-04-04T13:11:21 --startdatetime 2017-04-04T13:26:27 --delay 1 --endMP 204:163 --enddatetime 2017-04-04T14:04:56 --enforcementcount 0 &gt;&gt;C:\Users\stu\Documents\GitHub\eaglep3-reporting\EC\2017-04-04-refined-times.txt</v>
      </c>
      <c r="AI85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ID","value":"172-04"},{"id":16,"name":"Locomotive ID","value":"4003"},{"id":130,"name":"Impact","value":""},{"id":150,"name":"Time of Event (Mountain Time)","value":"14:04:56"},{"id":151,"name":"Denver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11"/>
        <v>start /low /b %USERPROFILE%\Documents\GitHub\eaglep3\Utilities\DownloadLogsFromS3.py --loco 4003 --day 2017-04-04</v>
      </c>
      <c r="AN85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727</v>
      </c>
      <c r="B86" s="7">
        <v>4032</v>
      </c>
      <c r="C86" s="21" t="s">
        <v>217</v>
      </c>
      <c r="D86" s="21" t="s">
        <v>844</v>
      </c>
      <c r="E86" s="13">
        <v>42829.53025462963</v>
      </c>
      <c r="F86" s="13">
        <v>42829.531817129631</v>
      </c>
      <c r="G86" s="7">
        <v>1</v>
      </c>
      <c r="H86" s="21" t="s">
        <v>874</v>
      </c>
      <c r="I86" s="13">
        <v>42829.558275462965</v>
      </c>
      <c r="J86" s="7">
        <v>0</v>
      </c>
      <c r="K86" s="97" t="str">
        <f>IF(ISEVEN(B86),(B86-1)&amp;"/"&amp;B86,B86&amp;"/"&amp;(B86+1))</f>
        <v>4031/4032</v>
      </c>
      <c r="L86" s="21" t="str">
        <f>VLOOKUP(A86,'Trips&amp;Operators'!$C$1:$G$99999,5,FALSE)</f>
        <v>DAVIS MICHAEL</v>
      </c>
      <c r="M86" s="6">
        <f>I86-F86</f>
        <v>2.6458333333721384E-2</v>
      </c>
      <c r="N86" s="7">
        <f>24*60*SUM($M86:$M86)</f>
        <v>38.100000000558794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-04T11:43:34-0600',mode:absolute,to:'2017-04-04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83" t="str">
        <f>IF(AA86&lt;IF(AG86="EC",23,5.65),"Y","N")</f>
        <v>N</v>
      </c>
      <c r="X86" s="183">
        <f t="shared" ref="X86:X93" si="13">VALUE(LEFT(AD86,4))-VALUE(LEFT(AD85,4))</f>
        <v>1</v>
      </c>
      <c r="Y86" s="62">
        <f>RIGHT(D86,LEN(D86)-4)/10000</f>
        <v>4.3700000000000003E-2</v>
      </c>
      <c r="Z86" s="62">
        <f>RIGHT(H86,LEN(H86)-4)/10000</f>
        <v>23.332599999999999</v>
      </c>
      <c r="AA86" s="62">
        <f>ABS(Z86-Y86)</f>
        <v>23.288899999999998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0173-04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/stypes="app*4032*20170404*" /stext=" 19:.+((SYSTEM_STATE.+slice.+state.+changed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9"/>
        <v>"%USERPROFILE%\Documents\GitHub\eaglep3\Utilities\RefineRTDCRunTimes.py" --tripid 173-04 --locoid 4032 --swversion DE.1.0.9.0 --startMP 204:437 --initTime 2017-04-04T12:43:34 --startdatetime 2017-04-04T12:45:49 --delay 1 --endMP 204:233326 --enddatetime 2017-04-04T13:23:55 --enforcementcount 0 &gt;&gt;C:\Users\stu\Documents\GitHub\eaglep3-reporting\EC\2017-04-04-refined-times.txt</v>
      </c>
      <c r="AI86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{"issue":{"subject":"","project_id":79,"tracker_id":40,"status_id":1,"priority_id":2,"assigned_to_id":23,"start_date":"2017-04-04","description":"","custom_fields":[{"id":1,"name":"Subdivision","value":"EC"},{"id":4,"name":"Milepost","value":"23.3326"},{"id":17,"name":"Train ID","value":"173-04"},{"id":16,"name":"Locomotive ID","value":"4032"},{"id":130,"name":"Impact","value":""},{"id":150,"name":"Time of Event (Mountain Time)","value":"13:23:55"},{"id":151,"name":"Denver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11"/>
        <v>start /low /b %USERPROFILE%\Documents\GitHub\eaglep3\Utilities\DownloadLogsFromS3.py --loco 4032 --day 2017-04-04</v>
      </c>
      <c r="AN86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3" t="s">
        <v>735</v>
      </c>
      <c r="B87" s="7">
        <v>4031</v>
      </c>
      <c r="C87" s="21" t="s">
        <v>217</v>
      </c>
      <c r="D87" s="21" t="s">
        <v>857</v>
      </c>
      <c r="E87" s="13">
        <v>42829.567824074074</v>
      </c>
      <c r="F87" s="13">
        <v>42829.570381944446</v>
      </c>
      <c r="G87" s="7">
        <v>1</v>
      </c>
      <c r="H87" s="21" t="s">
        <v>191</v>
      </c>
      <c r="I87" s="13">
        <v>42829.599895833337</v>
      </c>
      <c r="J87" s="7">
        <v>0</v>
      </c>
      <c r="K87" s="97" t="str">
        <f>IF(ISEVEN(B87),(B87-1)&amp;"/"&amp;B87,B87&amp;"/"&amp;(B87+1))</f>
        <v>4031/4032</v>
      </c>
      <c r="L87" s="21" t="str">
        <f>VLOOKUP(A87,'Trips&amp;Operators'!$C$1:$G$99999,5,FALSE)</f>
        <v>DAVIS MICHAEL</v>
      </c>
      <c r="M87" s="6">
        <f>I87-F87</f>
        <v>2.9513888890505768E-2</v>
      </c>
      <c r="N87" s="7">
        <f>24*60*SUM($M87:$M87)</f>
        <v>42.500000002328306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-04T12:37:40-0600',mode:absolute,to:'2017-04-04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83" t="str">
        <f>IF(AA87&lt;IF(AG87="EC",23,5.65),"Y","N")</f>
        <v>N</v>
      </c>
      <c r="X87" s="183">
        <f t="shared" si="13"/>
        <v>1</v>
      </c>
      <c r="Y87" s="62">
        <f>RIGHT(D87,LEN(D87)-4)/10000</f>
        <v>23.3001</v>
      </c>
      <c r="Z87" s="62">
        <f>RIGHT(H87,LEN(H87)-4)/10000</f>
        <v>1.4999999999999999E-2</v>
      </c>
      <c r="AA87" s="62">
        <f>ABS(Z87-Y87)</f>
        <v>23.2851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0174-04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/stypes="app*4031*20170404*" /stext=" 20:.+((SYSTEM_STATE.+slice.+state.+changed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9"/>
        <v>"%USERPROFILE%\Documents\GitHub\eaglep3\Utilities\RefineRTDCRunTimes.py" --tripid 174-04 --locoid 4031 --swversion DE.1.0.9.0 --startMP 204:233001 --initTime 2017-04-04T13:37:40 --startdatetime 2017-04-04T13:41:21 --delay 1 --endMP 204:150 --enddatetime 2017-04-04T14:23:51 --enforcementcount 0 &gt;&gt;C:\Users\stu\Documents\GitHub\eaglep3-reporting\EC\2017-04-04-refined-times.txt</v>
      </c>
      <c r="AI87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ID","value":"174-04"},{"id":16,"name":"Locomotive ID","value":"4031"},{"id":130,"name":"Impact","value":""},{"id":150,"name":"Time of Event (Mountain Time)","value":"14:23:51"},{"id":151,"name":"Denver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11"/>
        <v>start /low /b %USERPROFILE%\Documents\GitHub\eaglep3\Utilities\DownloadLogsFromS3.py --loco 4031 --day 2017-04-04</v>
      </c>
      <c r="AN87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1" customFormat="1" x14ac:dyDescent="0.25">
      <c r="A88" s="33" t="s">
        <v>732</v>
      </c>
      <c r="B88" s="7">
        <v>4044</v>
      </c>
      <c r="C88" s="21" t="s">
        <v>217</v>
      </c>
      <c r="D88" s="21" t="s">
        <v>866</v>
      </c>
      <c r="E88" s="13">
        <v>42829.537604166668</v>
      </c>
      <c r="F88" s="13">
        <v>42829.538958333331</v>
      </c>
      <c r="G88" s="7">
        <v>1</v>
      </c>
      <c r="H88" s="21" t="s">
        <v>867</v>
      </c>
      <c r="I88" s="13">
        <v>42829.550694444442</v>
      </c>
      <c r="J88" s="7">
        <v>0</v>
      </c>
      <c r="K88" s="97" t="str">
        <f>IF(ISEVEN(B88),(B88-1)&amp;"/"&amp;B88,B88&amp;"/"&amp;(B88+1))</f>
        <v>4043/4044</v>
      </c>
      <c r="L88" s="21" t="str">
        <f>VLOOKUP(A88,'Trips&amp;Operators'!$C$1:$G$99999,5,FALSE)</f>
        <v>STEWART MICHAEL</v>
      </c>
      <c r="M88" s="6">
        <f>I88-F88</f>
        <v>1.17361111115315E-2</v>
      </c>
      <c r="N88" s="7"/>
      <c r="O88" s="7"/>
      <c r="P88" s="7">
        <f>24*60*SUM($M88:$M88)</f>
        <v>16.90000000060536</v>
      </c>
      <c r="Q88" s="22"/>
      <c r="R88" s="22" t="s">
        <v>1050</v>
      </c>
      <c r="S88" s="31">
        <f>SUM(U88:U88)/IF(AG88="EC",12,1)</f>
        <v>0.5</v>
      </c>
      <c r="T88" s="46" t="str">
        <f>IF(ISEVEN(LEFT(AD88,4)),"Southbound","NorthBound")</f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6</v>
      </c>
      <c r="V88" s="18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-04T11:54:09-0600',mode:absolute,to:'2017-04-04T14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83" t="str">
        <f>IF(AA88&lt;IF(AG88="EC",23,5.65),"Y","N")</f>
        <v>Y</v>
      </c>
      <c r="X88" s="183">
        <f t="shared" si="13"/>
        <v>1</v>
      </c>
      <c r="Y88" s="62">
        <f>RIGHT(D88,LEN(D88)-4)/10000</f>
        <v>4.7699999999999999E-2</v>
      </c>
      <c r="Z88" s="62">
        <f>RIGHT(H88,LEN(H88)-4)/10000</f>
        <v>5.7073999999999998</v>
      </c>
      <c r="AA88" s="62">
        <f>ABS(Z88-Y88)</f>
        <v>5.6597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0175-04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/stypes="app*4044*20170404*" /stext=" 19:.+((SYSTEM_STATE.+slice.+state.+changed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175-04 --locoid 4044 --swversion DE.1.0.9.0 --startMP 204:477 --initTime 2017-04-04T12:54:09 --startdatetime 2017-04-04T12:56:06 --delay 1 --endMP 204:57074 --enddatetime 2017-04-04T13:13:00 --enforcementcount 0 &gt;&gt;C:\Users\stu\Documents\GitHub\eaglep3-reporting\EC\2017-04-04-refined-times.txt</v>
      </c>
      <c r="AI88" s="104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{"issue":{"subject":"Office-commanded cut out","project_id":79,"tracker_id":40,"status_id":1,"priority_id":2,"assigned_to_id":23,"start_date":"2017-04-04","description":"","custom_fields":[{"id":1,"name":"Subdivision","value":"EC"},{"id":4,"name":"Milepost","value":"5.7074"},{"id":17,"name":"Train ID","value":"175-04"},{"id":16,"name":"Locomotive ID","value":"4044"},{"id":130,"name":"Impact","value":""},{"id":150,"name":"Time of Event (Mountain Time)","value":"13:13:00"},{"id":151,"name":"Denver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50" t="str">
        <f>"start /low /b "&amp;dls3logs&amp;" --loco "&amp;B88&amp;" --day "&amp;TEXT(F88,"YYYY-MM-DD")</f>
        <v>start /low /b %USERPROFILE%\Documents\GitHub\eaglep3\Utilities\DownloadLogsFromS3.py --loco 4044 --day 2017-04-04</v>
      </c>
      <c r="AN88" s="159" t="str">
        <f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{"issue":{"subject":"Office-commanded cut out","project_id":30,"tracker_id":4,"status_id":1,"priority_id":1,"assigned_to_id":10,"start_date":"2017-04-04","description":"","custom_fields":[{"id":30,"name":"Category","value":"Issue"},{"id":3,"name":"Functional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736</v>
      </c>
      <c r="B89" s="7">
        <v>4043</v>
      </c>
      <c r="C89" s="21" t="s">
        <v>217</v>
      </c>
      <c r="D89" s="21" t="s">
        <v>486</v>
      </c>
      <c r="E89" s="13">
        <v>42829.580694444441</v>
      </c>
      <c r="F89" s="13">
        <v>42829.58221064815</v>
      </c>
      <c r="G89" s="7">
        <v>1</v>
      </c>
      <c r="H89" s="21" t="s">
        <v>875</v>
      </c>
      <c r="I89" s="13">
        <v>42829.608865740738</v>
      </c>
      <c r="J89" s="7">
        <v>0</v>
      </c>
      <c r="K89" s="97" t="str">
        <f>IF(ISEVEN(B89),(B89-1)&amp;"/"&amp;B89,B89&amp;"/"&amp;(B89+1))</f>
        <v>4043/4044</v>
      </c>
      <c r="L89" s="21" t="str">
        <f>VLOOKUP(A89,'Trips&amp;Operators'!$C$1:$G$99999,5,FALSE)</f>
        <v>STEWART MICHAEL</v>
      </c>
      <c r="M89" s="6">
        <f>I89-F89</f>
        <v>2.6655092588043772E-2</v>
      </c>
      <c r="N89" s="7">
        <f>24*60*SUM($M89:$M89)</f>
        <v>38.383333326783031</v>
      </c>
      <c r="O89" s="7"/>
      <c r="P89" s="7"/>
      <c r="Q89" s="22"/>
      <c r="R89" s="22" t="s">
        <v>1051</v>
      </c>
      <c r="S89" s="31">
        <f>SUM(U89:U89)/IF(AG89="EC",12,1)</f>
        <v>1</v>
      </c>
      <c r="T89" s="46" t="str">
        <f>IF(ISEVEN(LEFT(AD89,4)),"Southbound","NorthBound")</f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-04T12:56:12-0600',mode:absolute,to:'2017-04-04T15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83" t="str">
        <f>IF(AA89&lt;IF(AG89="EC",23,5.65),"Y","N")</f>
        <v>Y</v>
      </c>
      <c r="X89" s="183">
        <f t="shared" si="13"/>
        <v>1</v>
      </c>
      <c r="Y89" s="62">
        <f>RIGHT(D89,LEN(D89)-4)/10000</f>
        <v>23.298500000000001</v>
      </c>
      <c r="Z89" s="62">
        <f>RIGHT(H89,LEN(H89)-4)/10000</f>
        <v>0.38069999999999998</v>
      </c>
      <c r="AA89" s="62">
        <f>ABS(Z89-Y89)</f>
        <v>22.9178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0176-04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/stypes="app*4043*20170404*" /stext=" 20:.+((SYSTEM_STATE.+slice.+state.+changed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9"/>
        <v>"%USERPROFILE%\Documents\GitHub\eaglep3\Utilities\RefineRTDCRunTimes.py" --tripid 176-04 --locoid 4043 --swversion DE.1.0.9.0 --startMP 204:232985 --initTime 2017-04-04T13:56:12 --startdatetime 2017-04-04T13:58:23 --delay 1 --endMP 204:3807 --enddatetime 2017-04-04T14:36:46 --enforcementcount 0 &gt;&gt;C:\Users\stu\Documents\GitHub\eaglep3-reporting\EC\2017-04-04-refined-times.txt</v>
      </c>
      <c r="AI89" s="104" t="str">
        <f t="shared" si="10"/>
        <v>echo {"issue":{"subject":"DUS Main 3 arrival","project_id":79,"tracker_id":40,"status_id":1,"priority_id":2,"assigned_to_id":23,"start_date":"2017-04-04","description":"","custom_fields":[{"id":1,"name":"Subdivision","value":"EC"},{"id":4,"name":"Milepost","value":"0.3807"},{"id":17,"name":"Train ID","value":"176-04"},{"id":16,"name":"Locomotive ID","value":"4043"},{"id":130,"name":"Impact","value":""},{"id":150,"name":"Time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11"/>
        <v>start /low /b %USERPROFILE%\Documents\GitHub\eaglep3\Utilities\DownloadLogsFromS3.py --loco 4043 --day 2017-04-04</v>
      </c>
      <c r="AN89" s="159" t="str">
        <f t="shared" si="12"/>
        <v>echo {"issue":{"subject":"DUS Main 3 arrival","project_id":30,"tracker_id":4,"status_id":1,"priority_id":1,"assigned_to_id":10,"start_date":"2017-04-04","description":"","custom_fields":[{"id":30,"name":"Category","value":"Issue"},{"id":3,"name":"Functional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729</v>
      </c>
      <c r="B90" s="7">
        <v>4046</v>
      </c>
      <c r="C90" s="21" t="s">
        <v>217</v>
      </c>
      <c r="D90" s="21" t="s">
        <v>212</v>
      </c>
      <c r="E90" s="13">
        <v>42829.547777777778</v>
      </c>
      <c r="F90" s="13">
        <v>42829.552384259259</v>
      </c>
      <c r="G90" s="7">
        <v>1</v>
      </c>
      <c r="H90" s="21" t="s">
        <v>463</v>
      </c>
      <c r="I90" s="13">
        <v>42829.585682870369</v>
      </c>
      <c r="J90" s="7">
        <v>0</v>
      </c>
      <c r="K90" s="97" t="str">
        <f>IF(ISEVEN(B90),(B90-1)&amp;"/"&amp;B90,B90&amp;"/"&amp;(B90+1))</f>
        <v>4045/4046</v>
      </c>
      <c r="L90" s="21" t="str">
        <f>VLOOKUP(A90,'Trips&amp;Operators'!$C$1:$G$99999,5,FALSE)</f>
        <v>LEVERE CRAIG</v>
      </c>
      <c r="M90" s="6">
        <f>I90-F90</f>
        <v>3.329861110978527E-2</v>
      </c>
      <c r="N90" s="7">
        <f>24*60*SUM($M90:$M90)</f>
        <v>47.949999998090789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-04T12:08:48-0600',mode:absolute,to:'2017-04-04T15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3" t="str">
        <f>IF(AA90&lt;IF(AG90="EC",23,5.65),"Y","N")</f>
        <v>N</v>
      </c>
      <c r="X90" s="183">
        <f t="shared" si="13"/>
        <v>1</v>
      </c>
      <c r="Y90" s="62">
        <f>RIGHT(D90,LEN(D90)-4)/10000</f>
        <v>4.5499999999999999E-2</v>
      </c>
      <c r="Z90" s="62">
        <f>RIGHT(H90,LEN(H90)-4)/10000</f>
        <v>23.328399999999998</v>
      </c>
      <c r="AA90" s="62">
        <f>ABS(Z90-Y90)</f>
        <v>23.282899999999998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0177-04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/stypes="app*4046*20170404*" /stext=" 20:.+((SYSTEM_STATE.+slice.+state.+changed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9"/>
        <v>"%USERPROFILE%\Documents\GitHub\eaglep3\Utilities\RefineRTDCRunTimes.py" --tripid 177-04 --locoid 4046 --swversion DE.1.0.9.0 --startMP 204:455 --initTime 2017-04-04T13:08:48 --startdatetime 2017-04-04T13:15:26 --delay 1 --endMP 204:233284 --enddatetime 2017-04-04T14:03:23 --enforcementcount 0 &gt;&gt;C:\Users\stu\Documents\GitHub\eaglep3-reporting\EC\2017-04-04-refined-times.txt</v>
      </c>
      <c r="AI90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{"issue":{"subject":"","project_id":79,"tracker_id":40,"status_id":1,"priority_id":2,"assigned_to_id":23,"start_date":"2017-04-04","description":"","custom_fields":[{"id":1,"name":"Subdivision","value":"EC"},{"id":4,"name":"Milepost","value":"23.3284"},{"id":17,"name":"Train ID","value":"177-04"},{"id":16,"name":"Locomotive ID","value":"4046"},{"id":130,"name":"Impact","value":""},{"id":150,"name":"Time of Event (Mountain Time)","value":"14:03:23"},{"id":151,"name":"Denver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11"/>
        <v>start /low /b %USERPROFILE%\Documents\GitHub\eaglep3\Utilities\DownloadLogsFromS3.py --loco 4046 --day 2017-04-04</v>
      </c>
      <c r="AN90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739</v>
      </c>
      <c r="B91" s="7">
        <v>4045</v>
      </c>
      <c r="C91" s="21" t="s">
        <v>217</v>
      </c>
      <c r="D91" s="21" t="s">
        <v>548</v>
      </c>
      <c r="E91" s="13">
        <v>42829.589479166665</v>
      </c>
      <c r="F91" s="13">
        <v>42829.591215277775</v>
      </c>
      <c r="G91" s="7">
        <v>1</v>
      </c>
      <c r="H91" s="21" t="s">
        <v>199</v>
      </c>
      <c r="I91" s="13">
        <v>42829.618923611109</v>
      </c>
      <c r="J91" s="7">
        <v>0</v>
      </c>
      <c r="K91" s="97" t="str">
        <f>IF(ISEVEN(B91),(B91-1)&amp;"/"&amp;B91,B91&amp;"/"&amp;(B91+1))</f>
        <v>4045/4046</v>
      </c>
      <c r="L91" s="21" t="str">
        <f>VLOOKUP(A91,'Trips&amp;Operators'!$C$1:$G$99999,5,FALSE)</f>
        <v>LEVERE CRAIG</v>
      </c>
      <c r="M91" s="6">
        <f>I91-F91</f>
        <v>2.7708333334885538E-2</v>
      </c>
      <c r="N91" s="7">
        <f>24*60*SUM($M91:$M91)</f>
        <v>39.900000002235174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3" t="str">
        <f>IF(AA91&lt;IF(AG91="EC",23,5.65),"Y","N")</f>
        <v>N</v>
      </c>
      <c r="X91" s="183">
        <f t="shared" si="13"/>
        <v>1</v>
      </c>
      <c r="Y91" s="62">
        <f>RIGHT(D91,LEN(D91)-4)/10000</f>
        <v>23.297499999999999</v>
      </c>
      <c r="Z91" s="62">
        <f>RIGHT(H91,LEN(H91)-4)/10000</f>
        <v>1.52E-2</v>
      </c>
      <c r="AA91" s="62">
        <f>ABS(Z91-Y91)</f>
        <v>23.282299999999999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0178-04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/stypes="app*4045*20170404*"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9"/>
        <v>"%USERPROFILE%\Documents\GitHub\eaglep3\Utilities\RefineRTDCRunTimes.py" --tripid 178-04 --locoid 4045 --swversion DE.1.0.9.0 --startMP 204:232975 --initTime 2017-04-04T14:08:51 --startdatetime 2017-04-04T14:11:21 --delay 1 --endMP 204:152 --enddatetime 2017-04-04T14:51:15 --enforcementcount 0 &gt;&gt;C:\Users\stu\Documents\GitHub\eaglep3-reporting\EC\2017-04-04-refined-times.txt</v>
      </c>
      <c r="AI91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ID","value":"178-04"},{"id":16,"name":"Locomotive ID","value":"4045"},{"id":130,"name":"Impact","value":""},{"id":150,"name":"Time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11"/>
        <v>start /low /b %USERPROFILE%\Documents\GitHub\eaglep3\Utilities\DownloadLogsFromS3.py --loco 4045 --day 2017-04-04</v>
      </c>
      <c r="AN91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733</v>
      </c>
      <c r="B92" s="7">
        <v>4008</v>
      </c>
      <c r="C92" s="21" t="s">
        <v>217</v>
      </c>
      <c r="D92" s="21" t="s">
        <v>876</v>
      </c>
      <c r="E92" s="13">
        <v>42829.558680555558</v>
      </c>
      <c r="F92" s="13">
        <v>42829.562662037039</v>
      </c>
      <c r="G92" s="7">
        <v>1</v>
      </c>
      <c r="H92" s="21" t="s">
        <v>418</v>
      </c>
      <c r="I92" s="13">
        <v>42829.588993055557</v>
      </c>
      <c r="J92" s="7">
        <v>0</v>
      </c>
      <c r="K92" s="97" t="str">
        <f>IF(ISEVEN(B92),(B92-1)&amp;"/"&amp;B92,B92&amp;"/"&amp;(B92+1))</f>
        <v>4007/4008</v>
      </c>
      <c r="L92" s="21" t="str">
        <f>VLOOKUP(A92,'Trips&amp;Operators'!$C$1:$G$99999,5,FALSE)</f>
        <v>CLARK KATHLEEN</v>
      </c>
      <c r="M92" s="6">
        <f>I92-F92</f>
        <v>2.6331018518249039E-2</v>
      </c>
      <c r="N92" s="7">
        <f>24*60*SUM($M92:$M92)</f>
        <v>37.916666666278616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-04T12:24:30-0600',mode:absolute,to:'2017-04-04T15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183" t="str">
        <f>IF(AA92&lt;IF(AG92="EC",23,5.65),"Y","N")</f>
        <v>N</v>
      </c>
      <c r="X92" s="183">
        <f t="shared" si="13"/>
        <v>1</v>
      </c>
      <c r="Y92" s="62">
        <f>RIGHT(D92,LEN(D92)-4)/10000</f>
        <v>4.7800000000000002E-2</v>
      </c>
      <c r="Z92" s="62">
        <f>RIGHT(H92,LEN(H92)-4)/10000</f>
        <v>23.329499999999999</v>
      </c>
      <c r="AA92" s="62">
        <f>ABS(Z92-Y92)</f>
        <v>23.281700000000001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0179-04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/stypes="app*4008*20170404*" /stext=" 20:.+((SYSTEM_STATE.+slice.+state.+changed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9"/>
        <v>"%USERPROFILE%\Documents\GitHub\eaglep3\Utilities\RefineRTDCRunTimes.py" --tripid 179-04 --locoid 4008 --swversion DE.1.0.9.0 --startMP 204:478 --initTime 2017-04-04T13:24:30 --startdatetime 2017-04-04T13:30:14 --delay 1 --endMP 204:233295 --enddatetime 2017-04-04T14:08:09 --enforcementcount 0 &gt;&gt;C:\Users\stu\Documents\GitHub\eaglep3-reporting\EC\2017-04-04-refined-times.txt</v>
      </c>
      <c r="AI92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ID","value":"179-04"},{"id":16,"name":"Locomotive ID","value":"4008"},{"id":130,"name":"Impact","value":""},{"id":150,"name":"Time of Event (Mountain Time)","value":"14:08:09"},{"id":151,"name":"Denver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11"/>
        <v>start /low /b %USERPROFILE%\Documents\GitHub\eaglep3\Utilities\DownloadLogsFromS3.py --loco 4008 --day 2017-04-04</v>
      </c>
      <c r="AN92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740</v>
      </c>
      <c r="B93" s="7">
        <v>4007</v>
      </c>
      <c r="C93" s="21" t="s">
        <v>217</v>
      </c>
      <c r="D93" s="21" t="s">
        <v>877</v>
      </c>
      <c r="E93" s="13">
        <v>42829.593958333331</v>
      </c>
      <c r="F93" s="13">
        <v>42829.601550925923</v>
      </c>
      <c r="G93" s="7">
        <v>1</v>
      </c>
      <c r="H93" s="21" t="s">
        <v>878</v>
      </c>
      <c r="I93" s="13">
        <v>42829.629687499997</v>
      </c>
      <c r="J93" s="7">
        <v>0</v>
      </c>
      <c r="K93" s="97" t="str">
        <f>IF(ISEVEN(B93),(B93-1)&amp;"/"&amp;B93,B93&amp;"/"&amp;(B93+1))</f>
        <v>4007/4008</v>
      </c>
      <c r="L93" s="21" t="str">
        <f>VLOOKUP(A93,'Trips&amp;Operators'!$C$1:$G$99999,5,FALSE)</f>
        <v>CLARK KATHLEEN</v>
      </c>
      <c r="M93" s="6">
        <f>I93-F93</f>
        <v>2.8136574073869269E-2</v>
      </c>
      <c r="N93" s="7">
        <f>24*60*SUM($M93:$M93)</f>
        <v>40.516666666371748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-04T13:15:18-0600',mode:absolute,to:'2017-04-04T16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183" t="str">
        <f>IF(AA93&lt;IF(AG93="EC",23,5.65),"Y","N")</f>
        <v>N</v>
      </c>
      <c r="X93" s="183">
        <f t="shared" si="13"/>
        <v>1</v>
      </c>
      <c r="Y93" s="62">
        <f>RIGHT(D93,LEN(D93)-4)/10000</f>
        <v>23.296800000000001</v>
      </c>
      <c r="Z93" s="62">
        <f>RIGHT(H93,LEN(H93)-4)/10000</f>
        <v>1.8100000000000002E-2</v>
      </c>
      <c r="AA93" s="62">
        <f>ABS(Z93-Y93)</f>
        <v>23.278700000000001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0180-04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/stypes="app*4007*20170404*" /stext=" 21:.+((SYSTEM_STATE.+slice.+state.+changed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9"/>
        <v>"%USERPROFILE%\Documents\GitHub\eaglep3\Utilities\RefineRTDCRunTimes.py" --tripid 180-04 --locoid 4007 --swversion DE.1.0.9.0 --startMP 204:232968 --initTime 2017-04-04T14:15:18 --startdatetime 2017-04-04T14:26:14 --delay 1 --endMP 204:181 --enddatetime 2017-04-04T15:06:45 --enforcementcount 0 &gt;&gt;C:\Users\stu\Documents\GitHub\eaglep3-reporting\EC\2017-04-04-refined-times.txt</v>
      </c>
      <c r="AI93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{"issue":{"subject":"","project_id":79,"tracker_id":40,"status_id":1,"priority_id":2,"assigned_to_id":23,"start_date":"2017-04-04","description":"","custom_fields":[{"id":1,"name":"Subdivision","value":"EC"},{"id":4,"name":"Milepost","value":"0.0181"},{"id":17,"name":"Train ID","value":"180-04"},{"id":16,"name":"Locomotive ID","value":"4007"},{"id":130,"name":"Impact","value":""},{"id":150,"name":"Time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11"/>
        <v>start /low /b %USERPROFILE%\Documents\GitHub\eaglep3\Utilities\DownloadLogsFromS3.py --loco 4007 --day 2017-04-04</v>
      </c>
      <c r="AN93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608</v>
      </c>
      <c r="B94" s="7">
        <v>4014</v>
      </c>
      <c r="C94" s="21" t="s">
        <v>217</v>
      </c>
      <c r="D94" s="21" t="s">
        <v>438</v>
      </c>
      <c r="E94" s="13">
        <v>42829.572222222225</v>
      </c>
      <c r="F94" s="13">
        <v>42829.573263888888</v>
      </c>
      <c r="G94" s="7">
        <v>1</v>
      </c>
      <c r="H94" s="21" t="s">
        <v>879</v>
      </c>
      <c r="I94" s="13">
        <v>42829.59915509259</v>
      </c>
      <c r="J94" s="7">
        <v>0</v>
      </c>
      <c r="K94" s="97" t="str">
        <f>IF(ISEVEN(B94),(B94-1)&amp;"/"&amp;B94,B94&amp;"/"&amp;(B94+1))</f>
        <v>4013/4014</v>
      </c>
      <c r="L94" s="21" t="str">
        <f>VLOOKUP(A94,'Trips&amp;Operators'!$C$1:$G$99999,5,FALSE)</f>
        <v>LOCKLEAR TRAVIS</v>
      </c>
      <c r="M94" s="6">
        <f>I94-F94</f>
        <v>2.5891203702485655E-2</v>
      </c>
      <c r="N94" s="7">
        <f>24*60*SUM($M94:$M94)</f>
        <v>37.283333331579342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83" t="str">
        <f>IF(AA94&lt;IF(AG94="EC",23,5.65),"Y","N")</f>
        <v>N</v>
      </c>
      <c r="X94" s="183">
        <f>VALUE(LEFT(AD94,4))-VALUE(LEFT(AD93,4))</f>
        <v>1</v>
      </c>
      <c r="Y94" s="62">
        <f>RIGHT(D94,LEN(D94)-4)/10000</f>
        <v>4.3999999999999997E-2</v>
      </c>
      <c r="Z94" s="62">
        <f>RIGHT(H94,LEN(H94)-4)/10000</f>
        <v>23.334299999999999</v>
      </c>
      <c r="AA94" s="62">
        <f>ABS(Z94-Y94)</f>
        <v>23.290299999999998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0181-04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/stypes="app*4014*20170404*" /stext=" 20:.+((SYSTEM_STATE.+slice.+state.+changed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9"/>
        <v>"%USERPROFILE%\Documents\GitHub\eaglep3\Utilities\RefineRTDCRunTimes.py" --tripid 181-04 --locoid 4014 --swversion DE.1.0.9.0 --startMP 204:440 --initTime 2017-04-04T13:44:00 --startdatetime 2017-04-04T13:45:30 --delay 1 --endMP 204:233343 --enddatetime 2017-04-04T14:22:47 --enforcementcount 0 &gt;&gt;C:\Users\stu\Documents\GitHub\eaglep3-reporting\EC\2017-04-04-refined-times.txt</v>
      </c>
      <c r="AI94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{"issue":{"subject":"","project_id":79,"tracker_id":40,"status_id":1,"priority_id":2,"assigned_to_id":23,"start_date":"2017-04-04","description":"","custom_fields":[{"id":1,"name":"Subdivision","value":"EC"},{"id":4,"name":"Milepost","value":"23.3343"},{"id":17,"name":"Train ID","value":"181-04"},{"id":16,"name":"Locomotive ID","value":"4014"},{"id":130,"name":"Impact","value":""},{"id":150,"name":"Time of Event (Mountain Time)","value":"14:22:47"},{"id":151,"name":"Denver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11"/>
        <v>start /low /b %USERPROFILE%\Documents\GitHub\eaglep3\Utilities\DownloadLogsFromS3.py --loco 4014 --day 2017-04-04</v>
      </c>
      <c r="AN94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610</v>
      </c>
      <c r="B95" s="7">
        <v>4013</v>
      </c>
      <c r="C95" s="21" t="s">
        <v>217</v>
      </c>
      <c r="D95" s="21" t="s">
        <v>880</v>
      </c>
      <c r="E95" s="13">
        <v>42829.609826388885</v>
      </c>
      <c r="F95" s="13">
        <v>42829.611967592595</v>
      </c>
      <c r="G95" s="7">
        <v>1</v>
      </c>
      <c r="H95" s="21" t="s">
        <v>213</v>
      </c>
      <c r="I95" s="13">
        <v>42829.640266203707</v>
      </c>
      <c r="J95" s="7">
        <v>0</v>
      </c>
      <c r="K95" s="97" t="str">
        <f>IF(ISEVEN(B95),(B95-1)&amp;"/"&amp;B95,B95&amp;"/"&amp;(B95+1))</f>
        <v>4013/4014</v>
      </c>
      <c r="L95" s="21" t="str">
        <f>VLOOKUP(A95,'Trips&amp;Operators'!$C$1:$G$99999,5,FALSE)</f>
        <v>LOCKLEAR TRAVIS</v>
      </c>
      <c r="M95" s="6">
        <f>I95-F95</f>
        <v>2.8298611112404615E-2</v>
      </c>
      <c r="N95" s="7">
        <f>24*60*SUM($M95:$M95)</f>
        <v>40.750000001862645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83" t="str">
        <f>IF(AA95&lt;IF(AG95="EC",23,5.65),"Y","N")</f>
        <v>N</v>
      </c>
      <c r="X95" s="183">
        <f>VALUE(LEFT(AD95,4))-VALUE(LEFT(AD94,4))</f>
        <v>1</v>
      </c>
      <c r="Y95" s="62">
        <f>RIGHT(D95,LEN(D95)-4)/10000</f>
        <v>23.3019</v>
      </c>
      <c r="Z95" s="62">
        <f>RIGHT(H95,LEN(H95)-4)/10000</f>
        <v>1.5599999999999999E-2</v>
      </c>
      <c r="AA95" s="62">
        <f>ABS(Z95-Y95)</f>
        <v>23.286300000000001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0182-04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/stypes="app*4013*20170404*" /stext=" 21:.+((SYSTEM_STATE.+slice.+state.+changed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9"/>
        <v>"%USERPROFILE%\Documents\GitHub\eaglep3\Utilities\RefineRTDCRunTimes.py" --tripid 182-04 --locoid 4013 --swversion DE.1.0.9.0 --startMP 204:233019 --initTime 2017-04-04T14:38:09 --startdatetime 2017-04-04T14:41:14 --delay 1 --endMP 204:156 --enddatetime 2017-04-04T15:21:59 --enforcementcount 0 &gt;&gt;C:\Users\stu\Documents\GitHub\eaglep3-reporting\EC\2017-04-04-refined-times.txt</v>
      </c>
      <c r="AI95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8"/>
      <c r="AL95" s="48"/>
      <c r="AM95" s="150" t="str">
        <f t="shared" si="11"/>
        <v>start /low /b %USERPROFILE%\Documents\GitHub\eaglep3\Utilities\DownloadLogsFromS3.py --loco 4013 --day 2017-04-04</v>
      </c>
      <c r="AN95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3" t="s">
        <v>737</v>
      </c>
      <c r="B96" s="7">
        <v>4054</v>
      </c>
      <c r="C96" s="21" t="s">
        <v>217</v>
      </c>
      <c r="D96" s="21" t="s">
        <v>451</v>
      </c>
      <c r="E96" s="13">
        <v>42829.580763888887</v>
      </c>
      <c r="F96" s="13">
        <v>42829.583634259259</v>
      </c>
      <c r="G96" s="7">
        <v>2</v>
      </c>
      <c r="H96" s="21" t="s">
        <v>881</v>
      </c>
      <c r="I96" s="13">
        <v>42829.609085648146</v>
      </c>
      <c r="J96" s="7">
        <v>0</v>
      </c>
      <c r="K96" s="97" t="str">
        <f>IF(ISEVEN(B96),(B96-1)&amp;"/"&amp;B96,B96&amp;"/"&amp;(B96+1))</f>
        <v>4053/4054</v>
      </c>
      <c r="L96" s="21" t="str">
        <f>VLOOKUP(A96,'Trips&amp;Operators'!$C$1:$G$99999,5,FALSE)</f>
        <v>WILLIAMS DONTE</v>
      </c>
      <c r="M96" s="6">
        <f>I96-F96</f>
        <v>2.545138888672227E-2</v>
      </c>
      <c r="N96" s="7">
        <f>24*60*SUM($M96:$M96)</f>
        <v>36.649999996880069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-04T12:56:18-0600',mode:absolute,to:'2017-04-04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183" t="str">
        <f>IF(AA96&lt;IF(AG96="EC",23,5.65),"Y","N")</f>
        <v>N</v>
      </c>
      <c r="X96" s="183">
        <f>VALUE(LEFT(AD96,4))-VALUE(LEFT(AD95,4))</f>
        <v>1</v>
      </c>
      <c r="Y96" s="62">
        <f>RIGHT(D96,LEN(D96)-4)/10000</f>
        <v>4.4600000000000001E-2</v>
      </c>
      <c r="Z96" s="62">
        <f>RIGHT(H96,LEN(H96)-4)/10000</f>
        <v>23.332699999999999</v>
      </c>
      <c r="AA96" s="62">
        <f>ABS(Z96-Y96)</f>
        <v>23.2881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0183-04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/stypes="app*4054*20170404*" /stext=" 20:.+((SYSTEM_STATE.+slice.+state.+changed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9"/>
        <v>"%USERPROFILE%\Documents\GitHub\eaglep3\Utilities\RefineRTDCRunTimes.py" --tripid 183-04 --locoid 4054 --swversion DE.1.0.9.0 --startMP 204:446 --initTime 2017-04-04T13:56:18 --startdatetime 2017-04-04T14:00:26 --delay 2 --endMP 204:233327 --enddatetime 2017-04-04T14:37:05 --enforcementcount 0 &gt;&gt;C:\Users\stu\Documents\GitHub\eaglep3-reporting\EC\2017-04-04-refined-times.txt</v>
      </c>
      <c r="AI96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ID","value":"183-04"},{"id":16,"name":"Locomotive ID","value":"4054"},{"id":130,"name":"Impact","value":""},{"id":150,"name":"Time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11"/>
        <v>start /low /b %USERPROFILE%\Documents\GitHub\eaglep3\Utilities\DownloadLogsFromS3.py --loco 4054 --day 2017-04-04</v>
      </c>
      <c r="AN96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744</v>
      </c>
      <c r="B97" s="7">
        <v>4053</v>
      </c>
      <c r="C97" s="21" t="s">
        <v>217</v>
      </c>
      <c r="D97" s="21" t="s">
        <v>882</v>
      </c>
      <c r="E97" s="13">
        <v>42829.617129629631</v>
      </c>
      <c r="F97" s="13">
        <v>42829.623819444445</v>
      </c>
      <c r="G97" s="7">
        <v>1</v>
      </c>
      <c r="H97" s="21" t="s">
        <v>883</v>
      </c>
      <c r="I97" s="13">
        <v>42829.653113425928</v>
      </c>
      <c r="J97" s="7">
        <v>0</v>
      </c>
      <c r="K97" s="97" t="str">
        <f>IF(ISEVEN(B97),(B97-1)&amp;"/"&amp;B97,B97&amp;"/"&amp;(B97+1))</f>
        <v>4053/4054</v>
      </c>
      <c r="L97" s="21" t="str">
        <f>VLOOKUP(A97,'Trips&amp;Operators'!$C$1:$G$99999,5,FALSE)</f>
        <v>WILLIAMS DONTE</v>
      </c>
      <c r="M97" s="6">
        <f>I97-F97</f>
        <v>2.9293981482624076E-2</v>
      </c>
      <c r="N97" s="7">
        <f>24*60*SUM($M97:$M97)</f>
        <v>42.18333333497867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-04T13:48:40-0600',mode:absolute,to:'2017-04-04T16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83" t="str">
        <f>IF(AA97&lt;IF(AG97="EC",23,5.65),"Y","N")</f>
        <v>N</v>
      </c>
      <c r="X97" s="183">
        <f>VALUE(LEFT(AD97,4))-VALUE(LEFT(AD96,4))</f>
        <v>1</v>
      </c>
      <c r="Y97" s="62">
        <f>RIGHT(D97,LEN(D97)-4)/10000</f>
        <v>23.300599999999999</v>
      </c>
      <c r="Z97" s="62">
        <f>RIGHT(H97,LEN(H97)-4)/10000</f>
        <v>8.0999999999999996E-3</v>
      </c>
      <c r="AA97" s="62">
        <f>ABS(Z97-Y97)</f>
        <v>23.2925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0184-04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/stypes="app*4053*20170404*" /stext=" 21:.+((SYSTEM_STATE.+slice.+state.+changed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9"/>
        <v>"%USERPROFILE%\Documents\GitHub\eaglep3\Utilities\RefineRTDCRunTimes.py" --tripid 184-04 --locoid 4053 --swversion DE.1.0.9.0 --startMP 204:233006 --initTime 2017-04-04T14:48:40 --startdatetime 2017-04-04T14:58:18 --delay 1 --endMP 204:81 --enddatetime 2017-04-04T15:40:29 --enforcementcount 0 &gt;&gt;C:\Users\stu\Documents\GitHub\eaglep3-reporting\EC\2017-04-04-refined-times.txt</v>
      </c>
      <c r="AI97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{"issue":{"subject":"","project_id":79,"tracker_id":40,"status_id":1,"priority_id":2,"assigned_to_id":23,"start_date":"2017-04-04","description":"","custom_fields":[{"id":1,"name":"Subdivision","value":"EC"},{"id":4,"name":"Milepost","value":"0.0081"},{"id":17,"name":"Train ID","value":"184-04"},{"id":16,"name":"Locomotive ID","value":"4053"},{"id":130,"name":"Impact","value":""},{"id":150,"name":"Time of Event (Mountain Time)","value":"15:40:29"},{"id":151,"name":"Denver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11"/>
        <v>start /low /b %USERPROFILE%\Documents\GitHub\eaglep3\Utilities\DownloadLogsFromS3.py --loco 4053 --day 2017-04-04</v>
      </c>
      <c r="AN97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738</v>
      </c>
      <c r="B98" s="7">
        <v>4004</v>
      </c>
      <c r="C98" s="21" t="s">
        <v>217</v>
      </c>
      <c r="D98" s="21" t="s">
        <v>435</v>
      </c>
      <c r="E98" s="13">
        <v>42829.588530092595</v>
      </c>
      <c r="F98" s="13">
        <v>42829.593958333331</v>
      </c>
      <c r="G98" s="7">
        <v>2</v>
      </c>
      <c r="H98" s="21" t="s">
        <v>884</v>
      </c>
      <c r="I98" s="13">
        <v>42829.620254629626</v>
      </c>
      <c r="J98" s="7">
        <v>0</v>
      </c>
      <c r="K98" s="97" t="str">
        <f>IF(ISEVEN(B98),(B98-1)&amp;"/"&amp;B98,B98&amp;"/"&amp;(B98+1))</f>
        <v>4003/4004</v>
      </c>
      <c r="L98" s="21" t="str">
        <f>VLOOKUP(A98,'Trips&amp;Operators'!$C$1:$G$99999,5,FALSE)</f>
        <v>STRICKLAND EVAN</v>
      </c>
      <c r="M98" s="6">
        <f>I98-F98</f>
        <v>2.6296296295186039E-2</v>
      </c>
      <c r="N98" s="7">
        <f>24*60*SUM($M98:$M98)</f>
        <v>37.866666665067896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-04T13:07:29-0600',mode:absolute,to:'2017-04-04T15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8" s="183" t="str">
        <f>IF(AA98&lt;IF(AG98="EC",23,5.65),"Y","N")</f>
        <v>N</v>
      </c>
      <c r="X98" s="183">
        <f>VALUE(LEFT(AD98,4))-VALUE(LEFT(AD97,4))</f>
        <v>1</v>
      </c>
      <c r="Y98" s="62">
        <f>RIGHT(D98,LEN(D98)-4)/10000</f>
        <v>4.6199999999999998E-2</v>
      </c>
      <c r="Z98" s="62">
        <f>RIGHT(H98,LEN(H98)-4)/10000</f>
        <v>23.338200000000001</v>
      </c>
      <c r="AA98" s="62">
        <f>ABS(Z98-Y98)</f>
        <v>23.292000000000002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0185-04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/stypes="app*4004*20170404*" /stext=" 20:.+((SYSTEM_STATE.+slice.+state.+changed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9"/>
        <v>"%USERPROFILE%\Documents\GitHub\eaglep3\Utilities\RefineRTDCRunTimes.py" --tripid 185-04 --locoid 4004 --swversion DE.1.0.9.0 --startMP 204:462 --initTime 2017-04-04T14:07:29 --startdatetime 2017-04-04T14:15:18 --delay 2 --endMP 204:233382 --enddatetime 2017-04-04T14:53:10 --enforcementcount 0 &gt;&gt;C:\Users\stu\Documents\GitHub\eaglep3-reporting\EC\2017-04-04-refined-times.txt</v>
      </c>
      <c r="AI98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{"issue":{"subject":"","project_id":79,"tracker_id":40,"status_id":1,"priority_id":2,"assigned_to_id":23,"start_date":"2017-04-04","description":"","custom_fields":[{"id":1,"name":"Subdivision","value":"EC"},{"id":4,"name":"Milepost","value":"23.3382"},{"id":17,"name":"Train ID","value":"185-04"},{"id":16,"name":"Locomotive ID","value":"4004"},{"id":130,"name":"Impact","value":""},{"id":150,"name":"Time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11"/>
        <v>start /low /b %USERPROFILE%\Documents\GitHub\eaglep3\Utilities\DownloadLogsFromS3.py --loco 4004 --day 2017-04-04</v>
      </c>
      <c r="AN98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746</v>
      </c>
      <c r="B99" s="7">
        <v>4003</v>
      </c>
      <c r="C99" s="21" t="s">
        <v>217</v>
      </c>
      <c r="D99" s="21" t="s">
        <v>885</v>
      </c>
      <c r="E99" s="13">
        <v>42829.621851851851</v>
      </c>
      <c r="F99" s="13">
        <v>42829.632881944446</v>
      </c>
      <c r="G99" s="7">
        <v>1</v>
      </c>
      <c r="H99" s="21" t="s">
        <v>191</v>
      </c>
      <c r="I99" s="13">
        <v>42829.66201388889</v>
      </c>
      <c r="J99" s="7">
        <v>0</v>
      </c>
      <c r="K99" s="97" t="str">
        <f>IF(ISEVEN(B99),(B99-1)&amp;"/"&amp;B99,B99&amp;"/"&amp;(B99+1))</f>
        <v>4003/4004</v>
      </c>
      <c r="L99" s="21" t="str">
        <f>VLOOKUP(A99,'Trips&amp;Operators'!$C$1:$G$99999,5,FALSE)</f>
        <v>STRICKLAND EVAN</v>
      </c>
      <c r="M99" s="6">
        <f>I99-F99</f>
        <v>2.9131944444088731E-2</v>
      </c>
      <c r="N99" s="7">
        <f>24*60*SUM($M99:$M99)</f>
        <v>41.949999999487773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-04T13:55:28-0600',mode:absolute,to:'2017-04-04T16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3" t="str">
        <f>IF(AA99&lt;IF(AG99="EC",23,5.65),"Y","N")</f>
        <v>N</v>
      </c>
      <c r="X99" s="183">
        <f>VALUE(LEFT(AD99,4))-VALUE(LEFT(AD98,4))</f>
        <v>1</v>
      </c>
      <c r="Y99" s="62">
        <f>RIGHT(D99,LEN(D99)-4)/10000</f>
        <v>23.307200000000002</v>
      </c>
      <c r="Z99" s="62">
        <f>RIGHT(H99,LEN(H99)-4)/10000</f>
        <v>1.4999999999999999E-2</v>
      </c>
      <c r="AA99" s="62">
        <f>ABS(Z99-Y99)</f>
        <v>23.292200000000001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0186-04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/stypes="app*4003*20170404*"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9"/>
        <v>"%USERPROFILE%\Documents\GitHub\eaglep3\Utilities\RefineRTDCRunTimes.py" --tripid 186-04 --locoid 4003 --swversion DE.1.0.9.0 --startMP 204:233072 --initTime 2017-04-04T14:55:28 --startdatetime 2017-04-04T15:11:21 --delay 1 --endMP 204:150 --enddatetime 2017-04-04T15:53:18 --enforcementcount 0 &gt;&gt;C:\Users\stu\Documents\GitHub\eaglep3-reporting\EC\2017-04-04-refined-times.txt</v>
      </c>
      <c r="AI99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ID","value":"186-04"},{"id":16,"name":"Locomotive ID","value":"4003"},{"id":130,"name":"Impact","value":""},{"id":150,"name":"Time of Event (Mountain Time)","value":"15:53:18"},{"id":151,"name":"Denver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11"/>
        <v>start /low /b %USERPROFILE%\Documents\GitHub\eaglep3\Utilities\DownloadLogsFromS3.py --loco 4003 --day 2017-04-04</v>
      </c>
      <c r="AN99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742</v>
      </c>
      <c r="B100" s="7">
        <v>4032</v>
      </c>
      <c r="C100" s="21" t="s">
        <v>217</v>
      </c>
      <c r="D100" s="21" t="s">
        <v>886</v>
      </c>
      <c r="E100" s="13">
        <v>42829.601967592593</v>
      </c>
      <c r="F100" s="13">
        <v>42829.604467592595</v>
      </c>
      <c r="G100" s="7">
        <v>1</v>
      </c>
      <c r="H100" s="21" t="s">
        <v>851</v>
      </c>
      <c r="I100" s="13">
        <v>42829.631967592592</v>
      </c>
      <c r="J100" s="7">
        <v>0</v>
      </c>
      <c r="K100" s="97" t="str">
        <f>IF(ISEVEN(B100),(B100-1)&amp;"/"&amp;B100,B100&amp;"/"&amp;(B100+1))</f>
        <v>4031/4032</v>
      </c>
      <c r="L100" s="21" t="str">
        <f>VLOOKUP(A100,'Trips&amp;Operators'!$C$1:$G$99999,5,FALSE)</f>
        <v>DAVIS MICHAEL</v>
      </c>
      <c r="M100" s="6">
        <f>I100-F100</f>
        <v>2.749999999650754E-2</v>
      </c>
      <c r="N100" s="7">
        <f>24*60*SUM($M100:$M100)</f>
        <v>39.599999994970858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-04T13:26:50-0600',mode:absolute,to:'2017-04-04T16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83" t="str">
        <f>IF(AA100&lt;IF(AG100="EC",23,5.65),"Y","N")</f>
        <v>N</v>
      </c>
      <c r="X100" s="183">
        <f>VALUE(LEFT(AD100,4))-VALUE(LEFT(AD99,4))</f>
        <v>1</v>
      </c>
      <c r="Y100" s="62">
        <f>RIGHT(D100,LEN(D100)-4)/10000</f>
        <v>4.3099999999999999E-2</v>
      </c>
      <c r="Z100" s="62">
        <f>RIGHT(H100,LEN(H100)-4)/10000</f>
        <v>23.336400000000001</v>
      </c>
      <c r="AA100" s="62">
        <f>ABS(Z100-Y100)</f>
        <v>23.293300000000002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0187-04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/stypes="app*4032*20170404*" /stext=" 21:.+((SYSTEM_STATE.+slice.+state.+changed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9"/>
        <v>"%USERPROFILE%\Documents\GitHub\eaglep3\Utilities\RefineRTDCRunTimes.py" --tripid 187-04 --locoid 4032 --swversion DE.1.0.9.0 --startMP 204:431 --initTime 2017-04-04T14:26:50 --startdatetime 2017-04-04T14:30:26 --delay 1 --endMP 204:233364 --enddatetime 2017-04-04T15:10:02 --enforcementcount 0 &gt;&gt;C:\Users\stu\Documents\GitHub\eaglep3-reporting\EC\2017-04-04-refined-times.txt</v>
      </c>
      <c r="AI100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ID","value":"187-04"},{"id":16,"name":"Locomotive ID","value":"4032"},{"id":130,"name":"Impact","value":""},{"id":150,"name":"Time of Event (Mountain Time)","value":"15:10:02"},{"id":151,"name":"Denver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11"/>
        <v>start /low /b %USERPROFILE%\Documents\GitHub\eaglep3\Utilities\DownloadLogsFromS3.py --loco 4032 --day 2017-04-04</v>
      </c>
      <c r="AN100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749</v>
      </c>
      <c r="B101" s="7">
        <v>4031</v>
      </c>
      <c r="C101" s="21" t="s">
        <v>217</v>
      </c>
      <c r="D101" s="21" t="s">
        <v>870</v>
      </c>
      <c r="E101" s="13">
        <v>42829.638067129628</v>
      </c>
      <c r="F101" s="13">
        <v>42829.643449074072</v>
      </c>
      <c r="G101" s="7">
        <v>1</v>
      </c>
      <c r="H101" s="21" t="s">
        <v>191</v>
      </c>
      <c r="I101" s="13">
        <v>42829.672430555554</v>
      </c>
      <c r="J101" s="7">
        <v>0</v>
      </c>
      <c r="K101" s="97" t="str">
        <f>IF(ISEVEN(B101),(B101-1)&amp;"/"&amp;B101,B101&amp;"/"&amp;(B101+1))</f>
        <v>4031/4032</v>
      </c>
      <c r="L101" s="21" t="str">
        <f>VLOOKUP(A101,'Trips&amp;Operators'!$C$1:$G$99999,5,FALSE)</f>
        <v>DAVIS MICHAEL</v>
      </c>
      <c r="M101" s="6">
        <f>I101-F101</f>
        <v>2.8981481482333038E-2</v>
      </c>
      <c r="N101" s="7">
        <f>24*60*SUM($M101:$M101)</f>
        <v>41.733333334559575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-04T14:18:49-0600',mode:absolute,to:'2017-04-04T17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83" t="str">
        <f>IF(AA101&lt;IF(AG101="EC",23,5.65),"Y","N")</f>
        <v>N</v>
      </c>
      <c r="X101" s="183">
        <f>VALUE(LEFT(AD101,4))-VALUE(LEFT(AD100,4))</f>
        <v>1</v>
      </c>
      <c r="Y101" s="62">
        <f>RIGHT(D101,LEN(D101)-4)/10000</f>
        <v>23.302299999999999</v>
      </c>
      <c r="Z101" s="62">
        <f>RIGHT(H101,LEN(H101)-4)/10000</f>
        <v>1.4999999999999999E-2</v>
      </c>
      <c r="AA101" s="62">
        <f>ABS(Z101-Y101)</f>
        <v>23.287299999999998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0188-04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/stypes="app*4031*20170404*" /stext=" 22:.+((SYSTEM_STATE.+slice.+state.+changed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9"/>
        <v>"%USERPROFILE%\Documents\GitHub\eaglep3\Utilities\RefineRTDCRunTimes.py" --tripid 188-04 --locoid 4031 --swversion DE.1.0.9.0 --startMP 204:233023 --initTime 2017-04-04T15:18:49 --startdatetime 2017-04-04T15:26:34 --delay 1 --endMP 204:150 --enddatetime 2017-04-04T16:08:18 --enforcementcount 0 &gt;&gt;C:\Users\stu\Documents\GitHub\eaglep3-reporting\EC\2017-04-04-refined-times.txt</v>
      </c>
      <c r="AI101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ID","value":"188-04"},{"id":16,"name":"Locomotive ID","value":"4031"},{"id":130,"name":"Impact","value":""},{"id":150,"name":"Time of Event (Mountain Time)","value":"16:08:18"},{"id":151,"name":"Denver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11"/>
        <v>start /low /b %USERPROFILE%\Documents\GitHub\eaglep3\Utilities\DownloadLogsFromS3.py --loco 4031 --day 2017-04-04</v>
      </c>
      <c r="AN101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743</v>
      </c>
      <c r="B102" s="7">
        <v>4010</v>
      </c>
      <c r="C102" s="21" t="s">
        <v>217</v>
      </c>
      <c r="D102" s="21" t="s">
        <v>458</v>
      </c>
      <c r="E102" s="13">
        <v>42829.613182870373</v>
      </c>
      <c r="F102" s="13">
        <v>42829.616284722222</v>
      </c>
      <c r="G102" s="7">
        <v>1</v>
      </c>
      <c r="H102" s="21" t="s">
        <v>528</v>
      </c>
      <c r="I102" s="13">
        <v>42829.642013888886</v>
      </c>
      <c r="J102" s="7">
        <v>0</v>
      </c>
      <c r="K102" s="97" t="str">
        <f>IF(ISEVEN(B102),(B102-1)&amp;"/"&amp;B102,B102&amp;"/"&amp;(B102+1))</f>
        <v>4009/4010</v>
      </c>
      <c r="L102" s="21" t="str">
        <f>VLOOKUP(A102,'Trips&amp;Operators'!$C$1:$G$99999,5,FALSE)</f>
        <v>STEWART MICHAEL</v>
      </c>
      <c r="M102" s="6">
        <f>I102-F102</f>
        <v>2.5729166663950309E-2</v>
      </c>
      <c r="N102" s="7">
        <f>24*60*SUM($M102:$M102)</f>
        <v>37.049999996088445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-04T13:42:59-0600',mode:absolute,to:'2017-04-04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183" t="str">
        <f>IF(AA102&lt;IF(AG102="EC",23,5.65),"Y","N")</f>
        <v>N</v>
      </c>
      <c r="X102" s="183">
        <f>VALUE(LEFT(AD102,4))-VALUE(LEFT(AD101,4))</f>
        <v>1</v>
      </c>
      <c r="Y102" s="62">
        <f>RIGHT(D102,LEN(D102)-4)/10000</f>
        <v>4.7100000000000003E-2</v>
      </c>
      <c r="Z102" s="62">
        <f>RIGHT(H102,LEN(H102)-4)/10000</f>
        <v>23.328600000000002</v>
      </c>
      <c r="AA102" s="62">
        <f>ABS(Z102-Y102)</f>
        <v>23.281500000000001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0189-04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/stypes="app*4010*20170404*" /stext=" 21:.+((SYSTEM_STATE.+slice.+state.+changed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9"/>
        <v>"%USERPROFILE%\Documents\GitHub\eaglep3\Utilities\RefineRTDCRunTimes.py" --tripid 189-04 --locoid 4010 --swversion DE.1.0.9.0 --startMP 204:471 --initTime 2017-04-04T14:42:59 --startdatetime 2017-04-04T14:47:27 --delay 1 --endMP 204:233286 --enddatetime 2017-04-04T15:24:30 --enforcementcount 0 &gt;&gt;C:\Users\stu\Documents\GitHub\eaglep3-reporting\EC\2017-04-04-refined-times.txt</v>
      </c>
      <c r="AI102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ID","value":"189-04"},{"id":16,"name":"Locomotive ID","value":"4010"},{"id":130,"name":"Impact","value":""},{"id":150,"name":"Time of Event (Mountain Time)","value":"15:24:30"},{"id":151,"name":"Denver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11"/>
        <v>start /low /b %USERPROFILE%\Documents\GitHub\eaglep3\Utilities\DownloadLogsFromS3.py --loco 4010 --day 2017-04-04</v>
      </c>
      <c r="AN102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753</v>
      </c>
      <c r="B103" s="7">
        <v>4009</v>
      </c>
      <c r="C103" s="21" t="s">
        <v>217</v>
      </c>
      <c r="D103" s="21" t="s">
        <v>411</v>
      </c>
      <c r="E103" s="13">
        <v>42829.650590277779</v>
      </c>
      <c r="F103" s="13">
        <v>42829.653680555559</v>
      </c>
      <c r="G103" s="7">
        <v>2</v>
      </c>
      <c r="H103" s="21" t="s">
        <v>461</v>
      </c>
      <c r="I103" s="13">
        <v>42829.68172453704</v>
      </c>
      <c r="J103" s="7">
        <v>0</v>
      </c>
      <c r="K103" s="97" t="str">
        <f>IF(ISEVEN(B103),(B103-1)&amp;"/"&amp;B103,B103&amp;"/"&amp;(B103+1))</f>
        <v>4009/4010</v>
      </c>
      <c r="L103" s="21" t="str">
        <f>VLOOKUP(A103,'Trips&amp;Operators'!$C$1:$G$99999,5,FALSE)</f>
        <v>STEWART MICHAEL</v>
      </c>
      <c r="M103" s="6">
        <f>I103-F103</f>
        <v>2.8043981481459923E-2</v>
      </c>
      <c r="N103" s="7">
        <f>24*60*SUM($M103:$M103)</f>
        <v>40.383333333302289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-04T14:36:51-0600',mode:absolute,to:'2017-04-04T17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183" t="str">
        <f>IF(AA103&lt;IF(AG103="EC",23,5.65),"Y","N")</f>
        <v>N</v>
      </c>
      <c r="X103" s="183">
        <f>VALUE(LEFT(AD103,4))-VALUE(LEFT(AD102,4))</f>
        <v>1</v>
      </c>
      <c r="Y103" s="62">
        <f>RIGHT(D103,LEN(D103)-4)/10000</f>
        <v>23.297699999999999</v>
      </c>
      <c r="Z103" s="62">
        <f>RIGHT(H103,LEN(H103)-4)/10000</f>
        <v>1.4500000000000001E-2</v>
      </c>
      <c r="AA103" s="62">
        <f>ABS(Z103-Y103)</f>
        <v>23.283199999999997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0190-04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/stypes="app*4009*20170404*" /stext=" 22:.+((SYSTEM_STATE.+slice.+state.+changed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9"/>
        <v>"%USERPROFILE%\Documents\GitHub\eaglep3\Utilities\RefineRTDCRunTimes.py" --tripid 190-04 --locoid 4009 --swversion DE.1.0.9.0 --startMP 204:232977 --initTime 2017-04-04T15:36:51 --startdatetime 2017-04-04T15:41:18 --delay 2 --endMP 204:145 --enddatetime 2017-04-04T16:21:41 --enforcementcount 0 &gt;&gt;C:\Users\stu\Documents\GitHub\eaglep3-reporting\EC\2017-04-04-refined-times.txt</v>
      </c>
      <c r="AI103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ID","value":"190-04"},{"id":16,"name":"Locomotive ID","value":"4009"},{"id":130,"name":"Impact","value":""},{"id":150,"name":"Time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11"/>
        <v>start /low /b %USERPROFILE%\Documents\GitHub\eaglep3\Utilities\DownloadLogsFromS3.py --loco 4009 --day 2017-04-04</v>
      </c>
      <c r="AN103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745</v>
      </c>
      <c r="B104" s="7">
        <v>4046</v>
      </c>
      <c r="C104" s="21" t="s">
        <v>217</v>
      </c>
      <c r="D104" s="21" t="s">
        <v>211</v>
      </c>
      <c r="E104" s="13">
        <v>42829.620439814818</v>
      </c>
      <c r="F104" s="13">
        <v>42829.625185185185</v>
      </c>
      <c r="G104" s="7">
        <v>1</v>
      </c>
      <c r="H104" s="21" t="s">
        <v>887</v>
      </c>
      <c r="I104" s="13">
        <v>42829.651284722226</v>
      </c>
      <c r="J104" s="7">
        <v>0</v>
      </c>
      <c r="K104" s="97" t="str">
        <f>IF(ISEVEN(B104),(B104-1)&amp;"/"&amp;B104,B104&amp;"/"&amp;(B104+1))</f>
        <v>4045/4046</v>
      </c>
      <c r="L104" s="21" t="str">
        <f>VLOOKUP(A104,'Trips&amp;Operators'!$C$1:$G$99999,5,FALSE)</f>
        <v>LEVERE CRAIG</v>
      </c>
      <c r="M104" s="6">
        <f>I104-F104</f>
        <v>2.6099537040863652E-2</v>
      </c>
      <c r="N104" s="7">
        <f>24*60*SUM($M104:$M104)</f>
        <v>37.583333338843659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-04T13:53:26-0600',mode:absolute,to:'2017-04-04T16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3" t="str">
        <f>IF(AA104&lt;IF(AG104="EC",23,5.65),"Y","N")</f>
        <v>N</v>
      </c>
      <c r="X104" s="183">
        <f>VALUE(LEFT(AD104,4))-VALUE(LEFT(AD103,4))</f>
        <v>1</v>
      </c>
      <c r="Y104" s="62">
        <f>RIGHT(D104,LEN(D104)-4)/10000</f>
        <v>4.53E-2</v>
      </c>
      <c r="Z104" s="62">
        <f>RIGHT(H104,LEN(H104)-4)/10000</f>
        <v>23.33</v>
      </c>
      <c r="AA104" s="62">
        <f>ABS(Z104-Y104)</f>
        <v>23.284699999999997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0191-04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/stypes="app*4046*20170404*" /stext=" 21:.+((SYSTEM_STATE.+slice.+state.+changed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9"/>
        <v>"%USERPROFILE%\Documents\GitHub\eaglep3\Utilities\RefineRTDCRunTimes.py" --tripid 191-04 --locoid 4046 --swversion DE.1.0.9.0 --startMP 204:453 --initTime 2017-04-04T14:53:26 --startdatetime 2017-04-04T15:00:16 --delay 1 --endMP 204:233300 --enddatetime 2017-04-04T15:37:51 --enforcementcount 0 &gt;&gt;C:\Users\stu\Documents\GitHub\eaglep3-reporting\EC\2017-04-04-refined-times.txt</v>
      </c>
      <c r="AI104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ID","value":"191-04"},{"id":16,"name":"Locomotive ID","value":"4046"},{"id":130,"name":"Impact","value":""},{"id":150,"name":"Time of Event (Mountain Time)","value":"15:37:51"},{"id":151,"name":"Denver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11"/>
        <v>start /low /b %USERPROFILE%\Documents\GitHub\eaglep3\Utilities\DownloadLogsFromS3.py --loco 4046 --day 2017-04-04</v>
      </c>
      <c r="AN104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754</v>
      </c>
      <c r="B105" s="7">
        <v>4045</v>
      </c>
      <c r="C105" s="21" t="s">
        <v>217</v>
      </c>
      <c r="D105" s="21" t="s">
        <v>550</v>
      </c>
      <c r="E105" s="13">
        <v>42829.658715277779</v>
      </c>
      <c r="F105" s="13">
        <v>42829.664363425924</v>
      </c>
      <c r="G105" s="7">
        <v>0</v>
      </c>
      <c r="H105" s="21" t="s">
        <v>538</v>
      </c>
      <c r="I105" s="13">
        <v>42829.694155092591</v>
      </c>
      <c r="J105" s="7">
        <v>0</v>
      </c>
      <c r="K105" s="97" t="str">
        <f>IF(ISEVEN(B105),(B105-1)&amp;"/"&amp;B105,B105&amp;"/"&amp;(B105+1))</f>
        <v>4045/4046</v>
      </c>
      <c r="L105" s="21" t="str">
        <f>VLOOKUP(A105,'Trips&amp;Operators'!$C$1:$G$99999,5,FALSE)</f>
        <v>LEVERE CRAIG</v>
      </c>
      <c r="M105" s="6">
        <f>I105-F105</f>
        <v>2.9791666667733807E-2</v>
      </c>
      <c r="N105" s="7">
        <f>24*60*SUM($M105:$M105)</f>
        <v>42.900000001536682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-04T14:48:33-0600',mode:absolute,to:'2017-04-04T17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3" t="str">
        <f>IF(AA105&lt;IF(AG105="EC",23,5.65),"Y","N")</f>
        <v>N</v>
      </c>
      <c r="X105" s="183">
        <f>VALUE(LEFT(AD105,4))-VALUE(LEFT(AD104,4))</f>
        <v>1</v>
      </c>
      <c r="Y105" s="62">
        <f>RIGHT(D105,LEN(D105)-4)/10000</f>
        <v>23.2987</v>
      </c>
      <c r="Z105" s="62">
        <f>RIGHT(H105,LEN(H105)-4)/10000</f>
        <v>1.6500000000000001E-2</v>
      </c>
      <c r="AA105" s="62">
        <f>ABS(Z105-Y105)</f>
        <v>23.2822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0192-04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/stypes="app*4045*20170404*" /stext=" 22:.+((SYSTEM_STATE.+slice.+state.+changed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9"/>
        <v>"%USERPROFILE%\Documents\GitHub\eaglep3\Utilities\RefineRTDCRunTimes.py" --tripid 192-04 --locoid 4045 --swversion DE.1.0.9.0 --startMP 204:232987 --initTime 2017-04-04T15:48:33 --startdatetime 2017-04-04T15:56:41 --delay 0 --endMP 204:165 --enddatetime 2017-04-04T16:39:35 --enforcementcount 0 &gt;&gt;C:\Users\stu\Documents\GitHub\eaglep3-reporting\EC\2017-04-04-refined-times.txt</v>
      </c>
      <c r="AI105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{"issue":{"subject":"","project_id":79,"tracker_id":40,"status_id":1,"priority_id":2,"assigned_to_id":23,"start_date":"2017-04-04","description":"","custom_fields":[{"id":1,"name":"Subdivision","value":"EC"},{"id":4,"name":"Milepost","value":"0.0165"},{"id":17,"name":"Train ID","value":"192-04"},{"id":16,"name":"Locomotive ID","value":"4045"},{"id":130,"name":"Impact","value":""},{"id":150,"name":"Time of Event (Mountain Time)","value":"16:39:35"},{"id":151,"name":"Denver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11"/>
        <v>start /low /b %USERPROFILE%\Documents\GitHub\eaglep3\Utilities\DownloadLogsFromS3.py --loco 4045 --day 2017-04-04</v>
      </c>
      <c r="AN105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747</v>
      </c>
      <c r="B106" s="7">
        <v>4008</v>
      </c>
      <c r="C106" s="21" t="s">
        <v>217</v>
      </c>
      <c r="D106" s="21" t="s">
        <v>876</v>
      </c>
      <c r="E106" s="13">
        <v>42829.63244212963</v>
      </c>
      <c r="F106" s="13">
        <v>42829.635578703703</v>
      </c>
      <c r="G106" s="7">
        <v>1</v>
      </c>
      <c r="H106" s="21" t="s">
        <v>863</v>
      </c>
      <c r="I106" s="13">
        <v>42829.662488425929</v>
      </c>
      <c r="J106" s="7">
        <v>0</v>
      </c>
      <c r="K106" s="97" t="str">
        <f>IF(ISEVEN(B106),(B106-1)&amp;"/"&amp;B106,B106&amp;"/"&amp;(B106+1))</f>
        <v>4007/4008</v>
      </c>
      <c r="L106" s="21" t="str">
        <f>VLOOKUP(A106,'Trips&amp;Operators'!$C$1:$G$99999,5,FALSE)</f>
        <v>CLARK KATHLEEN</v>
      </c>
      <c r="M106" s="6">
        <f>I106-F106</f>
        <v>2.6909722226264421E-2</v>
      </c>
      <c r="N106" s="7">
        <f>24*60*SUM($M106:$M106)</f>
        <v>38.750000005820766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-04T14:10:43-0600',mode:absolute,to:'2017-04-04T16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183" t="str">
        <f>IF(AA106&lt;IF(AG106="EC",23,5.65),"Y","N")</f>
        <v>N</v>
      </c>
      <c r="X106" s="183">
        <f>VALUE(LEFT(AD106,4))-VALUE(LEFT(AD105,4))</f>
        <v>1</v>
      </c>
      <c r="Y106" s="62">
        <f>RIGHT(D106,LEN(D106)-4)/10000</f>
        <v>4.7800000000000002E-2</v>
      </c>
      <c r="Z106" s="62">
        <f>RIGHT(H106,LEN(H106)-4)/10000</f>
        <v>23.3307</v>
      </c>
      <c r="AA106" s="62">
        <f>ABS(Z106-Y106)</f>
        <v>23.282900000000001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0193-04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/stypes="app*4008*20170404*" /stext=" 21:.+((SYSTEM_STATE.+slice.+state.+changed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9"/>
        <v>"%USERPROFILE%\Documents\GitHub\eaglep3\Utilities\RefineRTDCRunTimes.py" --tripid 193-04 --locoid 4008 --swversion DE.1.0.9.0 --startMP 204:478 --initTime 2017-04-04T15:10:43 --startdatetime 2017-04-04T15:15:14 --delay 1 --endMP 204:233307 --enddatetime 2017-04-04T15:53:59 --enforcementcount 0 &gt;&gt;C:\Users\stu\Documents\GitHub\eaglep3-reporting\EC\2017-04-04-refined-times.txt</v>
      </c>
      <c r="AI106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ID","value":"193-04"},{"id":16,"name":"Locomotive ID","value":"4008"},{"id":130,"name":"Impact","value":""},{"id":150,"name":"Time of Event (Mountain Time)","value":"15:53:59"},{"id":151,"name":"Denver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11"/>
        <v>start /low /b %USERPROFILE%\Documents\GitHub\eaglep3\Utilities\DownloadLogsFromS3.py --loco 4008 --day 2017-04-04</v>
      </c>
      <c r="AN106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756</v>
      </c>
      <c r="B107" s="7">
        <v>4007</v>
      </c>
      <c r="C107" s="21" t="s">
        <v>217</v>
      </c>
      <c r="D107" s="21" t="s">
        <v>548</v>
      </c>
      <c r="E107" s="13">
        <v>42829.669988425929</v>
      </c>
      <c r="F107" s="13">
        <v>42829.674479166664</v>
      </c>
      <c r="G107" s="7">
        <v>1</v>
      </c>
      <c r="H107" s="21" t="s">
        <v>888</v>
      </c>
      <c r="I107" s="13">
        <v>42829.706018518518</v>
      </c>
      <c r="J107" s="7">
        <v>0</v>
      </c>
      <c r="K107" s="97" t="str">
        <f>IF(ISEVEN(B107),(B107-1)&amp;"/"&amp;B107,B107&amp;"/"&amp;(B107+1))</f>
        <v>4007/4008</v>
      </c>
      <c r="L107" s="21" t="str">
        <f>VLOOKUP(A107,'Trips&amp;Operators'!$C$1:$G$99999,5,FALSE)</f>
        <v>CLARK KATHLEEN</v>
      </c>
      <c r="M107" s="6">
        <f>I107-F107</f>
        <v>3.1539351854007691E-2</v>
      </c>
      <c r="N107" s="7">
        <f>24*60*SUM($M107:$M107)</f>
        <v>45.416666669771075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183" t="str">
        <f>IF(AA107&lt;IF(AG107="EC",23,5.65),"Y","N")</f>
        <v>N</v>
      </c>
      <c r="X107" s="183">
        <f>VALUE(LEFT(AD107,4))-VALUE(LEFT(AD106,4))</f>
        <v>1</v>
      </c>
      <c r="Y107" s="62">
        <f>RIGHT(D107,LEN(D107)-4)/10000</f>
        <v>23.297499999999999</v>
      </c>
      <c r="Z107" s="62">
        <f>RIGHT(H107,LEN(H107)-4)/10000</f>
        <v>2.0500000000000001E-2</v>
      </c>
      <c r="AA107" s="62">
        <f>ABS(Z107-Y107)</f>
        <v>23.277000000000001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0194-04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/stypes="app*4007*20170404*" /stext=" 22:.+((SYSTEM_STATE.+slice.+state.+changed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9"/>
        <v>"%USERPROFILE%\Documents\GitHub\eaglep3\Utilities\RefineRTDCRunTimes.py" --tripid 194-04 --locoid 4007 --swversion DE.1.0.9.0 --startMP 204:232975 --initTime 2017-04-04T16:04:47 --startdatetime 2017-04-04T16:11:15 --delay 1 --endMP 204:205 --enddatetime 2017-04-04T16:56:40 --enforcementcount 0 &gt;&gt;C:\Users\stu\Documents\GitHub\eaglep3-reporting\EC\2017-04-04-refined-times.txt</v>
      </c>
      <c r="AI107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{"issue":{"subject":"","project_id":79,"tracker_id":40,"status_id":1,"priority_id":2,"assigned_to_id":23,"start_date":"2017-04-04","description":"","custom_fields":[{"id":1,"name":"Subdivision","value":"EC"},{"id":4,"name":"Milepost","value":"0.0205"},{"id":17,"name":"Train ID","value":"194-04"},{"id":16,"name":"Locomotive ID","value":"4007"},{"id":130,"name":"Impact","value":""},{"id":150,"name":"Time of Event (Mountain Time)","value":"16:56:40"},{"id":151,"name":"Denver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11"/>
        <v>start /low /b %USERPROFILE%\Documents\GitHub\eaglep3\Utilities\DownloadLogsFromS3.py --loco 4007 --day 2017-04-04</v>
      </c>
      <c r="AN107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751</v>
      </c>
      <c r="B108" s="7">
        <v>4014</v>
      </c>
      <c r="C108" s="21" t="s">
        <v>217</v>
      </c>
      <c r="D108" s="21" t="s">
        <v>211</v>
      </c>
      <c r="E108" s="13">
        <v>42829.643460648149</v>
      </c>
      <c r="F108" s="13">
        <v>42829.64640046296</v>
      </c>
      <c r="G108" s="7">
        <v>1</v>
      </c>
      <c r="H108" s="21" t="s">
        <v>551</v>
      </c>
      <c r="I108" s="13">
        <v>42829.672071759262</v>
      </c>
      <c r="J108" s="7">
        <v>0</v>
      </c>
      <c r="K108" s="97" t="str">
        <f>IF(ISEVEN(B108),(B108-1)&amp;"/"&amp;B108,B108&amp;"/"&amp;(B108+1))</f>
        <v>4013/4014</v>
      </c>
      <c r="L108" s="21" t="str">
        <f>VLOOKUP(A108,'Trips&amp;Operators'!$C$1:$G$99999,5,FALSE)</f>
        <v>LOCKLEAR TRAVIS</v>
      </c>
      <c r="M108" s="6">
        <f>I108-F108</f>
        <v>2.567129630187992E-2</v>
      </c>
      <c r="N108" s="7">
        <f>24*60*SUM($M108:$M108)</f>
        <v>36.966666674707085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-04T14:26:35-0600',mode:absolute,to:'2017-04-04T17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83" t="str">
        <f>IF(AA108&lt;IF(AG108="EC",23,5.65),"Y","N")</f>
        <v>N</v>
      </c>
      <c r="X108" s="183">
        <f>VALUE(LEFT(AD108,4))-VALUE(LEFT(AD107,4))</f>
        <v>1</v>
      </c>
      <c r="Y108" s="62">
        <f>RIGHT(D108,LEN(D108)-4)/10000</f>
        <v>4.53E-2</v>
      </c>
      <c r="Z108" s="62">
        <f>RIGHT(H108,LEN(H108)-4)/10000</f>
        <v>23.3338</v>
      </c>
      <c r="AA108" s="62">
        <f>ABS(Z108-Y108)</f>
        <v>23.288499999999999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0195-04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/stypes="app*4014*20170404*" /stext=" 22:.+((SYSTEM_STATE.+slice.+state.+changed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9"/>
        <v>"%USERPROFILE%\Documents\GitHub\eaglep3\Utilities\RefineRTDCRunTimes.py" --tripid 195-04 --locoid 4014 --swversion DE.1.0.9.0 --startMP 204:453 --initTime 2017-04-04T15:26:35 --startdatetime 2017-04-04T15:30:49 --delay 1 --endMP 204:233338 --enddatetime 2017-04-04T16:07:47 --enforcementcount 0 &gt;&gt;C:\Users\stu\Documents\GitHub\eaglep3-reporting\EC\2017-04-04-refined-times.txt</v>
      </c>
      <c r="AI108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{"issue":{"subject":"","project_id":79,"tracker_id":40,"status_id":1,"priority_id":2,"assigned_to_id":23,"start_date":"2017-04-04","description":"","custom_fields":[{"id":1,"name":"Subdivision","value":"EC"},{"id":4,"name":"Milepost","value":"23.3338"},{"id":17,"name":"Train ID","value":"195-04"},{"id":16,"name":"Locomotive ID","value":"4014"},{"id":130,"name":"Impact","value":""},{"id":150,"name":"Time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11"/>
        <v>start /low /b %USERPROFILE%\Documents\GitHub\eaglep3\Utilities\DownloadLogsFromS3.py --loco 4014 --day 2017-04-04</v>
      </c>
      <c r="AN108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760</v>
      </c>
      <c r="B109" s="7">
        <v>4013</v>
      </c>
      <c r="C109" s="21" t="s">
        <v>217</v>
      </c>
      <c r="D109" s="21" t="s">
        <v>889</v>
      </c>
      <c r="E109" s="13">
        <v>42829.679918981485</v>
      </c>
      <c r="F109" s="13">
        <v>42829.684976851851</v>
      </c>
      <c r="G109" s="7">
        <v>1</v>
      </c>
      <c r="H109" s="21" t="s">
        <v>842</v>
      </c>
      <c r="I109" s="13">
        <v>42829.713969907411</v>
      </c>
      <c r="J109" s="7">
        <v>0</v>
      </c>
      <c r="K109" s="97" t="str">
        <f>IF(ISEVEN(B109),(B109-1)&amp;"/"&amp;B109,B109&amp;"/"&amp;(B109+1))</f>
        <v>4013/4014</v>
      </c>
      <c r="L109" s="21" t="str">
        <f>VLOOKUP(A109,'Trips&amp;Operators'!$C$1:$G$99999,5,FALSE)</f>
        <v>LOCKLEAR TRAVIS</v>
      </c>
      <c r="M109" s="6">
        <f>I109-F109</f>
        <v>2.899305555911269E-2</v>
      </c>
      <c r="N109" s="7">
        <f>24*60*SUM($M109:$M109)</f>
        <v>41.750000005122274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-04T15:19:05-0600',mode:absolute,to:'2017-04-04T18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83" t="str">
        <f>IF(AA109&lt;IF(AG109="EC",23,5.65),"Y","N")</f>
        <v>N</v>
      </c>
      <c r="X109" s="183">
        <f>VALUE(LEFT(AD109,4))-VALUE(LEFT(AD108,4))</f>
        <v>1</v>
      </c>
      <c r="Y109" s="62">
        <f>RIGHT(D109,LEN(D109)-4)/10000</f>
        <v>23.305099999999999</v>
      </c>
      <c r="Z109" s="62">
        <f>RIGHT(H109,LEN(H109)-4)/10000</f>
        <v>1.32E-2</v>
      </c>
      <c r="AA109" s="62">
        <f>ABS(Z109-Y109)</f>
        <v>23.291899999999998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0196-04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/stypes="app*4013*20170404*" /stext=" 23:.+((SYSTEM_STATE.+slice.+state.+changed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9"/>
        <v>"%USERPROFILE%\Documents\GitHub\eaglep3\Utilities\RefineRTDCRunTimes.py" --tripid 196-04 --locoid 4013 --swversion DE.1.0.9.0 --startMP 204:233051 --initTime 2017-04-04T16:19:05 --startdatetime 2017-04-04T16:26:22 --delay 1 --endMP 204:132 --enddatetime 2017-04-04T17:08:07 --enforcementcount 0 &gt;&gt;C:\Users\stu\Documents\GitHub\eaglep3-reporting\EC\2017-04-04-refined-times.txt</v>
      </c>
      <c r="AI109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ID","value":"196-04"},{"id":16,"name":"Locomotive ID","value":"4013"},{"id":130,"name":"Impact","value":""},{"id":150,"name":"Time of Event (Mountain Time)","value":"17:08:07"},{"id":151,"name":"Denver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11"/>
        <v>start /low /b %USERPROFILE%\Documents\GitHub\eaglep3\Utilities\DownloadLogsFromS3.py --loco 4013 --day 2017-04-04</v>
      </c>
      <c r="AN109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612</v>
      </c>
      <c r="B110" s="7">
        <v>4054</v>
      </c>
      <c r="C110" s="21" t="s">
        <v>217</v>
      </c>
      <c r="D110" s="21" t="s">
        <v>890</v>
      </c>
      <c r="E110" s="13">
        <v>42829.655312499999</v>
      </c>
      <c r="F110" s="13">
        <v>42829.657129629632</v>
      </c>
      <c r="G110" s="7">
        <v>1</v>
      </c>
      <c r="H110" s="21" t="s">
        <v>376</v>
      </c>
      <c r="I110" s="13">
        <v>42829.68546296296</v>
      </c>
      <c r="J110" s="7">
        <v>0</v>
      </c>
      <c r="K110" s="97" t="str">
        <f>IF(ISEVEN(B110),(B110-1)&amp;"/"&amp;B110,B110&amp;"/"&amp;(B110+1))</f>
        <v>4053/4054</v>
      </c>
      <c r="L110" s="21" t="str">
        <f>VLOOKUP(A110,'Trips&amp;Operators'!$C$1:$G$99999,5,FALSE)</f>
        <v>WILLIAMS DONTE</v>
      </c>
      <c r="M110" s="6">
        <f>I110-F110</f>
        <v>2.8333333328191657E-2</v>
      </c>
      <c r="N110" s="7">
        <f>24*60*SUM($M110:$M110)</f>
        <v>40.799999992595986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183" t="str">
        <f>IF(AA110&lt;IF(AG110="EC",23,5.65),"Y","N")</f>
        <v>N</v>
      </c>
      <c r="X110" s="183">
        <f>VALUE(LEFT(AD110,4))-VALUE(LEFT(AD109,4))</f>
        <v>1</v>
      </c>
      <c r="Y110" s="62">
        <f>RIGHT(D110,LEN(D110)-4)/10000</f>
        <v>3.9300000000000002E-2</v>
      </c>
      <c r="Z110" s="62">
        <f>RIGHT(H110,LEN(H110)-4)/10000</f>
        <v>23.3293</v>
      </c>
      <c r="AA110" s="62">
        <f>ABS(Z110-Y110)</f>
        <v>23.29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0197-04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/stypes="app*4054*20170404*" /stext=" 22:.+((SYSTEM_STATE.+slice.+state.+changed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9"/>
        <v>"%USERPROFILE%\Documents\GitHub\eaglep3\Utilities\RefineRTDCRunTimes.py" --tripid 197-04 --locoid 4054 --swversion DE.1.0.9.0 --startMP 204:393 --initTime 2017-04-04T15:43:39 --startdatetime 2017-04-04T15:46:16 --delay 1 --endMP 204:233293 --enddatetime 2017-04-04T16:27:04 --enforcementcount 0 &gt;&gt;C:\Users\stu\Documents\GitHub\eaglep3-reporting\EC\2017-04-04-refined-times.txt</v>
      </c>
      <c r="AI110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{"issue":{"subject":"","project_id":79,"tracker_id":40,"status_id":1,"priority_id":2,"assigned_to_id":23,"start_date":"2017-04-04","description":"","custom_fields":[{"id":1,"name":"Subdivision","value":"EC"},{"id":4,"name":"Milepost","value":"23.3293"},{"id":17,"name":"Train ID","value":"197-04"},{"id":16,"name":"Locomotive ID","value":"4054"},{"id":130,"name":"Impact","value":""},{"id":150,"name":"Time of Event (Mountain Time)","value":"16:27:04"},{"id":151,"name":"Denver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11"/>
        <v>start /low /b %USERPROFILE%\Documents\GitHub\eaglep3\Utilities\DownloadLogsFromS3.py --loco 4054 --day 2017-04-04</v>
      </c>
      <c r="AN110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615</v>
      </c>
      <c r="B111" s="7">
        <v>4053</v>
      </c>
      <c r="C111" s="21" t="s">
        <v>217</v>
      </c>
      <c r="D111" s="21" t="s">
        <v>529</v>
      </c>
      <c r="E111" s="13">
        <v>42829.692511574074</v>
      </c>
      <c r="F111" s="13">
        <v>42829.695520833331</v>
      </c>
      <c r="G111" s="7">
        <v>1</v>
      </c>
      <c r="H111" s="21" t="s">
        <v>425</v>
      </c>
      <c r="I111" s="13">
        <v>42829.725081018521</v>
      </c>
      <c r="J111" s="7">
        <v>0</v>
      </c>
      <c r="K111" s="97" t="str">
        <f>IF(ISEVEN(B111),(B111-1)&amp;"/"&amp;B111,B111&amp;"/"&amp;(B111+1))</f>
        <v>4053/4054</v>
      </c>
      <c r="L111" s="21" t="str">
        <f>VLOOKUP(A111,'Trips&amp;Operators'!$C$1:$G$99999,5,FALSE)</f>
        <v>WILLIAMS DONTE</v>
      </c>
      <c r="M111" s="6">
        <f>I111-F111</f>
        <v>2.956018519034842E-2</v>
      </c>
      <c r="N111" s="7">
        <f>24*60*SUM($M111:$M111)</f>
        <v>42.566666674101725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183" t="str">
        <f>IF(AA111&lt;IF(AG111="EC",23,5.65),"Y","N")</f>
        <v>N</v>
      </c>
      <c r="X111" s="183">
        <f>VALUE(LEFT(AD111,4))-VALUE(LEFT(AD110,4))</f>
        <v>1</v>
      </c>
      <c r="Y111" s="62">
        <f>RIGHT(D111,LEN(D111)-4)/10000</f>
        <v>23.2971</v>
      </c>
      <c r="Z111" s="62">
        <f>RIGHT(H111,LEN(H111)-4)/10000</f>
        <v>1.41E-2</v>
      </c>
      <c r="AA111" s="62">
        <f>ABS(Z111-Y111)</f>
        <v>23.283000000000001</v>
      </c>
      <c r="AB111" s="59" t="str">
        <f>VLOOKUP(A111,Enforcements!$C$7:$K$13,8,0)</f>
        <v>Bulletin (2)</v>
      </c>
      <c r="AC111" s="55" t="str">
        <f>VLOOKUP(A111,Enforcements!$C$7:$E$13,3,0)</f>
        <v>GRADE CROSSING</v>
      </c>
      <c r="AD111" s="56" t="str">
        <f>IF(LEN(A111)=6,"0"&amp;A111,A111)</f>
        <v>0198-04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/stypes="app*4053*20170404*" /stext=" 23:.+((SYSTEM_STATE.+slice.+state.+changed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9"/>
        <v>"%USERPROFILE%\Documents\GitHub\eaglep3\Utilities\RefineRTDCRunTimes.py" --tripid 198-04 --locoid 4053 --swversion DE.1.0.9.0 --startMP 204:232971 --initTime 2017-04-04T16:37:13 --startdatetime 2017-04-04T16:41:33 --delay 1 --endMP 204:141 --enddatetime 2017-04-04T17:24:07 --enforcementcount 0 &gt;&gt;C:\Users\stu\Documents\GitHub\eaglep3-reporting\EC\2017-04-04-refined-times.txt</v>
      </c>
      <c r="AI111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ID","value":"198-04"},{"id":16,"name":"Locomotive ID","value":"4053"},{"id":130,"name":"Impact","value":""},{"id":150,"name":"Time of Event (Mountain Time)","value":"17:24:07"},{"id":151,"name":"Denver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11"/>
        <v>start /low /b %USERPROFILE%\Documents\GitHub\eaglep3\Utilities\DownloadLogsFromS3.py --loco 4053 --day 2017-04-04</v>
      </c>
      <c r="AN111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755</v>
      </c>
      <c r="B112" s="7">
        <v>4004</v>
      </c>
      <c r="C112" s="21" t="s">
        <v>217</v>
      </c>
      <c r="D112" s="21" t="s">
        <v>435</v>
      </c>
      <c r="E112" s="13">
        <v>42829.663923611108</v>
      </c>
      <c r="F112" s="13">
        <v>42829.666886574072</v>
      </c>
      <c r="G112" s="7">
        <v>1</v>
      </c>
      <c r="H112" s="21" t="s">
        <v>891</v>
      </c>
      <c r="I112" s="13">
        <v>42829.693726851852</v>
      </c>
      <c r="J112" s="7">
        <v>0</v>
      </c>
      <c r="K112" s="97" t="str">
        <f>IF(ISEVEN(B112),(B112-1)&amp;"/"&amp;B112,B112&amp;"/"&amp;(B112+1))</f>
        <v>4003/4004</v>
      </c>
      <c r="L112" s="21" t="str">
        <f>VLOOKUP(A112,'Trips&amp;Operators'!$C$1:$G$99999,5,FALSE)</f>
        <v>STRICKLAND EVAN</v>
      </c>
      <c r="M112" s="6">
        <f>I112-F112</f>
        <v>2.6840277780138422E-2</v>
      </c>
      <c r="N112" s="7">
        <f>24*60*SUM($M112:$M112)</f>
        <v>38.650000003399327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-04T14:56:03-0600',mode:absolute,to:'2017-04-04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183" t="str">
        <f>IF(AA112&lt;IF(AG112="EC",23,5.65),"Y","N")</f>
        <v>N</v>
      </c>
      <c r="X112" s="183">
        <f>VALUE(LEFT(AD112,4))-VALUE(LEFT(AD111,4))</f>
        <v>1</v>
      </c>
      <c r="Y112" s="62">
        <f>RIGHT(D112,LEN(D112)-4)/10000</f>
        <v>4.6199999999999998E-2</v>
      </c>
      <c r="Z112" s="62">
        <f>RIGHT(H112,LEN(H112)-4)/10000</f>
        <v>23.335699999999999</v>
      </c>
      <c r="AA112" s="62">
        <f>ABS(Z112-Y112)</f>
        <v>23.2895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0199-04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/stypes="app*4004*20170404*" /stext=" 22:.+((SYSTEM_STATE.+slice.+state.+changed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9"/>
        <v>"%USERPROFILE%\Documents\GitHub\eaglep3\Utilities\RefineRTDCRunTimes.py" --tripid 199-04 --locoid 4004 --swversion DE.1.0.9.0 --startMP 204:462 --initTime 2017-04-04T15:56:03 --startdatetime 2017-04-04T16:00:19 --delay 1 --endMP 204:233357 --enddatetime 2017-04-04T16:38:58 --enforcementcount 0 &gt;&gt;C:\Users\stu\Documents\GitHub\eaglep3-reporting\EC\2017-04-04-refined-times.txt</v>
      </c>
      <c r="AI112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{"issue":{"subject":"","project_id":79,"tracker_id":40,"status_id":1,"priority_id":2,"assigned_to_id":23,"start_date":"2017-04-04","description":"","custom_fields":[{"id":1,"name":"Subdivision","value":"EC"},{"id":4,"name":"Milepost","value":"23.3357"},{"id":17,"name":"Train ID","value":"199-04"},{"id":16,"name":"Locomotive ID","value":"4004"},{"id":130,"name":"Impact","value":""},{"id":150,"name":"Time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11"/>
        <v>start /low /b %USERPROFILE%\Documents\GitHub\eaglep3\Utilities\DownloadLogsFromS3.py --loco 4004 --day 2017-04-04</v>
      </c>
      <c r="AN112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762</v>
      </c>
      <c r="B113" s="7">
        <v>4003</v>
      </c>
      <c r="C113" s="21" t="s">
        <v>217</v>
      </c>
      <c r="D113" s="21" t="s">
        <v>539</v>
      </c>
      <c r="E113" s="13">
        <v>42829.695289351854</v>
      </c>
      <c r="F113" s="13">
        <v>42829.705891203703</v>
      </c>
      <c r="G113" s="7">
        <v>1</v>
      </c>
      <c r="H113" s="21" t="s">
        <v>184</v>
      </c>
      <c r="I113" s="13">
        <v>42829.733055555553</v>
      </c>
      <c r="J113" s="7">
        <v>0</v>
      </c>
      <c r="K113" s="97" t="str">
        <f>IF(ISEVEN(B113),(B113-1)&amp;"/"&amp;B113,B113&amp;"/"&amp;(B113+1))</f>
        <v>4003/4004</v>
      </c>
      <c r="L113" s="21" t="str">
        <f>VLOOKUP(A113,'Trips&amp;Operators'!$C$1:$G$99999,5,FALSE)</f>
        <v>STRICKLAND EVAN</v>
      </c>
      <c r="M113" s="6">
        <f>I113-F113</f>
        <v>2.7164351849933155E-2</v>
      </c>
      <c r="N113" s="7">
        <f>24*60*SUM($M113:$M113)</f>
        <v>39.116666663903743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-04T15:41:13-0600',mode:absolute,to:'2017-04-04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3" t="str">
        <f>IF(AA113&lt;IF(AG113="EC",23,5.65),"Y","N")</f>
        <v>N</v>
      </c>
      <c r="X113" s="183">
        <f>VALUE(LEFT(AD113,4))-VALUE(LEFT(AD112,4))</f>
        <v>1</v>
      </c>
      <c r="Y113" s="62">
        <f>RIGHT(D113,LEN(D113)-4)/10000</f>
        <v>23.303999999999998</v>
      </c>
      <c r="Z113" s="62">
        <f>RIGHT(H113,LEN(H113)-4)/10000</f>
        <v>1.49E-2</v>
      </c>
      <c r="AA113" s="62">
        <f>ABS(Z113-Y113)</f>
        <v>23.289099999999998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0200-04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/stypes="app*4003*20170404*" /stext=" 23:.+((SYSTEM_STATE.+slice.+state.+changed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9"/>
        <v>"%USERPROFILE%\Documents\GitHub\eaglep3\Utilities\RefineRTDCRunTimes.py" --tripid 200-04 --locoid 4003 --swversion DE.1.0.9.0 --startMP 204:233040 --initTime 2017-04-04T16:41:13 --startdatetime 2017-04-04T16:56:29 --delay 1 --endMP 204:149 --enddatetime 2017-04-04T17:35:36 --enforcementcount 0 &gt;&gt;C:\Users\stu\Documents\GitHub\eaglep3-reporting\EC\2017-04-04-refined-times.txt</v>
      </c>
      <c r="AI113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ID","value":"200-04"},{"id":16,"name":"Locomotive ID","value":"4003"},{"id":130,"name":"Impact","value":""},{"id":150,"name":"Time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11"/>
        <v>start /low /b %USERPROFILE%\Documents\GitHub\eaglep3\Utilities\DownloadLogsFromS3.py --loco 4003 --day 2017-04-04</v>
      </c>
      <c r="AN113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758</v>
      </c>
      <c r="B114" s="7">
        <v>4032</v>
      </c>
      <c r="C114" s="21" t="s">
        <v>217</v>
      </c>
      <c r="D114" s="21" t="s">
        <v>458</v>
      </c>
      <c r="E114" s="13">
        <v>42829.675740740742</v>
      </c>
      <c r="F114" s="13">
        <v>42829.677523148152</v>
      </c>
      <c r="G114" s="7">
        <v>1</v>
      </c>
      <c r="H114" s="21" t="s">
        <v>840</v>
      </c>
      <c r="I114" s="13">
        <v>42829.705289351848</v>
      </c>
      <c r="J114" s="7">
        <v>0</v>
      </c>
      <c r="K114" s="97" t="str">
        <f>IF(ISEVEN(B114),(B114-1)&amp;"/"&amp;B114,B114&amp;"/"&amp;(B114+1))</f>
        <v>4031/4032</v>
      </c>
      <c r="L114" s="21" t="str">
        <f>VLOOKUP(A114,'Trips&amp;Operators'!$C$1:$G$99999,5,FALSE)</f>
        <v>DAVIS MICHAEL</v>
      </c>
      <c r="M114" s="6">
        <f>I114-F114</f>
        <v>2.7766203696955927E-2</v>
      </c>
      <c r="N114" s="7">
        <f>24*60*SUM($M114:$M114)</f>
        <v>39.983333323616534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-04T15:13:04-0600',mode:absolute,to:'2017-04-04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83" t="str">
        <f>IF(AA114&lt;IF(AG114="EC",23,5.65),"Y","N")</f>
        <v>N</v>
      </c>
      <c r="X114" s="183">
        <f>VALUE(LEFT(AD114,4))-VALUE(LEFT(AD113,4))</f>
        <v>1</v>
      </c>
      <c r="Y114" s="62">
        <f>RIGHT(D114,LEN(D114)-4)/10000</f>
        <v>4.7100000000000003E-2</v>
      </c>
      <c r="Z114" s="62">
        <f>RIGHT(H114,LEN(H114)-4)/10000</f>
        <v>23.333200000000001</v>
      </c>
      <c r="AA114" s="62">
        <f>ABS(Z114-Y114)</f>
        <v>23.286100000000001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0201-04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/stypes="app*4032*20170404*" /stext=" 22:.+((SYSTEM_STATE.+slice.+state.+changed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9"/>
        <v>"%USERPROFILE%\Documents\GitHub\eaglep3\Utilities\RefineRTDCRunTimes.py" --tripid 201-04 --locoid 4032 --swversion DE.1.0.9.0 --startMP 204:471 --initTime 2017-04-04T16:13:04 --startdatetime 2017-04-04T16:15:38 --delay 1 --endMP 204:233332 --enddatetime 2017-04-04T16:55:37 --enforcementcount 0 &gt;&gt;C:\Users\stu\Documents\GitHub\eaglep3-reporting\EC\2017-04-04-refined-times.txt</v>
      </c>
      <c r="AI114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ID","value":"201-04"},{"id":16,"name":"Locomotive ID","value":"4032"},{"id":130,"name":"Impact","value":""},{"id":150,"name":"Time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11"/>
        <v>start /low /b %USERPROFILE%\Documents\GitHub\eaglep3\Utilities\DownloadLogsFromS3.py --loco 4032 --day 2017-04-04</v>
      </c>
      <c r="AN114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616</v>
      </c>
      <c r="B115" s="7">
        <v>4031</v>
      </c>
      <c r="C115" s="21" t="s">
        <v>217</v>
      </c>
      <c r="D115" s="21" t="s">
        <v>540</v>
      </c>
      <c r="E115" s="13">
        <v>42829.712847222225</v>
      </c>
      <c r="F115" s="13">
        <v>42829.718148148146</v>
      </c>
      <c r="G115" s="7">
        <v>1</v>
      </c>
      <c r="H115" s="21" t="s">
        <v>892</v>
      </c>
      <c r="I115" s="13">
        <v>42829.745844907404</v>
      </c>
      <c r="J115" s="7">
        <v>0</v>
      </c>
      <c r="K115" s="97" t="str">
        <f>IF(ISEVEN(B115),(B115-1)&amp;"/"&amp;B115,B115&amp;"/"&amp;(B115+1))</f>
        <v>4031/4032</v>
      </c>
      <c r="L115" s="21" t="str">
        <f>VLOOKUP(A115,'Trips&amp;Operators'!$C$1:$G$99999,5,FALSE)</f>
        <v>DAVIS MICHAEL</v>
      </c>
      <c r="M115" s="6">
        <f>I115-F115</f>
        <v>2.7696759258105885E-2</v>
      </c>
      <c r="N115" s="7">
        <f>24*60*SUM($M115:$M115)</f>
        <v>39.883333331672475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83" t="str">
        <f>IF(AA115&lt;IF(AG115="EC",23,5.65),"Y","N")</f>
        <v>N</v>
      </c>
      <c r="X115" s="183">
        <f>VALUE(LEFT(AD115,4))-VALUE(LEFT(AD114,4))</f>
        <v>1</v>
      </c>
      <c r="Y115" s="62">
        <f>RIGHT(D115,LEN(D115)-4)/10000</f>
        <v>23.3003</v>
      </c>
      <c r="Z115" s="62">
        <f>RIGHT(H115,LEN(H115)-4)/10000</f>
        <v>2.12E-2</v>
      </c>
      <c r="AA115" s="62">
        <f>ABS(Z115-Y115)</f>
        <v>23.2791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0202-04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/stypes="app*4031*20170404*" /stext=" 23:.+((SYSTEM_STATE.+slice.+state.+changed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9"/>
        <v>"%USERPROFILE%\Documents\GitHub\eaglep3\Utilities\RefineRTDCRunTimes.py" --tripid 202-04 --locoid 4031 --swversion DE.1.0.9.0 --startMP 204:233003 --initTime 2017-04-04T17:06:30 --startdatetime 2017-04-04T17:14:08 --delay 1 --endMP 204:212 --enddatetime 2017-04-04T17:54:01 --enforcementcount 0 &gt;&gt;C:\Users\stu\Documents\GitHub\eaglep3-reporting\EC\2017-04-04-refined-times.txt</v>
      </c>
      <c r="AI115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{"issue":{"subject":"","project_id":79,"tracker_id":40,"status_id":1,"priority_id":2,"assigned_to_id":23,"start_date":"2017-04-04","description":"","custom_fields":[{"id":1,"name":"Subdivision","value":"EC"},{"id":4,"name":"Milepost","value":"0.0212"},{"id":17,"name":"Train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11"/>
        <v>start /low /b %USERPROFILE%\Documents\GitHub\eaglep3\Utilities\DownloadLogsFromS3.py --loco 4031 --day 2017-04-04</v>
      </c>
      <c r="AN115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614</v>
      </c>
      <c r="B116" s="7">
        <v>4010</v>
      </c>
      <c r="C116" s="21" t="s">
        <v>217</v>
      </c>
      <c r="D116" s="21" t="s">
        <v>387</v>
      </c>
      <c r="E116" s="13">
        <v>42829.684421296297</v>
      </c>
      <c r="F116" s="13">
        <v>42829.687789351854</v>
      </c>
      <c r="G116" s="7">
        <v>2</v>
      </c>
      <c r="H116" s="21" t="s">
        <v>537</v>
      </c>
      <c r="I116" s="13">
        <v>42829.713055555556</v>
      </c>
      <c r="J116" s="7">
        <v>0</v>
      </c>
      <c r="K116" s="97" t="str">
        <f>IF(ISEVEN(B116),(B116-1)&amp;"/"&amp;B116,B116&amp;"/"&amp;(B116+1))</f>
        <v>4009/4010</v>
      </c>
      <c r="L116" s="21" t="str">
        <f>VLOOKUP(A116,'Trips&amp;Operators'!$C$1:$G$99999,5,FALSE)</f>
        <v>STEWART MICHAEL</v>
      </c>
      <c r="M116" s="6">
        <f>I116-F116</f>
        <v>2.5266203701903578E-2</v>
      </c>
      <c r="N116" s="7">
        <f>24*60*SUM($M116:$M116)</f>
        <v>36.383333330741152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183" t="str">
        <f>IF(AA116&lt;IF(AG116="EC",23,5.65),"Y","N")</f>
        <v>N</v>
      </c>
      <c r="X116" s="183">
        <f>VALUE(LEFT(AD116,4))-VALUE(LEFT(AD115,4))</f>
        <v>1</v>
      </c>
      <c r="Y116" s="62">
        <f>RIGHT(D116,LEN(D116)-4)/10000</f>
        <v>4.7300000000000002E-2</v>
      </c>
      <c r="Z116" s="62">
        <f>RIGHT(H116,LEN(H116)-4)/10000</f>
        <v>23.296399999999998</v>
      </c>
      <c r="AA116" s="62">
        <f>ABS(Z116-Y116)</f>
        <v>23.249099999999999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0203-04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/stypes="app*4010*20170404*" /stext=" 23:.+((SYSTEM_STATE.+slice.+state.+changed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9"/>
        <v>"%USERPROFILE%\Documents\GitHub\eaglep3\Utilities\RefineRTDCRunTimes.py" --tripid 203-04 --locoid 4010 --swversion DE.1.0.9.0 --startMP 204:473 --initTime 2017-04-04T16:25:34 --startdatetime 2017-04-04T16:30:25 --delay 2 --endMP 204:232964 --enddatetime 2017-04-04T17:06:48 --enforcementcount 0 &gt;&gt;C:\Users\stu\Documents\GitHub\eaglep3-reporting\EC\2017-04-04-refined-times.txt</v>
      </c>
      <c r="AI116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{"issue":{"subject":"","project_id":79,"tracker_id":40,"status_id":1,"priority_id":2,"assigned_to_id":23,"start_date":"2017-04-04","description":"","custom_fields":[{"id":1,"name":"Subdivision","value":"EC"},{"id":4,"name":"Milepost","value":"23.2964"},{"id":17,"name":"Train ID","value":"203-04"},{"id":16,"name":"Locomotive ID","value":"4010"},{"id":130,"name":"Impact","value":""},{"id":150,"name":"Time of Event (Mountain Time)","value":"17:06:48"},{"id":151,"name":"Denver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11"/>
        <v>start /low /b %USERPROFILE%\Documents\GitHub\eaglep3\Utilities\DownloadLogsFromS3.py --loco 4010 --day 2017-04-04</v>
      </c>
      <c r="AN116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768</v>
      </c>
      <c r="B117" s="7">
        <v>4009</v>
      </c>
      <c r="C117" s="21" t="s">
        <v>217</v>
      </c>
      <c r="D117" s="21" t="s">
        <v>543</v>
      </c>
      <c r="E117" s="13">
        <v>42829.723263888889</v>
      </c>
      <c r="F117" s="13">
        <v>42829.726689814815</v>
      </c>
      <c r="G117" s="7">
        <v>3</v>
      </c>
      <c r="H117" s="21" t="s">
        <v>199</v>
      </c>
      <c r="I117" s="13">
        <v>42829.755243055559</v>
      </c>
      <c r="J117" s="7">
        <v>0</v>
      </c>
      <c r="K117" s="97" t="str">
        <f>IF(ISEVEN(B117),(B117-1)&amp;"/"&amp;B117,B117&amp;"/"&amp;(B117+1))</f>
        <v>4009/4010</v>
      </c>
      <c r="L117" s="21" t="str">
        <f>VLOOKUP(A117,'Trips&amp;Operators'!$C$1:$G$99999,5,FALSE)</f>
        <v>STEWART MICHAEL</v>
      </c>
      <c r="M117" s="6">
        <f>I117-F117</f>
        <v>2.8553240743349306E-2</v>
      </c>
      <c r="N117" s="7">
        <f>24*60*SUM($M117:$M117)</f>
        <v>41.116666670423001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-04T16:21:30-0600',mode:absolute,to:'2017-04-04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183" t="str">
        <f>IF(AA117&lt;IF(AG117="EC",23,5.65),"Y","N")</f>
        <v>N</v>
      </c>
      <c r="X117" s="183">
        <f>VALUE(LEFT(AD117,4))-VALUE(LEFT(AD116,4))</f>
        <v>1</v>
      </c>
      <c r="Y117" s="62">
        <f>RIGHT(D117,LEN(D117)-4)/10000</f>
        <v>23.296600000000002</v>
      </c>
      <c r="Z117" s="62">
        <f>RIGHT(H117,LEN(H117)-4)/10000</f>
        <v>1.52E-2</v>
      </c>
      <c r="AA117" s="62">
        <f>ABS(Z117-Y117)</f>
        <v>23.281400000000001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0204-04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/stypes="app*4009*20170405*" /stext=" 00:.+((SYSTEM_STATE.+slice.+state.+changed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9"/>
        <v>"%USERPROFILE%\Documents\GitHub\eaglep3\Utilities\RefineRTDCRunTimes.py" --tripid 204-04 --locoid 4009 --swversion DE.1.0.9.0 --startMP 204:232966 --initTime 2017-04-04T17:21:30 --startdatetime 2017-04-04T17:26:26 --delay 3 --endMP 204:152 --enddatetime 2017-04-04T18:07:33 --enforcementcount 0 &gt;&gt;C:\Users\stu\Documents\GitHub\eaglep3-reporting\EC\2017-04-04-refined-times.txt</v>
      </c>
      <c r="AI117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ID","value":"204-04"},{"id":16,"name":"Locomotive ID","value":"4009"},{"id":130,"name":"Impact","value":""},{"id":150,"name":"Time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11"/>
        <v>start /low /b %USERPROFILE%\Documents\GitHub\eaglep3\Utilities\DownloadLogsFromS3.py --loco 4009 --day 2017-04-04</v>
      </c>
      <c r="AN117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763</v>
      </c>
      <c r="B118" s="7">
        <v>4046</v>
      </c>
      <c r="C118" s="21" t="s">
        <v>217</v>
      </c>
      <c r="D118" s="21" t="s">
        <v>850</v>
      </c>
      <c r="E118" s="13">
        <v>42829.695891203701</v>
      </c>
      <c r="F118" s="13">
        <v>42829.69809027778</v>
      </c>
      <c r="G118" s="7">
        <v>1</v>
      </c>
      <c r="H118" s="21" t="s">
        <v>418</v>
      </c>
      <c r="I118" s="13">
        <v>42829.724930555552</v>
      </c>
      <c r="J118" s="7">
        <v>0</v>
      </c>
      <c r="K118" s="97" t="str">
        <f>IF(ISEVEN(B118),(B118-1)&amp;"/"&amp;B118,B118&amp;"/"&amp;(B118+1))</f>
        <v>4045/4046</v>
      </c>
      <c r="L118" s="21" t="str">
        <f>VLOOKUP(A118,'Trips&amp;Operators'!$C$1:$G$99999,5,FALSE)</f>
        <v>LEVERE CRAIG</v>
      </c>
      <c r="M118" s="6">
        <f>I118-F118</f>
        <v>2.6840277772862464E-2</v>
      </c>
      <c r="N118" s="7">
        <f>24*60*SUM($M118:$M118)</f>
        <v>38.649999992921948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-04T15:42:05-0600',mode:absolute,to:'2017-04-04T18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83" t="str">
        <f>IF(AA118&lt;IF(AG118="EC",23,5.65),"Y","N")</f>
        <v>N</v>
      </c>
      <c r="X118" s="183">
        <f>VALUE(LEFT(AD118,4))-VALUE(LEFT(AD117,4))</f>
        <v>1</v>
      </c>
      <c r="Y118" s="62">
        <f>RIGHT(D118,LEN(D118)-4)/10000</f>
        <v>4.3499999999999997E-2</v>
      </c>
      <c r="Z118" s="62">
        <f>RIGHT(H118,LEN(H118)-4)/10000</f>
        <v>23.329499999999999</v>
      </c>
      <c r="AA118" s="62">
        <f>ABS(Z118-Y118)</f>
        <v>23.285999999999998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0205-04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/stypes="app*4046*20170404*" /stext=" 23:.+((SYSTEM_STATE.+slice.+state.+changed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9"/>
        <v>"%USERPROFILE%\Documents\GitHub\eaglep3\Utilities\RefineRTDCRunTimes.py" --tripid 205-04 --locoid 4046 --swversion DE.1.0.9.0 --startMP 204:435 --initTime 2017-04-04T16:42:05 --startdatetime 2017-04-04T16:45:15 --delay 1 --endMP 204:233295 --enddatetime 2017-04-04T17:23:54 --enforcementcount 0 &gt;&gt;C:\Users\stu\Documents\GitHub\eaglep3-reporting\EC\2017-04-04-refined-times.txt</v>
      </c>
      <c r="AI118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ID","value":"205-04"},{"id":16,"name":"Locomotive ID","value":"4046"},{"id":130,"name":"Impact","value":""},{"id":150,"name":"Time of Event (Mountain Time)","value":"17:23:54"},{"id":151,"name":"Denver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11"/>
        <v>start /low /b %USERPROFILE%\Documents\GitHub\eaglep3\Utilities\DownloadLogsFromS3.py --loco 4046 --day 2017-04-04</v>
      </c>
      <c r="AN118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772</v>
      </c>
      <c r="B119" s="7">
        <v>4045</v>
      </c>
      <c r="C119" s="21" t="s">
        <v>217</v>
      </c>
      <c r="D119" s="21" t="s">
        <v>436</v>
      </c>
      <c r="E119" s="13">
        <v>42829.729502314818</v>
      </c>
      <c r="F119" s="13">
        <v>42829.736990740741</v>
      </c>
      <c r="G119" s="7">
        <v>1</v>
      </c>
      <c r="H119" s="21" t="s">
        <v>205</v>
      </c>
      <c r="I119" s="13">
        <v>42829.765706018516</v>
      </c>
      <c r="J119" s="7">
        <v>0</v>
      </c>
      <c r="K119" s="97" t="str">
        <f>IF(ISEVEN(B119),(B119-1)&amp;"/"&amp;B119,B119&amp;"/"&amp;(B119+1))</f>
        <v>4045/4046</v>
      </c>
      <c r="L119" s="21" t="str">
        <f>VLOOKUP(A119,'Trips&amp;Operators'!$C$1:$G$99999,5,FALSE)</f>
        <v>LEVERE CRAIG</v>
      </c>
      <c r="M119" s="6">
        <f>I119-F119</f>
        <v>2.8715277774608694E-2</v>
      </c>
      <c r="N119" s="7">
        <f>24*60*SUM($M119:$M119)</f>
        <v>41.349999995436519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83" t="str">
        <f>IF(AA119&lt;IF(AG119="EC",23,5.65),"Y","N")</f>
        <v>N</v>
      </c>
      <c r="X119" s="183">
        <f>VALUE(LEFT(AD119,4))-VALUE(LEFT(AD118,4))</f>
        <v>1</v>
      </c>
      <c r="Y119" s="62">
        <f>RIGHT(D119,LEN(D119)-4)/10000</f>
        <v>23.2973</v>
      </c>
      <c r="Z119" s="62">
        <f>RIGHT(H119,LEN(H119)-4)/10000</f>
        <v>1.54E-2</v>
      </c>
      <c r="AA119" s="62">
        <f>ABS(Z119-Y119)</f>
        <v>23.2819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0206-04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/stypes="app*4045*20170405*" /stext=" 00:.+((SYSTEM_STATE.+slice.+state.+changed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9"/>
        <v>"%USERPROFILE%\Documents\GitHub\eaglep3\Utilities\RefineRTDCRunTimes.py" --tripid 206-04 --locoid 4045 --swversion DE.1.0.9.0 --startMP 204:232973 --initTime 2017-04-04T17:30:29 --startdatetime 2017-04-04T17:41:16 --delay 1 --endMP 204:154 --enddatetime 2017-04-04T18:22:37 --enforcementcount 0 &gt;&gt;C:\Users\stu\Documents\GitHub\eaglep3-reporting\EC\2017-04-04-refined-times.txt</v>
      </c>
      <c r="AI119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ID","value":"206-04"},{"id":16,"name":"Locomotive ID","value":"4045"},{"id":130,"name":"Impact","value":""},{"id":150,"name":"Time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11"/>
        <v>start /low /b %USERPROFILE%\Documents\GitHub\eaglep3\Utilities\DownloadLogsFromS3.py --loco 4045 --day 2017-04-04</v>
      </c>
      <c r="AN119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764</v>
      </c>
      <c r="B120" s="7">
        <v>4008</v>
      </c>
      <c r="C120" s="21" t="s">
        <v>217</v>
      </c>
      <c r="D120" s="21" t="s">
        <v>541</v>
      </c>
      <c r="E120" s="13">
        <v>42829.706875000003</v>
      </c>
      <c r="F120" s="13">
        <v>42829.708483796298</v>
      </c>
      <c r="G120" s="7">
        <v>1</v>
      </c>
      <c r="H120" s="21" t="s">
        <v>492</v>
      </c>
      <c r="I120" s="13">
        <v>42829.735393518517</v>
      </c>
      <c r="J120" s="7">
        <v>0</v>
      </c>
      <c r="K120" s="97" t="str">
        <f>IF(ISEVEN(B120),(B120-1)&amp;"/"&amp;B120,B120&amp;"/"&amp;(B120+1))</f>
        <v>4007/4008</v>
      </c>
      <c r="L120" s="21" t="str">
        <f>VLOOKUP(A120,'Trips&amp;Operators'!$C$1:$G$99999,5,FALSE)</f>
        <v>CLARK KATHLEEN</v>
      </c>
      <c r="M120" s="6">
        <f>I120-F120</f>
        <v>2.6909722218988463E-2</v>
      </c>
      <c r="N120" s="7">
        <f>24*60*SUM($M120:$M120)</f>
        <v>38.749999995343387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-04T15:57:54-0600',mode:absolute,to:'2017-04-04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183" t="str">
        <f>IF(AA120&lt;IF(AG120="EC",23,5.65),"Y","N")</f>
        <v>N</v>
      </c>
      <c r="X120" s="183">
        <f>VALUE(LEFT(AD120,4))-VALUE(LEFT(AD119,4))</f>
        <v>1</v>
      </c>
      <c r="Y120" s="62">
        <f>RIGHT(D120,LEN(D120)-4)/10000</f>
        <v>5.1900000000000002E-2</v>
      </c>
      <c r="Z120" s="62">
        <f>RIGHT(H120,LEN(H120)-4)/10000</f>
        <v>23.329799999999999</v>
      </c>
      <c r="AA120" s="62">
        <f>ABS(Z120-Y120)</f>
        <v>23.277899999999999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0207-04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/stypes="app*4008*20170404*" /stext=" 23:.+((SYSTEM_STATE.+slice.+state.+changed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9"/>
        <v>"%USERPROFILE%\Documents\GitHub\eaglep3\Utilities\RefineRTDCRunTimes.py" --tripid 207-04 --locoid 4008 --swversion DE.1.0.9.0 --startMP 204:519 --initTime 2017-04-04T16:57:54 --startdatetime 2017-04-04T17:00:13 --delay 1 --endMP 204:233298 --enddatetime 2017-04-04T17:38:58 --enforcementcount 0 &gt;&gt;C:\Users\stu\Documents\GitHub\eaglep3-reporting\EC\2017-04-04-refined-times.txt</v>
      </c>
      <c r="AI120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ID","value":"207-04"},{"id":16,"name":"Locomotive ID","value":"4008"},{"id":130,"name":"Impact","value":""},{"id":150,"name":"Time of Event (Mountain Time)","value":"17:38:58"},{"id":151,"name":"Denver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11"/>
        <v>start /low /b %USERPROFILE%\Documents\GitHub\eaglep3\Utilities\DownloadLogsFromS3.py --loco 4008 --day 2017-04-04</v>
      </c>
      <c r="AN120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778</v>
      </c>
      <c r="B121" s="7">
        <v>4007</v>
      </c>
      <c r="C121" s="21" t="s">
        <v>217</v>
      </c>
      <c r="D121" s="21" t="s">
        <v>537</v>
      </c>
      <c r="E121" s="13">
        <v>42829.7419212963</v>
      </c>
      <c r="F121" s="13">
        <v>42829.747384259259</v>
      </c>
      <c r="G121" s="7">
        <v>1</v>
      </c>
      <c r="H121" s="21" t="s">
        <v>552</v>
      </c>
      <c r="I121" s="13">
        <v>42829.776006944441</v>
      </c>
      <c r="J121" s="7">
        <v>0</v>
      </c>
      <c r="K121" s="97" t="str">
        <f>IF(ISEVEN(B121),(B121-1)&amp;"/"&amp;B121,B121&amp;"/"&amp;(B121+1))</f>
        <v>4007/4008</v>
      </c>
      <c r="L121" s="21" t="str">
        <f>VLOOKUP(A121,'Trips&amp;Operators'!$C$1:$G$99999,5,FALSE)</f>
        <v>CLARK KATHLEEN</v>
      </c>
      <c r="M121" s="6">
        <f>I121-F121</f>
        <v>2.8622685182199348E-2</v>
      </c>
      <c r="N121" s="7">
        <f>24*60*SUM($M121:$M121)</f>
        <v>41.216666662367061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-04T16:48:22-0600',mode:absolute,to:'2017-04-04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183" t="str">
        <f>IF(AA121&lt;IF(AG121="EC",23,5.65),"Y","N")</f>
        <v>N</v>
      </c>
      <c r="X121" s="183">
        <f>VALUE(LEFT(AD121,4))-VALUE(LEFT(AD120,4))</f>
        <v>1</v>
      </c>
      <c r="Y121" s="62">
        <f>RIGHT(D121,LEN(D121)-4)/10000</f>
        <v>23.296399999999998</v>
      </c>
      <c r="Z121" s="62">
        <f>RIGHT(H121,LEN(H121)-4)/10000</f>
        <v>1.83E-2</v>
      </c>
      <c r="AA121" s="62">
        <f>ABS(Z121-Y121)</f>
        <v>23.278099999999998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0208-04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/stypes="app*4007*20170405*" /stext=" 00:.+((SYSTEM_STATE.+slice.+state.+changed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9"/>
        <v>"%USERPROFILE%\Documents\GitHub\eaglep3\Utilities\RefineRTDCRunTimes.py" --tripid 208-04 --locoid 4007 --swversion DE.1.0.9.0 --startMP 204:232964 --initTime 2017-04-04T17:48:22 --startdatetime 2017-04-04T17:56:14 --delay 1 --endMP 204:183 --enddatetime 2017-04-04T18:37:27 --enforcementcount 0 &gt;&gt;C:\Users\stu\Documents\GitHub\eaglep3-reporting\EC\2017-04-04-refined-times.txt</v>
      </c>
      <c r="AI121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{"issue":{"subject":"","project_id":79,"tracker_id":40,"status_id":1,"priority_id":2,"assigned_to_id":23,"start_date":"2017-04-04","description":"","custom_fields":[{"id":1,"name":"Subdivision","value":"EC"},{"id":4,"name":"Milepost","value":"0.0183"},{"id":17,"name":"Train ID","value":"208-04"},{"id":16,"name":"Locomotive ID","value":"4007"},{"id":130,"name":"Impact","value":""},{"id":150,"name":"Time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11"/>
        <v>start /low /b %USERPROFILE%\Documents\GitHub\eaglep3\Utilities\DownloadLogsFromS3.py --loco 4007 --day 2017-04-04</v>
      </c>
      <c r="AN121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766</v>
      </c>
      <c r="B122" s="7">
        <v>4014</v>
      </c>
      <c r="C122" s="21" t="s">
        <v>217</v>
      </c>
      <c r="D122" s="21" t="s">
        <v>893</v>
      </c>
      <c r="E122" s="13">
        <v>42829.718217592592</v>
      </c>
      <c r="F122" s="13">
        <v>42829.720046296294</v>
      </c>
      <c r="G122" s="7">
        <v>2</v>
      </c>
      <c r="H122" s="21" t="s">
        <v>533</v>
      </c>
      <c r="I122" s="13">
        <v>42829.745983796296</v>
      </c>
      <c r="J122" s="7">
        <v>0</v>
      </c>
      <c r="K122" s="97" t="str">
        <f>IF(ISEVEN(B122),(B122-1)&amp;"/"&amp;B122,B122&amp;"/"&amp;(B122+1))</f>
        <v>4013/4014</v>
      </c>
      <c r="L122" s="21" t="str">
        <f>VLOOKUP(A122,'Trips&amp;Operators'!$C$1:$G$99999,5,FALSE)</f>
        <v>CHANDLER KELVIN</v>
      </c>
      <c r="M122" s="6">
        <f>I122-F122</f>
        <v>2.5937500002328306E-2</v>
      </c>
      <c r="N122" s="7">
        <f>24*60*SUM($M122:$M122)</f>
        <v>37.350000003352761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-04T16:14:14-0600',mode:absolute,to:'2017-04-04T18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83" t="str">
        <f>IF(AA122&lt;IF(AG122="EC",23,5.65),"Y","N")</f>
        <v>N</v>
      </c>
      <c r="X122" s="183">
        <f>VALUE(LEFT(AD122,4))-VALUE(LEFT(AD121,4))</f>
        <v>1</v>
      </c>
      <c r="Y122" s="62">
        <f>RIGHT(D122,LEN(D122)-4)/10000</f>
        <v>9.3799999999999994E-2</v>
      </c>
      <c r="Z122" s="62">
        <f>RIGHT(H122,LEN(H122)-4)/10000</f>
        <v>23.326799999999999</v>
      </c>
      <c r="AA122" s="62">
        <f>ABS(Z122-Y122)</f>
        <v>23.232999999999997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0209-04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/stypes="app*4014*20170404*" /stext=" 23:.+((SYSTEM_STATE.+slice.+state.+changed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9"/>
        <v>"%USERPROFILE%\Documents\GitHub\eaglep3\Utilities\RefineRTDCRunTimes.py" --tripid 209-04 --locoid 4014 --swversion DE.1.0.9.0 --startMP 204:938 --initTime 2017-04-04T17:14:14 --startdatetime 2017-04-04T17:16:52 --delay 2 --endMP 204:233268 --enddatetime 2017-04-04T17:54:13 --enforcementcount 0 &gt;&gt;C:\Users\stu\Documents\GitHub\eaglep3-reporting\EC\2017-04-04-refined-times.txt</v>
      </c>
      <c r="AI122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ID","value":"209-04"},{"id":16,"name":"Locomotive ID","value":"4014"},{"id":130,"name":"Impact","value":""},{"id":150,"name":"Time of Event (Mountain Time)","value":"17:54:13"},{"id":151,"name":"Denver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11"/>
        <v>start /low /b %USERPROFILE%\Documents\GitHub\eaglep3\Utilities\DownloadLogsFromS3.py --loco 4014 --day 2017-04-04</v>
      </c>
      <c r="AN122" s="159" t="str">
        <f t="shared" si="12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781</v>
      </c>
      <c r="B123" s="7">
        <v>4013</v>
      </c>
      <c r="C123" s="21" t="s">
        <v>217</v>
      </c>
      <c r="D123" s="21" t="s">
        <v>869</v>
      </c>
      <c r="E123" s="13">
        <v>42829.756469907406</v>
      </c>
      <c r="F123" s="13">
        <v>42829.757986111108</v>
      </c>
      <c r="G123" s="7">
        <v>1</v>
      </c>
      <c r="H123" s="21" t="s">
        <v>894</v>
      </c>
      <c r="I123" s="13">
        <v>42829.785092592596</v>
      </c>
      <c r="J123" s="7">
        <v>0</v>
      </c>
      <c r="K123" s="97" t="str">
        <f>IF(ISEVEN(B123),(B123-1)&amp;"/"&amp;B123,B123&amp;"/"&amp;(B123+1))</f>
        <v>4013/4014</v>
      </c>
      <c r="L123" s="21" t="str">
        <f>VLOOKUP(A123,'Trips&amp;Operators'!$C$1:$G$99999,5,FALSE)</f>
        <v>CHANDLER KELVIN</v>
      </c>
      <c r="M123" s="6">
        <f>I123-F123</f>
        <v>2.7106481487862766E-2</v>
      </c>
      <c r="N123" s="7">
        <f>24*60*SUM($M123:$M123)</f>
        <v>39.033333342522383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83" t="str">
        <f>IF(AA123&lt;IF(AG123="EC",23,5.65),"Y","N")</f>
        <v>N</v>
      </c>
      <c r="X123" s="183">
        <f>VALUE(LEFT(AD123,4))-VALUE(LEFT(AD122,4))</f>
        <v>1</v>
      </c>
      <c r="Y123" s="62">
        <f>RIGHT(D123,LEN(D123)-4)/10000</f>
        <v>23.295500000000001</v>
      </c>
      <c r="Z123" s="62">
        <f>RIGHT(H123,LEN(H123)-4)/10000</f>
        <v>1.01E-2</v>
      </c>
      <c r="AA123" s="62">
        <f>ABS(Z123-Y123)</f>
        <v>23.285399999999999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0210-04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/stypes="app*4013*20170405*" /stext=" 00:.+((SYSTEM_STATE.+slice.+state.+changed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9"/>
        <v>"%USERPROFILE%\Documents\GitHub\eaglep3\Utilities\RefineRTDCRunTimes.py" --tripid 210-04 --locoid 4013 --swversion DE.1.0.9.0 --startMP 204:232955 --initTime 2017-04-04T18:09:19 --startdatetime 2017-04-04T18:11:30 --delay 1 --endMP 204:101 --enddatetime 2017-04-04T18:50:32 --enforcementcount 0 &gt;&gt;C:\Users\stu\Documents\GitHub\eaglep3-reporting\EC\2017-04-04-refined-times.txt</v>
      </c>
      <c r="AI123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{"issue":{"subject":"","project_id":79,"tracker_id":40,"status_id":1,"priority_id":2,"assigned_to_id":23,"start_date":"2017-04-04","description":"","custom_fields":[{"id":1,"name":"Subdivision","value":"EC"},{"id":4,"name":"Milepost","value":"0.0101"},{"id":17,"name":"Train ID","value":"210-04"},{"id":16,"name":"Locomotive ID","value":"4013"},{"id":130,"name":"Impact","value":""},{"id":150,"name":"Time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11"/>
        <v>start /low /b %USERPROFILE%\Documents\GitHub\eaglep3\Utilities\DownloadLogsFromS3.py --loco 4013 --day 2017-04-04</v>
      </c>
      <c r="AN123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769</v>
      </c>
      <c r="B124" s="7">
        <v>4054</v>
      </c>
      <c r="C124" s="21" t="s">
        <v>217</v>
      </c>
      <c r="D124" s="21" t="s">
        <v>207</v>
      </c>
      <c r="E124" s="13">
        <v>42829.727569444447</v>
      </c>
      <c r="F124" s="13">
        <v>42829.729467592595</v>
      </c>
      <c r="G124" s="7">
        <v>2</v>
      </c>
      <c r="H124" s="21" t="s">
        <v>485</v>
      </c>
      <c r="I124" s="13">
        <v>42829.754942129628</v>
      </c>
      <c r="J124" s="7">
        <v>0</v>
      </c>
      <c r="K124" s="97" t="str">
        <f>IF(ISEVEN(B124),(B124-1)&amp;"/"&amp;B124,B124&amp;"/"&amp;(B124+1))</f>
        <v>4053/4054</v>
      </c>
      <c r="L124" s="21" t="str">
        <f>VLOOKUP(A124,'Trips&amp;Operators'!$C$1:$G$99999,5,FALSE)</f>
        <v>LOCKLEAR TRAVIS</v>
      </c>
      <c r="M124" s="6">
        <f>I124-F124</f>
        <v>2.5474537033005618E-2</v>
      </c>
      <c r="N124" s="7">
        <f>24*60*SUM($M124:$M124)</f>
        <v>36.683333327528089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-04T16:27:42-0600',mode:absolute,to:'2017-04-04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83" t="str">
        <f>IF(AA124&lt;IF(AG124="EC",23,5.65),"Y","N")</f>
        <v>N</v>
      </c>
      <c r="X124" s="183">
        <f>VALUE(LEFT(AD124,4))-VALUE(LEFT(AD123,4))</f>
        <v>1</v>
      </c>
      <c r="Y124" s="62">
        <f>RIGHT(D124,LEN(D124)-4)/10000</f>
        <v>4.5699999999999998E-2</v>
      </c>
      <c r="Z124" s="62">
        <f>RIGHT(H124,LEN(H124)-4)/10000</f>
        <v>23.334599999999998</v>
      </c>
      <c r="AA124" s="62">
        <f>ABS(Z124-Y124)</f>
        <v>23.288899999999998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0211-04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/stypes="app*4054*20170405*" /stext=" 00:.+((SYSTEM_STATE.+slice.+state.+changed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9"/>
        <v>"%USERPROFILE%\Documents\GitHub\eaglep3\Utilities\RefineRTDCRunTimes.py" --tripid 211-04 --locoid 4054 --swversion DE.1.0.9.0 --startMP 204:457 --initTime 2017-04-04T17:27:42 --startdatetime 2017-04-04T17:30:26 --delay 2 --endMP 204:233346 --enddatetime 2017-04-04T18:07:07 --enforcementcount 0 &gt;&gt;C:\Users\stu\Documents\GitHub\eaglep3-reporting\EC\2017-04-04-refined-times.txt</v>
      </c>
      <c r="AI124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ID","value":"211-04"},{"id":16,"name":"Locomotive ID","value":"4054"},{"id":130,"name":"Impact","value":""},{"id":150,"name":"Time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11"/>
        <v>start /low /b %USERPROFILE%\Documents\GitHub\eaglep3\Utilities\DownloadLogsFromS3.py --loco 4054 --day 2017-04-04</v>
      </c>
      <c r="AN124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619</v>
      </c>
      <c r="B125" s="7">
        <v>4053</v>
      </c>
      <c r="C125" s="21" t="s">
        <v>217</v>
      </c>
      <c r="D125" s="21" t="s">
        <v>872</v>
      </c>
      <c r="E125" s="13">
        <v>42829.765057870369</v>
      </c>
      <c r="F125" s="13">
        <v>42829.768182870372</v>
      </c>
      <c r="G125" s="7">
        <v>1</v>
      </c>
      <c r="H125" s="21" t="s">
        <v>545</v>
      </c>
      <c r="I125" s="13">
        <v>42829.795057870368</v>
      </c>
      <c r="J125" s="7">
        <v>0</v>
      </c>
      <c r="K125" s="97" t="str">
        <f>IF(ISEVEN(B125),(B125-1)&amp;"/"&amp;B125,B125&amp;"/"&amp;(B125+1))</f>
        <v>4053/4054</v>
      </c>
      <c r="L125" s="21" t="str">
        <f>VLOOKUP(A125,'Trips&amp;Operators'!$C$1:$G$99999,5,FALSE)</f>
        <v>LOCKLEAR TRAVIS</v>
      </c>
      <c r="M125" s="6">
        <f>I125-F125</f>
        <v>2.6874999995925464E-2</v>
      </c>
      <c r="N125" s="7">
        <f>24*60*SUM($M125:$M125)</f>
        <v>38.699999994132668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83" t="str">
        <f>IF(AA125&lt;IF(AG125="EC",23,5.65),"Y","N")</f>
        <v>N</v>
      </c>
      <c r="X125" s="183">
        <f>VALUE(LEFT(AD125,4))-VALUE(LEFT(AD124,4))</f>
        <v>1</v>
      </c>
      <c r="Y125" s="62">
        <f>RIGHT(D125,LEN(D125)-4)/10000</f>
        <v>23.303599999999999</v>
      </c>
      <c r="Z125" s="62">
        <f>RIGHT(H125,LEN(H125)-4)/10000</f>
        <v>1.7600000000000001E-2</v>
      </c>
      <c r="AA125" s="62">
        <f>ABS(Z125-Y125)</f>
        <v>23.285999999999998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0212-04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/stypes="app*4053*20170405*" /stext=" 01:.+((SYSTEM_STATE.+slice.+state.+changed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9"/>
        <v>"%USERPROFILE%\Documents\GitHub\eaglep3\Utilities\RefineRTDCRunTimes.py" --tripid 212-04 --locoid 4053 --swversion DE.1.0.9.0 --startMP 204:233036 --initTime 2017-04-04T18:21:41 --startdatetime 2017-04-04T18:26:11 --delay 1 --endMP 204:176 --enddatetime 2017-04-04T19:04:53 --enforcementcount 0 &gt;&gt;C:\Users\stu\Documents\GitHub\eaglep3-reporting\EC\2017-04-04-refined-times.txt</v>
      </c>
      <c r="AI125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{"issue":{"subject":"","project_id":79,"tracker_id":40,"status_id":1,"priority_id":2,"assigned_to_id":23,"start_date":"2017-04-04","description":"","custom_fields":[{"id":1,"name":"Subdivision","value":"EC"},{"id":4,"name":"Milepost","value":"0.0176"},{"id":17,"name":"Train ID","value":"212-04"},{"id":16,"name":"Locomotive ID","value":"4053"},{"id":130,"name":"Impact","value":""},{"id":150,"name":"Time of Event (Mountain Time)","value":"19:04:53"},{"id":151,"name":"Denver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11"/>
        <v>start /low /b %USERPROFILE%\Documents\GitHub\eaglep3\Utilities\DownloadLogsFromS3.py --loco 4053 --day 2017-04-04</v>
      </c>
      <c r="AN125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776</v>
      </c>
      <c r="B126" s="7">
        <v>4004</v>
      </c>
      <c r="C126" s="21" t="s">
        <v>217</v>
      </c>
      <c r="D126" s="21" t="s">
        <v>544</v>
      </c>
      <c r="E126" s="13">
        <v>42829.735567129632</v>
      </c>
      <c r="F126" s="13">
        <v>42829.739849537036</v>
      </c>
      <c r="G126" s="7">
        <v>2</v>
      </c>
      <c r="H126" s="21" t="s">
        <v>421</v>
      </c>
      <c r="I126" s="13">
        <v>42829.764745370368</v>
      </c>
      <c r="J126" s="7">
        <v>0</v>
      </c>
      <c r="K126" s="97" t="str">
        <f>IF(ISEVEN(B126),(B126-1)&amp;"/"&amp;B126,B126&amp;"/"&amp;(B126+1))</f>
        <v>4003/4004</v>
      </c>
      <c r="L126" s="21" t="str">
        <f>VLOOKUP(A126,'Trips&amp;Operators'!$C$1:$G$99999,5,FALSE)</f>
        <v>NEWELL JAMES</v>
      </c>
      <c r="M126" s="6">
        <f>I126-F126</f>
        <v>2.4895833332266193E-2</v>
      </c>
      <c r="N126" s="7">
        <f>24*60*SUM($M126:$M126)</f>
        <v>35.849999998463318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-04T16:39:13-0600',mode:absolute,to:'2017-04-04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183" t="str">
        <f>IF(AA126&lt;IF(AG126="EC",23,5.65),"Y","N")</f>
        <v>N</v>
      </c>
      <c r="X126" s="183">
        <f>VALUE(LEFT(AD126,4))-VALUE(LEFT(AD125,4))</f>
        <v>1</v>
      </c>
      <c r="Y126" s="62">
        <f>RIGHT(D126,LEN(D126)-4)/10000</f>
        <v>4.9099999999999998E-2</v>
      </c>
      <c r="Z126" s="62">
        <f>RIGHT(H126,LEN(H126)-4)/10000</f>
        <v>23.329899999999999</v>
      </c>
      <c r="AA126" s="62">
        <f>ABS(Z126-Y126)</f>
        <v>23.280799999999999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0213-04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/stypes="app*4004*20170405*" /stext=" 00:.+((SYSTEM_STATE.+slice.+state.+changed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9"/>
        <v>"%USERPROFILE%\Documents\GitHub\eaglep3\Utilities\RefineRTDCRunTimes.py" --tripid 213-04 --locoid 4004 --swversion DE.1.0.9.0 --startMP 204:491 --initTime 2017-04-04T17:39:13 --startdatetime 2017-04-04T17:45:23 --delay 2 --endMP 204:233299 --enddatetime 2017-04-04T18:21:14 --enforcementcount 0 &gt;&gt;C:\Users\stu\Documents\GitHub\eaglep3-reporting\EC\2017-04-04-refined-times.txt</v>
      </c>
      <c r="AI126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{"issue":{"subject":"","project_id":79,"tracker_id":40,"status_id":1,"priority_id":2,"assigned_to_id":23,"start_date":"2017-04-04","description":"","custom_fields":[{"id":1,"name":"Subdivision","value":"EC"},{"id":4,"name":"Milepost","value":"23.3299"},{"id":17,"name":"Train ID","value":"213-04"},{"id":16,"name":"Locomotive ID","value":"4004"},{"id":130,"name":"Impact","value":""},{"id":150,"name":"Time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11"/>
        <v>start /low /b %USERPROFILE%\Documents\GitHub\eaglep3\Utilities\DownloadLogsFromS3.py --loco 4004 --day 2017-04-04</v>
      </c>
      <c r="AN126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783</v>
      </c>
      <c r="B127" s="7">
        <v>4003</v>
      </c>
      <c r="C127" s="21" t="s">
        <v>217</v>
      </c>
      <c r="D127" s="21" t="s">
        <v>416</v>
      </c>
      <c r="E127" s="13">
        <v>42829.769421296296</v>
      </c>
      <c r="F127" s="13">
        <v>42829.778611111113</v>
      </c>
      <c r="G127" s="7">
        <v>1</v>
      </c>
      <c r="H127" s="21" t="s">
        <v>895</v>
      </c>
      <c r="I127" s="13">
        <v>42829.805787037039</v>
      </c>
      <c r="J127" s="7">
        <v>0</v>
      </c>
      <c r="K127" s="97" t="str">
        <f>IF(ISEVEN(B127),(B127-1)&amp;"/"&amp;B127,B127&amp;"/"&amp;(B127+1))</f>
        <v>4003/4004</v>
      </c>
      <c r="L127" s="21" t="str">
        <f>VLOOKUP(A127,'Trips&amp;Operators'!$C$1:$G$99999,5,FALSE)</f>
        <v>NEWELL JAMES</v>
      </c>
      <c r="M127" s="6">
        <f>I127-F127</f>
        <v>2.7175925926712807E-2</v>
      </c>
      <c r="N127" s="7">
        <f>24*60*SUM($M127:$M127)</f>
        <v>39.133333334466442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3" t="str">
        <f>IF(AA127&lt;IF(AG127="EC",23,5.65),"Y","N")</f>
        <v>N</v>
      </c>
      <c r="X127" s="183">
        <f>VALUE(LEFT(AD127,4))-VALUE(LEFT(AD126,4))</f>
        <v>1</v>
      </c>
      <c r="Y127" s="62">
        <f>RIGHT(D127,LEN(D127)-4)/10000</f>
        <v>23.298400000000001</v>
      </c>
      <c r="Z127" s="62">
        <f>RIGHT(H127,LEN(H127)-4)/10000</f>
        <v>1.78E-2</v>
      </c>
      <c r="AA127" s="62">
        <f>ABS(Z127-Y127)</f>
        <v>23.2806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0214-04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/stypes="app*4003*20170405*" /stext=" 01:.+((SYSTEM_STATE.+slice.+state.+changed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9"/>
        <v>"%USERPROFILE%\Documents\GitHub\eaglep3\Utilities\RefineRTDCRunTimes.py" --tripid 214-04 --locoid 4003 --swversion DE.1.0.9.0 --startMP 204:232984 --initTime 2017-04-04T18:27:58 --startdatetime 2017-04-04T18:41:12 --delay 1 --endMP 204:178 --enddatetime 2017-04-04T19:20:20 --enforcementcount 0 &gt;&gt;C:\Users\stu\Documents\GitHub\eaglep3-reporting\EC\2017-04-04-refined-times.txt</v>
      </c>
      <c r="AI127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{"issue":{"subject":"","project_id":79,"tracker_id":40,"status_id":1,"priority_id":2,"assigned_to_id":23,"start_date":"2017-04-04","description":"","custom_fields":[{"id":1,"name":"Subdivision","value":"EC"},{"id":4,"name":"Milepost","value":"0.0178"},{"id":17,"name":"Train ID","value":"214-04"},{"id":16,"name":"Locomotive ID","value":"4003"},{"id":130,"name":"Impact","value":""},{"id":150,"name":"Time of Event (Mountain Time)","value":"19:20:20"},{"id":151,"name":"Denver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11"/>
        <v>start /low /b %USERPROFILE%\Documents\GitHub\eaglep3\Utilities\DownloadLogsFromS3.py --loco 4003 --day 2017-04-04</v>
      </c>
      <c r="AN127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779</v>
      </c>
      <c r="B128" s="7">
        <v>4032</v>
      </c>
      <c r="C128" s="21" t="s">
        <v>217</v>
      </c>
      <c r="D128" s="21" t="s">
        <v>896</v>
      </c>
      <c r="E128" s="13">
        <v>42829.747361111113</v>
      </c>
      <c r="F128" s="13">
        <v>42829.750335648147</v>
      </c>
      <c r="G128" s="7">
        <v>1</v>
      </c>
      <c r="H128" s="21" t="s">
        <v>897</v>
      </c>
      <c r="I128" s="13">
        <v>42829.775648148148</v>
      </c>
      <c r="J128" s="7">
        <v>0</v>
      </c>
      <c r="K128" s="97" t="str">
        <f>IF(ISEVEN(B128),(B128-1)&amp;"/"&amp;B128,B128&amp;"/"&amp;(B128+1))</f>
        <v>4031/4032</v>
      </c>
      <c r="L128" s="21" t="str">
        <f>VLOOKUP(A128,'Trips&amp;Operators'!$C$1:$G$99999,5,FALSE)</f>
        <v>STRICKLAND EVAN</v>
      </c>
      <c r="M128" s="6">
        <f>I128-F128</f>
        <v>2.531250000174623E-2</v>
      </c>
      <c r="N128" s="7">
        <f>24*60*SUM($M128:$M128)</f>
        <v>36.450000002514571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-04T16:56:12-0600',mode:absolute,to:'2017-04-04T19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83" t="str">
        <f>IF(AA128&lt;IF(AG128="EC",23,5.65),"Y","N")</f>
        <v>N</v>
      </c>
      <c r="X128" s="183">
        <f>VALUE(LEFT(AD128,4))-VALUE(LEFT(AD127,4))</f>
        <v>1</v>
      </c>
      <c r="Y128" s="62">
        <f>RIGHT(D128,LEN(D128)-4)/10000</f>
        <v>5.2200000000000003E-2</v>
      </c>
      <c r="Z128" s="62">
        <f>RIGHT(H128,LEN(H128)-4)/10000</f>
        <v>23.334399999999999</v>
      </c>
      <c r="AA128" s="62">
        <f>ABS(Z128-Y128)</f>
        <v>23.2822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0215-04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/stypes="app*4032*20170405*" /stext=" 00:.+((SYSTEM_STATE.+slice.+state.+changed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9"/>
        <v>"%USERPROFILE%\Documents\GitHub\eaglep3\Utilities\RefineRTDCRunTimes.py" --tripid 215-04 --locoid 4032 --swversion DE.1.0.9.0 --startMP 204:522 --initTime 2017-04-04T17:56:12 --startdatetime 2017-04-04T18:00:29 --delay 1 --endMP 204:233344 --enddatetime 2017-04-04T18:36:56 --enforcementcount 0 &gt;&gt;C:\Users\stu\Documents\GitHub\eaglep3-reporting\EC\2017-04-04-refined-times.txt</v>
      </c>
      <c r="AI128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{"issue":{"subject":"","project_id":79,"tracker_id":40,"status_id":1,"priority_id":2,"assigned_to_id":23,"start_date":"2017-04-04","description":"","custom_fields":[{"id":1,"name":"Subdivision","value":"EC"},{"id":4,"name":"Milepost","value":"23.3344"},{"id":17,"name":"Train ID","value":"215-04"},{"id":16,"name":"Locomotive ID","value":"4032"},{"id":130,"name":"Impact","value":""},{"id":150,"name":"Time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11"/>
        <v>start /low /b %USERPROFILE%\Documents\GitHub\eaglep3\Utilities\DownloadLogsFromS3.py --loco 4032 --day 2017-04-04</v>
      </c>
      <c r="AN128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786</v>
      </c>
      <c r="B129" s="7">
        <v>4031</v>
      </c>
      <c r="C129" s="21" t="s">
        <v>217</v>
      </c>
      <c r="D129" s="21" t="s">
        <v>898</v>
      </c>
      <c r="E129" s="13">
        <v>42829.777106481481</v>
      </c>
      <c r="F129" s="13">
        <v>42829.789201388892</v>
      </c>
      <c r="G129" s="7">
        <v>1</v>
      </c>
      <c r="H129" s="21" t="s">
        <v>213</v>
      </c>
      <c r="I129" s="13">
        <v>42829.816828703704</v>
      </c>
      <c r="J129" s="7">
        <v>0</v>
      </c>
      <c r="K129" s="97" t="str">
        <f>IF(ISEVEN(B129),(B129-1)&amp;"/"&amp;B129,B129&amp;"/"&amp;(B129+1))</f>
        <v>4031/4032</v>
      </c>
      <c r="L129" s="21" t="str">
        <f>VLOOKUP(A129,'Trips&amp;Operators'!$C$1:$G$99999,5,FALSE)</f>
        <v>STRICKLAND EVAN</v>
      </c>
      <c r="M129" s="6">
        <f>I129-F129</f>
        <v>2.7627314811979886E-2</v>
      </c>
      <c r="N129" s="7">
        <f>24*60*SUM($M129:$M129)</f>
        <v>39.783333329251036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83" t="str">
        <f>IF(AA129&lt;IF(AG129="EC",23,5.65),"Y","N")</f>
        <v>N</v>
      </c>
      <c r="X129" s="183">
        <f>VALUE(LEFT(AD129,4))-VALUE(LEFT(AD128,4))</f>
        <v>1</v>
      </c>
      <c r="Y129" s="62">
        <f>RIGHT(D129,LEN(D129)-4)/10000</f>
        <v>23.302700000000002</v>
      </c>
      <c r="Z129" s="62">
        <f>RIGHT(H129,LEN(H129)-4)/10000</f>
        <v>1.5599999999999999E-2</v>
      </c>
      <c r="AA129" s="62">
        <f>ABS(Z129-Y129)</f>
        <v>23.287100000000002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0216-04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/stypes="app*4031*20170405*" /stext=" 01:.+((SYSTEM_STATE.+slice.+state.+changed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9"/>
        <v>"%USERPROFILE%\Documents\GitHub\eaglep3\Utilities\RefineRTDCRunTimes.py" --tripid 216-04 --locoid 4031 --swversion DE.1.0.9.0 --startMP 204:233027 --initTime 2017-04-04T18:39:02 --startdatetime 2017-04-04T18:56:27 --delay 1 --endMP 204:156 --enddatetime 2017-04-04T19:36:14 --enforcementcount 0 &gt;&gt;C:\Users\stu\Documents\GitHub\eaglep3-reporting\EC\2017-04-04-refined-times.txt</v>
      </c>
      <c r="AI129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ID","value":"216-04"},{"id":16,"name":"Locomotive ID","value":"4031"},{"id":130,"name":"Impact","value":""},{"id":150,"name":"Time of Event (Mountain Time)","value":"19:36:14"},{"id":151,"name":"Denver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11"/>
        <v>start /low /b %USERPROFILE%\Documents\GitHub\eaglep3\Utilities\DownloadLogsFromS3.py --loco 4031 --day 2017-04-04</v>
      </c>
      <c r="AN129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773</v>
      </c>
      <c r="B130" s="7">
        <v>4010</v>
      </c>
      <c r="C130" s="21" t="s">
        <v>217</v>
      </c>
      <c r="D130" s="21" t="s">
        <v>468</v>
      </c>
      <c r="E130" s="13">
        <v>42829.75818287037</v>
      </c>
      <c r="F130" s="13">
        <v>42829.761145833334</v>
      </c>
      <c r="G130" s="7">
        <v>3</v>
      </c>
      <c r="H130" s="21" t="s">
        <v>533</v>
      </c>
      <c r="I130" s="13">
        <v>42829.787037037036</v>
      </c>
      <c r="J130" s="7">
        <v>0</v>
      </c>
      <c r="K130" s="97" t="str">
        <f>IF(ISEVEN(B130),(B130-1)&amp;"/"&amp;B130,B130&amp;"/"&amp;(B130+1))</f>
        <v>4009/4010</v>
      </c>
      <c r="L130" s="21" t="str">
        <f>VLOOKUP(A130,'Trips&amp;Operators'!$C$1:$G$99999,5,FALSE)</f>
        <v>STORY SAMANTHA</v>
      </c>
      <c r="M130" s="6">
        <f>I130-F130</f>
        <v>2.5891203702485655E-2</v>
      </c>
      <c r="N130" s="7">
        <f>24*60*SUM($M130:$M130)</f>
        <v>37.283333331579342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-04T17:11:47-0600',mode:absolute,to:'2017-04-04T19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183" t="str">
        <f>IF(AA130&lt;IF(AG130="EC",23,5.65),"Y","N")</f>
        <v>N</v>
      </c>
      <c r="X130" s="183">
        <f>VALUE(LEFT(AD130,4))-VALUE(LEFT(AD129,4))</f>
        <v>1</v>
      </c>
      <c r="Y130" s="62">
        <f>RIGHT(D130,LEN(D130)-4)/10000</f>
        <v>4.4200000000000003E-2</v>
      </c>
      <c r="Z130" s="62">
        <f>RIGHT(H130,LEN(H130)-4)/10000</f>
        <v>23.326799999999999</v>
      </c>
      <c r="AA130" s="62">
        <f>ABS(Z130-Y130)</f>
        <v>23.282599999999999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0217-04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/stypes="app*4010*20170405*" /stext=" 00:.+((SYSTEM_STATE.+slice.+state.+changed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9"/>
        <v>"%USERPROFILE%\Documents\GitHub\eaglep3\Utilities\RefineRTDCRunTimes.py" --tripid 217-04 --locoid 4010 --swversion DE.1.0.9.0 --startMP 204:442 --initTime 2017-04-04T18:11:47 --startdatetime 2017-04-04T18:16:03 --delay 3 --endMP 204:233268 --enddatetime 2017-04-04T18:53:20 --enforcementcount 0 &gt;&gt;C:\Users\stu\Documents\GitHub\eaglep3-reporting\EC\2017-04-04-refined-times.txt</v>
      </c>
      <c r="AI130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ID","value":"217-04"},{"id":16,"name":"Locomotive ID","value":"4010"},{"id":130,"name":"Impact","value":""},{"id":150,"name":"Time of Event (Mountain Time)","value":"18:53:20"},{"id":151,"name":"Denver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11"/>
        <v>start /low /b %USERPROFILE%\Documents\GitHub\eaglep3\Utilities\DownloadLogsFromS3.py --loco 4010 --day 2017-04-04</v>
      </c>
      <c r="AN130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621</v>
      </c>
      <c r="B131" s="7">
        <v>4009</v>
      </c>
      <c r="C131" s="21" t="s">
        <v>217</v>
      </c>
      <c r="D131" s="21" t="s">
        <v>467</v>
      </c>
      <c r="E131" s="13">
        <v>42829.795567129629</v>
      </c>
      <c r="F131" s="13">
        <v>42829.799814814818</v>
      </c>
      <c r="G131" s="7">
        <v>4</v>
      </c>
      <c r="H131" s="21" t="s">
        <v>426</v>
      </c>
      <c r="I131" s="13">
        <v>42829.827604166669</v>
      </c>
      <c r="J131" s="7">
        <v>0</v>
      </c>
      <c r="K131" s="97" t="str">
        <f>IF(ISEVEN(B131),(B131-1)&amp;"/"&amp;B131,B131&amp;"/"&amp;(B131+1))</f>
        <v>4009/4010</v>
      </c>
      <c r="L131" s="21" t="str">
        <f>VLOOKUP(A131,'Trips&amp;Operators'!$C$1:$G$99999,5,FALSE)</f>
        <v>STORY SAMANTHA</v>
      </c>
      <c r="M131" s="6">
        <f>I131-F131</f>
        <v>2.7789351850515231E-2</v>
      </c>
      <c r="N131" s="7">
        <f>24*60*SUM($M131:$M131)</f>
        <v>40.016666664741933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83" t="str">
        <f>IF(AA131&lt;IF(AG131="EC",23,5.65),"Y","N")</f>
        <v>N</v>
      </c>
      <c r="X131" s="183">
        <f>VALUE(LEFT(AD131,4))-VALUE(LEFT(AD130,4))</f>
        <v>1</v>
      </c>
      <c r="Y131" s="62">
        <f>RIGHT(D131,LEN(D131)-4)/10000</f>
        <v>23.299800000000001</v>
      </c>
      <c r="Z131" s="62">
        <f>RIGHT(H131,LEN(H131)-4)/10000</f>
        <v>1.6299999999999999E-2</v>
      </c>
      <c r="AA131" s="62">
        <f>ABS(Z131-Y131)</f>
        <v>23.2835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>IF(LEN(A131)=6,"0"&amp;A131,A131)</f>
        <v>0218-04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/stypes="app*4009*20170405*" /stext=" 01:.+((SYSTEM_STATE.+slice.+state.+changed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9"/>
        <v>"%USERPROFILE%\Documents\GitHub\eaglep3\Utilities\RefineRTDCRunTimes.py" --tripid 218-04 --locoid 4009 --swversion DE.1.0.9.0 --startMP 204:232998 --initTime 2017-04-04T19:05:37 --startdatetime 2017-04-04T19:11:44 --delay 4 --endMP 204:163 --enddatetime 2017-04-04T19:51:45 --enforcementcount 0 &gt;&gt;C:\Users\stu\Documents\GitHub\eaglep3-reporting\EC\2017-04-04-refined-times.txt</v>
      </c>
      <c r="AI131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ID","value":"218-04"},{"id":16,"name":"Locomotive ID","value":"4009"},{"id":130,"name":"Impact","value":""},{"id":150,"name":"Time of Event (Mountain Time)","value":"19:51:45"},{"id":151,"name":"Denver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11"/>
        <v>start /low /b %USERPROFILE%\Documents\GitHub\eaglep3\Utilities\DownloadLogsFromS3.py --loco 4009 --day 2017-04-04</v>
      </c>
      <c r="AN131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618</v>
      </c>
      <c r="B132" s="7">
        <v>4046</v>
      </c>
      <c r="C132" s="21" t="s">
        <v>217</v>
      </c>
      <c r="D132" s="21" t="s">
        <v>435</v>
      </c>
      <c r="E132" s="13">
        <v>42829.766967592594</v>
      </c>
      <c r="F132" s="13">
        <v>42829.771539351852</v>
      </c>
      <c r="G132" s="7">
        <v>2</v>
      </c>
      <c r="H132" s="21" t="s">
        <v>828</v>
      </c>
      <c r="I132" s="13">
        <v>42829.795810185184</v>
      </c>
      <c r="J132" s="7">
        <v>0</v>
      </c>
      <c r="K132" s="97" t="str">
        <f>IF(ISEVEN(B132),(B132-1)&amp;"/"&amp;B132,B132&amp;"/"&amp;(B132+1))</f>
        <v>4045/4046</v>
      </c>
      <c r="L132" s="21" t="str">
        <f>VLOOKUP(A132,'Trips&amp;Operators'!$C$1:$G$99999,5,FALSE)</f>
        <v>GUZMAN DANNY</v>
      </c>
      <c r="M132" s="6">
        <f>I132-F132</f>
        <v>2.4270833331684116E-2</v>
      </c>
      <c r="N132" s="7">
        <f>24*60*SUM($M132:$M132)</f>
        <v>34.949999997625127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83" t="str">
        <f>IF(AA132&lt;IF(AG132="EC",23,5.65),"Y","N")</f>
        <v>N</v>
      </c>
      <c r="X132" s="183">
        <f>VALUE(LEFT(AD132,4))-VALUE(LEFT(AD131,4))</f>
        <v>1</v>
      </c>
      <c r="Y132" s="62">
        <f>RIGHT(D132,LEN(D132)-4)/10000</f>
        <v>4.6199999999999998E-2</v>
      </c>
      <c r="Z132" s="62">
        <f>RIGHT(H132,LEN(H132)-4)/10000</f>
        <v>23.337800000000001</v>
      </c>
      <c r="AA132" s="62">
        <f>ABS(Z132-Y132)</f>
        <v>23.291600000000003</v>
      </c>
      <c r="AB132" s="59" t="str">
        <f>VLOOKUP(A132,Enforcements!$C$7:$K$13,8,0)</f>
        <v>Bulletin (2)</v>
      </c>
      <c r="AC132" s="55" t="str">
        <f>VLOOKUP(A132,Enforcements!$C$7:$E$13,3,0)</f>
        <v>GRADE CROSSING</v>
      </c>
      <c r="AD132" s="56" t="str">
        <f>IF(LEN(A132)=6,"0"&amp;A132,A132)</f>
        <v>0219-04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/stypes="app*4046*20170405*" /stext=" 01:.+((SYSTEM_STATE.+slice.+state.+changed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9"/>
        <v>"%USERPROFILE%\Documents\GitHub\eaglep3\Utilities\RefineRTDCRunTimes.py" --tripid 219-04 --locoid 4046 --swversion DE.1.0.9.0 --startMP 204:462 --initTime 2017-04-04T18:24:26 --startdatetime 2017-04-04T18:31:01 --delay 2 --endMP 204:233378 --enddatetime 2017-04-04T19:05:58 --enforcementcount 0 &gt;&gt;C:\Users\stu\Documents\GitHub\eaglep3-reporting\EC\2017-04-04-refined-times.txt</v>
      </c>
      <c r="AI132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ID","value":"219-04"},{"id":16,"name":"Locomotive ID","value":"4046"},{"id":130,"name":"Impact","value":""},{"id":150,"name":"Time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11"/>
        <v>start /low /b %USERPROFILE%\Documents\GitHub\eaglep3\Utilities\DownloadLogsFromS3.py --loco 4046 --day 2017-04-04</v>
      </c>
      <c r="AN132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791</v>
      </c>
      <c r="B133" s="7">
        <v>4045</v>
      </c>
      <c r="C133" s="21" t="s">
        <v>217</v>
      </c>
      <c r="D133" s="21" t="s">
        <v>899</v>
      </c>
      <c r="E133" s="13">
        <v>42829.801944444444</v>
      </c>
      <c r="F133" s="13">
        <v>42829.810289351852</v>
      </c>
      <c r="G133" s="7">
        <v>1</v>
      </c>
      <c r="H133" s="21" t="s">
        <v>419</v>
      </c>
      <c r="I133" s="13">
        <v>42829.836886574078</v>
      </c>
      <c r="J133" s="7">
        <v>0</v>
      </c>
      <c r="K133" s="97" t="str">
        <f>IF(ISEVEN(B133),(B133-1)&amp;"/"&amp;B133,B133&amp;"/"&amp;(B133+1))</f>
        <v>4045/4046</v>
      </c>
      <c r="L133" s="21" t="str">
        <f>VLOOKUP(A133,'Trips&amp;Operators'!$C$1:$G$99999,5,FALSE)</f>
        <v>GUZMAN DANNY</v>
      </c>
      <c r="M133" s="6">
        <f>I133-F133</f>
        <v>2.6597222225973383E-2</v>
      </c>
      <c r="N133" s="7">
        <f>24*60*SUM($M133:$M133)</f>
        <v>38.300000005401671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3" t="str">
        <f>IF(AA133&lt;IF(AG133="EC",23,5.65),"Y","N")</f>
        <v>N</v>
      </c>
      <c r="X133" s="183">
        <f>VALUE(LEFT(AD133,4))-VALUE(LEFT(AD132,4))</f>
        <v>1</v>
      </c>
      <c r="Y133" s="62">
        <f>RIGHT(D133,LEN(D133)-4)/10000</f>
        <v>23.306999999999999</v>
      </c>
      <c r="Z133" s="62">
        <f>RIGHT(H133,LEN(H133)-4)/10000</f>
        <v>1.38E-2</v>
      </c>
      <c r="AA133" s="62">
        <f>ABS(Z133-Y133)</f>
        <v>23.293199999999999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0220-04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/stypes="app*4045*20170405*" /stext=" 02:.+((SYSTEM_STATE.+slice.+state.+changed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9"/>
        <v>"%USERPROFILE%\Documents\GitHub\eaglep3\Utilities\RefineRTDCRunTimes.py" --tripid 220-04 --locoid 4045 --swversion DE.1.0.9.0 --startMP 204:233070 --initTime 2017-04-04T19:14:48 --startdatetime 2017-04-04T19:26:49 --delay 1 --endMP 204:138 --enddatetime 2017-04-04T20:05:07 --enforcementcount 0 &gt;&gt;C:\Users\stu\Documents\GitHub\eaglep3-reporting\EC\2017-04-04-refined-times.txt</v>
      </c>
      <c r="AI133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{"issue":{"subject":"","project_id":79,"tracker_id":40,"status_id":1,"priority_id":2,"assigned_to_id":23,"start_date":"2017-04-04","description":"","custom_fields":[{"id":1,"name":"Subdivision","value":"EC"},{"id":4,"name":"Milepost","value":"0.0138"},{"id":17,"name":"Train ID","value":"220-04"},{"id":16,"name":"Locomotive ID","value":"4045"},{"id":130,"name":"Impact","value":""},{"id":150,"name":"Time of Event (Mountain Time)","value":"20:05:07"},{"id":151,"name":"Denver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11"/>
        <v>start /low /b %USERPROFILE%\Documents\GitHub\eaglep3\Utilities\DownloadLogsFromS3.py --loco 4045 --day 2017-04-04</v>
      </c>
      <c r="AN133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788</v>
      </c>
      <c r="B134" s="7">
        <v>4014</v>
      </c>
      <c r="C134" s="21" t="s">
        <v>217</v>
      </c>
      <c r="D134" s="21" t="s">
        <v>464</v>
      </c>
      <c r="E134" s="13">
        <v>42829.79115740741</v>
      </c>
      <c r="F134" s="13">
        <v>42829.79241898148</v>
      </c>
      <c r="G134" s="7">
        <v>0</v>
      </c>
      <c r="H134" s="21" t="s">
        <v>900</v>
      </c>
      <c r="I134" s="13">
        <v>42829.817557870374</v>
      </c>
      <c r="J134" s="7">
        <v>0</v>
      </c>
      <c r="K134" s="97" t="str">
        <f>IF(ISEVEN(B134),(B134-1)&amp;"/"&amp;B134,B134&amp;"/"&amp;(B134+1))</f>
        <v>4013/4014</v>
      </c>
      <c r="L134" s="21" t="str">
        <f>VLOOKUP(A134,'Trips&amp;Operators'!$C$1:$G$99999,5,FALSE)</f>
        <v>CHANDLER KELVIN</v>
      </c>
      <c r="M134" s="6">
        <f>I134-F134</f>
        <v>2.513888889370719E-2</v>
      </c>
      <c r="N134" s="7">
        <f>24*60*SUM($M134:$M134)</f>
        <v>36.200000006938353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-04T17:59:16-0600',mode:absolute,to:'2017-04-04T20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183" t="str">
        <f>IF(AA134&lt;IF(AG134="EC",23,5.65),"Y","N")</f>
        <v>N</v>
      </c>
      <c r="X134" s="183">
        <f>VALUE(LEFT(AD134,4))-VALUE(LEFT(AD133,4))</f>
        <v>1</v>
      </c>
      <c r="Y134" s="62">
        <f>RIGHT(D134,LEN(D134)-4)/10000</f>
        <v>4.82E-2</v>
      </c>
      <c r="Z134" s="62">
        <f>RIGHT(H134,LEN(H134)-4)/10000</f>
        <v>23.328099999999999</v>
      </c>
      <c r="AA134" s="62">
        <f>ABS(Z134-Y134)</f>
        <v>23.279899999999998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0221-04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/stypes="app*4014*20170405*" /stext=" 01:.+((SYSTEM_STATE.+slice.+state.+changed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9"/>
        <v>"%USERPROFILE%\Documents\GitHub\eaglep3\Utilities\RefineRTDCRunTimes.py" --tripid 221-04 --locoid 4014 --swversion DE.1.0.9.0 --startMP 204:482 --initTime 2017-04-04T18:59:16 --startdatetime 2017-04-04T19:01:05 --delay 0 --endMP 204:233281 --enddatetime 2017-04-04T19:37:17 --enforcementcount 0 &gt;&gt;C:\Users\stu\Documents\GitHub\eaglep3-reporting\EC\2017-04-04-refined-times.txt</v>
      </c>
      <c r="AI134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{"issue":{"subject":"","project_id":79,"tracker_id":40,"status_id":1,"priority_id":2,"assigned_to_id":23,"start_date":"2017-04-04","description":"","custom_fields":[{"id":1,"name":"Subdivision","value":"EC"},{"id":4,"name":"Milepost","value":"23.3281"},{"id":17,"name":"Train ID","value":"221-04"},{"id":16,"name":"Locomotive ID","value":"4014"},{"id":130,"name":"Impact","value":""},{"id":150,"name":"Time of Event (Mountain Time)","value":"19:37:17"},{"id":151,"name":"Denver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11"/>
        <v>start /low /b %USERPROFILE%\Documents\GitHub\eaglep3\Utilities\DownloadLogsFromS3.py --loco 4014 --day 2017-04-04</v>
      </c>
      <c r="AN134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623</v>
      </c>
      <c r="B135" s="7">
        <v>4013</v>
      </c>
      <c r="C135" s="21" t="s">
        <v>217</v>
      </c>
      <c r="D135" s="21" t="s">
        <v>546</v>
      </c>
      <c r="E135" s="13">
        <v>42829.828750000001</v>
      </c>
      <c r="F135" s="13">
        <v>42829.831041666665</v>
      </c>
      <c r="G135" s="7">
        <v>1</v>
      </c>
      <c r="H135" s="21" t="s">
        <v>213</v>
      </c>
      <c r="I135" s="13">
        <v>42829.860115740739</v>
      </c>
      <c r="J135" s="7">
        <v>0</v>
      </c>
      <c r="K135" s="97" t="str">
        <f>IF(ISEVEN(B135),(B135-1)&amp;"/"&amp;B135,B135&amp;"/"&amp;(B135+1))</f>
        <v>4013/4014</v>
      </c>
      <c r="L135" s="21" t="str">
        <f>VLOOKUP(A135,'Trips&amp;Operators'!$C$1:$G$99999,5,FALSE)</f>
        <v>CHANDLER KELVIN</v>
      </c>
      <c r="M135" s="6">
        <f>I135-F135</f>
        <v>2.9074074074742384E-2</v>
      </c>
      <c r="N135" s="7">
        <f>24*60*SUM($M135:$M135)</f>
        <v>41.866666667629033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183" t="str">
        <f>IF(AA135&lt;IF(AG135="EC",23,5.65),"Y","N")</f>
        <v>N</v>
      </c>
      <c r="X135" s="183">
        <f>VALUE(LEFT(AD135,4))-VALUE(LEFT(AD134,4))</f>
        <v>1</v>
      </c>
      <c r="Y135" s="62">
        <f>RIGHT(D135,LEN(D135)-4)/10000</f>
        <v>23.2957</v>
      </c>
      <c r="Z135" s="62">
        <f>RIGHT(H135,LEN(H135)-4)/10000</f>
        <v>1.5599999999999999E-2</v>
      </c>
      <c r="AA135" s="62">
        <f>ABS(Z135-Y135)</f>
        <v>23.280100000000001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>IF(LEN(A135)=6,"0"&amp;A135,A135)</f>
        <v>0222-04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/stypes="app*4013*20170405*" /stext=" 02:.+((SYSTEM_STATE.+slice.+state.+changed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9"/>
        <v>"%USERPROFILE%\Documents\GitHub\eaglep3\Utilities\RefineRTDCRunTimes.py" --tripid 222-04 --locoid 4013 --swversion DE.1.0.9.0 --startMP 204:232957 --initTime 2017-04-04T19:53:24 --startdatetime 2017-04-04T19:56:42 --delay 1 --endMP 204:156 --enddatetime 2017-04-04T20:38:34 --enforcementcount 0 &gt;&gt;C:\Users\stu\Documents\GitHub\eaglep3-reporting\EC\2017-04-04-refined-times.txt</v>
      </c>
      <c r="AI135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ID","value":"222-04"},{"id":16,"name":"Locomotive ID","value":"4013"},{"id":130,"name":"Impact","value":""},{"id":150,"name":"Time of Event (Mountain Time)","value":"20:38:34"},{"id":151,"name":"Denver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11"/>
        <v>start /low /b %USERPROFILE%\Documents\GitHub\eaglep3\Utilities\DownloadLogsFromS3.py --loco 4013 --day 2017-04-04</v>
      </c>
      <c r="AN135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792</v>
      </c>
      <c r="B136" s="7">
        <v>4004</v>
      </c>
      <c r="C136" s="21" t="s">
        <v>217</v>
      </c>
      <c r="D136" s="21" t="s">
        <v>484</v>
      </c>
      <c r="E136" s="13">
        <v>42829.810347222221</v>
      </c>
      <c r="F136" s="13">
        <v>42829.812696759262</v>
      </c>
      <c r="G136" s="7">
        <v>1</v>
      </c>
      <c r="H136" s="21" t="s">
        <v>535</v>
      </c>
      <c r="I136" s="13">
        <v>42829.83761574074</v>
      </c>
      <c r="J136" s="7">
        <v>0</v>
      </c>
      <c r="K136" s="97" t="str">
        <f>IF(ISEVEN(B136),(B136-1)&amp;"/"&amp;B136,B136&amp;"/"&amp;(B136+1))</f>
        <v>4003/4004</v>
      </c>
      <c r="L136" s="21" t="str">
        <f>VLOOKUP(A136,'Trips&amp;Operators'!$C$1:$G$99999,5,FALSE)</f>
        <v>LALONDE GREGORY</v>
      </c>
      <c r="M136" s="6">
        <f>I136-F136</f>
        <v>2.491898147854954E-2</v>
      </c>
      <c r="N136" s="7">
        <f>24*60*SUM($M136:$M136)</f>
        <v>35.883333329111338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-04T18:26:54-0600',mode:absolute,to:'2017-04-04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83" t="str">
        <f>IF(AA136&lt;IF(AG136="EC",23,5.65),"Y","N")</f>
        <v>N</v>
      </c>
      <c r="X136" s="183">
        <f>VALUE(LEFT(AD136,4))-VALUE(LEFT(AD135,4))</f>
        <v>1</v>
      </c>
      <c r="Y136" s="62">
        <f>RIGHT(D136,LEN(D136)-4)/10000</f>
        <v>4.58E-2</v>
      </c>
      <c r="Z136" s="62">
        <f>RIGHT(H136,LEN(H136)-4)/10000</f>
        <v>23.331900000000001</v>
      </c>
      <c r="AA136" s="62">
        <f>ABS(Z136-Y136)</f>
        <v>23.286100000000001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0223-04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/stypes="app*4004*20170405*" /stext=" 02:.+((SYSTEM_STATE.+slice.+state.+changed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9"/>
        <v>"%USERPROFILE%\Documents\GitHub\eaglep3\Utilities\RefineRTDCRunTimes.py" --tripid 223-04 --locoid 4004 --swversion DE.1.0.9.0 --startMP 204:458 --initTime 2017-04-04T19:26:54 --startdatetime 2017-04-04T19:30:17 --delay 1 --endMP 204:233319 --enddatetime 2017-04-04T20:06:10 --enforcementcount 0 &gt;&gt;C:\Users\stu\Documents\GitHub\eaglep3-reporting\EC\2017-04-04-refined-times.txt</v>
      </c>
      <c r="AI136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ID","value":"223-04"},{"id":16,"name":"Locomotive ID","value":"4004"},{"id":130,"name":"Impact","value":""},{"id":150,"name":"Time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11"/>
        <v>start /low /b %USERPROFILE%\Documents\GitHub\eaglep3\Utilities\DownloadLogsFromS3.py --loco 4004 --day 2017-04-04</v>
      </c>
      <c r="AN136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797</v>
      </c>
      <c r="B137" s="7">
        <v>4003</v>
      </c>
      <c r="C137" s="21" t="s">
        <v>217</v>
      </c>
      <c r="D137" s="21" t="s">
        <v>901</v>
      </c>
      <c r="E137" s="13">
        <v>42829.845335648148</v>
      </c>
      <c r="F137" s="13">
        <v>42829.851539351854</v>
      </c>
      <c r="G137" s="7">
        <v>1</v>
      </c>
      <c r="H137" s="21" t="s">
        <v>425</v>
      </c>
      <c r="I137" s="13">
        <v>42829.879282407404</v>
      </c>
      <c r="J137" s="7">
        <v>0</v>
      </c>
      <c r="K137" s="97" t="str">
        <f>IF(ISEVEN(B137),(B137-1)&amp;"/"&amp;B137,B137&amp;"/"&amp;(B137+1))</f>
        <v>4003/4004</v>
      </c>
      <c r="L137" s="21" t="str">
        <f>VLOOKUP(A137,'Trips&amp;Operators'!$C$1:$G$99999,5,FALSE)</f>
        <v>LALONDE GREGORY</v>
      </c>
      <c r="M137" s="6">
        <f>I137-F137</f>
        <v>2.774305555067258E-2</v>
      </c>
      <c r="N137" s="7">
        <f>24*60*SUM($M137:$M137)</f>
        <v>39.949999992968515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83" t="str">
        <f>IF(AA137&lt;IF(AG137="EC",23,5.65),"Y","N")</f>
        <v>N</v>
      </c>
      <c r="X137" s="183">
        <f>VALUE(LEFT(AD137,4))-VALUE(LEFT(AD136,4))</f>
        <v>1</v>
      </c>
      <c r="Y137" s="62">
        <f>RIGHT(D137,LEN(D137)-4)/10000</f>
        <v>23.3004</v>
      </c>
      <c r="Z137" s="62">
        <f>RIGHT(H137,LEN(H137)-4)/10000</f>
        <v>1.41E-2</v>
      </c>
      <c r="AA137" s="62">
        <f>ABS(Z137-Y137)</f>
        <v>23.286300000000001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0224-04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/stypes="app*4003*20170405*" /stext=" 03:.+((SYSTEM_STATE.+slice.+state.+changed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9"/>
        <v>"%USERPROFILE%\Documents\GitHub\eaglep3\Utilities\RefineRTDCRunTimes.py" --tripid 224-04 --locoid 4003 --swversion DE.1.0.9.0 --startMP 204:233004 --initTime 2017-04-04T20:17:17 --startdatetime 2017-04-04T20:26:13 --delay 1 --endMP 204:141 --enddatetime 2017-04-04T21:06:10 --enforcementcount 0 &gt;&gt;C:\Users\stu\Documents\GitHub\eaglep3-reporting\EC\2017-04-04-refined-times.txt</v>
      </c>
      <c r="AI137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ID","value":"224-04"},{"id":16,"name":"Locomotive ID","value":"4003"},{"id":130,"name":"Impact","value":""},{"id":150,"name":"Time of Event (Mountain Time)","value":"21:06:10"},{"id":151,"name":"Denver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11"/>
        <v>start /low /b %USERPROFILE%\Documents\GitHub\eaglep3\Utilities\DownloadLogsFromS3.py --loco 4003 --day 2017-04-04</v>
      </c>
      <c r="AN137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624</v>
      </c>
      <c r="B138" s="7">
        <v>4010</v>
      </c>
      <c r="C138" s="21" t="s">
        <v>217</v>
      </c>
      <c r="D138" s="21" t="s">
        <v>462</v>
      </c>
      <c r="E138" s="13">
        <v>42829.828865740739</v>
      </c>
      <c r="F138" s="13">
        <v>42829.833599537036</v>
      </c>
      <c r="G138" s="7">
        <v>2</v>
      </c>
      <c r="H138" s="21" t="s">
        <v>902</v>
      </c>
      <c r="I138" s="13">
        <v>42829.859247685185</v>
      </c>
      <c r="J138" s="7">
        <v>0</v>
      </c>
      <c r="K138" s="97" t="str">
        <f>IF(ISEVEN(B138),(B138-1)&amp;"/"&amp;B138,B138&amp;"/"&amp;(B138+1))</f>
        <v>4009/4010</v>
      </c>
      <c r="L138" s="21" t="str">
        <f>VLOOKUP(A138,'Trips&amp;Operators'!$C$1:$G$99999,5,FALSE)</f>
        <v>STORY SAMANTHA</v>
      </c>
      <c r="M138" s="6">
        <f>I138-F138</f>
        <v>2.5648148148320615E-2</v>
      </c>
      <c r="N138" s="7">
        <f>24*60*SUM($M138:$M138)</f>
        <v>36.933333333581686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183" t="str">
        <f>IF(AA138&lt;IF(AG138="EC",23,5.65),"Y","N")</f>
        <v>N</v>
      </c>
      <c r="X138" s="183">
        <f>VALUE(LEFT(AD138,4))-VALUE(LEFT(AD137,4))</f>
        <v>1</v>
      </c>
      <c r="Y138" s="62">
        <f>RIGHT(D138,LEN(D138)-4)/10000</f>
        <v>4.6600000000000003E-2</v>
      </c>
      <c r="Z138" s="62">
        <f>RIGHT(H138,LEN(H138)-4)/10000</f>
        <v>23.334900000000001</v>
      </c>
      <c r="AA138" s="62">
        <f>ABS(Z138-Y138)</f>
        <v>23.2883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0225-04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/stypes="app*4010*20170405*" /stext=" 02:.+((SYSTEM_STATE.+slice.+state.+changed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9"/>
        <v>"%USERPROFILE%\Documents\GitHub\eaglep3\Utilities\RefineRTDCRunTimes.py" --tripid 225-04 --locoid 4010 --swversion DE.1.0.9.0 --startMP 204:466 --initTime 2017-04-04T19:53:34 --startdatetime 2017-04-04T20:00:23 --delay 2 --endMP 204:233349 --enddatetime 2017-04-04T20:37:19 --enforcementcount 0 &gt;&gt;C:\Users\stu\Documents\GitHub\eaglep3-reporting\EC\2017-04-04-refined-times.txt</v>
      </c>
      <c r="AI138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{"issue":{"subject":"","project_id":79,"tracker_id":40,"status_id":1,"priority_id":2,"assigned_to_id":23,"start_date":"2017-04-04","description":"","custom_fields":[{"id":1,"name":"Subdivision","value":"EC"},{"id":4,"name":"Milepost","value":"23.3349"},{"id":17,"name":"Train ID","value":"225-04"},{"id":16,"name":"Locomotive ID","value":"4010"},{"id":130,"name":"Impact","value":""},{"id":150,"name":"Time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11"/>
        <v>start /low /b %USERPROFILE%\Documents\GitHub\eaglep3\Utilities\DownloadLogsFromS3.py --loco 4010 --day 2017-04-04</v>
      </c>
      <c r="AN138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626</v>
      </c>
      <c r="B139" s="7">
        <v>4009</v>
      </c>
      <c r="C139" s="21" t="s">
        <v>217</v>
      </c>
      <c r="D139" s="21" t="s">
        <v>452</v>
      </c>
      <c r="E139" s="13">
        <v>42829.867418981485</v>
      </c>
      <c r="F139" s="13">
        <v>42829.872534722221</v>
      </c>
      <c r="G139" s="7">
        <v>1</v>
      </c>
      <c r="H139" s="21" t="s">
        <v>903</v>
      </c>
      <c r="I139" s="13">
        <v>42829.899918981479</v>
      </c>
      <c r="J139" s="7">
        <v>0</v>
      </c>
      <c r="K139" s="97" t="str">
        <f>IF(ISEVEN(B139),(B139-1)&amp;"/"&amp;B139,B139&amp;"/"&amp;(B139+1))</f>
        <v>4009/4010</v>
      </c>
      <c r="L139" s="21" t="str">
        <f>VLOOKUP(A139,'Trips&amp;Operators'!$C$1:$G$99999,5,FALSE)</f>
        <v>STORY SAMANTHA</v>
      </c>
      <c r="M139" s="6">
        <f>I139-F139</f>
        <v>2.7384259257814847E-2</v>
      </c>
      <c r="N139" s="7">
        <f>24*60*SUM($M139:$M139)</f>
        <v>39.43333333125338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183" t="str">
        <f>IF(AA139&lt;IF(AG139="EC",23,5.65),"Y","N")</f>
        <v>N</v>
      </c>
      <c r="X139" s="183">
        <f>VALUE(LEFT(AD139,4))-VALUE(LEFT(AD138,4))</f>
        <v>1</v>
      </c>
      <c r="Y139" s="62">
        <f>RIGHT(D139,LEN(D139)-4)/10000</f>
        <v>23.302499999999998</v>
      </c>
      <c r="Z139" s="62">
        <f>RIGHT(H139,LEN(H139)-4)/10000</f>
        <v>0.27650000000000002</v>
      </c>
      <c r="AA139" s="62">
        <f>ABS(Z139-Y139)</f>
        <v>23.026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0226-04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/stypes="app*4009*20170405*" /stext=" 03:.+((SYSTEM_STATE.+slice.+state.+changed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si="9"/>
        <v>"%USERPROFILE%\Documents\GitHub\eaglep3\Utilities\RefineRTDCRunTimes.py" --tripid 226-04 --locoid 4009 --swversion DE.1.0.9.0 --startMP 204:233025 --initTime 2017-04-04T20:49:05 --startdatetime 2017-04-04T20:56:27 --delay 1 --endMP 204:2765 --enddatetime 2017-04-04T21:35:53 --enforcementcount 0 &gt;&gt;C:\Users\stu\Documents\GitHub\eaglep3-reporting\EC\2017-04-04-refined-times.txt</v>
      </c>
      <c r="AI139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{"issue":{"subject":"","project_id":79,"tracker_id":40,"status_id":1,"priority_id":2,"assigned_to_id":23,"start_date":"2017-04-04","description":"","custom_fields":[{"id":1,"name":"Subdivision","value":"EC"},{"id":4,"name":"Milepost","value":"0.2765"},{"id":17,"name":"Train ID","value":"226-04"},{"id":16,"name":"Locomotive ID","value":"4009"},{"id":130,"name":"Impact","value":""},{"id":150,"name":"Time of Event (Mountain Time)","value":"21:35:53"},{"id":151,"name":"Denver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11"/>
        <v>start /low /b %USERPROFILE%\Documents\GitHub\eaglep3\Utilities\DownloadLogsFromS3.py --loco 4009 --day 2017-04-04</v>
      </c>
      <c r="AN139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796</v>
      </c>
      <c r="B140" s="7">
        <v>4046</v>
      </c>
      <c r="C140" s="21" t="s">
        <v>217</v>
      </c>
      <c r="D140" s="21" t="s">
        <v>850</v>
      </c>
      <c r="E140" s="13">
        <v>42829.843252314815</v>
      </c>
      <c r="F140" s="13">
        <v>42829.854363425926</v>
      </c>
      <c r="G140" s="7">
        <v>1</v>
      </c>
      <c r="H140" s="21" t="s">
        <v>881</v>
      </c>
      <c r="I140" s="13">
        <v>42829.880462962959</v>
      </c>
      <c r="J140" s="7">
        <v>0</v>
      </c>
      <c r="K140" s="97" t="str">
        <f>IF(ISEVEN(B140),(B140-1)&amp;"/"&amp;B140,B140&amp;"/"&amp;(B140+1))</f>
        <v>4045/4046</v>
      </c>
      <c r="L140" s="21" t="str">
        <f>VLOOKUP(A140,'Trips&amp;Operators'!$C$1:$G$99999,5,FALSE)</f>
        <v>GUZMAN DANNY</v>
      </c>
      <c r="M140" s="6">
        <f>I140-F140</f>
        <v>2.6099537033587694E-2</v>
      </c>
      <c r="N140" s="7">
        <f>24*60*SUM($M140:$M140)</f>
        <v>37.58333332836628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-04T19:14:17-0600',mode:absolute,to:'2017-04-04T22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83" t="str">
        <f>IF(AA140&lt;IF(AG140="EC",23,5.65),"Y","N")</f>
        <v>N</v>
      </c>
      <c r="X140" s="183">
        <f>VALUE(LEFT(AD140,4))-VALUE(LEFT(AD139,4))</f>
        <v>1</v>
      </c>
      <c r="Y140" s="62">
        <f>RIGHT(D140,LEN(D140)-4)/10000</f>
        <v>4.3499999999999997E-2</v>
      </c>
      <c r="Z140" s="62">
        <f>RIGHT(H140,LEN(H140)-4)/10000</f>
        <v>23.332699999999999</v>
      </c>
      <c r="AA140" s="62">
        <f>ABS(Z140-Y140)</f>
        <v>23.289199999999997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0227-04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/stypes="app*4046*20170405*" /stext=" 03:.+((SYSTEM_STATE.+slice.+state.+changed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9"/>
        <v>"%USERPROFILE%\Documents\GitHub\eaglep3\Utilities\RefineRTDCRunTimes.py" --tripid 227-04 --locoid 4046 --swversion DE.1.0.9.0 --startMP 204:435 --initTime 2017-04-04T20:14:17 --startdatetime 2017-04-04T20:30:17 --delay 1 --endMP 204:233327 --enddatetime 2017-04-04T21:07:52 --enforcementcount 0 &gt;&gt;C:\Users\stu\Documents\GitHub\eaglep3-reporting\EC\2017-04-04-refined-times.txt</v>
      </c>
      <c r="AI140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ID","value":"227-04"},{"id":16,"name":"Locomotive ID","value":"4046"},{"id":130,"name":"Impact","value":""},{"id":150,"name":"Time of Event (Mountain Time)","value":"21:07:52"},{"id":151,"name":"Denver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11"/>
        <v>start /low /b %USERPROFILE%\Documents\GitHub\eaglep3\Utilities\DownloadLogsFromS3.py --loco 4046 --day 2017-04-04</v>
      </c>
      <c r="AN140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801</v>
      </c>
      <c r="B141" s="7">
        <v>4045</v>
      </c>
      <c r="C141" s="21" t="s">
        <v>217</v>
      </c>
      <c r="D141" s="21" t="s">
        <v>453</v>
      </c>
      <c r="E141" s="13">
        <v>42829.884641203702</v>
      </c>
      <c r="F141" s="13">
        <v>42829.893229166664</v>
      </c>
      <c r="G141" s="7">
        <v>1</v>
      </c>
      <c r="H141" s="21" t="s">
        <v>199</v>
      </c>
      <c r="I141" s="13">
        <v>42829.921203703707</v>
      </c>
      <c r="J141" s="7">
        <v>0</v>
      </c>
      <c r="K141" s="97" t="str">
        <f>IF(ISEVEN(B141),(B141-1)&amp;"/"&amp;B141,B141&amp;"/"&amp;(B141+1))</f>
        <v>4045/4046</v>
      </c>
      <c r="L141" s="21" t="str">
        <f>VLOOKUP(A141,'Trips&amp;Operators'!$C$1:$G$99999,5,FALSE)</f>
        <v>GUZMAN DANNY</v>
      </c>
      <c r="M141" s="6">
        <f>I141-F141</f>
        <v>2.7974537042609882E-2</v>
      </c>
      <c r="N141" s="7">
        <f>24*60*SUM($M141:$M141)</f>
        <v>40.28333334135823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83" t="str">
        <f>IF(AA141&lt;IF(AG141="EC",23,5.65),"Y","N")</f>
        <v>N</v>
      </c>
      <c r="X141" s="183">
        <f>VALUE(LEFT(AD141,4))-VALUE(LEFT(AD140,4))</f>
        <v>1</v>
      </c>
      <c r="Y141" s="62">
        <f>RIGHT(D141,LEN(D141)-4)/10000</f>
        <v>23.3</v>
      </c>
      <c r="Z141" s="62">
        <f>RIGHT(H141,LEN(H141)-4)/10000</f>
        <v>1.52E-2</v>
      </c>
      <c r="AA141" s="62">
        <f>ABS(Z141-Y141)</f>
        <v>23.284800000000001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0228-04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/stypes="app*4045*20170405*" /stext=" 04:.+((SYSTEM_STATE.+slice.+state.+changed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9"/>
        <v>"%USERPROFILE%\Documents\GitHub\eaglep3\Utilities\RefineRTDCRunTimes.py" --tripid 228-04 --locoid 4045 --swversion DE.1.0.9.0 --startMP 204:233000 --initTime 2017-04-04T21:13:53 --startdatetime 2017-04-04T21:26:15 --delay 1 --endMP 204:152 --enddatetime 2017-04-04T22:06:32 --enforcementcount 0 &gt;&gt;C:\Users\stu\Documents\GitHub\eaglep3-reporting\EC\2017-04-04-refined-times.txt</v>
      </c>
      <c r="AI141" s="104" t="str">
        <f t="shared" si="10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ID","value":"228-04"},{"id":16,"name":"Locomotive ID","value":"4045"},{"id":130,"name":"Impact","value":""},{"id":150,"name":"Time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11"/>
        <v>start /low /b %USERPROFILE%\Documents\GitHub\eaglep3\Utilities\DownloadLogsFromS3.py --loco 4045 --day 2017-04-04</v>
      </c>
      <c r="AN141" s="159" t="str">
        <f t="shared" si="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799</v>
      </c>
      <c r="B142" s="7">
        <v>4014</v>
      </c>
      <c r="C142" s="21" t="s">
        <v>217</v>
      </c>
      <c r="D142" s="21" t="s">
        <v>206</v>
      </c>
      <c r="E142" s="13">
        <v>42829.874745370369</v>
      </c>
      <c r="F142" s="13">
        <v>42829.875648148147</v>
      </c>
      <c r="G142" s="7">
        <v>0</v>
      </c>
      <c r="H142" s="21" t="s">
        <v>887</v>
      </c>
      <c r="I142" s="13">
        <v>42829.900879629633</v>
      </c>
      <c r="J142" s="7">
        <v>0</v>
      </c>
      <c r="K142" s="97" t="str">
        <f>IF(ISEVEN(B142),(B142-1)&amp;"/"&amp;B142,B142&amp;"/"&amp;(B142+1))</f>
        <v>4013/4014</v>
      </c>
      <c r="L142" s="21" t="str">
        <f>VLOOKUP(A142,'Trips&amp;Operators'!$C$1:$G$99999,5,FALSE)</f>
        <v>CHANDLER KELVIN</v>
      </c>
      <c r="M142" s="6">
        <f>I142-F142</f>
        <v>2.5231481486116536E-2</v>
      </c>
      <c r="N142" s="7">
        <f>24*60*SUM($M142:$M142)</f>
        <v>36.333333340007812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-04T19:59:38-0600',mode:absolute,to:'2017-04-04T22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83" t="str">
        <f>IF(AA142&lt;IF(AG142="EC",23,5.65),"Y","N")</f>
        <v>N</v>
      </c>
      <c r="X142" s="183">
        <f>VALUE(LEFT(AD142,4))-VALUE(LEFT(AD141,4))</f>
        <v>1</v>
      </c>
      <c r="Y142" s="62">
        <f>RIGHT(D142,LEN(D142)-4)/10000</f>
        <v>4.5100000000000001E-2</v>
      </c>
      <c r="Z142" s="62">
        <f>RIGHT(H142,LEN(H142)-4)/10000</f>
        <v>23.33</v>
      </c>
      <c r="AA142" s="62">
        <f>ABS(Z142-Y142)</f>
        <v>23.284899999999997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0229-04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/stypes="app*4014*20170405*" /stext=" 03:.+((SYSTEM_STATE.+slice.+state.+changed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ref="AH142:AH203" si="1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229-04 --locoid 4014 --swversion DE.1.0.9.0 --startMP 204:451 --initTime 2017-04-04T20:59:38 --startdatetime 2017-04-04T21:00:56 --delay 0 --endMP 204:233300 --enddatetime 2017-04-04T21:37:16 --enforcementcount 0 &gt;&gt;C:\Users\stu\Documents\GitHub\eaglep3-reporting\EC\2017-04-04-refined-times.txt</v>
      </c>
      <c r="AI142" s="104" t="str">
        <f t="shared" ref="AI142:AI203" si="1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ID","value":"229-04"},{"id":16,"name":"Locomotive ID","value":"4014"},{"id":130,"name":"Impact","value":""},{"id":150,"name":"Time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3" si="16">"start /low /b "&amp;dls3logs&amp;" --loco "&amp;B142&amp;" --day "&amp;TEXT(F142,"YYYY-MM-DD")</f>
        <v>start /low /b %USERPROFILE%\Documents\GitHub\eaglep3\Utilities\DownloadLogsFromS3.py --loco 4014 --day 2017-04-04</v>
      </c>
      <c r="AN142" s="159" t="str">
        <f t="shared" ref="AN142:AN203" si="1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804</v>
      </c>
      <c r="B143" s="7">
        <v>4013</v>
      </c>
      <c r="C143" s="21" t="s">
        <v>217</v>
      </c>
      <c r="D143" s="21" t="s">
        <v>486</v>
      </c>
      <c r="E143" s="13">
        <v>42829.909212962964</v>
      </c>
      <c r="F143" s="13">
        <v>42829.914421296293</v>
      </c>
      <c r="G143" s="7">
        <v>1</v>
      </c>
      <c r="H143" s="21" t="s">
        <v>214</v>
      </c>
      <c r="I143" s="13">
        <v>42829.942523148151</v>
      </c>
      <c r="J143" s="7">
        <v>0</v>
      </c>
      <c r="K143" s="97" t="str">
        <f>IF(ISEVEN(B143),(B143-1)&amp;"/"&amp;B143,B143&amp;"/"&amp;(B143+1))</f>
        <v>4013/4014</v>
      </c>
      <c r="L143" s="21" t="str">
        <f>VLOOKUP(A143,'Trips&amp;Operators'!$C$1:$G$99999,5,FALSE)</f>
        <v>CHANDLER KELVIN</v>
      </c>
      <c r="M143" s="6">
        <f>I143-F143</f>
        <v>2.8101851858082227E-2</v>
      </c>
      <c r="N143" s="7">
        <f>24*60*SUM($M143:$M143)</f>
        <v>40.466666675638407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83" t="str">
        <f>IF(AA143&lt;IF(AG143="EC",23,5.65),"Y","N")</f>
        <v>N</v>
      </c>
      <c r="X143" s="183">
        <f>VALUE(LEFT(AD143,4))-VALUE(LEFT(AD142,4))</f>
        <v>1</v>
      </c>
      <c r="Y143" s="62">
        <f>RIGHT(D143,LEN(D143)-4)/10000</f>
        <v>23.298500000000001</v>
      </c>
      <c r="Z143" s="62">
        <f>RIGHT(H143,LEN(H143)-4)/10000</f>
        <v>1.47E-2</v>
      </c>
      <c r="AA143" s="62">
        <f>ABS(Z143-Y143)</f>
        <v>23.283799999999999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0230-04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/stypes="app*4013*20170405*" /stext=" 04:.+((SYSTEM_STATE.+slice.+state.+changed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si="14"/>
        <v>"%USERPROFILE%\Documents\GitHub\eaglep3\Utilities\RefineRTDCRunTimes.py" --tripid 230-04 --locoid 4013 --swversion DE.1.0.9.0 --startMP 204:232985 --initTime 2017-04-04T21:49:16 --startdatetime 2017-04-04T21:56:46 --delay 1 --endMP 204:147 --enddatetime 2017-04-04T22:37:14 --enforcementcount 0 &gt;&gt;C:\Users\stu\Documents\GitHub\eaglep3-reporting\EC\2017-04-04-refined-times.txt</v>
      </c>
      <c r="AI143" s="104" t="str">
        <f t="shared" si="15"/>
        <v>echo {"issue":{"subject":"","project_id":79,"tracker_id":40,"status_id":1,"priority_id":2,"assigned_to_id":23,"start_date":"2017-04-04","description":"","custom_fields":[{"id":1,"name":"Subdivision","value":"EC"},{"id":4,"name":"Milepost","value":"0.0147"},{"id":17,"name":"Train ID","value":"230-04"},{"id":16,"name":"Locomotive ID","value":"4013"},{"id":130,"name":"Impact","value":""},{"id":150,"name":"Time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16"/>
        <v>start /low /b %USERPROFILE%\Documents\GitHub\eaglep3\Utilities\DownloadLogsFromS3.py --loco 4013 --day 2017-04-04</v>
      </c>
      <c r="AN143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802</v>
      </c>
      <c r="B144" s="7">
        <v>4004</v>
      </c>
      <c r="C144" s="21" t="s">
        <v>217</v>
      </c>
      <c r="D144" s="21" t="s">
        <v>458</v>
      </c>
      <c r="E144" s="13">
        <v>42829.893229166664</v>
      </c>
      <c r="F144" s="13">
        <v>42829.895972222221</v>
      </c>
      <c r="G144" s="7">
        <v>1</v>
      </c>
      <c r="H144" s="21" t="s">
        <v>400</v>
      </c>
      <c r="I144" s="13">
        <v>42829.920659722222</v>
      </c>
      <c r="J144" s="7">
        <v>0</v>
      </c>
      <c r="K144" s="97" t="str">
        <f>IF(ISEVEN(B144),(B144-1)&amp;"/"&amp;B144,B144&amp;"/"&amp;(B144+1))</f>
        <v>4003/4004</v>
      </c>
      <c r="L144" s="21" t="str">
        <f>VLOOKUP(A144,'Trips&amp;Operators'!$C$1:$G$99999,5,FALSE)</f>
        <v>NEWELL JAMES</v>
      </c>
      <c r="M144" s="6">
        <f>I144-F144</f>
        <v>2.4687500001164153E-2</v>
      </c>
      <c r="N144" s="7">
        <f>24*60*SUM($M144:$M144)</f>
        <v>35.550000001676381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-04T20:26:15-0600',mode:absolute,to:'2017-04-04T23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183" t="str">
        <f>IF(AA144&lt;IF(AG144="EC",23,5.65),"Y","N")</f>
        <v>N</v>
      </c>
      <c r="X144" s="183">
        <f>VALUE(LEFT(AD144,4))-VALUE(LEFT(AD143,4))</f>
        <v>1</v>
      </c>
      <c r="Y144" s="62">
        <f>RIGHT(D144,LEN(D144)-4)/10000</f>
        <v>4.7100000000000003E-2</v>
      </c>
      <c r="Z144" s="62">
        <f>RIGHT(H144,LEN(H144)-4)/10000</f>
        <v>23.331399999999999</v>
      </c>
      <c r="AA144" s="62">
        <f>ABS(Z144-Y144)</f>
        <v>23.284299999999998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0231-04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/stypes="app*4004*20170405*" /stext=" 04:.+((SYSTEM_STATE.+slice.+state.+changed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14"/>
        <v>"%USERPROFILE%\Documents\GitHub\eaglep3\Utilities\RefineRTDCRunTimes.py" --tripid 231-04 --locoid 4004 --swversion DE.1.0.9.0 --startMP 204:471 --initTime 2017-04-04T21:26:15 --startdatetime 2017-04-04T21:30:12 --delay 1 --endMP 204:233314 --enddatetime 2017-04-04T22:05:45 --enforcementcount 0 &gt;&gt;C:\Users\stu\Documents\GitHub\eaglep3-reporting\EC\2017-04-04-refined-times.txt</v>
      </c>
      <c r="AI144" s="104" t="str">
        <f t="shared" si="15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ID","value":"231-04"},{"id":16,"name":"Locomotive ID","value":"4004"},{"id":130,"name":"Impact","value":""},{"id":150,"name":"Time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16"/>
        <v>start /low /b %USERPROFILE%\Documents\GitHub\eaglep3\Utilities\DownloadLogsFromS3.py --loco 4004 --day 2017-04-04</v>
      </c>
      <c r="AN144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808</v>
      </c>
      <c r="B145" s="7">
        <v>4003</v>
      </c>
      <c r="C145" s="21" t="s">
        <v>217</v>
      </c>
      <c r="D145" s="21" t="s">
        <v>491</v>
      </c>
      <c r="E145" s="13">
        <v>42829.931817129633</v>
      </c>
      <c r="F145" s="13">
        <v>42829.934849537036</v>
      </c>
      <c r="G145" s="7">
        <v>1</v>
      </c>
      <c r="H145" s="21" t="s">
        <v>408</v>
      </c>
      <c r="I145" s="13">
        <v>42829.961817129632</v>
      </c>
      <c r="J145" s="7">
        <v>0</v>
      </c>
      <c r="K145" s="97" t="str">
        <f>IF(ISEVEN(B145),(B145-1)&amp;"/"&amp;B145,B145&amp;"/"&amp;(B145+1))</f>
        <v>4003/4004</v>
      </c>
      <c r="L145" s="21" t="str">
        <f>VLOOKUP(A145,'Trips&amp;Operators'!$C$1:$G$99999,5,FALSE)</f>
        <v>NEWELL JAMES</v>
      </c>
      <c r="M145" s="6">
        <f>I145-F145</f>
        <v>2.6967592595610768E-2</v>
      </c>
      <c r="N145" s="7">
        <f>24*60*SUM($M145:$M145)</f>
        <v>38.833333337679505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183" t="str">
        <f>IF(AA145&lt;IF(AG145="EC",23,5.65),"Y","N")</f>
        <v>N</v>
      </c>
      <c r="X145" s="183">
        <f>VALUE(LEFT(AD145,4))-VALUE(LEFT(AD144,4))</f>
        <v>1</v>
      </c>
      <c r="Y145" s="62">
        <f>RIGHT(D145,LEN(D145)-4)/10000</f>
        <v>23.299099999999999</v>
      </c>
      <c r="Z145" s="62">
        <f>RIGHT(H145,LEN(H145)-4)/10000</f>
        <v>1.61E-2</v>
      </c>
      <c r="AA145" s="62">
        <f>ABS(Z145-Y145)</f>
        <v>23.282999999999998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0232-04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/stypes="app*4003*20170405*" /stext=" 05:.+((SYSTEM_STATE.+slice.+state.+changed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14"/>
        <v>"%USERPROFILE%\Documents\GitHub\eaglep3\Utilities\RefineRTDCRunTimes.py" --tripid 232-04 --locoid 4003 --swversion DE.1.0.9.0 --startMP 204:232991 --initTime 2017-04-04T22:21:49 --startdatetime 2017-04-04T22:26:11 --delay 1 --endMP 204:161 --enddatetime 2017-04-04T23:05:01 --enforcementcount 0 &gt;&gt;C:\Users\stu\Documents\GitHub\eaglep3-reporting\EC\2017-04-04-refined-times.txt</v>
      </c>
      <c r="AI145" s="104" t="str">
        <f t="shared" si="15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ID","value":"232-04"},{"id":16,"name":"Locomotive ID","value":"4003"},{"id":130,"name":"Impact","value":""},{"id":150,"name":"Time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16"/>
        <v>start /low /b %USERPROFILE%\Documents\GitHub\eaglep3\Utilities\DownloadLogsFromS3.py --loco 4003 --day 2017-04-04</v>
      </c>
      <c r="AN145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805</v>
      </c>
      <c r="B146" s="7">
        <v>4010</v>
      </c>
      <c r="C146" s="21" t="s">
        <v>217</v>
      </c>
      <c r="D146" s="21" t="s">
        <v>866</v>
      </c>
      <c r="E146" s="13">
        <v>42829.912268518521</v>
      </c>
      <c r="F146" s="13">
        <v>42829.916979166665</v>
      </c>
      <c r="G146" s="7">
        <v>2</v>
      </c>
      <c r="H146" s="21" t="s">
        <v>831</v>
      </c>
      <c r="I146" s="13">
        <v>42829.943148148152</v>
      </c>
      <c r="J146" s="7">
        <v>0</v>
      </c>
      <c r="K146" s="97" t="str">
        <f>IF(ISEVEN(B146),(B146-1)&amp;"/"&amp;B146,B146&amp;"/"&amp;(B146+1))</f>
        <v>4009/4010</v>
      </c>
      <c r="L146" s="21" t="str">
        <f>VLOOKUP(A146,'Trips&amp;Operators'!$C$1:$G$99999,5,FALSE)</f>
        <v>STORY SAMANTHA</v>
      </c>
      <c r="M146" s="6">
        <f>I146-F146</f>
        <v>2.6168981486989651E-2</v>
      </c>
      <c r="N146" s="7">
        <f>24*60*SUM($M146:$M146)</f>
        <v>37.683333341265097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-04T20:53:40-0600',mode:absolute,to:'2017-04-04T23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183" t="str">
        <f>IF(AA146&lt;IF(AG146="EC",23,5.65),"Y","N")</f>
        <v>N</v>
      </c>
      <c r="X146" s="183">
        <f>VALUE(LEFT(AD146,4))-VALUE(LEFT(AD145,4))</f>
        <v>1</v>
      </c>
      <c r="Y146" s="62">
        <f>RIGHT(D146,LEN(D146)-4)/10000</f>
        <v>4.7699999999999999E-2</v>
      </c>
      <c r="Z146" s="62">
        <f>RIGHT(H146,LEN(H146)-4)/10000</f>
        <v>23.334</v>
      </c>
      <c r="AA146" s="62">
        <f>ABS(Z146-Y146)</f>
        <v>23.286300000000001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0233-04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/stypes="app*4010*20170405*" /stext=" 04:.+((SYSTEM_STATE.+slice.+state.+changed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14"/>
        <v>"%USERPROFILE%\Documents\GitHub\eaglep3\Utilities\RefineRTDCRunTimes.py" --tripid 233-04 --locoid 4010 --swversion DE.1.0.9.0 --startMP 204:477 --initTime 2017-04-04T21:53:40 --startdatetime 2017-04-04T22:00:27 --delay 2 --endMP 204:233340 --enddatetime 2017-04-04T22:38:08 --enforcementcount 0 &gt;&gt;C:\Users\stu\Documents\GitHub\eaglep3-reporting\EC\2017-04-04-refined-times.txt</v>
      </c>
      <c r="AI146" s="104" t="str">
        <f t="shared" si="15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ID","value":"233-04"},{"id":16,"name":"Locomotive ID","value":"4010"},{"id":130,"name":"Impact","value":""},{"id":150,"name":"Time of Event (Mountain Time)","value":"22:38:08"},{"id":151,"name":"Denver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16"/>
        <v>start /low /b %USERPROFILE%\Documents\GitHub\eaglep3\Utilities\DownloadLogsFromS3.py --loco 4010 --day 2017-04-04</v>
      </c>
      <c r="AN146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810</v>
      </c>
      <c r="B147" s="7">
        <v>4009</v>
      </c>
      <c r="C147" s="21" t="s">
        <v>217</v>
      </c>
      <c r="D147" s="21" t="s">
        <v>880</v>
      </c>
      <c r="E147" s="13">
        <v>42829.953449074077</v>
      </c>
      <c r="F147" s="13">
        <v>42829.956134259257</v>
      </c>
      <c r="G147" s="7">
        <v>1</v>
      </c>
      <c r="H147" s="21" t="s">
        <v>465</v>
      </c>
      <c r="I147" s="13">
        <v>42829.984467592592</v>
      </c>
      <c r="J147" s="7">
        <v>0</v>
      </c>
      <c r="K147" s="97" t="str">
        <f>IF(ISEVEN(B147),(B147-1)&amp;"/"&amp;B147,B147&amp;"/"&amp;(B147+1))</f>
        <v>4009/4010</v>
      </c>
      <c r="L147" s="21" t="str">
        <f>VLOOKUP(A147,'Trips&amp;Operators'!$C$1:$G$99999,5,FALSE)</f>
        <v>STORY SAMANTHA</v>
      </c>
      <c r="M147" s="6">
        <f>I147-F147</f>
        <v>2.8333333335467614E-2</v>
      </c>
      <c r="N147" s="7">
        <f>24*60*SUM($M147:$M147)</f>
        <v>40.800000003073364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183" t="str">
        <f>IF(AA147&lt;IF(AG147="EC",23,5.65),"Y","N")</f>
        <v>N</v>
      </c>
      <c r="X147" s="183">
        <f>VALUE(LEFT(AD147,4))-VALUE(LEFT(AD146,4))</f>
        <v>1</v>
      </c>
      <c r="Y147" s="62">
        <f>RIGHT(D147,LEN(D147)-4)/10000</f>
        <v>23.3019</v>
      </c>
      <c r="Z147" s="62">
        <f>RIGHT(H147,LEN(H147)-4)/10000</f>
        <v>1.6E-2</v>
      </c>
      <c r="AA147" s="62">
        <f>ABS(Z147-Y147)</f>
        <v>23.285900000000002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0234-04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/stypes="app*4009*20170405*" /stext=" 05:.+((SYSTEM_STATE.+slice.+state.+changed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14"/>
        <v>"%USERPROFILE%\Documents\GitHub\eaglep3\Utilities\RefineRTDCRunTimes.py" --tripid 234-04 --locoid 4009 --swversion DE.1.0.9.0 --startMP 204:233019 --initTime 2017-04-04T22:52:58 --startdatetime 2017-04-04T22:56:50 --delay 1 --endMP 204:160 --enddatetime 2017-04-04T23:37:38 --enforcementcount 0 &gt;&gt;C:\Users\stu\Documents\GitHub\eaglep3-reporting\EC\2017-04-04-refined-times.txt</v>
      </c>
      <c r="AI147" s="104" t="str">
        <f t="shared" si="15"/>
        <v>echo {"issue":{"subject":"","project_id":79,"tracker_id":40,"status_id":1,"priority_id":2,"assigned_to_id":23,"start_date":"2017-04-04","description":"","custom_fields":[{"id":1,"name":"Subdivision","value":"EC"},{"id":4,"name":"Milepost","value":"0.016"},{"id":17,"name":"Train ID","value":"234-04"},{"id":16,"name":"Locomotive ID","value":"4009"},{"id":130,"name":"Impact","value":""},{"id":150,"name":"Time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16"/>
        <v>start /low /b %USERPROFILE%\Documents\GitHub\eaglep3\Utilities\DownloadLogsFromS3.py --loco 4009 --day 2017-04-04</v>
      </c>
      <c r="AN147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807</v>
      </c>
      <c r="B148" s="7">
        <v>4046</v>
      </c>
      <c r="C148" s="21" t="s">
        <v>217</v>
      </c>
      <c r="D148" s="21" t="s">
        <v>211</v>
      </c>
      <c r="E148" s="13">
        <v>42829.923657407409</v>
      </c>
      <c r="F148" s="13">
        <v>42829.9377662037</v>
      </c>
      <c r="G148" s="7">
        <v>1</v>
      </c>
      <c r="H148" s="21" t="s">
        <v>460</v>
      </c>
      <c r="I148" s="13">
        <v>42829.963495370372</v>
      </c>
      <c r="J148" s="7">
        <v>0</v>
      </c>
      <c r="K148" s="97" t="str">
        <f>IF(ISEVEN(B148),(B148-1)&amp;"/"&amp;B148,B148&amp;"/"&amp;(B148+1))</f>
        <v>4045/4046</v>
      </c>
      <c r="L148" s="21" t="str">
        <f>VLOOKUP(A148,'Trips&amp;Operators'!$C$1:$G$99999,5,FALSE)</f>
        <v>GUZMAN DANNY</v>
      </c>
      <c r="M148" s="6">
        <f>I148-F148</f>
        <v>2.5729166671226267E-2</v>
      </c>
      <c r="N148" s="7">
        <f>24*60*SUM($M148:$M148)</f>
        <v>37.050000006565824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-04T21:10:04-0600',mode:absolute,to:'2017-04-05T00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83" t="str">
        <f>IF(AA148&lt;IF(AG148="EC",23,5.65),"Y","N")</f>
        <v>N</v>
      </c>
      <c r="X148" s="183">
        <f>VALUE(LEFT(AD148,4))-VALUE(LEFT(AD147,4))</f>
        <v>1</v>
      </c>
      <c r="Y148" s="62">
        <f>RIGHT(D148,LEN(D148)-4)/10000</f>
        <v>4.53E-2</v>
      </c>
      <c r="Z148" s="62">
        <f>RIGHT(H148,LEN(H148)-4)/10000</f>
        <v>23.329699999999999</v>
      </c>
      <c r="AA148" s="62">
        <f>ABS(Z148-Y148)</f>
        <v>23.284399999999998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0235-04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/stypes="app*4046*20170405*" /stext=" 05:.+((SYSTEM_STATE.+slice.+state.+changed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14"/>
        <v>"%USERPROFILE%\Documents\GitHub\eaglep3\Utilities\RefineRTDCRunTimes.py" --tripid 235-04 --locoid 4046 --swversion DE.1.0.9.0 --startMP 204:453 --initTime 2017-04-04T22:10:04 --startdatetime 2017-04-04T22:30:23 --delay 1 --endMP 204:233297 --enddatetime 2017-04-04T23:07:26 --enforcementcount 0 &gt;&gt;C:\Users\stu\Documents\GitHub\eaglep3-reporting\EC\2017-04-04-refined-times.txt</v>
      </c>
      <c r="AI148" s="104" t="str">
        <f t="shared" si="15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ID","value":"235-04"},{"id":16,"name":"Locomotive ID","value":"4046"},{"id":130,"name":"Impact","value":""},{"id":150,"name":"Time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16"/>
        <v>start /low /b %USERPROFILE%\Documents\GitHub\eaglep3\Utilities\DownloadLogsFromS3.py --loco 4046 --day 2017-04-04</v>
      </c>
      <c r="AN148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812</v>
      </c>
      <c r="B149" s="7">
        <v>4045</v>
      </c>
      <c r="C149" s="21" t="s">
        <v>217</v>
      </c>
      <c r="D149" s="21" t="s">
        <v>491</v>
      </c>
      <c r="E149" s="13">
        <v>42829.965532407405</v>
      </c>
      <c r="F149" s="13">
        <v>42829.9765625</v>
      </c>
      <c r="G149" s="7">
        <v>1</v>
      </c>
      <c r="H149" s="21" t="s">
        <v>426</v>
      </c>
      <c r="I149" s="13">
        <v>42830.004999999997</v>
      </c>
      <c r="J149" s="7">
        <v>0</v>
      </c>
      <c r="K149" s="97" t="str">
        <f>IF(ISEVEN(B149),(B149-1)&amp;"/"&amp;B149,B149&amp;"/"&amp;(B149+1))</f>
        <v>4045/4046</v>
      </c>
      <c r="L149" s="21" t="str">
        <f>VLOOKUP(A149,'Trips&amp;Operators'!$C$1:$G$99999,5,FALSE)</f>
        <v>GUZMAN DANNY</v>
      </c>
      <c r="M149" s="6">
        <f>I149-F149</f>
        <v>2.8437499997380655E-2</v>
      </c>
      <c r="N149" s="7">
        <f>24*60*SUM($M149:$M149)</f>
        <v>40.949999996228144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83" t="str">
        <f>IF(AA149&lt;IF(AG149="EC",23,5.65),"Y","N")</f>
        <v>N</v>
      </c>
      <c r="X149" s="183">
        <f>VALUE(LEFT(AD149,4))-VALUE(LEFT(AD148,4))</f>
        <v>1</v>
      </c>
      <c r="Y149" s="62">
        <f>RIGHT(D149,LEN(D149)-4)/10000</f>
        <v>23.299099999999999</v>
      </c>
      <c r="Z149" s="62">
        <f>RIGHT(H149,LEN(H149)-4)/10000</f>
        <v>1.6299999999999999E-2</v>
      </c>
      <c r="AA149" s="62">
        <f>ABS(Z149-Y149)</f>
        <v>23.282799999999998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0236-04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/stypes="app*4045*20170405*" /stext=" 06:.+((SYSTEM_STATE.+slice.+state.+changed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14"/>
        <v>"%USERPROFILE%\Documents\GitHub\eaglep3\Utilities\RefineRTDCRunTimes.py" --tripid 236-04 --locoid 4045 --swversion DE.1.0.9.0 --startMP 204:232991 --initTime 2017-04-04T23:10:22 --startdatetime 2017-04-04T23:26:15 --delay 1 --endMP 204:163 --enddatetime 2017-04-05T00:07:12 --enforcementcount 0 &gt;&gt;C:\Users\stu\Documents\GitHub\eaglep3-reporting\EC\2017-04-04-refined-times.txt</v>
      </c>
      <c r="AI149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{"issue":{"subject":"","project_id":79,"tracker_id":40,"status_id":1,"priority_id":2,"assigned_to_id":23,"start_date":"2017-04-05","description":"","custom_fields":[{"id":1,"name":"Subdivision","value":"EC"},{"id":4,"name":"Milepost","value":"0.0163"},{"id":17,"name":"Train ID","value":"236-04"},{"id":16,"name":"Locomotive ID","value":"4045"},{"id":130,"name":"Impact","value":""},{"id":150,"name":"Time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16"/>
        <v>start /low /b %USERPROFILE%\Documents\GitHub\eaglep3\Utilities\DownloadLogsFromS3.py --loco 4045 --day 2017-04-04</v>
      </c>
      <c r="AN149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811</v>
      </c>
      <c r="B150" s="7">
        <v>4014</v>
      </c>
      <c r="C150" s="21" t="s">
        <v>217</v>
      </c>
      <c r="D150" s="21" t="s">
        <v>424</v>
      </c>
      <c r="E150" s="13">
        <v>42829.957743055558</v>
      </c>
      <c r="F150" s="13">
        <v>42829.959374999999</v>
      </c>
      <c r="G150" s="7">
        <v>1</v>
      </c>
      <c r="H150" s="21" t="s">
        <v>492</v>
      </c>
      <c r="I150" s="13">
        <v>42829.984803240739</v>
      </c>
      <c r="J150" s="7">
        <v>0</v>
      </c>
      <c r="K150" s="97" t="str">
        <f>IF(ISEVEN(B150),(B150-1)&amp;"/"&amp;B150,B150&amp;"/"&amp;(B150+1))</f>
        <v>4013/4014</v>
      </c>
      <c r="L150" s="21" t="str">
        <f>VLOOKUP(A150,'Trips&amp;Operators'!$C$1:$G$99999,5,FALSE)</f>
        <v>CHANDLER KELVIN</v>
      </c>
      <c r="M150" s="6">
        <f>I150-F150</f>
        <v>2.5428240740438923E-2</v>
      </c>
      <c r="N150" s="7">
        <f>24*60*SUM($M150:$M150)</f>
        <v>36.616666666232049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-04T21:59:09-0600',mode:absolute,to:'2017-04-05T00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3" t="str">
        <f>IF(AA150&lt;IF(AG150="EC",23,5.65),"Y","N")</f>
        <v>N</v>
      </c>
      <c r="X150" s="183">
        <f>VALUE(LEFT(AD150,4))-VALUE(LEFT(AD149,4))</f>
        <v>1</v>
      </c>
      <c r="Y150" s="62">
        <f>RIGHT(D150,LEN(D150)-4)/10000</f>
        <v>4.4699999999999997E-2</v>
      </c>
      <c r="Z150" s="62">
        <f>RIGHT(H150,LEN(H150)-4)/10000</f>
        <v>23.329799999999999</v>
      </c>
      <c r="AA150" s="62">
        <f>ABS(Z150-Y150)</f>
        <v>23.2851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0237-04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/stypes="app*4014*20170405*" /stext=" 05:.+((SYSTEM_STATE.+slice.+state.+changed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14"/>
        <v>"%USERPROFILE%\Documents\GitHub\eaglep3\Utilities\RefineRTDCRunTimes.py" --tripid 237-04 --locoid 4014 --swversion DE.1.0.9.0 --startMP 204:447 --initTime 2017-04-04T22:59:09 --startdatetime 2017-04-04T23:01:30 --delay 1 --endMP 204:233298 --enddatetime 2017-04-04T23:38:07 --enforcementcount 0 &gt;&gt;C:\Users\stu\Documents\GitHub\eaglep3-reporting\EC\2017-04-04-refined-times.txt</v>
      </c>
      <c r="AI150" s="104" t="str">
        <f t="shared" si="15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ID","value":"237-04"},{"id":16,"name":"Locomotive ID","value":"4014"},{"id":130,"name":"Impact","value":""},{"id":150,"name":"Time of Event (Mountain Time)","value":"23:38:07"},{"id":151,"name":"Denver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16"/>
        <v>start /low /b %USERPROFILE%\Documents\GitHub\eaglep3\Utilities\DownloadLogsFromS3.py --loco 4014 --day 2017-04-04</v>
      </c>
      <c r="AN150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814</v>
      </c>
      <c r="B151" s="7">
        <v>4013</v>
      </c>
      <c r="C151" s="21" t="s">
        <v>217</v>
      </c>
      <c r="D151" s="21" t="s">
        <v>439</v>
      </c>
      <c r="E151" s="13">
        <v>42829.995254629626</v>
      </c>
      <c r="F151" s="13">
        <v>42829.997673611113</v>
      </c>
      <c r="G151" s="7">
        <v>1</v>
      </c>
      <c r="H151" s="21" t="s">
        <v>838</v>
      </c>
      <c r="I151" s="13">
        <v>42830.026064814818</v>
      </c>
      <c r="J151" s="7">
        <v>0</v>
      </c>
      <c r="K151" s="97" t="str">
        <f>IF(ISEVEN(B151),(B151-1)&amp;"/"&amp;B151,B151&amp;"/"&amp;(B151+1))</f>
        <v>4013/4014</v>
      </c>
      <c r="L151" s="21" t="str">
        <f>VLOOKUP(A151,'Trips&amp;Operators'!$C$1:$G$99999,5,FALSE)</f>
        <v>CHANDLER KELVIN</v>
      </c>
      <c r="M151" s="6">
        <f>I151-F151</f>
        <v>2.8391203704813961E-2</v>
      </c>
      <c r="N151" s="7">
        <f>24*60*SUM($M151:$M151)</f>
        <v>40.883333334932104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3" t="str">
        <f>IF(AA151&lt;IF(AG151="EC",23,5.65),"Y","N")</f>
        <v>N</v>
      </c>
      <c r="X151" s="183">
        <f>VALUE(LEFT(AD151,4))-VALUE(LEFT(AD150,4))</f>
        <v>1</v>
      </c>
      <c r="Y151" s="62">
        <f>RIGHT(D151,LEN(D151)-4)/10000</f>
        <v>23.297899999999998</v>
      </c>
      <c r="Z151" s="62">
        <f>RIGHT(H151,LEN(H151)-4)/10000</f>
        <v>1.67E-2</v>
      </c>
      <c r="AA151" s="62">
        <f>ABS(Z151-Y151)</f>
        <v>23.281199999999998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0238-04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/stypes="app*4013*20170405*" /stext=" 06:.+((SYSTEM_STATE.+slice.+state.+changed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14"/>
        <v>"%USERPROFILE%\Documents\GitHub\eaglep3\Utilities\RefineRTDCRunTimes.py" --tripid 238-04 --locoid 4013 --swversion DE.1.0.9.0 --startMP 204:232979 --initTime 2017-04-04T23:53:10 --startdatetime 2017-04-04T23:56:39 --delay 1 --endMP 204:167 --enddatetime 2017-04-05T00:37:32 --enforcementcount 0 &gt;&gt;C:\Users\stu\Documents\GitHub\eaglep3-reporting\EC\2017-04-04-refined-times.txt</v>
      </c>
      <c r="AI151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{"issue":{"subject":"","project_id":79,"tracker_id":40,"status_id":1,"priority_id":2,"assigned_to_id":23,"start_date":"2017-04-05","description":"","custom_fields":[{"id":1,"name":"Subdivision","value":"EC"},{"id":4,"name":"Milepost","value":"0.0167"},{"id":17,"name":"Train ID","value":"238-04"},{"id":16,"name":"Locomotive ID","value":"4013"},{"id":130,"name":"Impact","value":""},{"id":150,"name":"Time of Event (Mountain Time)","value":"00:37:32"},{"id":151,"name":"Denver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16"/>
        <v>start /low /b %USERPROFILE%\Documents\GitHub\eaglep3\Utilities\DownloadLogsFromS3.py --loco 4013 --day 2017-04-04</v>
      </c>
      <c r="AN151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627</v>
      </c>
      <c r="B152" s="7">
        <v>4004</v>
      </c>
      <c r="C152" s="21" t="s">
        <v>217</v>
      </c>
      <c r="D152" s="21" t="s">
        <v>458</v>
      </c>
      <c r="E152" s="13">
        <v>42829.975682870368</v>
      </c>
      <c r="F152" s="13">
        <v>42829.979328703703</v>
      </c>
      <c r="G152" s="7">
        <v>1</v>
      </c>
      <c r="H152" s="21" t="s">
        <v>492</v>
      </c>
      <c r="I152" s="13">
        <v>42830.005231481482</v>
      </c>
      <c r="J152" s="7">
        <v>0</v>
      </c>
      <c r="K152" s="97" t="str">
        <f>IF(ISEVEN(B152),(B152-1)&amp;"/"&amp;B152,B152&amp;"/"&amp;(B152+1))</f>
        <v>4003/4004</v>
      </c>
      <c r="L152" s="21" t="str">
        <f>VLOOKUP(A152,'Trips&amp;Operators'!$C$1:$G$99999,5,FALSE)</f>
        <v>NEWELL JAMES</v>
      </c>
      <c r="M152" s="6">
        <f>I152-F152</f>
        <v>2.5902777779265307E-2</v>
      </c>
      <c r="N152" s="7">
        <f>24*60*SUM($M152:$M152)</f>
        <v>37.300000002142042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183" t="str">
        <f>IF(AA152&lt;IF(AG152="EC",23,5.65),"Y","N")</f>
        <v>N</v>
      </c>
      <c r="X152" s="183">
        <f>VALUE(LEFT(AD152,4))-VALUE(LEFT(AD151,4))</f>
        <v>1</v>
      </c>
      <c r="Y152" s="62">
        <f>RIGHT(D152,LEN(D152)-4)/10000</f>
        <v>4.7100000000000003E-2</v>
      </c>
      <c r="Z152" s="62">
        <f>RIGHT(H152,LEN(H152)-4)/10000</f>
        <v>23.329799999999999</v>
      </c>
      <c r="AA152" s="62">
        <f>ABS(Z152-Y152)</f>
        <v>23.282699999999998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0239-04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/stypes="app*4004*20170405*" /stext=" 06:.+((SYSTEM_STATE.+slice.+state.+changed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14"/>
        <v>"%USERPROFILE%\Documents\GitHub\eaglep3\Utilities\RefineRTDCRunTimes.py" --tripid 239-04 --locoid 4004 --swversion DE.1.0.9.0 --startMP 204:471 --initTime 2017-04-04T23:24:59 --startdatetime 2017-04-04T23:30:14 --delay 1 --endMP 204:233298 --enddatetime 2017-04-05T00:07:32 --enforcementcount 0 &gt;&gt;C:\Users\stu\Documents\GitHub\eaglep3-reporting\EC\2017-04-04-refined-times.txt</v>
      </c>
      <c r="AI152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{"issue":{"subject":"","project_id":79,"tracker_id":40,"status_id":1,"priority_id":2,"assigned_to_id":23,"start_date":"2017-04-05","description":"","custom_fields":[{"id":1,"name":"Subdivision","value":"EC"},{"id":4,"name":"Milepost","value":"23.3298"},{"id":17,"name":"Train ID","value":"239-04"},{"id":16,"name":"Locomotive ID","value":"4004"},{"id":130,"name":"Impact","value":""},{"id":150,"name":"Time of Event (Mountain Time)","value":"00:07:32"},{"id":151,"name":"Denver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16"/>
        <v>start /low /b %USERPROFILE%\Documents\GitHub\eaglep3\Utilities\DownloadLogsFromS3.py --loco 4004 --day 2017-04-04</v>
      </c>
      <c r="AN152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816</v>
      </c>
      <c r="B153" s="7">
        <v>4003</v>
      </c>
      <c r="C153" s="21" t="s">
        <v>217</v>
      </c>
      <c r="D153" s="21" t="s">
        <v>411</v>
      </c>
      <c r="E153" s="13">
        <v>42830.015219907407</v>
      </c>
      <c r="F153" s="13">
        <v>42830.018240740741</v>
      </c>
      <c r="G153" s="7">
        <v>1</v>
      </c>
      <c r="H153" s="21" t="s">
        <v>184</v>
      </c>
      <c r="I153" s="13">
        <v>42830.045844907407</v>
      </c>
      <c r="J153" s="7">
        <v>0</v>
      </c>
      <c r="K153" s="97" t="str">
        <f>IF(ISEVEN(B153),(B153-1)&amp;"/"&amp;B153,B153&amp;"/"&amp;(B153+1))</f>
        <v>4003/4004</v>
      </c>
      <c r="L153" s="21" t="str">
        <f>VLOOKUP(A153,'Trips&amp;Operators'!$C$1:$G$99999,5,FALSE)</f>
        <v>NEWELL JAMES</v>
      </c>
      <c r="M153" s="6">
        <f>I153-F153</f>
        <v>2.7604166665696539E-2</v>
      </c>
      <c r="N153" s="7">
        <f>24*60*SUM($M153:$M153)</f>
        <v>39.749999998603016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183" t="str">
        <f>IF(AA153&lt;IF(AG153="EC",23,5.65),"Y","N")</f>
        <v>N</v>
      </c>
      <c r="X153" s="183">
        <f>VALUE(LEFT(AD153,4))-VALUE(LEFT(AD152,4))</f>
        <v>1</v>
      </c>
      <c r="Y153" s="62">
        <f>RIGHT(D153,LEN(D153)-4)/10000</f>
        <v>23.297699999999999</v>
      </c>
      <c r="Z153" s="62">
        <f>RIGHT(H153,LEN(H153)-4)/10000</f>
        <v>1.49E-2</v>
      </c>
      <c r="AA153" s="62">
        <f>ABS(Z153-Y153)</f>
        <v>23.282799999999998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0240-04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 &amp; 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/stypes="app*4003*20170405*" /stext=" 07:.+((SYSTEM_STATE.+slice.+state.+changed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14"/>
        <v>"%USERPROFILE%\Documents\GitHub\eaglep3\Utilities\RefineRTDCRunTimes.py" --tripid 240-04 --locoid 4003 --swversion DE.1.0.9.0 --startMP 204:232977 --initTime 2017-04-05T00:21:55 --startdatetime 2017-04-05T00:26:16 --delay 1 --endMP 204:149 --enddatetime 2017-04-05T01:06:01 --enforcementcount 0 &gt;&gt;C:\Users\stu\Documents\GitHub\eaglep3-reporting\EC\2017-04-04-refined-times.txt</v>
      </c>
      <c r="AI153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ID","value":"240-04"},{"id":16,"name":"Locomotive ID","value":"4003"},{"id":130,"name":"Impact","value":""},{"id":150,"name":"Time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16"/>
        <v>start /low /b %USERPROFILE%\Documents\GitHub\eaglep3\Utilities\DownloadLogsFromS3.py --loco 4003 --day 2017-04-05</v>
      </c>
      <c r="AN153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813</v>
      </c>
      <c r="B154" s="7">
        <v>4010</v>
      </c>
      <c r="C154" s="21" t="s">
        <v>217</v>
      </c>
      <c r="D154" s="21" t="s">
        <v>904</v>
      </c>
      <c r="E154" s="13">
        <v>42829.993055555555</v>
      </c>
      <c r="F154" s="13">
        <v>42830.000300925924</v>
      </c>
      <c r="G154" s="7">
        <v>2</v>
      </c>
      <c r="H154" s="21" t="s">
        <v>531</v>
      </c>
      <c r="I154" s="13">
        <v>42830.028182870374</v>
      </c>
      <c r="J154" s="7">
        <v>0</v>
      </c>
      <c r="K154" s="97" t="str">
        <f>IF(ISEVEN(B154),(B154-1)&amp;"/"&amp;B154,B154&amp;"/"&amp;(B154+1))</f>
        <v>4009/4010</v>
      </c>
      <c r="L154" s="21" t="str">
        <f>VLOOKUP(A154,'Trips&amp;Operators'!$C$1:$G$99999,5,FALSE)</f>
        <v>STORY SAMANTHA</v>
      </c>
      <c r="M154" s="6">
        <f>I154-F154</f>
        <v>2.7881944450200535E-2</v>
      </c>
      <c r="N154" s="7">
        <f>24*60*SUM($M154:$M154)</f>
        <v>40.150000008288771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-04T22:50:00-0600',mode:absolute,to:'2017-04-05T01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183" t="str">
        <f>IF(AA154&lt;IF(AG154="EC",23,5.65),"Y","N")</f>
        <v>N</v>
      </c>
      <c r="X154" s="183">
        <f>VALUE(LEFT(AD154,4))-VALUE(LEFT(AD153,4))</f>
        <v>1</v>
      </c>
      <c r="Y154" s="62">
        <f>RIGHT(D154,LEN(D154)-4)/10000</f>
        <v>0.05</v>
      </c>
      <c r="Z154" s="62">
        <f>RIGHT(H154,LEN(H154)-4)/10000</f>
        <v>23.3323</v>
      </c>
      <c r="AA154" s="62">
        <f>ABS(Z154-Y154)</f>
        <v>23.282299999999999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0241-04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/stypes="app*4010*20170405*" /stext=" 06:.+((SYSTEM_STATE.+slice.+state.+changed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14"/>
        <v>"%USERPROFILE%\Documents\GitHub\eaglep3\Utilities\RefineRTDCRunTimes.py" --tripid 241-04 --locoid 4010 --swversion DE.1.0.9.0 --startMP 204:500 --initTime 2017-04-04T23:50:00 --startdatetime 2017-04-05T00:00:26 --delay 2 --endMP 204:233323 --enddatetime 2017-04-05T00:40:35 --enforcementcount 0 &gt;&gt;C:\Users\stu\Documents\GitHub\eaglep3-reporting\EC\2017-04-04-refined-times.txt</v>
      </c>
      <c r="AI154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{"issue":{"subject":"","project_id":79,"tracker_id":40,"status_id":1,"priority_id":2,"assigned_to_id":23,"start_date":"2017-04-05","description":"","custom_fields":[{"id":1,"name":"Subdivision","value":"EC"},{"id":4,"name":"Milepost","value":"23.3323"},{"id":17,"name":"Train ID","value":"241-04"},{"id":16,"name":"Locomotive ID","value":"4010"},{"id":130,"name":"Impact","value":""},{"id":150,"name":"Time of Event (Mountain Time)","value":"00:40:35"},{"id":151,"name":"Denver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16"/>
        <v>start /low /b %USERPROFILE%\Documents\GitHub\eaglep3\Utilities\DownloadLogsFromS3.py --loco 4010 --day 2017-04-05</v>
      </c>
      <c r="AN154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06:40:35"},{"id":29,"name":"Sharepoint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818</v>
      </c>
      <c r="B155" s="7">
        <v>4009</v>
      </c>
      <c r="C155" s="21" t="s">
        <v>217</v>
      </c>
      <c r="D155" s="21" t="s">
        <v>898</v>
      </c>
      <c r="E155" s="13">
        <v>42830.037141203706</v>
      </c>
      <c r="F155" s="13">
        <v>42830.039247685185</v>
      </c>
      <c r="G155" s="7">
        <v>1</v>
      </c>
      <c r="H155" s="21" t="s">
        <v>905</v>
      </c>
      <c r="I155" s="13">
        <v>42830.066944444443</v>
      </c>
      <c r="J155" s="7">
        <v>0</v>
      </c>
      <c r="K155" s="97" t="str">
        <f>IF(ISEVEN(B155),(B155-1)&amp;"/"&amp;B155,B155&amp;"/"&amp;(B155+1))</f>
        <v>4009/4010</v>
      </c>
      <c r="L155" s="21" t="str">
        <f>VLOOKUP(A155,'Trips&amp;Operators'!$C$1:$G$99999,5,FALSE)</f>
        <v>STORY SAMANTHA</v>
      </c>
      <c r="M155" s="6">
        <f>I155-F155</f>
        <v>2.7696759258105885E-2</v>
      </c>
      <c r="N155" s="7">
        <f>24*60*SUM($M155:$M155)</f>
        <v>39.883333331672475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183" t="str">
        <f>IF(AA155&lt;IF(AG155="EC",23,5.65),"Y","N")</f>
        <v>N</v>
      </c>
      <c r="X155" s="183">
        <f>VALUE(LEFT(AD155,4))-VALUE(LEFT(AD154,4))</f>
        <v>1</v>
      </c>
      <c r="Y155" s="62">
        <f>RIGHT(D155,LEN(D155)-4)/10000</f>
        <v>23.302700000000002</v>
      </c>
      <c r="Z155" s="62">
        <f>RIGHT(H155,LEN(H155)-4)/10000</f>
        <v>2.4299999999999999E-2</v>
      </c>
      <c r="AA155" s="62">
        <f>ABS(Z155-Y155)</f>
        <v>23.278400000000001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0242-04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 &amp; 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/stypes="app*4009*20170405*" /stext=" 07:.+((SYSTEM_STATE.+slice.+state.+changed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14"/>
        <v>"%USERPROFILE%\Documents\GitHub\eaglep3\Utilities\RefineRTDCRunTimes.py" --tripid 242-04 --locoid 4009 --swversion DE.1.0.9.0 --startMP 204:233027 --initTime 2017-04-05T00:53:29 --startdatetime 2017-04-05T00:56:31 --delay 1 --endMP 204:243 --enddatetime 2017-04-05T01:36:24 --enforcementcount 0 &gt;&gt;C:\Users\stu\Documents\GitHub\eaglep3-reporting\EC\2017-04-04-refined-times.txt</v>
      </c>
      <c r="AI155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{"issue":{"subject":"","project_id":79,"tracker_id":40,"status_id":1,"priority_id":2,"assigned_to_id":23,"start_date":"2017-04-05","description":"","custom_fields":[{"id":1,"name":"Subdivision","value":"EC"},{"id":4,"name":"Milepost","value":"0.0243"},{"id":17,"name":"Train ID","value":"242-04"},{"id":16,"name":"Locomotive ID","value":"4009"},{"id":130,"name":"Impact","value":""},{"id":150,"name":"Time of Event (Mountain Time)","value":"01:36:24"},{"id":151,"name":"Denver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16"/>
        <v>start /low /b %USERPROFILE%\Documents\GitHub\eaglep3\Utilities\DownloadLogsFromS3.py --loco 4009 --day 2017-04-05</v>
      </c>
      <c r="AN155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815</v>
      </c>
      <c r="B156" s="7">
        <v>4046</v>
      </c>
      <c r="C156" s="21" t="s">
        <v>217</v>
      </c>
      <c r="D156" s="21" t="s">
        <v>435</v>
      </c>
      <c r="E156" s="13">
        <v>42830.006909722222</v>
      </c>
      <c r="F156" s="13">
        <v>42830.021053240744</v>
      </c>
      <c r="G156" s="7">
        <v>1</v>
      </c>
      <c r="H156" s="21" t="s">
        <v>906</v>
      </c>
      <c r="I156" s="13">
        <v>42830.04582175926</v>
      </c>
      <c r="J156" s="7">
        <v>0</v>
      </c>
      <c r="K156" s="97" t="str">
        <f>IF(ISEVEN(B156),(B156-1)&amp;"/"&amp;B156,B156&amp;"/"&amp;(B156+1))</f>
        <v>4045/4046</v>
      </c>
      <c r="L156" s="21" t="str">
        <f>VLOOKUP(A156,'Trips&amp;Operators'!$C$1:$G$99999,5,FALSE)</f>
        <v>GUZMAN DANNY</v>
      </c>
      <c r="M156" s="6">
        <f>I156-F156</f>
        <v>2.4768518516793847E-2</v>
      </c>
      <c r="N156" s="7">
        <f>24*60*SUM($M156:$M156)</f>
        <v>35.66666666418314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-04T23:09:57-0600',mode:absolute,to:'2017-04-05T02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3" t="str">
        <f>IF(AA156&lt;IF(AG156="EC",23,5.65),"Y","N")</f>
        <v>N</v>
      </c>
      <c r="X156" s="183">
        <f>VALUE(LEFT(AD156,4))-VALUE(LEFT(AD155,4))</f>
        <v>1</v>
      </c>
      <c r="Y156" s="62">
        <f>RIGHT(D156,LEN(D156)-4)/10000</f>
        <v>4.6199999999999998E-2</v>
      </c>
      <c r="Z156" s="62">
        <f>RIGHT(H156,LEN(H156)-4)/10000</f>
        <v>23.336099999999998</v>
      </c>
      <c r="AA156" s="62">
        <f>ABS(Z156-Y156)</f>
        <v>23.289899999999999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0243-04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/stypes="app*4046*20170405*" /stext=" 07:.+((SYSTEM_STATE.+slice.+state.+changed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14"/>
        <v>"%USERPROFILE%\Documents\GitHub\eaglep3\Utilities\RefineRTDCRunTimes.py" --tripid 243-04 --locoid 4046 --swversion DE.1.0.9.0 --startMP 204:462 --initTime 2017-04-05T00:09:57 --startdatetime 2017-04-05T00:30:19 --delay 1 --endMP 204:233361 --enddatetime 2017-04-05T01:05:59 --enforcementcount 0 &gt;&gt;C:\Users\stu\Documents\GitHub\eaglep3-reporting\EC\2017-04-04-refined-times.txt</v>
      </c>
      <c r="AI156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{"issue":{"subject":"","project_id":79,"tracker_id":40,"status_id":1,"priority_id":2,"assigned_to_id":23,"start_date":"2017-04-05","description":"","custom_fields":[{"id":1,"name":"Subdivision","value":"EC"},{"id":4,"name":"Milepost","value":"23.3361"},{"id":17,"name":"Train ID","value":"243-04"},{"id":16,"name":"Locomotive ID","value":"4046"},{"id":130,"name":"Impact","value":""},{"id":150,"name":"Time of Event (Mountain Time)","value":"01:05:59"},{"id":151,"name":"Denver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16"/>
        <v>start /low /b %USERPROFILE%\Documents\GitHub\eaglep3\Utilities\DownloadLogsFromS3.py --loco 4046 --day 2017-04-05</v>
      </c>
      <c r="AN156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819</v>
      </c>
      <c r="B157" s="7">
        <v>4045</v>
      </c>
      <c r="C157" s="21" t="s">
        <v>217</v>
      </c>
      <c r="D157" s="21" t="s">
        <v>907</v>
      </c>
      <c r="E157" s="13">
        <v>42830.047106481485</v>
      </c>
      <c r="F157" s="13">
        <v>42830.059953703705</v>
      </c>
      <c r="G157" s="7">
        <v>1</v>
      </c>
      <c r="H157" s="21" t="s">
        <v>425</v>
      </c>
      <c r="I157" s="13">
        <v>42830.085960648146</v>
      </c>
      <c r="J157" s="7">
        <v>0</v>
      </c>
      <c r="K157" s="97" t="str">
        <f>IF(ISEVEN(B157),(B157-1)&amp;"/"&amp;B157,B157&amp;"/"&amp;(B157+1))</f>
        <v>4045/4046</v>
      </c>
      <c r="L157" s="21" t="str">
        <f>VLOOKUP(A157,'Trips&amp;Operators'!$C$1:$G$99999,5,FALSE)</f>
        <v>GUZMAN DANNY</v>
      </c>
      <c r="M157" s="6">
        <f>I157-F157</f>
        <v>2.6006944441178348E-2</v>
      </c>
      <c r="N157" s="7">
        <f>24*60*SUM($M157:$M157)</f>
        <v>37.449999995296821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-05T00:07:50-0600',mode:absolute,to:'2017-04-05T03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3" t="str">
        <f>IF(AA157&lt;IF(AG157="EC",23,5.65),"Y","N")</f>
        <v>N</v>
      </c>
      <c r="X157" s="183">
        <f>VALUE(LEFT(AD157,4))-VALUE(LEFT(AD156,4))</f>
        <v>1</v>
      </c>
      <c r="Y157" s="62">
        <f>RIGHT(D157,LEN(D157)-4)/10000</f>
        <v>23.3047</v>
      </c>
      <c r="Z157" s="62">
        <f>RIGHT(H157,LEN(H157)-4)/10000</f>
        <v>1.41E-2</v>
      </c>
      <c r="AA157" s="62">
        <f>ABS(Z157-Y157)</f>
        <v>23.290600000000001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0244-04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 &amp; aws s3 cp s3://rtdc.mdm.uploadarchive.raw/RTDC4045/ "%USERPROFILE%\AppData\Local\Temp\OnboardLogs"\RTDC4045\2017-04-06 --exclude "*" --recursive --include "*20170406*" &amp; "%USERPROFILE%\Documents\GitHub\mrs-test-scripts\Headless Mode &amp; Sideloading\WalkAndUnGZ.bat" "%USERPROFILE%\AppData\Local\Temp\OnboardLogs"\RTDC4045\2017-04-06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/stypes="app*4045*20170405*" /stext=" 08:.+((SYSTEM_STATE.+slice.+state.+changed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EC</v>
      </c>
      <c r="AH157" s="86" t="str">
        <f t="shared" si="14"/>
        <v>"%USERPROFILE%\Documents\GitHub\eaglep3\Utilities\RefineRTDCRunTimes.py" --tripid 244-04 --locoid 4045 --swversion DE.1.0.9.0 --startMP 204:233047 --initTime 2017-04-05T01:07:50 --startdatetime 2017-04-05T01:26:20 --delay 1 --endMP 204:141 --enddatetime 2017-04-05T02:03:47 --enforcementcount 0 &gt;&gt;C:\Users\stu\Documents\GitHub\eaglep3-reporting\EC\2017-04-04-refined-times.txt</v>
      </c>
      <c r="AI157" s="104" t="str">
        <f t="shared" si="15"/>
        <v>echo {"issue":{"subject":"","project_id":79,"tracker_id":40,"status_id":1,"priority_id":2,"assigned_to_id":23,"start_date":"2017-04-05","description":"","custom_fields":[{"id":1,"name":"Subdivision","value":"EC"},{"id":4,"name":"Milepost","value":"0.0141"},{"id":17,"name":"Train ID","value":"244-04"},{"id":16,"name":"Locomotive ID","value":"4045"},{"id":130,"name":"Impact","value":""},{"id":150,"name":"Time of Event (Mountain Time)","value":"02:03:47"},{"id":151,"name":"Denver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16"/>
        <v>start /low /b %USERPROFILE%\Documents\GitHub\eaglep3\Utilities\DownloadLogsFromS3.py --loco 4045 --day 2017-04-05</v>
      </c>
      <c r="AN157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645</v>
      </c>
      <c r="B158" s="7">
        <v>4015</v>
      </c>
      <c r="C158" s="21" t="s">
        <v>217</v>
      </c>
      <c r="D158" s="21" t="s">
        <v>934</v>
      </c>
      <c r="E158" s="13">
        <v>42829.211053240739</v>
      </c>
      <c r="F158" s="13">
        <v>42829.212430555555</v>
      </c>
      <c r="G158" s="7">
        <v>1</v>
      </c>
      <c r="H158" s="21" t="s">
        <v>935</v>
      </c>
      <c r="I158" s="13">
        <v>42829.225011574075</v>
      </c>
      <c r="J158" s="7">
        <v>0</v>
      </c>
      <c r="K158" s="97" t="str">
        <f>IF(ISEVEN(B158),(B158-1)&amp;"/"&amp;B158,B158&amp;"/"&amp;(B158+1))</f>
        <v>4015/4016</v>
      </c>
      <c r="L158" s="21" t="str">
        <f>VLOOKUP(A158,'Trips&amp;Operators'!$C$1:$G$99999,5,FALSE)</f>
        <v>YORK EDGAR</v>
      </c>
      <c r="M158" s="6">
        <f>I158-F158</f>
        <v>1.2581018519995268E-2</v>
      </c>
      <c r="N158" s="7">
        <f>24*60*SUM($M158:$M158)</f>
        <v>18.116666668793187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-04T04:03:55-0600',mode:absolute,to:'2017-04-04T06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83" t="str">
        <f>IF(AA158&lt;IF(AG158="EC",23,5.65),"Y","N")</f>
        <v>N</v>
      </c>
      <c r="X158" s="183">
        <f>VALUE(LEFT(AD158,4))-VALUE(LEFT(AD157,4))</f>
        <v>556</v>
      </c>
      <c r="Y158" s="62">
        <f>RIGHT(D158,LEN(D158)-4)/10000</f>
        <v>5.8615000000000004</v>
      </c>
      <c r="Z158" s="62">
        <f>RIGHT(H158,LEN(H158)-4)/10000</f>
        <v>7.5700000000000003E-2</v>
      </c>
      <c r="AA158" s="62">
        <f>ABS(Z158-Y158)</f>
        <v>5.7858000000000001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0800-04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/stypes="app*4015*20170404*" /stext=" 11:.+((SYSTEM_STATE.+slice.+state.+changed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NW</v>
      </c>
      <c r="AH158" s="86" t="str">
        <f t="shared" si="14"/>
        <v>"%USERPROFILE%\Documents\GitHub\eaglep3\Utilities\RefineRTDCRunTimes.py" --tripid 800-04 --locoid 4015 --swversion DE.1.0.9.0 --startMP 300:58615 --initTime 2017-04-04T05:03:55 --startdatetime 2017-04-04T05:05:54 --delay 1 --endMP 204:757 --enddatetime 2017-04-04T05:24:01 --enforcementcount 0 &gt;&gt;C:\Users\stu\Documents\GitHub\eaglep3-reporting\EC\2017-04-04-refined-times.txt</v>
      </c>
      <c r="AI158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{"issue":{"subject":"","project_id":79,"tracker_id":40,"status_id":1,"priority_id":2,"assigned_to_id":23,"start_date":"2017-04-04","description":"","custom_fields":[{"id":1,"name":"Subdivision","value":"NW"},{"id":4,"name":"Milepost","value":"0.0757"},{"id":17,"name":"Train ID","value":"800-04"},{"id":16,"name":"Locomotive ID","value":"4015"},{"id":130,"name":"Impact","value":""},{"id":150,"name":"Time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16"/>
        <v>start /low /b %USERPROFILE%\Documents\GitHub\eaglep3\Utilities\DownloadLogsFromS3.py --loco 4015 --day 2017-04-04</v>
      </c>
      <c r="AN158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647</v>
      </c>
      <c r="B159" s="7">
        <v>4016</v>
      </c>
      <c r="C159" s="21" t="s">
        <v>217</v>
      </c>
      <c r="D159" s="21" t="s">
        <v>936</v>
      </c>
      <c r="E159" s="13">
        <v>42829.225914351853</v>
      </c>
      <c r="F159" s="13">
        <v>42829.244664351849</v>
      </c>
      <c r="G159" s="7">
        <v>1</v>
      </c>
      <c r="H159" s="21" t="s">
        <v>570</v>
      </c>
      <c r="I159" s="13">
        <v>42829.253437500003</v>
      </c>
      <c r="J159" s="7">
        <v>0</v>
      </c>
      <c r="K159" s="97" t="str">
        <f>IF(ISEVEN(B159),(B159-1)&amp;"/"&amp;B159,B159&amp;"/"&amp;(B159+1))</f>
        <v>4015/4016</v>
      </c>
      <c r="L159" s="21" t="str">
        <f>VLOOKUP(A159,'Trips&amp;Operators'!$C$1:$G$99999,5,FALSE)</f>
        <v>YORK EDGAR</v>
      </c>
      <c r="M159" s="6">
        <f>I159-F159</f>
        <v>8.7731481544324197E-3</v>
      </c>
      <c r="N159" s="7">
        <f>24*60*SUM($M159:$M159)</f>
        <v>12.633333342382684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-04T04:25:19-0600',mode:absolute,to:'2017-04-04T07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83" t="str">
        <f>IF(AA159&lt;IF(AG159="EC",23,5.65),"Y","N")</f>
        <v>N</v>
      </c>
      <c r="X159" s="183">
        <f>VALUE(LEFT(AD159,4))-VALUE(LEFT(AD158,4))</f>
        <v>1</v>
      </c>
      <c r="Y159" s="62">
        <f>RIGHT(D159,LEN(D159)-4)/10000</f>
        <v>0.10299999999999999</v>
      </c>
      <c r="Z159" s="62">
        <f>RIGHT(H159,LEN(H159)-4)/10000</f>
        <v>5.8929</v>
      </c>
      <c r="AA159" s="62">
        <f>ABS(Z159-Y159)</f>
        <v>5.7899000000000003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0801-04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 t="shared" si="14"/>
        <v>"%USERPROFILE%\Documents\GitHub\eaglep3\Utilities\RefineRTDCRunTimes.py" --tripid 801-04 --locoid 4016 --swversion DE.1.0.9.0 --startMP 204:1030 --initTime 2017-04-04T05:25:19 --startdatetime 2017-04-04T05:52:19 --delay 1 --endMP 300:58929 --enddatetime 2017-04-04T06:04:57 --enforcementcount 0 &gt;&gt;C:\Users\stu\Documents\GitHub\eaglep3-reporting\EC\2017-04-04-refined-times.txt</v>
      </c>
      <c r="AI159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ID","value":"801-04"},{"id":16,"name":"Locomotive ID","value":"4016"},{"id":130,"name":"Impact","value":""},{"id":150,"name":"Time of Event (Mountain Time)","value":"06:04:57"},{"id":151,"name":"Denver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16"/>
        <v>start /low /b %USERPROFILE%\Documents\GitHub\eaglep3\Utilities\DownloadLogsFromS3.py --loco 4016 --day 2017-04-04</v>
      </c>
      <c r="AN159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656</v>
      </c>
      <c r="B160" s="7">
        <v>4015</v>
      </c>
      <c r="C160" s="21" t="s">
        <v>217</v>
      </c>
      <c r="D160" s="21" t="s">
        <v>937</v>
      </c>
      <c r="E160" s="13">
        <v>42829.255069444444</v>
      </c>
      <c r="F160" s="13">
        <v>42829.257453703707</v>
      </c>
      <c r="G160" s="7">
        <v>1</v>
      </c>
      <c r="H160" s="21" t="s">
        <v>938</v>
      </c>
      <c r="I160" s="13">
        <v>42829.267187500001</v>
      </c>
      <c r="J160" s="7">
        <v>0</v>
      </c>
      <c r="K160" s="97" t="str">
        <f>IF(ISEVEN(B160),(B160-1)&amp;"/"&amp;B160,B160&amp;"/"&amp;(B160+1))</f>
        <v>4015/4016</v>
      </c>
      <c r="L160" s="21" t="str">
        <f>VLOOKUP(A160,'Trips&amp;Operators'!$C$1:$G$99999,5,FALSE)</f>
        <v>YORK EDGAR</v>
      </c>
      <c r="M160" s="6">
        <f>I160-F160</f>
        <v>9.7337962943129241E-3</v>
      </c>
      <c r="N160" s="7">
        <f>24*60*SUM($M160:$M160)</f>
        <v>14.016666663810611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-04T05:07:18-0600',mode:absolute,to:'2017-04-04T07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83" t="str">
        <f>IF(AA160&lt;IF(AG160="EC",23,5.65),"Y","N")</f>
        <v>N</v>
      </c>
      <c r="X160" s="183">
        <f>VALUE(LEFT(AD160,4))-VALUE(LEFT(AD159,4))</f>
        <v>1</v>
      </c>
      <c r="Y160" s="62">
        <f>RIGHT(D160,LEN(D160)-4)/10000</f>
        <v>5.8624000000000001</v>
      </c>
      <c r="Z160" s="62">
        <f>RIGHT(H160,LEN(H160)-4)/10000</f>
        <v>7.3400000000000007E-2</v>
      </c>
      <c r="AA160" s="62">
        <f>ABS(Z160-Y160)</f>
        <v>5.7889999999999997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0802-04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/stypes="app*4015*20170404*" /stext=" 12:.+((SYSTEM_STATE.+slice.+state.+changed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 t="shared" si="14"/>
        <v>"%USERPROFILE%\Documents\GitHub\eaglep3\Utilities\RefineRTDCRunTimes.py" --tripid 802-04 --locoid 4015 --swversion DE.1.0.9.0 --startMP 300:58624 --initTime 2017-04-04T06:07:18 --startdatetime 2017-04-04T06:10:44 --delay 1 --endMP 204:734 --enddatetime 2017-04-04T06:24:45 --enforcementcount 0 &gt;&gt;C:\Users\stu\Documents\GitHub\eaglep3-reporting\EC\2017-04-04-refined-times.txt</v>
      </c>
      <c r="AI160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{"issue":{"subject":"","project_id":79,"tracker_id":40,"status_id":1,"priority_id":2,"assigned_to_id":23,"start_date":"2017-04-04","description":"","custom_fields":[{"id":1,"name":"Subdivision","value":"NW"},{"id":4,"name":"Milepost","value":"0.0734"},{"id":17,"name":"Train ID","value":"802-04"},{"id":16,"name":"Locomotive ID","value":"4015"},{"id":130,"name":"Impact","value":""},{"id":150,"name":"Time of Event (Mountain Time)","value":"06:24:45"},{"id":151,"name":"Denver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16"/>
        <v>start /low /b %USERPROFILE%\Documents\GitHub\eaglep3\Utilities\DownloadLogsFromS3.py --loco 4015 --day 2017-04-04</v>
      </c>
      <c r="AN160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657</v>
      </c>
      <c r="B161" s="7">
        <v>4042</v>
      </c>
      <c r="C161" s="21" t="s">
        <v>217</v>
      </c>
      <c r="D161" s="21" t="s">
        <v>939</v>
      </c>
      <c r="E161" s="13">
        <v>42829.2578125</v>
      </c>
      <c r="F161" s="13">
        <v>42829.264780092592</v>
      </c>
      <c r="G161" s="7">
        <v>2</v>
      </c>
      <c r="H161" s="21" t="s">
        <v>940</v>
      </c>
      <c r="I161" s="13">
        <v>42829.27449074074</v>
      </c>
      <c r="J161" s="7">
        <v>0</v>
      </c>
      <c r="K161" s="97" t="str">
        <f>IF(ISEVEN(B161),(B161-1)&amp;"/"&amp;B161,B161&amp;"/"&amp;(B161+1))</f>
        <v>4041/4042</v>
      </c>
      <c r="L161" s="21" t="str">
        <f>VLOOKUP(A161,'Trips&amp;Operators'!$C$1:$G$99999,5,FALSE)</f>
        <v>ACKERMAN JARED</v>
      </c>
      <c r="M161" s="6">
        <f>I161-F161</f>
        <v>9.710648148029577E-3</v>
      </c>
      <c r="N161" s="7">
        <f>24*60*SUM($M161:$M161)</f>
        <v>13.983333333162591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-04T05:11:15-0600',mode:absolute,to:'2017-04-04T07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1" s="183" t="str">
        <f>IF(AA161&lt;IF(AG161="EC",23,5.65),"Y","N")</f>
        <v>N</v>
      </c>
      <c r="X161" s="183">
        <f>VALUE(LEFT(AD161,4))-VALUE(LEFT(AD160,4))</f>
        <v>1</v>
      </c>
      <c r="Y161" s="62">
        <f>RIGHT(D161,LEN(D161)-4)/10000</f>
        <v>0.1046</v>
      </c>
      <c r="Z161" s="62">
        <f>RIGHT(H161,LEN(H161)-4)/10000</f>
        <v>5.8936999999999999</v>
      </c>
      <c r="AA161" s="62">
        <f>ABS(Z161-Y161)</f>
        <v>5.7891000000000004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0803-04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/stypes="app*4042*20170404*" /stext=" 12:.+((SYSTEM_STATE.+slice.+state.+changed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 t="shared" si="14"/>
        <v>"%USERPROFILE%\Documents\GitHub\eaglep3\Utilities\RefineRTDCRunTimes.py" --tripid 803-04 --locoid 4042 --swversion DE.1.0.9.0 --startMP 204:1046 --initTime 2017-04-04T06:11:15 --startdatetime 2017-04-04T06:21:17 --delay 2 --endMP 300:58937 --enddatetime 2017-04-04T06:35:16 --enforcementcount 0 &gt;&gt;C:\Users\stu\Documents\GitHub\eaglep3-reporting\EC\2017-04-04-refined-times.txt</v>
      </c>
      <c r="AI161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ID","value":"803-04"},{"id":16,"name":"Locomotive ID","value":"4042"},{"id":130,"name":"Impact","value":""},{"id":150,"name":"Time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16"/>
        <v>start /low /b %USERPROFILE%\Documents\GitHub\eaglep3\Utilities\DownloadLogsFromS3.py --loco 4042 --day 2017-04-04</v>
      </c>
      <c r="AN161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591</v>
      </c>
      <c r="B162" s="7">
        <v>4041</v>
      </c>
      <c r="C162" s="21" t="s">
        <v>217</v>
      </c>
      <c r="D162" s="21" t="s">
        <v>941</v>
      </c>
      <c r="E162" s="13">
        <v>42829.275613425925</v>
      </c>
      <c r="F162" s="13">
        <v>42829.277303240742</v>
      </c>
      <c r="G162" s="7">
        <v>1</v>
      </c>
      <c r="H162" s="21" t="s">
        <v>942</v>
      </c>
      <c r="I162" s="13">
        <v>42829.288356481484</v>
      </c>
      <c r="J162" s="7">
        <v>0</v>
      </c>
      <c r="K162" s="97" t="str">
        <f>IF(ISEVEN(B162),(B162-1)&amp;"/"&amp;B162,B162&amp;"/"&amp;(B162+1))</f>
        <v>4041/4042</v>
      </c>
      <c r="L162" s="21" t="str">
        <f>VLOOKUP(A162,'Trips&amp;Operators'!$C$1:$G$99999,5,FALSE)</f>
        <v>ACKERMAN JARED</v>
      </c>
      <c r="M162" s="6">
        <f>I162-F162</f>
        <v>1.1053240741603076E-2</v>
      </c>
      <c r="N162" s="7">
        <f>24*60*SUM($M162:$M162)</f>
        <v>15.91666666790843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2" s="183" t="str">
        <f>IF(AA162&lt;IF(AG162="EC",23,5.65),"Y","N")</f>
        <v>N</v>
      </c>
      <c r="X162" s="183">
        <f>VALUE(LEFT(AD162,4))-VALUE(LEFT(AD161,4))</f>
        <v>1</v>
      </c>
      <c r="Y162" s="62">
        <f>RIGHT(D162,LEN(D162)-4)/10000</f>
        <v>5.8638000000000003</v>
      </c>
      <c r="Z162" s="62">
        <f>RIGHT(H162,LEN(H162)-4)/10000</f>
        <v>1.29E-2</v>
      </c>
      <c r="AA162" s="62">
        <f>ABS(Z162-Y162)</f>
        <v>5.8509000000000002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0804-04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14"/>
        <v>"%USERPROFILE%\Documents\GitHub\eaglep3\Utilities\RefineRTDCRunTimes.py" --tripid 804-04 --locoid 4041 --swversion DE.1.0.9.0 --startMP 300:58638 --initTime 2017-04-04T06:36:53 --startdatetime 2017-04-04T06:39:19 --delay 1 --endMP 204:129 --enddatetime 2017-04-04T06:55:14 --enforcementcount 0 &gt;&gt;C:\Users\stu\Documents\GitHub\eaglep3-reporting\EC\2017-04-04-refined-times.txt</v>
      </c>
      <c r="AI162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{"issue":{"subject":"","project_id":79,"tracker_id":40,"status_id":1,"priority_id":2,"assigned_to_id":23,"start_date":"2017-04-04","description":"","custom_fields":[{"id":1,"name":"Subdivision","value":"NW"},{"id":4,"name":"Milepost","value":"0.0129"},{"id":17,"name":"Train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16"/>
        <v>start /low /b %USERPROFILE%\Documents\GitHub\eaglep3\Utilities\DownloadLogsFromS3.py --loco 4041 --day 2017-04-04</v>
      </c>
      <c r="AN162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660</v>
      </c>
      <c r="B163" s="7">
        <v>4016</v>
      </c>
      <c r="C163" s="21" t="s">
        <v>217</v>
      </c>
      <c r="D163" s="21" t="s">
        <v>944</v>
      </c>
      <c r="E163" s="13">
        <v>42829.28628472222</v>
      </c>
      <c r="F163" s="13">
        <v>42829.28696759259</v>
      </c>
      <c r="G163" s="7">
        <v>1</v>
      </c>
      <c r="H163" s="21" t="s">
        <v>489</v>
      </c>
      <c r="I163" s="13">
        <v>42829.287662037037</v>
      </c>
      <c r="J163" s="7">
        <v>0</v>
      </c>
      <c r="K163" s="97" t="str">
        <f>IF(ISEVEN(B163),(B163-1)&amp;"/"&amp;B163,B163&amp;"/"&amp;(B163+1))</f>
        <v>4015/4016</v>
      </c>
      <c r="L163" s="21" t="str">
        <f>VLOOKUP(A163,'Trips&amp;Operators'!$C$1:$G$99999,5,FALSE)</f>
        <v>YORK EDGAR</v>
      </c>
      <c r="M163" s="6">
        <f>I163-F163</f>
        <v>6.944444467080757E-4</v>
      </c>
      <c r="N163" s="7"/>
      <c r="O163" s="7"/>
      <c r="P163" s="7">
        <f>24*60*SUM($M163:$M163)</f>
        <v>1.000000003259629</v>
      </c>
      <c r="Q163" s="22"/>
      <c r="R163" s="22" t="s">
        <v>1048</v>
      </c>
      <c r="S163" s="31">
        <f>SUM(U163:U163)/IF(AG163="EC",12,1)</f>
        <v>0</v>
      </c>
      <c r="T163" s="46" t="str">
        <f>IF(ISEVEN(LEFT(AD163,4)),"Southbound","NorthBound")</f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8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-04T05:52:15-0600',mode:absolute,to:'2017-04-04T07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183" t="str">
        <f>IF(AA163&lt;IF(AG163="EC",23,5.65),"Y","N")</f>
        <v>Y</v>
      </c>
      <c r="X163" s="183">
        <f t="shared" ref="X163:X165" si="18">VALUE(LEFT(AD163,4))-VALUE(LEFT(AD162,4))</f>
        <v>1</v>
      </c>
      <c r="Y163" s="62">
        <f>RIGHT(D163,LEN(D163)-4)/10000</f>
        <v>0.13239999999999999</v>
      </c>
      <c r="Z163" s="62">
        <v>0.13239999999999999</v>
      </c>
      <c r="AA163" s="62">
        <f>ABS(Z163-Y163)</f>
        <v>0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0805-04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14"/>
        <v>"%USERPROFILE%\Documents\GitHub\eaglep3\Utilities\RefineRTDCRunTimes.py" --tripid 805-04 --locoid 4016 --swversion DE.1.0.9.0 --startMP 204:1324 --initTime 2017-04-04T06:52:15 --startdatetime 2017-04-04T06:53:14 --delay 1 --endMP 300:58946 --enddatetime 2017-04-04T06:54:14 --enforcementcount 0 &gt;&gt;C:\Users\stu\Documents\GitHub\eaglep3-reporting\EC\2017-04-04-refined-times.txt</v>
      </c>
      <c r="AI163" s="104" t="str">
        <f t="shared" si="15"/>
        <v>echo {"issue":{"subject":"Onboard in-route failure","project_id":79,"tracker_id":40,"status_id":1,"priority_id":2,"assigned_to_id":23,"start_date":"2017-04-04","description":"","custom_fields":[{"id":1,"name":"Subdivision","value":"NW"},{"id":4,"name":"Milepost","value":"0.1324"},{"id":17,"name":"Train ID","value":"805-04"},{"id":16,"name":"Locomotive ID","value":"4016"},{"id":130,"name":"Impact","value":""},{"id":150,"name":"Time of Event (Mountain Time)","value":"06:54:14"},{"id":151,"name":"Denver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16"/>
        <v>start /low /b %USERPROFILE%\Documents\GitHub\eaglep3\Utilities\DownloadLogsFromS3.py --loco 4016 --day 2017-04-04</v>
      </c>
      <c r="AN163" s="159" t="str">
        <f t="shared" si="17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662</v>
      </c>
      <c r="B164" s="7">
        <v>4015</v>
      </c>
      <c r="C164" s="21" t="s">
        <v>217</v>
      </c>
      <c r="D164" s="21" t="s">
        <v>941</v>
      </c>
      <c r="E164" s="13">
        <v>42829.296678240738</v>
      </c>
      <c r="F164" s="13">
        <v>42829.297743055555</v>
      </c>
      <c r="G164" s="7">
        <v>0</v>
      </c>
      <c r="H164" s="21" t="s">
        <v>945</v>
      </c>
      <c r="I164" s="13">
        <v>42829.308981481481</v>
      </c>
      <c r="J164" s="7">
        <v>0</v>
      </c>
      <c r="K164" s="97" t="str">
        <f>IF(ISEVEN(B164),(B164-1)&amp;"/"&amp;B164,B164&amp;"/"&amp;(B164+1))</f>
        <v>4015/4016</v>
      </c>
      <c r="L164" s="21" t="str">
        <f>VLOOKUP(A164,'Trips&amp;Operators'!$C$1:$G$99999,5,FALSE)</f>
        <v>YORK EDGAR</v>
      </c>
      <c r="M164" s="6">
        <f>I164-F164</f>
        <v>1.1238425926421769E-2</v>
      </c>
      <c r="N164" s="7">
        <f>24*60*SUM($M164:$M164)</f>
        <v>16.183333334047347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-04T06:07:13-0600',mode:absolute,to:'2017-04-04T08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183" t="str">
        <f>IF(AA164&lt;IF(AG164="EC",23,5.65),"Y","N")</f>
        <v>N</v>
      </c>
      <c r="X164" s="183">
        <f t="shared" si="18"/>
        <v>1</v>
      </c>
      <c r="Y164" s="62">
        <f>RIGHT(D164,LEN(D164)-4)/10000</f>
        <v>5.8638000000000003</v>
      </c>
      <c r="Z164" s="62">
        <f>RIGHT(H164,LEN(H164)-4)/10000</f>
        <v>7.3800000000000004E-2</v>
      </c>
      <c r="AA164" s="62">
        <f>ABS(Z164-Y164)</f>
        <v>5.79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0806-04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/stypes="app*4015*20170404*" /stext=" 13:.+((SYSTEM_STATE.+slice.+state.+changed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14"/>
        <v>"%USERPROFILE%\Documents\GitHub\eaglep3\Utilities\RefineRTDCRunTimes.py" --tripid 806-04 --locoid 4015 --swversion DE.1.0.9.0 --startMP 300:58638 --initTime 2017-04-04T07:07:13 --startdatetime 2017-04-04T07:08:45 --delay 0 --endMP 204:738 --enddatetime 2017-04-04T07:24:56 --enforcementcount 0 &gt;&gt;C:\Users\stu\Documents\GitHub\eaglep3-reporting\EC\2017-04-04-refined-times.txt</v>
      </c>
      <c r="AI164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{"issue":{"subject":"","project_id":79,"tracker_id":40,"status_id":1,"priority_id":2,"assigned_to_id":23,"start_date":"2017-04-04","description":"","custom_fields":[{"id":1,"name":"Subdivision","value":"NW"},{"id":4,"name":"Milepost","value":"0.0738"},{"id":17,"name":"Train ID","value":"806-04"},{"id":16,"name":"Locomotive ID","value":"4015"},{"id":130,"name":"Impact","value":""},{"id":150,"name":"Time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16"/>
        <v>start /low /b %USERPROFILE%\Documents\GitHub\eaglep3\Utilities\DownloadLogsFromS3.py --loco 4015 --day 2017-04-04</v>
      </c>
      <c r="AN164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664</v>
      </c>
      <c r="B165" s="7">
        <v>4042</v>
      </c>
      <c r="C165" s="21" t="s">
        <v>217</v>
      </c>
      <c r="D165" s="21" t="s">
        <v>946</v>
      </c>
      <c r="E165" s="13">
        <v>42829.298587962963</v>
      </c>
      <c r="F165" s="13">
        <v>42829.306435185186</v>
      </c>
      <c r="G165" s="7">
        <v>2</v>
      </c>
      <c r="H165" s="21" t="s">
        <v>947</v>
      </c>
      <c r="I165" s="13">
        <v>42829.316354166665</v>
      </c>
      <c r="J165" s="7">
        <v>0</v>
      </c>
      <c r="K165" s="97" t="str">
        <f>IF(ISEVEN(B165),(B165-1)&amp;"/"&amp;B165,B165&amp;"/"&amp;(B165+1))</f>
        <v>4041/4042</v>
      </c>
      <c r="L165" s="21" t="str">
        <f>VLOOKUP(A165,'Trips&amp;Operators'!$C$1:$G$99999,5,FALSE)</f>
        <v>ACKERMAN JARED</v>
      </c>
      <c r="M165" s="6">
        <f>I165-F165</f>
        <v>9.9189814791316167E-3</v>
      </c>
      <c r="N165" s="7">
        <f>24*60*SUM($M165:$M165)</f>
        <v>14.283333329949528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-04T06:09:58-0600',mode:absolute,to:'2017-04-04T08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183" t="str">
        <f>IF(AA165&lt;IF(AG165="EC",23,5.65),"Y","N")</f>
        <v>N</v>
      </c>
      <c r="X165" s="183">
        <f t="shared" si="18"/>
        <v>1</v>
      </c>
      <c r="Y165" s="62">
        <f>RIGHT(D165,LEN(D165)-4)/10000</f>
        <v>4.2799999999999998E-2</v>
      </c>
      <c r="Z165" s="62">
        <f>RIGHT(H165,LEN(H165)-4)/10000</f>
        <v>5.8960999999999997</v>
      </c>
      <c r="AA165" s="62">
        <f>ABS(Z165-Y165)</f>
        <v>5.8532999999999999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0807-04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/stypes="app*4042*20170404*" /stext=" 13:.+((SYSTEM_STATE.+slice.+state.+changed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14"/>
        <v>"%USERPROFILE%\Documents\GitHub\eaglep3\Utilities\RefineRTDCRunTimes.py" --tripid 807-04 --locoid 4042 --swversion DE.1.0.9.0 --startMP 204:428 --initTime 2017-04-04T07:09:58 --startdatetime 2017-04-04T07:21:16 --delay 2 --endMP 300:58961 --enddatetime 2017-04-04T07:35:33 --enforcementcount 0 &gt;&gt;C:\Users\stu\Documents\GitHub\eaglep3-reporting\EC\2017-04-04-refined-times.txt</v>
      </c>
      <c r="AI165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{"issue":{"subject":"","project_id":79,"tracker_id":40,"status_id":1,"priority_id":2,"assigned_to_id":23,"start_date":"2017-04-04","description":"","custom_fields":[{"id":1,"name":"Subdivision","value":"NW"},{"id":4,"name":"Milepost","value":"5.8961"},{"id":17,"name":"Train ID","value":"807-04"},{"id":16,"name":"Locomotive ID","value":"4042"},{"id":130,"name":"Impact","value":""},{"id":150,"name":"Time of Event (Mountain Time)","value":"07:35:33"},{"id":151,"name":"Denver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16"/>
        <v>start /low /b %USERPROFILE%\Documents\GitHub\eaglep3\Utilities\DownloadLogsFromS3.py --loco 4042 --day 2017-04-04</v>
      </c>
      <c r="AN165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669</v>
      </c>
      <c r="B166" s="7">
        <v>4041</v>
      </c>
      <c r="C166" s="21" t="s">
        <v>217</v>
      </c>
      <c r="D166" s="21" t="s">
        <v>948</v>
      </c>
      <c r="E166" s="13">
        <v>42829.317476851851</v>
      </c>
      <c r="F166" s="13">
        <v>42829.318807870368</v>
      </c>
      <c r="G166" s="7">
        <v>1</v>
      </c>
      <c r="H166" s="21" t="s">
        <v>949</v>
      </c>
      <c r="I166" s="13">
        <v>42829.330381944441</v>
      </c>
      <c r="J166" s="7">
        <v>0</v>
      </c>
      <c r="K166" s="97" t="str">
        <f>IF(ISEVEN(B166),(B166-1)&amp;"/"&amp;B166,B166&amp;"/"&amp;(B166+1))</f>
        <v>4041/4042</v>
      </c>
      <c r="L166" s="21" t="str">
        <f>VLOOKUP(A166,'Trips&amp;Operators'!$C$1:$G$99999,5,FALSE)</f>
        <v>ACKERMAN JARED</v>
      </c>
      <c r="M166" s="6">
        <f>I166-F166</f>
        <v>1.1574074072996154E-2</v>
      </c>
      <c r="N166" s="7">
        <f>24*60*SUM($M166:$M166)</f>
        <v>16.666666665114462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-04T06:37:10-0600',mode:absolute,to:'2017-04-04T08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183" t="str">
        <f>IF(AA166&lt;IF(AG166="EC",23,5.65),"Y","N")</f>
        <v>N</v>
      </c>
      <c r="X166" s="183">
        <f>VALUE(LEFT(AD166,4))-VALUE(LEFT(AD165,4))</f>
        <v>1</v>
      </c>
      <c r="Y166" s="62">
        <f>RIGHT(D166,LEN(D166)-4)/10000</f>
        <v>5.8651</v>
      </c>
      <c r="Z166" s="62">
        <f>RIGHT(H166,LEN(H166)-4)/10000</f>
        <v>7.5499999999999998E-2</v>
      </c>
      <c r="AA166" s="62">
        <f>ABS(Z166-Y166)</f>
        <v>5.7896000000000001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0808-04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/stypes="app*4041*20170404*" /stext=" 13:.+((SYSTEM_STATE.+slice.+state.+changed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14"/>
        <v>"%USERPROFILE%\Documents\GitHub\eaglep3\Utilities\RefineRTDCRunTimes.py" --tripid 808-04 --locoid 4041 --swversion DE.1.0.9.0 --startMP 300:58651 --initTime 2017-04-04T07:37:10 --startdatetime 2017-04-04T07:39:05 --delay 1 --endMP 204:755 --enddatetime 2017-04-04T07:55:45 --enforcementcount 0 &gt;&gt;C:\Users\stu\Documents\GitHub\eaglep3-reporting\EC\2017-04-04-refined-times.txt</v>
      </c>
      <c r="AI166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{"issue":{"subject":"","project_id":79,"tracker_id":40,"status_id":1,"priority_id":2,"assigned_to_id":23,"start_date":"2017-04-04","description":"","custom_fields":[{"id":1,"name":"Subdivision","value":"NW"},{"id":4,"name":"Milepost","value":"0.0755"},{"id":17,"name":"Train ID","value":"808-04"},{"id":16,"name":"Locomotive ID","value":"4041"},{"id":130,"name":"Impact","value":""},{"id":150,"name":"Time of Event (Mountain Time)","value":"07:55:45"},{"id":151,"name":"Denver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16"/>
        <v>start /low /b %USERPROFILE%\Documents\GitHub\eaglep3\Utilities\DownloadLogsFromS3.py --loco 4041 --day 2017-04-04</v>
      </c>
      <c r="AN166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667</v>
      </c>
      <c r="B167" s="7">
        <v>4016</v>
      </c>
      <c r="C167" s="21" t="s">
        <v>217</v>
      </c>
      <c r="D167" s="21" t="s">
        <v>943</v>
      </c>
      <c r="E167" s="13">
        <v>42829.310011574074</v>
      </c>
      <c r="F167" s="13">
        <v>42829.327245370368</v>
      </c>
      <c r="G167" s="7">
        <v>1</v>
      </c>
      <c r="H167" s="21" t="s">
        <v>489</v>
      </c>
      <c r="I167" s="13">
        <v>42829.3358912037</v>
      </c>
      <c r="J167" s="7">
        <v>0</v>
      </c>
      <c r="K167" s="97" t="str">
        <f>IF(ISEVEN(B167),(B167-1)&amp;"/"&amp;B167,B167&amp;"/"&amp;(B167+1))</f>
        <v>4015/4016</v>
      </c>
      <c r="L167" s="21" t="str">
        <f>VLOOKUP(A167,'Trips&amp;Operators'!$C$1:$G$99999,5,FALSE)</f>
        <v>YORK EDGAR</v>
      </c>
      <c r="M167" s="6">
        <f>I167-F167</f>
        <v>8.6458333316841163E-3</v>
      </c>
      <c r="N167" s="7">
        <f>24*60*SUM($M167:$M167)</f>
        <v>12.449999997625127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-04T06:26:25-0600',mode:absolute,to:'2017-04-04T09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83" t="str">
        <f>IF(AA167&lt;IF(AG167="EC",23,5.65),"Y","N")</f>
        <v>N</v>
      </c>
      <c r="X167" s="183">
        <f>VALUE(LEFT(AD167,4))-VALUE(LEFT(AD166,4))</f>
        <v>1</v>
      </c>
      <c r="Y167" s="62">
        <f>RIGHT(D167,LEN(D167)-4)/10000</f>
        <v>0.10199999999999999</v>
      </c>
      <c r="Z167" s="62">
        <f>RIGHT(H167,LEN(H167)-4)/10000</f>
        <v>5.8945999999999996</v>
      </c>
      <c r="AA167" s="62">
        <f>ABS(Z167-Y167)</f>
        <v>5.7925999999999993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0809-04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14"/>
        <v>"%USERPROFILE%\Documents\GitHub\eaglep3\Utilities\RefineRTDCRunTimes.py" --tripid 809-04 --locoid 4016 --swversion DE.1.0.9.0 --startMP 204:1020 --initTime 2017-04-04T07:26:25 --startdatetime 2017-04-04T07:51:14 --delay 1 --endMP 300:58946 --enddatetime 2017-04-04T08:03:41 --enforcementcount 0 &gt;&gt;C:\Users\stu\Documents\GitHub\eaglep3-reporting\EC\2017-04-04-refined-times.txt</v>
      </c>
      <c r="AI167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ID","value":"809-04"},{"id":16,"name":"Locomotive ID","value":"4016"},{"id":130,"name":"Impact","value":""},{"id":150,"name":"Time of Event (Mountain Time)","value":"08:03:41"},{"id":151,"name":"Denver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16"/>
        <v>start /low /b %USERPROFILE%\Documents\GitHub\eaglep3\Utilities\DownloadLogsFromS3.py --loco 4016 --day 2017-04-04</v>
      </c>
      <c r="AN167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674</v>
      </c>
      <c r="B168" s="7">
        <v>4015</v>
      </c>
      <c r="C168" s="21" t="s">
        <v>217</v>
      </c>
      <c r="D168" s="21" t="s">
        <v>967</v>
      </c>
      <c r="E168" s="13">
        <v>42829.339432870373</v>
      </c>
      <c r="F168" s="13">
        <v>42829.341307870367</v>
      </c>
      <c r="G168" s="7">
        <v>1</v>
      </c>
      <c r="H168" s="21" t="s">
        <v>968</v>
      </c>
      <c r="I168" s="13">
        <v>42829.351354166669</v>
      </c>
      <c r="J168" s="7">
        <v>0</v>
      </c>
      <c r="K168" s="97" t="str">
        <f>IF(ISEVEN(B168),(B168-1)&amp;"/"&amp;B168,B168&amp;"/"&amp;(B168+1))</f>
        <v>4015/4016</v>
      </c>
      <c r="L168" s="21" t="str">
        <f>VLOOKUP(A168,'Trips&amp;Operators'!$C$1:$G$99999,5,FALSE)</f>
        <v>YORK EDGAR</v>
      </c>
      <c r="M168" s="6">
        <f>I168-F168</f>
        <v>1.004629630187992E-2</v>
      </c>
      <c r="N168" s="7">
        <f>24*60*SUM($M168:$M168)</f>
        <v>14.466666674707085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-04T07:08:47-0600',mode:absolute,to:'2017-04-04T09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83" t="str">
        <f>IF(AA168&lt;IF(AG168="EC",23,5.65),"Y","N")</f>
        <v>N</v>
      </c>
      <c r="X168" s="183">
        <f t="shared" ref="X168:X172" si="19">VALUE(LEFT(AD168,4))-VALUE(LEFT(AD167,4))</f>
        <v>1</v>
      </c>
      <c r="Y168" s="62">
        <f>RIGHT(D168,LEN(D168)-4)/10000</f>
        <v>5.8563999999999998</v>
      </c>
      <c r="Z168" s="62">
        <f>RIGHT(H168,LEN(H168)-4)/10000</f>
        <v>8.1699999999999995E-2</v>
      </c>
      <c r="AA168" s="62">
        <f>ABS(Z168-Y168)</f>
        <v>5.7747000000000002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0810-04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/stypes="app*4015*20170404*" /stext=" 14:.+((SYSTEM_STATE.+slice.+state.+changed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14"/>
        <v>"%USERPROFILE%\Documents\GitHub\eaglep3\Utilities\RefineRTDCRunTimes.py" --tripid 810-04 --locoid 4015 --swversion DE.1.0.9.0 --startMP 300:58564 --initTime 2017-04-04T08:08:47 --startdatetime 2017-04-04T08:11:29 --delay 1 --endMP 204:817 --enddatetime 2017-04-04T08:25:57 --enforcementcount 0 &gt;&gt;C:\Users\stu\Documents\GitHub\eaglep3-reporting\EC\2017-04-04-refined-times.txt</v>
      </c>
      <c r="AI168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{"issue":{"subject":"","project_id":79,"tracker_id":40,"status_id":1,"priority_id":2,"assigned_to_id":23,"start_date":"2017-04-04","description":"","custom_fields":[{"id":1,"name":"Subdivision","value":"NW"},{"id":4,"name":"Milepost","value":"0.0817"},{"id":17,"name":"Train ID","value":"810-04"},{"id":16,"name":"Locomotive ID","value":"4015"},{"id":130,"name":"Impact","value":""},{"id":150,"name":"Time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16"/>
        <v>start /low /b %USERPROFILE%\Documents\GitHub\eaglep3\Utilities\DownloadLogsFromS3.py --loco 4015 --day 2017-04-04</v>
      </c>
      <c r="AN168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673</v>
      </c>
      <c r="B169" s="7">
        <v>4042</v>
      </c>
      <c r="C169" s="21" t="s">
        <v>217</v>
      </c>
      <c r="D169" s="21" t="s">
        <v>969</v>
      </c>
      <c r="E169" s="13">
        <v>42829.335625</v>
      </c>
      <c r="F169" s="13">
        <v>42829.360937500001</v>
      </c>
      <c r="G169" s="7">
        <v>1</v>
      </c>
      <c r="H169" s="21" t="s">
        <v>970</v>
      </c>
      <c r="I169" s="13">
        <v>42829.371539351851</v>
      </c>
      <c r="J169" s="7">
        <v>0</v>
      </c>
      <c r="K169" s="97" t="str">
        <f>IF(ISEVEN(B169),(B169-1)&amp;"/"&amp;B169,B169&amp;"/"&amp;(B169+1))</f>
        <v>4041/4042</v>
      </c>
      <c r="L169" s="21" t="str">
        <f>VLOOKUP(A169,'Trips&amp;Operators'!$C$1:$G$99999,5,FALSE)</f>
        <v>ACKERMAN JARED</v>
      </c>
      <c r="M169" s="6">
        <f>I169-F169</f>
        <v>1.060185184906004E-2</v>
      </c>
      <c r="N169" s="7">
        <f>24*60*SUM($M169:$M169)</f>
        <v>15.266666662646458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-04T07:03:18-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183" t="str">
        <f>IF(AA169&lt;IF(AG169="EC",23,5.65),"Y","N")</f>
        <v>N</v>
      </c>
      <c r="X169" s="183">
        <f t="shared" si="19"/>
        <v>1</v>
      </c>
      <c r="Y169" s="62">
        <f>RIGHT(D169,LEN(D169)-4)/10000</f>
        <v>0.10249999999999999</v>
      </c>
      <c r="Z169" s="62">
        <f>RIGHT(H169,LEN(H169)-4)/10000</f>
        <v>5.8973000000000004</v>
      </c>
      <c r="AA169" s="62">
        <f>ABS(Z169-Y169)</f>
        <v>5.7948000000000004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0811-04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/stypes="app*4042*20170404*" /stext=" 14:.+((SYSTEM_STATE.+slice.+state.+changed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14"/>
        <v>"%USERPROFILE%\Documents\GitHub\eaglep3\Utilities\RefineRTDCRunTimes.py" --tripid 811-04 --locoid 4042 --swversion DE.1.0.9.0 --startMP 204:1025 --initTime 2017-04-04T08:03:18 --startdatetime 2017-04-04T08:39:45 --delay 1 --endMP 300:58973 --enddatetime 2017-04-04T08:55:01 --enforcementcount 0 &gt;&gt;C:\Users\stu\Documents\GitHub\eaglep3-reporting\EC\2017-04-04-refined-times.txt</v>
      </c>
      <c r="AI169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{"issue":{"subject":"","project_id":79,"tracker_id":40,"status_id":1,"priority_id":2,"assigned_to_id":23,"start_date":"2017-04-04","description":"","custom_fields":[{"id":1,"name":"Subdivision","value":"NW"},{"id":4,"name":"Milepost","value":"5.8973"},{"id":17,"name":"Train ID","value":"811-04"},{"id":16,"name":"Locomotive ID","value":"4042"},{"id":130,"name":"Impact","value":""},{"id":150,"name":"Time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16"/>
        <v>start /low /b %USERPROFILE%\Documents\GitHub\eaglep3\Utilities\DownloadLogsFromS3.py --loco 4042 --day 2017-04-04</v>
      </c>
      <c r="AN169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680</v>
      </c>
      <c r="B170" s="7">
        <v>4041</v>
      </c>
      <c r="C170" s="21" t="s">
        <v>217</v>
      </c>
      <c r="D170" s="21" t="s">
        <v>971</v>
      </c>
      <c r="E170" s="13">
        <v>42829.359467592592</v>
      </c>
      <c r="F170" s="13">
        <v>42829.360937500001</v>
      </c>
      <c r="G170" s="7">
        <v>1</v>
      </c>
      <c r="H170" s="21" t="s">
        <v>972</v>
      </c>
      <c r="I170" s="13">
        <v>42829.371539351851</v>
      </c>
      <c r="J170" s="7">
        <v>0</v>
      </c>
      <c r="K170" s="97" t="str">
        <f>IF(ISEVEN(B170),(B170-1)&amp;"/"&amp;B170,B170&amp;"/"&amp;(B170+1))</f>
        <v>4041/4042</v>
      </c>
      <c r="L170" s="21" t="str">
        <f>VLOOKUP(A170,'Trips&amp;Operators'!$C$1:$G$99999,5,FALSE)</f>
        <v>ACKERMAN JARED</v>
      </c>
      <c r="M170" s="6">
        <f>I170-F170</f>
        <v>1.060185184906004E-2</v>
      </c>
      <c r="N170" s="7">
        <f>24*60*SUM($M170:$M170)</f>
        <v>15.266666662646458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-04T07:37:38-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183" t="str">
        <f>IF(AA170&lt;IF(AG170="EC",23,5.65),"Y","N")</f>
        <v>N</v>
      </c>
      <c r="X170" s="183">
        <f t="shared" si="19"/>
        <v>1</v>
      </c>
      <c r="Y170" s="62">
        <f>RIGHT(D170,LEN(D170)-4)/10000</f>
        <v>5.8666</v>
      </c>
      <c r="Z170" s="62">
        <f>RIGHT(H170,LEN(H170)-4)/10000</f>
        <v>7.6200000000000004E-2</v>
      </c>
      <c r="AA170" s="62">
        <f>ABS(Z170-Y170)</f>
        <v>5.7904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0812-04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/stypes="app*4041*20170404*" /stext=" 14:.+((SYSTEM_STATE.+slice.+state.+changed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14"/>
        <v>"%USERPROFILE%\Documents\GitHub\eaglep3\Utilities\RefineRTDCRunTimes.py" --tripid 812-04 --locoid 4041 --swversion DE.1.0.9.0 --startMP 300:58666 --initTime 2017-04-04T08:37:38 --startdatetime 2017-04-04T08:39:45 --delay 1 --endMP 204:762 --enddatetime 2017-04-04T08:55:01 --enforcementcount 0 &gt;&gt;C:\Users\stu\Documents\GitHub\eaglep3-reporting\EC\2017-04-04-refined-times.txt</v>
      </c>
      <c r="AI170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{"issue":{"subject":"","project_id":79,"tracker_id":40,"status_id":1,"priority_id":2,"assigned_to_id":23,"start_date":"2017-04-04","description":"","custom_fields":[{"id":1,"name":"Subdivision","value":"NW"},{"id":4,"name":"Milepost","value":"0.0762"},{"id":17,"name":"Train ID","value":"812-04"},{"id":16,"name":"Locomotive ID","value":"4041"},{"id":130,"name":"Impact","value":""},{"id":150,"name":"Time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16"/>
        <v>start /low /b %USERPROFILE%\Documents\GitHub\eaglep3\Utilities\DownloadLogsFromS3.py --loco 4041 --day 2017-04-04</v>
      </c>
      <c r="AN170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684</v>
      </c>
      <c r="B171" s="7">
        <v>4042</v>
      </c>
      <c r="C171" s="21" t="s">
        <v>217</v>
      </c>
      <c r="D171" s="21" t="s">
        <v>973</v>
      </c>
      <c r="E171" s="13">
        <v>42829.378819444442</v>
      </c>
      <c r="F171" s="13">
        <v>42829.389768518522</v>
      </c>
      <c r="G171" s="7">
        <v>1</v>
      </c>
      <c r="H171" s="21" t="s">
        <v>489</v>
      </c>
      <c r="I171" s="13">
        <v>42829.399131944447</v>
      </c>
      <c r="J171" s="7">
        <v>0</v>
      </c>
      <c r="K171" s="97" t="str">
        <f>IF(ISEVEN(B171),(B171-1)&amp;"/"&amp;B171,B171&amp;"/"&amp;(B171+1))</f>
        <v>4041/4042</v>
      </c>
      <c r="L171" s="21" t="str">
        <f>VLOOKUP(A171,'Trips&amp;Operators'!$C$1:$G$99999,5,FALSE)</f>
        <v>ACKERMAN JARED</v>
      </c>
      <c r="M171" s="6">
        <f>I171-F171</f>
        <v>9.3634259246755391E-3</v>
      </c>
      <c r="N171" s="7">
        <f>24*60*SUM($M171:$M171)</f>
        <v>13.483333331532776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-04T08:05:30-0600',mode:absolute,to:'2017-04-04T10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183" t="str">
        <f>IF(AA171&lt;IF(AG171="EC",23,5.65),"Y","N")</f>
        <v>N</v>
      </c>
      <c r="X171" s="183">
        <f t="shared" si="19"/>
        <v>1</v>
      </c>
      <c r="Y171" s="62">
        <f>RIGHT(D171,LEN(D171)-4)/10000</f>
        <v>0.1023</v>
      </c>
      <c r="Z171" s="62">
        <f>RIGHT(H171,LEN(H171)-4)/10000</f>
        <v>5.8945999999999996</v>
      </c>
      <c r="AA171" s="62">
        <f>ABS(Z171-Y171)</f>
        <v>5.7923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0813-04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/stypes="app*4042*20170404*" /stext=" 15:.+((SYSTEM_STATE.+slice.+state.+changed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14"/>
        <v>"%USERPROFILE%\Documents\GitHub\eaglep3\Utilities\RefineRTDCRunTimes.py" --tripid 813-04 --locoid 4042 --swversion DE.1.0.9.0 --startMP 204:1023 --initTime 2017-04-04T09:05:30 --startdatetime 2017-04-04T09:21:16 --delay 1 --endMP 300:58946 --enddatetime 2017-04-04T09:34:45 --enforcementcount 0 &gt;&gt;C:\Users\stu\Documents\GitHub\eaglep3-reporting\EC\2017-04-04-refined-times.txt</v>
      </c>
      <c r="AI171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ID","value":"813-04"},{"id":16,"name":"Locomotive ID","value":"4042"},{"id":130,"name":"Impact","value":""},{"id":150,"name":"Time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16"/>
        <v>start /low /b %USERPROFILE%\Documents\GitHub\eaglep3\Utilities\DownloadLogsFromS3.py --loco 4042 --day 2017-04-04</v>
      </c>
      <c r="AN171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687</v>
      </c>
      <c r="B172" s="7">
        <v>4041</v>
      </c>
      <c r="C172" s="21" t="s">
        <v>217</v>
      </c>
      <c r="D172" s="21" t="s">
        <v>941</v>
      </c>
      <c r="E172" s="13">
        <v>42829.400520833333</v>
      </c>
      <c r="F172" s="13">
        <v>42829.402002314811</v>
      </c>
      <c r="G172" s="7">
        <v>1</v>
      </c>
      <c r="H172" s="21" t="s">
        <v>974</v>
      </c>
      <c r="I172" s="13">
        <v>42829.413263888891</v>
      </c>
      <c r="J172" s="7">
        <v>0</v>
      </c>
      <c r="K172" s="97" t="str">
        <f>IF(ISEVEN(B172),(B172-1)&amp;"/"&amp;B172,B172&amp;"/"&amp;(B172+1))</f>
        <v>4041/4042</v>
      </c>
      <c r="L172" s="21" t="str">
        <f>VLOOKUP(A172,'Trips&amp;Operators'!$C$1:$G$99999,5,FALSE)</f>
        <v>ACKERMAN JARED</v>
      </c>
      <c r="M172" s="6">
        <f>I172-F172</f>
        <v>1.1261574079981074E-2</v>
      </c>
      <c r="N172" s="7">
        <f>24*60*SUM($M172:$M172)</f>
        <v>16.216666675172746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-04T08:36:45-0600',mode:absolute,to:'2017-04-04T10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183" t="str">
        <f>IF(AA172&lt;IF(AG172="EC",23,5.65),"Y","N")</f>
        <v>N</v>
      </c>
      <c r="X172" s="183">
        <f t="shared" si="19"/>
        <v>1</v>
      </c>
      <c r="Y172" s="62">
        <f>RIGHT(D172,LEN(D172)-4)/10000</f>
        <v>5.8638000000000003</v>
      </c>
      <c r="Z172" s="62">
        <f>RIGHT(H172,LEN(H172)-4)/10000</f>
        <v>7.1499999999999994E-2</v>
      </c>
      <c r="AA172" s="62">
        <f>ABS(Z172-Y172)</f>
        <v>5.7923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0814-04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/stypes="app*4041*20170404*" /stext=" 15:.+((SYSTEM_STATE.+slice.+state.+changed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14"/>
        <v>"%USERPROFILE%\Documents\GitHub\eaglep3\Utilities\RefineRTDCRunTimes.py" --tripid 814-04 --locoid 4041 --swversion DE.1.0.9.0 --startMP 300:58638 --initTime 2017-04-04T09:36:45 --startdatetime 2017-04-04T09:38:53 --delay 1 --endMP 204:715 --enddatetime 2017-04-04T09:55:06 --enforcementcount 0 &gt;&gt;C:\Users\stu\Documents\GitHub\eaglep3-reporting\EC\2017-04-04-refined-times.txt</v>
      </c>
      <c r="AI172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{"issue":{"subject":"","project_id":79,"tracker_id":40,"status_id":1,"priority_id":2,"assigned_to_id":23,"start_date":"2017-04-04","description":"","custom_fields":[{"id":1,"name":"Subdivision","value":"NW"},{"id":4,"name":"Milepost","value":"0.0715"},{"id":17,"name":"Train ID","value":"814-04"},{"id":16,"name":"Locomotive ID","value":"4041"},{"id":130,"name":"Impact","value":""},{"id":150,"name":"Time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16"/>
        <v>start /low /b %USERPROFILE%\Documents\GitHub\eaglep3\Utilities\DownloadLogsFromS3.py --loco 4041 --day 2017-04-04</v>
      </c>
      <c r="AN172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693</v>
      </c>
      <c r="B173" s="7">
        <v>4042</v>
      </c>
      <c r="C173" s="21" t="s">
        <v>217</v>
      </c>
      <c r="D173" s="21" t="s">
        <v>975</v>
      </c>
      <c r="E173" s="13">
        <v>42829.42759259259</v>
      </c>
      <c r="F173" s="13">
        <v>42829.431423611109</v>
      </c>
      <c r="G173" s="7">
        <v>1</v>
      </c>
      <c r="H173" s="21" t="s">
        <v>469</v>
      </c>
      <c r="I173" s="13">
        <v>42829.440625000003</v>
      </c>
      <c r="J173" s="7">
        <v>0</v>
      </c>
      <c r="K173" s="97" t="str">
        <f>IF(ISEVEN(B173),(B173-1)&amp;"/"&amp;B173,B173&amp;"/"&amp;(B173+1))</f>
        <v>4041/4042</v>
      </c>
      <c r="L173" s="21" t="str">
        <f>VLOOKUP(A173,'Trips&amp;Operators'!$C$1:$G$99999,5,FALSE)</f>
        <v>BEAM ROSS</v>
      </c>
      <c r="M173" s="6">
        <f>I173-F173</f>
        <v>9.2013888934161514E-3</v>
      </c>
      <c r="N173" s="7">
        <f>24*60*SUM($M173:$M173)</f>
        <v>13.250000006519258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-04T09:15:44-0600',mode:absolute,to:'2017-04-04T11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183" t="str">
        <f>IF(AA173&lt;IF(AG173="EC",23,5.65),"Y","N")</f>
        <v>N</v>
      </c>
      <c r="X173" s="183">
        <f>VALUE(LEFT(AD173,4))-VALUE(LEFT(AD172,4))</f>
        <v>1</v>
      </c>
      <c r="Y173" s="62">
        <f>RIGHT(D173,LEN(D173)-4)/10000</f>
        <v>9.9900000000000003E-2</v>
      </c>
      <c r="Z173" s="62">
        <f>RIGHT(H173,LEN(H173)-4)/10000</f>
        <v>5.8949999999999996</v>
      </c>
      <c r="AA173" s="62">
        <f>ABS(Z173-Y173)</f>
        <v>5.7950999999999997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0815-04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/stypes="app*4042*20170404*" /stext=" 16:.+((SYSTEM_STATE.+slice.+state.+changed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14"/>
        <v>"%USERPROFILE%\Documents\GitHub\eaglep3\Utilities\RefineRTDCRunTimes.py" --tripid 815-04 --locoid 4042 --swversion DE.1.0.9.0 --startMP 204:999 --initTime 2017-04-04T10:15:44 --startdatetime 2017-04-04T10:21:15 --delay 1 --endMP 300:58950 --enddatetime 2017-04-04T10:34:30 --enforcementcount 0 &gt;&gt;C:\Users\stu\Documents\GitHub\eaglep3-reporting\EC\2017-04-04-refined-times.txt</v>
      </c>
      <c r="AI173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{"issue":{"subject":"","project_id":79,"tracker_id":40,"status_id":1,"priority_id":2,"assigned_to_id":23,"start_date":"2017-04-04","description":"","custom_fields":[{"id":1,"name":"Subdivision","value":"NW"},{"id":4,"name":"Milepost","value":"5.895"},{"id":17,"name":"Train ID","value":"815-04"},{"id":16,"name":"Locomotive ID","value":"4042"},{"id":130,"name":"Impact","value":""},{"id":150,"name":"Time of Event (Mountain Time)","value":"10:34:30"},{"id":151,"name":"Denver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16"/>
        <v>start /low /b %USERPROFILE%\Documents\GitHub\eaglep3\Utilities\DownloadLogsFromS3.py --loco 4042 --day 2017-04-04</v>
      </c>
      <c r="AN173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699</v>
      </c>
      <c r="B174" s="7">
        <v>4041</v>
      </c>
      <c r="C174" s="21" t="s">
        <v>217</v>
      </c>
      <c r="D174" s="21" t="s">
        <v>566</v>
      </c>
      <c r="E174" s="13">
        <v>42829.44159722222</v>
      </c>
      <c r="F174" s="13">
        <v>42829.442939814813</v>
      </c>
      <c r="G174" s="7">
        <v>1</v>
      </c>
      <c r="H174" s="21" t="s">
        <v>976</v>
      </c>
      <c r="I174" s="13">
        <v>42829.454629629632</v>
      </c>
      <c r="J174" s="7">
        <v>0</v>
      </c>
      <c r="K174" s="97" t="str">
        <f>IF(ISEVEN(B174),(B174-1)&amp;"/"&amp;B174,B174&amp;"/"&amp;(B174+1))</f>
        <v>4041/4042</v>
      </c>
      <c r="L174" s="21" t="str">
        <f>VLOOKUP(A174,'Trips&amp;Operators'!$C$1:$G$99999,5,FALSE)</f>
        <v>BEAM ROSS</v>
      </c>
      <c r="M174" s="6">
        <f>I174-F174</f>
        <v>1.1689814818964805E-2</v>
      </c>
      <c r="N174" s="7">
        <f>24*60*SUM($M174:$M174)</f>
        <v>16.83333333930932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-04T09:35:54-0600',mode:absolute,to:'2017-04-04T11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183" t="str">
        <f>IF(AA174&lt;IF(AG174="EC",23,5.65),"Y","N")</f>
        <v>N</v>
      </c>
      <c r="X174" s="183">
        <f>VALUE(LEFT(AD174,4))-VALUE(LEFT(AD173,4))</f>
        <v>1</v>
      </c>
      <c r="Y174" s="62">
        <f>RIGHT(D174,LEN(D174)-4)/10000</f>
        <v>5.8632</v>
      </c>
      <c r="Z174" s="62">
        <f>RIGHT(H174,LEN(H174)-4)/10000</f>
        <v>7.1900000000000006E-2</v>
      </c>
      <c r="AA174" s="62">
        <f>ABS(Z174-Y174)</f>
        <v>5.7912999999999997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0816-04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/stypes="app*4041*20170404*" /stext=" 16:.+((SYSTEM_STATE.+slice.+state.+changed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14"/>
        <v>"%USERPROFILE%\Documents\GitHub\eaglep3\Utilities\RefineRTDCRunTimes.py" --tripid 816-04 --locoid 4041 --swversion DE.1.0.9.0 --startMP 300:58632 --initTime 2017-04-04T10:35:54 --startdatetime 2017-04-04T10:37:50 --delay 1 --endMP 204:719 --enddatetime 2017-04-04T10:54:40 --enforcementcount 0 &gt;&gt;C:\Users\stu\Documents\GitHub\eaglep3-reporting\EC\2017-04-04-refined-times.txt</v>
      </c>
      <c r="AI174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{"issue":{"subject":"","project_id":79,"tracker_id":40,"status_id":1,"priority_id":2,"assigned_to_id":23,"start_date":"2017-04-04","description":"","custom_fields":[{"id":1,"name":"Subdivision","value":"NW"},{"id":4,"name":"Milepost","value":"0.0719"},{"id":17,"name":"Train ID","value":"816-04"},{"id":16,"name":"Locomotive ID","value":"4041"},{"id":130,"name":"Impact","value":""},{"id":150,"name":"Time of Event (Mountain Time)","value":"10:54:40"},{"id":151,"name":"Denver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16"/>
        <v>start /low /b %USERPROFILE%\Documents\GitHub\eaglep3\Utilities\DownloadLogsFromS3.py --loco 4041 --day 2017-04-04</v>
      </c>
      <c r="AN174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707</v>
      </c>
      <c r="B175" s="7">
        <v>4042</v>
      </c>
      <c r="C175" s="21" t="s">
        <v>217</v>
      </c>
      <c r="D175" s="21" t="s">
        <v>977</v>
      </c>
      <c r="E175" s="13">
        <v>42829.470405092594</v>
      </c>
      <c r="F175" s="13">
        <v>42829.47314814815</v>
      </c>
      <c r="G175" s="7">
        <v>1</v>
      </c>
      <c r="H175" s="21" t="s">
        <v>978</v>
      </c>
      <c r="I175" s="13">
        <v>42829.482488425929</v>
      </c>
      <c r="J175" s="7">
        <v>0</v>
      </c>
      <c r="K175" s="97" t="str">
        <f>IF(ISEVEN(B175),(B175-1)&amp;"/"&amp;B175,B175&amp;"/"&amp;(B175+1))</f>
        <v>4041/4042</v>
      </c>
      <c r="L175" s="21" t="str">
        <f>VLOOKUP(A175,'Trips&amp;Operators'!$C$1:$G$99999,5,FALSE)</f>
        <v>BEAM ROSS</v>
      </c>
      <c r="M175" s="6">
        <f>I175-F175</f>
        <v>9.340277778392192E-3</v>
      </c>
      <c r="N175" s="7">
        <f>24*60*SUM($M175:$M175)</f>
        <v>13.450000000884756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-04T10:17:23-0600',mode:absolute,to:'2017-04-04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183" t="str">
        <f>IF(AA175&lt;IF(AG175="EC",23,5.65),"Y","N")</f>
        <v>N</v>
      </c>
      <c r="X175" s="183">
        <f>VALUE(LEFT(AD175,4))-VALUE(LEFT(AD174,4))</f>
        <v>1</v>
      </c>
      <c r="Y175" s="62">
        <f>RIGHT(D175,LEN(D175)-4)/10000</f>
        <v>0.1</v>
      </c>
      <c r="Z175" s="62">
        <f>RIGHT(H175,LEN(H175)-4)/10000</f>
        <v>5.8964999999999996</v>
      </c>
      <c r="AA175" s="62">
        <f>ABS(Z175-Y175)</f>
        <v>5.7965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0817-04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/stypes="app*4042*20170404*" /stext=" 17:.+((SYSTEM_STATE.+slice.+state.+changed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14"/>
        <v>"%USERPROFILE%\Documents\GitHub\eaglep3\Utilities\RefineRTDCRunTimes.py" --tripid 817-04 --locoid 4042 --swversion DE.1.0.9.0 --startMP 204:1000 --initTime 2017-04-04T11:17:23 --startdatetime 2017-04-04T11:21:20 --delay 1 --endMP 300:58965 --enddatetime 2017-04-04T11:34:47 --enforcementcount 0 &gt;&gt;C:\Users\stu\Documents\GitHub\eaglep3-reporting\EC\2017-04-04-refined-times.txt</v>
      </c>
      <c r="AI175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{"issue":{"subject":"","project_id":79,"tracker_id":40,"status_id":1,"priority_id":2,"assigned_to_id":23,"start_date":"2017-04-04","description":"","custom_fields":[{"id":1,"name":"Subdivision","value":"NW"},{"id":4,"name":"Milepost","value":"5.8965"},{"id":17,"name":"Train ID","value":"817-04"},{"id":16,"name":"Locomotive ID","value":"4042"},{"id":130,"name":"Impact","value":""},{"id":150,"name":"Time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16"/>
        <v>start /low /b %USERPROFILE%\Documents\GitHub\eaglep3\Utilities\DownloadLogsFromS3.py --loco 4042 --day 2017-04-04</v>
      </c>
      <c r="AN175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712</v>
      </c>
      <c r="B176" s="7">
        <v>4041</v>
      </c>
      <c r="C176" s="21" t="s">
        <v>217</v>
      </c>
      <c r="D176" s="21" t="s">
        <v>979</v>
      </c>
      <c r="E176" s="13">
        <v>42829.483703703707</v>
      </c>
      <c r="F176" s="13">
        <v>42829.48510416667</v>
      </c>
      <c r="G176" s="7">
        <v>1</v>
      </c>
      <c r="H176" s="21" t="s">
        <v>980</v>
      </c>
      <c r="I176" s="13">
        <v>42829.496203703704</v>
      </c>
      <c r="J176" s="7">
        <v>0</v>
      </c>
      <c r="K176" s="97" t="str">
        <f>IF(ISEVEN(B176),(B176-1)&amp;"/"&amp;B176,B176&amp;"/"&amp;(B176+1))</f>
        <v>4041/4042</v>
      </c>
      <c r="L176" s="21" t="str">
        <f>VLOOKUP(A176,'Trips&amp;Operators'!$C$1:$G$99999,5,FALSE)</f>
        <v>BEAM ROSS</v>
      </c>
      <c r="M176" s="6">
        <f>I176-F176</f>
        <v>1.1099537034169771E-2</v>
      </c>
      <c r="N176" s="7">
        <f>24*60*SUM($M176:$M176)</f>
        <v>15.98333332920447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-04T10:36:32-0600',mode:absolute,to:'2017-04-04T12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183" t="str">
        <f>IF(AA176&lt;IF(AG176="EC",23,5.65),"Y","N")</f>
        <v>N</v>
      </c>
      <c r="X176" s="183">
        <f>VALUE(LEFT(AD176,4))-VALUE(LEFT(AD175,4))</f>
        <v>1</v>
      </c>
      <c r="Y176" s="62">
        <f>RIGHT(D176,LEN(D176)-4)/10000</f>
        <v>5.8639999999999999</v>
      </c>
      <c r="Z176" s="62">
        <f>RIGHT(H176,LEN(H176)-4)/10000</f>
        <v>7.17E-2</v>
      </c>
      <c r="AA176" s="62">
        <f>ABS(Z176-Y176)</f>
        <v>5.7923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0818-04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/stypes="app*4041*20170404*" /stext=" 17:.+((SYSTEM_STATE.+slice.+state.+changed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14"/>
        <v>"%USERPROFILE%\Documents\GitHub\eaglep3\Utilities\RefineRTDCRunTimes.py" --tripid 818-04 --locoid 4041 --swversion DE.1.0.9.0 --startMP 300:58640 --initTime 2017-04-04T11:36:32 --startdatetime 2017-04-04T11:38:33 --delay 1 --endMP 204:717 --enddatetime 2017-04-04T11:54:32 --enforcementcount 0 &gt;&gt;C:\Users\stu\Documents\GitHub\eaglep3-reporting\EC\2017-04-04-refined-times.txt</v>
      </c>
      <c r="AI176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{"issue":{"subject":"","project_id":79,"tracker_id":40,"status_id":1,"priority_id":2,"assigned_to_id":23,"start_date":"2017-04-04","description":"","custom_fields":[{"id":1,"name":"Subdivision","value":"NW"},{"id":4,"name":"Milepost","value":"0.0717"},{"id":17,"name":"Train ID","value":"818-04"},{"id":16,"name":"Locomotive ID","value":"4041"},{"id":130,"name":"Impact","value":""},{"id":150,"name":"Time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16"/>
        <v>start /low /b %USERPROFILE%\Documents\GitHub\eaglep3\Utilities\DownloadLogsFromS3.py --loco 4041 --day 2017-04-04</v>
      </c>
      <c r="AN176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720</v>
      </c>
      <c r="B177" s="7">
        <v>4042</v>
      </c>
      <c r="C177" s="21" t="s">
        <v>217</v>
      </c>
      <c r="D177" s="21" t="s">
        <v>975</v>
      </c>
      <c r="E177" s="13">
        <v>42829.509444444448</v>
      </c>
      <c r="F177" s="13">
        <v>42829.514780092592</v>
      </c>
      <c r="G177" s="7">
        <v>1</v>
      </c>
      <c r="H177" s="21" t="s">
        <v>981</v>
      </c>
      <c r="I177" s="13">
        <v>42829.523680555554</v>
      </c>
      <c r="J177" s="7">
        <v>0</v>
      </c>
      <c r="K177" s="97" t="str">
        <f>IF(ISEVEN(B177),(B177-1)&amp;"/"&amp;B177,B177&amp;"/"&amp;(B177+1))</f>
        <v>4041/4042</v>
      </c>
      <c r="L177" s="21" t="str">
        <f>VLOOKUP(A177,'Trips&amp;Operators'!$C$1:$G$99999,5,FALSE)</f>
        <v>BEAM ROSS</v>
      </c>
      <c r="M177" s="6">
        <f>I177-F177</f>
        <v>8.9004629626288079E-3</v>
      </c>
      <c r="N177" s="7">
        <f>24*60*SUM($M177:$M177)</f>
        <v>12.816666666185483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-04T11:13:36-0600',mode:absolute,to:'2017-04-04T13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183" t="str">
        <f>IF(AA177&lt;IF(AG177="EC",23,5.65),"Y","N")</f>
        <v>N</v>
      </c>
      <c r="X177" s="183">
        <f>VALUE(LEFT(AD177,4))-VALUE(LEFT(AD176,4))</f>
        <v>1</v>
      </c>
      <c r="Y177" s="62">
        <f>RIGHT(D177,LEN(D177)-4)/10000</f>
        <v>9.9900000000000003E-2</v>
      </c>
      <c r="Z177" s="62">
        <f>RIGHT(H177,LEN(H177)-4)/10000</f>
        <v>5.8944000000000001</v>
      </c>
      <c r="AA177" s="62">
        <f>ABS(Z177-Y177)</f>
        <v>5.7945000000000002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0819-04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/stypes="app*4042*20170404*" /stext=" 18:.+((SYSTEM_STATE.+slice.+state.+changed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14"/>
        <v>"%USERPROFILE%\Documents\GitHub\eaglep3\Utilities\RefineRTDCRunTimes.py" --tripid 819-04 --locoid 4042 --swversion DE.1.0.9.0 --startMP 204:999 --initTime 2017-04-04T12:13:36 --startdatetime 2017-04-04T12:21:17 --delay 1 --endMP 300:58944 --enddatetime 2017-04-04T12:34:06 --enforcementcount 0 &gt;&gt;C:\Users\stu\Documents\GitHub\eaglep3-reporting\EC\2017-04-04-refined-times.txt</v>
      </c>
      <c r="AI177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{"issue":{"subject":"","project_id":79,"tracker_id":40,"status_id":1,"priority_id":2,"assigned_to_id":23,"start_date":"2017-04-04","description":"","custom_fields":[{"id":1,"name":"Subdivision","value":"NW"},{"id":4,"name":"Milepost","value":"5.8944"},{"id":17,"name":"Train ID","value":"819-04"},{"id":16,"name":"Locomotive ID","value":"4042"},{"id":130,"name":"Impact","value":""},{"id":150,"name":"Time of Event (Mountain Time)","value":"12:34:06"},{"id":151,"name":"Denver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16"/>
        <v>start /low /b %USERPROFILE%\Documents\GitHub\eaglep3\Utilities\DownloadLogsFromS3.py --loco 4042 --day 2017-04-04</v>
      </c>
      <c r="AN177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726</v>
      </c>
      <c r="B178" s="7">
        <v>4041</v>
      </c>
      <c r="C178" s="21" t="s">
        <v>217</v>
      </c>
      <c r="D178" s="21" t="s">
        <v>937</v>
      </c>
      <c r="E178" s="13">
        <v>42829.524745370371</v>
      </c>
      <c r="F178" s="13">
        <v>42829.525995370372</v>
      </c>
      <c r="G178" s="7">
        <v>1</v>
      </c>
      <c r="H178" s="21" t="s">
        <v>998</v>
      </c>
      <c r="I178" s="13">
        <v>42829.537939814814</v>
      </c>
      <c r="J178" s="7">
        <v>0</v>
      </c>
      <c r="K178" s="97" t="str">
        <f>IF(ISEVEN(B178),(B178-1)&amp;"/"&amp;B178,B178&amp;"/"&amp;(B178+1))</f>
        <v>4041/4042</v>
      </c>
      <c r="L178" s="21" t="str">
        <f>VLOOKUP(A178,'Trips&amp;Operators'!$C$1:$G$99999,5,FALSE)</f>
        <v>BEAM ROSS</v>
      </c>
      <c r="M178" s="6">
        <f>I178-F178</f>
        <v>1.1944444442633539E-2</v>
      </c>
      <c r="N178" s="7">
        <f>24*60*SUM($M178:$M178)</f>
        <v>17.199999997392297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-04T11:35:38-0600',mode:absolute,to:'2017-04-04T13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183" t="str">
        <f>IF(AA178&lt;IF(AG178="EC",23,5.65),"Y","N")</f>
        <v>N</v>
      </c>
      <c r="X178" s="183">
        <f>VALUE(LEFT(AD178,4))-VALUE(LEFT(AD177,4))</f>
        <v>1</v>
      </c>
      <c r="Y178" s="62">
        <f>RIGHT(D178,LEN(D178)-4)/10000</f>
        <v>5.8624000000000001</v>
      </c>
      <c r="Z178" s="62">
        <f>RIGHT(H178,LEN(H178)-4)/10000</f>
        <v>7.1300000000000002E-2</v>
      </c>
      <c r="AA178" s="62">
        <f>ABS(Z178-Y178)</f>
        <v>5.7911000000000001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0820-04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/stypes="app*4041*20170404*" /stext=" 18:.+((SYSTEM_STATE.+slice.+state.+changed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14"/>
        <v>"%USERPROFILE%\Documents\GitHub\eaglep3\Utilities\RefineRTDCRunTimes.py" --tripid 820-04 --locoid 4041 --swversion DE.1.0.9.0 --startMP 300:58624 --initTime 2017-04-04T12:35:38 --startdatetime 2017-04-04T12:37:26 --delay 1 --endMP 204:713 --enddatetime 2017-04-04T12:54:38 --enforcementcount 0 &gt;&gt;C:\Users\stu\Documents\GitHub\eaglep3-reporting\EC\2017-04-04-refined-times.txt</v>
      </c>
      <c r="AI178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{"issue":{"subject":"","project_id":79,"tracker_id":40,"status_id":1,"priority_id":2,"assigned_to_id":23,"start_date":"2017-04-04","description":"","custom_fields":[{"id":1,"name":"Subdivision","value":"NW"},{"id":4,"name":"Milepost","value":"0.0713"},{"id":17,"name":"Train ID","value":"820-04"},{"id":16,"name":"Locomotive ID","value":"4041"},{"id":130,"name":"Impact","value":""},{"id":150,"name":"Time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16"/>
        <v>start /low /b %USERPROFILE%\Documents\GitHub\eaglep3\Utilities\DownloadLogsFromS3.py --loco 4041 --day 2017-04-04</v>
      </c>
      <c r="AN178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731</v>
      </c>
      <c r="B179" s="7">
        <v>4042</v>
      </c>
      <c r="C179" s="21" t="s">
        <v>217</v>
      </c>
      <c r="D179" s="21" t="s">
        <v>999</v>
      </c>
      <c r="E179" s="13">
        <v>42829.553298611114</v>
      </c>
      <c r="F179" s="13">
        <v>42829.556446759256</v>
      </c>
      <c r="G179" s="7">
        <v>1</v>
      </c>
      <c r="H179" s="21" t="s">
        <v>444</v>
      </c>
      <c r="I179" s="13">
        <v>42829.565393518518</v>
      </c>
      <c r="J179" s="7">
        <v>0</v>
      </c>
      <c r="K179" s="97" t="str">
        <f>IF(ISEVEN(B179),(B179-1)&amp;"/"&amp;B179,B179&amp;"/"&amp;(B179+1))</f>
        <v>4041/4042</v>
      </c>
      <c r="L179" s="21" t="str">
        <f>VLOOKUP(A179,'Trips&amp;Operators'!$C$1:$G$99999,5,FALSE)</f>
        <v>LEVIN SCOTT</v>
      </c>
      <c r="M179" s="6">
        <f>I179-F179</f>
        <v>8.9467592624714598E-3</v>
      </c>
      <c r="N179" s="7">
        <f>24*60*SUM($M179:$M179)</f>
        <v>12.883333337958902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-04T12:16:45-0600',mode:absolute,to:'2017-04-04T14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183" t="str">
        <f>IF(AA179&lt;IF(AG179="EC",23,5.65),"Y","N")</f>
        <v>N</v>
      </c>
      <c r="X179" s="183">
        <f>VALUE(LEFT(AD179,4))-VALUE(LEFT(AD178,4))</f>
        <v>1</v>
      </c>
      <c r="Y179" s="62">
        <f>RIGHT(D179,LEN(D179)-4)/10000</f>
        <v>9.9000000000000005E-2</v>
      </c>
      <c r="Z179" s="62">
        <f>RIGHT(H179,LEN(H179)-4)/10000</f>
        <v>5.8939000000000004</v>
      </c>
      <c r="AA179" s="62">
        <f>ABS(Z179-Y179)</f>
        <v>5.7949000000000002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0821-04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/stypes="app*4042*20170404*" /stext=" 19:.+((SYSTEM_STATE.+slice.+state.+changed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14"/>
        <v>"%USERPROFILE%\Documents\GitHub\eaglep3\Utilities\RefineRTDCRunTimes.py" --tripid 821-04 --locoid 4042 --swversion DE.1.0.9.0 --startMP 204:990 --initTime 2017-04-04T13:16:45 --startdatetime 2017-04-04T13:21:17 --delay 1 --endMP 300:58939 --enddatetime 2017-04-04T13:34:10 --enforcementcount 0 &gt;&gt;C:\Users\stu\Documents\GitHub\eaglep3-reporting\EC\2017-04-04-refined-times.txt</v>
      </c>
      <c r="AI179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{"issue":{"subject":"","project_id":79,"tracker_id":40,"status_id":1,"priority_id":2,"assigned_to_id":23,"start_date":"2017-04-04","description":"","custom_fields":[{"id":1,"name":"Subdivision","value":"NW"},{"id":4,"name":"Milepost","value":"5.8939"},{"id":17,"name":"Train ID","value":"821-04"},{"id":16,"name":"Locomotive ID","value":"4042"},{"id":130,"name":"Impact","value":""},{"id":150,"name":"Time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16"/>
        <v>start /low /b %USERPROFILE%\Documents\GitHub\eaglep3\Utilities\DownloadLogsFromS3.py --loco 4042 --day 2017-04-04</v>
      </c>
      <c r="AN179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734</v>
      </c>
      <c r="B180" s="7">
        <v>4041</v>
      </c>
      <c r="C180" s="21" t="s">
        <v>217</v>
      </c>
      <c r="D180" s="21" t="s">
        <v>569</v>
      </c>
      <c r="E180" s="13">
        <v>42829.566620370373</v>
      </c>
      <c r="F180" s="13">
        <v>42829.568020833336</v>
      </c>
      <c r="G180" s="7">
        <v>1</v>
      </c>
      <c r="H180" s="21" t="s">
        <v>1000</v>
      </c>
      <c r="I180" s="13">
        <v>42829.579560185186</v>
      </c>
      <c r="J180" s="7">
        <v>0</v>
      </c>
      <c r="K180" s="97" t="str">
        <f>IF(ISEVEN(B180),(B180-1)&amp;"/"&amp;B180,B180&amp;"/"&amp;(B180+1))</f>
        <v>4041/4042</v>
      </c>
      <c r="L180" s="21" t="str">
        <f>VLOOKUP(A180,'Trips&amp;Operators'!$C$1:$G$99999,5,FALSE)</f>
        <v>LEVIN SCOTT</v>
      </c>
      <c r="M180" s="6">
        <f>I180-F180</f>
        <v>1.1539351849933155E-2</v>
      </c>
      <c r="N180" s="7">
        <f>24*60*SUM($M180:$M180)</f>
        <v>16.616666663903743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-04T12:35:56-0600',mode:absolute,to:'2017-04-04T14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183" t="str">
        <f>IF(AA180&lt;IF(AG180="EC",23,5.65),"Y","N")</f>
        <v>N</v>
      </c>
      <c r="X180" s="183">
        <f>VALUE(LEFT(AD180,4))-VALUE(LEFT(AD179,4))</f>
        <v>1</v>
      </c>
      <c r="Y180" s="62">
        <f>RIGHT(D180,LEN(D180)-4)/10000</f>
        <v>5.8611000000000004</v>
      </c>
      <c r="Z180" s="62">
        <f>RIGHT(H180,LEN(H180)-4)/10000</f>
        <v>7.0800000000000002E-2</v>
      </c>
      <c r="AA180" s="62">
        <f>ABS(Z180-Y180)</f>
        <v>5.7903000000000002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0822-04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/stypes="app*4041*20170404*" /stext=" 19:.+((SYSTEM_STATE.+slice.+state.+changed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14"/>
        <v>"%USERPROFILE%\Documents\GitHub\eaglep3\Utilities\RefineRTDCRunTimes.py" --tripid 822-04 --locoid 4041 --swversion DE.1.0.9.0 --startMP 300:58611 --initTime 2017-04-04T13:35:56 --startdatetime 2017-04-04T13:37:57 --delay 1 --endMP 204:708 --enddatetime 2017-04-04T13:54:34 --enforcementcount 0 &gt;&gt;C:\Users\stu\Documents\GitHub\eaglep3-reporting\EC\2017-04-04-refined-times.txt</v>
      </c>
      <c r="AI180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{"issue":{"subject":"","project_id":79,"tracker_id":40,"status_id":1,"priority_id":2,"assigned_to_id":23,"start_date":"2017-04-04","description":"","custom_fields":[{"id":1,"name":"Subdivision","value":"NW"},{"id":4,"name":"Milepost","value":"0.0708"},{"id":17,"name":"Train ID","value":"822-04"},{"id":16,"name":"Locomotive ID","value":"4041"},{"id":130,"name":"Impact","value":""},{"id":150,"name":"Time of Event (Mountain Time)","value":"13:54:34"},{"id":151,"name":"Denver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16"/>
        <v>start /low /b %USERPROFILE%\Documents\GitHub\eaglep3\Utilities\DownloadLogsFromS3.py --loco 4041 --day 2017-04-04</v>
      </c>
      <c r="AN180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741</v>
      </c>
      <c r="B181" s="7">
        <v>4042</v>
      </c>
      <c r="C181" s="21" t="s">
        <v>217</v>
      </c>
      <c r="D181" s="21" t="s">
        <v>568</v>
      </c>
      <c r="E181" s="13">
        <v>42829.595613425925</v>
      </c>
      <c r="F181" s="13">
        <v>42829.598101851851</v>
      </c>
      <c r="G181" s="7">
        <v>1</v>
      </c>
      <c r="H181" s="21" t="s">
        <v>940</v>
      </c>
      <c r="I181" s="13">
        <v>42829.607175925928</v>
      </c>
      <c r="J181" s="7">
        <v>0</v>
      </c>
      <c r="K181" s="97" t="str">
        <f>IF(ISEVEN(B181),(B181-1)&amp;"/"&amp;B181,B181&amp;"/"&amp;(B181+1))</f>
        <v>4041/4042</v>
      </c>
      <c r="L181" s="21" t="str">
        <f>VLOOKUP(A181,'Trips&amp;Operators'!$C$1:$G$99999,5,FALSE)</f>
        <v>LEVIN SCOTT</v>
      </c>
      <c r="M181" s="6">
        <f>I181-F181</f>
        <v>9.0740740779438056E-3</v>
      </c>
      <c r="N181" s="7">
        <f>24*60*SUM($M181:$M181)</f>
        <v>13.06666667223908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-04T13:17:41-0600',mode:absolute,to:'2017-04-04T15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183" t="str">
        <f>IF(AA181&lt;IF(AG181="EC",23,5.65),"Y","N")</f>
        <v>N</v>
      </c>
      <c r="X181" s="183">
        <f>VALUE(LEFT(AD181,4))-VALUE(LEFT(AD180,4))</f>
        <v>1</v>
      </c>
      <c r="Y181" s="62">
        <f>RIGHT(D181,LEN(D181)-4)/10000</f>
        <v>9.3700000000000006E-2</v>
      </c>
      <c r="Z181" s="62">
        <f>RIGHT(H181,LEN(H181)-4)/10000</f>
        <v>5.8936999999999999</v>
      </c>
      <c r="AA181" s="62">
        <f>ABS(Z181-Y181)</f>
        <v>5.8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0823-04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/stypes="app*4042*20170404*" /stext=" 20:.+((SYSTEM_STATE.+slice.+state.+changed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14"/>
        <v>"%USERPROFILE%\Documents\GitHub\eaglep3\Utilities\RefineRTDCRunTimes.py" --tripid 823-04 --locoid 4042 --swversion DE.1.0.9.0 --startMP 204:937 --initTime 2017-04-04T14:17:41 --startdatetime 2017-04-04T14:21:16 --delay 1 --endMP 300:58937 --enddatetime 2017-04-04T14:34:20 --enforcementcount 0 &gt;&gt;C:\Users\stu\Documents\GitHub\eaglep3-reporting\EC\2017-04-04-refined-times.txt</v>
      </c>
      <c r="AI181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ID","value":"823-04"},{"id":16,"name":"Locomotive ID","value":"4042"},{"id":130,"name":"Impact","value":""},{"id":150,"name":"Time of Event (Mountain Time)","value":"14:34:20"},{"id":151,"name":"Denver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16"/>
        <v>start /low /b %USERPROFILE%\Documents\GitHub\eaglep3\Utilities\DownloadLogsFromS3.py --loco 4042 --day 2017-04-04</v>
      </c>
      <c r="AN181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609</v>
      </c>
      <c r="B182" s="7">
        <v>4041</v>
      </c>
      <c r="C182" s="21" t="s">
        <v>217</v>
      </c>
      <c r="D182" s="21" t="s">
        <v>573</v>
      </c>
      <c r="E182" s="13">
        <v>42829.60837962963</v>
      </c>
      <c r="F182" s="13">
        <v>42829.609849537039</v>
      </c>
      <c r="G182" s="7">
        <v>1</v>
      </c>
      <c r="H182" s="21" t="s">
        <v>576</v>
      </c>
      <c r="I182" s="13">
        <v>42829.62127314815</v>
      </c>
      <c r="J182" s="7">
        <v>0</v>
      </c>
      <c r="K182" s="97" t="str">
        <f>IF(ISEVEN(B182),(B182-1)&amp;"/"&amp;B182,B182&amp;"/"&amp;(B182+1))</f>
        <v>4041/4042</v>
      </c>
      <c r="L182" s="21" t="str">
        <f>VLOOKUP(A182,'Trips&amp;Operators'!$C$1:$G$99999,5,FALSE)</f>
        <v>LEVIN SCOTT</v>
      </c>
      <c r="M182" s="6">
        <f>I182-F182</f>
        <v>1.1423611111240461E-2</v>
      </c>
      <c r="N182" s="7">
        <f>24*60*SUM($M182:$M182)</f>
        <v>16.450000000186265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183" t="str">
        <f>IF(AA182&lt;IF(AG182="EC",23,5.65),"Y","N")</f>
        <v>N</v>
      </c>
      <c r="X182" s="183">
        <f>VALUE(LEFT(AD182,4))-VALUE(LEFT(AD181,4))</f>
        <v>1</v>
      </c>
      <c r="Y182" s="62">
        <f>RIGHT(D182,LEN(D182)-4)/10000</f>
        <v>5.8613</v>
      </c>
      <c r="Z182" s="62">
        <f>RIGHT(H182,LEN(H182)-4)/10000</f>
        <v>6.6600000000000006E-2</v>
      </c>
      <c r="AA182" s="62">
        <f>ABS(Z182-Y182)</f>
        <v>5.7946999999999997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0824-04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/stypes="app*4041*20170404*" /stext=" 20:.+((SYSTEM_STATE.+slice.+state.+changed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14"/>
        <v>"%USERPROFILE%\Documents\GitHub\eaglep3\Utilities\RefineRTDCRunTimes.py" --tripid 824-04 --locoid 4041 --swversion DE.1.0.9.0 --startMP 300:58613 --initTime 2017-04-04T14:36:04 --startdatetime 2017-04-04T14:38:11 --delay 1 --endMP 204:666 --enddatetime 2017-04-04T14:54:38 --enforcementcount 0 &gt;&gt;C:\Users\stu\Documents\GitHub\eaglep3-reporting\EC\2017-04-04-refined-times.txt</v>
      </c>
      <c r="AI182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16"/>
        <v>start /low /b %USERPROFILE%\Documents\GitHub\eaglep3\Utilities\DownloadLogsFromS3.py --loco 4041 --day 2017-04-04</v>
      </c>
      <c r="AN182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748</v>
      </c>
      <c r="B183" s="7">
        <v>4042</v>
      </c>
      <c r="C183" s="21" t="s">
        <v>217</v>
      </c>
      <c r="D183" s="21" t="s">
        <v>1001</v>
      </c>
      <c r="E183" s="13">
        <v>42829.637083333335</v>
      </c>
      <c r="F183" s="13">
        <v>42829.639768518522</v>
      </c>
      <c r="G183" s="7">
        <v>1</v>
      </c>
      <c r="H183" s="21" t="s">
        <v>1002</v>
      </c>
      <c r="I183" s="13">
        <v>42829.648819444446</v>
      </c>
      <c r="J183" s="7">
        <v>0</v>
      </c>
      <c r="K183" s="97" t="str">
        <f>IF(ISEVEN(B183),(B183-1)&amp;"/"&amp;B183,B183&amp;"/"&amp;(B183+1))</f>
        <v>4041/4042</v>
      </c>
      <c r="L183" s="21" t="str">
        <f>VLOOKUP(A183,'Trips&amp;Operators'!$C$1:$G$99999,5,FALSE)</f>
        <v>LEVIN SCOTT</v>
      </c>
      <c r="M183" s="6">
        <f>I183-F183</f>
        <v>9.0509259243845008E-3</v>
      </c>
      <c r="N183" s="7">
        <f>24*60*SUM($M183:$M183)</f>
        <v>13.033333331113681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-04T14:17:24-0600',mode:absolute,to:'2017-04-04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183" t="str">
        <f>IF(AA183&lt;IF(AG183="EC",23,5.65),"Y","N")</f>
        <v>N</v>
      </c>
      <c r="X183" s="183">
        <f>VALUE(LEFT(AD183,4))-VALUE(LEFT(AD182,4))</f>
        <v>1</v>
      </c>
      <c r="Y183" s="62">
        <f>RIGHT(D183,LEN(D183)-4)/10000</f>
        <v>9.3600000000000003E-2</v>
      </c>
      <c r="Z183" s="62">
        <f>RIGHT(H183,LEN(H183)-4)/10000</f>
        <v>5.8917999999999999</v>
      </c>
      <c r="AA183" s="62">
        <f>ABS(Z183-Y183)</f>
        <v>5.7981999999999996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0825-04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/stypes="app*4042*20170404*" /stext=" 21:.+((SYSTEM_STATE.+slice.+state.+changed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14"/>
        <v>"%USERPROFILE%\Documents\GitHub\eaglep3\Utilities\RefineRTDCRunTimes.py" --tripid 825-04 --locoid 4042 --swversion DE.1.0.9.0 --startMP 204:936 --initTime 2017-04-04T15:17:24 --startdatetime 2017-04-04T15:21:16 --delay 1 --endMP 300:58918 --enddatetime 2017-04-04T15:34:18 --enforcementcount 0 &gt;&gt;C:\Users\stu\Documents\GitHub\eaglep3-reporting\EC\2017-04-04-refined-times.txt</v>
      </c>
      <c r="AI183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{"issue":{"subject":"","project_id":79,"tracker_id":40,"status_id":1,"priority_id":2,"assigned_to_id":23,"start_date":"2017-04-04","description":"","custom_fields":[{"id":1,"name":"Subdivision","value":"NW"},{"id":4,"name":"Milepost","value":"5.8918"},{"id":17,"name":"Train ID","value":"825-04"},{"id":16,"name":"Locomotive ID","value":"4042"},{"id":130,"name":"Impact","value":""},{"id":150,"name":"Time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16"/>
        <v>start /low /b %USERPROFILE%\Documents\GitHub\eaglep3\Utilities\DownloadLogsFromS3.py --loco 4042 --day 2017-04-04</v>
      </c>
      <c r="AN183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611</v>
      </c>
      <c r="B184" s="7">
        <v>4041</v>
      </c>
      <c r="C184" s="21" t="s">
        <v>217</v>
      </c>
      <c r="D184" s="21" t="s">
        <v>934</v>
      </c>
      <c r="E184" s="13">
        <v>42829.65042824074</v>
      </c>
      <c r="F184" s="13">
        <v>42829.651828703703</v>
      </c>
      <c r="G184" s="7">
        <v>1</v>
      </c>
      <c r="H184" s="21" t="s">
        <v>575</v>
      </c>
      <c r="I184" s="13">
        <v>42829.663252314815</v>
      </c>
      <c r="J184" s="7">
        <v>0</v>
      </c>
      <c r="K184" s="97" t="str">
        <f>IF(ISEVEN(B184),(B184-1)&amp;"/"&amp;B184,B184&amp;"/"&amp;(B184+1))</f>
        <v>4041/4042</v>
      </c>
      <c r="L184" s="21" t="str">
        <f>VLOOKUP(A184,'Trips&amp;Operators'!$C$1:$G$99999,5,FALSE)</f>
        <v>LEVIN SCOTT</v>
      </c>
      <c r="M184" s="6">
        <f>I184-F184</f>
        <v>1.1423611111240461E-2</v>
      </c>
      <c r="N184" s="7">
        <f>24*60*SUM($M184:$M184)</f>
        <v>16.450000000186265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183" t="str">
        <f>IF(AA184&lt;IF(AG184="EC",23,5.65),"Y","N")</f>
        <v>N</v>
      </c>
      <c r="X184" s="183">
        <f>VALUE(LEFT(AD184,4))-VALUE(LEFT(AD183,4))</f>
        <v>1</v>
      </c>
      <c r="Y184" s="62">
        <f>RIGHT(D184,LEN(D184)-4)/10000</f>
        <v>5.8615000000000004</v>
      </c>
      <c r="Z184" s="62">
        <f>RIGHT(H184,LEN(H184)-4)/10000</f>
        <v>6.6100000000000006E-2</v>
      </c>
      <c r="AA184" s="62">
        <f>ABS(Z184-Y184)</f>
        <v>5.7954000000000008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0826-04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/stypes="app*4041*20170404*" /stext=" 21:.+((SYSTEM_STATE.+slice.+state.+changed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14"/>
        <v>"%USERPROFILE%\Documents\GitHub\eaglep3\Utilities\RefineRTDCRunTimes.py" --tripid 826-04 --locoid 4041 --swversion DE.1.0.9.0 --startMP 300:58615 --initTime 2017-04-04T15:36:37 --startdatetime 2017-04-04T15:38:38 --delay 1 --endMP 204:661 --enddatetime 2017-04-04T15:55:05 --enforcementcount 0 &gt;&gt;C:\Users\stu\Documents\GitHub\eaglep3-reporting\EC\2017-04-04-refined-times.txt</v>
      </c>
      <c r="AI184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{"issue":{"subject":"","project_id":79,"tracker_id":40,"status_id":1,"priority_id":2,"assigned_to_id":23,"start_date":"2017-04-04","description":"","custom_fields":[{"id":1,"name":"Subdivision","value":"NW"},{"id":4,"name":"Milepost","value":"0.0661"},{"id":17,"name":"Train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16"/>
        <v>start /low /b %USERPROFILE%\Documents\GitHub\eaglep3\Utilities\DownloadLogsFromS3.py --loco 4041 --day 2017-04-04</v>
      </c>
      <c r="AN184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752</v>
      </c>
      <c r="B185" s="7">
        <v>4016</v>
      </c>
      <c r="C185" s="21" t="s">
        <v>217</v>
      </c>
      <c r="D185" s="21" t="s">
        <v>563</v>
      </c>
      <c r="E185" s="13">
        <v>42829.64912037037</v>
      </c>
      <c r="F185" s="13">
        <v>42829.660636574074</v>
      </c>
      <c r="G185" s="7">
        <v>1</v>
      </c>
      <c r="H185" s="21" t="s">
        <v>490</v>
      </c>
      <c r="I185" s="13">
        <v>42829.670405092591</v>
      </c>
      <c r="J185" s="7">
        <v>0</v>
      </c>
      <c r="K185" s="97" t="str">
        <f>IF(ISEVEN(B185),(B185-1)&amp;"/"&amp;B185,B185&amp;"/"&amp;(B185+1))</f>
        <v>4015/4016</v>
      </c>
      <c r="L185" s="21" t="str">
        <f>VLOOKUP(A185,'Trips&amp;Operators'!$C$1:$G$99999,5,FALSE)</f>
        <v>SWANSON BRYCE</v>
      </c>
      <c r="M185" s="6">
        <f>I185-F185</f>
        <v>9.7685185173759237E-3</v>
      </c>
      <c r="N185" s="7">
        <f>24*60*SUM($M185:$M185)</f>
        <v>14.06666666502133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-04T14:34:44-0600',mode:absolute,to:'2017-04-04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83" t="str">
        <f>IF(AA185&lt;IF(AG185="EC",23,5.65),"Y","N")</f>
        <v>N</v>
      </c>
      <c r="X185" s="183">
        <f>VALUE(LEFT(AD185,4))-VALUE(LEFT(AD184,4))</f>
        <v>1</v>
      </c>
      <c r="Y185" s="62">
        <f>RIGHT(D185,LEN(D185)-4)/10000</f>
        <v>9.5799999999999996E-2</v>
      </c>
      <c r="Z185" s="62">
        <f>RIGHT(H185,LEN(H185)-4)/10000</f>
        <v>5.8933</v>
      </c>
      <c r="AA185" s="62">
        <f>ABS(Z185-Y185)</f>
        <v>5.7975000000000003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0827-04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/stypes="app*4016*20170404*" /stext=" 22:.+((SYSTEM_STATE.+slice.+state.+changed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14"/>
        <v>"%USERPROFILE%\Documents\GitHub\eaglep3\Utilities\RefineRTDCRunTimes.py" --tripid 827-04 --locoid 4016 --swversion DE.1.0.9.0 --startMP 204:958 --initTime 2017-04-04T15:34:44 --startdatetime 2017-04-04T15:51:19 --delay 1 --endMP 300:58933 --enddatetime 2017-04-04T16:05:23 --enforcementcount 0 &gt;&gt;C:\Users\stu\Documents\GitHub\eaglep3-reporting\EC\2017-04-04-refined-times.txt</v>
      </c>
      <c r="AI185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ID","value":"827-04"},{"id":16,"name":"Locomotive ID","value":"4016"},{"id":130,"name":"Impact","value":""},{"id":150,"name":"Time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16"/>
        <v>start /low /b %USERPROFILE%\Documents\GitHub\eaglep3\Utilities\DownloadLogsFromS3.py --loco 4016 --day 2017-04-04</v>
      </c>
      <c r="AN185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757</v>
      </c>
      <c r="B186" s="7">
        <v>4015</v>
      </c>
      <c r="C186" s="21" t="s">
        <v>217</v>
      </c>
      <c r="D186" s="21" t="s">
        <v>934</v>
      </c>
      <c r="E186" s="13">
        <v>42829.671469907407</v>
      </c>
      <c r="F186" s="13">
        <v>42829.672662037039</v>
      </c>
      <c r="G186" s="7">
        <v>1</v>
      </c>
      <c r="H186" s="21" t="s">
        <v>1003</v>
      </c>
      <c r="I186" s="13">
        <v>42829.684467592589</v>
      </c>
      <c r="J186" s="7">
        <v>0</v>
      </c>
      <c r="K186" s="97" t="str">
        <f>IF(ISEVEN(B186),(B186-1)&amp;"/"&amp;B186,B186&amp;"/"&amp;(B186+1))</f>
        <v>4015/4016</v>
      </c>
      <c r="L186" s="21" t="str">
        <f>VLOOKUP(A186,'Trips&amp;Operators'!$C$1:$G$99999,5,FALSE)</f>
        <v>SWANSON BRYCE</v>
      </c>
      <c r="M186" s="6">
        <f>I186-F186</f>
        <v>1.1805555550381541E-2</v>
      </c>
      <c r="N186" s="7">
        <f>24*60*SUM($M186:$M186)</f>
        <v>16.999999992549419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-04T15:06:55-0600',mode:absolute,to:'2017-04-04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83" t="str">
        <f>IF(AA186&lt;IF(AG186="EC",23,5.65),"Y","N")</f>
        <v>N</v>
      </c>
      <c r="X186" s="183">
        <f>VALUE(LEFT(AD186,4))-VALUE(LEFT(AD185,4))</f>
        <v>1</v>
      </c>
      <c r="Y186" s="62">
        <f>RIGHT(D186,LEN(D186)-4)/10000</f>
        <v>5.8615000000000004</v>
      </c>
      <c r="Z186" s="62">
        <f>RIGHT(H186,LEN(H186)-4)/10000</f>
        <v>6.8199999999999997E-2</v>
      </c>
      <c r="AA186" s="62">
        <f>ABS(Z186-Y186)</f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0828-04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/stypes="app*4015*20170404*" /stext=" 22:.+((SYSTEM_STATE.+slice.+state.+changed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14"/>
        <v>"%USERPROFILE%\Documents\GitHub\eaglep3\Utilities\RefineRTDCRunTimes.py" --tripid 828-04 --locoid 4015 --swversion DE.1.0.9.0 --startMP 300:58615 --initTime 2017-04-04T16:06:55 --startdatetime 2017-04-04T16:08:38 --delay 1 --endMP 204:682 --enddatetime 2017-04-04T16:25:38 --enforcementcount 0 &gt;&gt;C:\Users\stu\Documents\GitHub\eaglep3-reporting\EC\2017-04-04-refined-times.txt</v>
      </c>
      <c r="AI186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{"issue":{"subject":"","project_id":79,"tracker_id":40,"status_id":1,"priority_id":2,"assigned_to_id":23,"start_date":"2017-04-04","description":"","custom_fields":[{"id":1,"name":"Subdivision","value":"NW"},{"id":4,"name":"Milepost","value":"0.0682"},{"id":17,"name":"Train ID","value":"828-04"},{"id":16,"name":"Locomotive ID","value":"4015"},{"id":130,"name":"Impact","value":""},{"id":150,"name":"Time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16"/>
        <v>start /low /b %USERPROFILE%\Documents\GitHub\eaglep3\Utilities\DownloadLogsFromS3.py --loco 4015 --day 2017-04-04</v>
      </c>
      <c r="AN186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759</v>
      </c>
      <c r="B187" s="7">
        <v>4042</v>
      </c>
      <c r="C187" s="21" t="s">
        <v>217</v>
      </c>
      <c r="D187" s="21" t="s">
        <v>1004</v>
      </c>
      <c r="E187" s="13">
        <v>42829.676944444444</v>
      </c>
      <c r="F187" s="13">
        <v>42829.681435185186</v>
      </c>
      <c r="G187" s="7">
        <v>1</v>
      </c>
      <c r="H187" s="21" t="s">
        <v>1005</v>
      </c>
      <c r="I187" s="13">
        <v>42829.690972222219</v>
      </c>
      <c r="J187" s="7">
        <v>0</v>
      </c>
      <c r="K187" s="97" t="str">
        <f>IF(ISEVEN(B187),(B187-1)&amp;"/"&amp;B187,B187&amp;"/"&amp;(B187+1))</f>
        <v>4041/4042</v>
      </c>
      <c r="L187" s="21" t="str">
        <f>VLOOKUP(A187,'Trips&amp;Operators'!$C$1:$G$99999,5,FALSE)</f>
        <v>LEVIN SCOTT</v>
      </c>
      <c r="M187" s="6">
        <f>I187-F187</f>
        <v>9.5370370327145793E-3</v>
      </c>
      <c r="N187" s="7">
        <f>24*60*SUM($M187:$M187)</f>
        <v>13.733333327108994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-04T15:14:48-0600',mode:absolute,to:'2017-04-04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183" t="str">
        <f>IF(AA187&lt;IF(AG187="EC",23,5.65),"Y","N")</f>
        <v>N</v>
      </c>
      <c r="X187" s="183">
        <f>VALUE(LEFT(AD187,4))-VALUE(LEFT(AD186,4))</f>
        <v>1</v>
      </c>
      <c r="Y187" s="62">
        <f>RIGHT(D187,LEN(D187)-4)/10000</f>
        <v>9.6199999999999994E-2</v>
      </c>
      <c r="Z187" s="62">
        <f>RIGHT(H187,LEN(H187)-4)/10000</f>
        <v>5.8956</v>
      </c>
      <c r="AA187" s="62">
        <f>ABS(Z187-Y187)</f>
        <v>5.7994000000000003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0829-04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/stypes="app*4042*20170404*" /stext=" 22:.+((SYSTEM_STATE.+slice.+state.+changed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14"/>
        <v>"%USERPROFILE%\Documents\GitHub\eaglep3\Utilities\RefineRTDCRunTimes.py" --tripid 829-04 --locoid 4042 --swversion DE.1.0.9.0 --startMP 204:962 --initTime 2017-04-04T16:14:48 --startdatetime 2017-04-04T16:21:16 --delay 1 --endMP 300:58956 --enddatetime 2017-04-04T16:35:00 --enforcementcount 0 &gt;&gt;C:\Users\stu\Documents\GitHub\eaglep3-reporting\EC\2017-04-04-refined-times.txt</v>
      </c>
      <c r="AI187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{"issue":{"subject":"","project_id":79,"tracker_id":40,"status_id":1,"priority_id":2,"assigned_to_id":23,"start_date":"2017-04-04","description":"","custom_fields":[{"id":1,"name":"Subdivision","value":"NW"},{"id":4,"name":"Milepost","value":"5.8956"},{"id":17,"name":"Train ID","value":"829-04"},{"id":16,"name":"Locomotive ID","value":"4042"},{"id":130,"name":"Impact","value":""},{"id":150,"name":"Time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16"/>
        <v>start /low /b %USERPROFILE%\Documents\GitHub\eaglep3\Utilities\DownloadLogsFromS3.py --loco 4042 --day 2017-04-04</v>
      </c>
      <c r="AN187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3" t="s">
        <v>613</v>
      </c>
      <c r="B188" s="7">
        <v>4041</v>
      </c>
      <c r="C188" s="21" t="s">
        <v>217</v>
      </c>
      <c r="D188" s="21" t="s">
        <v>934</v>
      </c>
      <c r="E188" s="13">
        <v>42829.692152777781</v>
      </c>
      <c r="F188" s="13">
        <v>42829.693495370368</v>
      </c>
      <c r="G188" s="7">
        <v>1</v>
      </c>
      <c r="H188" s="21" t="s">
        <v>1006</v>
      </c>
      <c r="I188" s="13">
        <v>42829.705081018517</v>
      </c>
      <c r="J188" s="7">
        <v>0</v>
      </c>
      <c r="K188" s="97" t="str">
        <f>IF(ISEVEN(B188),(B188-1)&amp;"/"&amp;B188,B188&amp;"/"&amp;(B188+1))</f>
        <v>4041/4042</v>
      </c>
      <c r="L188" s="21" t="str">
        <f>VLOOKUP(A188,'Trips&amp;Operators'!$C$1:$G$99999,5,FALSE)</f>
        <v>LEVIN SCOTT</v>
      </c>
      <c r="M188" s="6">
        <f>I188-F188</f>
        <v>1.1585648149775807E-2</v>
      </c>
      <c r="N188" s="7">
        <f>24*60*SUM($M188:$M188)</f>
        <v>16.683333335677162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183" t="str">
        <f>IF(AA188&lt;IF(AG188="EC",23,5.65),"Y","N")</f>
        <v>N</v>
      </c>
      <c r="X188" s="183">
        <f>VALUE(LEFT(AD188,4))-VALUE(LEFT(AD187,4))</f>
        <v>1</v>
      </c>
      <c r="Y188" s="62">
        <f>RIGHT(D188,LEN(D188)-4)/10000</f>
        <v>5.8615000000000004</v>
      </c>
      <c r="Z188" s="62">
        <f>RIGHT(H188,LEN(H188)-4)/10000</f>
        <v>6.2799999999999995E-2</v>
      </c>
      <c r="AA188" s="62">
        <f>ABS(Z188-Y188)</f>
        <v>5.7987000000000002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0830-04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/stypes="app*4041*20170404*" /stext=" 22:.+((SYSTEM_STATE.+slice.+state.+changed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14"/>
        <v>"%USERPROFILE%\Documents\GitHub\eaglep3\Utilities\RefineRTDCRunTimes.py" --tripid 830-04 --locoid 4041 --swversion DE.1.0.9.0 --startMP 300:58615 --initTime 2017-04-04T16:36:42 --startdatetime 2017-04-04T16:38:38 --delay 1 --endMP 204:628 --enddatetime 2017-04-04T16:55:19 --enforcementcount 0 &gt;&gt;C:\Users\stu\Documents\GitHub\eaglep3-reporting\EC\2017-04-04-refined-times.txt</v>
      </c>
      <c r="AI188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{"issue":{"subject":"","project_id":79,"tracker_id":40,"status_id":1,"priority_id":2,"assigned_to_id":23,"start_date":"2017-04-04","description":"","custom_fields":[{"id":1,"name":"Subdivision","value":"NW"},{"id":4,"name":"Milepost","value":"0.0628"},{"id":17,"name":"Train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16"/>
        <v>start /low /b %USERPROFILE%\Documents\GitHub\eaglep3\Utilities\DownloadLogsFromS3.py --loco 4041 --day 2017-04-04</v>
      </c>
      <c r="AN188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761</v>
      </c>
      <c r="B189" s="7">
        <v>4016</v>
      </c>
      <c r="C189" s="21" t="s">
        <v>217</v>
      </c>
      <c r="D189" s="21" t="s">
        <v>1007</v>
      </c>
      <c r="E189" s="13">
        <v>42829.685624999998</v>
      </c>
      <c r="F189" s="13">
        <v>42829.702314814815</v>
      </c>
      <c r="G189" s="7">
        <v>1</v>
      </c>
      <c r="H189" s="21" t="s">
        <v>488</v>
      </c>
      <c r="I189" s="13">
        <v>42829.711956018517</v>
      </c>
      <c r="J189" s="7">
        <v>0</v>
      </c>
      <c r="K189" s="97" t="str">
        <f>IF(ISEVEN(B189),(B189-1)&amp;"/"&amp;B189,B189&amp;"/"&amp;(B189+1))</f>
        <v>4015/4016</v>
      </c>
      <c r="L189" s="21" t="str">
        <f>VLOOKUP(A189,'Trips&amp;Operators'!$C$1:$G$99999,5,FALSE)</f>
        <v>SWANSON BRYCE</v>
      </c>
      <c r="M189" s="6">
        <f>I189-F189</f>
        <v>9.6412037019035779E-3</v>
      </c>
      <c r="N189" s="7">
        <f>24*60*SUM($M189:$M189)</f>
        <v>13.883333330741152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-04T15:27:18-0600',mode:absolute,to:'2017-04-04T18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83" t="str">
        <f>IF(AA189&lt;IF(AG189="EC",23,5.65),"Y","N")</f>
        <v>N</v>
      </c>
      <c r="X189" s="183">
        <f>VALUE(LEFT(AD189,4))-VALUE(LEFT(AD188,4))</f>
        <v>1</v>
      </c>
      <c r="Y189" s="62">
        <f>RIGHT(D189,LEN(D189)-4)/10000</f>
        <v>9.7199999999999995E-2</v>
      </c>
      <c r="Z189" s="62">
        <f>RIGHT(H189,LEN(H189)-4)/10000</f>
        <v>5.8928000000000003</v>
      </c>
      <c r="AA189" s="62">
        <f>ABS(Z189-Y189)</f>
        <v>5.7956000000000003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0831-04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/stypes="app*4016*20170404*" /stext=" 23:.+((SYSTEM_STATE.+slice.+state.+changed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14"/>
        <v>"%USERPROFILE%\Documents\GitHub\eaglep3\Utilities\RefineRTDCRunTimes.py" --tripid 831-04 --locoid 4016 --swversion DE.1.0.9.0 --startMP 204:972 --initTime 2017-04-04T16:27:18 --startdatetime 2017-04-04T16:51:20 --delay 1 --endMP 300:58928 --enddatetime 2017-04-04T17:05:13 --enforcementcount 0 &gt;&gt;C:\Users\stu\Documents\GitHub\eaglep3-reporting\EC\2017-04-04-refined-times.txt</v>
      </c>
      <c r="AI189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ID","value":"831-04"},{"id":16,"name":"Locomotive ID","value":"4016"},{"id":130,"name":"Impact","value":""},{"id":150,"name":"Time of Event (Mountain Time)","value":"17:05:13"},{"id":151,"name":"Denver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16"/>
        <v>start /low /b %USERPROFILE%\Documents\GitHub\eaglep3\Utilities\DownloadLogsFromS3.py --loco 4016 --day 2017-04-04</v>
      </c>
      <c r="AN189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765</v>
      </c>
      <c r="B190" s="7">
        <v>4015</v>
      </c>
      <c r="C190" s="21" t="s">
        <v>217</v>
      </c>
      <c r="D190" s="21" t="s">
        <v>487</v>
      </c>
      <c r="E190" s="13">
        <v>42829.713182870371</v>
      </c>
      <c r="F190" s="13">
        <v>42829.714861111112</v>
      </c>
      <c r="G190" s="7">
        <v>1</v>
      </c>
      <c r="H190" s="21" t="s">
        <v>1008</v>
      </c>
      <c r="I190" s="13">
        <v>42829.726284722223</v>
      </c>
      <c r="J190" s="7">
        <v>0</v>
      </c>
      <c r="K190" s="97" t="str">
        <f>IF(ISEVEN(B190),(B190-1)&amp;"/"&amp;B190,B190&amp;"/"&amp;(B190+1))</f>
        <v>4015/4016</v>
      </c>
      <c r="L190" s="21" t="str">
        <f>VLOOKUP(A190,'Trips&amp;Operators'!$C$1:$G$99999,5,FALSE)</f>
        <v>SWANSON BRYCE</v>
      </c>
      <c r="M190" s="6">
        <f>I190-F190</f>
        <v>1.1423611111240461E-2</v>
      </c>
      <c r="N190" s="7">
        <f>24*60*SUM($M190:$M190)</f>
        <v>16.450000000186265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-04T16:06:59-0600',mode:absolute,to:'2017-04-04T18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83" t="str">
        <f>IF(AA190&lt;IF(AG190="EC",23,5.65),"Y","N")</f>
        <v>N</v>
      </c>
      <c r="X190" s="183">
        <f>VALUE(LEFT(AD190,4))-VALUE(LEFT(AD189,4))</f>
        <v>1</v>
      </c>
      <c r="Y190" s="62">
        <f>RIGHT(D190,LEN(D190)-4)/10000</f>
        <v>5.8616999999999999</v>
      </c>
      <c r="Z190" s="62">
        <f>RIGHT(H190,LEN(H190)-4)/10000</f>
        <v>6.0499999999999998E-2</v>
      </c>
      <c r="AA190" s="62">
        <f>ABS(Z190-Y190)</f>
        <v>5.8011999999999997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0832-04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/stypes="app*4015*20170404*" /stext=" 23:.+((SYSTEM_STATE.+slice.+state.+changed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14"/>
        <v>"%USERPROFILE%\Documents\GitHub\eaglep3\Utilities\RefineRTDCRunTimes.py" --tripid 832-04 --locoid 4015 --swversion DE.1.0.9.0 --startMP 300:58617 --initTime 2017-04-04T17:06:59 --startdatetime 2017-04-04T17:09:24 --delay 1 --endMP 204:605 --enddatetime 2017-04-04T17:25:51 --enforcementcount 0 &gt;&gt;C:\Users\stu\Documents\GitHub\eaglep3-reporting\EC\2017-04-04-refined-times.txt</v>
      </c>
      <c r="AI190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{"issue":{"subject":"","project_id":79,"tracker_id":40,"status_id":1,"priority_id":2,"assigned_to_id":23,"start_date":"2017-04-04","description":"","custom_fields":[{"id":1,"name":"Subdivision","value":"NW"},{"id":4,"name":"Milepost","value":"0.0605"},{"id":17,"name":"Train ID","value":"832-04"},{"id":16,"name":"Locomotive ID","value":"4015"},{"id":130,"name":"Impact","value":""},{"id":150,"name":"Time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16"/>
        <v>start /low /b %USERPROFILE%\Documents\GitHub\eaglep3\Utilities\DownloadLogsFromS3.py --loco 4015 --day 2017-04-04</v>
      </c>
      <c r="AN190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767</v>
      </c>
      <c r="B191" s="7">
        <v>4042</v>
      </c>
      <c r="C191" s="21" t="s">
        <v>217</v>
      </c>
      <c r="D191" s="21" t="s">
        <v>1009</v>
      </c>
      <c r="E191" s="13">
        <v>42829.719687500001</v>
      </c>
      <c r="F191" s="13">
        <v>42829.723101851851</v>
      </c>
      <c r="G191" s="7">
        <v>1</v>
      </c>
      <c r="H191" s="21" t="s">
        <v>1010</v>
      </c>
      <c r="I191" s="13">
        <v>42829.732233796298</v>
      </c>
      <c r="J191" s="7">
        <v>0</v>
      </c>
      <c r="K191" s="97" t="str">
        <f>IF(ISEVEN(B191),(B191-1)&amp;"/"&amp;B191,B191&amp;"/"&amp;(B191+1))</f>
        <v>4041/4042</v>
      </c>
      <c r="L191" s="21" t="str">
        <f>VLOOKUP(A191,'Trips&amp;Operators'!$C$1:$G$99999,5,FALSE)</f>
        <v>LEVIN SCOTT</v>
      </c>
      <c r="M191" s="6">
        <f>I191-F191</f>
        <v>9.1319444472901523E-3</v>
      </c>
      <c r="N191" s="7">
        <f>24*60*SUM($M191:$M191)</f>
        <v>13.150000004097819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-04T16:16:21-0600',mode:absolute,to:'2017-04-04T18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183" t="str">
        <f>IF(AA191&lt;IF(AG191="EC",23,5.65),"Y","N")</f>
        <v>N</v>
      </c>
      <c r="X191" s="183">
        <f>VALUE(LEFT(AD191,4))-VALUE(LEFT(AD190,4))</f>
        <v>1</v>
      </c>
      <c r="Y191" s="62">
        <f>RIGHT(D191,LEN(D191)-4)/10000</f>
        <v>9.2700000000000005E-2</v>
      </c>
      <c r="Z191" s="62">
        <f>RIGHT(H191,LEN(H191)-4)/10000</f>
        <v>5.8943000000000003</v>
      </c>
      <c r="AA191" s="62">
        <f>ABS(Z191-Y191)</f>
        <v>5.8016000000000005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0833-04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/stypes="app*4042*20170404*" /stext=" 23:.+((SYSTEM_STATE.+slice.+state.+changed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14"/>
        <v>"%USERPROFILE%\Documents\GitHub\eaglep3\Utilities\RefineRTDCRunTimes.py" --tripid 833-04 --locoid 4042 --swversion DE.1.0.9.0 --startMP 204:927 --initTime 2017-04-04T17:16:21 --startdatetime 2017-04-04T17:21:16 --delay 1 --endMP 300:58943 --enddatetime 2017-04-04T17:34:25 --enforcementcount 0 &gt;&gt;C:\Users\stu\Documents\GitHub\eaglep3-reporting\EC\2017-04-04-refined-times.txt</v>
      </c>
      <c r="AI191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ID","value":"833-04"},{"id":16,"name":"Locomotive ID","value":"4042"},{"id":130,"name":"Impact","value":""},{"id":150,"name":"Time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16"/>
        <v>start /low /b %USERPROFILE%\Documents\GitHub\eaglep3\Utilities\DownloadLogsFromS3.py --loco 4042 --day 2017-04-04</v>
      </c>
      <c r="AN191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775</v>
      </c>
      <c r="B192" s="7">
        <v>4041</v>
      </c>
      <c r="C192" s="21" t="s">
        <v>217</v>
      </c>
      <c r="D192" s="21" t="s">
        <v>561</v>
      </c>
      <c r="E192" s="13">
        <v>42829.733229166668</v>
      </c>
      <c r="F192" s="13">
        <v>42829.734548611108</v>
      </c>
      <c r="G192" s="7">
        <v>1</v>
      </c>
      <c r="H192" s="21" t="s">
        <v>571</v>
      </c>
      <c r="I192" s="13">
        <v>42829.746747685182</v>
      </c>
      <c r="J192" s="7">
        <v>0</v>
      </c>
      <c r="K192" s="97" t="str">
        <f>IF(ISEVEN(B192),(B192-1)&amp;"/"&amp;B192,B192&amp;"/"&amp;(B192+1))</f>
        <v>4041/4042</v>
      </c>
      <c r="L192" s="21" t="str">
        <f>VLOOKUP(A192,'Trips&amp;Operators'!$C$1:$G$99999,5,FALSE)</f>
        <v>LEVIN SCOTT</v>
      </c>
      <c r="M192" s="6">
        <f>I192-F192</f>
        <v>1.2199074073578231E-2</v>
      </c>
      <c r="N192" s="7">
        <f>24*60*SUM($M192:$M192)</f>
        <v>17.566666665952653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-04T16:35:51-0600',mode:absolute,to:'2017-04-04T18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183" t="str">
        <f>IF(AA192&lt;IF(AG192="EC",23,5.65),"Y","N")</f>
        <v>N</v>
      </c>
      <c r="X192" s="183">
        <f>VALUE(LEFT(AD192,4))-VALUE(LEFT(AD191,4))</f>
        <v>1</v>
      </c>
      <c r="Y192" s="62">
        <f>RIGHT(D192,LEN(D192)-4)/10000</f>
        <v>5.8628</v>
      </c>
      <c r="Z192" s="62">
        <f>RIGHT(H192,LEN(H192)-4)/10000</f>
        <v>6.5600000000000006E-2</v>
      </c>
      <c r="AA192" s="62">
        <f>ABS(Z192-Y192)</f>
        <v>5.7972000000000001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0834-04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/stypes="app*4041*20170404*" /stext=" 23:.+((SYSTEM_STATE.+slice.+state.+changed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14"/>
        <v>"%USERPROFILE%\Documents\GitHub\eaglep3\Utilities\RefineRTDCRunTimes.py" --tripid 834-04 --locoid 4041 --swversion DE.1.0.9.0 --startMP 300:58628 --initTime 2017-04-04T17:35:51 --startdatetime 2017-04-04T17:37:45 --delay 1 --endMP 204:656 --enddatetime 2017-04-04T17:55:19 --enforcementcount 0 &gt;&gt;C:\Users\stu\Documents\GitHub\eaglep3-reporting\EC\2017-04-04-refined-times.txt</v>
      </c>
      <c r="AI192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{"issue":{"subject":"","project_id":79,"tracker_id":40,"status_id":1,"priority_id":2,"assigned_to_id":23,"start_date":"2017-04-04","description":"","custom_fields":[{"id":1,"name":"Subdivision","value":"NW"},{"id":4,"name":"Milepost","value":"0.0656"},{"id":17,"name":"Train ID","value":"834-04"},{"id":16,"name":"Locomotive ID","value":"4041"},{"id":130,"name":"Impact","value":""},{"id":150,"name":"Time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16"/>
        <v>start /low /b %USERPROFILE%\Documents\GitHub\eaglep3\Utilities\DownloadLogsFromS3.py --loco 4041 --day 2017-04-04</v>
      </c>
      <c r="AN192" s="159" t="str">
        <f t="shared" si="17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770</v>
      </c>
      <c r="B193" s="7">
        <v>4016</v>
      </c>
      <c r="C193" s="21" t="s">
        <v>217</v>
      </c>
      <c r="D193" s="21" t="s">
        <v>1011</v>
      </c>
      <c r="E193" s="13">
        <v>42829.728634259256</v>
      </c>
      <c r="F193" s="13">
        <v>42829.744085648148</v>
      </c>
      <c r="G193" s="7">
        <v>1</v>
      </c>
      <c r="H193" s="21" t="s">
        <v>570</v>
      </c>
      <c r="I193" s="13">
        <v>42829.75372685185</v>
      </c>
      <c r="J193" s="7">
        <v>0</v>
      </c>
      <c r="K193" s="97" t="str">
        <f>IF(ISEVEN(B193),(B193-1)&amp;"/"&amp;B193,B193&amp;"/"&amp;(B193+1))</f>
        <v>4015/4016</v>
      </c>
      <c r="L193" s="21" t="str">
        <f>VLOOKUP(A193,'Trips&amp;Operators'!$C$1:$G$99999,5,FALSE)</f>
        <v>SWANSON BRYCE</v>
      </c>
      <c r="M193" s="6">
        <f>I193-F193</f>
        <v>9.6412037019035779E-3</v>
      </c>
      <c r="N193" s="7">
        <f>24*60*SUM($M193:$M193)</f>
        <v>13.883333330741152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-04T16:29:14-0600',mode:absolute,to:'2017-04-04T19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83" t="str">
        <f>IF(AA193&lt;IF(AG193="EC",23,5.65),"Y","N")</f>
        <v>N</v>
      </c>
      <c r="X193" s="183">
        <f>VALUE(LEFT(AD193,4))-VALUE(LEFT(AD192,4))</f>
        <v>1</v>
      </c>
      <c r="Y193" s="62">
        <f>RIGHT(D193,LEN(D193)-4)/10000</f>
        <v>8.9899999999999994E-2</v>
      </c>
      <c r="Z193" s="62">
        <f>RIGHT(H193,LEN(H193)-4)/10000</f>
        <v>5.8929</v>
      </c>
      <c r="AA193" s="62">
        <f>ABS(Z193-Y193)</f>
        <v>5.8029999999999999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0835-04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/stypes="app*4016*20170405*" /stext=" 00:.+((SYSTEM_STATE.+slice.+state.+changed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14"/>
        <v>"%USERPROFILE%\Documents\GitHub\eaglep3\Utilities\RefineRTDCRunTimes.py" --tripid 835-04 --locoid 4016 --swversion DE.1.0.9.0 --startMP 204:899 --initTime 2017-04-04T17:29:14 --startdatetime 2017-04-04T17:51:29 --delay 1 --endMP 300:58929 --enddatetime 2017-04-04T18:05:22 --enforcementcount 0 &gt;&gt;C:\Users\stu\Documents\GitHub\eaglep3-reporting\EC\2017-04-04-refined-times.txt</v>
      </c>
      <c r="AI193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ID","value":"835-04"},{"id":16,"name":"Locomotive ID","value":"4016"},{"id":130,"name":"Impact","value":""},{"id":150,"name":"Time of Event (Mountain Time)","value":"18:05:22"},{"id":151,"name":"Denver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16"/>
        <v>start /low /b %USERPROFILE%\Documents\GitHub\eaglep3\Utilities\DownloadLogsFromS3.py --loco 4016 --day 2017-04-04</v>
      </c>
      <c r="AN193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780</v>
      </c>
      <c r="B194" s="7">
        <v>4015</v>
      </c>
      <c r="C194" s="21" t="s">
        <v>217</v>
      </c>
      <c r="D194" s="21" t="s">
        <v>937</v>
      </c>
      <c r="E194" s="13">
        <v>42829.754687499997</v>
      </c>
      <c r="F194" s="13">
        <v>42829.756064814814</v>
      </c>
      <c r="G194" s="7">
        <v>1</v>
      </c>
      <c r="H194" s="21" t="s">
        <v>1012</v>
      </c>
      <c r="I194" s="13">
        <v>42829.768541666665</v>
      </c>
      <c r="J194" s="7">
        <v>0</v>
      </c>
      <c r="K194" s="97" t="str">
        <f>IF(ISEVEN(B194),(B194-1)&amp;"/"&amp;B194,B194&amp;"/"&amp;(B194+1))</f>
        <v>4015/4016</v>
      </c>
      <c r="L194" s="21" t="str">
        <f>VLOOKUP(A194,'Trips&amp;Operators'!$C$1:$G$99999,5,FALSE)</f>
        <v>SWANSON BRYCE</v>
      </c>
      <c r="M194" s="6">
        <f>I194-F194</f>
        <v>1.247685185080627E-2</v>
      </c>
      <c r="N194" s="7">
        <f>24*60*SUM($M194:$M194)</f>
        <v>17.966666665161029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-04T17:06:45-0600',mode:absolute,to:'2017-04-04T19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83" t="str">
        <f>IF(AA194&lt;IF(AG194="EC",23,5.65),"Y","N")</f>
        <v>N</v>
      </c>
      <c r="X194" s="183">
        <f>VALUE(LEFT(AD194,4))-VALUE(LEFT(AD193,4))</f>
        <v>1</v>
      </c>
      <c r="Y194" s="62">
        <f>RIGHT(D194,LEN(D194)-4)/10000</f>
        <v>5.8624000000000001</v>
      </c>
      <c r="Z194" s="62">
        <f>RIGHT(H194,LEN(H194)-4)/10000</f>
        <v>6.3500000000000001E-2</v>
      </c>
      <c r="AA194" s="62">
        <f>ABS(Z194-Y194)</f>
        <v>5.7988999999999997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0836-04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/stypes="app*4015*20170405*" /stext=" 00:.+((SYSTEM_STATE.+slice.+state.+changed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14"/>
        <v>"%USERPROFILE%\Documents\GitHub\eaglep3\Utilities\RefineRTDCRunTimes.py" --tripid 836-04 --locoid 4015 --swversion DE.1.0.9.0 --startMP 300:58624 --initTime 2017-04-04T18:06:45 --startdatetime 2017-04-04T18:08:44 --delay 1 --endMP 204:635 --enddatetime 2017-04-04T18:26:42 --enforcementcount 0 &gt;&gt;C:\Users\stu\Documents\GitHub\eaglep3-reporting\EC\2017-04-04-refined-times.txt</v>
      </c>
      <c r="AI194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{"issue":{"subject":"","project_id":79,"tracker_id":40,"status_id":1,"priority_id":2,"assigned_to_id":23,"start_date":"2017-04-04","description":"","custom_fields":[{"id":1,"name":"Subdivision","value":"NW"},{"id":4,"name":"Milepost","value":"0.0635"},{"id":17,"name":"Train ID","value":"836-04"},{"id":16,"name":"Locomotive ID","value":"4015"},{"id":130,"name":"Impact","value":""},{"id":150,"name":"Time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16"/>
        <v>start /low /b %USERPROFILE%\Documents\GitHub\eaglep3\Utilities\DownloadLogsFromS3.py --loco 4015 --day 2017-04-04</v>
      </c>
      <c r="AN194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617</v>
      </c>
      <c r="B195" s="7">
        <v>4042</v>
      </c>
      <c r="C195" s="21" t="s">
        <v>217</v>
      </c>
      <c r="D195" s="21" t="s">
        <v>568</v>
      </c>
      <c r="E195" s="13">
        <v>42829.762245370373</v>
      </c>
      <c r="F195" s="13">
        <v>42829.764791666668</v>
      </c>
      <c r="G195" s="7">
        <v>1</v>
      </c>
      <c r="H195" s="21" t="s">
        <v>490</v>
      </c>
      <c r="I195" s="13">
        <v>42829.773993055554</v>
      </c>
      <c r="J195" s="7">
        <v>0</v>
      </c>
      <c r="K195" s="97" t="str">
        <f>IF(ISEVEN(B195),(B195-1)&amp;"/"&amp;B195,B195&amp;"/"&amp;(B195+1))</f>
        <v>4041/4042</v>
      </c>
      <c r="L195" s="21" t="str">
        <f>VLOOKUP(A195,'Trips&amp;Operators'!$C$1:$G$99999,5,FALSE)</f>
        <v>LEVIN SCOTT</v>
      </c>
      <c r="M195" s="6">
        <f>I195-F195</f>
        <v>9.2013888861401938E-3</v>
      </c>
      <c r="N195" s="7">
        <f>24*60*SUM($M195:$M195)</f>
        <v>13.249999996041879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83" t="str">
        <f>IF(AA195&lt;IF(AG195="EC",23,5.65),"Y","N")</f>
        <v>N</v>
      </c>
      <c r="X195" s="183">
        <f>VALUE(LEFT(AD195,4))-VALUE(LEFT(AD194,4))</f>
        <v>1</v>
      </c>
      <c r="Y195" s="62">
        <f>RIGHT(D195,LEN(D195)-4)/10000</f>
        <v>9.3700000000000006E-2</v>
      </c>
      <c r="Z195" s="62">
        <f>RIGHT(H195,LEN(H195)-4)/10000</f>
        <v>5.8933</v>
      </c>
      <c r="AA195" s="62">
        <f>ABS(Z195-Y195)</f>
        <v>5.7995999999999999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0837-04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/stypes="app*4042*20170405*" /stext=" 00:.+((SYSTEM_STATE.+slice.+state.+changed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14"/>
        <v>"%USERPROFILE%\Documents\GitHub\eaglep3\Utilities\RefineRTDCRunTimes.py" --tripid 837-04 --locoid 4042 --swversion DE.1.0.9.0 --startMP 204:937 --initTime 2017-04-04T18:17:38 --startdatetime 2017-04-04T18:21:18 --delay 1 --endMP 300:58933 --enddatetime 2017-04-04T18:34:33 --enforcementcount 0 &gt;&gt;C:\Users\stu\Documents\GitHub\eaglep3-reporting\EC\2017-04-04-refined-times.txt</v>
      </c>
      <c r="AI195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ID","value":"837-04"},{"id":16,"name":"Locomotive ID","value":"4042"},{"id":130,"name":"Impact","value":""},{"id":150,"name":"Time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16"/>
        <v>start /low /b %USERPROFILE%\Documents\GitHub\eaglep3\Utilities\DownloadLogsFromS3.py --loco 4042 --day 2017-04-04</v>
      </c>
      <c r="AN195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785</v>
      </c>
      <c r="B196" s="7">
        <v>4041</v>
      </c>
      <c r="C196" s="21" t="s">
        <v>217</v>
      </c>
      <c r="D196" s="21" t="s">
        <v>1013</v>
      </c>
      <c r="E196" s="13">
        <v>42829.775243055556</v>
      </c>
      <c r="F196" s="13">
        <v>42829.776562500003</v>
      </c>
      <c r="G196" s="7">
        <v>1</v>
      </c>
      <c r="H196" s="21" t="s">
        <v>576</v>
      </c>
      <c r="I196" s="13">
        <v>42829.789571759262</v>
      </c>
      <c r="J196" s="7">
        <v>0</v>
      </c>
      <c r="K196" s="97" t="str">
        <f>IF(ISEVEN(B196),(B196-1)&amp;"/"&amp;B196,B196&amp;"/"&amp;(B196+1))</f>
        <v>4041/4042</v>
      </c>
      <c r="L196" s="21" t="str">
        <f>VLOOKUP(A196,'Trips&amp;Operators'!$C$1:$G$99999,5,FALSE)</f>
        <v>LEVIN SCOTT</v>
      </c>
      <c r="M196" s="6">
        <f>I196-F196</f>
        <v>1.3009259258979E-2</v>
      </c>
      <c r="N196" s="7">
        <f>24*60*SUM($M196:$M196)</f>
        <v>18.73333333292976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-04T17:36:21-0600',mode:absolute,to:'2017-04-04T19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183" t="str">
        <f>IF(AA196&lt;IF(AG196="EC",23,5.65),"Y","N")</f>
        <v>N</v>
      </c>
      <c r="X196" s="183">
        <f>VALUE(LEFT(AD196,4))-VALUE(LEFT(AD195,4))</f>
        <v>1</v>
      </c>
      <c r="Y196" s="62">
        <f>RIGHT(D196,LEN(D196)-4)/10000</f>
        <v>5.8601999999999999</v>
      </c>
      <c r="Z196" s="62">
        <f>RIGHT(H196,LEN(H196)-4)/10000</f>
        <v>6.6600000000000006E-2</v>
      </c>
      <c r="AA196" s="62">
        <f>ABS(Z196-Y196)</f>
        <v>5.7935999999999996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0838-04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/stypes="app*4041*20170405*" /stext=" 00:.+((SYSTEM_STATE.+slice.+state.+changed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 t="shared" si="14"/>
        <v>"%USERPROFILE%\Documents\GitHub\eaglep3\Utilities\RefineRTDCRunTimes.py" --tripid 838-04 --locoid 4041 --swversion DE.1.0.9.0 --startMP 300:58602 --initTime 2017-04-04T18:36:21 --startdatetime 2017-04-04T18:38:15 --delay 1 --endMP 204:666 --enddatetime 2017-04-04T18:56:59 --enforcementcount 0 &gt;&gt;C:\Users\stu\Documents\GitHub\eaglep3-reporting\EC\2017-04-04-refined-times.txt</v>
      </c>
      <c r="AI196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ID","value":"838-04"},{"id":16,"name":"Locomotive ID","value":"4041"},{"id":130,"name":"Impact","value":""},{"id":150,"name":"Time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16"/>
        <v>start /low /b %USERPROFILE%\Documents\GitHub\eaglep3\Utilities\DownloadLogsFromS3.py --loco 4041 --day 2017-04-04</v>
      </c>
      <c r="AN196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784</v>
      </c>
      <c r="B197" s="7">
        <v>4016</v>
      </c>
      <c r="C197" s="21" t="s">
        <v>217</v>
      </c>
      <c r="D197" s="21" t="s">
        <v>1011</v>
      </c>
      <c r="E197" s="13">
        <v>42829.769745370373</v>
      </c>
      <c r="F197" s="13">
        <v>42829.785624999997</v>
      </c>
      <c r="G197" s="7">
        <v>1</v>
      </c>
      <c r="H197" s="21" t="s">
        <v>570</v>
      </c>
      <c r="I197" s="13">
        <v>42829.795740740738</v>
      </c>
      <c r="J197" s="7">
        <v>0</v>
      </c>
      <c r="K197" s="97" t="str">
        <f>IF(ISEVEN(B197),(B197-1)&amp;"/"&amp;B197,B197&amp;"/"&amp;(B197+1))</f>
        <v>4015/4016</v>
      </c>
      <c r="L197" s="21" t="str">
        <f>VLOOKUP(A197,'Trips&amp;Operators'!$C$1:$G$99999,5,FALSE)</f>
        <v>SWANSON BRYCE</v>
      </c>
      <c r="M197" s="6">
        <f>I197-F197</f>
        <v>1.0115740740729962E-2</v>
      </c>
      <c r="N197" s="7">
        <f>24*60*SUM($M197:$M197)</f>
        <v>14.566666666651145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-04T17:28:26-0600',mode:absolute,to:'2017-04-04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83" t="str">
        <f>IF(AA197&lt;IF(AG197="EC",23,5.65),"Y","N")</f>
        <v>N</v>
      </c>
      <c r="X197" s="183">
        <f>VALUE(LEFT(AD197,4))-VALUE(LEFT(AD196,4))</f>
        <v>1</v>
      </c>
      <c r="Y197" s="62">
        <f>RIGHT(D197,LEN(D197)-4)/10000</f>
        <v>8.9899999999999994E-2</v>
      </c>
      <c r="Z197" s="62">
        <f>RIGHT(H197,LEN(H197)-4)/10000</f>
        <v>5.8929</v>
      </c>
      <c r="AA197" s="62">
        <f>ABS(Z197-Y197)</f>
        <v>5.8029999999999999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0839-04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/stypes="app*4016*20170405*" /stext=" 01:.+((SYSTEM_STATE.+slice.+state.+changed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 t="shared" si="14"/>
        <v>"%USERPROFILE%\Documents\GitHub\eaglep3\Utilities\RefineRTDCRunTimes.py" --tripid 839-04 --locoid 4016 --swversion DE.1.0.9.0 --startMP 204:899 --initTime 2017-04-04T18:28:26 --startdatetime 2017-04-04T18:51:18 --delay 1 --endMP 300:58929 --enddatetime 2017-04-04T19:05:52 --enforcementcount 0 &gt;&gt;C:\Users\stu\Documents\GitHub\eaglep3-reporting\EC\2017-04-04-refined-times.txt</v>
      </c>
      <c r="AI197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ID","value":"839-04"},{"id":16,"name":"Locomotive ID","value":"4016"},{"id":130,"name":"Impact","value":""},{"id":150,"name":"Time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16"/>
        <v>start /low /b %USERPROFILE%\Documents\GitHub\eaglep3\Utilities\DownloadLogsFromS3.py --loco 4016 --day 2017-04-04</v>
      </c>
      <c r="AN197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794</v>
      </c>
      <c r="B198" s="7">
        <v>4041</v>
      </c>
      <c r="C198" s="21" t="s">
        <v>217</v>
      </c>
      <c r="D198" s="21" t="s">
        <v>454</v>
      </c>
      <c r="E198" s="13">
        <v>42829.817650462966</v>
      </c>
      <c r="F198" s="13">
        <v>42829.818831018521</v>
      </c>
      <c r="G198" s="7">
        <v>1</v>
      </c>
      <c r="H198" s="21" t="s">
        <v>572</v>
      </c>
      <c r="I198" s="13">
        <v>42829.831273148149</v>
      </c>
      <c r="J198" s="7">
        <v>0</v>
      </c>
      <c r="K198" s="97" t="str">
        <f>IF(ISEVEN(B198),(B198-1)&amp;"/"&amp;B198,B198&amp;"/"&amp;(B198+1))</f>
        <v>4041/4042</v>
      </c>
      <c r="L198" s="21" t="str">
        <f>VLOOKUP(A198,'Trips&amp;Operators'!$C$1:$G$99999,5,FALSE)</f>
        <v>LEVIN SCOTT</v>
      </c>
      <c r="M198" s="6">
        <f>I198-F198</f>
        <v>1.244212962774327E-2</v>
      </c>
      <c r="N198" s="7">
        <f>24*60*SUM($M198:$M198)</f>
        <v>17.916666663950309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-04T18:37:25-0600',mode:absolute,to:'2017-04-04T20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8" s="183" t="str">
        <f>IF(AA198&lt;IF(AG198="EC",23,5.65),"Y","N")</f>
        <v>N</v>
      </c>
      <c r="X198" s="183">
        <f>VALUE(LEFT(AD198,4))-VALUE(LEFT(AD197,4))</f>
        <v>1</v>
      </c>
      <c r="Y198" s="62">
        <f>RIGHT(D198,LEN(D198)-4)/10000</f>
        <v>5.8623000000000003</v>
      </c>
      <c r="Z198" s="62">
        <f>RIGHT(H198,LEN(H198)-4)/10000</f>
        <v>6.3600000000000004E-2</v>
      </c>
      <c r="AA198" s="62">
        <f>ABS(Z198-Y198)</f>
        <v>5.7987000000000002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0840-04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/stypes="app*4041*20170405*" /stext=" 01:.+((SYSTEM_STATE.+slice.+state.+changed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 t="shared" si="14"/>
        <v>"%USERPROFILE%\Documents\GitHub\eaglep3\Utilities\RefineRTDCRunTimes.py" --tripid 840-04 --locoid 4041 --swversion DE.1.0.9.0 --startMP 300:58623 --initTime 2017-04-04T19:37:25 --startdatetime 2017-04-04T19:39:07 --delay 1 --endMP 204:636 --enddatetime 2017-04-04T19:57:02 --enforcementcount 0 &gt;&gt;C:\Users\stu\Documents\GitHub\eaglep3-reporting\EC\2017-04-04-refined-times.txt</v>
      </c>
      <c r="AI198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{"issue":{"subject":"","project_id":79,"tracker_id":40,"status_id":1,"priority_id":2,"assigned_to_id":23,"start_date":"2017-04-04","description":"","custom_fields":[{"id":1,"name":"Subdivision","value":"NW"},{"id":4,"name":"Milepost","value":"0.0636"},{"id":17,"name":"Train ID","value":"840-04"},{"id":16,"name":"Locomotive ID","value":"4041"},{"id":130,"name":"Impact","value":""},{"id":150,"name":"Time of Event (Mountain Time)","value":"19:57:02"},{"id":151,"name":"Denver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16"/>
        <v>start /low /b %USERPROFILE%\Documents\GitHub\eaglep3\Utilities\DownloadLogsFromS3.py --loco 4041 --day 2017-04-04</v>
      </c>
      <c r="AN198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790</v>
      </c>
      <c r="B199" s="7">
        <v>4042</v>
      </c>
      <c r="C199" s="21" t="s">
        <v>217</v>
      </c>
      <c r="D199" s="21" t="s">
        <v>1014</v>
      </c>
      <c r="E199" s="13">
        <v>42829.80127314815</v>
      </c>
      <c r="F199" s="13">
        <v>42829.806504629632</v>
      </c>
      <c r="G199" s="7">
        <v>1</v>
      </c>
      <c r="H199" s="21" t="s">
        <v>940</v>
      </c>
      <c r="I199" s="13">
        <v>42829.815717592595</v>
      </c>
      <c r="J199" s="7">
        <v>0</v>
      </c>
      <c r="K199" s="97" t="str">
        <f>IF(ISEVEN(B199),(B199-1)&amp;"/"&amp;B199,B199&amp;"/"&amp;(B199+1))</f>
        <v>4041/4042</v>
      </c>
      <c r="L199" s="21" t="str">
        <f>VLOOKUP(A199,'Trips&amp;Operators'!$C$1:$G$99999,5,FALSE)</f>
        <v>LEVIN SCOTT</v>
      </c>
      <c r="M199" s="6">
        <f>I199-F199</f>
        <v>9.2129629629198462E-3</v>
      </c>
      <c r="N199" s="7">
        <f>24*60*SUM($M199:$M199)</f>
        <v>13.266666666604578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-04T18:13:50-0600',mode:absolute,to:'2017-04-04T20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183" t="str">
        <f>IF(AA199&lt;IF(AG199="EC",23,5.65),"Y","N")</f>
        <v>N</v>
      </c>
      <c r="X199" s="183">
        <f>VALUE(LEFT(AD199,4))-VALUE(LEFT(AD198,4))</f>
        <v>1</v>
      </c>
      <c r="Y199" s="62">
        <f>RIGHT(D199,LEN(D199)-4)/10000</f>
        <v>9.4799999999999995E-2</v>
      </c>
      <c r="Z199" s="62">
        <f>RIGHT(H199,LEN(H199)-4)/10000</f>
        <v>5.8936999999999999</v>
      </c>
      <c r="AA199" s="62">
        <f>ABS(Z199-Y199)</f>
        <v>5.7988999999999997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0841-04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/stypes="app*4042*20170405*" /stext=" 01:.+((SYSTEM_STATE.+slice.+state.+changed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 t="shared" si="14"/>
        <v>"%USERPROFILE%\Documents\GitHub\eaglep3\Utilities\RefineRTDCRunTimes.py" --tripid 841-04 --locoid 4042 --swversion DE.1.0.9.0 --startMP 204:948 --initTime 2017-04-04T19:13:50 --startdatetime 2017-04-04T19:21:22 --delay 1 --endMP 300:58937 --enddatetime 2017-04-04T19:34:38 --enforcementcount 0 &gt;&gt;C:\Users\stu\Documents\GitHub\eaglep3-reporting\EC\2017-04-04-refined-times.txt</v>
      </c>
      <c r="AI199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ID","value":"841-04"},{"id":16,"name":"Locomotive ID","value":"4042"},{"id":130,"name":"Impact","value":""},{"id":150,"name":"Time of Event (Mountain Time)","value":"19:34:38"},{"id":151,"name":"Denver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16"/>
        <v>start /low /b %USERPROFILE%\Documents\GitHub\eaglep3\Utilities\DownloadLogsFromS3.py --loco 4042 --day 2017-04-04</v>
      </c>
      <c r="AN199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625</v>
      </c>
      <c r="B200" s="7">
        <v>4041</v>
      </c>
      <c r="C200" s="21" t="s">
        <v>217</v>
      </c>
      <c r="D200" s="21" t="s">
        <v>1015</v>
      </c>
      <c r="E200" s="13">
        <v>42829.858842592592</v>
      </c>
      <c r="F200" s="13">
        <v>42829.859953703701</v>
      </c>
      <c r="G200" s="7">
        <v>0</v>
      </c>
      <c r="H200" s="21" t="s">
        <v>1016</v>
      </c>
      <c r="I200" s="13">
        <v>42829.871111111112</v>
      </c>
      <c r="J200" s="7">
        <v>0</v>
      </c>
      <c r="K200" s="97" t="str">
        <f>IF(ISEVEN(B200),(B200-1)&amp;"/"&amp;B200,B200&amp;"/"&amp;(B200+1))</f>
        <v>4041/4042</v>
      </c>
      <c r="L200" s="21" t="str">
        <f>VLOOKUP(A200,'Trips&amp;Operators'!$C$1:$G$99999,5,FALSE)</f>
        <v>LEVIN SCOTT</v>
      </c>
      <c r="M200" s="6">
        <f>I200-F200</f>
        <v>1.1157407410792075E-2</v>
      </c>
      <c r="N200" s="7">
        <f>24*60*SUM($M200:$M200)</f>
        <v>16.066666671540588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0" s="183" t="str">
        <f>IF(AA200&lt;IF(AG200="EC",23,5.65),"Y","N")</f>
        <v>N</v>
      </c>
      <c r="X200" s="183">
        <f>VALUE(LEFT(AD200,4))-VALUE(LEFT(AD199,4))</f>
        <v>1</v>
      </c>
      <c r="Y200" s="62">
        <f>RIGHT(D200,LEN(D200)-4)/10000</f>
        <v>5.8630000000000004</v>
      </c>
      <c r="Z200" s="62">
        <f>RIGHT(H200,LEN(H200)-4)/10000</f>
        <v>6.7100000000000007E-2</v>
      </c>
      <c r="AA200" s="62">
        <f>ABS(Z200-Y200)</f>
        <v>5.7959000000000005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0842-04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/stypes="app*4041*20170405*" /stext=" 02:.+((SYSTEM_STATE.+slice.+state.+changed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 t="shared" si="14"/>
        <v>"%USERPROFILE%\Documents\GitHub\eaglep3\Utilities\RefineRTDCRunTimes.py" --tripid 842-04 --locoid 4041 --swversion DE.1.0.9.0 --startMP 300:58630 --initTime 2017-04-04T20:36:44 --startdatetime 2017-04-04T20:38:20 --delay 0 --endMP 204:671 --enddatetime 2017-04-04T20:54:24 --enforcementcount 0 &gt;&gt;C:\Users\stu\Documents\GitHub\eaglep3-reporting\EC\2017-04-04-refined-times.txt</v>
      </c>
      <c r="AI200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{"issue":{"subject":"","project_id":79,"tracker_id":40,"status_id":1,"priority_id":2,"assigned_to_id":23,"start_date":"2017-04-04","description":"","custom_fields":[{"id":1,"name":"Subdivision","value":"NW"},{"id":4,"name":"Milepost","value":"0.0671"},{"id":17,"name":"Train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16"/>
        <v>start /low /b %USERPROFILE%\Documents\GitHub\eaglep3\Utilities\DownloadLogsFromS3.py --loco 4041 --day 2017-04-04</v>
      </c>
      <c r="AN200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795</v>
      </c>
      <c r="B201" s="7">
        <v>4042</v>
      </c>
      <c r="C201" s="21" t="s">
        <v>217</v>
      </c>
      <c r="D201" s="21" t="s">
        <v>1017</v>
      </c>
      <c r="E201" s="13">
        <v>42829.84</v>
      </c>
      <c r="F201" s="13">
        <v>42829.848530092589</v>
      </c>
      <c r="G201" s="7">
        <v>1</v>
      </c>
      <c r="H201" s="21" t="s">
        <v>1010</v>
      </c>
      <c r="I201" s="13">
        <v>42829.857534722221</v>
      </c>
      <c r="J201" s="7">
        <v>0</v>
      </c>
      <c r="K201" s="97" t="str">
        <f>IF(ISEVEN(B201),(B201-1)&amp;"/"&amp;B201,B201&amp;"/"&amp;(B201+1))</f>
        <v>4041/4042</v>
      </c>
      <c r="L201" s="21" t="str">
        <f>VLOOKUP(A201,'Trips&amp;Operators'!$C$1:$G$99999,5,FALSE)</f>
        <v>LEVIN SCOTT</v>
      </c>
      <c r="M201" s="6">
        <f>I201-F201</f>
        <v>9.0046296318178065E-3</v>
      </c>
      <c r="N201" s="7">
        <f>24*60*SUM($M201:$M201)</f>
        <v>12.966666669817641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-04T19:09:36-0600',mode:absolute,to:'2017-04-04T21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183" t="str">
        <f>IF(AA201&lt;IF(AG201="EC",23,5.65),"Y","N")</f>
        <v>N</v>
      </c>
      <c r="X201" s="183">
        <f>VALUE(LEFT(AD201,4))-VALUE(LEFT(AD200,4))</f>
        <v>1</v>
      </c>
      <c r="Y201" s="62">
        <f>RIGHT(D201,LEN(D201)-4)/10000</f>
        <v>9.2200000000000004E-2</v>
      </c>
      <c r="Z201" s="62">
        <f>RIGHT(H201,LEN(H201)-4)/10000</f>
        <v>5.8943000000000003</v>
      </c>
      <c r="AA201" s="62">
        <f>ABS(Z201-Y201)</f>
        <v>5.8021000000000003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0843-04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/stypes="app*4042*20170405*" /stext=" 02:.+((SYSTEM_STATE.+slice.+state.+changed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 t="shared" si="14"/>
        <v>"%USERPROFILE%\Documents\GitHub\eaglep3\Utilities\RefineRTDCRunTimes.py" --tripid 843-04 --locoid 4042 --swversion DE.1.0.9.0 --startMP 204:922 --initTime 2017-04-04T20:09:36 --startdatetime 2017-04-04T20:21:53 --delay 1 --endMP 300:58943 --enddatetime 2017-04-04T20:34:51 --enforcementcount 0 &gt;&gt;C:\Users\stu\Documents\GitHub\eaglep3-reporting\EC\2017-04-04-refined-times.txt</v>
      </c>
      <c r="AI201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ID","value":"843-04"},{"id":16,"name":"Locomotive ID","value":"4042"},{"id":130,"name":"Impact","value":""},{"id":150,"name":"Time of Event (Mountain Time)","value":"20:34:51"},{"id":151,"name":"Denver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16"/>
        <v>start /low /b %USERPROFILE%\Documents\GitHub\eaglep3\Utilities\DownloadLogsFromS3.py --loco 4042 --day 2017-04-04</v>
      </c>
      <c r="AN201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803</v>
      </c>
      <c r="B202" s="7">
        <v>4041</v>
      </c>
      <c r="C202" s="21" t="s">
        <v>217</v>
      </c>
      <c r="D202" s="21" t="s">
        <v>1018</v>
      </c>
      <c r="E202" s="13">
        <v>42829.900856481479</v>
      </c>
      <c r="F202" s="13">
        <v>42829.902349537035</v>
      </c>
      <c r="G202" s="7">
        <v>1</v>
      </c>
      <c r="H202" s="21" t="s">
        <v>577</v>
      </c>
      <c r="I202" s="13">
        <v>42829.913981481484</v>
      </c>
      <c r="J202" s="7">
        <v>0</v>
      </c>
      <c r="K202" s="97" t="str">
        <f>IF(ISEVEN(B202),(B202-1)&amp;"/"&amp;B202,B202&amp;"/"&amp;(B202+1))</f>
        <v>4041/4042</v>
      </c>
      <c r="L202" s="21" t="str">
        <f>VLOOKUP(A202,'Trips&amp;Operators'!$C$1:$G$99999,5,FALSE)</f>
        <v>SWANSON BRYCE</v>
      </c>
      <c r="M202" s="6">
        <f>I202-F202</f>
        <v>1.1631944449618459E-2</v>
      </c>
      <c r="N202" s="7">
        <f>24*60*SUM($M202:$M202)</f>
        <v>16.750000007450581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-04T20:37:14-0600',mode:absolute,to:'2017-04-04T22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183" t="str">
        <f>IF(AA202&lt;IF(AG202="EC",23,5.65),"Y","N")</f>
        <v>N</v>
      </c>
      <c r="X202" s="183">
        <f>VALUE(LEFT(AD202,4))-VALUE(LEFT(AD201,4))</f>
        <v>1</v>
      </c>
      <c r="Y202" s="62">
        <f>RIGHT(D202,LEN(D202)-4)/10000</f>
        <v>5.8609</v>
      </c>
      <c r="Z202" s="62">
        <f>RIGHT(H202,LEN(H202)-4)/10000</f>
        <v>6.9400000000000003E-2</v>
      </c>
      <c r="AA202" s="62">
        <f>ABS(Z202-Y202)</f>
        <v>5.7915000000000001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0844-04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/stypes="app*4041*20170405*" /stext=" 03:.+((SYSTEM_STATE.+slice.+state.+changed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 t="shared" si="14"/>
        <v>"%USERPROFILE%\Documents\GitHub\eaglep3\Utilities\RefineRTDCRunTimes.py" --tripid 844-04 --locoid 4041 --swversion DE.1.0.9.0 --startMP 300:58609 --initTime 2017-04-04T21:37:14 --startdatetime 2017-04-04T21:39:23 --delay 1 --endMP 204:694 --enddatetime 2017-04-04T21:56:08 --enforcementcount 0 &gt;&gt;C:\Users\stu\Documents\GitHub\eaglep3-reporting\EC\2017-04-04-refined-times.txt</v>
      </c>
      <c r="AI202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{"issue":{"subject":"","project_id":79,"tracker_id":40,"status_id":1,"priority_id":2,"assigned_to_id":23,"start_date":"2017-04-04","description":"","custom_fields":[{"id":1,"name":"Subdivision","value":"NW"},{"id":4,"name":"Milepost","value":"0.0694"},{"id":17,"name":"Train ID","value":"844-04"},{"id":16,"name":"Locomotive ID","value":"4041"},{"id":130,"name":"Impact","value":""},{"id":150,"name":"Time of Event (Mountain Time)","value":"21:56:08"},{"id":151,"name":"Denver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16"/>
        <v>start /low /b %USERPROFILE%\Documents\GitHub\eaglep3\Utilities\DownloadLogsFromS3.py --loco 4041 --day 2017-04-04</v>
      </c>
      <c r="AN202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800</v>
      </c>
      <c r="B203" s="7">
        <v>4042</v>
      </c>
      <c r="C203" s="21" t="s">
        <v>217</v>
      </c>
      <c r="D203" s="21" t="s">
        <v>560</v>
      </c>
      <c r="E203" s="13">
        <v>42829.874872685185</v>
      </c>
      <c r="F203" s="13">
        <v>42829.889791666668</v>
      </c>
      <c r="G203" s="7">
        <v>1</v>
      </c>
      <c r="H203" s="21" t="s">
        <v>565</v>
      </c>
      <c r="I203" s="13">
        <v>42829.899826388886</v>
      </c>
      <c r="J203" s="7">
        <v>0</v>
      </c>
      <c r="K203" s="97" t="str">
        <f>IF(ISEVEN(B203),(B203-1)&amp;"/"&amp;B203,B203&amp;"/"&amp;(B203+1))</f>
        <v>4041/4042</v>
      </c>
      <c r="L203" s="21" t="str">
        <f>VLOOKUP(A203,'Trips&amp;Operators'!$C$1:$G$99999,5,FALSE)</f>
        <v>SWANSON BRYCE</v>
      </c>
      <c r="M203" s="6">
        <f>I203-F203</f>
        <v>1.003472221782431E-2</v>
      </c>
      <c r="N203" s="7">
        <f>24*60*SUM($M203:$M203)</f>
        <v>14.449999993667006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-04T19:59:49-0600',mode:absolute,to:'2017-04-04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83" t="str">
        <f>IF(AA203&lt;IF(AG203="EC",23,5.65),"Y","N")</f>
        <v>N</v>
      </c>
      <c r="X203" s="183">
        <f>VALUE(LEFT(AD203,4))-VALUE(LEFT(AD202,4))</f>
        <v>1</v>
      </c>
      <c r="Y203" s="62">
        <f>RIGHT(D203,LEN(D203)-4)/10000</f>
        <v>9.5500000000000002E-2</v>
      </c>
      <c r="Z203" s="62">
        <f>RIGHT(H203,LEN(H203)-4)/10000</f>
        <v>5.8924000000000003</v>
      </c>
      <c r="AA203" s="62">
        <f>ABS(Z203-Y203)</f>
        <v>5.7968999999999999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0845-04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/stypes="app*4042*20170405*" /stext=" 03:.+((SYSTEM_STATE.+slice.+state.+changed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NW</v>
      </c>
      <c r="AH203" s="86" t="str">
        <f t="shared" si="14"/>
        <v>"%USERPROFILE%\Documents\GitHub\eaglep3\Utilities\RefineRTDCRunTimes.py" --tripid 845-04 --locoid 4042 --swversion DE.1.0.9.0 --startMP 204:955 --initTime 2017-04-04T20:59:49 --startdatetime 2017-04-04T21:21:18 --delay 1 --endMP 300:58924 --enddatetime 2017-04-04T21:35:45 --enforcementcount 0 &gt;&gt;C:\Users\stu\Documents\GitHub\eaglep3-reporting\EC\2017-04-04-refined-times.txt</v>
      </c>
      <c r="AI203" s="104" t="str">
        <f t="shared" si="15"/>
        <v>echo {"issue":{"subject":"","project_id":79,"tracker_id":40,"status_id":1,"priority_id":2,"assigned_to_id":23,"start_date":"2017-04-04","description":"","custom_fields":[{"id":1,"name":"Subdivision","value":"NW"},{"id":4,"name":"Milepost","value":"5.8924"},{"id":17,"name":"Train ID","value":"845-04"},{"id":16,"name":"Locomotive ID","value":"4042"},{"id":130,"name":"Impact","value":""},{"id":150,"name":"Time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16"/>
        <v>start /low /b %USERPROFILE%\Documents\GitHub\eaglep3\Utilities\DownloadLogsFromS3.py --loco 4042 --day 2017-04-04</v>
      </c>
      <c r="AN203" s="159" t="str">
        <f t="shared" si="17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806</v>
      </c>
      <c r="B204" s="7">
        <v>4042</v>
      </c>
      <c r="C204" s="21" t="s">
        <v>217</v>
      </c>
      <c r="D204" s="21" t="s">
        <v>567</v>
      </c>
      <c r="E204" s="13">
        <v>42829.915775462963</v>
      </c>
      <c r="F204" s="13">
        <v>42829.931481481479</v>
      </c>
      <c r="G204" s="7">
        <v>1</v>
      </c>
      <c r="H204" s="21" t="s">
        <v>488</v>
      </c>
      <c r="I204" s="13">
        <v>42829.941817129627</v>
      </c>
      <c r="J204" s="7">
        <v>0</v>
      </c>
      <c r="K204" s="97" t="str">
        <f>IF(ISEVEN(B204),(B204-1)&amp;"/"&amp;B204,B204&amp;"/"&amp;(B204+1))</f>
        <v>4041/4042</v>
      </c>
      <c r="L204" s="21" t="str">
        <f>VLOOKUP(A204,'Trips&amp;Operators'!$C$1:$G$99999,5,FALSE)</f>
        <v>SWANSON BRYCE</v>
      </c>
      <c r="M204" s="6">
        <f>I204-F204</f>
        <v>1.0335648148611654E-2</v>
      </c>
      <c r="N204" s="7">
        <f>24*60*SUM($M204:$M204)</f>
        <v>14.883333334000781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-04T20:58:43-0600',mode:absolute,to:'2017-04-04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183" t="str">
        <f>IF(AA204&lt;IF(AG204="EC",23,5.65),"Y","N")</f>
        <v>N</v>
      </c>
      <c r="X204" s="183">
        <f>VALUE(LEFT(AD204,4))-VALUE(LEFT(AD203,4))</f>
        <v>2</v>
      </c>
      <c r="Y204" s="62">
        <f>RIGHT(D204,LEN(D204)-4)/10000</f>
        <v>9.74E-2</v>
      </c>
      <c r="Z204" s="62">
        <f>RIGHT(H204,LEN(H204)-4)/10000</f>
        <v>5.8928000000000003</v>
      </c>
      <c r="AA204" s="62">
        <f>ABS(Z204-Y204)</f>
        <v>5.7953999999999999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0847-04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/stypes="app*4042*20170405*" /stext=" 04:.+((SYSTEM_STATE.+slice.+state.+changed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NW</v>
      </c>
      <c r="AH204" s="86" t="str">
        <f t="shared" ref="AH204:AH256" si="2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847-04 --locoid 4042 --swversion DE.1.0.9.0 --startMP 204:974 --initTime 2017-04-04T21:58:43 --startdatetime 2017-04-04T22:21:20 --delay 1 --endMP 300:58928 --enddatetime 2017-04-04T22:36:13 --enforcementcount 0 &gt;&gt;C:\Users\stu\Documents\GitHub\eaglep3-reporting\EC\2017-04-04-refined-times.txt</v>
      </c>
      <c r="AI204" s="104" t="str">
        <f t="shared" ref="AI204:AI256" si="2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ID","value":"847-04"},{"id":16,"name":"Locomotive ID","value":"4042"},{"id":130,"name":"Impact","value":""},{"id":150,"name":"Time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ref="AM204:AM256" si="22">"start /low /b "&amp;dls3logs&amp;" --loco "&amp;B204&amp;" --day "&amp;TEXT(F204,"YYYY-MM-DD")</f>
        <v>start /low /b %USERPROFILE%\Documents\GitHub\eaglep3\Utilities\DownloadLogsFromS3.py --loco 4042 --day 2017-04-04</v>
      </c>
      <c r="AN204" s="159" t="str">
        <f t="shared" ref="AN204:AN256" si="23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s="20" customFormat="1" x14ac:dyDescent="0.25">
      <c r="A205" s="33" t="s">
        <v>629</v>
      </c>
      <c r="B205" s="7">
        <v>4053</v>
      </c>
      <c r="C205" s="21" t="s">
        <v>217</v>
      </c>
      <c r="D205" s="21" t="s">
        <v>908</v>
      </c>
      <c r="E205" s="13">
        <v>42829.120613425926</v>
      </c>
      <c r="F205" s="13">
        <v>42829.123263888891</v>
      </c>
      <c r="G205" s="7">
        <v>3</v>
      </c>
      <c r="H205" s="21" t="s">
        <v>214</v>
      </c>
      <c r="I205" s="13">
        <v>42829.12840277778</v>
      </c>
      <c r="J205" s="7">
        <v>0</v>
      </c>
      <c r="K205" s="97" t="str">
        <f>IF(ISEVEN(B205),(B205-1)&amp;"/"&amp;B205,B205&amp;"/"&amp;(B205+1))</f>
        <v>4053/4054</v>
      </c>
      <c r="L205" s="21" t="str">
        <f>VLOOKUP(A205,'Trips&amp;Operators'!$C$1:$G$99999,5,FALSE)</f>
        <v>SANTIZO D. EDY</v>
      </c>
      <c r="M205" s="6">
        <f>I205-F205</f>
        <v>5.1388888896326534E-3</v>
      </c>
      <c r="N205" s="7">
        <f>24*60*SUM($M205:$M205)</f>
        <v>7.400000001071021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-04T01:53:41-0600',mode:absolute,to:'2017-04-04T04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3" t="str">
        <f>IF(AA205&lt;IF(AG205="EC",23,5.65),"Y","N")</f>
        <v>Y</v>
      </c>
      <c r="X205" s="183">
        <f>VALUE(LEFT(AD205,4))-VALUE(LEFT(AD204,4))</f>
        <v>-545</v>
      </c>
      <c r="Y205" s="62">
        <f>RIGHT(D205,LEN(D205)-4)/10000</f>
        <v>1.9395</v>
      </c>
      <c r="Z205" s="62">
        <f>RIGHT(H205,LEN(H205)-4)/10000</f>
        <v>1.47E-2</v>
      </c>
      <c r="AA205" s="62">
        <f>ABS(Z205-Y205)</f>
        <v>1.9248000000000001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0302-04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/stypes="app*4053*20170404*" /stext=" 09:.+((SYSTEM_STATE.+slice.+state.+changed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 t="shared" si="20"/>
        <v>"%USERPROFILE%\Documents\GitHub\eaglep3\Utilities\RefineRTDCRunTimes.py" --tripid 302-04 --locoid 4053 --swversion DE.1.0.9.0 --startMP 300:19395 --initTime 2017-04-04T02:53:41 --startdatetime 2017-04-04T02:57:30 --delay 3 --endMP 204:147 --enddatetime 2017-04-04T03:04:54 --enforcementcount 0 &gt;&gt;C:\Users\stu\Documents\GitHub\eaglep3-reporting\EC\2017-04-04-refined-times.txt</v>
      </c>
      <c r="AI205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{"issue":{"subject":"","project_id":79,"tracker_id":40,"status_id":1,"priority_id":2,"assigned_to_id":23,"start_date":"2017-04-04","description":"","custom_fields":[{"id":1,"name":"Subdivision","value":"Other"},{"id":4,"name":"Milepost","value":"0.0147"},{"id":17,"name":"Train ID","value":"302-04"},{"id":16,"name":"Locomotive ID","value":"4053"},{"id":130,"name":"Impact","value":""},{"id":150,"name":"Time of Event (Mountain Time)","value":"03:04:54"},{"id":151,"name":"Denver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8"/>
      <c r="AL205" s="48"/>
      <c r="AM205" s="150" t="str">
        <f t="shared" si="22"/>
        <v>start /low /b %USERPROFILE%\Documents\GitHub\eaglep3\Utilities\DownloadLogsFromS3.py --loco 4053 --day 2017-04-04</v>
      </c>
      <c r="AN205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787</v>
      </c>
      <c r="B206" s="7">
        <v>4008</v>
      </c>
      <c r="C206" s="21" t="s">
        <v>217</v>
      </c>
      <c r="D206" s="21" t="s">
        <v>909</v>
      </c>
      <c r="E206" s="13">
        <v>42829.777627314812</v>
      </c>
      <c r="F206" s="13">
        <v>42829.778958333336</v>
      </c>
      <c r="G206" s="7">
        <v>1</v>
      </c>
      <c r="H206" s="21" t="s">
        <v>443</v>
      </c>
      <c r="I206" s="13">
        <v>42829.787766203706</v>
      </c>
      <c r="J206" s="7">
        <v>0</v>
      </c>
      <c r="K206" s="97" t="str">
        <f>IF(ISEVEN(B206),(B206-1)&amp;"/"&amp;B206,B206&amp;"/"&amp;(B206+1))</f>
        <v>4007/4008</v>
      </c>
      <c r="L206" s="21" t="str">
        <f>VLOOKUP(A206,'Trips&amp;Operators'!$C$1:$G$99999,5,FALSE)</f>
        <v>CLARK KATHLEEN</v>
      </c>
      <c r="M206" s="6">
        <f>I206-F206</f>
        <v>8.8078703702194616E-3</v>
      </c>
      <c r="N206" s="7">
        <f>24*60*SUM($M206:$M206)</f>
        <v>12.683333333116025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-04T17:39:47-0600',mode:absolute,to:'2017-04-04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83" t="str">
        <f>IF(AA206&lt;IF(AG206="EC",23,5.65),"Y","N")</f>
        <v>Y</v>
      </c>
      <c r="X206" s="183">
        <f>VALUE(LEFT(AD206,4))-VALUE(LEFT(AD205,4))</f>
        <v>1</v>
      </c>
      <c r="Y206" s="62">
        <f>RIGHT(D206,LEN(D206)-4)/10000</f>
        <v>4.9700000000000001E-2</v>
      </c>
      <c r="Z206" s="62">
        <f>RIGHT(H206,LEN(H206)-4)/10000</f>
        <v>2.3346</v>
      </c>
      <c r="AA206" s="62">
        <f>ABS(Z206-Y206)</f>
        <v>2.2848999999999999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0303-04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/stypes="app*4008*20170405*" /stext=" 00:.+((SYSTEM_STATE.+slice.+state.+changed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si="20"/>
        <v>"%USERPROFILE%\Documents\GitHub\eaglep3\Utilities\RefineRTDCRunTimes.py" --tripid 303-04 --locoid 4008 --swversion DE.1.0.9.0 --startMP 204:497 --initTime 2017-04-04T18:39:47 --startdatetime 2017-04-04T18:41:42 --delay 1 --endMP 300:23346 --enddatetime 2017-04-04T18:54:23 --enforcementcount 0 &gt;&gt;C:\Users\stu\Documents\GitHub\eaglep3-reporting\EC\2017-04-04-refined-times.txt</v>
      </c>
      <c r="AI206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ID","value":"303-04"},{"id":16,"name":"Locomotive ID","value":"4008"},{"id":130,"name":"Impact","value":""},{"id":150,"name":"Time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22"/>
        <v>start /low /b %USERPROFILE%\Documents\GitHub\eaglep3\Utilities\DownloadLogsFromS3.py --loco 4008 --day 2017-04-04</v>
      </c>
      <c r="AN206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631</v>
      </c>
      <c r="B207" s="7">
        <v>4031</v>
      </c>
      <c r="C207" s="21" t="s">
        <v>217</v>
      </c>
      <c r="D207" s="21" t="s">
        <v>910</v>
      </c>
      <c r="E207" s="13">
        <v>42829.13795138889</v>
      </c>
      <c r="F207" s="13">
        <v>42829.141087962962</v>
      </c>
      <c r="G207" s="7">
        <v>4</v>
      </c>
      <c r="H207" s="21" t="s">
        <v>199</v>
      </c>
      <c r="I207" s="13">
        <v>42829.146331018521</v>
      </c>
      <c r="J207" s="7">
        <v>0</v>
      </c>
      <c r="K207" s="97" t="str">
        <f>IF(ISEVEN(B207),(B207-1)&amp;"/"&amp;B207,B207&amp;"/"&amp;(B207+1))</f>
        <v>4031/4032</v>
      </c>
      <c r="L207" s="21" t="str">
        <f>VLOOKUP(A207,'Trips&amp;Operators'!$C$1:$G$99999,5,FALSE)</f>
        <v>MAELZER KURT</v>
      </c>
      <c r="M207" s="6">
        <f>I207-F207</f>
        <v>5.2430555588216521E-3</v>
      </c>
      <c r="N207" s="7">
        <f>24*60*SUM($M207:$M207)</f>
        <v>7.550000004703179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-04T02:18:39-0600',mode:absolute,to:'2017-04-04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83" t="str">
        <f>IF(AA207&lt;IF(AG207="EC",23,5.65),"Y","N")</f>
        <v>Y</v>
      </c>
      <c r="X207" s="183">
        <f>VALUE(LEFT(AD207,4))-VALUE(LEFT(AD206,4))</f>
        <v>1</v>
      </c>
      <c r="Y207" s="62">
        <f>RIGHT(D207,LEN(D207)-4)/10000</f>
        <v>2.1825000000000001</v>
      </c>
      <c r="Z207" s="62">
        <f>RIGHT(H207,LEN(H207)-4)/10000</f>
        <v>1.52E-2</v>
      </c>
      <c r="AA207" s="62">
        <f>ABS(Z207-Y207)</f>
        <v>2.1673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0304-04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/stypes="app*4031*20170404*" /stext=" 09:.+((SYSTEM_STATE.+slice.+state.+changed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20"/>
        <v>"%USERPROFILE%\Documents\GitHub\eaglep3\Utilities\RefineRTDCRunTimes.py" --tripid 304-04 --locoid 4031 --swversion DE.1.0.9.0 --startMP 300:21825 --initTime 2017-04-04T03:18:39 --startdatetime 2017-04-04T03:23:10 --delay 4 --endMP 204:152 --enddatetime 2017-04-04T03:30:43 --enforcementcount 0 &gt;&gt;C:\Users\stu\Documents\GitHub\eaglep3-reporting\EC\2017-04-04-refined-times.txt</v>
      </c>
      <c r="AI207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{"issue":{"subject":"","project_id":79,"tracker_id":40,"status_id":1,"priority_id":2,"assigned_to_id":23,"start_date":"2017-04-04","description":"","custom_fields":[{"id":1,"name":"Subdivision","value":"Other"},{"id":4,"name":"Milepost","value":"0.0152"},{"id":17,"name":"Train ID","value":"304-04"},{"id":16,"name":"Locomotive ID","value":"4031"},{"id":130,"name":"Impact","value":""},{"id":150,"name":"Time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22"/>
        <v>start /low /b %USERPROFILE%\Documents\GitHub\eaglep3\Utilities\DownloadLogsFromS3.py --loco 4031 --day 2017-04-04</v>
      </c>
      <c r="AN207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620</v>
      </c>
      <c r="B208" s="7">
        <v>4054</v>
      </c>
      <c r="C208" s="21" t="s">
        <v>217</v>
      </c>
      <c r="D208" s="21" t="s">
        <v>542</v>
      </c>
      <c r="E208" s="13">
        <v>42829.796215277776</v>
      </c>
      <c r="F208" s="13">
        <v>42829.797766203701</v>
      </c>
      <c r="G208" s="7">
        <v>1</v>
      </c>
      <c r="H208" s="21" t="s">
        <v>493</v>
      </c>
      <c r="I208" s="13">
        <v>42829.804305555554</v>
      </c>
      <c r="J208" s="7">
        <v>0</v>
      </c>
      <c r="K208" s="97" t="str">
        <f>IF(ISEVEN(B208),(B208-1)&amp;"/"&amp;B208,B208&amp;"/"&amp;(B208+1))</f>
        <v>4053/4054</v>
      </c>
      <c r="L208" s="21" t="str">
        <f>VLOOKUP(A208,'Trips&amp;Operators'!$C$1:$G$99999,5,FALSE)</f>
        <v>LOCKLEAR TRAVIS</v>
      </c>
      <c r="M208" s="6">
        <f>I208-F208</f>
        <v>6.5393518525524996E-3</v>
      </c>
      <c r="N208" s="7">
        <f>24*60*SUM($M208:$M208)</f>
        <v>9.4166666676755995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83" t="str">
        <f>IF(AA208&lt;IF(AG208="EC",23,5.65),"Y","N")</f>
        <v>Y</v>
      </c>
      <c r="X208" s="183">
        <f>VALUE(LEFT(AD208,4))-VALUE(LEFT(AD207,4))</f>
        <v>1</v>
      </c>
      <c r="Y208" s="62">
        <f>RIGHT(D208,LEN(D208)-4)/10000</f>
        <v>4.8599999999999997E-2</v>
      </c>
      <c r="Z208" s="62">
        <f>RIGHT(H208,LEN(H208)-4)/10000</f>
        <v>2.3306</v>
      </c>
      <c r="AA208" s="62">
        <f>ABS(Z208-Y208)</f>
        <v>2.282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0305-04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/stypes="app*4054*20170405*" /stext=" 01:.+((SYSTEM_STATE.+slice.+state.+changed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si="20"/>
        <v>"%USERPROFILE%\Documents\GitHub\eaglep3\Utilities\RefineRTDCRunTimes.py" --tripid 305-04 --locoid 4054 --swversion DE.1.0.9.0 --startMP 204:486 --initTime 2017-04-04T19:06:33 --startdatetime 2017-04-04T19:08:47 --delay 1 --endMP 300:23306 --enddatetime 2017-04-04T19:18:12 --enforcementcount 0 &gt;&gt;C:\Users\stu\Documents\GitHub\eaglep3-reporting\EC\2017-04-04-refined-times.txt</v>
      </c>
      <c r="AI208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ID","value":"305-04"},{"id":16,"name":"Locomotive ID","value":"4054"},{"id":130,"name":"Impact","value":""},{"id":150,"name":"Time of Event (Mountain Time)","value":"19:18:12"},{"id":151,"name":"Denver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22"/>
        <v>start /low /b %USERPROFILE%\Documents\GitHub\eaglep3\Utilities\DownloadLogsFromS3.py --loco 4054 --day 2017-04-04</v>
      </c>
      <c r="AN208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01:18:12"},{"id":29,"name":"Sharepoint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584</v>
      </c>
      <c r="B209" s="7">
        <v>4009</v>
      </c>
      <c r="C209" s="21" t="s">
        <v>217</v>
      </c>
      <c r="D209" s="21" t="s">
        <v>911</v>
      </c>
      <c r="E209" s="13">
        <v>42829.164768518516</v>
      </c>
      <c r="F209" s="13">
        <v>42829.16741898148</v>
      </c>
      <c r="G209" s="7">
        <v>3</v>
      </c>
      <c r="H209" s="21" t="s">
        <v>912</v>
      </c>
      <c r="I209" s="13">
        <v>42829.173993055556</v>
      </c>
      <c r="J209" s="7">
        <v>0</v>
      </c>
      <c r="K209" s="97" t="str">
        <f>IF(ISEVEN(B209),(B209-1)&amp;"/"&amp;B209,B209&amp;"/"&amp;(B209+1))</f>
        <v>4009/4010</v>
      </c>
      <c r="L209" s="21" t="str">
        <f>VLOOKUP(A209,'Trips&amp;Operators'!$C$1:$G$99999,5,FALSE)</f>
        <v>STARKS ANGELINA</v>
      </c>
      <c r="M209" s="6">
        <f>I209-F209</f>
        <v>6.5740740756154992E-3</v>
      </c>
      <c r="N209" s="7">
        <f>24*60*SUM($M209:$M209)</f>
        <v>9.4666666688863188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83" t="str">
        <f>IF(AA209&lt;IF(AG209="EC",23,5.65),"Y","N")</f>
        <v>Y</v>
      </c>
      <c r="X209" s="183">
        <f>VALUE(LEFT(AD209,4))-VALUE(LEFT(AD208,4))</f>
        <v>1</v>
      </c>
      <c r="Y209" s="62">
        <f>RIGHT(D209,LEN(D209)-4)/10000</f>
        <v>2.2919</v>
      </c>
      <c r="Z209" s="62">
        <f>RIGHT(H209,LEN(H209)-4)/10000</f>
        <v>0.45019999999999999</v>
      </c>
      <c r="AA209" s="62">
        <f>ABS(Z209-Y209)</f>
        <v>1.8417000000000001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0306-04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/stypes="app*4009*20170404*" /stext=" 10:.+((SYSTEM_STATE.+slice.+state.+changed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20"/>
        <v>"%USERPROFILE%\Documents\GitHub\eaglep3\Utilities\RefineRTDCRunTimes.py" --tripid 306-04 --locoid 4009 --swversion DE.1.0.9.0 --startMP 300:22919 --initTime 2017-04-04T03:57:16 --startdatetime 2017-04-04T04:01:05 --delay 3 --endMP 204:4502 --enddatetime 2017-04-04T04:10:33 --enforcementcount 0 &gt;&gt;C:\Users\stu\Documents\GitHub\eaglep3-reporting\EC\2017-04-04-refined-times.txt</v>
      </c>
      <c r="AI209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{"issue":{"subject":"","project_id":79,"tracker_id":40,"status_id":1,"priority_id":2,"assigned_to_id":23,"start_date":"2017-04-04","description":"","custom_fields":[{"id":1,"name":"Subdivision","value":"Other"},{"id":4,"name":"Milepost","value":"0.4502"},{"id":17,"name":"Train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22"/>
        <v>start /low /b %USERPROFILE%\Documents\GitHub\eaglep3\Utilities\DownloadLogsFromS3.py --loco 4009 --day 2017-04-04</v>
      </c>
      <c r="AN209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622</v>
      </c>
      <c r="B210" s="7">
        <v>4032</v>
      </c>
      <c r="C210" s="21" t="s">
        <v>217</v>
      </c>
      <c r="D210" s="21" t="s">
        <v>208</v>
      </c>
      <c r="E210" s="13">
        <v>42829.81894675926</v>
      </c>
      <c r="F210" s="13">
        <v>42829.820543981485</v>
      </c>
      <c r="G210" s="7">
        <v>1</v>
      </c>
      <c r="H210" s="21" t="s">
        <v>443</v>
      </c>
      <c r="I210" s="13">
        <v>42829.828263888892</v>
      </c>
      <c r="J210" s="7">
        <v>0</v>
      </c>
      <c r="K210" s="97" t="str">
        <f>IF(ISEVEN(B210),(B210-1)&amp;"/"&amp;B210,B210&amp;"/"&amp;(B210+1))</f>
        <v>4031/4032</v>
      </c>
      <c r="L210" s="21" t="str">
        <f>VLOOKUP(A210,'Trips&amp;Operators'!$C$1:$G$99999,5,FALSE)</f>
        <v>STRICKLAND EVAN</v>
      </c>
      <c r="M210" s="6">
        <f>I210-F210</f>
        <v>7.7199074075906537E-3</v>
      </c>
      <c r="N210" s="7">
        <f>24*60*SUM($M210:$M210)</f>
        <v>11.116666666930541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83" t="str">
        <f>IF(AA210&lt;IF(AG210="EC",23,5.65),"Y","N")</f>
        <v>Y</v>
      </c>
      <c r="X210" s="183">
        <f>VALUE(LEFT(AD210,4))-VALUE(LEFT(AD209,4))</f>
        <v>1</v>
      </c>
      <c r="Y210" s="62">
        <f>RIGHT(D210,LEN(D210)-4)/10000</f>
        <v>4.5999999999999999E-2</v>
      </c>
      <c r="Z210" s="62">
        <f>RIGHT(H210,LEN(H210)-4)/10000</f>
        <v>2.3346</v>
      </c>
      <c r="AA210" s="62">
        <f>ABS(Z210-Y210)</f>
        <v>2.2886000000000002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0307-04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/stypes="app*4032*20170405*" /stext=" 01:.+((SYSTEM_STATE.+slice.+state.+changed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20"/>
        <v>"%USERPROFILE%\Documents\GitHub\eaglep3\Utilities\RefineRTDCRunTimes.py" --tripid 307-04 --locoid 4032 --swversion DE.1.0.9.0 --startMP 204:460 --initTime 2017-04-04T19:39:17 --startdatetime 2017-04-04T19:41:35 --delay 1 --endMP 300:23346 --enddatetime 2017-04-04T19:52:42 --enforcementcount 0 &gt;&gt;C:\Users\stu\Documents\GitHub\eaglep3-reporting\EC\2017-04-04-refined-times.txt</v>
      </c>
      <c r="AI210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ID","value":"307-04"},{"id":16,"name":"Locomotive ID","value":"4032"},{"id":130,"name":"Impact","value":""},{"id":150,"name":"Time of Event (Mountain Time)","value":"19:52:42"},{"id":151,"name":"Denver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22"/>
        <v>start /low /b %USERPROFILE%\Documents\GitHub\eaglep3\Utilities\DownloadLogsFromS3.py --loco 4032 --day 2017-04-04</v>
      </c>
      <c r="AN210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634</v>
      </c>
      <c r="B211" s="7">
        <v>4045</v>
      </c>
      <c r="C211" s="21" t="s">
        <v>217</v>
      </c>
      <c r="D211" s="21" t="s">
        <v>913</v>
      </c>
      <c r="E211" s="13">
        <v>42829.170555555553</v>
      </c>
      <c r="F211" s="13">
        <v>42829.172777777778</v>
      </c>
      <c r="G211" s="7">
        <v>3</v>
      </c>
      <c r="H211" s="21" t="s">
        <v>419</v>
      </c>
      <c r="I211" s="13">
        <v>42829.178796296299</v>
      </c>
      <c r="J211" s="7">
        <v>0</v>
      </c>
      <c r="K211" s="97" t="str">
        <f>IF(ISEVEN(B211),(B211-1)&amp;"/"&amp;B211,B211&amp;"/"&amp;(B211+1))</f>
        <v>4045/4046</v>
      </c>
      <c r="L211" s="21" t="str">
        <f>VLOOKUP(A211,'Trips&amp;Operators'!$C$1:$G$99999,5,FALSE)</f>
        <v>FORTUNATO FRANK</v>
      </c>
      <c r="M211" s="6">
        <f>I211-F211</f>
        <v>6.0185185211594217E-3</v>
      </c>
      <c r="N211" s="7">
        <f>24*60*SUM($M211:$M211)</f>
        <v>8.6666666704695672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-04T03:05:36-0600',mode:absolute,to:'2017-04-04T05:17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183" t="str">
        <f>IF(AA211&lt;IF(AG211="EC",23,5.65),"Y","N")</f>
        <v>Y</v>
      </c>
      <c r="X211" s="183">
        <f>VALUE(LEFT(AD211,4))-VALUE(LEFT(AD210,4))</f>
        <v>1</v>
      </c>
      <c r="Y211" s="62">
        <f>RIGHT(D211,LEN(D211)-4)/10000</f>
        <v>2.3555000000000001</v>
      </c>
      <c r="Z211" s="62">
        <f>RIGHT(H211,LEN(H211)-4)/10000</f>
        <v>1.38E-2</v>
      </c>
      <c r="AA211" s="62">
        <f>ABS(Z211-Y211)</f>
        <v>2.3417000000000003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0308-04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/stypes="app*4045*20170404*" /stext=" 10:.+((SYSTEM_STATE.+slice.+state.+changed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20"/>
        <v>"%USERPROFILE%\Documents\GitHub\eaglep3\Utilities\RefineRTDCRunTimes.py" --tripid 308-04 --locoid 4045 --swversion DE.1.0.9.0 --startMP 300:23555 --initTime 2017-04-04T04:05:36 --startdatetime 2017-04-04T04:08:48 --delay 3 --endMP 204:138 --enddatetime 2017-04-04T04:17:28 --enforcementcount 0 &gt;&gt;C:\Users\stu\Documents\GitHub\eaglep3-reporting\EC\2017-04-04-refined-times.txt</v>
      </c>
      <c r="AI211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{"issue":{"subject":"","project_id":79,"tracker_id":40,"status_id":1,"priority_id":2,"assigned_to_id":23,"start_date":"2017-04-04","description":"","custom_fields":[{"id":1,"name":"Subdivision","value":"Other"},{"id":4,"name":"Milepost","value":"0.0138"},{"id":17,"name":"Train ID","value":"308-04"},{"id":16,"name":"Locomotive ID","value":"4045"},{"id":130,"name":"Impact","value":""},{"id":150,"name":"Time of Event (Mountain Time)","value":"04:17:28"},{"id":151,"name":"Denver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22"/>
        <v>start /low /b %USERPROFILE%\Documents\GitHub\eaglep3\Utilities\DownloadLogsFromS3.py --loco 4045 --day 2017-04-04</v>
      </c>
      <c r="AN211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820</v>
      </c>
      <c r="B212" s="7">
        <v>4004</v>
      </c>
      <c r="C212" s="21" t="s">
        <v>217</v>
      </c>
      <c r="D212" s="21" t="s">
        <v>424</v>
      </c>
      <c r="E212" s="13">
        <v>42830.048506944448</v>
      </c>
      <c r="F212" s="13">
        <v>42830.050543981481</v>
      </c>
      <c r="G212" s="7">
        <v>1</v>
      </c>
      <c r="H212" s="21" t="s">
        <v>914</v>
      </c>
      <c r="I212" s="13">
        <v>42830.055937500001</v>
      </c>
      <c r="J212" s="7">
        <v>0</v>
      </c>
      <c r="K212" s="97" t="str">
        <f>IF(ISEVEN(B212),(B212-1)&amp;"/"&amp;B212,B212&amp;"/"&amp;(B212+1))</f>
        <v>4003/4004</v>
      </c>
      <c r="L212" s="21" t="str">
        <f>VLOOKUP(A212,'Trips&amp;Operators'!$C$1:$G$99999,5,FALSE)</f>
        <v>NEWELL JAMES</v>
      </c>
      <c r="M212" s="6">
        <f>I212-F212</f>
        <v>5.393518520577345E-3</v>
      </c>
      <c r="N212" s="7">
        <f>24*60*SUM($M212:$M212)</f>
        <v>7.7666666696313769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-05T00:09:51-0600',mode:absolute,to:'2017-04-05T02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183" t="str">
        <f>IF(AA212&lt;IF(AG212="EC",23,5.65),"Y","N")</f>
        <v>Y</v>
      </c>
      <c r="X212" s="183">
        <f>VALUE(LEFT(AD212,4))-VALUE(LEFT(AD211,4))</f>
        <v>1</v>
      </c>
      <c r="Y212" s="62">
        <f>RIGHT(D212,LEN(D212)-4)/10000</f>
        <v>4.4699999999999997E-2</v>
      </c>
      <c r="Z212" s="62">
        <f>RIGHT(H212,LEN(H212)-4)/10000</f>
        <v>2.3176000000000001</v>
      </c>
      <c r="AA212" s="62">
        <f>ABS(Z212-Y212)</f>
        <v>2.2728999999999999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0309-04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 &amp; 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/stypes="app*4004*20170405*" /stext=" 07:.+((SYSTEM_STATE.+slice.+state.+changed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20"/>
        <v>"%USERPROFILE%\Documents\GitHub\eaglep3\Utilities\RefineRTDCRunTimes.py" --tripid 309-04 --locoid 4004 --swversion DE.1.0.9.0 --startMP 204:447 --initTime 2017-04-05T01:09:51 --startdatetime 2017-04-05T01:12:47 --delay 1 --endMP 300:23176 --enddatetime 2017-04-05T01:20:33 --enforcementcount 0 &gt;&gt;C:\Users\stu\Documents\GitHub\eaglep3-reporting\EC\2017-04-04-refined-times.txt</v>
      </c>
      <c r="AI212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{"issue":{"subject":"","project_id":79,"tracker_id":40,"status_id":1,"priority_id":2,"assigned_to_id":23,"start_date":"2017-04-05","description":"","custom_fields":[{"id":1,"name":"Subdivision","value":"Other"},{"id":4,"name":"Milepost","value":"2.3176"},{"id":17,"name":"Train ID","value":"309-04"},{"id":16,"name":"Locomotive ID","value":"4004"},{"id":130,"name":"Impact","value":""},{"id":150,"name":"Time of Event (Mountain Time)","value":"01:20:33"},{"id":151,"name":"Denver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22"/>
        <v>start /low /b %USERPROFILE%\Documents\GitHub\eaglep3\Utilities\DownloadLogsFromS3.py --loco 4004 --day 2017-04-05</v>
      </c>
      <c r="AN212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635</v>
      </c>
      <c r="B213" s="7">
        <v>4007</v>
      </c>
      <c r="C213" s="21" t="s">
        <v>217</v>
      </c>
      <c r="D213" s="21" t="s">
        <v>915</v>
      </c>
      <c r="E213" s="13">
        <v>42829.179293981484</v>
      </c>
      <c r="F213" s="13">
        <v>42829.181481481479</v>
      </c>
      <c r="G213" s="7">
        <v>3</v>
      </c>
      <c r="H213" s="21" t="s">
        <v>184</v>
      </c>
      <c r="I213" s="13">
        <v>42829.190972222219</v>
      </c>
      <c r="J213" s="7">
        <v>0</v>
      </c>
      <c r="K213" s="97" t="str">
        <f>IF(ISEVEN(B213),(B213-1)&amp;"/"&amp;B213,B213&amp;"/"&amp;(B213+1))</f>
        <v>4007/4008</v>
      </c>
      <c r="L213" s="21" t="str">
        <f>VLOOKUP(A213,'Trips&amp;Operators'!$C$1:$G$99999,5,FALSE)</f>
        <v>DAVIS WENDY</v>
      </c>
      <c r="M213" s="6">
        <f>I213-F213</f>
        <v>9.4907407401478849E-3</v>
      </c>
      <c r="N213" s="7">
        <f>24*60*SUM($M213:$M213)</f>
        <v>13.666666665812954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-04T03:18:11-0600',mode:absolute,to:'2017-04-04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83" t="str">
        <f>IF(AA213&lt;IF(AG213="EC",23,5.65),"Y","N")</f>
        <v>Y</v>
      </c>
      <c r="X213" s="183">
        <f>VALUE(LEFT(AD213,4))-VALUE(LEFT(AD212,4))</f>
        <v>1</v>
      </c>
      <c r="Y213" s="62">
        <f>RIGHT(D213,LEN(D213)-4)/10000</f>
        <v>2.3658000000000001</v>
      </c>
      <c r="Z213" s="62">
        <f>RIGHT(H213,LEN(H213)-4)/10000</f>
        <v>1.49E-2</v>
      </c>
      <c r="AA213" s="62">
        <f>ABS(Z213-Y213)</f>
        <v>2.3509000000000002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0310-04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/stypes="app*4007*20170404*" /stext=" 10:.+((SYSTEM_STATE.+slice.+state.+changed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20"/>
        <v>"%USERPROFILE%\Documents\GitHub\eaglep3\Utilities\RefineRTDCRunTimes.py" --tripid 310-04 --locoid 4007 --swversion DE.1.0.9.0 --startMP 300:23658 --initTime 2017-04-04T04:18:11 --startdatetime 2017-04-04T04:21:20 --delay 3 --endMP 204:149 --enddatetime 2017-04-04T04:35:00 --enforcementcount 0 &gt;&gt;C:\Users\stu\Documents\GitHub\eaglep3-reporting\EC\2017-04-04-refined-times.txt</v>
      </c>
      <c r="AI213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{"issue":{"subject":"","project_id":79,"tracker_id":40,"status_id":1,"priority_id":2,"assigned_to_id":23,"start_date":"2017-04-04","description":"","custom_fields":[{"id":1,"name":"Subdivision","value":"Other"},{"id":4,"name":"Milepost","value":"0.0149"},{"id":17,"name":"Train ID","value":"310-04"},{"id":16,"name":"Locomotive ID","value":"4007"},{"id":130,"name":"Impact","value":""},{"id":150,"name":"Time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22"/>
        <v>start /low /b %USERPROFILE%\Documents\GitHub\eaglep3\Utilities\DownloadLogsFromS3.py --loco 4007 --day 2017-04-04</v>
      </c>
      <c r="AN213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523</v>
      </c>
      <c r="B214" s="7">
        <v>4028</v>
      </c>
      <c r="C214" s="21" t="s">
        <v>217</v>
      </c>
      <c r="D214" s="21" t="s">
        <v>435</v>
      </c>
      <c r="E214" s="13">
        <v>42829.072581018518</v>
      </c>
      <c r="F214" s="13">
        <v>42829.074074074073</v>
      </c>
      <c r="G214" s="7">
        <v>1</v>
      </c>
      <c r="H214" s="21" t="s">
        <v>493</v>
      </c>
      <c r="I214" s="13">
        <v>42829.081018518518</v>
      </c>
      <c r="J214" s="7">
        <v>0</v>
      </c>
      <c r="K214" s="97" t="str">
        <f>IF(ISEVEN(B214),(B214-1)&amp;"/"&amp;B214,B214&amp;"/"&amp;(B214+1))</f>
        <v>4027/4028</v>
      </c>
      <c r="L214" s="21" t="str">
        <f>VLOOKUP(A214,'Trips&amp;Operators'!$C$1:$G$99999,5,FALSE)</f>
        <v>GUZMAN DANNY</v>
      </c>
      <c r="M214" s="6">
        <f>I214-F214</f>
        <v>6.9444444452528842E-3</v>
      </c>
      <c r="N214" s="7">
        <f>24*60*SUM($M214:$M214)</f>
        <v>10.000000001164153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-04T00:44:31-0600',mode:absolute,to:'2017-04-04T02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3" t="str">
        <f>IF(AA214&lt;IF(AG214="EC",23,5.65),"Y","N")</f>
        <v>Y</v>
      </c>
      <c r="X214" s="183">
        <f>VALUE(LEFT(AD214,4))-VALUE(LEFT(AD213,4))</f>
        <v>1</v>
      </c>
      <c r="Y214" s="62">
        <f>RIGHT(D214,LEN(D214)-4)/10000</f>
        <v>4.6199999999999998E-2</v>
      </c>
      <c r="Z214" s="62">
        <f>RIGHT(H214,LEN(H214)-4)/10000</f>
        <v>2.3306</v>
      </c>
      <c r="AA214" s="62">
        <f>ABS(Z214-Y214)</f>
        <v>2.2844000000000002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0311-03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/stypes="app*4028*20170404*" /stext=" 07:.+((SYSTEM_STATE.+slice.+state.+changed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20"/>
        <v>"%USERPROFILE%\Documents\GitHub\eaglep3\Utilities\RefineRTDCRunTimes.py" --tripid 311-03 --locoid 4028 --swversion DE.1.0.9.0 --startMP 204:462 --initTime 2017-04-04T01:44:31 --startdatetime 2017-04-04T01:46:40 --delay 1 --endMP 300:23306 --enddatetime 2017-04-04T01:56:40 --enforcementcount 0 &gt;&gt;C:\Users\stu\Documents\GitHub\eaglep3-reporting\EC\2017-04-04-refined-times.txt</v>
      </c>
      <c r="AI214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ID","value":"311-03"},{"id":16,"name":"Locomotive ID","value":"4028"},{"id":130,"name":"Impact","value":""},{"id":150,"name":"Time of Event (Mountain Time)","value":"01:56:40"},{"id":151,"name":"Denver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22"/>
        <v>start /low /b %USERPROFILE%\Documents\GitHub\eaglep3\Utilities\DownloadLogsFromS3.py --loco 4028 --day 2017-04-04</v>
      </c>
      <c r="AN214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821</v>
      </c>
      <c r="B215" s="7">
        <v>4010</v>
      </c>
      <c r="C215" s="21" t="s">
        <v>217</v>
      </c>
      <c r="D215" s="21" t="s">
        <v>916</v>
      </c>
      <c r="E215" s="13">
        <v>42830.06863425926</v>
      </c>
      <c r="F215" s="13">
        <v>42830.071666666663</v>
      </c>
      <c r="G215" s="7">
        <v>1</v>
      </c>
      <c r="H215" s="21" t="s">
        <v>494</v>
      </c>
      <c r="I215" s="13">
        <v>42830.080833333333</v>
      </c>
      <c r="J215" s="7">
        <v>0</v>
      </c>
      <c r="K215" s="97" t="str">
        <f>IF(ISEVEN(B215),(B215-1)&amp;"/"&amp;B215,B215&amp;"/"&amp;(B215+1))</f>
        <v>4009/4010</v>
      </c>
      <c r="L215" s="21" t="str">
        <f>VLOOKUP(A215,'Trips&amp;Operators'!$C$1:$G$99999,5,FALSE)</f>
        <v>STORY SAMANTHA</v>
      </c>
      <c r="M215" s="6">
        <f>I215-F215</f>
        <v>9.1666666703531519E-3</v>
      </c>
      <c r="N215" s="7">
        <f>24*60*SUM($M215:$M215)</f>
        <v>13.200000005308539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-05T00:38:50-0600',mode:absolute,to:'2017-04-05T02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83" t="str">
        <f>IF(AA215&lt;IF(AG215="EC",23,5.65),"Y","N")</f>
        <v>Y</v>
      </c>
      <c r="X215" s="183">
        <f>VALUE(LEFT(AD215,4))-VALUE(LEFT(AD214,4))</f>
        <v>0</v>
      </c>
      <c r="Y215" s="62">
        <f>RIGHT(D215,LEN(D215)-4)/10000</f>
        <v>5.5100000000000003E-2</v>
      </c>
      <c r="Z215" s="62">
        <f>RIGHT(H215,LEN(H215)-4)/10000</f>
        <v>2.3302</v>
      </c>
      <c r="AA215" s="62">
        <f>ABS(Z215-Y215)</f>
        <v>2.2751000000000001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0311-04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/stypes="app*4010*20170405*" /stext=" 07:.+((SYSTEM_STATE.+slice.+state.+changed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20"/>
        <v>"%USERPROFILE%\Documents\GitHub\eaglep3\Utilities\RefineRTDCRunTimes.py" --tripid 311-04 --locoid 4010 --swversion DE.1.0.9.0 --startMP 204:551 --initTime 2017-04-05T01:38:50 --startdatetime 2017-04-05T01:43:12 --delay 1 --endMP 300:23302 --enddatetime 2017-04-05T01:56:24 --enforcementcount 0 &gt;&gt;C:\Users\stu\Documents\GitHub\eaglep3-reporting\EC\2017-04-04-refined-times.txt</v>
      </c>
      <c r="AI215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{"issue":{"subject":"","project_id":79,"tracker_id":40,"status_id":1,"priority_id":2,"assigned_to_id":23,"start_date":"2017-04-05","description":"","custom_fields":[{"id":1,"name":"Subdivision","value":"Other"},{"id":4,"name":"Milepost","value":"2.3302"},{"id":17,"name":"Train ID","value":"311-04"},{"id":16,"name":"Locomotive ID","value":"4010"},{"id":130,"name":"Impact","value":""},{"id":150,"name":"Time of Event (Mountain Time)","value":"01:56:24"},{"id":151,"name":"Denver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22"/>
        <v>start /low /b %USERPROFILE%\Documents\GitHub\eaglep3\Utilities\DownloadLogsFromS3.py --loco 4010 --day 2017-04-05</v>
      </c>
      <c r="AN215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524</v>
      </c>
      <c r="B216" s="7">
        <v>4018</v>
      </c>
      <c r="C216" s="21" t="s">
        <v>217</v>
      </c>
      <c r="D216" s="21" t="s">
        <v>207</v>
      </c>
      <c r="E216" s="13">
        <v>42829.089861111112</v>
      </c>
      <c r="F216" s="13">
        <v>42829.090914351851</v>
      </c>
      <c r="G216" s="7">
        <v>1</v>
      </c>
      <c r="H216" s="21" t="s">
        <v>553</v>
      </c>
      <c r="I216" s="13">
        <v>42829.099861111114</v>
      </c>
      <c r="J216" s="7">
        <v>0</v>
      </c>
      <c r="K216" s="97" t="str">
        <f>IF(ISEVEN(B216),(B216-1)&amp;"/"&amp;B216,B216&amp;"/"&amp;(B216+1))</f>
        <v>4017/4018</v>
      </c>
      <c r="L216" s="21" t="str">
        <f>VLOOKUP(A216,'Trips&amp;Operators'!$C$1:$G$99999,5,FALSE)</f>
        <v>STORY SAMANTHA</v>
      </c>
      <c r="M216" s="6">
        <f>I216-F216</f>
        <v>8.9467592624714598E-3</v>
      </c>
      <c r="N216" s="7">
        <f>24*60*SUM($M216:$M216)</f>
        <v>12.883333337958902</v>
      </c>
      <c r="O216" s="7"/>
      <c r="P216" s="7"/>
      <c r="Q216" s="22"/>
      <c r="R216" s="22"/>
      <c r="S216" s="31">
        <f>SUM(U216:U216)/IF(AG216="EC",12,1)</f>
        <v>1</v>
      </c>
      <c r="T216" s="46" t="str">
        <f>IF(ISEVEN(LEFT(AD216,4)),"Southbound","NorthBound")</f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-04T01:09:24-0600',mode:absolute,to:'2017-04-04T03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3" t="str">
        <f>IF(AA216&lt;IF(AG216="EC",23,5.65),"Y","N")</f>
        <v>Y</v>
      </c>
      <c r="X216" s="183">
        <f>VALUE(LEFT(AD216,4))-VALUE(LEFT(AD215,4))</f>
        <v>2</v>
      </c>
      <c r="Y216" s="62">
        <f>RIGHT(D216,LEN(D216)-4)/10000</f>
        <v>4.5699999999999998E-2</v>
      </c>
      <c r="Z216" s="62">
        <f>RIGHT(H216,LEN(H216)-4)/10000</f>
        <v>2.3311999999999999</v>
      </c>
      <c r="AA216" s="62">
        <f>ABS(Z216-Y216)</f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0313-03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/stypes="app*4018*20170404*" /stext=" 08:.+((SYSTEM_STATE.+slice.+state.+changed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20"/>
        <v>"%USERPROFILE%\Documents\GitHub\eaglep3\Utilities\RefineRTDCRunTimes.py" --tripid 313-03 --locoid 4018 --swversion DE.1.0.9.0 --startMP 204:457 --initTime 2017-04-04T02:09:24 --startdatetime 2017-04-04T02:10:55 --delay 1 --endMP 300:23312 --enddatetime 2017-04-04T02:23:48 --enforcementcount 0 &gt;&gt;C:\Users\stu\Documents\GitHub\eaglep3-reporting\EC\2017-04-04-refined-times.txt</v>
      </c>
      <c r="AI216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ID","value":"313-03"},{"id":16,"name":"Locomotive ID","value":"4018"},{"id":130,"name":"Impact","value":""},{"id":150,"name":"Time of Event (Mountain Time)","value":"02:23:48"},{"id":151,"name":"Denver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22"/>
        <v>start /low /b %USERPROFILE%\Documents\GitHub\eaglep3\Utilities\DownloadLogsFromS3.py --loco 4018 --day 2017-04-04</v>
      </c>
      <c r="AN216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822</v>
      </c>
      <c r="B217" s="7">
        <v>4046</v>
      </c>
      <c r="C217" s="21" t="s">
        <v>217</v>
      </c>
      <c r="D217" s="21" t="s">
        <v>438</v>
      </c>
      <c r="E217" s="13">
        <v>42830.087245370371</v>
      </c>
      <c r="F217" s="13">
        <v>42830.092013888891</v>
      </c>
      <c r="G217" s="7">
        <v>1</v>
      </c>
      <c r="H217" s="21" t="s">
        <v>553</v>
      </c>
      <c r="I217" s="13">
        <v>42830.102870370371</v>
      </c>
      <c r="J217" s="7">
        <v>0</v>
      </c>
      <c r="K217" s="97" t="str">
        <f>IF(ISEVEN(B217),(B217-1)&amp;"/"&amp;B217,B217&amp;"/"&amp;(B217+1))</f>
        <v>4045/4046</v>
      </c>
      <c r="L217" s="21" t="str">
        <f>VLOOKUP(A217,'Trips&amp;Operators'!$C$1:$G$99999,5,FALSE)</f>
        <v>GUZMAN DANNY</v>
      </c>
      <c r="M217" s="6">
        <f>I217-F217</f>
        <v>1.0856481480004732E-2</v>
      </c>
      <c r="N217" s="7">
        <f>24*60*SUM($M217:$M217)</f>
        <v>15.633333331206813</v>
      </c>
      <c r="O217" s="7"/>
      <c r="P217" s="7"/>
      <c r="Q217" s="22"/>
      <c r="R217" s="22"/>
      <c r="S217" s="31">
        <f>SUM(U217:U217)/IF(AG217="EC",12,1)</f>
        <v>1</v>
      </c>
      <c r="T217" s="46" t="str">
        <f>IF(ISEVEN(LEFT(AD217,4)),"Southbound","NorthBound")</f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-05T01:05:38-0600',mode:absolute,to:'2017-04-05T03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3" t="str">
        <f>IF(AA217&lt;IF(AG217="EC",23,5.65),"Y","N")</f>
        <v>Y</v>
      </c>
      <c r="X217" s="183">
        <f>VALUE(LEFT(AD217,4))-VALUE(LEFT(AD216,4))</f>
        <v>0</v>
      </c>
      <c r="Y217" s="62">
        <f>RIGHT(D217,LEN(D217)-4)/10000</f>
        <v>4.3999999999999997E-2</v>
      </c>
      <c r="Z217" s="62">
        <f>RIGHT(H217,LEN(H217)-4)/10000</f>
        <v>2.3311999999999999</v>
      </c>
      <c r="AA217" s="62">
        <f>ABS(Z217-Y217)</f>
        <v>2.2871999999999999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0313-04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/stypes="app*4046*20170405*" /stext=" 08:.+((SYSTEM_STATE.+slice.+state.+changed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 t="shared" si="20"/>
        <v>"%USERPROFILE%\Documents\GitHub\eaglep3\Utilities\RefineRTDCRunTimes.py" --tripid 313-04 --locoid 4046 --swversion DE.1.0.9.0 --startMP 204:440 --initTime 2017-04-05T02:05:38 --startdatetime 2017-04-05T02:12:30 --delay 1 --endMP 300:23312 --enddatetime 2017-04-05T02:28:08 --enforcementcount 0 &gt;&gt;C:\Users\stu\Documents\GitHub\eaglep3-reporting\EC\2017-04-04-refined-times.txt</v>
      </c>
      <c r="AI217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{"issue":{"subject":"","project_id":79,"tracker_id":40,"status_id":1,"priority_id":2,"assigned_to_id":23,"start_date":"2017-04-05","description":"","custom_fields":[{"id":1,"name":"Subdivision","value":"Other"},{"id":4,"name":"Milepost","value":"2.3312"},{"id":17,"name":"Train ID","value":"313-04"},{"id":16,"name":"Locomotive ID","value":"4046"},{"id":130,"name":"Impact","value":""},{"id":150,"name":"Time of Event (Mountain Time)","value":"02:28:08"},{"id":151,"name":"Denver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22"/>
        <v>start /low /b %USERPROFILE%\Documents\GitHub\eaglep3\Utilities\DownloadLogsFromS3.py --loco 4046 --day 2017-04-05</v>
      </c>
      <c r="AN217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817</v>
      </c>
      <c r="B218" s="7">
        <v>4014</v>
      </c>
      <c r="C218" s="21" t="s">
        <v>217</v>
      </c>
      <c r="D218" s="21" t="s">
        <v>458</v>
      </c>
      <c r="E218" s="13">
        <v>42830.03</v>
      </c>
      <c r="F218" s="13">
        <v>42830.0312962963</v>
      </c>
      <c r="G218" s="7">
        <v>0</v>
      </c>
      <c r="H218" s="21" t="s">
        <v>917</v>
      </c>
      <c r="I218" s="13">
        <v>42830.036481481482</v>
      </c>
      <c r="J218" s="7">
        <v>0</v>
      </c>
      <c r="K218" s="97" t="str">
        <f>IF(ISEVEN(B218),(B218-1)&amp;"/"&amp;B218,B218&amp;"/"&amp;(B218+1))</f>
        <v>4013/4014</v>
      </c>
      <c r="L218" s="21" t="str">
        <f>VLOOKUP(A218,'Trips&amp;Operators'!$C$1:$G$99999,5,FALSE)</f>
        <v>CHANDLER KELVIN</v>
      </c>
      <c r="M218" s="6">
        <f>I218-F218</f>
        <v>5.1851851821993478E-3</v>
      </c>
      <c r="N218" s="7">
        <f>24*60*SUM($M218:$M218)</f>
        <v>7.4666666623670608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-04T23:43:12-0600',mode:absolute,to:'2017-04-05T01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3" t="str">
        <f>IF(AA218&lt;IF(AG218="EC",23,5.65),"Y","N")</f>
        <v>Y</v>
      </c>
      <c r="X218" s="183">
        <f>VALUE(LEFT(AD218,4))-VALUE(LEFT(AD217,4))</f>
        <v>2</v>
      </c>
      <c r="Y218" s="62">
        <f>RIGHT(D218,LEN(D218)-4)/10000</f>
        <v>4.7100000000000003E-2</v>
      </c>
      <c r="Z218" s="62">
        <f>RIGHT(H218,LEN(H218)-4)/10000</f>
        <v>2.3296999999999999</v>
      </c>
      <c r="AA218" s="62">
        <f>ABS(Z218-Y218)</f>
        <v>2.2826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0315-04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 &amp; aws s3 cp s3://rtdc.mdm.uploadarchive.raw/RTDC4014/ "%USERPROFILE%\AppData\Local\Temp\OnboardLogs"\RTDC4014\2017-04-06 --exclude "*" --recursive --include "*20170406*" &amp; "%USERPROFILE%\Documents\GitHub\mrs-test-scripts\Headless Mode &amp; Sideloading\WalkAndUnGZ.bat" "%USERPROFILE%\AppData\Local\Temp\OnboardLogs"\RTDC4014\2017-04-06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/stypes="app*4014*20170405*" /stext=" 06:.+((SYSTEM_STATE.+slice.+state.+changed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 t="shared" si="20"/>
        <v>"%USERPROFILE%\Documents\GitHub\eaglep3\Utilities\RefineRTDCRunTimes.py" --tripid 315-04 --locoid 4014 --swversion DE.1.0.9.0 --startMP 204:471 --initTime 2017-04-05T00:43:12 --startdatetime 2017-04-05T00:45:04 --delay 0 --endMP 300:23297 --enddatetime 2017-04-05T00:52:32 --enforcementcount 0 &gt;&gt;C:\Users\stu\Documents\GitHub\eaglep3-reporting\EC\2017-04-04-refined-times.txt</v>
      </c>
      <c r="AI218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{"issue":{"subject":"","project_id":79,"tracker_id":40,"status_id":1,"priority_id":2,"assigned_to_id":23,"start_date":"2017-04-05","description":"","custom_fields":[{"id":1,"name":"Subdivision","value":"Other"},{"id":4,"name":"Milepost","value":"2.3297"},{"id":17,"name":"Train ID","value":"315-04"},{"id":16,"name":"Locomotive ID","value":"4014"},{"id":130,"name":"Impact","value":""},{"id":150,"name":"Time of Event (Mountain Time)","value":"00:52:32"},{"id":151,"name":"Denver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22"/>
        <v>start /low /b %USERPROFILE%\Documents\GitHub\eaglep3\Utilities\DownloadLogsFromS3.py --loco 4014 --day 2017-04-05</v>
      </c>
      <c r="AN218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640</v>
      </c>
      <c r="B219" s="7">
        <v>4016</v>
      </c>
      <c r="C219" s="21" t="s">
        <v>217</v>
      </c>
      <c r="D219" s="21" t="s">
        <v>1019</v>
      </c>
      <c r="E219" s="13">
        <v>42829.200810185182</v>
      </c>
      <c r="F219" s="13">
        <v>42829.204398148147</v>
      </c>
      <c r="G219" s="7">
        <v>5</v>
      </c>
      <c r="H219" s="21" t="s">
        <v>574</v>
      </c>
      <c r="I219" s="13">
        <v>42829.209907407407</v>
      </c>
      <c r="J219" s="7">
        <v>0</v>
      </c>
      <c r="K219" s="97" t="str">
        <f>IF(ISEVEN(B219),(B219-1)&amp;"/"&amp;B219,B219&amp;"/"&amp;(B219+1))</f>
        <v>4015/4016</v>
      </c>
      <c r="L219" s="21" t="str">
        <f>VLOOKUP(A219,'Trips&amp;Operators'!$C$1:$G$99999,5,FALSE)</f>
        <v>YORK EDGAR</v>
      </c>
      <c r="M219" s="6">
        <f>I219-F219</f>
        <v>5.5092592592700385E-3</v>
      </c>
      <c r="N219" s="7">
        <f>24*60*SUM($M219:$M219)</f>
        <v>7.9333333333488554</v>
      </c>
      <c r="O219" s="7"/>
      <c r="P219" s="7"/>
      <c r="Q219" s="22"/>
      <c r="R219" s="22"/>
      <c r="S219" s="31">
        <f>SUM(U219:U219)/IF(AG219="EC",12,1)</f>
        <v>0</v>
      </c>
      <c r="T219" s="46" t="str">
        <f>IF(ISEVEN(LEFT(AD219,4)),"Southbound","NorthBound")</f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-04T03:49:10-0600',mode:absolute,to:'2017-04-04T06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183" t="str">
        <f>IF(AA219&lt;IF(AG219="EC",23,5.65),"Y","N")</f>
        <v>Y</v>
      </c>
      <c r="X219" s="183">
        <f>VALUE(LEFT(AD219,4))-VALUE(LEFT(AD218,4))</f>
        <v>586</v>
      </c>
      <c r="Y219" s="62">
        <f>RIGHT(D219,LEN(D219)-4)/10000</f>
        <v>2.9765000000000001</v>
      </c>
      <c r="Z219" s="62">
        <f>RIGHT(H219,LEN(H219)-4)/10000</f>
        <v>5.8930999999999996</v>
      </c>
      <c r="AA219" s="62">
        <f>ABS(Z219-Y219)</f>
        <v>2.9165999999999994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0901-04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/stypes="app*4016*20170404*" /stext=" 11:.+((SYSTEM_STATE.+slice.+state.+changed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 t="shared" si="20"/>
        <v>"%USERPROFILE%\Documents\GitHub\eaglep3\Utilities\RefineRTDCRunTimes.py" --tripid 901-04 --locoid 4016 --swversion DE.1.0.9.0 --startMP 300:29765 --initTime 2017-04-04T04:49:10 --startdatetime 2017-04-04T04:54:20 --delay 5 --endMP 300:58931 --enddatetime 2017-04-04T05:02:16 --enforcementcount 0 &gt;&gt;C:\Users\stu\Documents\GitHub\eaglep3-reporting\EC\2017-04-04-refined-times.txt</v>
      </c>
      <c r="AI219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{"issue":{"subject":"","project_id":79,"tracker_id":40,"status_id":1,"priority_id":2,"assigned_to_id":23,"start_date":"2017-04-04","description":"","custom_fields":[{"id":1,"name":"Subdivision","value":"Other"},{"id":4,"name":"Milepost","value":"5.8931"},{"id":17,"name":"Train ID","value":"901-04"},{"id":16,"name":"Locomotive ID","value":"4016"},{"id":130,"name":"Impact","value":""},{"id":150,"name":"Time of Event (Mountain Time)","value":"05:02:16"},{"id":151,"name":"Denver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22"/>
        <v>start /low /b %USERPROFILE%\Documents\GitHub\eaglep3\Utilities\DownloadLogsFromS3.py --loco 4016 --day 2017-04-04</v>
      </c>
      <c r="AN219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652</v>
      </c>
      <c r="B220" s="7">
        <v>4041</v>
      </c>
      <c r="C220" s="21" t="s">
        <v>217</v>
      </c>
      <c r="D220" s="21" t="s">
        <v>1020</v>
      </c>
      <c r="E220" s="13">
        <v>42829.244652777779</v>
      </c>
      <c r="F220" s="13">
        <v>42829.248229166667</v>
      </c>
      <c r="G220" s="7">
        <v>5</v>
      </c>
      <c r="H220" s="21" t="s">
        <v>1021</v>
      </c>
      <c r="I220" s="13">
        <v>42829.253530092596</v>
      </c>
      <c r="J220" s="7">
        <v>0</v>
      </c>
      <c r="K220" s="97" t="str">
        <f>IF(ISEVEN(B220),(B220-1)&amp;"/"&amp;B220,B220&amp;"/"&amp;(B220+1))</f>
        <v>4041/4042</v>
      </c>
      <c r="L220" s="21" t="str">
        <f>VLOOKUP(A220,'Trips&amp;Operators'!$C$1:$G$99999,5,FALSE)</f>
        <v>ACKERMAN JARED</v>
      </c>
      <c r="M220" s="6">
        <f>I220-F220</f>
        <v>5.3009259281679988E-3</v>
      </c>
      <c r="N220" s="7">
        <f>24*60*SUM($M220:$M220)</f>
        <v>7.6333333365619183</v>
      </c>
      <c r="O220" s="7"/>
      <c r="P220" s="7"/>
      <c r="Q220" s="22"/>
      <c r="R220" s="22"/>
      <c r="S220" s="31">
        <f>SUM(U220:U220)/IF(AG220="EC",12,1)</f>
        <v>1</v>
      </c>
      <c r="T220" s="46" t="str">
        <f>IF(ISEVEN(LEFT(AD220,4)),"Southbound","NorthBound")</f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-04T04:52:18-0600',mode:absolute,to:'2017-04-04T07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83" t="str">
        <f>IF(AA220&lt;IF(AG220="EC",23,5.65),"Y","N")</f>
        <v>Y</v>
      </c>
      <c r="X220" s="183">
        <f>VALUE(LEFT(AD220,4))-VALUE(LEFT(AD219,4))</f>
        <v>1</v>
      </c>
      <c r="Y220" s="62">
        <f>RIGHT(D220,LEN(D220)-4)/10000</f>
        <v>2.3591000000000002</v>
      </c>
      <c r="Z220" s="62">
        <f>RIGHT(H220,LEN(H220)-4)/10000</f>
        <v>7.7499999999999999E-2</v>
      </c>
      <c r="AA220" s="62">
        <f>ABS(Z220-Y220)</f>
        <v>2.2816000000000001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0902-04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 t="shared" si="20"/>
        <v>"%USERPROFILE%\Documents\GitHub\eaglep3\Utilities\RefineRTDCRunTimes.py" --tripid 902-04 --locoid 4041 --swversion DE.1.0.9.0 --startMP 300:23591 --initTime 2017-04-04T05:52:18 --startdatetime 2017-04-04T05:57:27 --delay 5 --endMP 204:775 --enddatetime 2017-04-04T06:05:05 --enforcementcount 0 &gt;&gt;C:\Users\stu\Documents\GitHub\eaglep3-reporting\EC\2017-04-04-refined-times.txt</v>
      </c>
      <c r="AI220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{"issue":{"subject":"","project_id":79,"tracker_id":40,"status_id":1,"priority_id":2,"assigned_to_id":23,"start_date":"2017-04-04","description":"","custom_fields":[{"id":1,"name":"Subdivision","value":"Other"},{"id":4,"name":"Milepost","value":"0.0775"},{"id":17,"name":"Train ID","value":"902-04"},{"id":16,"name":"Locomotive ID","value":"4041"},{"id":130,"name":"Impact","value":""},{"id":150,"name":"Time of Event (Mountain Time)","value":"06:05:05"},{"id":151,"name":"Denver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22"/>
        <v>start /low /b %USERPROFILE%\Documents\GitHub\eaglep3\Utilities\DownloadLogsFromS3.py --loco 4041 --day 2017-04-04</v>
      </c>
      <c r="AN220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678</v>
      </c>
      <c r="B221" s="7">
        <v>4016</v>
      </c>
      <c r="C221" s="21" t="s">
        <v>217</v>
      </c>
      <c r="D221" s="21" t="s">
        <v>1022</v>
      </c>
      <c r="E221" s="13">
        <v>42829.352453703701</v>
      </c>
      <c r="F221" s="13">
        <v>42829.353622685187</v>
      </c>
      <c r="G221" s="7">
        <v>0</v>
      </c>
      <c r="H221" s="21" t="s">
        <v>1023</v>
      </c>
      <c r="I221" s="13">
        <v>42829.358842592592</v>
      </c>
      <c r="J221" s="7">
        <v>0</v>
      </c>
      <c r="K221" s="97" t="str">
        <f>IF(ISEVEN(B221),(B221-1)&amp;"/"&amp;B221,B221&amp;"/"&amp;(B221+1))</f>
        <v>4015/4016</v>
      </c>
      <c r="L221" s="21" t="str">
        <f>VLOOKUP(A221,'Trips&amp;Operators'!$C$1:$G$99999,5,FALSE)</f>
        <v>YORK EDGAR</v>
      </c>
      <c r="M221" s="6">
        <f>I221-F221</f>
        <v>5.2199074052623473E-3</v>
      </c>
      <c r="N221" s="7">
        <f>24*60*SUM($M221:$M221)</f>
        <v>7.5166666635777801</v>
      </c>
      <c r="O221" s="7"/>
      <c r="P221" s="7"/>
      <c r="Q221" s="22"/>
      <c r="R221" s="22"/>
      <c r="S221" s="31">
        <f>SUM(U221:U221)/IF(AG221="EC",12,1)</f>
        <v>1</v>
      </c>
      <c r="T221" s="46" t="str">
        <f>IF(ISEVEN(LEFT(AD221,4)),"Southbound","NorthBound")</f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-04T07:27:32-0600',mode:absolute,to:'2017-04-04T09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183" t="str">
        <f>IF(AA221&lt;IF(AG221="EC",23,5.65),"Y","N")</f>
        <v>Y</v>
      </c>
      <c r="X221" s="183">
        <f>VALUE(LEFT(AD221,4))-VALUE(LEFT(AD220,4))</f>
        <v>1</v>
      </c>
      <c r="Y221" s="62">
        <f>RIGHT(D221,LEN(D221)-4)/10000</f>
        <v>0.1105</v>
      </c>
      <c r="Z221" s="62">
        <f>RIGHT(H221,LEN(H221)-4)/10000</f>
        <v>2.4237000000000002</v>
      </c>
      <c r="AA221" s="62">
        <f>ABS(Z221-Y221)</f>
        <v>2.3132000000000001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0903-04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 t="shared" si="20"/>
        <v>"%USERPROFILE%\Documents\GitHub\eaglep3\Utilities\RefineRTDCRunTimes.py" --tripid 903-04 --locoid 4016 --swversion DE.1.0.9.0 --startMP 204:1105 --initTime 2017-04-04T08:27:32 --startdatetime 2017-04-04T08:29:13 --delay 0 --endMP 300:24237 --enddatetime 2017-04-04T08:36:44 --enforcementcount 0 &gt;&gt;C:\Users\stu\Documents\GitHub\eaglep3-reporting\EC\2017-04-04-refined-times.txt</v>
      </c>
      <c r="AI221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{"issue":{"subject":"","project_id":79,"tracker_id":40,"status_id":1,"priority_id":2,"assigned_to_id":23,"start_date":"2017-04-04","description":"","custom_fields":[{"id":1,"name":"Subdivision","value":"Other"},{"id":4,"name":"Milepost","value":"2.4237"},{"id":17,"name":"Train ID","value":"903-04"},{"id":16,"name":"Locomotive ID","value":"4016"},{"id":130,"name":"Impact","value":""},{"id":150,"name":"Time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22"/>
        <v>start /low /b %USERPROFILE%\Documents\GitHub\eaglep3\Utilities\DownloadLogsFromS3.py --loco 4016 --day 2017-04-04</v>
      </c>
      <c r="AN221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750</v>
      </c>
      <c r="B222" s="7">
        <v>4015</v>
      </c>
      <c r="C222" s="21" t="s">
        <v>217</v>
      </c>
      <c r="D222" s="21" t="s">
        <v>1024</v>
      </c>
      <c r="E222" s="13">
        <v>42829.638032407405</v>
      </c>
      <c r="F222" s="13">
        <v>42829.641539351855</v>
      </c>
      <c r="G222" s="7">
        <v>4</v>
      </c>
      <c r="H222" s="21" t="s">
        <v>562</v>
      </c>
      <c r="I222" s="13">
        <v>42829.647314814814</v>
      </c>
      <c r="J222" s="7">
        <v>0</v>
      </c>
      <c r="K222" s="97" t="str">
        <f>IF(ISEVEN(B222),(B222-1)&amp;"/"&amp;B222,B222&amp;"/"&amp;(B222+1))</f>
        <v>4015/4016</v>
      </c>
      <c r="L222" s="21" t="str">
        <f>VLOOKUP(A222,'Trips&amp;Operators'!$C$1:$G$99999,5,FALSE)</f>
        <v>SWANSON BRYCE</v>
      </c>
      <c r="M222" s="6">
        <f>I222-F222</f>
        <v>5.7754629597184248E-3</v>
      </c>
      <c r="N222" s="7">
        <f>24*60*SUM($M222:$M222)</f>
        <v>8.3166666619945318</v>
      </c>
      <c r="O222" s="7"/>
      <c r="P222" s="7"/>
      <c r="Q222" s="22"/>
      <c r="R222" s="22"/>
      <c r="S222" s="31">
        <f>SUM(U222:U222)/IF(AG222="EC",12,1)</f>
        <v>1</v>
      </c>
      <c r="T222" s="46" t="str">
        <f>IF(ISEVEN(LEFT(AD222,4)),"Southbound","NorthBound")</f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-04T14:18:46-0600',mode:absolute,to:'2017-04-04T16:32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183" t="str">
        <f>IF(AA222&lt;IF(AG222="EC",23,5.65),"Y","N")</f>
        <v>Y</v>
      </c>
      <c r="X222" s="183">
        <f>VALUE(LEFT(AD222,4))-VALUE(LEFT(AD221,4))</f>
        <v>1</v>
      </c>
      <c r="Y222" s="62">
        <f>RIGHT(D222,LEN(D222)-4)/10000</f>
        <v>2.3094999999999999</v>
      </c>
      <c r="Z222" s="62">
        <f>RIGHT(H222,LEN(H222)-4)/10000</f>
        <v>6.7799999999999999E-2</v>
      </c>
      <c r="AA222" s="62">
        <f>ABS(Z222-Y222)</f>
        <v>2.2416999999999998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0904-04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/stypes="app*4015*20170404*" /stext=" 21:.+((SYSTEM_STATE.+slice.+state.+changed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 t="shared" si="20"/>
        <v>"%USERPROFILE%\Documents\GitHub\eaglep3\Utilities\RefineRTDCRunTimes.py" --tripid 904-04 --locoid 4015 --swversion DE.1.0.9.0 --startMP 300:23095 --initTime 2017-04-04T15:18:46 --startdatetime 2017-04-04T15:23:49 --delay 4 --endMP 204:678 --enddatetime 2017-04-04T15:32:08 --enforcementcount 0 &gt;&gt;C:\Users\stu\Documents\GitHub\eaglep3-reporting\EC\2017-04-04-refined-times.txt</v>
      </c>
      <c r="AI222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{"issue":{"subject":"","project_id":79,"tracker_id":40,"status_id":1,"priority_id":2,"assigned_to_id":23,"start_date":"2017-04-04","description":"","custom_fields":[{"id":1,"name":"Subdivision","value":"Other"},{"id":4,"name":"Milepost","value":"0.0678"},{"id":17,"name":"Train ID","value":"904-04"},{"id":16,"name":"Locomotive ID","value":"4015"},{"id":130,"name":"Impact","value":""},{"id":150,"name":"Time of Event (Mountain Time)","value":"15:32:08"},{"id":151,"name":"Denver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22"/>
        <v>start /low /b %USERPROFILE%\Documents\GitHub\eaglep3\Utilities\DownloadLogsFromS3.py --loco 4015 --day 2017-04-04</v>
      </c>
      <c r="AN222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789</v>
      </c>
      <c r="B223" s="7">
        <v>4015</v>
      </c>
      <c r="C223" s="21" t="s">
        <v>217</v>
      </c>
      <c r="D223" s="21" t="s">
        <v>1025</v>
      </c>
      <c r="E223" s="13">
        <v>42829.797210648147</v>
      </c>
      <c r="F223" s="13">
        <v>42829.79855324074</v>
      </c>
      <c r="G223" s="7">
        <v>1</v>
      </c>
      <c r="H223" s="21" t="s">
        <v>1026</v>
      </c>
      <c r="I223" s="13">
        <v>42829.807141203702</v>
      </c>
      <c r="J223" s="7">
        <v>0</v>
      </c>
      <c r="K223" s="97" t="str">
        <f>IF(ISEVEN(B223),(B223-1)&amp;"/"&amp;B223,B223&amp;"/"&amp;(B223+1))</f>
        <v>4015/4016</v>
      </c>
      <c r="L223" s="21" t="str">
        <f>VLOOKUP(A223,'Trips&amp;Operators'!$C$1:$G$99999,5,FALSE)</f>
        <v>SWANSON BRYCE</v>
      </c>
      <c r="M223" s="6">
        <f>I223-F223</f>
        <v>8.5879629623377696E-3</v>
      </c>
      <c r="N223" s="7">
        <f>24*60*SUM($M223:$M223)</f>
        <v>12.366666665766388</v>
      </c>
      <c r="O223" s="7"/>
      <c r="P223" s="7"/>
      <c r="Q223" s="22"/>
      <c r="R223" s="22"/>
      <c r="S223" s="31">
        <f>SUM(U223:U223)/IF(AG223="EC",12,1)</f>
        <v>0</v>
      </c>
      <c r="T223" s="46" t="str">
        <f>IF(ISEVEN(LEFT(AD223,4)),"Southbound","NorthBound")</f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-04T18:07:59-0600',mode:absolute,to:'2017-04-04T20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183" t="str">
        <f>IF(AA223&lt;IF(AG223="EC",23,5.65),"Y","N")</f>
        <v>Y</v>
      </c>
      <c r="X223" s="183">
        <f>VALUE(LEFT(AD223,4))-VALUE(LEFT(AD222,4))</f>
        <v>2</v>
      </c>
      <c r="Y223" s="62">
        <f>RIGHT(D223,LEN(D223)-4)/10000</f>
        <v>5.8620999999999999</v>
      </c>
      <c r="Z223" s="62">
        <f>RIGHT(H223,LEN(H223)-4)/10000</f>
        <v>2.8782000000000001</v>
      </c>
      <c r="AA223" s="62">
        <f>ABS(Z223-Y223)</f>
        <v>2.9838999999999998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0906-04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/stypes="app*4015*20170405*" /stext=" 01:.+((SYSTEM_STATE.+slice.+state.+changed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 t="shared" si="20"/>
        <v>"%USERPROFILE%\Documents\GitHub\eaglep3\Utilities\RefineRTDCRunTimes.py" --tripid 906-04 --locoid 4015 --swversion DE.1.0.9.0 --startMP 300:58621 --initTime 2017-04-04T19:07:59 --startdatetime 2017-04-04T19:09:55 --delay 1 --endMP 300:28782 --enddatetime 2017-04-04T19:22:17 --enforcementcount 0 &gt;&gt;C:\Users\stu\Documents\GitHub\eaglep3-reporting\EC\2017-04-04-refined-times.txt</v>
      </c>
      <c r="AI223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{"issue":{"subject":"","project_id":79,"tracker_id":40,"status_id":1,"priority_id":2,"assigned_to_id":23,"start_date":"2017-04-04","description":"","custom_fields":[{"id":1,"name":"Subdivision","value":"Other"},{"id":4,"name":"Milepost","value":"2.8782"},{"id":17,"name":"Train ID","value":"906-04"},{"id":16,"name":"Locomotive ID","value":"4015"},{"id":130,"name":"Impact","value":""},{"id":150,"name":"Time of Event (Mountain Time)","value":"19:22:17"},{"id":151,"name":"Denver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22"/>
        <v>start /low /b %USERPROFILE%\Documents\GitHub\eaglep3\Utilities\DownloadLogsFromS3.py --loco 4015 --day 2017-04-04</v>
      </c>
      <c r="AN223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809</v>
      </c>
      <c r="B224" s="7">
        <v>4041</v>
      </c>
      <c r="C224" s="21" t="s">
        <v>217</v>
      </c>
      <c r="D224" s="21" t="s">
        <v>1027</v>
      </c>
      <c r="E224" s="13">
        <v>42829.94290509259</v>
      </c>
      <c r="F224" s="13">
        <v>42829.944525462961</v>
      </c>
      <c r="G224" s="7">
        <v>1</v>
      </c>
      <c r="H224" s="21" t="s">
        <v>1028</v>
      </c>
      <c r="I224" s="13">
        <v>42829.949108796296</v>
      </c>
      <c r="J224" s="7">
        <v>0</v>
      </c>
      <c r="K224" s="97" t="str">
        <f>IF(ISEVEN(B224),(B224-1)&amp;"/"&amp;B224,B224&amp;"/"&amp;(B224+1))</f>
        <v>4041/4042</v>
      </c>
      <c r="L224" s="21" t="str">
        <f>VLOOKUP(A224,'Trips&amp;Operators'!$C$1:$G$99999,5,FALSE)</f>
        <v>SWANSON BRYCE</v>
      </c>
      <c r="M224" s="6">
        <f>I224-F224</f>
        <v>4.5833333351765759E-3</v>
      </c>
      <c r="N224" s="7">
        <f>24*60*SUM($M224:$M224)</f>
        <v>6.6000000026542693</v>
      </c>
      <c r="O224" s="7"/>
      <c r="P224" s="7"/>
      <c r="Q224" s="22"/>
      <c r="R224" s="22"/>
      <c r="S224" s="31">
        <f>SUM(U224:U224)/IF(AG224="EC",12,1)</f>
        <v>0</v>
      </c>
      <c r="T224" s="46" t="str">
        <f>IF(ISEVEN(LEFT(AD224,4)),"Southbound","NorthBound")</f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-04T21:37:47-0600',mode:absolute,to:'2017-04-04T23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83" t="str">
        <f>IF(AA224&lt;IF(AG224="EC",23,5.65),"Y","N")</f>
        <v>Y</v>
      </c>
      <c r="X224" s="183">
        <f>VALUE(LEFT(AD224,4))-VALUE(LEFT(AD223,4))</f>
        <v>2</v>
      </c>
      <c r="Y224" s="62">
        <f>RIGHT(D224,LEN(D224)-4)/10000</f>
        <v>5.8608000000000002</v>
      </c>
      <c r="Z224" s="62">
        <f>RIGHT(H224,LEN(H224)-4)/10000</f>
        <v>2.1532</v>
      </c>
      <c r="AA224" s="62">
        <f>ABS(Z224-Y224)</f>
        <v>3.7076000000000002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0908-04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/stypes="app*4041*20170405*" /stext=" 04:.+((SYSTEM_STATE.+slice.+state.+changed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 t="shared" si="20"/>
        <v>"%USERPROFILE%\Documents\GitHub\eaglep3\Utilities\RefineRTDCRunTimes.py" --tripid 908-04 --locoid 4041 --swversion DE.1.0.9.0 --startMP 300:58608 --initTime 2017-04-04T22:37:47 --startdatetime 2017-04-04T22:40:07 --delay 1 --endMP 300:21532 --enddatetime 2017-04-04T22:46:43 --enforcementcount 0 &gt;&gt;C:\Users\stu\Documents\GitHub\eaglep3-reporting\EC\2017-04-04-refined-times.txt</v>
      </c>
      <c r="AI224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{"issue":{"subject":"","project_id":79,"tracker_id":40,"status_id":1,"priority_id":2,"assigned_to_id":23,"start_date":"2017-04-04","description":"","custom_fields":[{"id":1,"name":"Subdivision","value":"Other"},{"id":4,"name":"Milepost","value":"2.1532"},{"id":17,"name":"Train ID","value":"908-04"},{"id":16,"name":"Locomotive ID","value":"4041"},{"id":130,"name":"Impact","value":""},{"id":150,"name":"Time of Event (Mountain Time)","value":"22:46:43"},{"id":151,"name":"Denver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22"/>
        <v>start /low /b %USERPROFILE%\Documents\GitHub\eaglep3\Utilities\DownloadLogsFromS3.py --loco 4041 --day 2017-04-04</v>
      </c>
      <c r="AN224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04:46:43"},{"id":29,"name":"Sharepoint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604</v>
      </c>
      <c r="B225" s="7">
        <v>4019</v>
      </c>
      <c r="C225" s="21" t="s">
        <v>217</v>
      </c>
      <c r="D225" s="21" t="s">
        <v>918</v>
      </c>
      <c r="E225" s="13">
        <v>42829.433391203704</v>
      </c>
      <c r="F225" s="13">
        <v>42829.435752314814</v>
      </c>
      <c r="G225" s="7">
        <v>3</v>
      </c>
      <c r="H225" s="21" t="s">
        <v>919</v>
      </c>
      <c r="I225" s="13">
        <v>42829.441319444442</v>
      </c>
      <c r="J225" s="7">
        <v>0</v>
      </c>
      <c r="K225" s="97" t="str">
        <f>IF(ISEVEN(B225),(B225-1)&amp;"/"&amp;B225,B225&amp;"/"&amp;(B225+1))</f>
        <v>4019/4020</v>
      </c>
      <c r="L225" s="21" t="str">
        <f>VLOOKUP(A225,'Trips&amp;Operators'!$C$1:$G$99999,5,FALSE)</f>
        <v>DE LA ROSA ALEX</v>
      </c>
      <c r="M225" s="6">
        <f>I225-F225</f>
        <v>5.5671296286163852E-3</v>
      </c>
      <c r="N225" s="7">
        <f>24*60*SUM($M225:$M225)</f>
        <v>8.0166666652075946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83" t="str">
        <f>IF(AA225&lt;IF(AG225="EC",23,5.65),"Y","N")</f>
        <v>Y</v>
      </c>
      <c r="X225" s="183" t="e">
        <f>VALUE(LEFT(AD225,4))-VALUE(LEFT(AD224,4))</f>
        <v>#VALUE!</v>
      </c>
      <c r="Y225" s="62">
        <f>RIGHT(D225,LEN(D225)-4)/10000</f>
        <v>2.3454999999999999</v>
      </c>
      <c r="Z225" s="62">
        <f>RIGHT(H225,LEN(H225)-4)/10000</f>
        <v>9.2299999999999993E-2</v>
      </c>
      <c r="AA225" s="62">
        <f>ABS(Z225-Y225)</f>
        <v>2.2532000000000001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52-04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/stypes="app*4019*20170404*" /stext=" 16:.+((SYSTEM_STATE.+slice.+state.+changed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 t="shared" si="20"/>
        <v>"%USERPROFILE%\Documents\GitHub\eaglep3\Utilities\RefineRTDCRunTimes.py" --tripid 52-04 --locoid 4019 --swversion DE.1.0.9.0 --startMP 300:23455 --initTime 2017-04-04T10:24:05 --startdatetime 2017-04-04T10:27:29 --delay 3 --endMP 204:923 --enddatetime 2017-04-04T10:35:30 --enforcementcount 0 &gt;&gt;C:\Users\stu\Documents\GitHub\eaglep3-reporting\EC\2017-04-04-refined-times.txt</v>
      </c>
      <c r="AI225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{"issue":{"subject":"","project_id":79,"tracker_id":40,"status_id":1,"priority_id":2,"assigned_to_id":23,"start_date":"2017-04-04","description":"","custom_fields":[{"id":1,"name":"Subdivision","value":"Other"},{"id":4,"name":"Milepost","value":"0.0923"},{"id":17,"name":"Train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22"/>
        <v>start /low /b %USERPROFILE%\Documents\GitHub\eaglep3\Utilities\DownloadLogsFromS3.py --loco 4019 --day 2017-04-04</v>
      </c>
      <c r="AN225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706</v>
      </c>
      <c r="B226" s="7">
        <v>4020</v>
      </c>
      <c r="C226" s="21" t="s">
        <v>217</v>
      </c>
      <c r="D226" s="21" t="s">
        <v>920</v>
      </c>
      <c r="E226" s="13">
        <v>42829.466747685183</v>
      </c>
      <c r="F226" s="13">
        <v>42829.468993055554</v>
      </c>
      <c r="G226" s="7">
        <v>1</v>
      </c>
      <c r="H226" s="21" t="s">
        <v>921</v>
      </c>
      <c r="I226" s="13">
        <v>42829.474849537037</v>
      </c>
      <c r="J226" s="7">
        <v>0</v>
      </c>
      <c r="K226" s="97" t="str">
        <f>IF(ISEVEN(B226),(B226-1)&amp;"/"&amp;B226,B226&amp;"/"&amp;(B226+1))</f>
        <v>4019/4020</v>
      </c>
      <c r="L226" s="21" t="str">
        <f>VLOOKUP(A226,'Trips&amp;Operators'!$C$1:$G$99999,5,FALSE)</f>
        <v>MAELZER KURT</v>
      </c>
      <c r="M226" s="6">
        <f>I226-F226</f>
        <v>5.8564814826240763E-3</v>
      </c>
      <c r="N226" s="7">
        <f>24*60*SUM($M226:$M226)</f>
        <v>8.4333333349786699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-04T10:12:07-0600',mode:absolute,to:'2017-04-04T12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>IF(AA226&lt;IF(AG226="EC",23,5.65),"Y","N")</f>
        <v>Y</v>
      </c>
      <c r="X226" s="183" t="e">
        <f>VALUE(LEFT(AD226,4))-VALUE(LEFT(AD225,4))</f>
        <v>#VALUE!</v>
      </c>
      <c r="Y226" s="62">
        <f>RIGHT(D226,LEN(D226)-4)/10000</f>
        <v>0.124</v>
      </c>
      <c r="Z226" s="62">
        <f>RIGHT(H226,LEN(H226)-4)/10000</f>
        <v>2.4245999999999999</v>
      </c>
      <c r="AA226" s="62">
        <f>ABS(Z226-Y226)</f>
        <v>2.3005999999999998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53-04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/stypes="app*4020*20170404*" /stext=" 17:.+((SYSTEM_STATE.+slice.+state.+changed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 t="shared" si="20"/>
        <v>"%USERPROFILE%\Documents\GitHub\eaglep3\Utilities\RefineRTDCRunTimes.py" --tripid 53-04 --locoid 4020 --swversion DE.1.0.9.0 --startMP 204:1240 --initTime 2017-04-04T11:12:07 --startdatetime 2017-04-04T11:15:21 --delay 1 --endMP 300:24246 --enddatetime 2017-04-04T11:23:47 --enforcementcount 0 &gt;&gt;C:\Users\stu\Documents\GitHub\eaglep3-reporting\EC\2017-04-04-refined-times.txt</v>
      </c>
      <c r="AI226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{"issue":{"subject":"","project_id":79,"tracker_id":40,"status_id":1,"priority_id":2,"assigned_to_id":23,"start_date":"2017-04-04","description":"","custom_fields":[{"id":1,"name":"Subdivision","value":"Other"},{"id":4,"name":"Milepost","value":"2.4246"},{"id":17,"name":"Train ID","value":"53-04"},{"id":16,"name":"Locomotive ID","value":"4020"},{"id":130,"name":"Impact","value":""},{"id":150,"name":"Time of Event (Mountain Time)","value":"11:23:47"},{"id":151,"name":"Denver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22"/>
        <v>start /low /b %USERPROFILE%\Documents\GitHub\eaglep3\Utilities\DownloadLogsFromS3.py --loco 4020 --day 2017-04-04</v>
      </c>
      <c r="AN226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771</v>
      </c>
      <c r="B227" s="7">
        <v>4044</v>
      </c>
      <c r="C227" s="21" t="s">
        <v>217</v>
      </c>
      <c r="D227" s="21" t="s">
        <v>922</v>
      </c>
      <c r="E227" s="13">
        <v>42829.733287037037</v>
      </c>
      <c r="F227" s="13">
        <v>42829.747743055559</v>
      </c>
      <c r="G227" s="7">
        <v>0</v>
      </c>
      <c r="H227" s="21" t="s">
        <v>553</v>
      </c>
      <c r="I227" s="13">
        <v>42829.757997685185</v>
      </c>
      <c r="J227" s="7">
        <v>0</v>
      </c>
      <c r="K227" s="97" t="str">
        <f>IF(ISEVEN(B227),(B227-1)&amp;"/"&amp;B227,B227&amp;"/"&amp;(B227+1))</f>
        <v>4043/4044</v>
      </c>
      <c r="L227" s="21" t="str">
        <f>VLOOKUP(A227,'Trips&amp;Operators'!$C$1:$G$99999,5,FALSE)</f>
        <v>DE LA ROSA ALEX</v>
      </c>
      <c r="M227" s="6">
        <f>I227-F227</f>
        <v>1.0254629625706002E-2</v>
      </c>
      <c r="N227" s="7">
        <f>24*60*SUM($M227:$M227)</f>
        <v>14.766666661016643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-04T16:35:56-0600',mode:absolute,to:'2017-04-04T19:11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83" t="str">
        <f>IF(AA227&lt;IF(AG227="EC",23,5.65),"Y","N")</f>
        <v>Y</v>
      </c>
      <c r="X227" s="183" t="e">
        <f>VALUE(LEFT(AD227,4))-VALUE(LEFT(AD226,4))</f>
        <v>#VALUE!</v>
      </c>
      <c r="Y227" s="62">
        <f>RIGHT(D227,LEN(D227)-4)/10000</f>
        <v>0.14729999999999999</v>
      </c>
      <c r="Z227" s="62">
        <f>RIGHT(H227,LEN(H227)-4)/10000</f>
        <v>2.3311999999999999</v>
      </c>
      <c r="AA227" s="62">
        <f>ABS(Z227-Y227)</f>
        <v>2.1839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65-04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/stypes="app*4044*20170405*" /stext=" 00:.+((SYSTEM_STATE.+slice.+state.+changed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 t="shared" si="20"/>
        <v>"%USERPROFILE%\Documents\GitHub\eaglep3\Utilities\RefineRTDCRunTimes.py" --tripid 65-04 --locoid 4044 --swversion DE.1.0.9.0 --startMP 204:1473 --initTime 2017-04-04T17:35:56 --startdatetime 2017-04-04T17:56:45 --delay 0 --endMP 300:23312 --enddatetime 2017-04-04T18:11:31 --enforcementcount 0 &gt;&gt;C:\Users\stu\Documents\GitHub\eaglep3-reporting\EC\2017-04-04-refined-times.txt</v>
      </c>
      <c r="AI227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ID","value":"65-04"},{"id":16,"name":"Locomotive ID","value":"4044"},{"id":130,"name":"Impact","value":""},{"id":150,"name":"Time of Event (Mountain Time)","value":"18:11:31"},{"id":151,"name":"Denver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22"/>
        <v>start /low /b %USERPROFILE%\Documents\GitHub\eaglep3\Utilities\DownloadLogsFromS3.py --loco 4044 --day 2017-04-04</v>
      </c>
      <c r="AN227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774</v>
      </c>
      <c r="B228" s="7">
        <v>4019</v>
      </c>
      <c r="C228" s="21" t="s">
        <v>217</v>
      </c>
      <c r="D228" s="21" t="s">
        <v>923</v>
      </c>
      <c r="E228" s="13">
        <v>42829.732731481483</v>
      </c>
      <c r="F228" s="13">
        <v>42829.735034722224</v>
      </c>
      <c r="G228" s="7">
        <v>3</v>
      </c>
      <c r="H228" s="21">
        <v>8.5298611111111118</v>
      </c>
      <c r="I228" s="13">
        <v>42829.740567129629</v>
      </c>
      <c r="J228" s="7">
        <v>0</v>
      </c>
      <c r="K228" s="97" t="str">
        <f>IF(ISEVEN(B228),(B228-1)&amp;"/"&amp;B228,B228&amp;"/"&amp;(B228+1))</f>
        <v>4019/4020</v>
      </c>
      <c r="L228" s="21" t="str">
        <f>VLOOKUP(A228,'Trips&amp;Operators'!$C$1:$G$99999,5,FALSE)</f>
        <v>STORY SAMANTHA</v>
      </c>
      <c r="M228" s="6">
        <f>I228-F228</f>
        <v>5.5324074055533856E-3</v>
      </c>
      <c r="N228" s="7">
        <f>24*60*SUM($M228:$M228)</f>
        <v>7.9666666639968753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-04T16:35:08-0600',mode:absolute,to:'2017-04-04T18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183" t="str">
        <f>IF(AA228&lt;IF(AG228="EC",23,5.65),"Y","N")</f>
        <v>N</v>
      </c>
      <c r="X228" s="183" t="e">
        <f>VALUE(LEFT(AD228,4))-VALUE(LEFT(AD227,4))</f>
        <v>#VALUE!</v>
      </c>
      <c r="Y228" s="62">
        <f>RIGHT(D228,LEN(D228)-4)/10000</f>
        <v>2.3439999999999999</v>
      </c>
      <c r="Z228" s="62">
        <f>RIGHT(H228,LEN(H228)-4)/10000</f>
        <v>98611111.111100003</v>
      </c>
      <c r="AA228" s="62">
        <f>ABS(Z228-Y228)</f>
        <v>98611108.767100006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72-04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/stypes="app*4019*20170404*" /stext=" 23:.+((SYSTEM_STATE.+slice.+state.+changed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 t="shared" si="20"/>
        <v>"%USERPROFILE%\Documents\GitHub\eaglep3\Utilities\RefineRTDCRunTimes.py" --tripid 72-04 --locoid 4019 --swversion DE.1.0.9.0 --startMP 300:23440 --initTime 2017-04-04T17:35:08 --startdatetime 2017-04-04T17:38:27 --delay 3 --endMP 8.52986111111111 --enddatetime 2017-04-04T17:46:25 --enforcementcount 0 &gt;&gt;C:\Users\stu\Documents\GitHub\eaglep3-reporting\EC\2017-04-04-refined-times.txt</v>
      </c>
      <c r="AI228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98611111.1111"},{"id":17,"name":"Train ID","value":"72-04"},{"id":16,"name":"Locomotive ID","value":"4019"},{"id":130,"name":"Impact","value":""},{"id":150,"name":"Time of Event (Mountain Time)","value":"17:46:25"},{"id":151,"name":"Denver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22"/>
        <v>start /low /b %USERPROFILE%\Documents\GitHub\eaglep3\Utilities\DownloadLogsFromS3.py --loco 4019 --day 2017-04-04</v>
      </c>
      <c r="AN228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777</v>
      </c>
      <c r="B229" s="7">
        <v>4027</v>
      </c>
      <c r="C229" s="21" t="s">
        <v>217</v>
      </c>
      <c r="D229" s="21" t="s">
        <v>924</v>
      </c>
      <c r="E229" s="13">
        <v>42829.757824074077</v>
      </c>
      <c r="F229" s="13">
        <v>42829.760393518518</v>
      </c>
      <c r="G229" s="7">
        <v>3</v>
      </c>
      <c r="H229" s="21" t="s">
        <v>925</v>
      </c>
      <c r="I229" s="13">
        <v>42829.766770833332</v>
      </c>
      <c r="J229" s="7">
        <v>0</v>
      </c>
      <c r="K229" s="97" t="str">
        <f>IF(ISEVEN(B229),(B229-1)&amp;"/"&amp;B229,B229&amp;"/"&amp;(B229+1))</f>
        <v>4027/4028</v>
      </c>
      <c r="L229" s="21" t="str">
        <f>VLOOKUP(A229,'Trips&amp;Operators'!$C$1:$G$99999,5,FALSE)</f>
        <v>MAGEE KENYA</v>
      </c>
      <c r="M229" s="6">
        <f>I229-F229</f>
        <v>6.3773148140171543E-3</v>
      </c>
      <c r="N229" s="7">
        <f>24*60*SUM($M229:$M229)</f>
        <v>9.1833333321847022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-04-04T17:11:16-0600',mode:absolute,to:'2017-04-04T19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183" t="str">
        <f>IF(AA229&lt;IF(AG229="EC",23,5.65),"Y","N")</f>
        <v>Y</v>
      </c>
      <c r="X229" s="183" t="e">
        <f>VALUE(LEFT(AD229,4))-VALUE(LEFT(AD228,4))</f>
        <v>#VALUE!</v>
      </c>
      <c r="Y229" s="62">
        <f>RIGHT(D229,LEN(D229)-4)/10000</f>
        <v>2.2170000000000001</v>
      </c>
      <c r="Z229" s="62">
        <f>RIGHT(H229,LEN(H229)-4)/10000</f>
        <v>0.1749</v>
      </c>
      <c r="AA229" s="62">
        <f>ABS(Z229-Y229)</f>
        <v>2.0421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74-04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 &amp; aws s3 cp s3://rtdc.mdm.uploadarchive.raw/RTDC4027/ "%USERPROFILE%\AppData\Local\Temp\OnboardLogs"\RTDC4027\2017-04-05 --exclude "*" --recursive --include "*20170405*" &amp; "%USERPROFILE%\Documents\GitHub\mrs-test-scripts\Headless Mode &amp; Sideloading\WalkAndUnGZ.bat" "%USERPROFILE%\AppData\Local\Temp\OnboardLogs"\RTDC4027\2017-04-05</v>
      </c>
      <c r="AF229" s="82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/stypes="app*4027*20170405*" /stext=" 00:.+((SYSTEM_STATE.+slice.+state.+changed )|(ment ac)|(multiple cpu faults)|(system.+state.+changed )|(\[timeout)|(PRM\|1\|D)|(kpr)|(kdp)|(\|lc)|(penalty))"</v>
      </c>
      <c r="AG229" s="1" t="str">
        <f>IFERROR(IF(VALUE(LEFT(AD229,2))&lt;=2,"EC",IF(OR(VALUE(LEFT(AD229,2))=8,VALUE(LEFT(AD229,2))=18),"NW","Other")),"Other")</f>
        <v>Other</v>
      </c>
      <c r="AH229" s="86" t="str">
        <f t="shared" si="20"/>
        <v>"%USERPROFILE%\Documents\GitHub\eaglep3\Utilities\RefineRTDCRunTimes.py" --tripid 74-04 --locoid 4027 --swversion DE.1.0.9.0 --startMP 300:22170 --initTime 2017-04-04T18:11:16 --startdatetime 2017-04-04T18:14:58 --delay 3 --endMP 204:1749 --enddatetime 2017-04-04T18:24:09 --enforcementcount 0 &gt;&gt;C:\Users\stu\Documents\GitHub\eaglep3-reporting\EC\2017-04-04-refined-times.txt</v>
      </c>
      <c r="AI229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{"issue":{"subject":"","project_id":79,"tracker_id":40,"status_id":1,"priority_id":2,"assigned_to_id":23,"start_date":"2017-04-04","description":"","custom_fields":[{"id":1,"name":"Subdivision","value":"Other"},{"id":4,"name":"Milepost","value":"0.1749"},{"id":17,"name":"Train ID","value":"74-04"},{"id":16,"name":"Locomotive ID","value":"4027"},{"id":130,"name":"Impact","value":""},{"id":150,"name":"Time of Event (Mountain Time)","value":"18:24:09"},{"id":151,"name":"Denver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22"/>
        <v>start /low /b %USERPROFILE%\Documents\GitHub\eaglep3\Utilities\DownloadLogsFromS3.py --loco 4027 --day 2017-04-04</v>
      </c>
      <c r="AN229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782</v>
      </c>
      <c r="B230" s="7">
        <v>4020</v>
      </c>
      <c r="C230" s="21" t="s">
        <v>217</v>
      </c>
      <c r="D230" s="21" t="s">
        <v>926</v>
      </c>
      <c r="E230" s="13">
        <v>42829.76290509259</v>
      </c>
      <c r="F230" s="13">
        <v>42829.769247685188</v>
      </c>
      <c r="G230" s="7">
        <v>6</v>
      </c>
      <c r="H230" s="21" t="s">
        <v>443</v>
      </c>
      <c r="I230" s="13">
        <v>42829.779340277775</v>
      </c>
      <c r="J230" s="7">
        <v>0</v>
      </c>
      <c r="K230" s="97" t="str">
        <f>IF(ISEVEN(B230),(B230-1)&amp;"/"&amp;B230,B230&amp;"/"&amp;(B230+1))</f>
        <v>4019/4020</v>
      </c>
      <c r="L230" s="21" t="str">
        <f>VLOOKUP(A230,'Trips&amp;Operators'!$C$1:$G$99999,5,FALSE)</f>
        <v>STEWART MICHAEL</v>
      </c>
      <c r="M230" s="6">
        <f>I230-F230</f>
        <v>1.0092592587170657E-2</v>
      </c>
      <c r="N230" s="7">
        <f>24*60*SUM($M230:$M230)</f>
        <v>14.533333325525746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-04-04T17:18:35-0600',mode:absolute,to:'2017-04-04T19:42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0" s="183" t="str">
        <f>IF(AA230&lt;IF(AG230="EC",23,5.65),"Y","N")</f>
        <v>Y</v>
      </c>
      <c r="X230" s="183" t="e">
        <f>VALUE(LEFT(AD230,4))-VALUE(LEFT(AD229,4))</f>
        <v>#VALUE!</v>
      </c>
      <c r="Y230" s="62">
        <f>RIGHT(D230,LEN(D230)-4)/10000</f>
        <v>3.61E-2</v>
      </c>
      <c r="Z230" s="62">
        <f>RIGHT(H230,LEN(H230)-4)/10000</f>
        <v>2.3346</v>
      </c>
      <c r="AA230" s="62">
        <f>ABS(Z230-Y230)</f>
        <v>2.2985000000000002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77-04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30" s="82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/stypes="app*4020*20170405*" /stext=" 00:.+((SYSTEM_STATE.+slice.+state.+changed )|(ment ac)|(multiple cpu faults)|(system.+state.+changed )|(\[timeout)|(PRM\|1\|D)|(kpr)|(kdp)|(\|lc)|(penalty))"</v>
      </c>
      <c r="AG230" s="1" t="str">
        <f>IFERROR(IF(VALUE(LEFT(AD230,2))&lt;=2,"EC",IF(OR(VALUE(LEFT(AD230,2))=8,VALUE(LEFT(AD230,2))=18),"NW","Other")),"Other")</f>
        <v>Other</v>
      </c>
      <c r="AH230" s="86" t="str">
        <f t="shared" si="20"/>
        <v>"%USERPROFILE%\Documents\GitHub\eaglep3\Utilities\RefineRTDCRunTimes.py" --tripid 77-04 --locoid 4020 --swversion DE.1.0.9.0 --startMP 204:361 --initTime 2017-04-04T18:18:35 --startdatetime 2017-04-04T18:27:43 --delay 6 --endMP 300:23346 --enddatetime 2017-04-04T18:42:15 --enforcementcount 0 &gt;&gt;C:\Users\stu\Documents\GitHub\eaglep3-reporting\EC\2017-04-04-refined-times.txt</v>
      </c>
      <c r="AI230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ID","value":"77-04"},{"id":16,"name":"Locomotive ID","value":"4020"},{"id":130,"name":"Impact","value":""},{"id":150,"name":"Time of Event (Mountain Time)","value":"18:42:15"},{"id":151,"name":"Denver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22"/>
        <v>start /low /b %USERPROFILE%\Documents\GitHub\eaglep3\Utilities\DownloadLogsFromS3.py --loco 4020 --day 2017-04-04</v>
      </c>
      <c r="AN230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501</v>
      </c>
      <c r="B231" s="7">
        <v>4021</v>
      </c>
      <c r="C231" s="21" t="s">
        <v>217</v>
      </c>
      <c r="D231" s="21" t="s">
        <v>927</v>
      </c>
      <c r="E231" s="13">
        <v>42829.140266203707</v>
      </c>
      <c r="F231" s="13">
        <v>42829.190694444442</v>
      </c>
      <c r="G231" s="7">
        <v>2</v>
      </c>
      <c r="H231" s="21" t="s">
        <v>928</v>
      </c>
      <c r="I231" s="13">
        <v>42829.199016203704</v>
      </c>
      <c r="J231" s="7">
        <v>0</v>
      </c>
      <c r="K231" s="97" t="str">
        <f>IF(ISEVEN(B231),(B231-1)&amp;"/"&amp;B231,B231&amp;"/"&amp;(B231+1))</f>
        <v>4021/4022</v>
      </c>
      <c r="L231" s="21" t="str">
        <f>VLOOKUP(A231,'Trips&amp;Operators'!$C$1:$G$99999,5,FALSE)</f>
        <v>DUNCAN SHEILA</v>
      </c>
      <c r="M231" s="6">
        <f>I231-F231</f>
        <v>8.3217592618893832E-3</v>
      </c>
      <c r="N231" s="7">
        <f>24*60*SUM($M231:$M231)</f>
        <v>11.983333337120712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-04-04T02:21:59-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1" s="183" t="str">
        <f>IF(AA231&lt;IF(AG231="EC",23,5.65),"Y","N")</f>
        <v>N</v>
      </c>
      <c r="X231" s="183" t="e">
        <f>VALUE(LEFT(AD231,4))-VALUE(LEFT(AD230,4))</f>
        <v>#VALUE!</v>
      </c>
      <c r="Y231" s="62">
        <f>RIGHT(D231,LEN(D231)-4)/10000</f>
        <v>23.191700000000001</v>
      </c>
      <c r="Z231" s="62">
        <f>RIGHT(H231,LEN(H231)-4)/10000</f>
        <v>1.7299999999999999E-2</v>
      </c>
      <c r="AA231" s="62">
        <f>ABS(Z231-Y231)</f>
        <v>23.174400000000002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80-03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1" s="82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1" s="1" t="str">
        <f>IFERROR(IF(VALUE(LEFT(AD231,2))&lt;=2,"EC",IF(OR(VALUE(LEFT(AD231,2))=8,VALUE(LEFT(AD231,2))=18),"NW","Other")),"Other")</f>
        <v>Other</v>
      </c>
      <c r="AH231" s="86" t="str">
        <f t="shared" si="20"/>
        <v>"%USERPROFILE%\Documents\GitHub\eaglep3\Utilities\RefineRTDCRunTimes.py" --tripid 80-03 --locoid 4021 --swversion DE.1.0.9.0 --startMP 204:231917 --initTime 2017-04-04T03:21:59 --startdatetime 2017-04-04T04:34:36 --delay 2 --endMP 204:173 --enddatetime 2017-04-04T04:46:35 --enforcementcount 0 &gt;&gt;C:\Users\stu\Documents\GitHub\eaglep3-reporting\EC\2017-04-04-refined-times.txt</v>
      </c>
      <c r="AI231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{"issue":{"subject":"","project_id":79,"tracker_id":40,"status_id":1,"priority_id":2,"assigned_to_id":23,"start_date":"2017-04-04","description":"","custom_fields":[{"id":1,"name":"Subdivision","value":"Other"},{"id":4,"name":"Milepost","value":"0.0173"},{"id":17,"name":"Train ID","value":"80-03"},{"id":16,"name":"Locomotive ID","value":"4021"},{"id":130,"name":"Impact","value":""},{"id":150,"name":"Time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22"/>
        <v>start /low /b %USERPROFILE%\Documents\GitHub\eaglep3\Utilities\DownloadLogsFromS3.py --loco 4021 --day 2017-04-04</v>
      </c>
      <c r="AN231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501</v>
      </c>
      <c r="B232" s="7">
        <v>4021</v>
      </c>
      <c r="C232" s="21" t="s">
        <v>217</v>
      </c>
      <c r="D232" s="21" t="s">
        <v>554</v>
      </c>
      <c r="E232" s="13">
        <v>42829.10260416667</v>
      </c>
      <c r="F232" s="13">
        <v>42829.131319444445</v>
      </c>
      <c r="G232" s="7">
        <v>1</v>
      </c>
      <c r="H232" s="21" t="s">
        <v>555</v>
      </c>
      <c r="I232" s="13">
        <v>42829.131608796299</v>
      </c>
      <c r="J232" s="7">
        <v>0</v>
      </c>
      <c r="K232" s="97" t="str">
        <f>IF(ISEVEN(B232),(B232-1)&amp;"/"&amp;B232,B232&amp;"/"&amp;(B232+1))</f>
        <v>4021/4022</v>
      </c>
      <c r="L232" s="21" t="str">
        <f>VLOOKUP(A232,'Trips&amp;Operators'!$C$1:$G$99999,5,FALSE)</f>
        <v>DUNCAN SHEILA</v>
      </c>
      <c r="M232" s="6">
        <f>I232-F232</f>
        <v>2.8935185400769114E-4</v>
      </c>
      <c r="N232" s="7">
        <f>24*60*SUM($M232:$M232)</f>
        <v>0.41666666977107525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-04-04T01:27:45-0600',mode:absolute,to:'2017-04-04T04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183" t="str">
        <f>IF(AA232&lt;IF(AG232="EC",23,5.65),"Y","N")</f>
        <v>Y</v>
      </c>
      <c r="X232" s="183" t="e">
        <f>VALUE(LEFT(AD232,4))-VALUE(LEFT(AD231,4))</f>
        <v>#VALUE!</v>
      </c>
      <c r="Y232" s="62">
        <f>RIGHT(D232,LEN(D232)-4)/10000</f>
        <v>23.231000000000002</v>
      </c>
      <c r="Z232" s="62">
        <f>RIGHT(H232,LEN(H232)-4)/10000</f>
        <v>19.008199999999999</v>
      </c>
      <c r="AA232" s="62">
        <f>ABS(Z232-Y232)</f>
        <v>4.222800000000003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80-03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2" s="82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/stypes="app*4021*20170404*" /stext=" 09:.+((SYSTEM_STATE.+slice.+state.+changed )|(ment ac)|(multiple cpu faults)|(system.+state.+changed )|(\[timeout)|(PRM\|1\|D)|(kpr)|(kdp)|(\|lc)|(penalty))"</v>
      </c>
      <c r="AG232" s="1" t="str">
        <f>IFERROR(IF(VALUE(LEFT(AD232,2))&lt;=2,"EC",IF(OR(VALUE(LEFT(AD232,2))=8,VALUE(LEFT(AD232,2))=18),"NW","Other")),"Other")</f>
        <v>Other</v>
      </c>
      <c r="AH232" s="86" t="str">
        <f t="shared" si="20"/>
        <v>"%USERPROFILE%\Documents\GitHub\eaglep3\Utilities\RefineRTDCRunTimes.py" --tripid 80-03 --locoid 4021 --swversion DE.1.0.9.0 --startMP 204:232310 --initTime 2017-04-04T02:27:45 --startdatetime 2017-04-04T03:09:06 --delay 1 --endMP 204:190082 --enddatetime 2017-04-04T03:09:31 --enforcementcount 0 &gt;&gt;C:\Users\stu\Documents\GitHub\eaglep3-reporting\EC\2017-04-04-refined-times.txt</v>
      </c>
      <c r="AI232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{"issue":{"subject":"","project_id":79,"tracker_id":40,"status_id":1,"priority_id":2,"assigned_to_id":23,"start_date":"2017-04-04","description":"","custom_fields":[{"id":1,"name":"Subdivision","value":"Other"},{"id":4,"name":"Milepost","value":"19.0082"},{"id":17,"name":"Train ID","value":"80-03"},{"id":16,"name":"Locomotive ID","value":"4021"},{"id":130,"name":"Impact","value":""},{"id":150,"name":"Time of Event (Mountain Time)","value":"03:09:31"},{"id":151,"name":"Denver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22"/>
        <v>start /low /b %USERPROFILE%\Documents\GitHub\eaglep3\Utilities\DownloadLogsFromS3.py --loco 4021 --day 2017-04-04</v>
      </c>
      <c r="AN232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501</v>
      </c>
      <c r="B233" s="7">
        <v>4021</v>
      </c>
      <c r="C233" s="21" t="s">
        <v>217</v>
      </c>
      <c r="D233" s="21" t="s">
        <v>556</v>
      </c>
      <c r="E233" s="13">
        <v>42829.080983796295</v>
      </c>
      <c r="F233" s="13">
        <v>42829.103784722225</v>
      </c>
      <c r="G233" s="7">
        <v>1</v>
      </c>
      <c r="H233" s="21" t="s">
        <v>557</v>
      </c>
      <c r="I233" s="13">
        <v>42829.110532407409</v>
      </c>
      <c r="J233" s="7">
        <v>0</v>
      </c>
      <c r="K233" s="97" t="str">
        <f>IF(ISEVEN(B233),(B233-1)&amp;"/"&amp;B233,B233&amp;"/"&amp;(B233+1))</f>
        <v>4021/4022</v>
      </c>
      <c r="L233" s="21" t="str">
        <f>VLOOKUP(A233,'Trips&amp;Operators'!$C$1:$G$99999,5,FALSE)</f>
        <v>DUNCAN SHEILA</v>
      </c>
      <c r="M233" s="6">
        <f>I233-F233</f>
        <v>6.7476851836545393E-3</v>
      </c>
      <c r="N233" s="7">
        <f>24*60*SUM($M233:$M233)</f>
        <v>9.7166666644625366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-04-04T00:56:37-0600',mode:absolute,to:'2017-04-04T03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83" t="str">
        <f>IF(AA233&lt;IF(AG233="EC",23,5.65),"Y","N")</f>
        <v>Y</v>
      </c>
      <c r="X233" s="183" t="e">
        <f>VALUE(LEFT(AD233,4))-VALUE(LEFT(AD232,4))</f>
        <v>#VALUE!</v>
      </c>
      <c r="Y233" s="62">
        <f>RIGHT(D233,LEN(D233)-4)/10000</f>
        <v>23.241599999999998</v>
      </c>
      <c r="Z233" s="62">
        <f>RIGHT(H233,LEN(H233)-4)/10000</f>
        <v>19.0062</v>
      </c>
      <c r="AA233" s="62">
        <f>ABS(Z233-Y233)</f>
        <v>4.2353999999999985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80-03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3" s="82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3" s="1" t="str">
        <f>IFERROR(IF(VALUE(LEFT(AD233,2))&lt;=2,"EC",IF(OR(VALUE(LEFT(AD233,2))=8,VALUE(LEFT(AD233,2))=18),"NW","Other")),"Other")</f>
        <v>Other</v>
      </c>
      <c r="AH233" s="86" t="str">
        <f t="shared" si="20"/>
        <v>"%USERPROFILE%\Documents\GitHub\eaglep3\Utilities\RefineRTDCRunTimes.py" --tripid 80-03 --locoid 4021 --swversion DE.1.0.9.0 --startMP 204:232416 --initTime 2017-04-04T01:56:37 --startdatetime 2017-04-04T02:29:27 --delay 1 --endMP 204:190062 --enddatetime 2017-04-04T02:39:10 --enforcementcount 0 &gt;&gt;C:\Users\stu\Documents\GitHub\eaglep3-reporting\EC\2017-04-04-refined-times.txt</v>
      </c>
      <c r="AI233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{"issue":{"subject":"","project_id":79,"tracker_id":40,"status_id":1,"priority_id":2,"assigned_to_id":23,"start_date":"2017-04-04","description":"","custom_fields":[{"id":1,"name":"Subdivision","value":"Other"},{"id":4,"name":"Milepost","value":"19.0062"},{"id":17,"name":"Train ID","value":"80-03"},{"id":16,"name":"Locomotive ID","value":"4021"},{"id":130,"name":"Impact","value":""},{"id":150,"name":"Time of Event (Mountain Time)","value":"02:39:10"},{"id":151,"name":"Denver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22"/>
        <v>start /low /b %USERPROFILE%\Documents\GitHub\eaglep3\Utilities\DownloadLogsFromS3.py --loco 4021 --day 2017-04-04</v>
      </c>
      <c r="AN233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501</v>
      </c>
      <c r="B234" s="7">
        <v>4021</v>
      </c>
      <c r="C234" s="21" t="s">
        <v>217</v>
      </c>
      <c r="D234" s="21" t="s">
        <v>929</v>
      </c>
      <c r="E234" s="13">
        <v>42829.129606481481</v>
      </c>
      <c r="F234" s="13">
        <v>42829.142256944448</v>
      </c>
      <c r="G234" s="7">
        <v>1</v>
      </c>
      <c r="H234" s="21" t="s">
        <v>930</v>
      </c>
      <c r="I234" s="13">
        <v>42829.173032407409</v>
      </c>
      <c r="J234" s="7">
        <v>0</v>
      </c>
      <c r="K234" s="97" t="str">
        <f>IF(ISEVEN(B234),(B234-1)&amp;"/"&amp;B234,B234&amp;"/"&amp;(B234+1))</f>
        <v>4021/4022</v>
      </c>
      <c r="L234" s="21" t="str">
        <f>VLOOKUP(A234,'Trips&amp;Operators'!$C$1:$G$99999,5,FALSE)</f>
        <v>DUNCAN SHEILA</v>
      </c>
      <c r="M234" s="6">
        <f>I234-F234</f>
        <v>3.0775462961173616E-2</v>
      </c>
      <c r="N234" s="7">
        <f>24*60*SUM($M234:$M234)</f>
        <v>44.316666664090008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-04-04T02:06:38-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4" s="183" t="str">
        <f>IF(AA234&lt;IF(AG234="EC",23,5.65),"Y","N")</f>
        <v>Y</v>
      </c>
      <c r="X234" s="183" t="e">
        <f>VALUE(LEFT(AD234,4))-VALUE(LEFT(AD233,4))</f>
        <v>#VALUE!</v>
      </c>
      <c r="Y234" s="62">
        <f>RIGHT(D234,LEN(D234)-4)/10000</f>
        <v>23.284600000000001</v>
      </c>
      <c r="Z234" s="62">
        <f>RIGHT(H234,LEN(H234)-4)/10000</f>
        <v>23.191099999999999</v>
      </c>
      <c r="AA234" s="62">
        <f>ABS(Z234-Y234)</f>
        <v>9.3500000000002359E-2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80-03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4" s="82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4" s="1" t="str">
        <f>IFERROR(IF(VALUE(LEFT(AD234,2))&lt;=2,"EC",IF(OR(VALUE(LEFT(AD234,2))=8,VALUE(LEFT(AD234,2))=18),"NW","Other")),"Other")</f>
        <v>Other</v>
      </c>
      <c r="AH234" s="86" t="str">
        <f t="shared" si="20"/>
        <v>"%USERPROFILE%\Documents\GitHub\eaglep3\Utilities\RefineRTDCRunTimes.py" --tripid 80-03 --locoid 4021 --swversion DE.1.0.9.0 --startMP 204:232846 --initTime 2017-04-04T03:06:38 --startdatetime 2017-04-04T03:24:51 --delay 1 --endMP 204:231911 --enddatetime 2017-04-04T04:09:10 --enforcementcount 0 &gt;&gt;C:\Users\stu\Documents\GitHub\eaglep3-reporting\EC\2017-04-04-refined-times.txt</v>
      </c>
      <c r="AI234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{"issue":{"subject":"","project_id":79,"tracker_id":40,"status_id":1,"priority_id":2,"assigned_to_id":23,"start_date":"2017-04-04","description":"","custom_fields":[{"id":1,"name":"Subdivision","value":"Other"},{"id":4,"name":"Milepost","value":"23.1911"},{"id":17,"name":"Train ID","value":"80-03"},{"id":16,"name":"Locomotive ID","value":"4021"},{"id":130,"name":"Impact","value":""},{"id":150,"name":"Time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22"/>
        <v>start /low /b %USERPROFILE%\Documents\GitHub\eaglep3\Utilities\DownloadLogsFromS3.py --loco 4021 --day 2017-04-04</v>
      </c>
      <c r="AN234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501</v>
      </c>
      <c r="B235" s="7">
        <v>4022</v>
      </c>
      <c r="C235" s="21" t="s">
        <v>217</v>
      </c>
      <c r="D235" s="21" t="s">
        <v>558</v>
      </c>
      <c r="E235" s="13">
        <v>42829.091261574074</v>
      </c>
      <c r="F235" s="13">
        <v>42829.117361111108</v>
      </c>
      <c r="G235" s="7">
        <v>1</v>
      </c>
      <c r="H235" s="21" t="s">
        <v>559</v>
      </c>
      <c r="I235" s="13">
        <v>42829.125092592592</v>
      </c>
      <c r="J235" s="7">
        <v>0</v>
      </c>
      <c r="K235" s="97" t="str">
        <f>IF(ISEVEN(B235),(B235-1)&amp;"/"&amp;B235,B235&amp;"/"&amp;(B235+1))</f>
        <v>4021/4022</v>
      </c>
      <c r="L235" s="21" t="str">
        <f>VLOOKUP(A235,'Trips&amp;Operators'!$C$1:$G$99999,5,FALSE)</f>
        <v>DUNCAN SHEILA</v>
      </c>
      <c r="M235" s="6">
        <f>I235-F235</f>
        <v>7.7314814843703061E-3</v>
      </c>
      <c r="N235" s="7">
        <f>24*60*SUM($M235:$M235)</f>
        <v>11.133333337493241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-04-04T01:11:25-0600',mode:absolute,to:'2017-04-04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183" t="str">
        <f>IF(AA235&lt;IF(AG235="EC",23,5.65),"Y","N")</f>
        <v>Y</v>
      </c>
      <c r="X235" s="183" t="e">
        <f>VALUE(LEFT(AD235,4))-VALUE(LEFT(AD234,4))</f>
        <v>#VALUE!</v>
      </c>
      <c r="Y235" s="62">
        <f>RIGHT(D235,LEN(D235)-4)/10000</f>
        <v>19.036300000000001</v>
      </c>
      <c r="Z235" s="62">
        <f>RIGHT(H235,LEN(H235)-4)/10000</f>
        <v>23.263100000000001</v>
      </c>
      <c r="AA235" s="62">
        <f>ABS(Z235-Y235)</f>
        <v>4.2268000000000008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80-03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5" s="82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/stypes="app*4022*20170404*" /stext=" 09:.+((SYSTEM_STATE.+slice.+state.+changed )|(ment ac)|(multiple cpu faults)|(system.+state.+changed )|(\[timeout)|(PRM\|1\|D)|(kpr)|(kdp)|(\|lc)|(penalty))"</v>
      </c>
      <c r="AG235" s="1" t="str">
        <f>IFERROR(IF(VALUE(LEFT(AD235,2))&lt;=2,"EC",IF(OR(VALUE(LEFT(AD235,2))=8,VALUE(LEFT(AD235,2))=18),"NW","Other")),"Other")</f>
        <v>Other</v>
      </c>
      <c r="AH235" s="86" t="str">
        <f t="shared" si="20"/>
        <v>"%USERPROFILE%\Documents\GitHub\eaglep3\Utilities\RefineRTDCRunTimes.py" --tripid 80-03 --locoid 4022 --swversion DE.1.0.9.0 --startMP 204:190363 --initTime 2017-04-04T02:11:25 --startdatetime 2017-04-04T02:49:00 --delay 1 --endMP 204:232631 --enddatetime 2017-04-04T03:00:08 --enforcementcount 0 &gt;&gt;C:\Users\stu\Documents\GitHub\eaglep3-reporting\EC\2017-04-04-refined-times.txt</v>
      </c>
      <c r="AI235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{"issue":{"subject":"","project_id":79,"tracker_id":40,"status_id":1,"priority_id":2,"assigned_to_id":23,"start_date":"2017-04-04","description":"","custom_fields":[{"id":1,"name":"Subdivision","value":"Other"},{"id":4,"name":"Milepost","value":"23.2631"},{"id":17,"name":"Train ID","value":"80-03"},{"id":16,"name":"Locomotive ID","value":"4022"},{"id":130,"name":"Impact","value":""},{"id":150,"name":"Time of Event (Mountain Time)","value":"03:00:08"},{"id":151,"name":"Denver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22"/>
        <v>start /low /b %USERPROFILE%\Documents\GitHub\eaglep3\Utilities\DownloadLogsFromS3.py --loco 4022 --day 2017-04-04</v>
      </c>
      <c r="AN235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501</v>
      </c>
      <c r="B236" s="7">
        <v>4022</v>
      </c>
      <c r="C236" s="21" t="s">
        <v>217</v>
      </c>
      <c r="D236" s="21" t="s">
        <v>931</v>
      </c>
      <c r="E236" s="13">
        <v>42829.116238425922</v>
      </c>
      <c r="F236" s="13">
        <v>42829.142256944448</v>
      </c>
      <c r="G236" s="7">
        <v>1</v>
      </c>
      <c r="H236" s="21" t="s">
        <v>932</v>
      </c>
      <c r="I236" s="13">
        <v>42829.173032407409</v>
      </c>
      <c r="J236" s="7">
        <v>0</v>
      </c>
      <c r="K236" s="97" t="str">
        <f>IF(ISEVEN(B236),(B236-1)&amp;"/"&amp;B236,B236&amp;"/"&amp;(B236+1))</f>
        <v>4021/4022</v>
      </c>
      <c r="L236" s="21" t="str">
        <f>VLOOKUP(A236,'Trips&amp;Operators'!$C$1:$G$99999,5,FALSE)</f>
        <v>DUNCAN SHEILA</v>
      </c>
      <c r="M236" s="6">
        <f>I236-F236</f>
        <v>3.0775462961173616E-2</v>
      </c>
      <c r="N236" s="7">
        <f>24*60*SUM($M236:$M236)</f>
        <v>44.316666664090008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-04-04T01:47:23-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6" s="183" t="str">
        <f>IF(AA236&lt;IF(AG236="EC",23,5.65),"Y","N")</f>
        <v>Y</v>
      </c>
      <c r="X236" s="183" t="e">
        <f>VALUE(LEFT(AD236,4))-VALUE(LEFT(AD235,4))</f>
        <v>#VALUE!</v>
      </c>
      <c r="Y236" s="62">
        <f>RIGHT(D236,LEN(D236)-4)/10000</f>
        <v>19.0381</v>
      </c>
      <c r="Z236" s="62">
        <f>RIGHT(H236,LEN(H236)-4)/10000</f>
        <v>23.265599999999999</v>
      </c>
      <c r="AA236" s="62">
        <f>ABS(Z236-Y236)</f>
        <v>4.2274999999999991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80-03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6" s="82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6" s="1" t="str">
        <f>IFERROR(IF(VALUE(LEFT(AD236,2))&lt;=2,"EC",IF(OR(VALUE(LEFT(AD236,2))=8,VALUE(LEFT(AD236,2))=18),"NW","Other")),"Other")</f>
        <v>Other</v>
      </c>
      <c r="AH236" s="86" t="str">
        <f t="shared" si="20"/>
        <v>"%USERPROFILE%\Documents\GitHub\eaglep3\Utilities\RefineRTDCRunTimes.py" --tripid 80-03 --locoid 4022 --swversion DE.1.0.9.0 --startMP 204:190381 --initTime 2017-04-04T02:47:23 --startdatetime 2017-04-04T03:24:51 --delay 1 --endMP 204:232656 --enddatetime 2017-04-04T04:09:10 --enforcementcount 0 &gt;&gt;C:\Users\stu\Documents\GitHub\eaglep3-reporting\EC\2017-04-04-refined-times.txt</v>
      </c>
      <c r="AI236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{"issue":{"subject":"","project_id":79,"tracker_id":40,"status_id":1,"priority_id":2,"assigned_to_id":23,"start_date":"2017-04-04","description":"","custom_fields":[{"id":1,"name":"Subdivision","value":"Other"},{"id":4,"name":"Milepost","value":"23.2656"},{"id":17,"name":"Train ID","value":"80-03"},{"id":16,"name":"Locomotive ID","value":"4022"},{"id":130,"name":"Impact","value":""},{"id":150,"name":"Time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22"/>
        <v>start /low /b %USERPROFILE%\Documents\GitHub\eaglep3\Utilities\DownloadLogsFromS3.py --loco 4022 --day 2017-04-04</v>
      </c>
      <c r="AN236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501</v>
      </c>
      <c r="B237" s="7">
        <v>4022</v>
      </c>
      <c r="C237" s="21" t="s">
        <v>217</v>
      </c>
      <c r="D237" s="21" t="s">
        <v>861</v>
      </c>
      <c r="E237" s="13">
        <v>42829.178402777776</v>
      </c>
      <c r="F237" s="13">
        <v>42829.190694444442</v>
      </c>
      <c r="G237" s="7">
        <v>1</v>
      </c>
      <c r="H237" s="21" t="s">
        <v>933</v>
      </c>
      <c r="I237" s="13">
        <v>42829.199016203704</v>
      </c>
      <c r="J237" s="7">
        <v>0</v>
      </c>
      <c r="K237" s="97" t="str">
        <f>IF(ISEVEN(B237),(B237-1)&amp;"/"&amp;B237,B237&amp;"/"&amp;(B237+1))</f>
        <v>4021/4022</v>
      </c>
      <c r="L237" s="21" t="str">
        <f>VLOOKUP(A237,'Trips&amp;Operators'!$C$1:$G$99999,5,FALSE)</f>
        <v>DUNCAN SHEILA</v>
      </c>
      <c r="M237" s="6">
        <f>I237-F237</f>
        <v>8.3217592618893832E-3</v>
      </c>
      <c r="N237" s="7">
        <f>24*60*SUM($M237:$M237)</f>
        <v>11.983333337120712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-04-04T03:16:54-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7" s="183" t="str">
        <f>IF(AA237&lt;IF(AG237="EC",23,5.65),"Y","N")</f>
        <v>Y</v>
      </c>
      <c r="X237" s="183" t="e">
        <f>VALUE(LEFT(AD237,4))-VALUE(LEFT(AD236,4))</f>
        <v>#VALUE!</v>
      </c>
      <c r="Y237" s="62">
        <f>RIGHT(D237,LEN(D237)-4)/10000</f>
        <v>4.8399999999999999E-2</v>
      </c>
      <c r="Z237" s="62">
        <f>RIGHT(H237,LEN(H237)-4)/10000</f>
        <v>2.3304</v>
      </c>
      <c r="AA237" s="62">
        <f>ABS(Z237-Y237)</f>
        <v>2.282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80-03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7" s="82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7" s="1" t="str">
        <f>IFERROR(IF(VALUE(LEFT(AD237,2))&lt;=2,"EC",IF(OR(VALUE(LEFT(AD237,2))=8,VALUE(LEFT(AD237,2))=18),"NW","Other")),"Other")</f>
        <v>Other</v>
      </c>
      <c r="AH237" s="86" t="str">
        <f t="shared" si="20"/>
        <v>"%USERPROFILE%\Documents\GitHub\eaglep3\Utilities\RefineRTDCRunTimes.py" --tripid 80-03 --locoid 4022 --swversion DE.1.0.9.0 --startMP 204:484 --initTime 2017-04-04T04:16:54 --startdatetime 2017-04-04T04:34:36 --delay 1 --endMP 300:23304 --enddatetime 2017-04-04T04:46:35 --enforcementcount 0 &gt;&gt;C:\Users\stu\Documents\GitHub\eaglep3-reporting\EC\2017-04-04-refined-times.txt</v>
      </c>
      <c r="AI237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{"issue":{"subject":"","project_id":79,"tracker_id":40,"status_id":1,"priority_id":2,"assigned_to_id":23,"start_date":"2017-04-04","description":"","custom_fields":[{"id":1,"name":"Subdivision","value":"Other"},{"id":4,"name":"Milepost","value":"2.3304"},{"id":17,"name":"Train ID","value":"80-03"},{"id":16,"name":"Locomotive ID","value":"4022"},{"id":130,"name":"Impact","value":""},{"id":150,"name":"Time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22"/>
        <v>start /low /b %USERPROFILE%\Documents\GitHub\eaglep3\Utilities\DownloadLogsFromS3.py --loco 4022 --day 2017-04-04</v>
      </c>
      <c r="AN237" s="159" t="str">
        <f t="shared" si="23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628</v>
      </c>
      <c r="B238" s="7">
        <v>4022</v>
      </c>
      <c r="C238" s="21" t="s">
        <v>217</v>
      </c>
      <c r="D238" s="21" t="s">
        <v>950</v>
      </c>
      <c r="E238" s="13">
        <v>42829.840104166666</v>
      </c>
      <c r="F238" s="13">
        <v>42829.881828703707</v>
      </c>
      <c r="G238" s="7">
        <v>2</v>
      </c>
      <c r="H238" s="21" t="s">
        <v>951</v>
      </c>
      <c r="I238" s="13">
        <v>42829.889988425923</v>
      </c>
      <c r="J238" s="7">
        <v>0</v>
      </c>
      <c r="K238" s="97" t="str">
        <f>IF(ISEVEN(B238),(B238-1)&amp;"/"&amp;B238,B238&amp;"/"&amp;(B238+1))</f>
        <v>4021/4022</v>
      </c>
      <c r="L238" s="21" t="str">
        <f>VLOOKUP(A238,'Trips&amp;Operators'!$C$1:$G$99999,5,FALSE)</f>
        <v>DUNCAN SHEILA</v>
      </c>
      <c r="M238" s="6">
        <f>I238-F238</f>
        <v>8.1597222160780802E-3</v>
      </c>
      <c r="N238" s="7">
        <f>24*60*SUM($M238:$M238)</f>
        <v>11.749999991152436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8" s="183" t="str">
        <f>IF(AA238&lt;IF(AG238="EC",23,5.65),"Y","N")</f>
        <v>N</v>
      </c>
      <c r="X238" s="183" t="e">
        <f>VALUE(LEFT(AD238,4))-VALUE(LEFT(AD237,4))</f>
        <v>#VALUE!</v>
      </c>
      <c r="Y238" s="62">
        <f>RIGHT(D238,LEN(D238)-4)/10000</f>
        <v>0.1216</v>
      </c>
      <c r="Z238" s="62">
        <f>RIGHT(H238,LEN(H238)-4)/10000</f>
        <v>23.261199999999999</v>
      </c>
      <c r="AA238" s="62">
        <f>ABS(Z238-Y238)</f>
        <v>23.139599999999998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81-04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8" s="82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8" s="1" t="str">
        <f>IFERROR(IF(VALUE(LEFT(AD238,2))&lt;=2,"EC",IF(OR(VALUE(LEFT(AD238,2))=8,VALUE(LEFT(AD238,2))=18),"NW","Other")),"Other")</f>
        <v>Other</v>
      </c>
      <c r="AH238" s="86" t="str">
        <f t="shared" si="20"/>
        <v>"%USERPROFILE%\Documents\GitHub\eaglep3\Utilities\RefineRTDCRunTimes.py" --tripid 81-04 --locoid 4022 --swversion DE.1.0.9.0 --startMP 204:1216 --initTime 2017-04-04T20:09:45 --startdatetime 2017-04-04T21:09:50 --delay 2 --endMP 204:232612 --enddatetime 2017-04-04T21:21:35 --enforcementcount 0 &gt;&gt;C:\Users\stu\Documents\GitHub\eaglep3-reporting\EC\2017-04-04-refined-times.txt</v>
      </c>
      <c r="AI238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22"/>
        <v>start /low /b %USERPROFILE%\Documents\GitHub\eaglep3\Utilities\DownloadLogsFromS3.py --loco 4022 --day 2017-04-04</v>
      </c>
      <c r="AN238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628</v>
      </c>
      <c r="B239" s="7">
        <v>4022</v>
      </c>
      <c r="C239" s="21" t="s">
        <v>217</v>
      </c>
      <c r="D239" s="21" t="s">
        <v>952</v>
      </c>
      <c r="E239" s="13">
        <v>42829.880555555559</v>
      </c>
      <c r="F239" s="13">
        <v>42829.90896990741</v>
      </c>
      <c r="G239" s="7">
        <v>1</v>
      </c>
      <c r="H239" s="21" t="s">
        <v>953</v>
      </c>
      <c r="I239" s="13">
        <v>42829.915613425925</v>
      </c>
      <c r="J239" s="7">
        <v>0</v>
      </c>
      <c r="K239" s="97" t="str">
        <f>IF(ISEVEN(B239),(B239-1)&amp;"/"&amp;B239,B239&amp;"/"&amp;(B239+1))</f>
        <v>4021/4022</v>
      </c>
      <c r="L239" s="21" t="str">
        <f>VLOOKUP(A239,'Trips&amp;Operators'!$C$1:$G$99999,5,FALSE)</f>
        <v>DUNCAN SHEILA</v>
      </c>
      <c r="M239" s="6">
        <f>I239-F239</f>
        <v>6.6435185144655406E-3</v>
      </c>
      <c r="N239" s="7">
        <f>24*60*SUM($M239:$M239)</f>
        <v>9.5666666608303785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-04-04T20:08:00-0600',mode:absolute,to:'2017-04-04T22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9" s="183" t="str">
        <f>IF(AA239&lt;IF(AG239="EC",23,5.65),"Y","N")</f>
        <v>Y</v>
      </c>
      <c r="X239" s="183" t="e">
        <f>VALUE(LEFT(AD239,4))-VALUE(LEFT(AD238,4))</f>
        <v>#VALUE!</v>
      </c>
      <c r="Y239" s="62">
        <f>RIGHT(D239,LEN(D239)-4)/10000</f>
        <v>18.9605</v>
      </c>
      <c r="Z239" s="62">
        <f>RIGHT(H239,LEN(H239)-4)/10000</f>
        <v>23.262899999999998</v>
      </c>
      <c r="AA239" s="62">
        <f>ABS(Z239-Y239)</f>
        <v>4.3023999999999987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81-04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9" s="82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9" s="1" t="str">
        <f>IFERROR(IF(VALUE(LEFT(AD239,2))&lt;=2,"EC",IF(OR(VALUE(LEFT(AD239,2))=8,VALUE(LEFT(AD239,2))=18),"NW","Other")),"Other")</f>
        <v>Other</v>
      </c>
      <c r="AH239" s="86" t="str">
        <f t="shared" si="20"/>
        <v>"%USERPROFILE%\Documents\GitHub\eaglep3\Utilities\RefineRTDCRunTimes.py" --tripid 81-04 --locoid 4022 --swversion DE.1.0.9.0 --startMP 204:189605 --initTime 2017-04-04T21:08:00 --startdatetime 2017-04-04T21:48:55 --delay 1 --endMP 204:232629 --enddatetime 2017-04-04T21:58:29 --enforcementcount 0 &gt;&gt;C:\Users\stu\Documents\GitHub\eaglep3-reporting\EC\2017-04-04-refined-times.txt</v>
      </c>
      <c r="AI239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{"issue":{"subject":"","project_id":79,"tracker_id":40,"status_id":1,"priority_id":2,"assigned_to_id":23,"start_date":"2017-04-04","description":"","custom_fields":[{"id":1,"name":"Subdivision","value":"Other"},{"id":4,"name":"Milepost","value":"23.2629"},{"id":17,"name":"Train ID","value":"81-04"},{"id":16,"name":"Locomotive ID","value":"4022"},{"id":130,"name":"Impact","value":""},{"id":150,"name":"Time of Event (Mountain Time)","value":"21:58:29"},{"id":151,"name":"Denver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22"/>
        <v>start /low /b %USERPROFILE%\Documents\GitHub\eaglep3\Utilities\DownloadLogsFromS3.py --loco 4022 --day 2017-04-04</v>
      </c>
      <c r="AN239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628</v>
      </c>
      <c r="B240" s="7">
        <v>4022</v>
      </c>
      <c r="C240" s="21" t="s">
        <v>217</v>
      </c>
      <c r="D240" s="21" t="s">
        <v>954</v>
      </c>
      <c r="E240" s="13">
        <v>42829.92696759259</v>
      </c>
      <c r="F240" s="13">
        <v>42829.928067129629</v>
      </c>
      <c r="G240" s="7">
        <v>1</v>
      </c>
      <c r="H240" s="21" t="s">
        <v>536</v>
      </c>
      <c r="I240" s="13">
        <v>42829.936620370368</v>
      </c>
      <c r="J240" s="7">
        <v>0</v>
      </c>
      <c r="K240" s="97" t="str">
        <f>IF(ISEVEN(B240),(B240-1)&amp;"/"&amp;B240,B240&amp;"/"&amp;(B240+1))</f>
        <v>4021/4022</v>
      </c>
      <c r="L240" s="21" t="str">
        <f>VLOOKUP(A240,'Trips&amp;Operators'!$C$1:$G$99999,5,FALSE)</f>
        <v>DUNCAN SHEILA</v>
      </c>
      <c r="M240" s="6">
        <f>I240-F240</f>
        <v>8.55324073927477E-3</v>
      </c>
      <c r="N240" s="7">
        <f>24*60*SUM($M240:$M240)</f>
        <v>12.316666664555669</v>
      </c>
      <c r="O240" s="7"/>
      <c r="P240" s="7"/>
      <c r="Q240" s="22"/>
      <c r="R240" s="22"/>
      <c r="S240" s="31">
        <f>SUM(U240:U240)/IF(AG240="EC",12,1)</f>
        <v>0</v>
      </c>
      <c r="T240" s="46" t="e">
        <f>IF(ISEVEN(LEFT(AD240,4)),"Southbound","NorthBound")</f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-04-04T21:14:50-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83" t="str">
        <f>IF(AA240&lt;IF(AG240="EC",23,5.65),"Y","N")</f>
        <v>Y</v>
      </c>
      <c r="X240" s="183" t="e">
        <f>VALUE(LEFT(AD240,4))-VALUE(LEFT(AD239,4))</f>
        <v>#VALUE!</v>
      </c>
      <c r="Y240" s="62">
        <f>RIGHT(D240,LEN(D240)-4)/10000</f>
        <v>19.0426</v>
      </c>
      <c r="Z240" s="62">
        <f>RIGHT(H240,LEN(H240)-4)/10000</f>
        <v>23.331600000000002</v>
      </c>
      <c r="AA240" s="62">
        <f>ABS(Z240-Y240)</f>
        <v>4.2890000000000015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>IF(LEN(A240)=6,"0"&amp;A240,A240)</f>
        <v>81-04</v>
      </c>
      <c r="AE240" s="8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0" s="82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0" s="1" t="str">
        <f>IFERROR(IF(VALUE(LEFT(AD240,2))&lt;=2,"EC",IF(OR(VALUE(LEFT(AD240,2))=8,VALUE(LEFT(AD240,2))=18),"NW","Other")),"Other")</f>
        <v>Other</v>
      </c>
      <c r="AH240" s="86" t="str">
        <f t="shared" si="20"/>
        <v>"%USERPROFILE%\Documents\GitHub\eaglep3\Utilities\RefineRTDCRunTimes.py" --tripid 81-04 --locoid 4022 --swversion DE.1.0.9.0 --startMP 204:190426 --initTime 2017-04-04T22:14:50 --startdatetime 2017-04-04T22:16:25 --delay 1 --endMP 204:233316 --enddatetime 2017-04-04T22:28:44 --enforcementcount 0 &gt;&gt;C:\Users\stu\Documents\GitHub\eaglep3-reporting\EC\2017-04-04-refined-times.txt</v>
      </c>
      <c r="AI240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{"issue":{"subject":"","project_id":79,"tracker_id":40,"status_id":1,"priority_id":2,"assigned_to_id":23,"start_date":"2017-04-04","description":"","custom_fields":[{"id":1,"name":"Subdivision","value":"Other"},{"id":4,"name":"Milepost","value":"23.3316"},{"id":17,"name":"Train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22"/>
        <v>start /low /b %USERPROFILE%\Documents\GitHub\eaglep3\Utilities\DownloadLogsFromS3.py --loco 4022 --day 2017-04-04</v>
      </c>
      <c r="AN240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628</v>
      </c>
      <c r="B241" s="7">
        <v>4022</v>
      </c>
      <c r="C241" s="21" t="s">
        <v>217</v>
      </c>
      <c r="D241" s="21" t="s">
        <v>955</v>
      </c>
      <c r="E241" s="13">
        <v>42829.907592592594</v>
      </c>
      <c r="F241" s="13">
        <v>42829.928067129629</v>
      </c>
      <c r="G241" s="7">
        <v>1</v>
      </c>
      <c r="H241" s="21" t="s">
        <v>951</v>
      </c>
      <c r="I241" s="13">
        <v>42829.936620370368</v>
      </c>
      <c r="J241" s="7">
        <v>0</v>
      </c>
      <c r="K241" s="97" t="str">
        <f>IF(ISEVEN(B241),(B241-1)&amp;"/"&amp;B241,B241&amp;"/"&amp;(B241+1))</f>
        <v>4021/4022</v>
      </c>
      <c r="L241" s="21" t="str">
        <f>VLOOKUP(A241,'Trips&amp;Operators'!$C$1:$G$99999,5,FALSE)</f>
        <v>DUNCAN SHEILA</v>
      </c>
      <c r="M241" s="6">
        <f>I241-F241</f>
        <v>8.55324073927477E-3</v>
      </c>
      <c r="N241" s="7">
        <f>24*60*SUM($M241:$M241)</f>
        <v>12.316666664555669</v>
      </c>
      <c r="O241" s="7"/>
      <c r="P241" s="7"/>
      <c r="Q241" s="22"/>
      <c r="R241" s="22"/>
      <c r="S241" s="31">
        <f>SUM(U241:U241)/IF(AG241="EC",12,1)</f>
        <v>0</v>
      </c>
      <c r="T241" s="46" t="e">
        <f>IF(ISEVEN(LEFT(AD241,4)),"Southbound","NorthBound")</f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-04-04T20:46:56-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1" s="183" t="str">
        <f>IF(AA241&lt;IF(AG241="EC",23,5.65),"Y","N")</f>
        <v>Y</v>
      </c>
      <c r="X241" s="183" t="e">
        <f>VALUE(LEFT(AD241,4))-VALUE(LEFT(AD240,4))</f>
        <v>#VALUE!</v>
      </c>
      <c r="Y241" s="62">
        <f>RIGHT(D241,LEN(D241)-4)/10000</f>
        <v>19.052399999999999</v>
      </c>
      <c r="Z241" s="62">
        <f>RIGHT(H241,LEN(H241)-4)/10000</f>
        <v>23.261199999999999</v>
      </c>
      <c r="AA241" s="62">
        <f>ABS(Z241-Y241)</f>
        <v>4.2088000000000001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>IF(LEN(A241)=6,"0"&amp;A241,A241)</f>
        <v>81-04</v>
      </c>
      <c r="AE241" s="8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1" s="82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1" s="1" t="str">
        <f>IFERROR(IF(VALUE(LEFT(AD241,2))&lt;=2,"EC",IF(OR(VALUE(LEFT(AD241,2))=8,VALUE(LEFT(AD241,2))=18),"NW","Other")),"Other")</f>
        <v>Other</v>
      </c>
      <c r="AH241" s="86" t="str">
        <f t="shared" si="20"/>
        <v>"%USERPROFILE%\Documents\GitHub\eaglep3\Utilities\RefineRTDCRunTimes.py" --tripid 81-04 --locoid 4022 --swversion DE.1.0.9.0 --startMP 204:190524 --initTime 2017-04-04T21:46:56 --startdatetime 2017-04-04T22:16:25 --delay 1 --endMP 204:232612 --enddatetime 2017-04-04T22:28:44 --enforcementcount 0 &gt;&gt;C:\Users\stu\Documents\GitHub\eaglep3-reporting\EC\2017-04-04-refined-times.txt</v>
      </c>
      <c r="AI241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22"/>
        <v>start /low /b %USERPROFILE%\Documents\GitHub\eaglep3\Utilities\DownloadLogsFromS3.py --loco 4022 --day 2017-04-04</v>
      </c>
      <c r="AN241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628</v>
      </c>
      <c r="B242" s="7">
        <v>4022</v>
      </c>
      <c r="C242" s="21" t="s">
        <v>217</v>
      </c>
      <c r="D242" s="21" t="s">
        <v>956</v>
      </c>
      <c r="E242" s="13">
        <v>42829.985868055555</v>
      </c>
      <c r="F242" s="13">
        <v>42830.007430555554</v>
      </c>
      <c r="G242" s="7">
        <v>1</v>
      </c>
      <c r="H242" s="21" t="s">
        <v>957</v>
      </c>
      <c r="I242" s="13">
        <v>42830.009155092594</v>
      </c>
      <c r="J242" s="7">
        <v>0</v>
      </c>
      <c r="K242" s="97" t="str">
        <f>IF(ISEVEN(B242),(B242-1)&amp;"/"&amp;B242,B242&amp;"/"&amp;(B242+1))</f>
        <v>4021/4022</v>
      </c>
      <c r="L242" s="21" t="str">
        <f>VLOOKUP(A242,'Trips&amp;Operators'!$C$1:$G$99999,5,FALSE)</f>
        <v>DUNCAN SHEILA</v>
      </c>
      <c r="M242" s="6">
        <f>I242-F242</f>
        <v>1.7245370399905369E-3</v>
      </c>
      <c r="N242" s="7">
        <f>24*60*SUM($M242:$M242)</f>
        <v>2.4833333375863731</v>
      </c>
      <c r="O242" s="7"/>
      <c r="P242" s="7"/>
      <c r="Q242" s="22"/>
      <c r="R242" s="22"/>
      <c r="S242" s="31">
        <f>SUM(U242:U242)/IF(AG242="EC",12,1)</f>
        <v>0</v>
      </c>
      <c r="T242" s="46" t="e">
        <f>IF(ISEVEN(LEFT(AD242,4)),"Southbound","NorthBound")</f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-04-04T22:39:39-0600',mode:absolute,to:'2017-04-05T01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183" t="str">
        <f>IF(AA242&lt;IF(AG242="EC",23,5.65),"Y","N")</f>
        <v>Y</v>
      </c>
      <c r="X242" s="183" t="e">
        <f>VALUE(LEFT(AD242,4))-VALUE(LEFT(AD241,4))</f>
        <v>#VALUE!</v>
      </c>
      <c r="Y242" s="62">
        <f>RIGHT(D242,LEN(D242)-4)/10000</f>
        <v>19.065300000000001</v>
      </c>
      <c r="Z242" s="62">
        <f>RIGHT(H242,LEN(H242)-4)/10000</f>
        <v>19.236000000000001</v>
      </c>
      <c r="AA242" s="62">
        <f>ABS(Z242-Y242)</f>
        <v>0.17070000000000007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>IF(LEN(A242)=6,"0"&amp;A242,A242)</f>
        <v>81-04</v>
      </c>
      <c r="AE242" s="8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2" s="82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2" s="1" t="str">
        <f>IFERROR(IF(VALUE(LEFT(AD242,2))&lt;=2,"EC",IF(OR(VALUE(LEFT(AD242,2))=8,VALUE(LEFT(AD242,2))=18),"NW","Other")),"Other")</f>
        <v>Other</v>
      </c>
      <c r="AH242" s="86" t="str">
        <f t="shared" si="20"/>
        <v>"%USERPROFILE%\Documents\GitHub\eaglep3\Utilities\RefineRTDCRunTimes.py" --tripid 81-04 --locoid 4022 --swversion DE.1.0.9.0 --startMP 204:190653 --initTime 2017-04-04T23:39:39 --startdatetime 2017-04-05T00:10:42 --delay 1 --endMP 204:192360 --enddatetime 2017-04-05T00:13:11 --enforcementcount 0 &gt;&gt;C:\Users\stu\Documents\GitHub\eaglep3-reporting\EC\2017-04-04-refined-times.txt</v>
      </c>
      <c r="AI242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{"issue":{"subject":"","project_id":79,"tracker_id":40,"status_id":1,"priority_id":2,"assigned_to_id":23,"start_date":"2017-04-05","description":"","custom_fields":[{"id":1,"name":"Subdivision","value":"Other"},{"id":4,"name":"Milepost","value":"19.236"},{"id":17,"name":"Train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22"/>
        <v>start /low /b %USERPROFILE%\Documents\GitHub\eaglep3\Utilities\DownloadLogsFromS3.py --loco 4022 --day 2017-04-05</v>
      </c>
      <c r="AN242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628</v>
      </c>
      <c r="B243" s="7">
        <v>4022</v>
      </c>
      <c r="C243" s="21" t="s">
        <v>217</v>
      </c>
      <c r="D243" s="21" t="s">
        <v>958</v>
      </c>
      <c r="E243" s="13">
        <v>42829.964826388888</v>
      </c>
      <c r="F243" s="13">
        <v>42829.986944444441</v>
      </c>
      <c r="G243" s="7">
        <v>1</v>
      </c>
      <c r="H243" s="21" t="s">
        <v>959</v>
      </c>
      <c r="I243" s="13">
        <v>42829.987442129626</v>
      </c>
      <c r="J243" s="7">
        <v>0</v>
      </c>
      <c r="K243" s="97" t="str">
        <f>IF(ISEVEN(B243),(B243-1)&amp;"/"&amp;B243,B243&amp;"/"&amp;(B243+1))</f>
        <v>4021/4022</v>
      </c>
      <c r="L243" s="21" t="str">
        <f>VLOOKUP(A243,'Trips&amp;Operators'!$C$1:$G$99999,5,FALSE)</f>
        <v>DUNCAN SHEILA</v>
      </c>
      <c r="M243" s="6">
        <f>I243-F243</f>
        <v>4.9768518510973081E-4</v>
      </c>
      <c r="N243" s="7">
        <f>24*60*SUM($M243:$M243)</f>
        <v>0.71666666655801237</v>
      </c>
      <c r="O243" s="7"/>
      <c r="P243" s="7"/>
      <c r="Q243" s="22"/>
      <c r="R243" s="22"/>
      <c r="S243" s="31">
        <f>SUM(U243:U243)/IF(AG243="EC",12,1)</f>
        <v>0</v>
      </c>
      <c r="T243" s="46" t="e">
        <f>IF(ISEVEN(LEFT(AD243,4)),"Southbound","NorthBound")</f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-04-04T22:09:21-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183" t="str">
        <f>IF(AA243&lt;IF(AG243="EC",23,5.65),"Y","N")</f>
        <v>Y</v>
      </c>
      <c r="X243" s="183" t="e">
        <f>VALUE(LEFT(AD243,4))-VALUE(LEFT(AD242,4))</f>
        <v>#VALUE!</v>
      </c>
      <c r="Y243" s="62">
        <f>RIGHT(D243,LEN(D243)-4)/10000</f>
        <v>19.1723</v>
      </c>
      <c r="Z243" s="62">
        <f>RIGHT(H243,LEN(H243)-4)/10000</f>
        <v>19.223199999999999</v>
      </c>
      <c r="AA243" s="62">
        <f>ABS(Z243-Y243)</f>
        <v>5.0899999999998613E-2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>IF(LEN(A243)=6,"0"&amp;A243,A243)</f>
        <v>81-04</v>
      </c>
      <c r="AE243" s="8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3" s="82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3" s="1" t="str">
        <f>IFERROR(IF(VALUE(LEFT(AD243,2))&lt;=2,"EC",IF(OR(VALUE(LEFT(AD243,2))=8,VALUE(LEFT(AD243,2))=18),"NW","Other")),"Other")</f>
        <v>Other</v>
      </c>
      <c r="AH243" s="86" t="str">
        <f t="shared" si="20"/>
        <v>"%USERPROFILE%\Documents\GitHub\eaglep3\Utilities\RefineRTDCRunTimes.py" --tripid 81-04 --locoid 4022 --swversion DE.1.0.9.0 --startMP 204:191723 --initTime 2017-04-04T23:09:21 --startdatetime 2017-04-04T23:41:12 --delay 1 --endMP 204:192232 --enddatetime 2017-04-04T23:41:55 --enforcementcount 0 &gt;&gt;C:\Users\stu\Documents\GitHub\eaglep3-reporting\EC\2017-04-04-refined-times.txt</v>
      </c>
      <c r="AI243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{"issue":{"subject":"","project_id":79,"tracker_id":40,"status_id":1,"priority_id":2,"assigned_to_id":23,"start_date":"2017-04-04","description":"","custom_fields":[{"id":1,"name":"Subdivision","value":"Other"},{"id":4,"name":"Milepost","value":"19.2232"},{"id":17,"name":"Train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22"/>
        <v>start /low /b %USERPROFILE%\Documents\GitHub\eaglep3\Utilities\DownloadLogsFromS3.py --loco 4022 --day 2017-04-04</v>
      </c>
      <c r="AN243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628</v>
      </c>
      <c r="B244" s="7">
        <v>4022</v>
      </c>
      <c r="C244" s="21" t="s">
        <v>217</v>
      </c>
      <c r="D244" s="21" t="s">
        <v>960</v>
      </c>
      <c r="E244" s="13">
        <v>42829.967511574076</v>
      </c>
      <c r="F244" s="13">
        <v>42829.986944444441</v>
      </c>
      <c r="G244" s="7">
        <v>1</v>
      </c>
      <c r="H244" s="21" t="s">
        <v>961</v>
      </c>
      <c r="I244" s="13">
        <v>42829.987442129626</v>
      </c>
      <c r="J244" s="7">
        <v>0</v>
      </c>
      <c r="K244" s="97" t="str">
        <f>IF(ISEVEN(B244),(B244-1)&amp;"/"&amp;B244,B244&amp;"/"&amp;(B244+1))</f>
        <v>4021/4022</v>
      </c>
      <c r="L244" s="21" t="str">
        <f>VLOOKUP(A244,'Trips&amp;Operators'!$C$1:$G$99999,5,FALSE)</f>
        <v>DUNCAN SHEILA</v>
      </c>
      <c r="M244" s="6">
        <f>I244-F244</f>
        <v>4.9768518510973081E-4</v>
      </c>
      <c r="N244" s="7">
        <f>24*60*SUM($M244:$M244)</f>
        <v>0.71666666655801237</v>
      </c>
      <c r="O244" s="7"/>
      <c r="P244" s="7"/>
      <c r="Q244" s="22"/>
      <c r="R244" s="22"/>
      <c r="S244" s="31">
        <f>SUM(U244:U244)/IF(AG244="EC",12,1)</f>
        <v>0</v>
      </c>
      <c r="T244" s="46" t="e">
        <f>IF(ISEVEN(LEFT(AD244,4)),"Southbound","NorthBound")</f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-04-04T22:13:13-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4" s="183" t="str">
        <f>IF(AA244&lt;IF(AG244="EC",23,5.65),"Y","N")</f>
        <v>Y</v>
      </c>
      <c r="X244" s="183" t="e">
        <f>VALUE(LEFT(AD244,4))-VALUE(LEFT(AD243,4))</f>
        <v>#VALUE!</v>
      </c>
      <c r="Y244" s="62">
        <f>RIGHT(D244,LEN(D244)-4)/10000</f>
        <v>19.222999999999999</v>
      </c>
      <c r="Z244" s="62">
        <f>RIGHT(H244,LEN(H244)-4)/10000</f>
        <v>23.2546</v>
      </c>
      <c r="AA244" s="62">
        <f>ABS(Z244-Y244)</f>
        <v>4.031600000000001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>IF(LEN(A244)=6,"0"&amp;A244,A244)</f>
        <v>81-04</v>
      </c>
      <c r="AE244" s="8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4" s="82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4" s="1" t="str">
        <f>IFERROR(IF(VALUE(LEFT(AD244,2))&lt;=2,"EC",IF(OR(VALUE(LEFT(AD244,2))=8,VALUE(LEFT(AD244,2))=18),"NW","Other")),"Other")</f>
        <v>Other</v>
      </c>
      <c r="AH244" s="86" t="str">
        <f t="shared" si="20"/>
        <v>"%USERPROFILE%\Documents\GitHub\eaglep3\Utilities\RefineRTDCRunTimes.py" --tripid 81-04 --locoid 4022 --swversion DE.1.0.9.0 --startMP 204:192230 --initTime 2017-04-04T23:13:13 --startdatetime 2017-04-04T23:41:12 --delay 1 --endMP 204:232546 --enddatetime 2017-04-04T23:41:55 --enforcementcount 0 &gt;&gt;C:\Users\stu\Documents\GitHub\eaglep3-reporting\EC\2017-04-04-refined-times.txt</v>
      </c>
      <c r="AI244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{"issue":{"subject":"","project_id":79,"tracker_id":40,"status_id":1,"priority_id":2,"assigned_to_id":23,"start_date":"2017-04-04","description":"","custom_fields":[{"id":1,"name":"Subdivision","value":"Other"},{"id":4,"name":"Milepost","value":"23.2546"},{"id":17,"name":"Train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22"/>
        <v>start /low /b %USERPROFILE%\Documents\GitHub\eaglep3\Utilities\DownloadLogsFromS3.py --loco 4022 --day 2017-04-04</v>
      </c>
      <c r="AN244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628</v>
      </c>
      <c r="B245" s="7">
        <v>4022</v>
      </c>
      <c r="C245" s="21" t="s">
        <v>217</v>
      </c>
      <c r="D245" s="21" t="s">
        <v>962</v>
      </c>
      <c r="E245" s="13">
        <v>42830.014467592591</v>
      </c>
      <c r="F245" s="13">
        <v>42830.024259259262</v>
      </c>
      <c r="G245" s="7">
        <v>1</v>
      </c>
      <c r="H245" s="21" t="s">
        <v>846</v>
      </c>
      <c r="I245" s="13">
        <v>42830.025902777779</v>
      </c>
      <c r="J245" s="7">
        <v>0</v>
      </c>
      <c r="K245" s="97" t="str">
        <f>IF(ISEVEN(B245),(B245-1)&amp;"/"&amp;B245,B245&amp;"/"&amp;(B245+1))</f>
        <v>4021/4022</v>
      </c>
      <c r="L245" s="21" t="str">
        <f>VLOOKUP(A245,'Trips&amp;Operators'!$C$1:$G$99999,5,FALSE)</f>
        <v>DUNCAN SHEILA</v>
      </c>
      <c r="M245" s="6">
        <f>I245-F245</f>
        <v>1.6435185170848854E-3</v>
      </c>
      <c r="N245" s="7">
        <f>24*60*SUM($M245:$M245)</f>
        <v>2.366666664602235</v>
      </c>
      <c r="O245" s="7"/>
      <c r="P245" s="7"/>
      <c r="Q245" s="22"/>
      <c r="R245" s="22"/>
      <c r="S245" s="31">
        <f>SUM(U245:U245)/IF(AG245="EC",12,1)</f>
        <v>0</v>
      </c>
      <c r="T245" s="46" t="e">
        <f>IF(ISEVEN(LEFT(AD245,4)),"Southbound","NorthBound")</f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-04-04T23:20:50-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5" s="183" t="str">
        <f>IF(AA245&lt;IF(AG245="EC",23,5.65),"Y","N")</f>
        <v>Y</v>
      </c>
      <c r="X245" s="183" t="e">
        <f>VALUE(LEFT(AD245,4))-VALUE(LEFT(AD244,4))</f>
        <v>#VALUE!</v>
      </c>
      <c r="Y245" s="62">
        <f>RIGHT(D245,LEN(D245)-4)/10000</f>
        <v>23.207999999999998</v>
      </c>
      <c r="Z245" s="62">
        <f>RIGHT(H245,LEN(H245)-4)/10000</f>
        <v>23.3339</v>
      </c>
      <c r="AA245" s="62">
        <f>ABS(Z245-Y245)</f>
        <v>0.12590000000000146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>IF(LEN(A245)=6,"0"&amp;A245,A245)</f>
        <v>81-04</v>
      </c>
      <c r="AE245" s="8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5" s="82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5" s="1" t="str">
        <f>IFERROR(IF(VALUE(LEFT(AD245,2))&lt;=2,"EC",IF(OR(VALUE(LEFT(AD245,2))=8,VALUE(LEFT(AD245,2))=18),"NW","Other")),"Other")</f>
        <v>Other</v>
      </c>
      <c r="AH245" s="86" t="str">
        <f t="shared" si="20"/>
        <v>"%USERPROFILE%\Documents\GitHub\eaglep3\Utilities\RefineRTDCRunTimes.py" --tripid 81-04 --locoid 4022 --swversion DE.1.0.9.0 --startMP 204:232080 --initTime 2017-04-05T00:20:50 --startdatetime 2017-04-05T00:34:56 --delay 1 --endMP 204:233339 --enddatetime 2017-04-05T00:37:18 --enforcementcount 0 &gt;&gt;C:\Users\stu\Documents\GitHub\eaglep3-reporting\EC\2017-04-04-refined-times.txt</v>
      </c>
      <c r="AI245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{"issue":{"subject":"","project_id":79,"tracker_id":40,"status_id":1,"priority_id":2,"assigned_to_id":23,"start_date":"2017-04-05","description":"","custom_fields":[{"id":1,"name":"Subdivision","value":"Other"},{"id":4,"name":"Milepost","value":"23.3339"},{"id":17,"name":"Train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 t="shared" si="22"/>
        <v>start /low /b %USERPROFILE%\Documents\GitHub\eaglep3\Utilities\DownloadLogsFromS3.py --loco 4022 --day 2017-04-05</v>
      </c>
      <c r="AN245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628</v>
      </c>
      <c r="B246" s="7">
        <v>4022</v>
      </c>
      <c r="C246" s="21" t="s">
        <v>217</v>
      </c>
      <c r="D246" s="21" t="s">
        <v>963</v>
      </c>
      <c r="E246" s="13">
        <v>42830.004965277774</v>
      </c>
      <c r="F246" s="13">
        <v>42830.024259259262</v>
      </c>
      <c r="G246" s="7">
        <v>2</v>
      </c>
      <c r="H246" s="21" t="s">
        <v>964</v>
      </c>
      <c r="I246" s="13">
        <v>42830.025902777779</v>
      </c>
      <c r="J246" s="7">
        <v>0</v>
      </c>
      <c r="K246" s="97" t="str">
        <f>IF(ISEVEN(B246),(B246-1)&amp;"/"&amp;B246,B246&amp;"/"&amp;(B246+1))</f>
        <v>4021/4022</v>
      </c>
      <c r="L246" s="21" t="str">
        <f>VLOOKUP(A246,'Trips&amp;Operators'!$C$1:$G$99999,5,FALSE)</f>
        <v>DUNCAN SHEILA</v>
      </c>
      <c r="M246" s="6">
        <f>I246-F246</f>
        <v>1.6435185170848854E-3</v>
      </c>
      <c r="N246" s="7">
        <f>24*60*SUM($M246:$M246)</f>
        <v>2.366666664602235</v>
      </c>
      <c r="O246" s="7"/>
      <c r="P246" s="7"/>
      <c r="Q246" s="22"/>
      <c r="R246" s="22"/>
      <c r="S246" s="31">
        <f>SUM(U246:U246)/IF(AG246="EC",12,1)</f>
        <v>0</v>
      </c>
      <c r="T246" s="46" t="e">
        <f>IF(ISEVEN(LEFT(AD246,4)),"Southbound","NorthBound")</f>
        <v>#VALUE!</v>
      </c>
      <c r="U246" s="18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2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-04-04T23:07:09-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6" s="183" t="str">
        <f>IF(AA246&lt;IF(AG246="EC",23,5.65),"Y","N")</f>
        <v>Y</v>
      </c>
      <c r="X246" s="183" t="e">
        <f>VALUE(LEFT(AD246,4))-VALUE(LEFT(AD245,4))</f>
        <v>#VALUE!</v>
      </c>
      <c r="Y246" s="62">
        <f>RIGHT(D246,LEN(D246)-4)/10000</f>
        <v>23.231999999999999</v>
      </c>
      <c r="Z246" s="62">
        <f>RIGHT(H246,LEN(H246)-4)/10000</f>
        <v>23.338000000000001</v>
      </c>
      <c r="AA246" s="62">
        <f>ABS(Z246-Y246)</f>
        <v>0.10600000000000165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>IF(LEN(A246)=6,"0"&amp;A246,A246)</f>
        <v>81-04</v>
      </c>
      <c r="AE246" s="8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6" s="82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6" s="1" t="str">
        <f>IFERROR(IF(VALUE(LEFT(AD246,2))&lt;=2,"EC",IF(OR(VALUE(LEFT(AD246,2))=8,VALUE(LEFT(AD246,2))=18),"NW","Other")),"Other")</f>
        <v>Other</v>
      </c>
      <c r="AH246" s="86" t="str">
        <f t="shared" si="20"/>
        <v>"%USERPROFILE%\Documents\GitHub\eaglep3\Utilities\RefineRTDCRunTimes.py" --tripid 81-04 --locoid 4022 --swversion DE.1.0.9.0 --startMP 204:232320 --initTime 2017-04-05T00:07:09 --startdatetime 2017-04-05T00:34:56 --delay 2 --endMP 204:233380 --enddatetime 2017-04-05T00:37:18 --enforcementcount 0 &gt;&gt;C:\Users\stu\Documents\GitHub\eaglep3-reporting\EC\2017-04-04-refined-times.txt</v>
      </c>
      <c r="AI246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{"issue":{"subject":"","project_id":79,"tracker_id":40,"status_id":1,"priority_id":2,"assigned_to_id":23,"start_date":"2017-04-05","description":"","custom_fields":[{"id":1,"name":"Subdivision","value":"Other"},{"id":4,"name":"Milepost","value":"23.338"},{"id":17,"name":"Train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50" t="str">
        <f t="shared" si="22"/>
        <v>start /low /b %USERPROFILE%\Documents\GitHub\eaglep3\Utilities\DownloadLogsFromS3.py --loco 4022 --day 2017-04-05</v>
      </c>
      <c r="AN246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3" t="s">
        <v>628</v>
      </c>
      <c r="B247" s="7">
        <v>4022</v>
      </c>
      <c r="C247" s="21" t="s">
        <v>217</v>
      </c>
      <c r="D247" s="21" t="s">
        <v>965</v>
      </c>
      <c r="E247" s="13">
        <v>42830.022974537038</v>
      </c>
      <c r="F247" s="13">
        <v>42830.024259259262</v>
      </c>
      <c r="G247" s="7">
        <v>1</v>
      </c>
      <c r="H247" s="21" t="s">
        <v>966</v>
      </c>
      <c r="I247" s="13">
        <v>42830.025902777779</v>
      </c>
      <c r="J247" s="7">
        <v>0</v>
      </c>
      <c r="K247" s="97" t="str">
        <f>IF(ISEVEN(B247),(B247-1)&amp;"/"&amp;B247,B247&amp;"/"&amp;(B247+1))</f>
        <v>4021/4022</v>
      </c>
      <c r="L247" s="21" t="str">
        <f>VLOOKUP(A247,'Trips&amp;Operators'!$C$1:$G$99999,5,FALSE)</f>
        <v>DUNCAN SHEILA</v>
      </c>
      <c r="M247" s="6">
        <f>I247-F247</f>
        <v>1.6435185170848854E-3</v>
      </c>
      <c r="N247" s="7">
        <f>24*60*SUM($M247:$M247)</f>
        <v>2.366666664602235</v>
      </c>
      <c r="O247" s="7"/>
      <c r="P247" s="7"/>
      <c r="Q247" s="22"/>
      <c r="R247" s="22"/>
      <c r="S247" s="31">
        <f>SUM(U247:U247)/IF(AG247="EC",12,1)</f>
        <v>0</v>
      </c>
      <c r="T247" s="46" t="e">
        <f>IF(ISEVEN(LEFT(AD247,4)),"Southbound","NorthBound")</f>
        <v>#VALUE!</v>
      </c>
      <c r="U247" s="18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2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-04-04T23:33:05-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7" s="183" t="str">
        <f>IF(AA247&lt;IF(AG247="EC",23,5.65),"Y","N")</f>
        <v>Y</v>
      </c>
      <c r="X247" s="183" t="e">
        <f>VALUE(LEFT(AD247,4))-VALUE(LEFT(AD246,4))</f>
        <v>#VALUE!</v>
      </c>
      <c r="Y247" s="62">
        <f>RIGHT(D247,LEN(D247)-4)/10000</f>
        <v>23.233000000000001</v>
      </c>
      <c r="Z247" s="62">
        <f>RIGHT(H247,LEN(H247)-4)/10000</f>
        <v>23.334700000000002</v>
      </c>
      <c r="AA247" s="62">
        <f>ABS(Z247-Y247)</f>
        <v>0.10170000000000101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>IF(LEN(A247)=6,"0"&amp;A247,A247)</f>
        <v>81-04</v>
      </c>
      <c r="AE247" s="8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7" s="82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7" s="1" t="str">
        <f>IFERROR(IF(VALUE(LEFT(AD247,2))&lt;=2,"EC",IF(OR(VALUE(LEFT(AD247,2))=8,VALUE(LEFT(AD247,2))=18),"NW","Other")),"Other")</f>
        <v>Other</v>
      </c>
      <c r="AH247" s="86" t="str">
        <f t="shared" si="20"/>
        <v>"%USERPROFILE%\Documents\GitHub\eaglep3\Utilities\RefineRTDCRunTimes.py" --tripid 81-04 --locoid 4022 --swversion DE.1.0.9.0 --startMP 204:232330 --initTime 2017-04-05T00:33:05 --startdatetime 2017-04-05T00:34:56 --delay 1 --endMP 204:233347 --enddatetime 2017-04-05T00:37:18 --enforcementcount 0 &gt;&gt;C:\Users\stu\Documents\GitHub\eaglep3-reporting\EC\2017-04-04-refined-times.txt</v>
      </c>
      <c r="AI247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{"issue":{"subject":"","project_id":79,"tracker_id":40,"status_id":1,"priority_id":2,"assigned_to_id":23,"start_date":"2017-04-05","description":"","custom_fields":[{"id":1,"name":"Subdivision","value":"Other"},{"id":4,"name":"Milepost","value":"23.3347"},{"id":17,"name":"Train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8"/>
      <c r="AL247" s="48"/>
      <c r="AM247" s="150" t="str">
        <f t="shared" si="22"/>
        <v>start /low /b %USERPROFILE%\Documents\GitHub\eaglep3\Utilities\DownloadLogsFromS3.py --loco 4022 --day 2017-04-05</v>
      </c>
      <c r="AN247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3" t="s">
        <v>798</v>
      </c>
      <c r="B248" s="7">
        <v>4021</v>
      </c>
      <c r="C248" s="21" t="s">
        <v>217</v>
      </c>
      <c r="D248" s="21" t="s">
        <v>982</v>
      </c>
      <c r="E248" s="13">
        <v>42829.977743055555</v>
      </c>
      <c r="F248" s="13">
        <v>42830.002268518518</v>
      </c>
      <c r="G248" s="7">
        <v>2</v>
      </c>
      <c r="H248" s="21" t="s">
        <v>983</v>
      </c>
      <c r="I248" s="13">
        <v>42830.004108796296</v>
      </c>
      <c r="J248" s="7">
        <v>0</v>
      </c>
      <c r="K248" s="97" t="str">
        <f>IF(ISEVEN(B248),(B248-1)&amp;"/"&amp;B248,B248&amp;"/"&amp;(B248+1))</f>
        <v>4021/4022</v>
      </c>
      <c r="L248" s="21" t="str">
        <f>VLOOKUP(A248,'Trips&amp;Operators'!$C$1:$G$99999,5,FALSE)</f>
        <v>DUNCAN SHEILA</v>
      </c>
      <c r="M248" s="6">
        <f>I248-F248</f>
        <v>1.8402777786832303E-3</v>
      </c>
      <c r="N248" s="7">
        <f>24*60*SUM($M248:$M248)</f>
        <v>2.6500000013038516</v>
      </c>
      <c r="O248" s="7"/>
      <c r="P248" s="7"/>
      <c r="Q248" s="22"/>
      <c r="R248" s="22"/>
      <c r="S248" s="31">
        <f>SUM(U248:U248)/IF(AG248="EC",12,1)</f>
        <v>0</v>
      </c>
      <c r="T248" s="46" t="e">
        <f>IF(ISEVEN(LEFT(AD248,4)),"Southbound","NorthBound")</f>
        <v>#VALUE!</v>
      </c>
      <c r="U248" s="181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2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-04-04T22:27:57-0600',mode:absolute,to:'2017-04-05T01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8" s="183" t="str">
        <f>IF(AA248&lt;IF(AG248="EC",23,5.65),"Y","N")</f>
        <v>Y</v>
      </c>
      <c r="X248" s="183" t="e">
        <f>VALUE(LEFT(AD248,4))-VALUE(LEFT(AD247,4))</f>
        <v>#VALUE!</v>
      </c>
      <c r="Y248" s="62">
        <f>RIGHT(D248,LEN(D248)-4)/10000</f>
        <v>23.2226</v>
      </c>
      <c r="Z248" s="62">
        <f>RIGHT(H248,LEN(H248)-4)/10000</f>
        <v>19.034600000000001</v>
      </c>
      <c r="AA248" s="62">
        <f>ABS(Z248-Y248)</f>
        <v>4.1879999999999988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>IF(LEN(A248)=6,"0"&amp;A248,A248)</f>
        <v>82-04</v>
      </c>
      <c r="AE248" s="8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48" s="82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48" s="1" t="str">
        <f>IFERROR(IF(VALUE(LEFT(AD248,2))&lt;=2,"EC",IF(OR(VALUE(LEFT(AD248,2))=8,VALUE(LEFT(AD248,2))=18),"NW","Other")),"Other")</f>
        <v>Other</v>
      </c>
      <c r="AH248" s="86" t="str">
        <f t="shared" si="20"/>
        <v>"%USERPROFILE%\Documents\GitHub\eaglep3\Utilities\RefineRTDCRunTimes.py" --tripid 82-04 --locoid 4021 --swversion DE.1.0.9.0 --startMP 204:232226 --initTime 2017-04-04T23:27:57 --startdatetime 2017-04-05T00:03:16 --delay 2 --endMP 204:190346 --enddatetime 2017-04-05T00:05:55 --enforcementcount 0 &gt;&gt;C:\Users\stu\Documents\GitHub\eaglep3-reporting\EC\2017-04-04-refined-times.txt</v>
      </c>
      <c r="AI248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{"issue":{"subject":"","project_id":79,"tracker_id":40,"status_id":1,"priority_id":2,"assigned_to_id":23,"start_date":"2017-04-05","description":"","custom_fields":[{"id":1,"name":"Subdivision","value":"Other"},{"id":4,"name":"Milepost","value":"19.0346"},{"id":17,"name":"Train ID","value":"82-04"},{"id":16,"name":"Locomotive ID","value":"4021"},{"id":130,"name":"Impact","value":""},{"id":150,"name":"Time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8"/>
      <c r="AL248" s="48"/>
      <c r="AM248" s="150" t="str">
        <f t="shared" si="22"/>
        <v>start /low /b %USERPROFILE%\Documents\GitHub\eaglep3\Utilities\DownloadLogsFromS3.py --loco 4021 --day 2017-04-05</v>
      </c>
      <c r="AN248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3" t="s">
        <v>798</v>
      </c>
      <c r="B249" s="7">
        <v>4021</v>
      </c>
      <c r="C249" s="21" t="s">
        <v>217</v>
      </c>
      <c r="D249" s="21" t="s">
        <v>984</v>
      </c>
      <c r="E249" s="13">
        <v>42829.916365740741</v>
      </c>
      <c r="F249" s="13">
        <v>42829.918009259258</v>
      </c>
      <c r="G249" s="7">
        <v>1</v>
      </c>
      <c r="H249" s="21" t="s">
        <v>985</v>
      </c>
      <c r="I249" s="13">
        <v>42829.926157407404</v>
      </c>
      <c r="J249" s="7">
        <v>0</v>
      </c>
      <c r="K249" s="97" t="str">
        <f>IF(ISEVEN(B249),(B249-1)&amp;"/"&amp;B249,B249&amp;"/"&amp;(B249+1))</f>
        <v>4021/4022</v>
      </c>
      <c r="L249" s="21" t="str">
        <f>VLOOKUP(A249,'Trips&amp;Operators'!$C$1:$G$99999,5,FALSE)</f>
        <v>DUNCAN SHEILA</v>
      </c>
      <c r="M249" s="6">
        <f>I249-F249</f>
        <v>8.1481481465743855E-3</v>
      </c>
      <c r="N249" s="7">
        <f>24*60*SUM($M249:$M249)</f>
        <v>11.733333331067115</v>
      </c>
      <c r="O249" s="7"/>
      <c r="P249" s="7"/>
      <c r="Q249" s="22"/>
      <c r="R249" s="22"/>
      <c r="S249" s="31">
        <f>SUM(U249:U249)/IF(AG249="EC",12,1)</f>
        <v>0</v>
      </c>
      <c r="T249" s="46" t="e">
        <f>IF(ISEVEN(LEFT(AD249,4)),"Southbound","NorthBound")</f>
        <v>#VALUE!</v>
      </c>
      <c r="U249" s="181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2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-04-04T20:59:34-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9" s="183" t="str">
        <f>IF(AA249&lt;IF(AG249="EC",23,5.65),"Y","N")</f>
        <v>Y</v>
      </c>
      <c r="X249" s="183" t="e">
        <f>VALUE(LEFT(AD249,4))-VALUE(LEFT(AD248,4))</f>
        <v>#VALUE!</v>
      </c>
      <c r="Y249" s="62">
        <f>RIGHT(D249,LEN(D249)-4)/10000</f>
        <v>23.2285</v>
      </c>
      <c r="Z249" s="62">
        <f>RIGHT(H249,LEN(H249)-4)/10000</f>
        <v>19.011399999999998</v>
      </c>
      <c r="AA249" s="62">
        <f>ABS(Z249-Y249)</f>
        <v>4.2171000000000021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>IF(LEN(A249)=6,"0"&amp;A249,A249)</f>
        <v>82-04</v>
      </c>
      <c r="AE249" s="8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49" s="82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49" s="1" t="str">
        <f>IFERROR(IF(VALUE(LEFT(AD249,2))&lt;=2,"EC",IF(OR(VALUE(LEFT(AD249,2))=8,VALUE(LEFT(AD249,2))=18),"NW","Other")),"Other")</f>
        <v>Other</v>
      </c>
      <c r="AH249" s="86" t="str">
        <f t="shared" si="20"/>
        <v>"%USERPROFILE%\Documents\GitHub\eaglep3\Utilities\RefineRTDCRunTimes.py" --tripid 82-04 --locoid 4021 --swversion DE.1.0.9.0 --startMP 204:232285 --initTime 2017-04-04T21:59:34 --startdatetime 2017-04-04T22:01:56 --delay 1 --endMP 204:190114 --enddatetime 2017-04-04T22:13:40 --enforcementcount 0 &gt;&gt;C:\Users\stu\Documents\GitHub\eaglep3-reporting\EC\2017-04-04-refined-times.txt</v>
      </c>
      <c r="AI249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{"issue":{"subject":"","project_id":79,"tracker_id":40,"status_id":1,"priority_id":2,"assigned_to_id":23,"start_date":"2017-04-04","description":"","custom_fields":[{"id":1,"name":"Subdivision","value":"Other"},{"id":4,"name":"Milepost","value":"19.0114"},{"id":17,"name":"Train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8"/>
      <c r="AL249" s="48"/>
      <c r="AM249" s="150" t="str">
        <f t="shared" si="22"/>
        <v>start /low /b %USERPROFILE%\Documents\GitHub\eaglep3\Utilities\DownloadLogsFromS3.py --loco 4021 --day 2017-04-04</v>
      </c>
      <c r="AN249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3" t="s">
        <v>798</v>
      </c>
      <c r="B250" s="7">
        <v>4021</v>
      </c>
      <c r="C250" s="21" t="s">
        <v>217</v>
      </c>
      <c r="D250" s="21" t="s">
        <v>986</v>
      </c>
      <c r="E250" s="13">
        <v>42829.87023148148</v>
      </c>
      <c r="F250" s="13">
        <v>42829.898819444446</v>
      </c>
      <c r="G250" s="7">
        <v>1</v>
      </c>
      <c r="H250" s="21" t="s">
        <v>987</v>
      </c>
      <c r="I250" s="13">
        <v>42829.906851851854</v>
      </c>
      <c r="J250" s="7">
        <v>0</v>
      </c>
      <c r="K250" s="97" t="str">
        <f>IF(ISEVEN(B250),(B250-1)&amp;"/"&amp;B250,B250&amp;"/"&amp;(B250+1))</f>
        <v>4021/4022</v>
      </c>
      <c r="L250" s="21" t="str">
        <f>VLOOKUP(A250,'Trips&amp;Operators'!$C$1:$G$99999,5,FALSE)</f>
        <v>DUNCAN SHEILA</v>
      </c>
      <c r="M250" s="6">
        <f>I250-F250</f>
        <v>8.0324074078816921E-3</v>
      </c>
      <c r="N250" s="7">
        <f>24*60*SUM($M250:$M250)</f>
        <v>11.566666667349637</v>
      </c>
      <c r="O250" s="7"/>
      <c r="P250" s="7"/>
      <c r="Q250" s="22"/>
      <c r="R250" s="22"/>
      <c r="S250" s="31">
        <f>SUM(U250:U250)/IF(AG250="EC",12,1)</f>
        <v>0</v>
      </c>
      <c r="T250" s="46" t="e">
        <f>IF(ISEVEN(LEFT(AD250,4)),"Southbound","NorthBound")</f>
        <v>#VALUE!</v>
      </c>
      <c r="U250" s="181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2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-04-04T19:53:08-0600',mode:absolute,to:'2017-04-04T22:45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0" s="183" t="str">
        <f>IF(AA250&lt;IF(AG250="EC",23,5.65),"Y","N")</f>
        <v>Y</v>
      </c>
      <c r="X250" s="183" t="e">
        <f>VALUE(LEFT(AD250,4))-VALUE(LEFT(AD249,4))</f>
        <v>#VALUE!</v>
      </c>
      <c r="Y250" s="62">
        <f>RIGHT(D250,LEN(D250)-4)/10000</f>
        <v>23.2303</v>
      </c>
      <c r="Z250" s="62">
        <f>RIGHT(H250,LEN(H250)-4)/10000</f>
        <v>18.930399999999999</v>
      </c>
      <c r="AA250" s="62">
        <f>ABS(Z250-Y250)</f>
        <v>4.2999000000000009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>IF(LEN(A250)=6,"0"&amp;A250,A250)</f>
        <v>82-04</v>
      </c>
      <c r="AE250" s="8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0" s="82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/stypes="app*4021*20170405*" /stext=" 03:.+((SYSTEM_STATE.+slice.+state.+changed )|(ment ac)|(multiple cpu faults)|(system.+state.+changed )|(\[timeout)|(PRM\|1\|D)|(kpr)|(kdp)|(\|lc)|(penalty))"</v>
      </c>
      <c r="AG250" s="1" t="str">
        <f>IFERROR(IF(VALUE(LEFT(AD250,2))&lt;=2,"EC",IF(OR(VALUE(LEFT(AD250,2))=8,VALUE(LEFT(AD250,2))=18),"NW","Other")),"Other")</f>
        <v>Other</v>
      </c>
      <c r="AH250" s="86" t="str">
        <f t="shared" si="20"/>
        <v>"%USERPROFILE%\Documents\GitHub\eaglep3\Utilities\RefineRTDCRunTimes.py" --tripid 82-04 --locoid 4021 --swversion DE.1.0.9.0 --startMP 204:232303 --initTime 2017-04-04T20:53:08 --startdatetime 2017-04-04T21:34:18 --delay 1 --endMP 204:189304 --enddatetime 2017-04-04T21:45:52 --enforcementcount 0 &gt;&gt;C:\Users\stu\Documents\GitHub\eaglep3-reporting\EC\2017-04-04-refined-times.txt</v>
      </c>
      <c r="AI250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{"issue":{"subject":"","project_id":79,"tracker_id":40,"status_id":1,"priority_id":2,"assigned_to_id":23,"start_date":"2017-04-04","description":"","custom_fields":[{"id":1,"name":"Subdivision","value":"Other"},{"id":4,"name":"Milepost","value":"18.9304"},{"id":17,"name":"Train ID","value":"82-04"},{"id":16,"name":"Locomotive ID","value":"4021"},{"id":130,"name":"Impact","value":""},{"id":150,"name":"Time of Event (Mountain Time)","value":"21:45:52"},{"id":151,"name":"Denver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8"/>
      <c r="AL250" s="48"/>
      <c r="AM250" s="150" t="str">
        <f t="shared" si="22"/>
        <v>start /low /b %USERPROFILE%\Documents\GitHub\eaglep3\Utilities\DownloadLogsFromS3.py --loco 4021 --day 2017-04-04</v>
      </c>
      <c r="AN250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3" t="s">
        <v>798</v>
      </c>
      <c r="B251" s="7">
        <v>4021</v>
      </c>
      <c r="C251" s="21" t="s">
        <v>217</v>
      </c>
      <c r="D251" s="21" t="s">
        <v>986</v>
      </c>
      <c r="E251" s="13">
        <v>42829.891504629632</v>
      </c>
      <c r="F251" s="13">
        <v>42829.918009259258</v>
      </c>
      <c r="G251" s="7">
        <v>0</v>
      </c>
      <c r="H251" s="21" t="s">
        <v>988</v>
      </c>
      <c r="I251" s="13">
        <v>42829.926157407404</v>
      </c>
      <c r="J251" s="7">
        <v>0</v>
      </c>
      <c r="K251" s="97" t="str">
        <f>IF(ISEVEN(B251),(B251-1)&amp;"/"&amp;B251,B251&amp;"/"&amp;(B251+1))</f>
        <v>4021/4022</v>
      </c>
      <c r="L251" s="21" t="str">
        <f>VLOOKUP(A251,'Trips&amp;Operators'!$C$1:$G$99999,5,FALSE)</f>
        <v>DUNCAN SHEILA</v>
      </c>
      <c r="M251" s="6">
        <f>I251-F251</f>
        <v>8.1481481465743855E-3</v>
      </c>
      <c r="N251" s="7">
        <f>24*60*SUM($M251:$M251)</f>
        <v>11.733333331067115</v>
      </c>
      <c r="O251" s="7"/>
      <c r="P251" s="7"/>
      <c r="Q251" s="22"/>
      <c r="R251" s="22"/>
      <c r="S251" s="31">
        <f>SUM(U251:U251)/IF(AG251="EC",12,1)</f>
        <v>0</v>
      </c>
      <c r="T251" s="46" t="e">
        <f>IF(ISEVEN(LEFT(AD251,4)),"Southbound","NorthBound")</f>
        <v>#VALUE!</v>
      </c>
      <c r="U251" s="181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2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-04-04T20:23:46-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1" s="183" t="str">
        <f>IF(AA251&lt;IF(AG251="EC",23,5.65),"Y","N")</f>
        <v>Y</v>
      </c>
      <c r="X251" s="183" t="e">
        <f>VALUE(LEFT(AD251,4))-VALUE(LEFT(AD250,4))</f>
        <v>#VALUE!</v>
      </c>
      <c r="Y251" s="62">
        <f>RIGHT(D251,LEN(D251)-4)/10000</f>
        <v>23.2303</v>
      </c>
      <c r="Z251" s="62">
        <f>RIGHT(H251,LEN(H251)-4)/10000</f>
        <v>19.022099999999998</v>
      </c>
      <c r="AA251" s="62">
        <f>ABS(Z251-Y251)</f>
        <v>4.2082000000000015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>IF(LEN(A251)=6,"0"&amp;A251,A251)</f>
        <v>82-04</v>
      </c>
      <c r="AE251" s="8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1" s="82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51" s="1" t="str">
        <f>IFERROR(IF(VALUE(LEFT(AD251,2))&lt;=2,"EC",IF(OR(VALUE(LEFT(AD251,2))=8,VALUE(LEFT(AD251,2))=18),"NW","Other")),"Other")</f>
        <v>Other</v>
      </c>
      <c r="AH251" s="86" t="str">
        <f t="shared" si="20"/>
        <v>"%USERPROFILE%\Documents\GitHub\eaglep3\Utilities\RefineRTDCRunTimes.py" --tripid 82-04 --locoid 4021 --swversion DE.1.0.9.0 --startMP 204:232303 --initTime 2017-04-04T21:23:46 --startdatetime 2017-04-04T22:01:56 --delay 0 --endMP 204:190221 --enddatetime 2017-04-04T22:13:40 --enforcementcount 0 &gt;&gt;C:\Users\stu\Documents\GitHub\eaglep3-reporting\EC\2017-04-04-refined-times.txt</v>
      </c>
      <c r="AI251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{"issue":{"subject":"","project_id":79,"tracker_id":40,"status_id":1,"priority_id":2,"assigned_to_id":23,"start_date":"2017-04-04","description":"","custom_fields":[{"id":1,"name":"Subdivision","value":"Other"},{"id":4,"name":"Milepost","value":"19.0221"},{"id":17,"name":"Train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8"/>
      <c r="AL251" s="48"/>
      <c r="AM251" s="150" t="str">
        <f t="shared" si="22"/>
        <v>start /low /b %USERPROFILE%\Documents\GitHub\eaglep3\Utilities\DownloadLogsFromS3.py --loco 4021 --day 2017-04-04</v>
      </c>
      <c r="AN251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3" t="s">
        <v>798</v>
      </c>
      <c r="B252" s="7">
        <v>4021</v>
      </c>
      <c r="C252" s="21" t="s">
        <v>217</v>
      </c>
      <c r="D252" s="21" t="s">
        <v>417</v>
      </c>
      <c r="E252" s="13">
        <v>42829.951678240737</v>
      </c>
      <c r="F252" s="13">
        <v>42829.979675925926</v>
      </c>
      <c r="G252" s="7">
        <v>1</v>
      </c>
      <c r="H252" s="21" t="s">
        <v>989</v>
      </c>
      <c r="I252" s="13">
        <v>42829.985162037039</v>
      </c>
      <c r="J252" s="7">
        <v>0</v>
      </c>
      <c r="K252" s="97" t="str">
        <f>IF(ISEVEN(B252),(B252-1)&amp;"/"&amp;B252,B252&amp;"/"&amp;(B252+1))</f>
        <v>4021/4022</v>
      </c>
      <c r="L252" s="21" t="str">
        <f>VLOOKUP(A252,'Trips&amp;Operators'!$C$1:$G$99999,5,FALSE)</f>
        <v>DUNCAN SHEILA</v>
      </c>
      <c r="M252" s="6">
        <f>I252-F252</f>
        <v>5.4861111129866913E-3</v>
      </c>
      <c r="N252" s="7">
        <f>24*60*SUM($M252:$M252)</f>
        <v>7.9000000027008355</v>
      </c>
      <c r="O252" s="7"/>
      <c r="P252" s="7"/>
      <c r="Q252" s="22"/>
      <c r="R252" s="22"/>
      <c r="S252" s="31">
        <f>SUM(U252:U252)/IF(AG252="EC",12,1)</f>
        <v>0</v>
      </c>
      <c r="T252" s="46" t="e">
        <f>IF(ISEVEN(LEFT(AD252,4)),"Southbound","NorthBound")</f>
        <v>#VALUE!</v>
      </c>
      <c r="U252" s="181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2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2017-04-04T21:50:25-0600',mode:absolute,to:'2017-04-05T00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2" s="183" t="str">
        <f>IF(AA252&lt;IF(AG252="EC",23,5.65),"Y","N")</f>
        <v>Y</v>
      </c>
      <c r="X252" s="183" t="e">
        <f>VALUE(LEFT(AD252,4))-VALUE(LEFT(AD251,4))</f>
        <v>#VALUE!</v>
      </c>
      <c r="Y252" s="62">
        <f>RIGHT(D252,LEN(D252)-4)/10000</f>
        <v>23.298200000000001</v>
      </c>
      <c r="Z252" s="62">
        <f>RIGHT(H252,LEN(H252)-4)/10000</f>
        <v>19.029699999999998</v>
      </c>
      <c r="AA252" s="62">
        <f>ABS(Z252-Y252)</f>
        <v>4.2685000000000031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>IF(LEN(A252)=6,"0"&amp;A252,A252)</f>
        <v>82-04</v>
      </c>
      <c r="AE252" s="85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2" s="82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/stypes="app*4021*20170405*" /stext=" 05:.+((SYSTEM_STATE.+slice.+state.+changed )|(ment ac)|(multiple cpu faults)|(system.+state.+changed )|(\[timeout)|(PRM\|1\|D)|(kpr)|(kdp)|(\|lc)|(penalty))"</v>
      </c>
      <c r="AG252" s="1" t="str">
        <f>IFERROR(IF(VALUE(LEFT(AD252,2))&lt;=2,"EC",IF(OR(VALUE(LEFT(AD252,2))=8,VALUE(LEFT(AD252,2))=18),"NW","Other")),"Other")</f>
        <v>Other</v>
      </c>
      <c r="AH252" s="86" t="str">
        <f t="shared" si="20"/>
        <v>"%USERPROFILE%\Documents\GitHub\eaglep3\Utilities\RefineRTDCRunTimes.py" --tripid 82-04 --locoid 4021 --swversion DE.1.0.9.0 --startMP 204:232982 --initTime 2017-04-04T22:50:25 --startdatetime 2017-04-04T23:30:44 --delay 1 --endMP 204:190297 --enddatetime 2017-04-04T23:38:38 --enforcementcount 0 &gt;&gt;C:\Users\stu\Documents\GitHub\eaglep3-reporting\EC\2017-04-04-refined-times.txt</v>
      </c>
      <c r="AI252" s="104" t="str">
        <f t="shared" si="21"/>
        <v>echo {"issue":{"subject":"","project_id":79,"tracker_id":40,"status_id":1,"priority_id":2,"assigned_to_id":23,"start_date":"2017-04-04","description":"","custom_fields":[{"id":1,"name":"Subdivision","value":"Other"},{"id":4,"name":"Milepost","value":"19.0297"},{"id":17,"name":"Train ID","value":"82-04"},{"id":16,"name":"Locomotive ID","value":"4021"},{"id":130,"name":"Impact","value":""},{"id":150,"name":"Time of Event (Mountain Time)","value":"23:38:38"},{"id":151,"name":"Denver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8"/>
      <c r="AL252" s="48"/>
      <c r="AM252" s="150" t="str">
        <f t="shared" si="22"/>
        <v>start /low /b %USERPROFILE%\Documents\GitHub\eaglep3\Utilities\DownloadLogsFromS3.py --loco 4021 --day 2017-04-04</v>
      </c>
      <c r="AN252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3" t="s">
        <v>798</v>
      </c>
      <c r="B253" s="7">
        <v>4021</v>
      </c>
      <c r="C253" s="21" t="s">
        <v>217</v>
      </c>
      <c r="D253" s="21" t="s">
        <v>990</v>
      </c>
      <c r="E253" s="13">
        <v>42830.018564814818</v>
      </c>
      <c r="F253" s="13">
        <v>42830.043611111112</v>
      </c>
      <c r="G253" s="7">
        <v>0</v>
      </c>
      <c r="H253" s="21" t="s">
        <v>991</v>
      </c>
      <c r="I253" s="13">
        <v>42830.071180555555</v>
      </c>
      <c r="J253" s="7">
        <v>0</v>
      </c>
      <c r="K253" s="97" t="str">
        <f>IF(ISEVEN(B253),(B253-1)&amp;"/"&amp;B253,B253&amp;"/"&amp;(B253+1))</f>
        <v>4021/4022</v>
      </c>
      <c r="L253" s="21" t="str">
        <f>VLOOKUP(A253,'Trips&amp;Operators'!$C$1:$G$99999,5,FALSE)</f>
        <v>DUNCAN SHEILA</v>
      </c>
      <c r="M253" s="6">
        <f>I253-F253</f>
        <v>2.7569444442633539E-2</v>
      </c>
      <c r="N253" s="7">
        <f>24*60*SUM($M253:$M253)</f>
        <v>39.699999997392297</v>
      </c>
      <c r="O253" s="7"/>
      <c r="P253" s="7"/>
      <c r="Q253" s="22"/>
      <c r="R253" s="22"/>
      <c r="S253" s="31">
        <f>SUM(U253:U253)/IF(AG253="EC",12,1)</f>
        <v>0</v>
      </c>
      <c r="T253" s="46" t="e">
        <f>IF(ISEVEN(LEFT(AD253,4)),"Southbound","NorthBound")</f>
        <v>#VALUE!</v>
      </c>
      <c r="U253" s="181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2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2017-04-04T23:26:44-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3" s="183" t="str">
        <f>IF(AA253&lt;IF(AG253="EC",23,5.65),"Y","N")</f>
        <v>Y</v>
      </c>
      <c r="X253" s="183" t="e">
        <f>VALUE(LEFT(AD253,4))-VALUE(LEFT(AD252,4))</f>
        <v>#VALUE!</v>
      </c>
      <c r="Y253" s="62">
        <f>RIGHT(D253,LEN(D253)-4)/10000</f>
        <v>23.3017</v>
      </c>
      <c r="Z253" s="62">
        <f>RIGHT(H253,LEN(H253)-4)/10000</f>
        <v>23.201899999999998</v>
      </c>
      <c r="AA253" s="62">
        <f>ABS(Z253-Y253)</f>
        <v>9.9800000000001887E-2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>IF(LEN(A253)=6,"0"&amp;A253,A253)</f>
        <v>82-04</v>
      </c>
      <c r="AE253" s="85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3" s="82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3" s="1" t="str">
        <f>IFERROR(IF(VALUE(LEFT(AD253,2))&lt;=2,"EC",IF(OR(VALUE(LEFT(AD253,2))=8,VALUE(LEFT(AD253,2))=18),"NW","Other")),"Other")</f>
        <v>Other</v>
      </c>
      <c r="AH253" s="86" t="str">
        <f t="shared" si="20"/>
        <v>"%USERPROFILE%\Documents\GitHub\eaglep3\Utilities\RefineRTDCRunTimes.py" --tripid 82-04 --locoid 4021 --swversion DE.1.0.9.0 --startMP 204:233017 --initTime 2017-04-05T00:26:44 --startdatetime 2017-04-05T01:02:48 --delay 0 --endMP 204:232019 --enddatetime 2017-04-05T01:42:30 --enforcementcount 0 &gt;&gt;C:\Users\stu\Documents\GitHub\eaglep3-reporting\EC\2017-04-04-refined-times.txt</v>
      </c>
      <c r="AI253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{"issue":{"subject":"","project_id":79,"tracker_id":40,"status_id":1,"priority_id":2,"assigned_to_id":23,"start_date":"2017-04-05","description":"","custom_fields":[{"id":1,"name":"Subdivision","value":"Other"},{"id":4,"name":"Milepost","value":"23.2019"},{"id":17,"name":"Train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8"/>
      <c r="AL253" s="48"/>
      <c r="AM253" s="150" t="str">
        <f t="shared" si="22"/>
        <v>start /low /b %USERPROFILE%\Documents\GitHub\eaglep3\Utilities\DownloadLogsFromS3.py --loco 4021 --day 2017-04-05</v>
      </c>
      <c r="AN253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3" t="s">
        <v>798</v>
      </c>
      <c r="B254" s="7">
        <v>4021</v>
      </c>
      <c r="C254" s="21" t="s">
        <v>217</v>
      </c>
      <c r="D254" s="21" t="s">
        <v>992</v>
      </c>
      <c r="E254" s="13">
        <v>42830.026747685188</v>
      </c>
      <c r="F254" s="13">
        <v>42830.043611111112</v>
      </c>
      <c r="G254" s="7">
        <v>1</v>
      </c>
      <c r="H254" s="21" t="s">
        <v>993</v>
      </c>
      <c r="I254" s="13">
        <v>42830.071180555555</v>
      </c>
      <c r="J254" s="7">
        <v>0</v>
      </c>
      <c r="K254" s="97" t="str">
        <f>IF(ISEVEN(B254),(B254-1)&amp;"/"&amp;B254,B254&amp;"/"&amp;(B254+1))</f>
        <v>4021/4022</v>
      </c>
      <c r="L254" s="21" t="str">
        <f>VLOOKUP(A254,'Trips&amp;Operators'!$C$1:$G$99999,5,FALSE)</f>
        <v>DUNCAN SHEILA</v>
      </c>
      <c r="M254" s="6">
        <f>I254-F254</f>
        <v>2.7569444442633539E-2</v>
      </c>
      <c r="N254" s="7">
        <f>24*60*SUM($M254:$M254)</f>
        <v>39.699999997392297</v>
      </c>
      <c r="O254" s="7"/>
      <c r="P254" s="7"/>
      <c r="Q254" s="22"/>
      <c r="R254" s="22"/>
      <c r="S254" s="31">
        <f>SUM(U254:U254)/IF(AG254="EC",12,1)</f>
        <v>0</v>
      </c>
      <c r="T254" s="46" t="e">
        <f>IF(ISEVEN(LEFT(AD254,4)),"Southbound","NorthBound")</f>
        <v>#VALUE!</v>
      </c>
      <c r="U254" s="181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2" t="str">
        <f>"https://d0f6bd738d7f1b3e5a7ca70fe4ff75f0.us-east-1.aws.found.io/app/kibana#/discover/Steve-Slow-Train-Analysis-(2080s-and-2083s)?_g="&amp;"(refreshInterval:(display:Off,pause:!f,section:0,value:0),time:(from:'"&amp;TEXT(E254-1/24,"yyyy-MM-DDThh:mm:ss")&amp;utc_offset&amp;"00"&amp;"',mode:absolute,to:'"&amp;TEXT(I254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254&amp;"%22')),sort:!(Time.ISO8601,asc))"</f>
        <v>https://d0f6bd738d7f1b3e5a7ca70fe4ff75f0.us-east-1.aws.found.io/app/kibana#/discover/Steve-Slow-Train-Analysis-(2080s-and-2083s)?_g=(refreshInterval:(display:Off,pause:!f,section:0,value:0),time:(from:'2017-04-04T23:38:31-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4" s="183" t="str">
        <f>IF(AA254&lt;IF(AG254="EC",23,5.65),"Y","N")</f>
        <v>N</v>
      </c>
      <c r="X254" s="183" t="e">
        <f>VALUE(LEFT(AD254,4))-VALUE(LEFT(AD253,4))</f>
        <v>#VALUE!</v>
      </c>
      <c r="Y254" s="62">
        <f>RIGHT(D254,LEN(D254)-4)/10000</f>
        <v>23.302099999999999</v>
      </c>
      <c r="Z254" s="62">
        <f>RIGHT(H254,LEN(H254)-4)/10000</f>
        <v>2.18E-2</v>
      </c>
      <c r="AA254" s="62">
        <f>ABS(Z254-Y254)</f>
        <v>23.2803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>IF(LEN(A254)=6,"0"&amp;A254,A254)</f>
        <v>82-04</v>
      </c>
      <c r="AE254" s="85" t="str">
        <f>"aws s3 cp "&amp;s3_bucket&amp;"/RTDC"&amp;B254&amp;"/ "&amp;search_path&amp;"\RTDC"&amp;B254&amp;"\"&amp;TEXT(F254,"YYYY-MM-DD")&amp;" --exclude ""*"" --recursive --include ""*"&amp;TEXT(F254,"YYYYMMDD")&amp;"*"" &amp; """&amp;walkandungz&amp;""" "&amp;search_path&amp;"\RTDC"&amp;B254&amp;"\"&amp;TEXT(F254,"YYYY-MM-DD")
&amp;" &amp; "&amp;"aws s3 cp "&amp;s3_bucket&amp;"/RTDC"&amp;B254&amp;"/ "&amp;search_path&amp;"\RTDC"&amp;B254&amp;"\"&amp;TEXT(F254+1,"YYYY-MM-DD")&amp;" --exclude ""*"" --recursive --include ""*"&amp;TEXT(F254+1,"YYYYMMDD")&amp;"*"" &amp; """&amp;walkandungz&amp;""" "&amp;search_path&amp;"\RTDC"&amp;B254&amp;"\"&amp;TEXT(F254+1,"YYYY-MM-DD")</f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4" s="82" t="str">
        <f>astrogrep_path&amp;" /e /r /s /spath="&amp;search_path&amp;" /stypes=""app*"&amp;B254&amp;"*"&amp;TEXT(I254-utc_offset/24,"YYYYMMDD")&amp;"*"" /stext="" "&amp;TEXT(I254-utc_offset/24,"HH")&amp;search_regexp&amp;""""</f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4" s="1" t="str">
        <f>IFERROR(IF(VALUE(LEFT(AD254,2))&lt;=2,"EC",IF(OR(VALUE(LEFT(AD254,2))=8,VALUE(LEFT(AD254,2))=18),"NW","Other")),"Other")</f>
        <v>Other</v>
      </c>
      <c r="AH254" s="86" t="str">
        <f t="shared" si="20"/>
        <v>"%USERPROFILE%\Documents\GitHub\eaglep3\Utilities\RefineRTDCRunTimes.py" --tripid 82-04 --locoid 4021 --swversion DE.1.0.9.0 --startMP 204:233021 --initTime 2017-04-05T00:38:31 --startdatetime 2017-04-05T01:02:48 --delay 1 --endMP 204:218 --enddatetime 2017-04-05T01:42:30 --enforcementcount 0 &gt;&gt;C:\Users\stu\Documents\GitHub\eaglep3-reporting\EC\2017-04-04-refined-times.txt</v>
      </c>
      <c r="AI254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{"issue":{"subject":"","project_id":79,"tracker_id":40,"status_id":1,"priority_id":2,"assigned_to_id":23,"start_date":"2017-04-05","description":"","custom_fields":[{"id":1,"name":"Subdivision","value":"Other"},{"id":4,"name":"Milepost","value":"0.0218"},{"id":17,"name":"Train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8"/>
      <c r="AL254" s="48"/>
      <c r="AM254" s="150" t="str">
        <f t="shared" si="22"/>
        <v>start /low /b %USERPROFILE%\Documents\GitHub\eaglep3\Utilities\DownloadLogsFromS3.py --loco 4021 --day 2017-04-05</v>
      </c>
      <c r="AN254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3" t="s">
        <v>798</v>
      </c>
      <c r="B255" s="7">
        <v>4021</v>
      </c>
      <c r="C255" s="21" t="s">
        <v>217</v>
      </c>
      <c r="D255" s="21" t="s">
        <v>994</v>
      </c>
      <c r="E255" s="13">
        <v>42830.010046296295</v>
      </c>
      <c r="F255" s="13">
        <v>42830.043611111112</v>
      </c>
      <c r="G255" s="7">
        <v>1</v>
      </c>
      <c r="H255" s="21" t="s">
        <v>995</v>
      </c>
      <c r="I255" s="13">
        <v>42830.071180555555</v>
      </c>
      <c r="J255" s="7">
        <v>0</v>
      </c>
      <c r="K255" s="97" t="str">
        <f>IF(ISEVEN(B255),(B255-1)&amp;"/"&amp;B255,B255&amp;"/"&amp;(B255+1))</f>
        <v>4021/4022</v>
      </c>
      <c r="L255" s="21" t="str">
        <f>VLOOKUP(A255,'Trips&amp;Operators'!$C$1:$G$99999,5,FALSE)</f>
        <v>DUNCAN SHEILA</v>
      </c>
      <c r="M255" s="6">
        <f>I255-F255</f>
        <v>2.7569444442633539E-2</v>
      </c>
      <c r="N255" s="7">
        <f>24*60*SUM($M255:$M255)</f>
        <v>39.699999997392297</v>
      </c>
      <c r="O255" s="7"/>
      <c r="P255" s="7"/>
      <c r="Q255" s="22"/>
      <c r="R255" s="22"/>
      <c r="S255" s="31">
        <f>SUM(U255:U255)/IF(AG255="EC",12,1)</f>
        <v>0</v>
      </c>
      <c r="T255" s="46" t="e">
        <f>IF(ISEVEN(LEFT(AD255,4)),"Southbound","NorthBound")</f>
        <v>#VALUE!</v>
      </c>
      <c r="U255" s="181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2" t="str">
        <f>"https://d0f6bd738d7f1b3e5a7ca70fe4ff75f0.us-east-1.aws.found.io/app/kibana#/discover/Steve-Slow-Train-Analysis-(2080s-and-2083s)?_g="&amp;"(refreshInterval:(display:Off,pause:!f,section:0,value:0),time:(from:'"&amp;TEXT(E255-1/24,"yyyy-MM-DDThh:mm:ss")&amp;utc_offset&amp;"00"&amp;"',mode:absolute,to:'"&amp;TEXT(I255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255&amp;"%22')),sort:!(Time.ISO8601,asc))"</f>
        <v>https://d0f6bd738d7f1b3e5a7ca70fe4ff75f0.us-east-1.aws.found.io/app/kibana#/discover/Steve-Slow-Train-Analysis-(2080s-and-2083s)?_g=(refreshInterval:(display:Off,pause:!f,section:0,value:0),time:(from:'2017-04-04T23:14:28-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5" s="183" t="str">
        <f>IF(AA255&lt;IF(AG255="EC",23,5.65),"Y","N")</f>
        <v>Y</v>
      </c>
      <c r="X255" s="183" t="e">
        <f>VALUE(LEFT(AD255,4))-VALUE(LEFT(AD254,4))</f>
        <v>#VALUE!</v>
      </c>
      <c r="Y255" s="62">
        <f>RIGHT(D255,LEN(D255)-4)/10000</f>
        <v>23.306699999999999</v>
      </c>
      <c r="Z255" s="62">
        <f>RIGHT(H255,LEN(H255)-4)/10000</f>
        <v>23.176300000000001</v>
      </c>
      <c r="AA255" s="62">
        <f>ABS(Z255-Y255)</f>
        <v>0.13039999999999807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>IF(LEN(A255)=6,"0"&amp;A255,A255)</f>
        <v>82-04</v>
      </c>
      <c r="AE255" s="85" t="str">
        <f>"aws s3 cp "&amp;s3_bucket&amp;"/RTDC"&amp;B255&amp;"/ "&amp;search_path&amp;"\RTDC"&amp;B255&amp;"\"&amp;TEXT(F255,"YYYY-MM-DD")&amp;" --exclude ""*"" --recursive --include ""*"&amp;TEXT(F255,"YYYYMMDD")&amp;"*"" &amp; """&amp;walkandungz&amp;""" "&amp;search_path&amp;"\RTDC"&amp;B255&amp;"\"&amp;TEXT(F255,"YYYY-MM-DD")
&amp;" &amp; "&amp;"aws s3 cp "&amp;s3_bucket&amp;"/RTDC"&amp;B255&amp;"/ "&amp;search_path&amp;"\RTDC"&amp;B255&amp;"\"&amp;TEXT(F255+1,"YYYY-MM-DD")&amp;" --exclude ""*"" --recursive --include ""*"&amp;TEXT(F255+1,"YYYYMMDD")&amp;"*"" &amp; """&amp;walkandungz&amp;""" "&amp;search_path&amp;"\RTDC"&amp;B255&amp;"\"&amp;TEXT(F255+1,"YYYY-MM-DD")</f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5" s="82" t="str">
        <f>astrogrep_path&amp;" /e /r /s /spath="&amp;search_path&amp;" /stypes=""app*"&amp;B255&amp;"*"&amp;TEXT(I255-utc_offset/24,"YYYYMMDD")&amp;"*"" /stext="" "&amp;TEXT(I255-utc_offset/24,"HH")&amp;search_regexp&amp;""""</f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5" s="1" t="str">
        <f>IFERROR(IF(VALUE(LEFT(AD255,2))&lt;=2,"EC",IF(OR(VALUE(LEFT(AD255,2))=8,VALUE(LEFT(AD255,2))=18),"NW","Other")),"Other")</f>
        <v>Other</v>
      </c>
      <c r="AH255" s="86" t="str">
        <f t="shared" si="20"/>
        <v>"%USERPROFILE%\Documents\GitHub\eaglep3\Utilities\RefineRTDCRunTimes.py" --tripid 82-04 --locoid 4021 --swversion DE.1.0.9.0 --startMP 204:233067 --initTime 2017-04-05T00:14:28 --startdatetime 2017-04-05T01:02:48 --delay 1 --endMP 204:231763 --enddatetime 2017-04-05T01:42:30 --enforcementcount 0 &gt;&gt;C:\Users\stu\Documents\GitHub\eaglep3-reporting\EC\2017-04-04-refined-times.txt</v>
      </c>
      <c r="AI255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{"issue":{"subject":"","project_id":79,"tracker_id":40,"status_id":1,"priority_id":2,"assigned_to_id":23,"start_date":"2017-04-05","description":"","custom_fields":[{"id":1,"name":"Subdivision","value":"Other"},{"id":4,"name":"Milepost","value":"23.1763"},{"id":17,"name":"Train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8"/>
      <c r="AL255" s="48"/>
      <c r="AM255" s="150" t="str">
        <f t="shared" si="22"/>
        <v>start /low /b %USERPROFILE%\Documents\GitHub\eaglep3\Utilities\DownloadLogsFromS3.py --loco 4021 --day 2017-04-05</v>
      </c>
      <c r="AN255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3" t="s">
        <v>798</v>
      </c>
      <c r="B256" s="7">
        <v>4021</v>
      </c>
      <c r="C256" s="21" t="s">
        <v>217</v>
      </c>
      <c r="D256" s="21" t="s">
        <v>996</v>
      </c>
      <c r="E256" s="13">
        <v>42829.997048611112</v>
      </c>
      <c r="F256" s="13">
        <v>42830.020567129628</v>
      </c>
      <c r="G256" s="7">
        <v>1</v>
      </c>
      <c r="H256" s="21" t="s">
        <v>997</v>
      </c>
      <c r="I256" s="13">
        <v>42830.022210648145</v>
      </c>
      <c r="J256" s="7">
        <v>0</v>
      </c>
      <c r="K256" s="97" t="str">
        <f>IF(ISEVEN(B256),(B256-1)&amp;"/"&amp;B256,B256&amp;"/"&amp;(B256+1))</f>
        <v>4021/4022</v>
      </c>
      <c r="L256" s="21" t="str">
        <f>VLOOKUP(A256,'Trips&amp;Operators'!$C$1:$G$99999,5,FALSE)</f>
        <v>DUNCAN SHEILA</v>
      </c>
      <c r="M256" s="6">
        <f>I256-F256</f>
        <v>1.6435185170848854E-3</v>
      </c>
      <c r="N256" s="7">
        <f>24*60*SUM($M256:$M256)</f>
        <v>2.366666664602235</v>
      </c>
      <c r="O256" s="7"/>
      <c r="P256" s="7"/>
      <c r="Q256" s="22"/>
      <c r="R256" s="22"/>
      <c r="S256" s="31">
        <f>SUM(U256:U256)/IF(AG256="EC",12,1)</f>
        <v>0</v>
      </c>
      <c r="T256" s="46" t="e">
        <f>IF(ISEVEN(LEFT(AD256,4)),"Southbound","NorthBound")</f>
        <v>#VALUE!</v>
      </c>
      <c r="U256" s="181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2" t="str">
        <f>"https://d0f6bd738d7f1b3e5a7ca70fe4ff75f0.us-east-1.aws.found.io/app/kibana#/discover/Steve-Slow-Train-Analysis-(2080s-and-2083s)?_g="&amp;"(refreshInterval:(display:Off,pause:!f,section:0,value:0),time:(from:'"&amp;TEXT(E256-1/24,"yyyy-MM-DDThh:mm:ss")&amp;utc_offset&amp;"00"&amp;"',mode:absolute,to:'"&amp;TEXT(I256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256&amp;"%22')),sort:!(Time.ISO8601,asc))"</f>
        <v>https://d0f6bd738d7f1b3e5a7ca70fe4ff75f0.us-east-1.aws.found.io/app/kibana#/discover/Steve-Slow-Train-Analysis-(2080s-and-2083s)?_g=(refreshInterval:(display:Off,pause:!f,section:0,value:0),time:(from:'2017-04-04T22:55:45-0600',mode:absolute,to:'2017-04-05T01:31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6" s="183" t="str">
        <f>IF(AA256&lt;IF(AG256="EC",23,5.65),"Y","N")</f>
        <v>Y</v>
      </c>
      <c r="X256" s="183" t="e">
        <f>VALUE(LEFT(AD256,4))-VALUE(LEFT(AD255,4))</f>
        <v>#VALUE!</v>
      </c>
      <c r="Y256" s="62">
        <f>RIGHT(D256,LEN(D256)-4)/10000</f>
        <v>23.312799999999999</v>
      </c>
      <c r="Z256" s="62">
        <f>RIGHT(H256,LEN(H256)-4)/10000</f>
        <v>23.199200000000001</v>
      </c>
      <c r="AA256" s="62">
        <f>ABS(Z256-Y256)</f>
        <v>0.11359999999999815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>IF(LEN(A256)=6,"0"&amp;A256,A256)</f>
        <v>82-04</v>
      </c>
      <c r="AE256" s="85" t="str">
        <f>"aws s3 cp "&amp;s3_bucket&amp;"/RTDC"&amp;B256&amp;"/ "&amp;search_path&amp;"\RTDC"&amp;B256&amp;"\"&amp;TEXT(F256,"YYYY-MM-DD")&amp;" --exclude ""*"" --recursive --include ""*"&amp;TEXT(F256,"YYYYMMDD")&amp;"*"" &amp; """&amp;walkandungz&amp;""" "&amp;search_path&amp;"\RTDC"&amp;B256&amp;"\"&amp;TEXT(F256,"YYYY-MM-DD")
&amp;" &amp; "&amp;"aws s3 cp "&amp;s3_bucket&amp;"/RTDC"&amp;B256&amp;"/ "&amp;search_path&amp;"\RTDC"&amp;B256&amp;"\"&amp;TEXT(F256+1,"YYYY-MM-DD")&amp;" --exclude ""*"" --recursive --include ""*"&amp;TEXT(F256+1,"YYYYMMDD")&amp;"*"" &amp; """&amp;walkandungz&amp;""" "&amp;search_path&amp;"\RTDC"&amp;B256&amp;"\"&amp;TEXT(F256+1,"YYYY-MM-DD")</f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6" s="82" t="str">
        <f>astrogrep_path&amp;" /e /r /s /spath="&amp;search_path&amp;" /stypes=""app*"&amp;B256&amp;"*"&amp;TEXT(I256-utc_offset/24,"YYYYMMDD")&amp;"*"" /stext="" "&amp;TEXT(I256-utc_offset/24,"HH")&amp;search_regexp&amp;""""</f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56" s="1" t="str">
        <f>IFERROR(IF(VALUE(LEFT(AD256,2))&lt;=2,"EC",IF(OR(VALUE(LEFT(AD256,2))=8,VALUE(LEFT(AD256,2))=18),"NW","Other")),"Other")</f>
        <v>Other</v>
      </c>
      <c r="AH256" s="86" t="str">
        <f t="shared" si="20"/>
        <v>"%USERPROFILE%\Documents\GitHub\eaglep3\Utilities\RefineRTDCRunTimes.py" --tripid 82-04 --locoid 4021 --swversion DE.1.0.9.0 --startMP 204:233128 --initTime 2017-04-04T23:55:45 --startdatetime 2017-04-05T00:29:37 --delay 1 --endMP 204:231992 --enddatetime 2017-04-05T00:31:59 --enforcementcount 0 &gt;&gt;C:\Users\stu\Documents\GitHub\eaglep3-reporting\EC\2017-04-04-refined-times.txt</v>
      </c>
      <c r="AI256" s="104" t="str">
        <f t="shared" si="21"/>
        <v>echo {"issue":{"subject":"","project_id":79,"tracker_id":40,"status_id":1,"priority_id":2,"assigned_to_id":23,"start_date":"2017-04-05","description":"","custom_fields":[{"id":1,"name":"Subdivision","value":"Other"},{"id":4,"name":"Milepost","value":"23.1992"},{"id":17,"name":"Train ID","value":"82-04"},{"id":16,"name":"Locomotive ID","value":"4021"},{"id":130,"name":"Impact","value":""},{"id":150,"name":"Time of Event (Mountain Time)","value":"00:31:59"},{"id":151,"name":"Denver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8"/>
      <c r="AL256" s="48"/>
      <c r="AM256" s="150" t="str">
        <f t="shared" si="22"/>
        <v>start /low /b %USERPROFILE%\Documents\GitHub\eaglep3\Utilities\DownloadLogsFromS3.py --loco 4021 --day 2017-04-05</v>
      </c>
      <c r="AN256" s="159" t="str">
        <f t="shared" si="23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</sheetData>
  <autoFilter ref="A12:AG260">
    <sortState ref="A13:AG262">
      <sortCondition ref="AG13:AG258"/>
      <sortCondition ref="AD13:AD258"/>
    </sortState>
  </autoFilter>
  <sortState ref="A13:AH200">
    <sortCondition ref="AG13:AG200"/>
    <sortCondition ref="AD13:AD200"/>
  </sortState>
  <mergeCells count="1">
    <mergeCell ref="A11:P11"/>
  </mergeCells>
  <conditionalFormatting sqref="W11:W12 W267:X1048576 W13:X256">
    <cfRule type="cellIs" dxfId="10" priority="370" operator="equal">
      <formula>"Y"</formula>
    </cfRule>
  </conditionalFormatting>
  <conditionalFormatting sqref="X267:X1048576 X13:X256">
    <cfRule type="cellIs" dxfId="9" priority="353" operator="greaterThan">
      <formula>1</formula>
    </cfRule>
  </conditionalFormatting>
  <conditionalFormatting sqref="X267:X1048576 X12:X256">
    <cfRule type="cellIs" dxfId="8" priority="350" operator="equal">
      <formula>0</formula>
    </cfRule>
  </conditionalFormatting>
  <conditionalFormatting sqref="A13:S25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Values'!$C$2:$C$15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9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38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- 2017-04-04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42829.775648148148</v>
      </c>
      <c r="B7" s="30" t="s">
        <v>382</v>
      </c>
      <c r="C7" s="30" t="s">
        <v>618</v>
      </c>
      <c r="D7" s="30" t="s">
        <v>49</v>
      </c>
      <c r="E7" s="30" t="s">
        <v>193</v>
      </c>
      <c r="F7" s="43">
        <v>0</v>
      </c>
      <c r="G7" s="43">
        <v>171</v>
      </c>
      <c r="H7" s="43">
        <v>27044</v>
      </c>
      <c r="I7" s="43">
        <v>27231</v>
      </c>
      <c r="J7" s="30" t="s">
        <v>194</v>
      </c>
      <c r="K7" s="43">
        <v>27053</v>
      </c>
      <c r="L7" s="139" t="s">
        <v>50</v>
      </c>
      <c r="M7" s="140">
        <f>CONVERT((I7-K7)/10000,"mi","ft")*IF(L7="Increasing Mileposts (1)",-1,1)</f>
        <v>-93.983999999999995</v>
      </c>
      <c r="N7" s="141" t="str">
        <f>VLOOKUP(C7,'Trips&amp;Operators'!$C$1:$G$99999,5,FALSE)</f>
        <v>GUZMAN DANNY</v>
      </c>
      <c r="O7" s="190" t="s">
        <v>185</v>
      </c>
      <c r="P7" s="142" t="s">
        <v>580</v>
      </c>
      <c r="Q7" s="30"/>
      <c r="R7" s="89" t="str">
        <f>IF(VLOOKUP(C7,'Train Runs'!$A$13:$AE$9936,1,1)=C7,VLOOKUP(C7,'Train Runs'!$A$13:$AE$9936,31,1),NA())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S7" s="92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/stypes="*4046*201704050*" /stext=" 00:.+((SYSTEM_STATE.+slice.+state.+changed )|(ment ac)|(multiple cpu faults)|(system.+state.+changed )|(\[timeout)|(PRM\|1\|D)|(kpr)|(kdp)|(\|lc)|(penalty))"</v>
      </c>
      <c r="U7" s="9" t="str">
        <f>MID(B7,13,4)</f>
        <v>4046</v>
      </c>
      <c r="V7" s="32">
        <f>A7-utc_offset/24</f>
        <v>42830.025648148148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arrival","project_id":79,"tracker_id":40,"status_id":1,"priority_id":2,"assigned_to_id":23,"start_date":"2017-04-04","description":"","custom_fields":[{"id":1,"name":"Subdivision","value":"EC"},{"id":4,"name":"Milepost","value":"2.7053"},{"id":17,"name":"Train ID","value":"219-04"},{"id":16,"name":"Locomotive ID","value":"4046"},{"id":130,"name":"Impact","value":""},{"id":150,"name":"Time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"%USERPROFILE%\AppData\Local\Temp\OnboardLogs"\RTDC4046\*4046*201704050*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"%USERPROFILE%\AppData\Local\Temp\OnboardLogs"\RTDC4046\*4046*201704050* &gt;&gt; 2017-04-04-SliceDisagreementCheck.txt</v>
      </c>
      <c r="AE7" s="153" t="str">
        <f>"start /low /b "&amp;dls3logs&amp;" --loco "&amp;U7&amp;" --day "&amp;TEXT(V7,"YYYY-MM-DD")</f>
        <v>start /low /b %USERPROFILE%\Documents\GitHub\eaglep3\Utilities\DownloadLogsFromS3.py --loco 4046 --day 2017-04-05</v>
      </c>
    </row>
    <row r="8" spans="1:32" s="1" customFormat="1" x14ac:dyDescent="0.25">
      <c r="A8" s="32">
        <v>42829.821631944447</v>
      </c>
      <c r="B8" s="30" t="s">
        <v>455</v>
      </c>
      <c r="C8" s="30" t="s">
        <v>621</v>
      </c>
      <c r="D8" s="30" t="s">
        <v>49</v>
      </c>
      <c r="E8" s="30" t="s">
        <v>193</v>
      </c>
      <c r="F8" s="43">
        <v>0</v>
      </c>
      <c r="G8" s="43">
        <v>106</v>
      </c>
      <c r="H8" s="43">
        <v>27360</v>
      </c>
      <c r="I8" s="43">
        <v>27236</v>
      </c>
      <c r="J8" s="30" t="s">
        <v>194</v>
      </c>
      <c r="K8" s="43">
        <v>27350</v>
      </c>
      <c r="L8" s="139" t="s">
        <v>51</v>
      </c>
      <c r="M8" s="140">
        <f>CONVERT((I8-K8)/10000,"mi","ft")*IF(L8="Increasing Mileposts (1)",-1,1)</f>
        <v>-60.192</v>
      </c>
      <c r="N8" s="141" t="str">
        <f>VLOOKUP(C8,'Trips&amp;Operators'!$C$1:$G$99999,5,FALSE)</f>
        <v>STORY SAMANTHA</v>
      </c>
      <c r="O8" s="190" t="s">
        <v>185</v>
      </c>
      <c r="P8" s="142" t="s">
        <v>580</v>
      </c>
      <c r="Q8" s="30"/>
      <c r="R8" s="89" t="str">
        <f>IF(VLOOKUP(C8,'Train Runs'!$A$13:$AE$9936,1,1)=C8,VLOOKUP(C8,'Train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8" s="92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/stypes="*4009*201704050*" /stext=" 01:.+((SYSTEM_STATE.+slice.+state.+changed )|(ment ac)|(multiple cpu faults)|(system.+state.+changed )|(\[timeout)|(PRM\|1\|D)|(kpr)|(kdp)|(\|lc)|(penalty))"</v>
      </c>
      <c r="U8" s="9" t="str">
        <f>MID(B8,13,4)</f>
        <v>4009</v>
      </c>
      <c r="V8" s="32">
        <f>A8-utc_offset/24</f>
        <v>42830.071631944447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ID","value":"218-04"},{"id":16,"name":"Locomotive ID","value":"4009"},{"id":130,"name":"Impact","value":""},{"id":150,"name":"Time of Event (Mountain Time)","value":"19:43:09"},{"id":151,"name":"Denver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"%USERPROFILE%\AppData\Local\Temp\OnboardLogs"\RTDC4009\*4009*201704050*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8" s="153" t="str">
        <f>"start /low /b "&amp;dls3logs&amp;" --loco "&amp;U8&amp;" --day "&amp;TEXT(V8,"YYYY-MM-DD")</f>
        <v>start /low /b %USERPROFILE%\Documents\GitHub\eaglep3\Utilities\DownloadLogsFromS3.py --loco 4009 --day 2017-04-05</v>
      </c>
    </row>
    <row r="9" spans="1:32" s="1" customFormat="1" x14ac:dyDescent="0.25">
      <c r="A9" s="32">
        <v>42829.85428240741</v>
      </c>
      <c r="B9" s="30" t="s">
        <v>414</v>
      </c>
      <c r="C9" s="30" t="s">
        <v>623</v>
      </c>
      <c r="D9" s="30" t="s">
        <v>98</v>
      </c>
      <c r="E9" s="30" t="s">
        <v>193</v>
      </c>
      <c r="F9" s="43">
        <v>190</v>
      </c>
      <c r="G9" s="43">
        <v>242</v>
      </c>
      <c r="H9" s="43">
        <v>27025</v>
      </c>
      <c r="I9" s="43">
        <v>26182</v>
      </c>
      <c r="J9" s="30" t="s">
        <v>194</v>
      </c>
      <c r="K9" s="43">
        <v>27350</v>
      </c>
      <c r="L9" s="139" t="s">
        <v>51</v>
      </c>
      <c r="M9" s="140">
        <f>CONVERT((I9-K9)/10000,"mi","ft")*IF(L9="Increasing Mileposts (1)",-1,1)</f>
        <v>-616.70399999999995</v>
      </c>
      <c r="N9" s="141" t="str">
        <f>VLOOKUP(C9,'Trips&amp;Operators'!$C$1:$G$99999,5,FALSE)</f>
        <v>CHANDLER KELVIN</v>
      </c>
      <c r="O9" s="190" t="s">
        <v>185</v>
      </c>
      <c r="P9" s="142" t="s">
        <v>580</v>
      </c>
      <c r="Q9" s="30"/>
      <c r="R9" s="89" t="str">
        <f>IF(VLOOKUP(C9,'Train Runs'!$A$13:$AE$9936,1,1)=C9,VLOOKUP(C9,'Train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9" s="92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/stypes="*4013*201704050*" /stext=" 02:.+((SYSTEM_STATE.+slice.+state.+changed )|(ment ac)|(multiple cpu faults)|(system.+state.+changed )|(\[timeout)|(PRM\|1\|D)|(kpr)|(kdp)|(\|lc)|(penalty))"</v>
      </c>
      <c r="U9" s="9" t="str">
        <f>MID(B9,13,4)</f>
        <v>4013</v>
      </c>
      <c r="V9" s="32">
        <f>A9-utc_offset/24</f>
        <v>42830.10428240741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ID","value":"222-04"},{"id":16,"name":"Locomotive ID","value":"4013"},{"id":130,"name":"Impact","value":""},{"id":150,"name":"Time of Event (Mountain Time)","value":"20:30:10"},{"id":151,"name":"Denver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"%USERPROFILE%\AppData\Local\Temp\OnboardLogs"\RTDC4013\*4013*201704050*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"%USERPROFILE%\AppData\Local\Temp\OnboardLogs"\RTDC4013\*4013*201704050* &gt;&gt; 2017-04-04-SliceDisagreementCheck.txt</v>
      </c>
      <c r="AE9" s="153" t="str">
        <f>"start /low /b "&amp;dls3logs&amp;" --loco "&amp;U9&amp;" --day "&amp;TEXT(V9,"YYYY-MM-DD")</f>
        <v>start /low /b %USERPROFILE%\Documents\GitHub\eaglep3\Utilities\DownloadLogsFromS3.py --loco 4013 --day 2017-04-05</v>
      </c>
    </row>
    <row r="10" spans="1:32" s="1" customFormat="1" x14ac:dyDescent="0.25">
      <c r="A10" s="32">
        <v>42829.299884259257</v>
      </c>
      <c r="B10" s="30" t="s">
        <v>381</v>
      </c>
      <c r="C10" s="30" t="s">
        <v>593</v>
      </c>
      <c r="D10" s="30" t="s">
        <v>49</v>
      </c>
      <c r="E10" s="30" t="s">
        <v>193</v>
      </c>
      <c r="F10" s="43">
        <v>0</v>
      </c>
      <c r="G10" s="43">
        <v>214</v>
      </c>
      <c r="H10" s="43">
        <v>33309</v>
      </c>
      <c r="I10" s="43">
        <v>33021</v>
      </c>
      <c r="J10" s="30" t="s">
        <v>194</v>
      </c>
      <c r="K10" s="43">
        <v>33257</v>
      </c>
      <c r="L10" s="139" t="s">
        <v>51</v>
      </c>
      <c r="M10" s="140">
        <f>CONVERT((I10-K10)/10000,"mi","ft")*IF(L10="Increasing Mileposts (1)",-1,1)</f>
        <v>-124.608</v>
      </c>
      <c r="N10" s="141" t="str">
        <f>VLOOKUP(C10,'Trips&amp;Operators'!$C$1:$G$99999,5,FALSE)</f>
        <v>MAELZER KURT</v>
      </c>
      <c r="O10" s="190" t="s">
        <v>185</v>
      </c>
      <c r="P10" s="142" t="s">
        <v>580</v>
      </c>
      <c r="Q10" s="30"/>
      <c r="R10" s="89" t="str">
        <f>IF(VLOOKUP(C10,'Train Runs'!$A$13:$AE$9936,1,1)=C10,VLOOKUP(C10,'Train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10" s="92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/stypes="*4031*201704041*" /stext=" 13:.+((SYSTEM_STATE.+slice.+state.+changed )|(ment ac)|(multiple cpu faults)|(system.+state.+changed )|(\[timeout)|(PRM\|1\|D)|(kpr)|(kdp)|(\|lc)|(penalty))"</v>
      </c>
      <c r="U10" s="9" t="str">
        <f>MID(B10,13,4)</f>
        <v>4031</v>
      </c>
      <c r="V10" s="32">
        <f>A10-utc_offset/24</f>
        <v>42829.549884259257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arrival","project_id":79,"tracker_id":40,"status_id":1,"priority_id":2,"assigned_to_id":23,"start_date":"2017-04-04","description":"","custom_fields":[{"id":1,"name":"Subdivision","value":"EC"},{"id":4,"name":"Milepost","value":"3.3257"},{"id":17,"name":"Train ID","value":"118-04"},{"id":16,"name":"Locomotive ID","value":"4031"},{"id":130,"name":"Impact","value":""},{"id":150,"name":"Time of Event (Mountain Time)","value":"07:11:50"},{"id":151,"name":"Denver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"%USERPROFILE%\AppData\Local\Temp\OnboardLogs"\RTDC4031\*4031*201704041*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"%USERPROFILE%\AppData\Local\Temp\OnboardLogs"\RTDC4031\*4031*201704041* &gt;&gt; 2017-04-04-SliceDisagreementCheck.txt</v>
      </c>
      <c r="AE10" s="153" t="str">
        <f>"start /low /b "&amp;dls3logs&amp;" --loco "&amp;U10&amp;" --day "&amp;TEXT(V10,"YYYY-MM-DD")</f>
        <v>start /low /b %USERPROFILE%\Documents\GitHub\eaglep3\Utilities\DownloadLogsFromS3.py --loco 4031 --day 2017-04-04</v>
      </c>
    </row>
    <row r="11" spans="1:32" s="1" customFormat="1" x14ac:dyDescent="0.25">
      <c r="A11" s="32">
        <v>42829.405659722222</v>
      </c>
      <c r="B11" s="30" t="s">
        <v>388</v>
      </c>
      <c r="C11" s="30" t="s">
        <v>600</v>
      </c>
      <c r="D11" s="30" t="s">
        <v>49</v>
      </c>
      <c r="E11" s="30" t="s">
        <v>193</v>
      </c>
      <c r="F11" s="43">
        <v>0</v>
      </c>
      <c r="G11" s="43">
        <v>163</v>
      </c>
      <c r="H11" s="43">
        <v>57260</v>
      </c>
      <c r="I11" s="43">
        <v>57519</v>
      </c>
      <c r="J11" s="30" t="s">
        <v>194</v>
      </c>
      <c r="K11" s="43">
        <v>58117</v>
      </c>
      <c r="L11" s="139" t="s">
        <v>50</v>
      </c>
      <c r="M11" s="140">
        <f>CONVERT((I11-K11)/10000,"mi","ft")*IF(L11="Increasing Mileposts (1)",-1,1)</f>
        <v>315.74400000000003</v>
      </c>
      <c r="N11" s="141" t="str">
        <f>VLOOKUP(C11,'Trips&amp;Operators'!$C$1:$G$99999,5,FALSE)</f>
        <v>STARKS ANGELINA</v>
      </c>
      <c r="O11" s="190" t="s">
        <v>185</v>
      </c>
      <c r="P11" s="142" t="s">
        <v>581</v>
      </c>
      <c r="Q11" s="30"/>
      <c r="R11" s="89" t="str">
        <f>IF(VLOOKUP(C11,'Train Runs'!$A$13:$AE$9936,1,1)=C11,VLOOKUP(C11,'Train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11" s="92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11" s="9" t="str">
        <f>MID(B11,13,4)</f>
        <v>4044</v>
      </c>
      <c r="V11" s="32">
        <f>A11-utc_offset/24</f>
        <v>42829.655659722222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C","project_id":79,"tracker_id":40,"status_id":1,"priority_id":2,"assigned_to_id":23,"start_date":"2017-04-04","description":"","custom_fields":[{"id":1,"name":"Subdivision","value":"EC"},{"id":4,"name":"Milepost","value":"5.8117"},{"id":17,"name":"Train ID","value":"147-04"},{"id":16,"name":"Locomotive ID","value":"4044"},{"id":130,"name":"Impact","value":""},{"id":150,"name":"Time of Event (Mountain Time)","value":"09:44:09"},{"id":151,"name":"Denver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>"grep -hSE -A400 ""Enforcement Action"" "&amp;search_path&amp;"\RTDC"&amp;U11&amp;"\*"&amp;U11&amp;"*"&amp;TEXT(A11-utc_offset/24,"YYYYMMDD")&amp;LEFT(TEXT(A11-utc_offset/24,"HH"),1)&amp;"* | grep -SE ""((Enforcement Ac)|(PRM.+XING))"" -"</f>
        <v>grep -hSE -A400 "Enforcement Action" "%USERPROFILE%\AppData\Local\Temp\OnboardLogs"\RTDC4044\*4044*201704041*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11" s="153" t="str">
        <f>"start /low /b "&amp;dls3logs&amp;" --loco "&amp;U11&amp;" --day "&amp;TEXT(V11,"YYYY-MM-DD")</f>
        <v>start /low /b %USERPROFILE%\Documents\GitHub\eaglep3\Utilities\DownloadLogsFromS3.py --loco 4044 --day 2017-04-04</v>
      </c>
    </row>
    <row r="12" spans="1:32" s="1" customFormat="1" x14ac:dyDescent="0.25">
      <c r="A12" s="32">
        <v>42829.714826388888</v>
      </c>
      <c r="B12" s="30" t="s">
        <v>597</v>
      </c>
      <c r="C12" s="30" t="s">
        <v>615</v>
      </c>
      <c r="D12" s="30" t="s">
        <v>49</v>
      </c>
      <c r="E12" s="30" t="s">
        <v>193</v>
      </c>
      <c r="F12" s="43">
        <v>350</v>
      </c>
      <c r="G12" s="43">
        <v>404</v>
      </c>
      <c r="H12" s="43">
        <v>59045</v>
      </c>
      <c r="I12" s="43">
        <v>58135</v>
      </c>
      <c r="J12" s="30" t="s">
        <v>194</v>
      </c>
      <c r="K12" s="43">
        <v>58301</v>
      </c>
      <c r="L12" s="139" t="s">
        <v>51</v>
      </c>
      <c r="M12" s="140">
        <f>CONVERT((I12-K12)/10000,"mi","ft")*IF(L12="Increasing Mileposts (1)",-1,1)</f>
        <v>-87.647999999999996</v>
      </c>
      <c r="N12" s="141" t="str">
        <f>VLOOKUP(C12,'Trips&amp;Operators'!$C$1:$G$99999,5,FALSE)</f>
        <v>WILLIAMS DONTE</v>
      </c>
      <c r="O12" s="190" t="s">
        <v>185</v>
      </c>
      <c r="P12" s="142" t="s">
        <v>580</v>
      </c>
      <c r="Q12" s="30"/>
      <c r="R12" s="89" t="str">
        <f>IF(VLOOKUP(C12,'Train Runs'!$A$13:$AE$9936,1,1)=C12,VLOOKUP(C12,'Train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2" s="92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/stypes="*4053*201704042*" /stext=" 23:.+((SYSTEM_STATE.+slice.+state.+changed )|(ment ac)|(multiple cpu faults)|(system.+state.+changed )|(\[timeout)|(PRM\|1\|D)|(kpr)|(kdp)|(\|lc)|(penalty))"</v>
      </c>
      <c r="U12" s="9" t="str">
        <f>MID(B12,13,4)</f>
        <v>4053</v>
      </c>
      <c r="V12" s="32">
        <f>A12-utc_offset/24</f>
        <v>42829.964826388888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arrival","project_id":79,"tracker_id":40,"status_id":1,"priority_id":2,"assigned_to_id":23,"start_date":"2017-04-04","description":"","custom_fields":[{"id":1,"name":"Subdivision","value":"EC"},{"id":4,"name":"Milepost","value":"5.8301"},{"id":17,"name":"Train ID","value":"198-04"},{"id":16,"name":"Locomotive ID","value":"4053"},{"id":130,"name":"Impact","value":""},{"id":150,"name":"Time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"%USERPROFILE%\AppData\Local\Temp\OnboardLogs"\RTDC4053\*4053*201704042*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"%USERPROFILE%\AppData\Local\Temp\OnboardLogs"\RTDC4053\*4053*201704042* &gt;&gt; 2017-04-04-SliceDisagreementCheck.txt</v>
      </c>
      <c r="AE12" s="153" t="str">
        <f>"start /low /b "&amp;dls3logs&amp;" --loco "&amp;U12&amp;" --day "&amp;TEXT(V12,"YYYY-MM-DD")</f>
        <v>start /low /b %USERPROFILE%\Documents\GitHub\eaglep3\Utilities\DownloadLogsFromS3.py --loco 4053 --day 2017-04-04</v>
      </c>
    </row>
    <row r="13" spans="1:32" s="1" customFormat="1" x14ac:dyDescent="0.25">
      <c r="A13" s="32">
        <v>42829.382303240738</v>
      </c>
      <c r="B13" s="30" t="s">
        <v>389</v>
      </c>
      <c r="C13" s="30" t="s">
        <v>599</v>
      </c>
      <c r="D13" s="30" t="s">
        <v>49</v>
      </c>
      <c r="E13" s="30" t="s">
        <v>193</v>
      </c>
      <c r="F13" s="43">
        <v>0</v>
      </c>
      <c r="G13" s="43">
        <v>61</v>
      </c>
      <c r="H13" s="43">
        <v>59082</v>
      </c>
      <c r="I13" s="43">
        <v>59031</v>
      </c>
      <c r="J13" s="30" t="s">
        <v>194</v>
      </c>
      <c r="K13" s="43">
        <v>58904</v>
      </c>
      <c r="L13" s="139" t="s">
        <v>51</v>
      </c>
      <c r="M13" s="140">
        <f>CONVERT((I13-K13)/10000,"mi","ft")*IF(L13="Increasing Mileposts (1)",-1,1)</f>
        <v>67.055999999999997</v>
      </c>
      <c r="N13" s="141" t="str">
        <f>VLOOKUP(C13,'Trips&amp;Operators'!$C$1:$G$99999,5,FALSE)</f>
        <v>STARKS ANGELINA</v>
      </c>
      <c r="O13" s="190" t="s">
        <v>185</v>
      </c>
      <c r="P13" s="142" t="s">
        <v>581</v>
      </c>
      <c r="Q13" s="30"/>
      <c r="R13" s="89" t="str">
        <f>IF(VLOOKUP(C13,'Train Runs'!$A$13:$AE$9936,1,1)=C13,VLOOKUP(C13,'Train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13" s="92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/stypes="*4043*201704041*" /stext=" 15:.+((SYSTEM_STATE.+slice.+state.+changed )|(ment ac)|(multiple cpu faults)|(system.+state.+changed )|(\[timeout)|(PRM\|1\|D)|(kpr)|(kdp)|(\|lc)|(penalty))"</v>
      </c>
      <c r="U13" s="9" t="str">
        <f>MID(B13,13,4)</f>
        <v>4043</v>
      </c>
      <c r="V13" s="32">
        <f>A13-utc_offset/24</f>
        <v>42829.632303240738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C","project_id":79,"tracker_id":40,"status_id":1,"priority_id":2,"assigned_to_id":23,"start_date":"2017-04-04","description":"","custom_fields":[{"id":1,"name":"Subdivision","value":"EC"},{"id":4,"name":"Milepost","value":"5.8904"},{"id":17,"name":"Train ID","value":"134-04"},{"id":16,"name":"Locomotive ID","value":"4043"},{"id":130,"name":"Impact","value":""},{"id":150,"name":"Time of Event (Mountain Time)","value":"09:10:31"},{"id":151,"name":"Denver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>"grep -hSE -A400 ""Enforcement Action"" "&amp;search_path&amp;"\RTDC"&amp;U13&amp;"\*"&amp;U13&amp;"*"&amp;TEXT(A13-utc_offset/24,"YYYYMMDD")&amp;LEFT(TEXT(A13-utc_offset/24,"HH"),1)&amp;"* | grep -SE ""((Enforcement Ac)|(PRM.+XING))"" -"</f>
        <v>grep -hSE -A400 "Enforcement Action" "%USERPROFILE%\AppData\Local\Temp\OnboardLogs"\RTDC4043\*4043*201704041*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13" s="153" t="str">
        <f>"start /low /b "&amp;dls3logs&amp;" --loco "&amp;U13&amp;" --day "&amp;TEXT(V13,"YYYY-MM-DD")</f>
        <v>start /low /b %USERPROFILE%\Documents\GitHub\eaglep3\Utilities\DownloadLogsFromS3.py --loco 4043 --day 2017-04-04</v>
      </c>
    </row>
    <row r="14" spans="1:32" x14ac:dyDescent="0.25">
      <c r="A14" s="32">
        <v>42829.582083333335</v>
      </c>
      <c r="B14" s="30" t="s">
        <v>413</v>
      </c>
      <c r="C14" s="30" t="s">
        <v>608</v>
      </c>
      <c r="D14" s="30" t="s">
        <v>49</v>
      </c>
      <c r="E14" s="30" t="s">
        <v>193</v>
      </c>
      <c r="F14" s="43">
        <v>0</v>
      </c>
      <c r="G14" s="43">
        <v>280</v>
      </c>
      <c r="H14" s="43">
        <v>62858</v>
      </c>
      <c r="I14" s="43">
        <v>63237</v>
      </c>
      <c r="J14" s="30" t="s">
        <v>194</v>
      </c>
      <c r="K14" s="43">
        <v>63069</v>
      </c>
      <c r="L14" s="139" t="s">
        <v>50</v>
      </c>
      <c r="M14" s="140">
        <f>CONVERT((I14-K14)/10000,"mi","ft")*IF(L14="Increasing Mileposts (1)",-1,1)</f>
        <v>-88.703999999999994</v>
      </c>
      <c r="N14" s="141" t="str">
        <f>VLOOKUP(C14,'Trips&amp;Operators'!$C$1:$G$99999,5,FALSE)</f>
        <v>LOCKLEAR TRAVIS</v>
      </c>
      <c r="O14" s="190" t="s">
        <v>185</v>
      </c>
      <c r="P14" s="142" t="s">
        <v>580</v>
      </c>
      <c r="Q14" s="30"/>
      <c r="R14" s="89" t="str">
        <f>IF(VLOOKUP(C14,'Train Runs'!$A$13:$AE$9936,1,1)=C14,VLOOKUP(C14,'Train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14" s="92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/stypes="*4014*201704041*" /stext=" 19:.+((SYSTEM_STATE.+slice.+state.+changed )|(ment ac)|(multiple cpu faults)|(system.+state.+changed )|(\[timeout)|(PRM\|1\|D)|(kpr)|(kdp)|(\|lc)|(penalty))"</v>
      </c>
      <c r="U14" s="9" t="str">
        <f>MID(B14,13,4)</f>
        <v>4014</v>
      </c>
      <c r="V14" s="32">
        <f>A14-utc_offset/24</f>
        <v>42829.832083333335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arrival","project_id":79,"tracker_id":40,"status_id":1,"priority_id":2,"assigned_to_id":23,"start_date":"2017-04-04","description":"","custom_fields":[{"id":1,"name":"Subdivision","value":"EC"},{"id":4,"name":"Milepost","value":"6.3069"},{"id":17,"name":"Train ID","value":"181-04"},{"id":16,"name":"Locomotive ID","value":"4014"},{"id":130,"name":"Impact","value":""},{"id":150,"name":"Time of Event (Mountain Time)","value":"13:58:12"},{"id":151,"name":"Denver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"%USERPROFILE%\AppData\Local\Temp\OnboardLogs"\RTDC4014\*4014*201704041*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14" s="153" t="str">
        <f>"start /low /b "&amp;dls3logs&amp;" --loco "&amp;U14&amp;" --day "&amp;TEXT(V14,"YYYY-MM-DD")</f>
        <v>start /low /b %USERPROFILE%\Documents\GitHub\eaglep3\Utilities\DownloadLogsFromS3.py --loco 4014 --day 2017-04-04</v>
      </c>
      <c r="AF14" s="1"/>
    </row>
    <row r="15" spans="1:32" x14ac:dyDescent="0.25">
      <c r="A15" s="32">
        <v>42829.784861111111</v>
      </c>
      <c r="B15" s="30" t="s">
        <v>597</v>
      </c>
      <c r="C15" s="30" t="s">
        <v>619</v>
      </c>
      <c r="D15" s="30" t="s">
        <v>98</v>
      </c>
      <c r="E15" s="30" t="s">
        <v>193</v>
      </c>
      <c r="F15" s="43">
        <v>130</v>
      </c>
      <c r="G15" s="43">
        <v>205</v>
      </c>
      <c r="H15" s="43">
        <v>63072</v>
      </c>
      <c r="I15" s="43">
        <v>62609</v>
      </c>
      <c r="J15" s="30" t="s">
        <v>194</v>
      </c>
      <c r="K15" s="43">
        <v>63309</v>
      </c>
      <c r="L15" s="139" t="s">
        <v>51</v>
      </c>
      <c r="M15" s="140">
        <f>CONVERT((I15-K15)/10000,"mi","ft")*IF(L15="Increasing Mileposts (1)",-1,1)</f>
        <v>-369.6</v>
      </c>
      <c r="N15" s="141" t="str">
        <f>VLOOKUP(C15,'Trips&amp;Operators'!$C$1:$G$99999,5,FALSE)</f>
        <v>LOCKLEAR TRAVIS</v>
      </c>
      <c r="O15" s="190" t="s">
        <v>185</v>
      </c>
      <c r="P15" s="142" t="s">
        <v>580</v>
      </c>
      <c r="Q15" s="30"/>
      <c r="R15" s="89" t="str">
        <f>IF(VLOOKUP(C15,'Train Runs'!$A$13:$AE$9936,1,1)=C15,VLOOKUP(C15,'Train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5" s="92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/stypes="*4053*201704050*" /stext=" 00:.+((SYSTEM_STATE.+slice.+state.+changed )|(ment ac)|(multiple cpu faults)|(system.+state.+changed )|(\[timeout)|(PRM\|1\|D)|(kpr)|(kdp)|(\|lc)|(penalty))"</v>
      </c>
      <c r="U15" s="9" t="str">
        <f>MID(B15,13,4)</f>
        <v>4053</v>
      </c>
      <c r="V15" s="32">
        <f>A15-utc_offset/24</f>
        <v>42830.034861111111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arrival","project_id":79,"tracker_id":40,"status_id":1,"priority_id":2,"assigned_to_id":23,"start_date":"2017-04-04","description":"","custom_fields":[{"id":1,"name":"Subdivision","value":"EC"},{"id":4,"name":"Milepost","value":"6.3309"},{"id":17,"name":"Train ID","value":"212-04"},{"id":16,"name":"Locomotive ID","value":"4053"},{"id":130,"name":"Impact","value":""},{"id":150,"name":"Time of Event (Mountain Time)","value":"18:50:12"},{"id":151,"name":"Denver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>"grep -hSE -A400 ""Enforcement Action"" "&amp;search_path&amp;"\RTDC"&amp;U15&amp;"\*"&amp;U15&amp;"*"&amp;TEXT(A15-utc_offset/24,"YYYYMMDD")&amp;LEFT(TEXT(A15-utc_offset/24,"HH"),1)&amp;"* | grep -SE ""((Enforcement Ac)|(PRM.+XING))"" -"</f>
        <v>grep -hSE -A400 "Enforcement Action" "%USERPROFILE%\AppData\Local\Temp\OnboardLogs"\RTDC4053\*4053*201704050*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"%USERPROFILE%\AppData\Local\Temp\OnboardLogs"\RTDC4053\*4053*201704050* &gt;&gt; 2017-04-04-SliceDisagreementCheck.txt</v>
      </c>
      <c r="AE15" s="153" t="str">
        <f>"start /low /b "&amp;dls3logs&amp;" --loco "&amp;U15&amp;" --day "&amp;TEXT(V15,"YYYY-MM-DD")</f>
        <v>start /low /b %USERPROFILE%\Documents\GitHub\eaglep3\Utilities\DownloadLogsFromS3.py --loco 4053 --day 2017-04-05</v>
      </c>
      <c r="AF15" s="1"/>
    </row>
    <row r="16" spans="1:32" x14ac:dyDescent="0.25">
      <c r="A16" s="32">
        <v>42829.231944444444</v>
      </c>
      <c r="B16" s="30" t="s">
        <v>455</v>
      </c>
      <c r="C16" s="30" t="s">
        <v>588</v>
      </c>
      <c r="D16" s="30" t="s">
        <v>49</v>
      </c>
      <c r="E16" s="30" t="s">
        <v>193</v>
      </c>
      <c r="F16" s="43">
        <v>10</v>
      </c>
      <c r="G16" s="43">
        <v>60</v>
      </c>
      <c r="H16" s="43">
        <v>103957</v>
      </c>
      <c r="I16" s="43">
        <v>103799</v>
      </c>
      <c r="J16" s="30" t="s">
        <v>194</v>
      </c>
      <c r="K16" s="43">
        <v>103800</v>
      </c>
      <c r="L16" s="139" t="s">
        <v>51</v>
      </c>
      <c r="M16" s="140">
        <f>CONVERT((I16-K16)/10000,"mi","ft")*IF(L16="Increasing Mileposts (1)",-1,1)</f>
        <v>-0.52800000000000002</v>
      </c>
      <c r="N16" s="141" t="str">
        <f>VLOOKUP(C16,'Trips&amp;Operators'!$C$1:$G$99999,5,FALSE)</f>
        <v>STARKS ANGELINA</v>
      </c>
      <c r="O16" s="190" t="s">
        <v>185</v>
      </c>
      <c r="P16" s="142" t="s">
        <v>580</v>
      </c>
      <c r="Q16" s="30"/>
      <c r="R16" s="89" t="str">
        <f>IF(VLOOKUP(C16,'Train Runs'!$A$13:$AE$9936,1,1)=C16,VLOOKUP(C16,'Train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6" s="92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6" s="9" t="str">
        <f>MID(B16,13,4)</f>
        <v>4009</v>
      </c>
      <c r="V16" s="32">
        <f>A16-utc_offset/24</f>
        <v>42829.481944444444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>"grep -hSE -A400 ""Enforcement Action"" "&amp;search_path&amp;"\RTDC"&amp;U16&amp;"\*"&amp;U16&amp;"*"&amp;TEXT(A16-utc_offset/24,"YYYYMMDD")&amp;LEFT(TEXT(A16-utc_offset/24,"HH"),1)&amp;"* | grep -SE ""((Enforcement Ac)|(PRM.+XING))"" -"</f>
        <v>grep -hSE -A400 "Enforcement Action" "%USERPROFILE%\AppData\Local\Temp\OnboardLogs"\RTDC4009\*4009*201704041*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6" s="153" t="str">
        <f>"start /low /b "&amp;dls3logs&amp;" --loco "&amp;U16&amp;" --day "&amp;TEXT(V16,"YYYY-MM-DD")</f>
        <v>start /low /b %USERPROFILE%\Documents\GitHub\eaglep3\Utilities\DownloadLogsFromS3.py --loco 4009 --day 2017-04-04</v>
      </c>
      <c r="AF16" s="1"/>
    </row>
    <row r="17" spans="1:32" x14ac:dyDescent="0.25">
      <c r="A17" s="32">
        <v>42829.231516203705</v>
      </c>
      <c r="B17" s="30" t="s">
        <v>455</v>
      </c>
      <c r="C17" s="30" t="s">
        <v>588</v>
      </c>
      <c r="D17" s="30" t="s">
        <v>49</v>
      </c>
      <c r="E17" s="30" t="s">
        <v>193</v>
      </c>
      <c r="F17" s="43">
        <v>450</v>
      </c>
      <c r="G17" s="43">
        <v>564</v>
      </c>
      <c r="H17" s="43">
        <v>106893</v>
      </c>
      <c r="I17" s="43">
        <v>103990</v>
      </c>
      <c r="J17" s="30" t="s">
        <v>194</v>
      </c>
      <c r="K17" s="43">
        <v>103800</v>
      </c>
      <c r="L17" s="139" t="s">
        <v>51</v>
      </c>
      <c r="M17" s="140">
        <f>CONVERT((I17-K17)/10000,"mi","ft")*IF(L17="Increasing Mileposts (1)",-1,1)</f>
        <v>100.32</v>
      </c>
      <c r="N17" s="141" t="str">
        <f>VLOOKUP(C17,'Trips&amp;Operators'!$C$1:$G$99999,5,FALSE)</f>
        <v>STARKS ANGELINA</v>
      </c>
      <c r="O17" s="190" t="s">
        <v>185</v>
      </c>
      <c r="P17" s="142" t="s">
        <v>580</v>
      </c>
      <c r="Q17" s="30"/>
      <c r="R17" s="89" t="str">
        <f>IF(VLOOKUP(C17,'Train Runs'!$A$13:$AE$9936,1,1)=C17,VLOOKUP(C17,'Train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7" s="92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7" s="9" t="str">
        <f>MID(B17,13,4)</f>
        <v>4009</v>
      </c>
      <c r="V17" s="32">
        <f>A17-utc_offset/24</f>
        <v>42829.481516203705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"%USERPROFILE%\AppData\Local\Temp\OnboardLogs"\RTDC4009\*4009*201704041*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7" s="153" t="str">
        <f>"start /low /b "&amp;dls3logs&amp;" --loco "&amp;U17&amp;" --day "&amp;TEXT(V17,"YYYY-MM-DD")</f>
        <v>start /low /b %USERPROFILE%\Documents\GitHub\eaglep3\Utilities\DownloadLogsFromS3.py --loco 4009 --day 2017-04-04</v>
      </c>
      <c r="AF17" s="1"/>
    </row>
    <row r="18" spans="1:32" ht="15" customHeight="1" x14ac:dyDescent="0.25">
      <c r="A18" s="32">
        <v>42829.233287037037</v>
      </c>
      <c r="B18" s="30" t="s">
        <v>470</v>
      </c>
      <c r="C18" s="30" t="s">
        <v>589</v>
      </c>
      <c r="D18" s="30" t="s">
        <v>49</v>
      </c>
      <c r="E18" s="30" t="s">
        <v>193</v>
      </c>
      <c r="F18" s="43">
        <v>700</v>
      </c>
      <c r="G18" s="43">
        <v>769</v>
      </c>
      <c r="H18" s="43">
        <v>107019</v>
      </c>
      <c r="I18" s="43">
        <v>110530</v>
      </c>
      <c r="J18" s="30" t="s">
        <v>194</v>
      </c>
      <c r="K18" s="43">
        <v>108954</v>
      </c>
      <c r="L18" s="139" t="s">
        <v>50</v>
      </c>
      <c r="M18" s="140">
        <f>CONVERT((I18-K18)/10000,"mi","ft")*IF(L18="Increasing Mileposts (1)",-1,1)</f>
        <v>-832.12800000000004</v>
      </c>
      <c r="N18" s="141" t="str">
        <f>VLOOKUP(C18,'Trips&amp;Operators'!$C$1:$G$99999,5,FALSE)</f>
        <v>SANTIZO D. EDY</v>
      </c>
      <c r="O18" s="190" t="s">
        <v>185</v>
      </c>
      <c r="P18" s="142" t="s">
        <v>580</v>
      </c>
      <c r="Q18" s="30"/>
      <c r="R18" s="89" t="str">
        <f>IF(VLOOKUP(C18,'Train Runs'!$A$13:$AE$9936,1,1)=C18,VLOOKUP(C18,'Train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18" s="92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/stypes="*4054*201704041*" /stext=" 11:.+((SYSTEM_STATE.+slice.+state.+changed )|(ment ac)|(multiple cpu faults)|(system.+state.+changed )|(\[timeout)|(PRM\|1\|D)|(kpr)|(kdp)|(\|lc)|(penalty))"</v>
      </c>
      <c r="U18" s="9" t="str">
        <f>MID(B18,13,4)</f>
        <v>4054</v>
      </c>
      <c r="V18" s="32">
        <f>A18-utc_offset/24</f>
        <v>42829.483287037037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arrival","project_id":79,"tracker_id":40,"status_id":1,"priority_id":2,"assigned_to_id":23,"start_date":"2017-04-04","description":"","custom_fields":[{"id":1,"name":"Subdivision","value":"EC"},{"id":4,"name":"Milepost","value":"10.8954"},{"id":17,"name":"Train ID","value":"113-04"},{"id":16,"name":"Locomotive ID","value":"4054"},{"id":130,"name":"Impact","value":""},{"id":150,"name":"Time of Event (Mountain Time)","value":"05:35:56"},{"id":151,"name":"Denver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>"grep -hSE -A400 ""Enforcement Action"" "&amp;search_path&amp;"\RTDC"&amp;U18&amp;"\*"&amp;U18&amp;"*"&amp;TEXT(A18-utc_offset/24,"YYYYMMDD")&amp;LEFT(TEXT(A18-utc_offset/24,"HH"),1)&amp;"* | grep -SE ""((Enforcement Ac)|(PRM.+XING))"" -"</f>
        <v>grep -hSE -A400 "Enforcement Action" "%USERPROFILE%\AppData\Local\Temp\OnboardLogs"\RTDC4054\*4054*201704041*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18" s="153" t="str">
        <f>"start /low /b "&amp;dls3logs&amp;" --loco "&amp;U18&amp;" --day "&amp;TEXT(V18,"YYYY-MM-DD")</f>
        <v>start /low /b %USERPROFILE%\Documents\GitHub\eaglep3\Utilities\DownloadLogsFromS3.py --loco 4054 --day 2017-04-04</v>
      </c>
      <c r="AF18" s="1"/>
    </row>
    <row r="19" spans="1:32" x14ac:dyDescent="0.25">
      <c r="A19" s="32">
        <v>42829.562430555554</v>
      </c>
      <c r="B19" s="30" t="s">
        <v>414</v>
      </c>
      <c r="C19" s="30" t="s">
        <v>607</v>
      </c>
      <c r="D19" s="30" t="s">
        <v>49</v>
      </c>
      <c r="E19" s="30" t="s">
        <v>215</v>
      </c>
      <c r="F19" s="43">
        <v>300</v>
      </c>
      <c r="G19" s="43">
        <v>366</v>
      </c>
      <c r="H19" s="43">
        <v>22714</v>
      </c>
      <c r="I19" s="43">
        <v>21680</v>
      </c>
      <c r="J19" s="30" t="s">
        <v>216</v>
      </c>
      <c r="K19" s="43">
        <v>21848</v>
      </c>
      <c r="L19" s="139" t="s">
        <v>51</v>
      </c>
      <c r="M19" s="140">
        <f>CONVERT((I19-K19)/10000,"mi","ft")*IF(L19="Increasing Mileposts (1)",-1,1)</f>
        <v>-88.703999999999994</v>
      </c>
      <c r="N19" s="141" t="str">
        <f>VLOOKUP(C19,'Trips&amp;Operators'!$C$1:$G$99999,5,FALSE)</f>
        <v>LOCKLEAR TRAVIS</v>
      </c>
      <c r="O19" s="190" t="s">
        <v>185</v>
      </c>
      <c r="P19" s="142"/>
      <c r="Q19" s="30"/>
      <c r="R19" s="89" t="str">
        <f>IF(VLOOKUP(C19,'Train Runs'!$A$13:$AE$9936,1,1)=C19,VLOOKUP(C19,'Train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19" s="92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/stypes="*4013*201704041*" /stext=" 19:.+((SYSTEM_STATE.+slice.+state.+changed )|(ment ac)|(multiple cpu faults)|(system.+state.+changed )|(\[timeout)|(PRM\|1\|D)|(kpr)|(kdp)|(\|lc)|(penalty))"</v>
      </c>
      <c r="U19" s="9" t="str">
        <f>MID(B19,13,4)</f>
        <v>4013</v>
      </c>
      <c r="V19" s="32">
        <f>A19-utc_offset/24</f>
        <v>42829.812430555554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{"issue":{"subject":"","project_id":79,"tracker_id":40,"status_id":1,"priority_id":2,"assigned_to_id":23,"start_date":"2017-04-04","description":"","custom_fields":[{"id":1,"name":"Subdivision","value":"EC"},{"id":4,"name":"Milepost","value":"2.1848"},{"id":17,"name":"Train ID","value":"168-04"},{"id":16,"name":"Locomotive ID","value":"4013"},{"id":130,"name":"Impact","value":""},{"id":150,"name":"Time of Event (Mountain Time)","value":"13:29:54"},{"id":151,"name":"Denver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>"grep -hSE -A400 ""Enforcement Action"" "&amp;search_path&amp;"\RTDC"&amp;U19&amp;"\*"&amp;U19&amp;"*"&amp;TEXT(A19-utc_offset/24,"YYYYMMDD")&amp;LEFT(TEXT(A19-utc_offset/24,"HH"),1)&amp;"* | grep -SE ""((Enforcement Ac)|(PRM.+XING))"" -"</f>
        <v>grep -hSE -A400 "Enforcement Action" "%USERPROFILE%\AppData\Local\Temp\OnboardLogs"\RTDC4013\*4013*201704041*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"%USERPROFILE%\AppData\Local\Temp\OnboardLogs"\RTDC4013\*4013*201704041* &gt;&gt; 2017-04-04-SliceDisagreementCheck.txt</v>
      </c>
      <c r="AE19" s="153" t="str">
        <f>"start /low /b "&amp;dls3logs&amp;" --loco "&amp;U19&amp;" --day "&amp;TEXT(V19,"YYYY-MM-DD")</f>
        <v>start /low /b %USERPROFILE%\Documents\GitHub\eaglep3\Utilities\DownloadLogsFromS3.py --loco 4013 --day 2017-04-04</v>
      </c>
      <c r="AF19" s="1"/>
    </row>
    <row r="20" spans="1:32" x14ac:dyDescent="0.25">
      <c r="A20" s="32">
        <v>42829.46292824074</v>
      </c>
      <c r="B20" s="30" t="s">
        <v>496</v>
      </c>
      <c r="C20" s="30" t="s">
        <v>606</v>
      </c>
      <c r="D20" s="30" t="s">
        <v>49</v>
      </c>
      <c r="E20" s="30" t="s">
        <v>215</v>
      </c>
      <c r="F20" s="43">
        <v>400</v>
      </c>
      <c r="G20" s="43">
        <v>605</v>
      </c>
      <c r="H20" s="43">
        <v>114475</v>
      </c>
      <c r="I20" s="43">
        <v>116743</v>
      </c>
      <c r="J20" s="30" t="s">
        <v>216</v>
      </c>
      <c r="K20" s="43">
        <v>116838</v>
      </c>
      <c r="L20" s="139" t="s">
        <v>50</v>
      </c>
      <c r="M20" s="140">
        <f>CONVERT((I20-K20)/10000,"mi","ft")*IF(L20="Increasing Mileposts (1)",-1,1)</f>
        <v>50.16</v>
      </c>
      <c r="N20" s="141" t="str">
        <f>VLOOKUP(C20,'Trips&amp;Operators'!$C$1:$G$99999,5,FALSE)</f>
        <v>MENGES BRAD</v>
      </c>
      <c r="O20" s="190" t="s">
        <v>185</v>
      </c>
      <c r="P20" s="142"/>
      <c r="Q20" s="30"/>
      <c r="R20" s="89" t="str">
        <f>IF(VLOOKUP(C20,'Train Runs'!$A$13:$AE$9936,1,1)=C20,VLOOKUP(C20,'Train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0" s="92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/stypes="*4004*201704041*" /stext=" 17:.+((SYSTEM_STATE.+slice.+state.+changed )|(ment ac)|(multiple cpu faults)|(system.+state.+changed )|(\[timeout)|(PRM\|1\|D)|(kpr)|(kdp)|(\|lc)|(penalty))"</v>
      </c>
      <c r="U20" s="9" t="str">
        <f>MID(B20,13,4)</f>
        <v>4004</v>
      </c>
      <c r="V20" s="32">
        <f>A20-utc_offset/24</f>
        <v>42829.71292824074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{"issue":{"subject":"","project_id":79,"tracker_id":40,"status_id":1,"priority_id":2,"assigned_to_id":23,"start_date":"2017-04-04","description":"","custom_fields":[{"id":1,"name":"Subdivision","value":"EC"},{"id":4,"name":"Milepost","value":"11.6838"},{"id":17,"name":"Train ID","value":"157-04"},{"id":16,"name":"Locomotive ID","value":"4004"},{"id":130,"name":"Impact","value":""},{"id":150,"name":"Time of Event (Mountain Time)","value":"11:06:37"},{"id":151,"name":"Denver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Ac)|(PRM.+XING))"" -"</f>
        <v>grep -hSE -A400 "Enforcement Action" "%USERPROFILE%\AppData\Local\Temp\OnboardLogs"\RTDC4004\*4004*201704041*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"%USERPROFILE%\AppData\Local\Temp\OnboardLogs"\RTDC4004\*4004*201704041* &gt;&gt; 2017-04-04-SliceDisagreementCheck.txt</v>
      </c>
      <c r="AE20" s="153" t="str">
        <f>"start /low /b "&amp;dls3logs&amp;" --loco "&amp;U20&amp;" --day "&amp;TEXT(V20,"YYYY-MM-DD")</f>
        <v>start /low /b %USERPROFILE%\Documents\GitHub\eaglep3\Utilities\DownloadLogsFromS3.py --loco 4004 --day 2017-04-04</v>
      </c>
      <c r="AF20" s="1"/>
    </row>
    <row r="21" spans="1:32" x14ac:dyDescent="0.25">
      <c r="A21" s="32">
        <v>42829.310717592591</v>
      </c>
      <c r="B21" s="30" t="s">
        <v>456</v>
      </c>
      <c r="C21" s="30" t="s">
        <v>596</v>
      </c>
      <c r="D21" s="30" t="s">
        <v>49</v>
      </c>
      <c r="E21" s="30" t="s">
        <v>215</v>
      </c>
      <c r="F21" s="43">
        <v>400</v>
      </c>
      <c r="G21" s="43">
        <v>493</v>
      </c>
      <c r="H21" s="43">
        <v>121100</v>
      </c>
      <c r="I21" s="43">
        <v>119448</v>
      </c>
      <c r="J21" s="30" t="s">
        <v>216</v>
      </c>
      <c r="K21" s="43">
        <v>119716</v>
      </c>
      <c r="L21" s="139" t="s">
        <v>51</v>
      </c>
      <c r="M21" s="140">
        <f>CONVERT((I21-K21)/10000,"mi","ft")*IF(L21="Increasing Mileposts (1)",-1,1)</f>
        <v>-141.50399999999999</v>
      </c>
      <c r="N21" s="141" t="str">
        <f>VLOOKUP(C21,'Trips&amp;Operators'!$C$1:$G$99999,5,FALSE)</f>
        <v>FORTUNATO FRANK</v>
      </c>
      <c r="O21" s="190" t="s">
        <v>185</v>
      </c>
      <c r="P21" s="142"/>
      <c r="Q21" s="30"/>
      <c r="R21" s="89" t="str">
        <f>IF(VLOOKUP(C21,'Train Runs'!$A$13:$AE$9936,1,1)=C21,VLOOKUP(C21,'Train Runs'!$A$13:$AE$9936,31,1),NA())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S21" s="92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/stypes="*4045*201704041*" /stext=" 13:.+((SYSTEM_STATE.+slice.+state.+changed )|(ment ac)|(multiple cpu faults)|(system.+state.+changed )|(\[timeout)|(PRM\|1\|D)|(kpr)|(kdp)|(\|lc)|(penalty))"</v>
      </c>
      <c r="U21" s="9" t="str">
        <f>MID(B21,13,4)</f>
        <v>4045</v>
      </c>
      <c r="V21" s="32">
        <f>A21-utc_offset/24</f>
        <v>42829.560717592591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{"issue":{"subject":"","project_id":79,"tracker_id":40,"status_id":1,"priority_id":2,"assigned_to_id":23,"start_date":"2017-04-04","description":"","custom_fields":[{"id":1,"name":"Subdivision","value":"EC"},{"id":4,"name":"Milepost","value":"11.9716"},{"id":17,"name":"Train ID","value":"122-04"},{"id":16,"name":"Locomotive ID","value":"4045"},{"id":130,"name":"Impact","value":""},{"id":150,"name":"Time of Event (Mountain Time)","value":"07:27:26"},{"id":151,"name":"Denver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Ac)|(PRM.+XING))"" -"</f>
        <v>grep -hSE -A400 "Enforcement Action" "%USERPROFILE%\AppData\Local\Temp\OnboardLogs"\RTDC4045\*4045*201704041*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"%USERPROFILE%\AppData\Local\Temp\OnboardLogs"\RTDC4045\*4045*201704041* &gt;&gt; 2017-04-04-SliceDisagreementCheck.txt</v>
      </c>
      <c r="AE21" s="153" t="str">
        <f>"start /low /b "&amp;dls3logs&amp;" --loco "&amp;U21&amp;" --day "&amp;TEXT(V21,"YYYY-MM-DD")</f>
        <v>start /low /b %USERPROFILE%\Documents\GitHub\eaglep3\Utilities\DownloadLogsFromS3.py --loco 4045 --day 2017-04-04</v>
      </c>
      <c r="AF21" s="1"/>
    </row>
    <row r="22" spans="1:32" x14ac:dyDescent="0.25">
      <c r="A22" s="32">
        <v>42829.99900462963</v>
      </c>
      <c r="B22" s="30" t="s">
        <v>496</v>
      </c>
      <c r="C22" s="30" t="s">
        <v>627</v>
      </c>
      <c r="D22" s="30" t="s">
        <v>98</v>
      </c>
      <c r="E22" s="30" t="s">
        <v>215</v>
      </c>
      <c r="F22" s="43">
        <v>700</v>
      </c>
      <c r="G22" s="43">
        <v>750</v>
      </c>
      <c r="H22" s="43">
        <v>174616</v>
      </c>
      <c r="I22" s="43">
        <v>177309</v>
      </c>
      <c r="J22" s="30" t="s">
        <v>216</v>
      </c>
      <c r="K22" s="43">
        <v>161962</v>
      </c>
      <c r="L22" s="139" t="s">
        <v>50</v>
      </c>
      <c r="M22" s="140">
        <f>CONVERT((I22-K22)/10000,"mi","ft")*IF(L22="Increasing Mileposts (1)",-1,1)</f>
        <v>-8103.2160000000003</v>
      </c>
      <c r="N22" s="141" t="str">
        <f>VLOOKUP(C22,'Trips&amp;Operators'!$C$1:$G$99999,5,FALSE)</f>
        <v>NEWELL JAMES</v>
      </c>
      <c r="O22" s="190" t="s">
        <v>185</v>
      </c>
      <c r="P22" s="142"/>
      <c r="Q22" s="30"/>
      <c r="R22" s="89" t="str">
        <f>IF(VLOOKUP(C22,'Train Runs'!$A$13:$AE$9936,1,1)=C22,VLOOKUP(C22,'Train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2" s="92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/stypes="*4004*201704050*" /stext=" 05:.+((SYSTEM_STATE.+slice.+state.+changed )|(ment ac)|(multiple cpu faults)|(system.+state.+changed )|(\[timeout)|(PRM\|1\|D)|(kpr)|(kdp)|(\|lc)|(penalty))"</v>
      </c>
      <c r="U22" s="9" t="str">
        <f>MID(B22,13,4)</f>
        <v>4004</v>
      </c>
      <c r="V22" s="32">
        <f>A22-utc_offset/24</f>
        <v>42830.24900462963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{"issue":{"subject":"","project_id":79,"tracker_id":40,"status_id":1,"priority_id":2,"assigned_to_id":23,"start_date":"2017-04-04","description":"","custom_fields":[{"id":1,"name":"Subdivision","value":"EC"},{"id":4,"name":"Milepost","value":"16.1962"},{"id":17,"name":"Train ID","value":"239-04"},{"id":16,"name":"Locomotive ID","value":"4004"},{"id":130,"name":"Impact","value":""},{"id":150,"name":"Time of Event (Mountain Time)","value":"23:58:34"},{"id":151,"name":"Denver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>"grep -hSE -A400 ""Enforcement Action"" "&amp;search_path&amp;"\RTDC"&amp;U22&amp;"\*"&amp;U22&amp;"*"&amp;TEXT(A22-utc_offset/24,"YYYYMMDD")&amp;LEFT(TEXT(A22-utc_offset/24,"HH"),1)&amp;"* | grep -SE ""((Enforcement Ac)|(PRM.+XING))"" -"</f>
        <v>grep -hSE -A400 "Enforcement Action" "%USERPROFILE%\AppData\Local\Temp\OnboardLogs"\RTDC4004\*4004*201704050*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"%USERPROFILE%\AppData\Local\Temp\OnboardLogs"\RTDC4004\*4004*201704050* &gt;&gt; 2017-04-04-SliceDisagreementCheck.txt</v>
      </c>
      <c r="AE22" s="153" t="str">
        <f>"start /low /b "&amp;dls3logs&amp;" --loco "&amp;U22&amp;" --day "&amp;TEXT(V22,"YYYY-MM-DD")</f>
        <v>start /low /b %USERPROFILE%\Documents\GitHub\eaglep3\Utilities\DownloadLogsFromS3.py --loco 4004 --day 2017-04-05</v>
      </c>
      <c r="AF22" s="1"/>
    </row>
    <row r="23" spans="1:32" x14ac:dyDescent="0.25">
      <c r="A23" s="32">
        <v>42829.292256944442</v>
      </c>
      <c r="B23" s="30" t="s">
        <v>507</v>
      </c>
      <c r="C23" s="30" t="s">
        <v>592</v>
      </c>
      <c r="D23" s="30" t="s">
        <v>98</v>
      </c>
      <c r="E23" s="30" t="s">
        <v>215</v>
      </c>
      <c r="F23" s="43">
        <v>600</v>
      </c>
      <c r="G23" s="43">
        <v>651</v>
      </c>
      <c r="H23" s="43">
        <v>186567</v>
      </c>
      <c r="I23" s="43">
        <v>189937</v>
      </c>
      <c r="J23" s="30" t="s">
        <v>216</v>
      </c>
      <c r="K23" s="43">
        <v>183829</v>
      </c>
      <c r="L23" s="139" t="s">
        <v>50</v>
      </c>
      <c r="M23" s="140">
        <f>CONVERT((I23-K23)/10000,"mi","ft")*IF(L23="Increasing Mileposts (1)",-1,1)</f>
        <v>-3225.0239999999999</v>
      </c>
      <c r="N23" s="141" t="str">
        <f>VLOOKUP(C23,'Trips&amp;Operators'!$C$1:$G$99999,5,FALSE)</f>
        <v>DAVIS WENDY</v>
      </c>
      <c r="O23" s="190" t="s">
        <v>185</v>
      </c>
      <c r="P23" s="142"/>
      <c r="Q23" s="30"/>
      <c r="R23" s="89" t="str">
        <f>IF(VLOOKUP(C23,'Train Runs'!$A$13:$AE$9936,1,1)=C23,VLOOKUP(C23,'Train Runs'!$A$13:$AE$9936,31,1),NA())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S23" s="92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/stypes="*4008*201704041*" /stext=" 13:.+((SYSTEM_STATE.+slice.+state.+changed )|(ment ac)|(multiple cpu faults)|(system.+state.+changed )|(\[timeout)|(PRM\|1\|D)|(kpr)|(kdp)|(\|lc)|(penalty))"</v>
      </c>
      <c r="U23" s="9" t="str">
        <f>MID(B23,13,4)</f>
        <v>4008</v>
      </c>
      <c r="V23" s="32">
        <f>A23-utc_offset/24</f>
        <v>42829.542256944442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{"issue":{"subject":"","project_id":79,"tracker_id":40,"status_id":1,"priority_id":2,"assigned_to_id":23,"start_date":"2017-04-04","description":"","custom_fields":[{"id":1,"name":"Subdivision","value":"EC"},{"id":4,"name":"Milepost","value":"18.3829"},{"id":17,"name":"Train ID","value":"123-04"},{"id":16,"name":"Locomotive ID","value":"4008"},{"id":130,"name":"Impact","value":""},{"id":150,"name":"Time of Event (Mountain Time)","value":"07:00:51"},{"id":151,"name":"Denver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>"grep -hSE -A400 ""Enforcement Action"" "&amp;search_path&amp;"\RTDC"&amp;U23&amp;"\*"&amp;U23&amp;"*"&amp;TEXT(A23-utc_offset/24,"YYYYMMDD")&amp;LEFT(TEXT(A23-utc_offset/24,"HH"),1)&amp;"* | grep -SE ""((Enforcement Ac)|(PRM.+XING))"" -"</f>
        <v>grep -hSE -A400 "Enforcement Action" "%USERPROFILE%\AppData\Local\Temp\OnboardLogs"\RTDC4008\*4008*201704041*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"%USERPROFILE%\AppData\Local\Temp\OnboardLogs"\RTDC4008\*4008*201704041* &gt;&gt; 2017-04-04-SliceDisagreementCheck.txt</v>
      </c>
      <c r="AE23" s="153" t="str">
        <f>"start /low /b "&amp;dls3logs&amp;" --loco "&amp;U23&amp;" --day "&amp;TEXT(V23,"YYYY-MM-DD")</f>
        <v>start /low /b %USERPROFILE%\Documents\GitHub\eaglep3\Utilities\DownloadLogsFromS3.py --loco 4008 --day 2017-04-04</v>
      </c>
      <c r="AF23" s="1"/>
    </row>
    <row r="24" spans="1:32" x14ac:dyDescent="0.25">
      <c r="A24" s="32">
        <v>42829.251354166663</v>
      </c>
      <c r="B24" s="30" t="s">
        <v>388</v>
      </c>
      <c r="C24" s="30" t="s">
        <v>590</v>
      </c>
      <c r="D24" s="30" t="s">
        <v>49</v>
      </c>
      <c r="E24" s="30" t="s">
        <v>499</v>
      </c>
      <c r="F24" s="43">
        <v>0</v>
      </c>
      <c r="G24" s="43">
        <v>106</v>
      </c>
      <c r="H24" s="43">
        <v>1184</v>
      </c>
      <c r="I24" s="43">
        <v>1338</v>
      </c>
      <c r="J24" s="30" t="s">
        <v>500</v>
      </c>
      <c r="K24" s="43">
        <v>1692</v>
      </c>
      <c r="L24" s="139" t="s">
        <v>50</v>
      </c>
      <c r="M24" s="140">
        <f>CONVERT((I24-K24)/10000,"mi","ft")*IF(L24="Increasing Mileposts (1)",-1,1)</f>
        <v>186.91200000000001</v>
      </c>
      <c r="N24" s="141" t="str">
        <f>VLOOKUP(C24,'Trips&amp;Operators'!$C$1:$G$99999,5,FALSE)</f>
        <v>STARKS ANGELINA</v>
      </c>
      <c r="O24" s="190" t="s">
        <v>185</v>
      </c>
      <c r="P24" s="142" t="s">
        <v>582</v>
      </c>
      <c r="Q24" s="30"/>
      <c r="R24" s="89" t="str">
        <f>IF(VLOOKUP(C24,'Train Runs'!$A$13:$AE$9936,1,1)=C24,VLOOKUP(C24,'Train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24" s="92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/stypes="*4044*201704041*" /stext=" 12:.+((SYSTEM_STATE.+slice.+state.+changed )|(ment ac)|(multiple cpu faults)|(system.+state.+changed )|(\[timeout)|(PRM\|1\|D)|(kpr)|(kdp)|(\|lc)|(penalty))"</v>
      </c>
      <c r="U24" s="9" t="str">
        <f>MID(B24,13,4)</f>
        <v>4044</v>
      </c>
      <c r="V24" s="32">
        <f>A24-utc_offset/24</f>
        <v>42829.501354166663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{"issue":{"subject":"Selected wrong track","project_id":79,"tracker_id":40,"status_id":1,"priority_id":2,"assigned_to_id":23,"start_date":"2017-04-04","description":"","custom_fields":[{"id":1,"name":"Subdivision","value":"EC"},{"id":4,"name":"Milepost","value":"0.1692"},{"id":17,"name":"Train ID","value":"119-04"},{"id":16,"name":"Locomotive ID","value":"4044"},{"id":130,"name":"Impact","value":""},{"id":150,"name":"Time of Event (Mountain Time)","value":"06:01:57"},{"id":151,"name":"Denver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"%USERPROFILE%\AppData\Local\Temp\OnboardLogs"\RTDC4044\*4044*201704041*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24" s="153" t="str">
        <f>"start /low /b "&amp;dls3logs&amp;" --loco "&amp;U24&amp;" --day "&amp;TEXT(V24,"YYYY-MM-DD")</f>
        <v>start /low /b %USERPROFILE%\Documents\GitHub\eaglep3\Utilities\DownloadLogsFromS3.py --loco 4044 --day 2017-04-04</v>
      </c>
      <c r="AF24" s="1"/>
    </row>
    <row r="25" spans="1:32" x14ac:dyDescent="0.25">
      <c r="A25" s="32">
        <v>42829.226226851853</v>
      </c>
      <c r="B25" s="30" t="s">
        <v>455</v>
      </c>
      <c r="C25" s="30" t="s">
        <v>588</v>
      </c>
      <c r="D25" s="30" t="s">
        <v>49</v>
      </c>
      <c r="E25" s="30" t="s">
        <v>499</v>
      </c>
      <c r="F25" s="43">
        <v>0</v>
      </c>
      <c r="G25" s="43">
        <v>553</v>
      </c>
      <c r="H25" s="43">
        <v>140919</v>
      </c>
      <c r="I25" s="43">
        <v>138869</v>
      </c>
      <c r="J25" s="30" t="s">
        <v>500</v>
      </c>
      <c r="K25" s="43">
        <v>138851</v>
      </c>
      <c r="L25" s="139" t="s">
        <v>51</v>
      </c>
      <c r="M25" s="140">
        <f>CONVERT((I25-K25)/10000,"mi","ft")*IF(L25="Increasing Mileposts (1)",-1,1)</f>
        <v>9.5039999999999996</v>
      </c>
      <c r="N25" s="141" t="str">
        <f>VLOOKUP(C25,'Trips&amp;Operators'!$C$1:$G$99999,5,FALSE)</f>
        <v>STARKS ANGELINA</v>
      </c>
      <c r="O25" s="190" t="s">
        <v>502</v>
      </c>
      <c r="P25" s="142" t="s">
        <v>1052</v>
      </c>
      <c r="Q25" s="30"/>
      <c r="R25" s="89" t="str">
        <f>IF(VLOOKUP(C25,'Train Runs'!$A$13:$AE$9936,1,1)=C25,VLOOKUP(C25,'Train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5" s="92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25" s="9" t="str">
        <f>MID(B25,13,4)</f>
        <v>4009</v>
      </c>
      <c r="V25" s="32">
        <f>A25-utc_offset/24</f>
        <v>42829.476226851853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-04","description":"http://stevetu21.github.io/eaglep3/load_kml.html?kml=http://rtdc.gmaps-snips.s3.amazonaws.com/9af4916a-e381-460a-9748-d3153cb79764.kml","custom_fields":[{"id":1,"name":"Subdivision","value":"EC"},{"id":4,"name":"Milepost","value":"13.8851"},{"id":17,"name":"Train ID","value":"106-04"},{"id":16,"name":"Locomotive ID","value":"4009"},{"id":130,"name":"Impact","value":"Enforcement"},{"id":150,"name":"Time of Event (Mountain Time)","value":"05:25:46"},{"id":151,"name":"Denver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1057</v>
      </c>
      <c r="AA25" s="48" t="s">
        <v>124</v>
      </c>
      <c r="AB25" s="48" t="s">
        <v>137</v>
      </c>
      <c r="AC25" s="123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"%USERPROFILE%\AppData\Local\Temp\OnboardLogs"\RTDC4009\*4009*201704041*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25" s="153" t="str">
        <f>"start /low /b "&amp;dls3logs&amp;" --loco "&amp;U25&amp;" --day "&amp;TEXT(V25,"YYYY-MM-DD")</f>
        <v>start /low /b %USERPROFILE%\Documents\GitHub\eaglep3\Utilities\DownloadLogsFromS3.py --loco 4009 --day 2017-04-04</v>
      </c>
      <c r="AF25" s="1"/>
    </row>
    <row r="26" spans="1:32" x14ac:dyDescent="0.25">
      <c r="A26" s="32">
        <v>42829.304768518516</v>
      </c>
      <c r="B26" s="30" t="s">
        <v>389</v>
      </c>
      <c r="C26" s="30" t="s">
        <v>595</v>
      </c>
      <c r="D26" s="30" t="s">
        <v>49</v>
      </c>
      <c r="E26" s="30" t="s">
        <v>499</v>
      </c>
      <c r="F26" s="43">
        <v>0</v>
      </c>
      <c r="G26" s="43">
        <v>571</v>
      </c>
      <c r="H26" s="43">
        <v>82933</v>
      </c>
      <c r="I26" s="43">
        <v>80230</v>
      </c>
      <c r="J26" s="30" t="s">
        <v>500</v>
      </c>
      <c r="K26" s="43">
        <v>81751</v>
      </c>
      <c r="L26" s="139" t="s">
        <v>51</v>
      </c>
      <c r="M26" s="140">
        <f>CONVERT((I26-K26)/10000,"mi","ft")*IF(L26="Increasing Mileposts (1)",-1,1)</f>
        <v>-803.08799999999997</v>
      </c>
      <c r="N26" s="141" t="str">
        <f>VLOOKUP(C26,'Trips&amp;Operators'!$C$1:$G$99999,5,FALSE)</f>
        <v>STARKS ANGELINA</v>
      </c>
      <c r="O26" s="190" t="s">
        <v>502</v>
      </c>
      <c r="P26" s="142" t="s">
        <v>1056</v>
      </c>
      <c r="Q26" s="30"/>
      <c r="R26" s="89" t="str">
        <f>IF(VLOOKUP(C26,'Train Runs'!$A$13:$AE$9936,1,1)=C26,VLOOKUP(C26,'Train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6" s="92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6" s="9" t="str">
        <f>MID(B26,13,4)</f>
        <v>4043</v>
      </c>
      <c r="V26" s="32">
        <f>A26-utc_offset/24</f>
        <v>42829.554768518516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{"issue":{"subject":"Premature downgrade at EC0816RH 88-2T 2S","project_id":79,"tracker_id":40,"status_id":1,"priority_id":2,"assigned_to_id":23,"start_date":"2017-04-04","description":"At 07:18:20, EC0816RH 88-2T 2S dropped from 270 to 0 unexpectedly while train was approaching, do logs tell of anything unusual?","custom_fields":[{"id":1,"name":"Subdivision","value":"EC"},{"id":4,"name":"Milepost","value":"8.1751"},{"id":17,"name":"Train ID","value":"120-04"},{"id":16,"name":"Locomotive ID","value":"4043"},{"id":130,"name":"Impact","value":"Enforcement"},{"id":150,"name":"Time of Event (Mountain Time)","value":"07:18:52"},{"id":151,"name":"Denver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218" t="s">
        <v>1055</v>
      </c>
      <c r="AA26" s="48" t="s">
        <v>124</v>
      </c>
      <c r="AB26" s="48" t="s">
        <v>129</v>
      </c>
      <c r="AC26" s="123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"%USERPROFILE%\AppData\Local\Temp\OnboardLogs"\RTDC4043\*4043*201704041*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6" s="153" t="str">
        <f>"start /low /b "&amp;dls3logs&amp;" --loco "&amp;U26&amp;" --day "&amp;TEXT(V26,"YYYY-MM-DD")</f>
        <v>start /low /b %USERPROFILE%\Documents\GitHub\eaglep3\Utilities\DownloadLogsFromS3.py --loco 4043 --day 2017-04-04</v>
      </c>
      <c r="AF26" s="1"/>
    </row>
    <row r="27" spans="1:32" x14ac:dyDescent="0.25">
      <c r="A27" s="32">
        <v>42829.305949074071</v>
      </c>
      <c r="B27" s="30" t="s">
        <v>389</v>
      </c>
      <c r="C27" s="30" t="s">
        <v>595</v>
      </c>
      <c r="D27" s="30" t="s">
        <v>98</v>
      </c>
      <c r="E27" s="30" t="s">
        <v>499</v>
      </c>
      <c r="F27" s="43">
        <v>200</v>
      </c>
      <c r="G27" s="43">
        <v>267</v>
      </c>
      <c r="H27" s="43">
        <v>77739</v>
      </c>
      <c r="I27" s="43">
        <v>77135</v>
      </c>
      <c r="J27" s="30" t="s">
        <v>500</v>
      </c>
      <c r="K27" s="43">
        <v>81751</v>
      </c>
      <c r="L27" s="139" t="s">
        <v>51</v>
      </c>
      <c r="M27" s="140">
        <f>CONVERT((I27-K27)/10000,"mi","ft")*IF(L27="Increasing Mileposts (1)",-1,1)</f>
        <v>-2437.248</v>
      </c>
      <c r="N27" s="141" t="str">
        <f>VLOOKUP(C27,'Trips&amp;Operators'!$C$1:$G$99999,5,FALSE)</f>
        <v>STARKS ANGELINA</v>
      </c>
      <c r="O27" s="190" t="s">
        <v>185</v>
      </c>
      <c r="P27" s="142" t="s">
        <v>1053</v>
      </c>
      <c r="Q27" s="30"/>
      <c r="R27" s="89" t="str">
        <f>IF(VLOOKUP(C27,'Train Runs'!$A$13:$AE$9936,1,1)=C27,VLOOKUP(C27,'Train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7" s="92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7" s="9" t="str">
        <f>MID(B27,13,4)</f>
        <v>4043</v>
      </c>
      <c r="V27" s="32">
        <f>A27-utc_offset/24</f>
        <v>42829.555949074071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-04-04","description":"","custom_fields":[{"id":1,"name":"Subdivision","value":"EC"},{"id":4,"name":"Milepost","value":"8.1751"},{"id":17,"name":"Train ID","value":"120-04"},{"id":16,"name":"Locomotive ID","value":"4043"},{"id":130,"name":"Impact","value":""},{"id":150,"name":"Time of Event (Mountain Time)","value":"07:20:34"},{"id":151,"name":"Denver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"%USERPROFILE%\AppData\Local\Temp\OnboardLogs"\RTDC4043\*4043*201704041*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7" s="153" t="str">
        <f>"start /low /b "&amp;dls3logs&amp;" --loco "&amp;U27&amp;" --day "&amp;TEXT(V27,"YYYY-MM-DD")</f>
        <v>start /low /b %USERPROFILE%\Documents\GitHub\eaglep3\Utilities\DownloadLogsFromS3.py --loco 4043 --day 2017-04-04</v>
      </c>
      <c r="AF27" s="1"/>
    </row>
    <row r="28" spans="1:32" x14ac:dyDescent="0.25">
      <c r="A28" s="32">
        <v>42829.899606481478</v>
      </c>
      <c r="B28" s="30" t="s">
        <v>455</v>
      </c>
      <c r="C28" s="30" t="s">
        <v>626</v>
      </c>
      <c r="D28" s="30" t="s">
        <v>98</v>
      </c>
      <c r="E28" s="30" t="s">
        <v>586</v>
      </c>
      <c r="F28" s="43">
        <v>0</v>
      </c>
      <c r="G28" s="43">
        <v>145</v>
      </c>
      <c r="H28" s="43">
        <v>3035</v>
      </c>
      <c r="I28" s="43">
        <v>2746</v>
      </c>
      <c r="J28" s="30" t="s">
        <v>587</v>
      </c>
      <c r="K28" s="43">
        <v>3549</v>
      </c>
      <c r="L28" s="139" t="s">
        <v>51</v>
      </c>
      <c r="M28" s="140">
        <f>CONVERT((I28-K28)/10000,"mi","ft")*IF(L28="Increasing Mileposts (1)",-1,1)</f>
        <v>-423.98399999999998</v>
      </c>
      <c r="N28" s="141" t="str">
        <f>VLOOKUP(C28,'Trips&amp;Operators'!$C$1:$G$99999,5,FALSE)</f>
        <v>STORY SAMANTHA</v>
      </c>
      <c r="O28" s="190" t="s">
        <v>502</v>
      </c>
      <c r="P28" s="142" t="s">
        <v>1052</v>
      </c>
      <c r="Q28" s="30"/>
      <c r="R28" s="89" t="str">
        <f>IF(VLOOKUP(C28,'Train Runs'!$A$13:$AE$9936,1,1)=C28,VLOOKUP(C28,'Train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8" s="92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/stypes="*4009*201704050*" /stext=" 03:.+((SYSTEM_STATE.+slice.+state.+changed )|(ment ac)|(multiple cpu faults)|(system.+state.+changed )|(\[timeout)|(PRM\|1\|D)|(kpr)|(kdp)|(\|lc)|(penalty))"</v>
      </c>
      <c r="U28" s="9" t="str">
        <f>MID(B28,13,4)</f>
        <v>4009</v>
      </c>
      <c r="V28" s="32">
        <f>A28-utc_offset/24</f>
        <v>42830.149606481478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-04","description":"http://stevetu21.github.io/eaglep3/load_kml.html?kml=http://rtdc.gmaps-snips.s3.amazonaws.com/afdf1c19-b1a3-48b9-aa97-7600a2acc2b7.kml","custom_fields":[{"id":1,"name":"Subdivision","value":"EC"},{"id":4,"name":"Milepost","value":"0.3549"},{"id":17,"name":"Train ID","value":"226-04"},{"id":16,"name":"Locomotive ID","value":"4009"},{"id":130,"name":"Impact","value":"Enforcement"},{"id":150,"name":"Time of Event (Mountain Time)","value":"21:35:26"},{"id":151,"name":"Denver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t="s">
        <v>1058</v>
      </c>
      <c r="AA28" s="48" t="s">
        <v>124</v>
      </c>
      <c r="AB28" s="48" t="s">
        <v>137</v>
      </c>
      <c r="AC28" s="123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"%USERPROFILE%\AppData\Local\Temp\OnboardLogs"\RTDC4009\*4009*201704050*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28" s="153" t="str">
        <f>"start /low /b "&amp;dls3logs&amp;" --loco "&amp;U28&amp;" --day "&amp;TEXT(V28,"YYYY-MM-DD")</f>
        <v>start /low /b %USERPROFILE%\Documents\GitHub\eaglep3\Utilities\DownloadLogsFromS3.py --loco 4009 --day 2017-04-05</v>
      </c>
      <c r="AF28" s="1"/>
    </row>
    <row r="29" spans="1:32" x14ac:dyDescent="0.25">
      <c r="A29" s="32">
        <v>42829.302488425928</v>
      </c>
      <c r="B29" s="30" t="s">
        <v>413</v>
      </c>
      <c r="C29" s="30" t="s">
        <v>594</v>
      </c>
      <c r="D29" s="30" t="s">
        <v>49</v>
      </c>
      <c r="E29" s="30" t="s">
        <v>499</v>
      </c>
      <c r="F29" s="43">
        <v>0</v>
      </c>
      <c r="G29" s="43">
        <v>633</v>
      </c>
      <c r="H29" s="43">
        <v>193329</v>
      </c>
      <c r="I29" s="43">
        <v>196562</v>
      </c>
      <c r="J29" s="30" t="s">
        <v>500</v>
      </c>
      <c r="K29" s="43">
        <v>198242</v>
      </c>
      <c r="L29" s="139" t="s">
        <v>50</v>
      </c>
      <c r="M29" s="140">
        <f>CONVERT((I29-K29)/10000,"mi","ft")*IF(L29="Increasing Mileposts (1)",-1,1)</f>
        <v>887.04</v>
      </c>
      <c r="N29" s="141" t="str">
        <f>VLOOKUP(C29,'Trips&amp;Operators'!$C$1:$G$99999,5,FALSE)</f>
        <v>LOZA FIDEL</v>
      </c>
      <c r="O29" s="190" t="s">
        <v>502</v>
      </c>
      <c r="P29" s="142" t="s">
        <v>1052</v>
      </c>
      <c r="Q29" s="30"/>
      <c r="R29" s="89" t="str">
        <f>IF(VLOOKUP(C29,'Train Runs'!$A$13:$AE$9936,1,1)=C29,VLOOKUP(C29,'Train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29" s="92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/stypes="*4014*201704041*" /stext=" 13:.+((SYSTEM_STATE.+slice.+state.+changed )|(ment ac)|(multiple cpu faults)|(system.+state.+changed )|(\[timeout)|(PRM\|1\|D)|(kpr)|(kdp)|(\|lc)|(penalty))"</v>
      </c>
      <c r="U29" s="9" t="str">
        <f>MID(B29,13,4)</f>
        <v>4014</v>
      </c>
      <c r="V29" s="32">
        <f>A29-utc_offset/24</f>
        <v>42829.552488425928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-04","description":"http://stevetu21.github.io/eaglep3/load_kml.html?kml=http://rtdc.gmaps-snips.s3.amazonaws.com/0fc9ec79-74f2-4f9c-8af3-8f1cd1e38d89.kml","custom_fields":[{"id":1,"name":"Subdivision","value":"EC"},{"id":4,"name":"Milepost","value":"19.8242"},{"id":17,"name":"Train ID","value":"125-04"},{"id":16,"name":"Locomotive ID","value":"4014"},{"id":130,"name":"Impact","value":"Enforcement"},{"id":150,"name":"Time of Event (Mountain Time)","value":"07:15:35"},{"id":151,"name":"Denver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t="s">
        <v>1059</v>
      </c>
      <c r="AA29" s="48" t="s">
        <v>124</v>
      </c>
      <c r="AB29" s="48" t="s">
        <v>137</v>
      </c>
      <c r="AC29" s="123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"%USERPROFILE%\AppData\Local\Temp\OnboardLogs"\RTDC4014\*4014*201704041*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29" s="153" t="str">
        <f>"start /low /b "&amp;dls3logs&amp;" --loco "&amp;U29&amp;" --day "&amp;TEXT(V29,"YYYY-MM-DD")</f>
        <v>start /low /b %USERPROFILE%\Documents\GitHub\eaglep3\Utilities\DownloadLogsFromS3.py --loco 4014 --day 2017-04-04</v>
      </c>
      <c r="AF29" s="1"/>
    </row>
    <row r="30" spans="1:32" x14ac:dyDescent="0.25">
      <c r="A30" s="32">
        <v>42829.200937499998</v>
      </c>
      <c r="B30" s="30" t="s">
        <v>388</v>
      </c>
      <c r="C30" s="30" t="s">
        <v>585</v>
      </c>
      <c r="D30" s="30" t="s">
        <v>49</v>
      </c>
      <c r="E30" s="30" t="s">
        <v>499</v>
      </c>
      <c r="F30" s="43">
        <v>0</v>
      </c>
      <c r="G30" s="43">
        <v>576</v>
      </c>
      <c r="H30" s="43">
        <v>144494</v>
      </c>
      <c r="I30" s="43">
        <v>147126</v>
      </c>
      <c r="J30" s="30" t="s">
        <v>500</v>
      </c>
      <c r="K30" s="43">
        <v>149694</v>
      </c>
      <c r="L30" s="139" t="s">
        <v>50</v>
      </c>
      <c r="M30" s="140">
        <f>CONVERT((I30-K30)/10000,"mi","ft")*IF(L30="Increasing Mileposts (1)",-1,1)</f>
        <v>1355.9039999999998</v>
      </c>
      <c r="N30" s="141" t="str">
        <f>VLOOKUP(C30,'Trips&amp;Operators'!$C$1:$G$99999,5,FALSE)</f>
        <v>STARKS ANGELINA</v>
      </c>
      <c r="O30" s="190" t="s">
        <v>502</v>
      </c>
      <c r="P30" s="142" t="s">
        <v>1052</v>
      </c>
      <c r="Q30" s="30"/>
      <c r="R30" s="89" t="str">
        <f>IF(VLOOKUP(C30,'Train Runs'!$A$13:$AE$9936,1,1)=C30,VLOOKUP(C30,'Train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0" s="92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0" s="9" t="str">
        <f>MID(B30,13,4)</f>
        <v>4044</v>
      </c>
      <c r="V30" s="32">
        <f>A30-utc_offset/24</f>
        <v>42829.450937499998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-04","description":"http://stevetu21.github.io/eaglep3/load_kml.html?kml=http://rtdc.gmaps-snips.s3.amazonaws.com/7e6ffd5b-5ab7-4589-98a3-f07e7f5c7d40.kml","custom_fields":[{"id":1,"name":"Subdivision","value":"EC"},{"id":4,"name":"Milepost","value":"14.9694"},{"id":17,"name":"Train ID","value":"105-04"},{"id":16,"name":"Locomotive ID","value":"4044"},{"id":130,"name":"Impact","value":"Enforcement"},{"id":150,"name":"Time of Event (Mountain Time)","value":"04:49:21"},{"id":151,"name":"Denver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t="s">
        <v>1060</v>
      </c>
      <c r="AA30" s="48" t="s">
        <v>124</v>
      </c>
      <c r="AB30" s="48" t="s">
        <v>137</v>
      </c>
      <c r="AC30" s="123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"%USERPROFILE%\AppData\Local\Temp\OnboardLogs"\RTDC4044\*4044*201704041*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0" s="153" t="str">
        <f>"start /low /b "&amp;dls3logs&amp;" --loco "&amp;U30&amp;" --day "&amp;TEXT(V30,"YYYY-MM-DD")</f>
        <v>start /low /b %USERPROFILE%\Documents\GitHub\eaglep3\Utilities\DownloadLogsFromS3.py --loco 4044 --day 2017-04-04</v>
      </c>
      <c r="AF30" s="1"/>
    </row>
    <row r="31" spans="1:32" x14ac:dyDescent="0.25">
      <c r="A31" s="32">
        <v>42829.416203703702</v>
      </c>
      <c r="B31" s="30" t="s">
        <v>388</v>
      </c>
      <c r="C31" s="30" t="s">
        <v>600</v>
      </c>
      <c r="D31" s="30" t="s">
        <v>49</v>
      </c>
      <c r="E31" s="30" t="s">
        <v>499</v>
      </c>
      <c r="F31" s="43">
        <v>0</v>
      </c>
      <c r="G31" s="43">
        <v>715</v>
      </c>
      <c r="H31" s="43">
        <v>147266</v>
      </c>
      <c r="I31" s="43">
        <v>150580</v>
      </c>
      <c r="J31" s="30" t="s">
        <v>500</v>
      </c>
      <c r="K31" s="43">
        <v>149694</v>
      </c>
      <c r="L31" s="139" t="s">
        <v>50</v>
      </c>
      <c r="M31" s="140">
        <f>CONVERT((I31-K31)/10000,"mi","ft")*IF(L31="Increasing Mileposts (1)",-1,1)</f>
        <v>-467.80799999999999</v>
      </c>
      <c r="N31" s="141" t="str">
        <f>VLOOKUP(C31,'Trips&amp;Operators'!$C$1:$G$99999,5,FALSE)</f>
        <v>STARKS ANGELINA</v>
      </c>
      <c r="O31" s="190" t="s">
        <v>502</v>
      </c>
      <c r="P31" s="142" t="s">
        <v>1052</v>
      </c>
      <c r="Q31" s="30"/>
      <c r="R31" s="89" t="str">
        <f>IF(VLOOKUP(C31,'Train Runs'!$A$13:$AE$9936,1,1)=C31,VLOOKUP(C31,'Train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1" s="92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31" s="9" t="str">
        <f>MID(B31,13,4)</f>
        <v>4044</v>
      </c>
      <c r="V31" s="32">
        <f>A31-utc_offset/24</f>
        <v>42829.666203703702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-04","description":"http://stevetu21.github.io/eaglep3/load_kml.html?kml=http://rtdc.gmaps-snips.s3.amazonaws.com/af990355-1e12-4996-bdbe-dca07498e438.kml","custom_fields":[{"id":1,"name":"Subdivision","value":"EC"},{"id":4,"name":"Milepost","value":"14.9694"},{"id":17,"name":"Train ID","value":"147-04"},{"id":16,"name":"Locomotive ID","value":"4044"},{"id":130,"name":"Impact","value":"Enforcement"},{"id":150,"name":"Time of Event (Mountain Time)","value":"09:59:20"},{"id":151,"name":"Denver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1061</v>
      </c>
      <c r="AA31" s="48" t="s">
        <v>124</v>
      </c>
      <c r="AB31" s="48" t="s">
        <v>137</v>
      </c>
      <c r="AC31" s="123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"%USERPROFILE%\AppData\Local\Temp\OnboardLogs"\RTDC4044\*4044*201704041*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1" s="153" t="str">
        <f>"start /low /b "&amp;dls3logs&amp;" --loco "&amp;U31&amp;" --day "&amp;TEXT(V31,"YYYY-MM-DD")</f>
        <v>start /low /b %USERPROFILE%\Documents\GitHub\eaglep3\Utilities\DownloadLogsFromS3.py --loco 4044 --day 2017-04-04</v>
      </c>
      <c r="AF31" s="1"/>
    </row>
    <row r="32" spans="1:32" x14ac:dyDescent="0.25">
      <c r="A32" s="32">
        <v>42829.207245370373</v>
      </c>
      <c r="B32" s="30" t="s">
        <v>388</v>
      </c>
      <c r="C32" s="30" t="s">
        <v>585</v>
      </c>
      <c r="D32" s="30" t="s">
        <v>49</v>
      </c>
      <c r="E32" s="30" t="s">
        <v>586</v>
      </c>
      <c r="F32" s="43">
        <v>0</v>
      </c>
      <c r="G32" s="43">
        <v>788</v>
      </c>
      <c r="H32" s="43">
        <v>212658</v>
      </c>
      <c r="I32" s="43">
        <v>217455</v>
      </c>
      <c r="J32" s="30" t="s">
        <v>587</v>
      </c>
      <c r="K32" s="43">
        <v>217106</v>
      </c>
      <c r="L32" s="139" t="s">
        <v>50</v>
      </c>
      <c r="M32" s="140">
        <f>CONVERT((I32-K32)/10000,"mi","ft")*IF(L32="Increasing Mileposts (1)",-1,1)</f>
        <v>-184.27199999999999</v>
      </c>
      <c r="N32" s="141" t="str">
        <f>VLOOKUP(C32,'Trips&amp;Operators'!$C$1:$G$99999,5,FALSE)</f>
        <v>STARKS ANGELINA</v>
      </c>
      <c r="O32" s="190" t="s">
        <v>502</v>
      </c>
      <c r="P32" s="142" t="s">
        <v>1052</v>
      </c>
      <c r="Q32" s="30"/>
      <c r="R32" s="89" t="str">
        <f>IF(VLOOKUP(C32,'Train Runs'!$A$13:$AE$9936,1,1)=C32,VLOOKUP(C32,'Train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2" s="92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2" s="9" t="str">
        <f>MID(B32,13,4)</f>
        <v>4044</v>
      </c>
      <c r="V32" s="32">
        <f>A32-utc_offset/24</f>
        <v>42829.457245370373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-04","description":"http://stevetu21.github.io/eaglep3/load_kml.html?kml=http://rtdc.gmaps-snips.s3.amazonaws.com/1a718e50-9f68-4b0a-b64c-310fee2d3ca9.kml","custom_fields":[{"id":1,"name":"Subdivision","value":"EC"},{"id":4,"name":"Milepost","value":"21.7106"},{"id":17,"name":"Train ID","value":"105-04"},{"id":16,"name":"Locomotive ID","value":"4044"},{"id":130,"name":"Impact","value":"Enforcement"},{"id":150,"name":"Time of Event (Mountain Time)","value":"04:58:26"},{"id":151,"name":"Denver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t="s">
        <v>1062</v>
      </c>
      <c r="AA32" s="48" t="s">
        <v>124</v>
      </c>
      <c r="AB32" s="48" t="s">
        <v>137</v>
      </c>
      <c r="AC32" s="123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"%USERPROFILE%\AppData\Local\Temp\OnboardLogs"\RTDC4044\*4044*201704041*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2" s="153" t="str">
        <f>"start /low /b "&amp;dls3logs&amp;" --loco "&amp;U32&amp;" --day "&amp;TEXT(V32,"YYYY-MM-DD")</f>
        <v>start /low /b %USERPROFILE%\Documents\GitHub\eaglep3\Utilities\DownloadLogsFromS3.py --loco 4044 --day 2017-04-04</v>
      </c>
      <c r="AF32" s="1"/>
    </row>
    <row r="33" spans="1:32" x14ac:dyDescent="0.25">
      <c r="A33" s="32">
        <v>42829.668368055558</v>
      </c>
      <c r="B33" s="30" t="s">
        <v>470</v>
      </c>
      <c r="C33" s="30" t="s">
        <v>612</v>
      </c>
      <c r="D33" s="30" t="s">
        <v>49</v>
      </c>
      <c r="E33" s="30" t="s">
        <v>499</v>
      </c>
      <c r="F33" s="43">
        <v>0</v>
      </c>
      <c r="G33" s="43">
        <v>617</v>
      </c>
      <c r="H33" s="43">
        <v>79507</v>
      </c>
      <c r="I33" s="43">
        <v>82137</v>
      </c>
      <c r="J33" s="30" t="s">
        <v>500</v>
      </c>
      <c r="K33" s="43">
        <v>81738</v>
      </c>
      <c r="L33" s="139" t="s">
        <v>50</v>
      </c>
      <c r="M33" s="140">
        <f>CONVERT((I33-K33)/10000,"mi","ft")*IF(L33="Increasing Mileposts (1)",-1,1)</f>
        <v>-210.672</v>
      </c>
      <c r="N33" s="141" t="str">
        <f>VLOOKUP(C33,'Trips&amp;Operators'!$C$1:$G$99999,5,FALSE)</f>
        <v>WILLIAMS DONTE</v>
      </c>
      <c r="O33" s="190" t="s">
        <v>502</v>
      </c>
      <c r="P33" s="142" t="s">
        <v>1052</v>
      </c>
      <c r="Q33" s="30"/>
      <c r="R33" s="89" t="str">
        <f>IF(VLOOKUP(C33,'Train Runs'!$A$13:$AE$9936,1,1)=C33,VLOOKUP(C33,'Train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3" s="92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/stypes="*4054*201704042*" /stext=" 22:.+((SYSTEM_STATE.+slice.+state.+changed )|(ment ac)|(multiple cpu faults)|(system.+state.+changed )|(\[timeout)|(PRM\|1\|D)|(kpr)|(kdp)|(\|lc)|(penalty))"</v>
      </c>
      <c r="U33" s="9" t="str">
        <f>MID(B33,13,4)</f>
        <v>4054</v>
      </c>
      <c r="V33" s="32">
        <f>A33-utc_offset/24</f>
        <v>42829.918368055558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-04","description":"http://stevetu21.github.io/eaglep3/load_kml.html?kml=http://rtdc.gmaps-snips.s3.amazonaws.com/693f963a-c69e-48ad-bb35-f326eef20b51.kml","custom_fields":[{"id":1,"name":"Subdivision","value":"EC"},{"id":4,"name":"Milepost","value":"8.1738"},{"id":17,"name":"Train ID","value":"197-04"},{"id":16,"name":"Locomotive ID","value":"4054"},{"id":130,"name":"Impact","value":"Enforcement"},{"id":150,"name":"Time of Event (Mountain Time)","value":"16:02:27"},{"id":151,"name":"Denver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s="20" t="s">
        <v>1054</v>
      </c>
      <c r="AA33" s="48" t="s">
        <v>124</v>
      </c>
      <c r="AB33" s="48" t="s">
        <v>137</v>
      </c>
      <c r="AC33" s="123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"%USERPROFILE%\AppData\Local\Temp\OnboardLogs"\RTDC4054\*4054*201704042*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"%USERPROFILE%\AppData\Local\Temp\OnboardLogs"\RTDC4054\*4054*201704042* &gt;&gt; 2017-04-04-SliceDisagreementCheck.txt</v>
      </c>
      <c r="AE33" s="153" t="str">
        <f>"start /low /b "&amp;dls3logs&amp;" --loco "&amp;U33&amp;" --day "&amp;TEXT(V33,"YYYY-MM-DD")</f>
        <v>start /low /b %USERPROFILE%\Documents\GitHub\eaglep3\Utilities\DownloadLogsFromS3.py --loco 4054 --day 2017-04-04</v>
      </c>
      <c r="AF33" s="1"/>
    </row>
    <row r="34" spans="1:32" x14ac:dyDescent="0.25">
      <c r="A34" s="32">
        <v>42829.439583333333</v>
      </c>
      <c r="B34" s="30" t="s">
        <v>470</v>
      </c>
      <c r="C34" s="30" t="s">
        <v>602</v>
      </c>
      <c r="D34" s="30" t="s">
        <v>98</v>
      </c>
      <c r="E34" s="30" t="s">
        <v>586</v>
      </c>
      <c r="F34" s="43">
        <v>0</v>
      </c>
      <c r="G34" s="43">
        <v>151</v>
      </c>
      <c r="H34" s="43">
        <v>2411</v>
      </c>
      <c r="I34" s="43">
        <v>2668</v>
      </c>
      <c r="J34" s="30" t="s">
        <v>587</v>
      </c>
      <c r="K34" s="43">
        <v>1692</v>
      </c>
      <c r="L34" s="139" t="s">
        <v>50</v>
      </c>
      <c r="M34" s="140">
        <f>CONVERT((I34-K34)/10000,"mi","ft")*IF(L34="Increasing Mileposts (1)",-1,1)</f>
        <v>-515.32799999999997</v>
      </c>
      <c r="N34" s="141" t="str">
        <f>VLOOKUP(C34,'Trips&amp;Operators'!$C$1:$G$99999,5,FALSE)</f>
        <v>YORK EDGAR</v>
      </c>
      <c r="O34" s="190" t="s">
        <v>502</v>
      </c>
      <c r="P34" s="142" t="s">
        <v>583</v>
      </c>
      <c r="Q34" s="30"/>
      <c r="R34" s="89" t="str">
        <f>IF(VLOOKUP(C34,'Train Runs'!$A$13:$AE$9936,1,1)=C34,VLOOKUP(C34,'Train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4" s="92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/stypes="*4054*201704041*" /stext=" 16:.+((SYSTEM_STATE.+slice.+state.+changed )|(ment ac)|(multiple cpu faults)|(system.+state.+changed )|(\[timeout)|(PRM\|1\|D)|(kpr)|(kdp)|(\|lc)|(penalty))"</v>
      </c>
      <c r="U34" s="9" t="str">
        <f>MID(B34,13,4)</f>
        <v>4054</v>
      </c>
      <c r="V34" s="32">
        <f>A34-utc_offset/24</f>
        <v>42829.689583333333</v>
      </c>
      <c r="W34" s="46" t="str">
        <f>IFERROR(IF(VALUE(LEFT(IF(LEN(C34)=6,"0"&amp;C34,C34),2))&lt;=2,"EC",IF(OR(VALUE(LEFT(IF(LEN(C34)=6,"0"&amp;C34,C34),2))=8,VALUE(LEFT(IF(LEN(C34)=6,"0"&amp;C34,C34),2))=18),"NW","Other")),"Other")</f>
        <v>EC</v>
      </c>
      <c r="X34" s="46" t="str">
        <f>IF(AND(E34="TRACK WARRANT AUTHORITY",G34&lt;10),"OMIT","KEEP")</f>
        <v>KEEP</v>
      </c>
      <c r="Y34" s="10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{"issue":{"subject":"Minor onboard in-route failure","project_id":79,"tracker_id":40,"status_id":1,"priority_id":2,"assigned_to_id":23,"start_date":"2017-04-04","description":"","custom_fields":[{"id":1,"name":"Subdivision","value":"EC"},{"id":4,"name":"Milepost","value":"0.1692"},{"id":17,"name":"Train ID","value":"155-04"},{"id":16,"name":"Locomotive ID","value":"4054"},{"id":130,"name":"Impact","value":"Enforcement"},{"id":150,"name":"Time of Event (Mountain Time)","value":"10:33:00"},{"id":151,"name":"Denver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4" s="218"/>
      <c r="AA34" s="48" t="s">
        <v>124</v>
      </c>
      <c r="AB34" s="48" t="s">
        <v>137</v>
      </c>
      <c r="AC34" s="123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"%USERPROFILE%\AppData\Local\Temp\OnboardLogs"\RTDC4054\*4054*201704041*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34" s="153" t="str">
        <f>"start /low /b "&amp;dls3logs&amp;" --loco "&amp;U34&amp;" --day "&amp;TEXT(V34,"YYYY-MM-DD")</f>
        <v>start /low /b %USERPROFILE%\Documents\GitHub\eaglep3\Utilities\DownloadLogsFromS3.py --loco 4054 --day 2017-04-04</v>
      </c>
      <c r="AF34" s="1"/>
    </row>
    <row r="35" spans="1:32" x14ac:dyDescent="0.25">
      <c r="A35" s="32">
        <v>42829.356921296298</v>
      </c>
      <c r="B35" s="30" t="s">
        <v>597</v>
      </c>
      <c r="C35" s="30" t="s">
        <v>598</v>
      </c>
      <c r="D35" s="30" t="s">
        <v>49</v>
      </c>
      <c r="E35" s="30" t="s">
        <v>186</v>
      </c>
      <c r="F35" s="43">
        <v>0</v>
      </c>
      <c r="G35" s="43">
        <v>83</v>
      </c>
      <c r="H35" s="43">
        <v>243</v>
      </c>
      <c r="I35" s="43">
        <v>152</v>
      </c>
      <c r="J35" s="30" t="s">
        <v>187</v>
      </c>
      <c r="K35" s="43">
        <v>1</v>
      </c>
      <c r="L35" s="139" t="s">
        <v>51</v>
      </c>
      <c r="M35" s="140">
        <f>CONVERT((I35-K35)/10000,"mi","ft")*IF(L35="Increasing Mileposts (1)",-1,1)</f>
        <v>79.727999999999994</v>
      </c>
      <c r="N35" s="141" t="str">
        <f>VLOOKUP(C35,'Trips&amp;Operators'!$C$1:$G$99999,5,FALSE)</f>
        <v>SANTIZO D. EDY</v>
      </c>
      <c r="O35" s="190" t="s">
        <v>185</v>
      </c>
      <c r="P35" s="142"/>
      <c r="Q35" s="30"/>
      <c r="R35" s="89" t="str">
        <f>IF(VLOOKUP(C35,'Train Runs'!$A$13:$AE$9936,1,1)=C35,VLOOKUP(C35,'Train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5" s="92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/stypes="*4053*201704041*" /stext=" 14:.+((SYSTEM_STATE.+slice.+state.+changed )|(ment ac)|(multiple cpu faults)|(system.+state.+changed )|(\[timeout)|(PRM\|1\|D)|(kpr)|(kdp)|(\|lc)|(penalty))"</v>
      </c>
      <c r="U35" s="9" t="str">
        <f>MID(B35,13,4)</f>
        <v>4053</v>
      </c>
      <c r="V35" s="32">
        <f>A35-utc_offset/24</f>
        <v>42829.606921296298</v>
      </c>
      <c r="W35" s="46" t="str">
        <f>IFERROR(IF(VALUE(LEFT(IF(LEN(C35)=6,"0"&amp;C35,C35),2))&lt;=2,"EC",IF(OR(VALUE(LEFT(IF(LEN(C35)=6,"0"&amp;C35,C35),2))=8,VALUE(LEFT(IF(LEN(C35)=6,"0"&amp;C35,C35),2))=18),"NW","Other")),"Other")</f>
        <v>EC</v>
      </c>
      <c r="X35" s="46" t="str">
        <f>IF(AND(E35="TRACK WARRANT AUTHORITY",G35&lt;10),"OMIT","KEEP")</f>
        <v>KEEP</v>
      </c>
      <c r="Y35" s="10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"%USERPROFILE%\AppData\Local\Temp\OnboardLogs"\RTDC4053\*4053*201704041*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5" s="153" t="str">
        <f>"start /low /b "&amp;dls3logs&amp;" --loco "&amp;U35&amp;" --day "&amp;TEXT(V35,"YYYY-MM-DD")</f>
        <v>start /low /b %USERPROFILE%\Documents\GitHub\eaglep3\Utilities\DownloadLogsFromS3.py --loco 4053 --day 2017-04-04</v>
      </c>
      <c r="AF35" s="1"/>
    </row>
    <row r="36" spans="1:32" x14ac:dyDescent="0.25">
      <c r="A36" s="32">
        <v>42829.436006944445</v>
      </c>
      <c r="B36" s="30" t="s">
        <v>597</v>
      </c>
      <c r="C36" s="30" t="s">
        <v>601</v>
      </c>
      <c r="D36" s="30" t="s">
        <v>49</v>
      </c>
      <c r="E36" s="30" t="s">
        <v>186</v>
      </c>
      <c r="F36" s="43">
        <v>0</v>
      </c>
      <c r="G36" s="43">
        <v>71</v>
      </c>
      <c r="H36" s="43">
        <v>232</v>
      </c>
      <c r="I36" s="43">
        <v>165</v>
      </c>
      <c r="J36" s="30" t="s">
        <v>187</v>
      </c>
      <c r="K36" s="43">
        <v>1</v>
      </c>
      <c r="L36" s="139" t="s">
        <v>51</v>
      </c>
      <c r="M36" s="140">
        <f>CONVERT((I36-K36)/10000,"mi","ft")*IF(L36="Increasing Mileposts (1)",-1,1)</f>
        <v>86.592000000000013</v>
      </c>
      <c r="N36" s="141" t="str">
        <f>VLOOKUP(C36,'Trips&amp;Operators'!$C$1:$G$99999,5,FALSE)</f>
        <v>SANTIZO D. EDY</v>
      </c>
      <c r="O36" s="190" t="s">
        <v>185</v>
      </c>
      <c r="P36" s="142"/>
      <c r="Q36" s="30"/>
      <c r="R36" s="89" t="str">
        <f>IF(VLOOKUP(C36,'Train Runs'!$A$13:$AE$9936,1,1)=C36,VLOOKUP(C36,'Train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6" s="92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/stypes="*4053*201704041*" /stext=" 16:.+((SYSTEM_STATE.+slice.+state.+changed )|(ment ac)|(multiple cpu faults)|(system.+state.+changed )|(\[timeout)|(PRM\|1\|D)|(kpr)|(kdp)|(\|lc)|(penalty))"</v>
      </c>
      <c r="U36" s="9" t="str">
        <f>MID(B36,13,4)</f>
        <v>4053</v>
      </c>
      <c r="V36" s="32">
        <f>A36-utc_offset/24</f>
        <v>42829.686006944445</v>
      </c>
      <c r="W36" s="46" t="str">
        <f>IFERROR(IF(VALUE(LEFT(IF(LEN(C36)=6,"0"&amp;C36,C36),2))&lt;=2,"EC",IF(OR(VALUE(LEFT(IF(LEN(C36)=6,"0"&amp;C36,C36),2))=8,VALUE(LEFT(IF(LEN(C36)=6,"0"&amp;C36,C36),2))=18),"NW","Other")),"Other")</f>
        <v>EC</v>
      </c>
      <c r="X36" s="46" t="str">
        <f>IF(AND(E36="TRACK WARRANT AUTHORITY",G36&lt;10),"OMIT","KEEP")</f>
        <v>KEEP</v>
      </c>
      <c r="Y36" s="10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>"grep -hSE -A400 ""Enforcement Action"" "&amp;search_path&amp;"\RTDC"&amp;U36&amp;"\*"&amp;U36&amp;"*"&amp;TEXT(A36-utc_offset/24,"YYYYMMDD")&amp;LEFT(TEXT(A36-utc_offset/24,"HH"),1)&amp;"* | grep -SE ""((Enforcement Ac)|(PRM.+XING))"" -"</f>
        <v>grep -hSE -A400 "Enforcement Action" "%USERPROFILE%\AppData\Local\Temp\OnboardLogs"\RTDC4053\*4053*201704041*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6" s="153" t="str">
        <f>"start /low /b "&amp;dls3logs&amp;" --loco "&amp;U36&amp;" --day "&amp;TEXT(V36,"YYYY-MM-DD")</f>
        <v>start /low /b %USERPROFILE%\Documents\GitHub\eaglep3\Utilities\DownloadLogsFromS3.py --loco 4053 --day 2017-04-04</v>
      </c>
      <c r="AF36" s="1"/>
    </row>
    <row r="37" spans="1:32" x14ac:dyDescent="0.25">
      <c r="A37" s="32">
        <v>42829.462835648148</v>
      </c>
      <c r="B37" s="30" t="s">
        <v>389</v>
      </c>
      <c r="C37" s="30" t="s">
        <v>605</v>
      </c>
      <c r="D37" s="30" t="s">
        <v>49</v>
      </c>
      <c r="E37" s="30" t="s">
        <v>186</v>
      </c>
      <c r="F37" s="43">
        <v>0</v>
      </c>
      <c r="G37" s="43">
        <v>36</v>
      </c>
      <c r="H37" s="43">
        <v>174</v>
      </c>
      <c r="I37" s="43">
        <v>143</v>
      </c>
      <c r="J37" s="30" t="s">
        <v>187</v>
      </c>
      <c r="K37" s="43">
        <v>1</v>
      </c>
      <c r="L37" s="139" t="s">
        <v>51</v>
      </c>
      <c r="M37" s="140">
        <f>CONVERT((I37-K37)/10000,"mi","ft")*IF(L37="Increasing Mileposts (1)",-1,1)</f>
        <v>74.975999999999999</v>
      </c>
      <c r="N37" s="141" t="str">
        <f>VLOOKUP(C37,'Trips&amp;Operators'!$C$1:$G$99999,5,FALSE)</f>
        <v>STARKS ANGELINA</v>
      </c>
      <c r="O37" s="190" t="s">
        <v>185</v>
      </c>
      <c r="P37" s="142"/>
      <c r="Q37" s="30"/>
      <c r="R37" s="89" t="str">
        <f>IF(VLOOKUP(C37,'Train Runs'!$A$13:$AE$9936,1,1)=C37,VLOOKUP(C37,'Train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37" s="92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/stypes="*4043*201704041*" /stext=" 17:.+((SYSTEM_STATE.+slice.+state.+changed )|(ment ac)|(multiple cpu faults)|(system.+state.+changed )|(\[timeout)|(PRM\|1\|D)|(kpr)|(kdp)|(\|lc)|(penalty))"</v>
      </c>
      <c r="U37" s="9" t="str">
        <f>MID(B37,13,4)</f>
        <v>4043</v>
      </c>
      <c r="V37" s="32">
        <f>A37-utc_offset/24</f>
        <v>42829.712835648148</v>
      </c>
      <c r="W37" s="46" t="str">
        <f>IFERROR(IF(VALUE(LEFT(IF(LEN(C37)=6,"0"&amp;C37,C37),2))&lt;=2,"EC",IF(OR(VALUE(LEFT(IF(LEN(C37)=6,"0"&amp;C37,C37),2))=8,VALUE(LEFT(IF(LEN(C37)=6,"0"&amp;C37,C37),2))=18),"NW","Other")),"Other")</f>
        <v>EC</v>
      </c>
      <c r="X37" s="46" t="str">
        <f>IF(AND(E37="TRACK WARRANT AUTHORITY",G37&lt;10),"OMIT","KEEP")</f>
        <v>KEEP</v>
      </c>
      <c r="Y37" s="10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>"grep -hSE -A400 ""Enforcement Action"" "&amp;search_path&amp;"\RTDC"&amp;U37&amp;"\*"&amp;U37&amp;"*"&amp;TEXT(A37-utc_offset/24,"YYYYMMDD")&amp;LEFT(TEXT(A37-utc_offset/24,"HH"),1)&amp;"* | grep -SE ""((Enforcement Ac)|(PRM.+XING))"" -"</f>
        <v>grep -hSE -A400 "Enforcement Action" "%USERPROFILE%\AppData\Local\Temp\OnboardLogs"\RTDC4043\*4043*201704041*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37" s="153" t="str">
        <f>"start /low /b "&amp;dls3logs&amp;" --loco "&amp;U37&amp;" --day "&amp;TEXT(V37,"YYYY-MM-DD")</f>
        <v>start /low /b %USERPROFILE%\Documents\GitHub\eaglep3\Utilities\DownloadLogsFromS3.py --loco 4043 --day 2017-04-04</v>
      </c>
      <c r="AF37" s="1"/>
    </row>
    <row r="38" spans="1:32" x14ac:dyDescent="0.25">
      <c r="A38" s="32">
        <v>42829.640266203707</v>
      </c>
      <c r="B38" s="30" t="s">
        <v>414</v>
      </c>
      <c r="C38" s="30" t="s">
        <v>610</v>
      </c>
      <c r="D38" s="30" t="s">
        <v>49</v>
      </c>
      <c r="E38" s="30" t="s">
        <v>186</v>
      </c>
      <c r="F38" s="43">
        <v>0</v>
      </c>
      <c r="G38" s="43">
        <v>51</v>
      </c>
      <c r="H38" s="43">
        <v>172</v>
      </c>
      <c r="I38" s="43">
        <v>127</v>
      </c>
      <c r="J38" s="30" t="s">
        <v>187</v>
      </c>
      <c r="K38" s="43">
        <v>1</v>
      </c>
      <c r="L38" s="139" t="s">
        <v>51</v>
      </c>
      <c r="M38" s="140">
        <f>CONVERT((I38-K38)/10000,"mi","ft")*IF(L38="Increasing Mileposts (1)",-1,1)</f>
        <v>66.528000000000006</v>
      </c>
      <c r="N38" s="141" t="str">
        <f>VLOOKUP(C38,'Trips&amp;Operators'!$C$1:$G$99999,5,FALSE)</f>
        <v>LOCKLEAR TRAVIS</v>
      </c>
      <c r="O38" s="190" t="s">
        <v>185</v>
      </c>
      <c r="P38" s="142"/>
      <c r="Q38" s="30"/>
      <c r="R38" s="89" t="str">
        <f>IF(VLOOKUP(C38,'Train Runs'!$A$13:$AE$9936,1,1)=C38,VLOOKUP(C38,'Train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38" s="92" t="str">
        <f>VLOOKUP(C38,'Train Runs'!$A$13:$AE$9936,22,0)</f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/stypes="*4013*201704042*" /stext=" 21:.+((SYSTEM_STATE.+slice.+state.+changed )|(ment ac)|(multiple cpu faults)|(system.+state.+changed )|(\[timeout)|(PRM\|1\|D)|(kpr)|(kdp)|(\|lc)|(penalty))"</v>
      </c>
      <c r="U38" s="9" t="str">
        <f>MID(B38,13,4)</f>
        <v>4013</v>
      </c>
      <c r="V38" s="32">
        <f>A38-utc_offset/24</f>
        <v>42829.890266203707</v>
      </c>
      <c r="W38" s="46" t="str">
        <f>IFERROR(IF(VALUE(LEFT(IF(LEN(C38)=6,"0"&amp;C38,C38),2))&lt;=2,"EC",IF(OR(VALUE(LEFT(IF(LEN(C38)=6,"0"&amp;C38,C38),2))=8,VALUE(LEFT(IF(LEN(C38)=6,"0"&amp;C38,C38),2))=18),"NW","Other")),"Other")</f>
        <v>EC</v>
      </c>
      <c r="X38" s="46" t="str">
        <f>IF(AND(E38="TRACK WARRANT AUTHORITY",G38&lt;10),"OMIT","KEEP")</f>
        <v>KEEP</v>
      </c>
      <c r="Y38" s="10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>"grep -hSE -A400 ""Enforcement Action"" "&amp;search_path&amp;"\RTDC"&amp;U38&amp;"\*"&amp;U38&amp;"*"&amp;TEXT(A38-utc_offset/24,"YYYYMMDD")&amp;LEFT(TEXT(A38-utc_offset/24,"HH"),1)&amp;"* | grep -SE ""((Enforcement Ac)|(PRM.+XING))"" -"</f>
        <v>grep -hSE -A400 "Enforcement Action" "%USERPROFILE%\AppData\Local\Temp\OnboardLogs"\RTDC4013\*4013*201704042*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"%USERPROFILE%\AppData\Local\Temp\OnboardLogs"\RTDC4013\*4013*201704042* &gt;&gt; 2017-04-04-SliceDisagreementCheck.txt</v>
      </c>
      <c r="AE38" s="153" t="str">
        <f>"start /low /b "&amp;dls3logs&amp;" --loco "&amp;U38&amp;" --day "&amp;TEXT(V38,"YYYY-MM-DD")</f>
        <v>start /low /b %USERPROFILE%\Documents\GitHub\eaglep3\Utilities\DownloadLogsFromS3.py --loco 4013 --day 2017-04-04</v>
      </c>
      <c r="AF38" s="1"/>
    </row>
    <row r="39" spans="1:32" x14ac:dyDescent="0.25">
      <c r="A39" s="32">
        <v>42829.745844907404</v>
      </c>
      <c r="B39" s="30" t="s">
        <v>381</v>
      </c>
      <c r="C39" s="30" t="s">
        <v>616</v>
      </c>
      <c r="D39" s="30" t="s">
        <v>49</v>
      </c>
      <c r="E39" s="30" t="s">
        <v>186</v>
      </c>
      <c r="F39" s="43">
        <v>0</v>
      </c>
      <c r="G39" s="43">
        <v>102</v>
      </c>
      <c r="H39" s="43">
        <v>300</v>
      </c>
      <c r="I39" s="43">
        <v>185</v>
      </c>
      <c r="J39" s="30" t="s">
        <v>187</v>
      </c>
      <c r="K39" s="43">
        <v>1</v>
      </c>
      <c r="L39" s="139" t="s">
        <v>51</v>
      </c>
      <c r="M39" s="140">
        <f>CONVERT((I39-K39)/10000,"mi","ft")*IF(L39="Increasing Mileposts (1)",-1,1)</f>
        <v>97.152000000000001</v>
      </c>
      <c r="N39" s="141" t="str">
        <f>VLOOKUP(C39,'Trips&amp;Operators'!$C$1:$G$99999,5,FALSE)</f>
        <v>DAVIS MICHAEL</v>
      </c>
      <c r="O39" s="190" t="s">
        <v>185</v>
      </c>
      <c r="P39" s="142"/>
      <c r="Q39" s="30"/>
      <c r="R39" s="89" t="str">
        <f>IF(VLOOKUP(C39,'Train Runs'!$A$13:$AE$9936,1,1)=C39,VLOOKUP(C39,'Train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39" s="92" t="str">
        <f>VLOOKUP(C39,'Train Runs'!$A$13:$AE$9936,22,0)</f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/stypes="*4031*201704042*" /stext=" 23:.+((SYSTEM_STATE.+slice.+state.+changed )|(ment ac)|(multiple cpu faults)|(system.+state.+changed )|(\[timeout)|(PRM\|1\|D)|(kpr)|(kdp)|(\|lc)|(penalty))"</v>
      </c>
      <c r="U39" s="9" t="str">
        <f>MID(B39,13,4)</f>
        <v>4031</v>
      </c>
      <c r="V39" s="32">
        <f>A39-utc_offset/24</f>
        <v>42829.995844907404</v>
      </c>
      <c r="W39" s="46" t="str">
        <f>IFERROR(IF(VALUE(LEFT(IF(LEN(C39)=6,"0"&amp;C39,C39),2))&lt;=2,"EC",IF(OR(VALUE(LEFT(IF(LEN(C39)=6,"0"&amp;C39,C39),2))=8,VALUE(LEFT(IF(LEN(C39)=6,"0"&amp;C39,C39),2))=18),"NW","Other")),"Other")</f>
        <v>EC</v>
      </c>
      <c r="X39" s="46" t="str">
        <f>IF(AND(E39="TRACK WARRANT AUTHORITY",G39&lt;10),"OMIT","KEEP")</f>
        <v>KEEP</v>
      </c>
      <c r="Y39" s="10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"%USERPROFILE%\AppData\Local\Temp\OnboardLogs"\RTDC4031\*4031*201704042*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"%USERPROFILE%\AppData\Local\Temp\OnboardLogs"\RTDC4031\*4031*201704042* &gt;&gt; 2017-04-04-SliceDisagreementCheck.txt</v>
      </c>
      <c r="AE39" s="153" t="str">
        <f>"start /low /b "&amp;dls3logs&amp;" --loco "&amp;U39&amp;" --day "&amp;TEXT(V39,"YYYY-MM-DD")</f>
        <v>start /low /b %USERPROFILE%\Documents\GitHub\eaglep3\Utilities\DownloadLogsFromS3.py --loco 4031 --day 2017-04-04</v>
      </c>
      <c r="AF39" s="1"/>
    </row>
    <row r="40" spans="1:32" x14ac:dyDescent="0.25">
      <c r="A40" s="32">
        <v>42829.713043981479</v>
      </c>
      <c r="B40" s="30" t="s">
        <v>432</v>
      </c>
      <c r="C40" s="30" t="s">
        <v>614</v>
      </c>
      <c r="D40" s="30" t="s">
        <v>49</v>
      </c>
      <c r="E40" s="30" t="s">
        <v>186</v>
      </c>
      <c r="F40" s="43">
        <v>0</v>
      </c>
      <c r="G40" s="43">
        <v>147</v>
      </c>
      <c r="H40" s="43">
        <v>232796</v>
      </c>
      <c r="I40" s="43">
        <v>232996</v>
      </c>
      <c r="J40" s="30" t="s">
        <v>187</v>
      </c>
      <c r="K40" s="43">
        <v>233491</v>
      </c>
      <c r="L40" s="139" t="s">
        <v>50</v>
      </c>
      <c r="M40" s="140">
        <f>CONVERT((I40-K40)/10000,"mi","ft")*IF(L40="Increasing Mileposts (1)",-1,1)</f>
        <v>261.36</v>
      </c>
      <c r="N40" s="141" t="str">
        <f>VLOOKUP(C40,'Trips&amp;Operators'!$C$1:$G$99999,5,FALSE)</f>
        <v>STEWART MICHAEL</v>
      </c>
      <c r="O40" s="190" t="s">
        <v>185</v>
      </c>
      <c r="P40" s="142"/>
      <c r="Q40" s="30"/>
      <c r="R40" s="89" t="str">
        <f>IF(VLOOKUP(C40,'Train Runs'!$A$13:$AE$9936,1,1)=C40,VLOOKUP(C40,'Train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0" s="92" t="str">
        <f>VLOOKUP(C40,'Train Runs'!$A$13:$AE$9936,22,0)</f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/stypes="*4010*201704042*" /stext=" 23:.+((SYSTEM_STATE.+slice.+state.+changed )|(ment ac)|(multiple cpu faults)|(system.+state.+changed )|(\[timeout)|(PRM\|1\|D)|(kpr)|(kdp)|(\|lc)|(penalty))"</v>
      </c>
      <c r="U40" s="9" t="str">
        <f>MID(B40,13,4)</f>
        <v>4010</v>
      </c>
      <c r="V40" s="32">
        <f>A40-utc_offset/24</f>
        <v>42829.963043981479</v>
      </c>
      <c r="W40" s="46" t="str">
        <f>IFERROR(IF(VALUE(LEFT(IF(LEN(C40)=6,"0"&amp;C40,C40),2))&lt;=2,"EC",IF(OR(VALUE(LEFT(IF(LEN(C40)=6,"0"&amp;C40,C40),2))=8,VALUE(LEFT(IF(LEN(C40)=6,"0"&amp;C40,C40),2))=18),"NW","Other")),"Other")</f>
        <v>EC</v>
      </c>
      <c r="X40" s="46" t="str">
        <f>IF(AND(E40="TRACK WARRANT AUTHORITY",G40&lt;10),"OMIT","KEEP")</f>
        <v>KEEP</v>
      </c>
      <c r="Y40" s="10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ID","value":"203-04"},{"id":16,"name":"Locomotive ID","value":"4010"},{"id":130,"name":"Impact","value":""},{"id":150,"name":"Time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>"grep -hSE -A400 ""Enforcement Action"" "&amp;search_path&amp;"\RTDC"&amp;U40&amp;"\*"&amp;U40&amp;"*"&amp;TEXT(A40-utc_offset/24,"YYYYMMDD")&amp;LEFT(TEXT(A40-utc_offset/24,"HH"),1)&amp;"* | grep -SE ""((Enforcement Ac)|(PRM.+XING))"" -"</f>
        <v>grep -hSE -A400 "Enforcement Action" "%USERPROFILE%\AppData\Local\Temp\OnboardLogs"\RTDC4010\*4010*201704042*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"%USERPROFILE%\AppData\Local\Temp\OnboardLogs"\RTDC4010\*4010*201704042* &gt;&gt; 2017-04-04-SliceDisagreementCheck.txt</v>
      </c>
      <c r="AE40" s="153" t="str">
        <f>"start /low /b "&amp;dls3logs&amp;" --loco "&amp;U40&amp;" --day "&amp;TEXT(V40,"YYYY-MM-DD")</f>
        <v>start /low /b %USERPROFILE%\Documents\GitHub\eaglep3\Utilities\DownloadLogsFromS3.py --loco 4010 --day 2017-04-04</v>
      </c>
      <c r="AF40" s="1"/>
    </row>
    <row r="41" spans="1:32" x14ac:dyDescent="0.25">
      <c r="A41" s="32">
        <v>42829.859236111108</v>
      </c>
      <c r="B41" s="30" t="s">
        <v>432</v>
      </c>
      <c r="C41" s="30" t="s">
        <v>624</v>
      </c>
      <c r="D41" s="30" t="s">
        <v>49</v>
      </c>
      <c r="E41" s="30" t="s">
        <v>186</v>
      </c>
      <c r="F41" s="43">
        <v>0</v>
      </c>
      <c r="G41" s="43">
        <v>39</v>
      </c>
      <c r="H41" s="43">
        <v>233351</v>
      </c>
      <c r="I41" s="43">
        <v>233370</v>
      </c>
      <c r="J41" s="30" t="s">
        <v>187</v>
      </c>
      <c r="K41" s="43">
        <v>233491</v>
      </c>
      <c r="L41" s="139" t="s">
        <v>50</v>
      </c>
      <c r="M41" s="140">
        <f>CONVERT((I41-K41)/10000,"mi","ft")*IF(L41="Increasing Mileposts (1)",-1,1)</f>
        <v>63.887999999999998</v>
      </c>
      <c r="N41" s="141" t="str">
        <f>VLOOKUP(C41,'Trips&amp;Operators'!$C$1:$G$99999,5,FALSE)</f>
        <v>STORY SAMANTHA</v>
      </c>
      <c r="O41" s="190" t="s">
        <v>185</v>
      </c>
      <c r="P41" s="142"/>
      <c r="Q41" s="30"/>
      <c r="R41" s="89" t="str">
        <f>IF(VLOOKUP(C41,'Train Runs'!$A$13:$AE$9936,1,1)=C41,VLOOKUP(C41,'Train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1" s="92" t="str">
        <f>VLOOKUP(C41,'Train Runs'!$A$13:$AE$9936,22,0)</f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1" s="94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/stypes="*4010*201704050*" /stext=" 02:.+((SYSTEM_STATE.+slice.+state.+changed )|(ment ac)|(multiple cpu faults)|(system.+state.+changed )|(\[timeout)|(PRM\|1\|D)|(kpr)|(kdp)|(\|lc)|(penalty))"</v>
      </c>
      <c r="U41" s="9" t="str">
        <f>MID(B41,13,4)</f>
        <v>4010</v>
      </c>
      <c r="V41" s="32">
        <f>A41-utc_offset/24</f>
        <v>42830.109236111108</v>
      </c>
      <c r="W41" s="46" t="str">
        <f>IFERROR(IF(VALUE(LEFT(IF(LEN(C41)=6,"0"&amp;C41,C41),2))&lt;=2,"EC",IF(OR(VALUE(LEFT(IF(LEN(C41)=6,"0"&amp;C41,C41),2))=8,VALUE(LEFT(IF(LEN(C41)=6,"0"&amp;C41,C41),2))=18),"NW","Other")),"Other")</f>
        <v>EC</v>
      </c>
      <c r="X41" s="46" t="str">
        <f>IF(AND(E41="TRACK WARRANT AUTHORITY",G41&lt;10),"OMIT","KEEP")</f>
        <v>KEEP</v>
      </c>
      <c r="Y41" s="10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ID","value":"225-04"},{"id":16,"name":"Locomotive ID","value":"4010"},{"id":130,"name":"Impact","value":""},{"id":150,"name":"Time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>"grep -hSE -A400 ""Enforcement Action"" "&amp;search_path&amp;"\RTDC"&amp;U41&amp;"\*"&amp;U41&amp;"*"&amp;TEXT(A41-utc_offset/24,"YYYYMMDD")&amp;LEFT(TEXT(A41-utc_offset/24,"HH"),1)&amp;"* | grep -SE ""((Enforcement Ac)|(PRM.+XING))"" -"</f>
        <v>grep -hSE -A400 "Enforcement Action" "%USERPROFILE%\AppData\Local\Temp\OnboardLogs"\RTDC4010\*4010*201704050*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"%USERPROFILE%\AppData\Local\Temp\OnboardLogs"\RTDC4010\*4010*201704050* &gt;&gt; 2017-04-04-SliceDisagreementCheck.txt</v>
      </c>
      <c r="AE41" s="153" t="str">
        <f>"start /low /b "&amp;dls3logs&amp;" --loco "&amp;U41&amp;" --day "&amp;TEXT(V41,"YYYY-MM-DD")</f>
        <v>start /low /b %USERPROFILE%\Documents\GitHub\eaglep3\Utilities\DownloadLogsFromS3.py --loco 4010 --day 2017-04-05</v>
      </c>
      <c r="AF41" s="1"/>
    </row>
    <row r="42" spans="1:32" x14ac:dyDescent="0.25">
      <c r="A42" s="32">
        <v>42829.771736111114</v>
      </c>
      <c r="B42" s="30" t="s">
        <v>514</v>
      </c>
      <c r="C42" s="30" t="s">
        <v>617</v>
      </c>
      <c r="D42" s="30" t="s">
        <v>49</v>
      </c>
      <c r="E42" s="30" t="s">
        <v>215</v>
      </c>
      <c r="F42" s="43">
        <v>150</v>
      </c>
      <c r="G42" s="43">
        <v>321</v>
      </c>
      <c r="H42" s="43">
        <v>55630</v>
      </c>
      <c r="I42" s="43">
        <v>56346</v>
      </c>
      <c r="J42" s="30" t="s">
        <v>216</v>
      </c>
      <c r="K42" s="43">
        <v>57008</v>
      </c>
      <c r="L42" s="139" t="s">
        <v>50</v>
      </c>
      <c r="M42" s="140">
        <f>CONVERT((I42-K42)/10000,"mi","ft")*IF(L42="Increasing Mileposts (1)",-1,1)</f>
        <v>349.53599999999994</v>
      </c>
      <c r="N42" s="141" t="str">
        <f>VLOOKUP(C42,'Trips&amp;Operators'!$C$1:$G$99999,5,FALSE)</f>
        <v>LEVIN SCOTT</v>
      </c>
      <c r="O42" s="190" t="s">
        <v>185</v>
      </c>
      <c r="P42" s="142"/>
      <c r="Q42" s="30"/>
      <c r="R42" s="89" t="e">
        <f>IF(VLOOKUP(C42,'Train Runs'!$A$13:$AE$9936,1,1)=C42,VLOOKUP(C42,'Train Runs'!$A$13:$AE$9936,31,1),NA())</f>
        <v>#N/A</v>
      </c>
      <c r="S42" s="92" t="str">
        <f>VLOOKUP(C42,'Train Runs'!$A$13:$AE$9936,22,0)</f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94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/stypes="*4042*201704050*" /stext=" 00:.+((SYSTEM_STATE.+slice.+state.+changed )|(ment ac)|(multiple cpu faults)|(system.+state.+changed )|(\[timeout)|(PRM\|1\|D)|(kpr)|(kdp)|(\|lc)|(penalty))"</v>
      </c>
      <c r="U42" s="9" t="str">
        <f>MID(B42,13,4)</f>
        <v>4042</v>
      </c>
      <c r="V42" s="32">
        <f>A42-utc_offset/24</f>
        <v>42830.021736111114</v>
      </c>
      <c r="W42" s="46" t="str">
        <f>IFERROR(IF(VALUE(LEFT(IF(LEN(C42)=6,"0"&amp;C42,C42),2))&lt;=2,"EC",IF(OR(VALUE(LEFT(IF(LEN(C42)=6,"0"&amp;C42,C42),2))=8,VALUE(LEFT(IF(LEN(C42)=6,"0"&amp;C42,C42),2))=18),"NW","Other")),"Other")</f>
        <v>NW</v>
      </c>
      <c r="X42" s="46" t="str">
        <f>IF(AND(E42="TRACK WARRANT AUTHORITY",G42&lt;10),"OMIT","KEEP")</f>
        <v>KEEP</v>
      </c>
      <c r="Y42" s="10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{"issue":{"subject":"","project_id":79,"tracker_id":40,"status_id":1,"priority_id":2,"assigned_to_id":23,"start_date":"2017-04-04","description":"","custom_fields":[{"id":1,"name":"Subdivision","value":"NW"},{"id":4,"name":"Milepost","value":"5.7008"},{"id":17,"name":"Train ID","value":"837-04"},{"id":16,"name":"Locomotive ID","value":"4042"},{"id":130,"name":"Impact","value":""},{"id":150,"name":"Time of Event (Mountain Time)","value":"18:31:18"},{"id":151,"name":"Denver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>"grep -hSE -A400 ""Enforcement Action"" "&amp;search_path&amp;"\RTDC"&amp;U42&amp;"\*"&amp;U42&amp;"*"&amp;TEXT(A42-utc_offset/24,"YYYYMMDD")&amp;LEFT(TEXT(A42-utc_offset/24,"HH"),1)&amp;"* | grep -SE ""((Enforcement Ac)|(PRM.+XING))"" -"</f>
        <v>grep -hSE -A400 "Enforcement Action" "%USERPROFILE%\AppData\Local\Temp\OnboardLogs"\RTDC4042\*4042*201704050*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"%USERPROFILE%\AppData\Local\Temp\OnboardLogs"\RTDC4042\*4042*201704050* &gt;&gt; 2017-04-04-SliceDisagreementCheck.txt</v>
      </c>
      <c r="AE42" s="153" t="str">
        <f>"start /low /b "&amp;dls3logs&amp;" --loco "&amp;U42&amp;" --day "&amp;TEXT(V42,"YYYY-MM-DD")</f>
        <v>start /low /b %USERPROFILE%\Documents\GitHub\eaglep3\Utilities\DownloadLogsFromS3.py --loco 4042 --day 2017-04-05</v>
      </c>
      <c r="AF42" s="1"/>
    </row>
    <row r="43" spans="1:32" x14ac:dyDescent="0.25">
      <c r="A43" s="32">
        <v>42829.288356481484</v>
      </c>
      <c r="B43" s="30" t="s">
        <v>495</v>
      </c>
      <c r="C43" s="30" t="s">
        <v>591</v>
      </c>
      <c r="D43" s="30" t="s">
        <v>49</v>
      </c>
      <c r="E43" s="30" t="s">
        <v>186</v>
      </c>
      <c r="F43" s="43">
        <v>0</v>
      </c>
      <c r="G43" s="43">
        <v>100</v>
      </c>
      <c r="H43" s="43">
        <v>379</v>
      </c>
      <c r="I43" s="43">
        <v>271</v>
      </c>
      <c r="J43" s="30" t="s">
        <v>187</v>
      </c>
      <c r="K43" s="43">
        <v>1</v>
      </c>
      <c r="L43" s="139" t="s">
        <v>51</v>
      </c>
      <c r="M43" s="140">
        <f>CONVERT((I43-K43)/10000,"mi","ft")*IF(L43="Increasing Mileposts (1)",-1,1)</f>
        <v>142.56</v>
      </c>
      <c r="N43" s="141" t="str">
        <f>VLOOKUP(C43,'Trips&amp;Operators'!$C$1:$G$99999,5,FALSE)</f>
        <v>ACKERMAN JARED</v>
      </c>
      <c r="O43" s="190" t="s">
        <v>185</v>
      </c>
      <c r="P43" s="142"/>
      <c r="Q43" s="30"/>
      <c r="R43" s="89" t="str">
        <f>IF(VLOOKUP(C43,'Train Runs'!$A$13:$AE$9936,1,1)=C43,VLOOKUP(C43,'Train Runs'!$A$13:$AE$9936,31,1),NA())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S43" s="92" t="str">
        <f>VLOOKUP(C43,'Train Runs'!$A$13:$AE$9936,22,0)</f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94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/stypes="*4041*201704041*" /stext=" 12:.+((SYSTEM_STATE.+slice.+state.+changed )|(ment ac)|(multiple cpu faults)|(system.+state.+changed )|(\[timeout)|(PRM\|1\|D)|(kpr)|(kdp)|(\|lc)|(penalty))"</v>
      </c>
      <c r="U43" s="9" t="str">
        <f>MID(B43,13,4)</f>
        <v>4041</v>
      </c>
      <c r="V43" s="32">
        <f>A43-utc_offset/24</f>
        <v>42829.538356481484</v>
      </c>
      <c r="W43" s="46" t="str">
        <f>IFERROR(IF(VALUE(LEFT(IF(LEN(C43)=6,"0"&amp;C43,C43),2))&lt;=2,"EC",IF(OR(VALUE(LEFT(IF(LEN(C43)=6,"0"&amp;C43,C43),2))=8,VALUE(LEFT(IF(LEN(C43)=6,"0"&amp;C43,C43),2))=18),"NW","Other")),"Other")</f>
        <v>NW</v>
      </c>
      <c r="X43" s="46" t="str">
        <f>IF(AND(E43="TRACK WARRANT AUTHORITY",G43&lt;10),"OMIT","KEEP")</f>
        <v>KEEP</v>
      </c>
      <c r="Y43" s="104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{"issue":{"subject":"","project_id":79,"tracker_id":40,"status_id":1,"priority_id":2,"assigned_to_id":23,"start_date":"2017-04-04","description":"","custom_fields":[{"id":1,"name":"Subdivision","value":"NW"},{"id":4,"name":"Milepost","value":"0.0001"},{"id":17,"name":"Train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>"grep -hSE -A400 ""Enforcement Action"" "&amp;search_path&amp;"\RTDC"&amp;U43&amp;"\*"&amp;U43&amp;"*"&amp;TEXT(A43-utc_offset/24,"YYYYMMDD")&amp;LEFT(TEXT(A43-utc_offset/24,"HH"),1)&amp;"* | grep -SE ""((Enforcement Ac)|(PRM.+XING))"" -"</f>
        <v>grep -hSE -A400 "Enforcement Action" "%USERPROFILE%\AppData\Local\Temp\OnboardLogs"\RTDC4041\*4041*201704041*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"%USERPROFILE%\AppData\Local\Temp\OnboardLogs"\RTDC4041\*4041*201704041* &gt;&gt; 2017-04-04-SliceDisagreementCheck.txt</v>
      </c>
      <c r="AE43" s="153" t="str">
        <f>"start /low /b "&amp;dls3logs&amp;" --loco "&amp;U43&amp;" --day "&amp;TEXT(V43,"YYYY-MM-DD")</f>
        <v>start /low /b %USERPROFILE%\Documents\GitHub\eaglep3\Utilities\DownloadLogsFromS3.py --loco 4041 --day 2017-04-04</v>
      </c>
      <c r="AF43" s="1"/>
    </row>
    <row r="44" spans="1:32" x14ac:dyDescent="0.25">
      <c r="A44" s="32">
        <v>42829.62127314815</v>
      </c>
      <c r="B44" s="30" t="s">
        <v>495</v>
      </c>
      <c r="C44" s="30" t="s">
        <v>609</v>
      </c>
      <c r="D44" s="30" t="s">
        <v>49</v>
      </c>
      <c r="E44" s="30" t="s">
        <v>186</v>
      </c>
      <c r="F44" s="43">
        <v>0</v>
      </c>
      <c r="G44" s="43">
        <v>28</v>
      </c>
      <c r="H44" s="43">
        <v>657</v>
      </c>
      <c r="I44" s="43">
        <v>635</v>
      </c>
      <c r="J44" s="30" t="s">
        <v>187</v>
      </c>
      <c r="K44" s="43">
        <v>575</v>
      </c>
      <c r="L44" s="139" t="s">
        <v>51</v>
      </c>
      <c r="M44" s="140">
        <f>CONVERT((I44-K44)/10000,"mi","ft")*IF(L44="Increasing Mileposts (1)",-1,1)</f>
        <v>31.68</v>
      </c>
      <c r="N44" s="141" t="str">
        <f>VLOOKUP(C44,'Trips&amp;Operators'!$C$1:$G$99999,5,FALSE)</f>
        <v>LEVIN SCOTT</v>
      </c>
      <c r="O44" s="190" t="s">
        <v>185</v>
      </c>
      <c r="P44" s="142"/>
      <c r="Q44" s="30"/>
      <c r="R44" s="89" t="e">
        <f>IF(VLOOKUP(C44,'Train Runs'!$A$13:$AE$9936,1,1)=C44,VLOOKUP(C44,'Train Runs'!$A$13:$AE$9936,31,1),NA())</f>
        <v>#N/A</v>
      </c>
      <c r="S44" s="92" t="str">
        <f>VLOOKUP(C44,'Train Runs'!$A$13:$AE$9936,22,0)</f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4" s="94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/stypes="*4041*201704042*" /stext=" 20:.+((SYSTEM_STATE.+slice.+state.+changed )|(ment ac)|(multiple cpu faults)|(system.+state.+changed )|(\[timeout)|(PRM\|1\|D)|(kpr)|(kdp)|(\|lc)|(penalty))"</v>
      </c>
      <c r="U44" s="9" t="str">
        <f>MID(B44,13,4)</f>
        <v>4041</v>
      </c>
      <c r="V44" s="32">
        <f>A44-utc_offset/24</f>
        <v>42829.87127314815</v>
      </c>
      <c r="W44" s="46" t="str">
        <f>IFERROR(IF(VALUE(LEFT(IF(LEN(C44)=6,"0"&amp;C44,C44),2))&lt;=2,"EC",IF(OR(VALUE(LEFT(IF(LEN(C44)=6,"0"&amp;C44,C44),2))=8,VALUE(LEFT(IF(LEN(C44)=6,"0"&amp;C44,C44),2))=18),"NW","Other")),"Other")</f>
        <v>NW</v>
      </c>
      <c r="X44" s="46" t="str">
        <f>IF(AND(E44="TRACK WARRANT AUTHORITY",G44&lt;10),"OMIT","KEEP")</f>
        <v>KEEP</v>
      </c>
      <c r="Y44" s="104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>"grep -hSE -A400 ""Enforcement Action"" "&amp;search_path&amp;"\RTDC"&amp;U44&amp;"\*"&amp;U44&amp;"*"&amp;TEXT(A44-utc_offset/24,"YYYYMMDD")&amp;LEFT(TEXT(A44-utc_offset/24,"HH"),1)&amp;"* | grep -SE ""((Enforcement Ac)|(PRM.+XING))"" -"</f>
        <v>grep -hSE -A400 "Enforcement Action" "%USERPROFILE%\AppData\Local\Temp\OnboardLogs"\RTDC4041\*4041*201704042*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4" s="153" t="str">
        <f>"start /low /b "&amp;dls3logs&amp;" --loco "&amp;U44&amp;" --day "&amp;TEXT(V44,"YYYY-MM-DD")</f>
        <v>start /low /b %USERPROFILE%\Documents\GitHub\eaglep3\Utilities\DownloadLogsFromS3.py --loco 4041 --day 2017-04-04</v>
      </c>
      <c r="AF44" s="1"/>
    </row>
    <row r="45" spans="1:32" x14ac:dyDescent="0.25">
      <c r="A45" s="32">
        <v>42829.663252314815</v>
      </c>
      <c r="B45" s="30" t="s">
        <v>495</v>
      </c>
      <c r="C45" s="30" t="s">
        <v>611</v>
      </c>
      <c r="D45" s="30" t="s">
        <v>49</v>
      </c>
      <c r="E45" s="30" t="s">
        <v>186</v>
      </c>
      <c r="F45" s="43">
        <v>0</v>
      </c>
      <c r="G45" s="43">
        <v>36</v>
      </c>
      <c r="H45" s="43">
        <v>682</v>
      </c>
      <c r="I45" s="43">
        <v>649</v>
      </c>
      <c r="J45" s="30" t="s">
        <v>187</v>
      </c>
      <c r="K45" s="43">
        <v>575</v>
      </c>
      <c r="L45" s="139" t="s">
        <v>51</v>
      </c>
      <c r="M45" s="140">
        <f>CONVERT((I45-K45)/10000,"mi","ft")*IF(L45="Increasing Mileposts (1)",-1,1)</f>
        <v>39.072000000000003</v>
      </c>
      <c r="N45" s="141" t="str">
        <f>VLOOKUP(C45,'Trips&amp;Operators'!$C$1:$G$99999,5,FALSE)</f>
        <v>LEVIN SCOTT</v>
      </c>
      <c r="O45" s="190" t="s">
        <v>185</v>
      </c>
      <c r="P45" s="142"/>
      <c r="Q45" s="30"/>
      <c r="R45" s="89" t="e">
        <f>IF(VLOOKUP(C45,'Train Runs'!$A$13:$AE$9936,1,1)=C45,VLOOKUP(C45,'Train Runs'!$A$13:$AE$9936,31,1),NA())</f>
        <v>#N/A</v>
      </c>
      <c r="S45" s="92" t="str">
        <f>VLOOKUP(C45,'Train Runs'!$A$13:$AE$9936,22,0)</f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94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/stypes="*4041*201704042*" /stext=" 21:.+((SYSTEM_STATE.+slice.+state.+changed )|(ment ac)|(multiple cpu faults)|(system.+state.+changed )|(\[timeout)|(PRM\|1\|D)|(kpr)|(kdp)|(\|lc)|(penalty))"</v>
      </c>
      <c r="U45" s="9" t="str">
        <f>MID(B45,13,4)</f>
        <v>4041</v>
      </c>
      <c r="V45" s="32">
        <f>A45-utc_offset/24</f>
        <v>42829.913252314815</v>
      </c>
      <c r="W45" s="46" t="str">
        <f>IFERROR(IF(VALUE(LEFT(IF(LEN(C45)=6,"0"&amp;C45,C45),2))&lt;=2,"EC",IF(OR(VALUE(LEFT(IF(LEN(C45)=6,"0"&amp;C45,C45),2))=8,VALUE(LEFT(IF(LEN(C45)=6,"0"&amp;C45,C45),2))=18),"NW","Other")),"Other")</f>
        <v>NW</v>
      </c>
      <c r="X45" s="46" t="str">
        <f>IF(AND(E45="TRACK WARRANT AUTHORITY",G45&lt;10),"OMIT","KEEP")</f>
        <v>KEEP</v>
      </c>
      <c r="Y45" s="104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>"grep -hSE -A400 ""Enforcement Action"" "&amp;search_path&amp;"\RTDC"&amp;U45&amp;"\*"&amp;U45&amp;"*"&amp;TEXT(A45-utc_offset/24,"YYYYMMDD")&amp;LEFT(TEXT(A45-utc_offset/24,"HH"),1)&amp;"* | grep -SE ""((Enforcement Ac)|(PRM.+XING))"" -"</f>
        <v>grep -hSE -A400 "Enforcement Action" "%USERPROFILE%\AppData\Local\Temp\OnboardLogs"\RTDC4041\*4041*201704042*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5" s="153" t="str">
        <f>"start /low /b "&amp;dls3logs&amp;" --loco "&amp;U45&amp;" --day "&amp;TEXT(V45,"YYYY-MM-DD")</f>
        <v>start /low /b %USERPROFILE%\Documents\GitHub\eaglep3\Utilities\DownloadLogsFromS3.py --loco 4041 --day 2017-04-04</v>
      </c>
      <c r="AF45" s="1"/>
    </row>
    <row r="46" spans="1:32" x14ac:dyDescent="0.25">
      <c r="A46" s="32">
        <v>42829.705081018517</v>
      </c>
      <c r="B46" s="30" t="s">
        <v>495</v>
      </c>
      <c r="C46" s="30" t="s">
        <v>613</v>
      </c>
      <c r="D46" s="30" t="s">
        <v>49</v>
      </c>
      <c r="E46" s="30" t="s">
        <v>186</v>
      </c>
      <c r="F46" s="43">
        <v>0</v>
      </c>
      <c r="G46" s="43">
        <v>25</v>
      </c>
      <c r="H46" s="43">
        <v>638</v>
      </c>
      <c r="I46" s="43">
        <v>619</v>
      </c>
      <c r="J46" s="30" t="s">
        <v>187</v>
      </c>
      <c r="K46" s="43">
        <v>575</v>
      </c>
      <c r="L46" s="139" t="s">
        <v>51</v>
      </c>
      <c r="M46" s="140">
        <f>CONVERT((I46-K46)/10000,"mi","ft")*IF(L46="Increasing Mileposts (1)",-1,1)</f>
        <v>23.231999999999999</v>
      </c>
      <c r="N46" s="141" t="str">
        <f>VLOOKUP(C46,'Trips&amp;Operators'!$C$1:$G$99999,5,FALSE)</f>
        <v>LEVIN SCOTT</v>
      </c>
      <c r="O46" s="190" t="s">
        <v>185</v>
      </c>
      <c r="P46" s="142"/>
      <c r="Q46" s="30"/>
      <c r="R46" s="89" t="e">
        <f>IF(VLOOKUP(C46,'Train Runs'!$A$13:$AE$9936,1,1)=C46,VLOOKUP(C46,'Train Runs'!$A$13:$AE$9936,31,1),NA())</f>
        <v>#N/A</v>
      </c>
      <c r="S46" s="92" t="str">
        <f>VLOOKUP(C46,'Train Runs'!$A$13:$AE$9936,22,0)</f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94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/stypes="*4041*201704042*" /stext=" 22:.+((SYSTEM_STATE.+slice.+state.+changed )|(ment ac)|(multiple cpu faults)|(system.+state.+changed )|(\[timeout)|(PRM\|1\|D)|(kpr)|(kdp)|(\|lc)|(penalty))"</v>
      </c>
      <c r="U46" s="9" t="str">
        <f>MID(B46,13,4)</f>
        <v>4041</v>
      </c>
      <c r="V46" s="32">
        <f>A46-utc_offset/24</f>
        <v>42829.955081018517</v>
      </c>
      <c r="W46" s="46" t="str">
        <f>IFERROR(IF(VALUE(LEFT(IF(LEN(C46)=6,"0"&amp;C46,C46),2))&lt;=2,"EC",IF(OR(VALUE(LEFT(IF(LEN(C46)=6,"0"&amp;C46,C46),2))=8,VALUE(LEFT(IF(LEN(C46)=6,"0"&amp;C46,C46),2))=18),"NW","Other")),"Other")</f>
        <v>NW</v>
      </c>
      <c r="X46" s="46" t="str">
        <f>IF(AND(E46="TRACK WARRANT AUTHORITY",G46&lt;10),"OMIT","KEEP")</f>
        <v>KEEP</v>
      </c>
      <c r="Y46" s="104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>"grep -hSE -A400 ""Enforcement Action"" "&amp;search_path&amp;"\RTDC"&amp;U46&amp;"\*"&amp;U46&amp;"*"&amp;TEXT(A46-utc_offset/24,"YYYYMMDD")&amp;LEFT(TEXT(A46-utc_offset/24,"HH"),1)&amp;"* | grep -SE ""((Enforcement Ac)|(PRM.+XING))"" -"</f>
        <v>grep -hSE -A400 "Enforcement Action" "%USERPROFILE%\AppData\Local\Temp\OnboardLogs"\RTDC4041\*4041*201704042*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6" s="153" t="str">
        <f>"start /low /b "&amp;dls3logs&amp;" --loco "&amp;U46&amp;" --day "&amp;TEXT(V46,"YYYY-MM-DD")</f>
        <v>start /low /b %USERPROFILE%\Documents\GitHub\eaglep3\Utilities\DownloadLogsFromS3.py --loco 4041 --day 2017-04-04</v>
      </c>
      <c r="AF46" s="1"/>
    </row>
    <row r="47" spans="1:32" x14ac:dyDescent="0.25">
      <c r="A47" s="32">
        <v>42829.871111111112</v>
      </c>
      <c r="B47" s="30" t="s">
        <v>495</v>
      </c>
      <c r="C47" s="30" t="s">
        <v>625</v>
      </c>
      <c r="D47" s="30" t="s">
        <v>49</v>
      </c>
      <c r="E47" s="30" t="s">
        <v>186</v>
      </c>
      <c r="F47" s="43">
        <v>0</v>
      </c>
      <c r="G47" s="43">
        <v>34</v>
      </c>
      <c r="H47" s="43">
        <v>689</v>
      </c>
      <c r="I47" s="43">
        <v>661</v>
      </c>
      <c r="J47" s="30" t="s">
        <v>187</v>
      </c>
      <c r="K47" s="43">
        <v>575</v>
      </c>
      <c r="L47" s="139" t="s">
        <v>51</v>
      </c>
      <c r="M47" s="140">
        <f>CONVERT((I47-K47)/10000,"mi","ft")*IF(L47="Increasing Mileposts (1)",-1,1)</f>
        <v>45.408000000000001</v>
      </c>
      <c r="N47" s="141" t="str">
        <f>VLOOKUP(C47,'Trips&amp;Operators'!$C$1:$G$99999,5,FALSE)</f>
        <v>LEVIN SCOTT</v>
      </c>
      <c r="O47" s="190" t="s">
        <v>185</v>
      </c>
      <c r="P47" s="142"/>
      <c r="Q47" s="30"/>
      <c r="R47" s="89" t="e">
        <f>IF(VLOOKUP(C47,'Train Runs'!$A$13:$AE$9936,1,1)=C47,VLOOKUP(C47,'Train Runs'!$A$13:$AE$9936,31,1),NA())</f>
        <v>#N/A</v>
      </c>
      <c r="S47" s="92" t="str">
        <f>VLOOKUP(C47,'Train Runs'!$A$13:$AE$9936,22,0)</f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7" s="94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/stypes="*4041*201704050*" /stext=" 02:.+((SYSTEM_STATE.+slice.+state.+changed )|(ment ac)|(multiple cpu faults)|(system.+state.+changed )|(\[timeout)|(PRM\|1\|D)|(kpr)|(kdp)|(\|lc)|(penalty))"</v>
      </c>
      <c r="U47" s="9" t="str">
        <f>MID(B47,13,4)</f>
        <v>4041</v>
      </c>
      <c r="V47" s="32">
        <f>A47-utc_offset/24</f>
        <v>42830.121111111112</v>
      </c>
      <c r="W47" s="46" t="str">
        <f>IFERROR(IF(VALUE(LEFT(IF(LEN(C47)=6,"0"&amp;C47,C47),2))&lt;=2,"EC",IF(OR(VALUE(LEFT(IF(LEN(C47)=6,"0"&amp;C47,C47),2))=8,VALUE(LEFT(IF(LEN(C47)=6,"0"&amp;C47,C47),2))=18),"NW","Other")),"Other")</f>
        <v>NW</v>
      </c>
      <c r="X47" s="46" t="str">
        <f>IF(AND(E47="TRACK WARRANT AUTHORITY",G47&lt;10),"OMIT","KEEP")</f>
        <v>KEEP</v>
      </c>
      <c r="Y47" s="104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>"grep -hSE -A400 ""Enforcement Action"" "&amp;search_path&amp;"\RTDC"&amp;U47&amp;"\*"&amp;U47&amp;"*"&amp;TEXT(A47-utc_offset/24,"YYYYMMDD")&amp;LEFT(TEXT(A47-utc_offset/24,"HH"),1)&amp;"* | grep -SE ""((Enforcement Ac)|(PRM.+XING))"" -"</f>
        <v>grep -hSE -A400 "Enforcement Action" "%USERPROFILE%\AppData\Local\Temp\OnboardLogs"\RTDC4041\*4041*201704050*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"%USERPROFILE%\AppData\Local\Temp\OnboardLogs"\RTDC4041\*4041*201704050* &gt;&gt; 2017-04-04-SliceDisagreementCheck.txt</v>
      </c>
      <c r="AE47" s="153" t="str">
        <f>"start /low /b "&amp;dls3logs&amp;" --loco "&amp;U47&amp;" --day "&amp;TEXT(V47,"YYYY-MM-DD")</f>
        <v>start /low /b %USERPROFILE%\Documents\GitHub\eaglep3\Utilities\DownloadLogsFromS3.py --loco 4041 --day 2017-04-05</v>
      </c>
      <c r="AF47" s="1"/>
    </row>
    <row r="48" spans="1:32" x14ac:dyDescent="0.25">
      <c r="A48" s="32">
        <v>42829.823009259257</v>
      </c>
      <c r="B48" s="30" t="s">
        <v>380</v>
      </c>
      <c r="C48" s="30" t="s">
        <v>622</v>
      </c>
      <c r="D48" s="30" t="s">
        <v>49</v>
      </c>
      <c r="E48" s="30" t="s">
        <v>193</v>
      </c>
      <c r="F48" s="43">
        <v>0</v>
      </c>
      <c r="G48" s="43">
        <v>298</v>
      </c>
      <c r="H48" s="43">
        <v>10462</v>
      </c>
      <c r="I48" s="43">
        <v>10962</v>
      </c>
      <c r="J48" s="30" t="s">
        <v>194</v>
      </c>
      <c r="K48" s="43">
        <v>10716</v>
      </c>
      <c r="L48" s="139" t="s">
        <v>50</v>
      </c>
      <c r="M48" s="140">
        <f>CONVERT((I48-K48)/10000,"mi","ft")*IF(L48="Increasing Mileposts (1)",-1,1)</f>
        <v>-129.88800000000001</v>
      </c>
      <c r="N48" s="141" t="str">
        <f>VLOOKUP(C48,'Trips&amp;Operators'!$C$1:$G$99999,5,FALSE)</f>
        <v>STRICKLAND EVAN</v>
      </c>
      <c r="O48" s="190" t="s">
        <v>185</v>
      </c>
      <c r="P48" s="142"/>
      <c r="Q48" s="30"/>
      <c r="R48" s="89" t="e">
        <f>IF(VLOOKUP(C48,'Train Runs'!$A$13:$AE$9936,1,1)=C48,VLOOKUP(C48,'Train Runs'!$A$13:$AE$9936,31,1),NA())</f>
        <v>#N/A</v>
      </c>
      <c r="S48" s="92" t="str">
        <f>VLOOKUP(C48,'Train Runs'!$A$13:$AE$9936,22,0)</f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94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/stypes="*4032*201704050*" /stext=" 01:.+((SYSTEM_STATE.+slice.+state.+changed )|(ment ac)|(multiple cpu faults)|(system.+state.+changed )|(\[timeout)|(PRM\|1\|D)|(kpr)|(kdp)|(\|lc)|(penalty))"</v>
      </c>
      <c r="U48" s="9" t="str">
        <f>MID(B48,13,4)</f>
        <v>4032</v>
      </c>
      <c r="V48" s="32">
        <f>A48-utc_offset/24</f>
        <v>42830.073009259257</v>
      </c>
      <c r="W48" s="46" t="str">
        <f>IFERROR(IF(VALUE(LEFT(IF(LEN(C48)=6,"0"&amp;C48,C48),2))&lt;=2,"EC",IF(OR(VALUE(LEFT(IF(LEN(C48)=6,"0"&amp;C48,C48),2))=8,VALUE(LEFT(IF(LEN(C48)=6,"0"&amp;C48,C48),2))=18),"NW","Other")),"Other")</f>
        <v>Other</v>
      </c>
      <c r="X48" s="46" t="str">
        <f>IF(AND(E48="TRACK WARRANT AUTHORITY",G48&lt;10),"OMIT","KEEP")</f>
        <v>KEEP</v>
      </c>
      <c r="Y48" s="104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{"issue":{"subject":"","project_id":79,"tracker_id":40,"status_id":1,"priority_id":2,"assigned_to_id":23,"start_date":"2017-04-04","description":"","custom_fields":[{"id":1,"name":"Subdivision","value":"Other"},{"id":4,"name":"Milepost","value":"1.0716"},{"id":17,"name":"Train ID","value":"307-04"},{"id":16,"name":"Locomotive ID","value":"4032"},{"id":130,"name":"Impact","value":""},{"id":150,"name":"Time of Event (Mountain Time)","value":"19:45:08"},{"id":151,"name":"Denver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>"grep -hSE -A400 ""Enforcement Action"" "&amp;search_path&amp;"\RTDC"&amp;U48&amp;"\*"&amp;U48&amp;"*"&amp;TEXT(A48-utc_offset/24,"YYYYMMDD")&amp;LEFT(TEXT(A48-utc_offset/24,"HH"),1)&amp;"* | grep -SE ""((Enforcement Ac)|(PRM.+XING))"" -"</f>
        <v>grep -hSE -A400 "Enforcement Action" "%USERPROFILE%\AppData\Local\Temp\OnboardLogs"\RTDC4032\*4032*201704050*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"%USERPROFILE%\AppData\Local\Temp\OnboardLogs"\RTDC4032\*4032*201704050* &gt;&gt; 2017-04-04-SliceDisagreementCheck.txt</v>
      </c>
      <c r="AE48" s="153" t="str">
        <f>"start /low /b "&amp;dls3logs&amp;" --loco "&amp;U48&amp;" --day "&amp;TEXT(V48,"YYYY-MM-DD")</f>
        <v>start /low /b %USERPROFILE%\Documents\GitHub\eaglep3\Utilities\DownloadLogsFromS3.py --loco 4032 --day 2017-04-05</v>
      </c>
      <c r="AF48" s="1"/>
    </row>
    <row r="49" spans="1:32" x14ac:dyDescent="0.25">
      <c r="A49" s="32">
        <v>42829.799305555556</v>
      </c>
      <c r="B49" s="30" t="s">
        <v>470</v>
      </c>
      <c r="C49" s="30" t="s">
        <v>620</v>
      </c>
      <c r="D49" s="30" t="s">
        <v>98</v>
      </c>
      <c r="E49" s="30" t="s">
        <v>215</v>
      </c>
      <c r="F49" s="43">
        <v>200</v>
      </c>
      <c r="G49" s="43">
        <v>258</v>
      </c>
      <c r="H49" s="43">
        <v>6127</v>
      </c>
      <c r="I49" s="43">
        <v>6863</v>
      </c>
      <c r="J49" s="30" t="s">
        <v>216</v>
      </c>
      <c r="K49" s="43">
        <v>4790</v>
      </c>
      <c r="L49" s="139" t="s">
        <v>50</v>
      </c>
      <c r="M49" s="140">
        <f>CONVERT((I49-K49)/10000,"mi","ft")*IF(L49="Increasing Mileposts (1)",-1,1)</f>
        <v>-1094.5440000000001</v>
      </c>
      <c r="N49" s="141" t="str">
        <f>VLOOKUP(C49,'Trips&amp;Operators'!$C$1:$G$99999,5,FALSE)</f>
        <v>LOCKLEAR TRAVIS</v>
      </c>
      <c r="O49" s="190" t="s">
        <v>185</v>
      </c>
      <c r="P49" s="142"/>
      <c r="Q49" s="30"/>
      <c r="R49" s="89" t="e">
        <f>IF(VLOOKUP(C49,'Train Runs'!$A$13:$AE$9936,1,1)=C49,VLOOKUP(C49,'Train Runs'!$A$13:$AE$9936,31,1),NA())</f>
        <v>#N/A</v>
      </c>
      <c r="S49" s="92" t="str">
        <f>VLOOKUP(C49,'Train Runs'!$A$13:$AE$9936,22,0)</f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9" s="94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/stypes="*4054*201704050*" /stext=" 01:.+((SYSTEM_STATE.+slice.+state.+changed )|(ment ac)|(multiple cpu faults)|(system.+state.+changed )|(\[timeout)|(PRM\|1\|D)|(kpr)|(kdp)|(\|lc)|(penalty))"</v>
      </c>
      <c r="U49" s="9" t="str">
        <f>MID(B49,13,4)</f>
        <v>4054</v>
      </c>
      <c r="V49" s="32">
        <f>A49-utc_offset/24</f>
        <v>42830.049305555556</v>
      </c>
      <c r="W49" s="46" t="str">
        <f>IFERROR(IF(VALUE(LEFT(IF(LEN(C49)=6,"0"&amp;C49,C49),2))&lt;=2,"EC",IF(OR(VALUE(LEFT(IF(LEN(C49)=6,"0"&amp;C49,C49),2))=8,VALUE(LEFT(IF(LEN(C49)=6,"0"&amp;C49,C49),2))=18),"NW","Other")),"Other")</f>
        <v>Other</v>
      </c>
      <c r="X49" s="46" t="str">
        <f>IF(AND(E49="TRACK WARRANT AUTHORITY",G49&lt;10),"OMIT","KEEP")</f>
        <v>KEEP</v>
      </c>
      <c r="Y49" s="104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ID","value":"305-04"},{"id":16,"name":"Locomotive ID","value":"4054"},{"id":130,"name":"Impact","value":""},{"id":150,"name":"Time of Event (Mountain Time)","value":"19:11:00"},{"id":151,"name":"Denver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>"grep -hSE -A400 ""Enforcement Action"" "&amp;search_path&amp;"\RTDC"&amp;U49&amp;"\*"&amp;U49&amp;"*"&amp;TEXT(A49-utc_offset/24,"YYYYMMDD")&amp;LEFT(TEXT(A49-utc_offset/24,"HH"),1)&amp;"* | grep -SE ""((Enforcement Ac)|(PRM.+XING))"" -"</f>
        <v>grep -hSE -A400 "Enforcement Action" "%USERPROFILE%\AppData\Local\Temp\OnboardLogs"\RTDC4054\*4054*201704050*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"%USERPROFILE%\AppData\Local\Temp\OnboardLogs"\RTDC4054\*4054*201704050* &gt;&gt; 2017-04-04-SliceDisagreementCheck.txt</v>
      </c>
      <c r="AE49" s="153" t="str">
        <f>"start /low /b "&amp;dls3logs&amp;" --loco "&amp;U49&amp;" --day "&amp;TEXT(V49,"YYYY-MM-DD")</f>
        <v>start /low /b %USERPROFILE%\Documents\GitHub\eaglep3\Utilities\DownloadLogsFromS3.py --loco 4054 --day 2017-04-05</v>
      </c>
      <c r="AF49" s="1"/>
    </row>
    <row r="50" spans="1:32" x14ac:dyDescent="0.25">
      <c r="A50" s="32">
        <v>42829.173993055556</v>
      </c>
      <c r="B50" s="30" t="s">
        <v>455</v>
      </c>
      <c r="C50" s="30" t="s">
        <v>584</v>
      </c>
      <c r="D50" s="30" t="s">
        <v>49</v>
      </c>
      <c r="E50" s="30" t="s">
        <v>499</v>
      </c>
      <c r="F50" s="43">
        <v>0</v>
      </c>
      <c r="G50" s="43">
        <v>96</v>
      </c>
      <c r="H50" s="43">
        <v>4801</v>
      </c>
      <c r="I50" s="43">
        <v>4548</v>
      </c>
      <c r="J50" s="30" t="s">
        <v>500</v>
      </c>
      <c r="K50" s="43">
        <v>4790</v>
      </c>
      <c r="L50" s="139" t="s">
        <v>51</v>
      </c>
      <c r="M50" s="140">
        <f>CONVERT((I50-K50)/10000,"mi","ft")*IF(L50="Increasing Mileposts (1)",-1,1)</f>
        <v>-127.776</v>
      </c>
      <c r="N50" s="141" t="str">
        <f>VLOOKUP(C50,'Trips&amp;Operators'!$C$1:$G$99999,5,FALSE)</f>
        <v>STARKS ANGELINA</v>
      </c>
      <c r="O50" s="190" t="s">
        <v>185</v>
      </c>
      <c r="P50" s="142"/>
      <c r="Q50" s="30"/>
      <c r="R50" s="89" t="e">
        <f>IF(VLOOKUP(C50,'Train Runs'!$A$13:$AE$9936,1,1)=C50,VLOOKUP(C50,'Train Runs'!$A$13:$AE$9936,31,1),NA())</f>
        <v>#N/A</v>
      </c>
      <c r="S50" s="92" t="str">
        <f>VLOOKUP(C50,'Train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0" s="94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0" s="9" t="str">
        <f>MID(B50,13,4)</f>
        <v>4009</v>
      </c>
      <c r="V50" s="32">
        <f>A50-utc_offset/24</f>
        <v>42829.423993055556</v>
      </c>
      <c r="W50" s="46" t="str">
        <f>IFERROR(IF(VALUE(LEFT(IF(LEN(C50)=6,"0"&amp;C50,C50),2))&lt;=2,"EC",IF(OR(VALUE(LEFT(IF(LEN(C50)=6,"0"&amp;C50,C50),2))=8,VALUE(LEFT(IF(LEN(C50)=6,"0"&amp;C50,C50),2))=18),"NW","Other")),"Other")</f>
        <v>Other</v>
      </c>
      <c r="X50" s="46" t="str">
        <f>IF(AND(E50="TRACK WARRANT AUTHORITY",G50&lt;10),"OMIT","KEEP")</f>
        <v>KEEP</v>
      </c>
      <c r="Y50" s="104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>"grep -hSE -A400 ""Enforcement Action"" "&amp;search_path&amp;"\RTDC"&amp;U50&amp;"\*"&amp;U50&amp;"*"&amp;TEXT(A50-utc_offset/24,"YYYYMMDD")&amp;LEFT(TEXT(A50-utc_offset/24,"HH"),1)&amp;"* | grep -SE ""((Enforcement Ac)|(PRM.+XING))"" -"</f>
        <v>grep -hSE -A400 "Enforcement Action" "%USERPROFILE%\AppData\Local\Temp\OnboardLogs"\RTDC4009\*4009*201704041*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0" s="153" t="str">
        <f>"start /low /b "&amp;dls3logs&amp;" --loco "&amp;U50&amp;" --day "&amp;TEXT(V50,"YYYY-MM-DD")</f>
        <v>start /low /b %USERPROFILE%\Documents\GitHub\eaglep3\Utilities\DownloadLogsFromS3.py --loco 4009 --day 2017-04-04</v>
      </c>
      <c r="AF50" s="1"/>
    </row>
    <row r="51" spans="1:32" x14ac:dyDescent="0.25">
      <c r="A51" s="32">
        <v>42829.174386574072</v>
      </c>
      <c r="B51" s="30" t="s">
        <v>455</v>
      </c>
      <c r="C51" s="30" t="s">
        <v>584</v>
      </c>
      <c r="D51" s="30" t="s">
        <v>98</v>
      </c>
      <c r="E51" s="30" t="s">
        <v>499</v>
      </c>
      <c r="F51" s="43">
        <v>0</v>
      </c>
      <c r="G51" s="43">
        <v>7</v>
      </c>
      <c r="H51" s="43">
        <v>4530</v>
      </c>
      <c r="I51" s="43">
        <v>4490</v>
      </c>
      <c r="J51" s="30" t="s">
        <v>500</v>
      </c>
      <c r="K51" s="43">
        <v>4790</v>
      </c>
      <c r="L51" s="139" t="s">
        <v>51</v>
      </c>
      <c r="M51" s="140">
        <f>CONVERT((I51-K51)/10000,"mi","ft")*IF(L51="Increasing Mileposts (1)",-1,1)</f>
        <v>-158.4</v>
      </c>
      <c r="N51" s="141" t="str">
        <f>VLOOKUP(C51,'Trips&amp;Operators'!$C$1:$G$99999,5,FALSE)</f>
        <v>STARKS ANGELINA</v>
      </c>
      <c r="O51" s="190" t="s">
        <v>185</v>
      </c>
      <c r="P51" s="142"/>
      <c r="Q51" s="30"/>
      <c r="R51" s="89" t="e">
        <f>IF(VLOOKUP(C51,'Train Runs'!$A$13:$AE$9936,1,1)=C51,VLOOKUP(C51,'Train Runs'!$A$13:$AE$9936,31,1),NA())</f>
        <v>#N/A</v>
      </c>
      <c r="S51" s="92" t="str">
        <f>VLOOKUP(C51,'Train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94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1" s="9" t="str">
        <f>MID(B51,13,4)</f>
        <v>4009</v>
      </c>
      <c r="V51" s="32">
        <f>A51-utc_offset/24</f>
        <v>42829.424386574072</v>
      </c>
      <c r="W51" s="46" t="str">
        <f>IFERROR(IF(VALUE(LEFT(IF(LEN(C51)=6,"0"&amp;C51,C51),2))&lt;=2,"EC",IF(OR(VALUE(LEFT(IF(LEN(C51)=6,"0"&amp;C51,C51),2))=8,VALUE(LEFT(IF(LEN(C51)=6,"0"&amp;C51,C51),2))=18),"NW","Other")),"Other")</f>
        <v>Other</v>
      </c>
      <c r="X51" s="46" t="str">
        <f>IF(AND(E51="TRACK WARRANT AUTHORITY",G51&lt;10),"OMIT","KEEP")</f>
        <v>KEEP</v>
      </c>
      <c r="Y51" s="104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>"grep -hSE -A400 ""Enforcement Action"" "&amp;search_path&amp;"\RTDC"&amp;U51&amp;"\*"&amp;U51&amp;"*"&amp;TEXT(A51-utc_offset/24,"YYYYMMDD")&amp;LEFT(TEXT(A51-utc_offset/24,"HH"),1)&amp;"* | grep -SE ""((Enforcement Ac)|(PRM.+XING))"" -"</f>
        <v>grep -hSE -A400 "Enforcement Action" "%USERPROFILE%\AppData\Local\Temp\OnboardLogs"\RTDC4009\*4009*201704041*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1" s="153" t="str">
        <f>"start /low /b "&amp;dls3logs&amp;" --loco "&amp;U51&amp;" --day "&amp;TEXT(V51,"YYYY-MM-DD")</f>
        <v>start /low /b %USERPROFILE%\Documents\GitHub\eaglep3\Utilities\DownloadLogsFromS3.py --loco 4009 --day 2017-04-04</v>
      </c>
      <c r="AF51" s="1"/>
    </row>
    <row r="52" spans="1:32" x14ac:dyDescent="0.25">
      <c r="A52" s="32">
        <v>42829.441319444442</v>
      </c>
      <c r="B52" s="30" t="s">
        <v>603</v>
      </c>
      <c r="C52" s="30" t="s">
        <v>604</v>
      </c>
      <c r="D52" s="30" t="s">
        <v>49</v>
      </c>
      <c r="E52" s="30" t="s">
        <v>186</v>
      </c>
      <c r="F52" s="43">
        <v>0</v>
      </c>
      <c r="G52" s="43">
        <v>27</v>
      </c>
      <c r="H52" s="43">
        <v>908</v>
      </c>
      <c r="I52" s="43">
        <v>887</v>
      </c>
      <c r="J52" s="30" t="s">
        <v>187</v>
      </c>
      <c r="K52" s="43">
        <v>826</v>
      </c>
      <c r="L52" s="139" t="s">
        <v>51</v>
      </c>
      <c r="M52" s="140">
        <f>CONVERT((I52-K52)/10000,"mi","ft")*IF(L52="Increasing Mileposts (1)",-1,1)</f>
        <v>32.207999999999998</v>
      </c>
      <c r="N52" s="141" t="str">
        <f>VLOOKUP(C52,'Trips&amp;Operators'!$C$1:$G$99999,5,FALSE)</f>
        <v>DE LA ROSA ALEX</v>
      </c>
      <c r="O52" s="190" t="s">
        <v>185</v>
      </c>
      <c r="P52" s="142"/>
      <c r="Q52" s="30"/>
      <c r="R52" s="89" t="e">
        <f>IF(VLOOKUP(C52,'Train Runs'!$A$13:$AE$9936,1,1)=C52,VLOOKUP(C52,'Train Runs'!$A$13:$AE$9936,31,1),NA())</f>
        <v>#N/A</v>
      </c>
      <c r="S52" s="92" t="str">
        <f>VLOOKUP(C52,'Train Runs'!$A$13:$AE$9936,22,0)</f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2" s="94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/stypes="*4019*201704041*" /stext=" 16:.+((SYSTEM_STATE.+slice.+state.+changed )|(ment ac)|(multiple cpu faults)|(system.+state.+changed )|(\[timeout)|(PRM\|1\|D)|(kpr)|(kdp)|(\|lc)|(penalty))"</v>
      </c>
      <c r="U52" s="9" t="str">
        <f>MID(B52,13,4)</f>
        <v>4019</v>
      </c>
      <c r="V52" s="32">
        <f>A52-utc_offset/24</f>
        <v>42829.691319444442</v>
      </c>
      <c r="W52" s="46" t="str">
        <f>IFERROR(IF(VALUE(LEFT(IF(LEN(C52)=6,"0"&amp;C52,C52),2))&lt;=2,"EC",IF(OR(VALUE(LEFT(IF(LEN(C52)=6,"0"&amp;C52,C52),2))=8,VALUE(LEFT(IF(LEN(C52)=6,"0"&amp;C52,C52),2))=18),"NW","Other")),"Other")</f>
        <v>Other</v>
      </c>
      <c r="X52" s="46" t="str">
        <f>IF(AND(E52="TRACK WARRANT AUTHORITY",G52&lt;10),"OMIT","KEEP")</f>
        <v>KEEP</v>
      </c>
      <c r="Y52" s="104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{"issue":{"subject":"","project_id":79,"tracker_id":40,"status_id":1,"priority_id":2,"assigned_to_id":23,"start_date":"2017-04-04","description":"","custom_fields":[{"id":1,"name":"Subdivision","value":"Other"},{"id":4,"name":"Milepost","value":"0.0826"},{"id":17,"name":"Train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>"grep -hSE -A400 ""Enforcement Action"" "&amp;search_path&amp;"\RTDC"&amp;U52&amp;"\*"&amp;U52&amp;"*"&amp;TEXT(A52-utc_offset/24,"YYYYMMDD")&amp;LEFT(TEXT(A52-utc_offset/24,"HH"),1)&amp;"* | grep -SE ""((Enforcement Ac)|(PRM.+XING))"" -"</f>
        <v>grep -hSE -A400 "Enforcement Action" "%USERPROFILE%\AppData\Local\Temp\OnboardLogs"\RTDC4019\*4019*201704041*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"%USERPROFILE%\AppData\Local\Temp\OnboardLogs"\RTDC4019\*4019*201704041* &gt;&gt; 2017-04-04-SliceDisagreementCheck.txt</v>
      </c>
      <c r="AE52" s="153" t="str">
        <f>"start /low /b "&amp;dls3logs&amp;" --loco "&amp;U52&amp;" --day "&amp;TEXT(V52,"YYYY-MM-DD")</f>
        <v>start /low /b %USERPROFILE%\Documents\GitHub\eaglep3\Utilities\DownloadLogsFromS3.py --loco 4019 --day 2017-04-04</v>
      </c>
      <c r="AF52" s="1"/>
    </row>
    <row r="53" spans="1:32" x14ac:dyDescent="0.25">
      <c r="A53" s="32">
        <v>42830.009155092594</v>
      </c>
      <c r="B53" s="30" t="s">
        <v>385</v>
      </c>
      <c r="C53" s="30" t="s">
        <v>628</v>
      </c>
      <c r="D53" s="30" t="s">
        <v>49</v>
      </c>
      <c r="E53" s="30" t="s">
        <v>186</v>
      </c>
      <c r="F53" s="43">
        <v>0</v>
      </c>
      <c r="G53" s="43">
        <v>23</v>
      </c>
      <c r="H53" s="43">
        <v>233397</v>
      </c>
      <c r="I53" s="43">
        <v>233405</v>
      </c>
      <c r="J53" s="30" t="s">
        <v>187</v>
      </c>
      <c r="K53" s="43">
        <v>233491</v>
      </c>
      <c r="L53" s="139" t="s">
        <v>50</v>
      </c>
      <c r="M53" s="140">
        <f>CONVERT((I53-K53)/10000,"mi","ft")*IF(L53="Increasing Mileposts (1)",-1,1)</f>
        <v>45.408000000000001</v>
      </c>
      <c r="N53" s="141" t="str">
        <f>VLOOKUP(C53,'Trips&amp;Operators'!$C$1:$G$99999,5,FALSE)</f>
        <v>DUNCAN SHEILA</v>
      </c>
      <c r="O53" s="190" t="s">
        <v>185</v>
      </c>
      <c r="P53" s="142"/>
      <c r="Q53" s="30"/>
      <c r="R53" s="89" t="str">
        <f>IF(VLOOKUP(C53,'Train Runs'!$A$13:$AE$9936,1,1)=C53,VLOOKUP(C53,'Train Runs'!$A$13:$AE$9936,31,1),NA())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S53" s="92" t="str">
        <f>VLOOKUP(C53,'Train Runs'!$A$13:$AE$9936,22,0)</f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3" s="94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/stypes="*4022*201704050*" /stext=" 06:.+((SYSTEM_STATE.+slice.+state.+changed )|(ment ac)|(multiple cpu faults)|(system.+state.+changed )|(\[timeout)|(PRM\|1\|D)|(kpr)|(kdp)|(\|lc)|(penalty))"</v>
      </c>
      <c r="U53" s="9" t="str">
        <f>MID(B53,13,4)</f>
        <v>4022</v>
      </c>
      <c r="V53" s="32">
        <f>A53-utc_offset/24</f>
        <v>42830.259155092594</v>
      </c>
      <c r="W53" s="46" t="str">
        <f>IFERROR(IF(VALUE(LEFT(IF(LEN(C53)=6,"0"&amp;C53,C53),2))&lt;=2,"EC",IF(OR(VALUE(LEFT(IF(LEN(C53)=6,"0"&amp;C53,C53),2))=8,VALUE(LEFT(IF(LEN(C53)=6,"0"&amp;C53,C53),2))=18),"NW","Other")),"Other")</f>
        <v>Other</v>
      </c>
      <c r="X53" s="46" t="str">
        <f>IF(AND(E53="TRACK WARRANT AUTHORITY",G53&lt;10),"OMIT","KEEP")</f>
        <v>KEEP</v>
      </c>
      <c r="Y53" s="104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{"issue":{"subject":"","project_id":79,"tracker_id":40,"status_id":1,"priority_id":2,"assigned_to_id":23,"start_date":"2017-04-05","description":"","custom_fields":[{"id":1,"name":"Subdivision","value":"Other"},{"id":4,"name":"Milepost","value":"23.3491"},{"id":17,"name":"Train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>"grep -hSE -A400 ""Enforcement Action"" "&amp;search_path&amp;"\RTDC"&amp;U53&amp;"\*"&amp;U53&amp;"*"&amp;TEXT(A53-utc_offset/24,"YYYYMMDD")&amp;LEFT(TEXT(A53-utc_offset/24,"HH"),1)&amp;"* | grep -SE ""((Enforcement Ac)|(PRM.+XING))"" -"</f>
        <v>grep -hSE -A400 "Enforcement Action" "%USERPROFILE%\AppData\Local\Temp\OnboardLogs"\RTDC4022\*4022*201704050*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"%USERPROFILE%\AppData\Local\Temp\OnboardLogs"\RTDC4022\*4022*201704050* &gt;&gt; 2017-04-04-SliceDisagreementCheck.txt</v>
      </c>
      <c r="AE53" s="153" t="str">
        <f>"start /low /b "&amp;dls3logs&amp;" --loco "&amp;U53&amp;" --day "&amp;TEXT(V53,"YYYY-MM-DD")</f>
        <v>start /low /b %USERPROFILE%\Documents\GitHub\eaglep3\Utilities\DownloadLogsFromS3.py --loco 4022 --day 2017-04-05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3" sqref="E3: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2017-04-04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-04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Runs'!$A$13:$A$99933,1,FALSE)</f>
        <v>#N/A</v>
      </c>
    </row>
    <row r="4" spans="1:10" x14ac:dyDescent="0.25">
      <c r="A4" s="181"/>
      <c r="B4" s="43" t="str">
        <f>A4&amp;"-"&amp;IF(DAY(Variables!$A$2)&lt;10,0,"")&amp;DAY(Variables!$A$2)</f>
        <v>-04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Runs'!$A$13:$A$99933,1,FALSE)</f>
        <v>#N/A</v>
      </c>
    </row>
    <row r="5" spans="1:10" x14ac:dyDescent="0.25">
      <c r="A5" s="181"/>
      <c r="B5" s="43" t="str">
        <f>A5&amp;"-"&amp;IF(DAY(Variables!$A$2)&lt;10,0,"")&amp;DAY(Variables!$A$2)</f>
        <v>-04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Runs'!$A$13:$A$99933,1,FALSE)</f>
        <v>#N/A</v>
      </c>
    </row>
    <row r="6" spans="1:10" x14ac:dyDescent="0.25">
      <c r="A6" s="181"/>
      <c r="B6" s="43" t="str">
        <f>A6&amp;"-"&amp;IF(DAY(Variables!$A$2)&lt;10,0,"")&amp;DAY(Variables!$A$2)</f>
        <v>-04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Runs'!$A$13:$A$99933,1,FALSE)</f>
        <v>#N/A</v>
      </c>
    </row>
    <row r="7" spans="1:10" x14ac:dyDescent="0.25">
      <c r="A7" s="181"/>
      <c r="B7" s="43" t="str">
        <f>A7&amp;"-"&amp;IF(DAY(Variables!$A$2)&lt;10,0,"")&amp;DAY(Variables!$A$2)</f>
        <v>-04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Runs'!$A$13:$A$99933,1,FALSE)</f>
        <v>#N/A</v>
      </c>
    </row>
    <row r="8" spans="1:10" x14ac:dyDescent="0.25">
      <c r="A8" s="181"/>
      <c r="B8" s="43" t="str">
        <f>A8&amp;"-"&amp;IF(DAY(Variables!$A$2)&lt;10,0,"")&amp;DAY(Variables!$A$2)</f>
        <v>-04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Runs'!$A$13:$A$99933,1,FALSE)</f>
        <v>#N/A</v>
      </c>
    </row>
    <row r="9" spans="1:10" x14ac:dyDescent="0.25">
      <c r="A9" s="181"/>
      <c r="B9" s="43" t="str">
        <f>A9&amp;"-"&amp;IF(DAY(Variables!$A$2)&lt;10,0,"")&amp;DAY(Variables!$A$2)</f>
        <v>-04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Runs'!$A$13:$A$99933,1,FALSE)</f>
        <v>#N/A</v>
      </c>
    </row>
    <row r="10" spans="1:10" x14ac:dyDescent="0.25">
      <c r="A10" s="181"/>
      <c r="B10" s="43" t="str">
        <f>A10&amp;"-"&amp;IF(DAY(Variables!$A$2)&lt;10,0,"")&amp;DAY(Variables!$A$2)</f>
        <v>-04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Runs'!$A$13:$A$99933,1,FALSE)</f>
        <v>#N/A</v>
      </c>
    </row>
    <row r="11" spans="1:10" x14ac:dyDescent="0.25">
      <c r="A11" s="181"/>
      <c r="B11" s="43" t="str">
        <f>A11&amp;"-"&amp;IF(DAY(Variables!$A$2)&lt;10,0,"")&amp;DAY(Variables!$A$2)</f>
        <v>-04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Runs'!$A$13:$A$99933,1,FALSE)</f>
        <v>#N/A</v>
      </c>
    </row>
    <row r="12" spans="1:10" x14ac:dyDescent="0.25">
      <c r="A12" s="181"/>
      <c r="B12" s="43" t="str">
        <f>A12&amp;"-"&amp;IF(DAY(Variables!$A$2)&lt;10,0,"")&amp;DAY(Variables!$A$2)</f>
        <v>-04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Runs'!$A$13:$A$99933,1,FALSE)</f>
        <v>#N/A</v>
      </c>
    </row>
    <row r="13" spans="1:10" x14ac:dyDescent="0.25">
      <c r="A13" s="181"/>
      <c r="B13" s="43" t="str">
        <f>A13&amp;"-"&amp;IF(DAY(Variables!$A$2)&lt;10,0,"")&amp;DAY(Variables!$A$2)</f>
        <v>-04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Runs'!$A$13:$A$99933,1,FALSE)</f>
        <v>#N/A</v>
      </c>
    </row>
    <row r="14" spans="1:10" x14ac:dyDescent="0.25">
      <c r="A14" s="181"/>
      <c r="B14" s="43" t="str">
        <f>A14&amp;"-"&amp;IF(DAY(Variables!$A$2)&lt;10,0,"")&amp;DAY(Variables!$A$2)</f>
        <v>-04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Runs'!$A$13:$A$99933,1,FALSE)</f>
        <v>#N/A</v>
      </c>
    </row>
    <row r="15" spans="1:10" x14ac:dyDescent="0.25">
      <c r="A15" s="181"/>
      <c r="B15" s="43" t="str">
        <f>A15&amp;"-"&amp;IF(DAY(Variables!$A$2)&lt;10,0,"")&amp;DAY(Variables!$A$2)</f>
        <v>-04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Runs'!$A$13:$A$99933,1,FALSE)</f>
        <v>#N/A</v>
      </c>
    </row>
    <row r="16" spans="1:10" x14ac:dyDescent="0.25">
      <c r="A16" s="181"/>
      <c r="B16" s="43" t="str">
        <f>A16&amp;"-"&amp;IF(DAY(Variables!$A$2)&lt;10,0,"")&amp;DAY(Variables!$A$2)</f>
        <v>-04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Runs'!$A$13:$A$99933,1,FALSE)</f>
        <v>#N/A</v>
      </c>
    </row>
    <row r="17" spans="1:10" x14ac:dyDescent="0.25">
      <c r="A17" s="181"/>
      <c r="B17" s="43" t="str">
        <f>A17&amp;"-"&amp;IF(DAY(Variables!$A$2)&lt;10,0,"")&amp;DAY(Variables!$A$2)</f>
        <v>-04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Runs'!$A$13:$A$99933,1,FALSE)</f>
        <v>#N/A</v>
      </c>
    </row>
    <row r="18" spans="1:10" x14ac:dyDescent="0.25">
      <c r="A18" s="181"/>
      <c r="B18" s="43" t="str">
        <f>A18&amp;"-"&amp;IF(DAY(Variables!$A$2)&lt;10,0,"")&amp;DAY(Variables!$A$2)</f>
        <v>-04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Runs'!$A$13:$A$99933,1,FALSE)</f>
        <v>#N/A</v>
      </c>
    </row>
    <row r="19" spans="1:10" x14ac:dyDescent="0.25">
      <c r="A19" s="181"/>
      <c r="B19" s="43" t="str">
        <f>A19&amp;"-"&amp;IF(DAY(Variables!$A$2)&lt;10,0,"")&amp;DAY(Variables!$A$2)</f>
        <v>-04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Runs'!$A$13:$A$99933,1,FALSE)</f>
        <v>#N/A</v>
      </c>
    </row>
    <row r="20" spans="1:10" x14ac:dyDescent="0.25">
      <c r="A20" s="181"/>
      <c r="B20" s="43" t="str">
        <f>A20&amp;"-"&amp;IF(DAY(Variables!$A$2)&lt;10,0,"")&amp;DAY(Variables!$A$2)</f>
        <v>-04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Runs'!$A$13:$A$99933,1,FALSE)</f>
        <v>#N/A</v>
      </c>
    </row>
    <row r="21" spans="1:10" x14ac:dyDescent="0.25">
      <c r="A21" s="181"/>
      <c r="B21" s="43" t="str">
        <f>A21&amp;"-"&amp;IF(DAY(Variables!$A$2)&lt;10,0,"")&amp;DAY(Variables!$A$2)</f>
        <v>-04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Runs'!$A$13:$A$99933,1,FALSE)</f>
        <v>#N/A</v>
      </c>
    </row>
    <row r="22" spans="1:10" x14ac:dyDescent="0.25">
      <c r="A22" s="181"/>
      <c r="B22" s="43" t="str">
        <f>A22&amp;"-"&amp;IF(DAY(Variables!$A$2)&lt;10,0,"")&amp;DAY(Variables!$A$2)</f>
        <v>-04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Runs'!$A$13:$A$99933,1,FALSE)</f>
        <v>#N/A</v>
      </c>
    </row>
    <row r="23" spans="1:10" x14ac:dyDescent="0.25">
      <c r="A23" s="181"/>
      <c r="B23" s="43" t="str">
        <f>A23&amp;"-"&amp;IF(DAY(Variables!$A$2)&lt;10,0,"")&amp;DAY(Variables!$A$2)</f>
        <v>-04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Runs'!$A$13:$A$99933,1,FALSE)</f>
        <v>#N/A</v>
      </c>
    </row>
    <row r="24" spans="1:10" x14ac:dyDescent="0.25">
      <c r="A24" s="181"/>
      <c r="B24" s="43" t="str">
        <f>A24&amp;"-"&amp;IF(DAY(Variables!$A$2)&lt;10,0,"")&amp;DAY(Variables!$A$2)</f>
        <v>-04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Runs'!$A$13:$A$99933,1,FALSE)</f>
        <v>#N/A</v>
      </c>
    </row>
    <row r="25" spans="1:10" x14ac:dyDescent="0.25">
      <c r="A25" s="181"/>
      <c r="B25" s="43" t="str">
        <f>A25&amp;"-"&amp;IF(DAY(Variables!$A$2)&lt;10,0,"")&amp;DAY(Variables!$A$2)</f>
        <v>-04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Runs'!$A$13:$A$99933,1,FALSE)</f>
        <v>#N/A</v>
      </c>
    </row>
    <row r="26" spans="1:10" x14ac:dyDescent="0.25">
      <c r="A26" s="181"/>
      <c r="B26" s="43" t="str">
        <f>A26&amp;"-"&amp;IF(DAY(Variables!$A$2)&lt;10,0,"")&amp;DAY(Variables!$A$2)</f>
        <v>-04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Runs'!$A$13:$A$99933,1,FALSE)</f>
        <v>#N/A</v>
      </c>
    </row>
    <row r="27" spans="1:10" x14ac:dyDescent="0.25">
      <c r="A27" s="181"/>
      <c r="B27" s="43" t="str">
        <f>A27&amp;"-"&amp;IF(DAY(Variables!$A$2)&lt;10,0,"")&amp;DAY(Variables!$A$2)</f>
        <v>-04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Runs'!$A$13:$A$99933,1,FALSE)</f>
        <v>#N/A</v>
      </c>
    </row>
    <row r="28" spans="1:10" x14ac:dyDescent="0.25">
      <c r="A28" s="181"/>
      <c r="B28" s="43" t="str">
        <f>A28&amp;"-"&amp;IF(DAY(Variables!$A$2)&lt;10,0,"")&amp;DAY(Variables!$A$2)</f>
        <v>-04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Runs'!$A$13:$A$99933,1,FALSE)</f>
        <v>#N/A</v>
      </c>
    </row>
    <row r="29" spans="1:10" x14ac:dyDescent="0.25">
      <c r="A29" s="181"/>
      <c r="B29" s="43" t="str">
        <f>A29&amp;"-"&amp;IF(DAY(Variables!$A$2)&lt;10,0,"")&amp;DAY(Variables!$A$2)</f>
        <v>-04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Runs'!$A$13:$A$99933,1,FALSE)</f>
        <v>#N/A</v>
      </c>
    </row>
    <row r="30" spans="1:10" x14ac:dyDescent="0.25">
      <c r="A30" s="181"/>
      <c r="B30" s="43" t="str">
        <f>A30&amp;"-"&amp;IF(DAY(Variables!$A$2)&lt;10,0,"")&amp;DAY(Variables!$A$2)</f>
        <v>-04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Runs'!$A$13:$A$99933,1,FALSE)</f>
        <v>#N/A</v>
      </c>
    </row>
    <row r="31" spans="1:10" x14ac:dyDescent="0.25">
      <c r="A31" s="181"/>
      <c r="B31" s="43" t="str">
        <f>A31&amp;"-"&amp;IF(DAY(Variables!$A$2)&lt;10,0,"")&amp;DAY(Variables!$A$2)</f>
        <v>-04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Runs'!$A$13:$A$99933,1,FALSE)</f>
        <v>#N/A</v>
      </c>
    </row>
    <row r="32" spans="1:10" x14ac:dyDescent="0.25">
      <c r="A32" s="181"/>
      <c r="B32" s="43" t="str">
        <f>A32&amp;"-"&amp;IF(DAY(Variables!$A$2)&lt;10,0,"")&amp;DAY(Variables!$A$2)</f>
        <v>-04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Runs'!$A$13:$A$99933,1,FALSE)</f>
        <v>#N/A</v>
      </c>
    </row>
    <row r="33" spans="1:10" x14ac:dyDescent="0.25">
      <c r="A33" s="181"/>
      <c r="B33" s="43" t="str">
        <f>A33&amp;"-"&amp;IF(DAY(Variables!$A$2)&lt;10,0,"")&amp;DAY(Variables!$A$2)</f>
        <v>-04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Runs'!$A$13:$A$99933,1,FALSE)</f>
        <v>#N/A</v>
      </c>
    </row>
    <row r="34" spans="1:10" x14ac:dyDescent="0.25">
      <c r="A34" s="181"/>
      <c r="B34" s="43" t="str">
        <f>A34&amp;"-"&amp;IF(DAY(Variables!$A$2)&lt;10,0,"")&amp;DAY(Variables!$A$2)</f>
        <v>-04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Runs'!$A$13:$A$99933,1,FALSE)</f>
        <v>#N/A</v>
      </c>
    </row>
    <row r="35" spans="1:10" x14ac:dyDescent="0.25">
      <c r="A35" s="181"/>
      <c r="B35" s="43" t="str">
        <f>A35&amp;"-"&amp;IF(DAY(Variables!$A$2)&lt;10,0,"")&amp;DAY(Variables!$A$2)</f>
        <v>-04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Runs'!$A$13:$A$99933,1,FALSE)</f>
        <v>#N/A</v>
      </c>
    </row>
    <row r="36" spans="1:10" x14ac:dyDescent="0.25">
      <c r="A36" s="181"/>
      <c r="B36" s="43" t="str">
        <f>A36&amp;"-"&amp;IF(DAY(Variables!$A$2)&lt;10,0,"")&amp;DAY(Variables!$A$2)</f>
        <v>-04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Runs'!$A$13:$A$99933,1,FALSE)</f>
        <v>#N/A</v>
      </c>
    </row>
    <row r="37" spans="1:10" x14ac:dyDescent="0.25">
      <c r="A37" s="181"/>
      <c r="B37" s="43" t="str">
        <f>A37&amp;"-"&amp;IF(DAY(Variables!$A$2)&lt;10,0,"")&amp;DAY(Variables!$A$2)</f>
        <v>-04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Runs'!$A$13:$A$99933,1,FALSE)</f>
        <v>#N/A</v>
      </c>
    </row>
    <row r="38" spans="1:10" x14ac:dyDescent="0.25">
      <c r="A38" s="181"/>
      <c r="B38" s="43" t="str">
        <f>A38&amp;"-"&amp;IF(DAY(Variables!$A$2)&lt;10,0,"")&amp;DAY(Variables!$A$2)</f>
        <v>-04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Runs'!$A$13:$A$99933,1,FALSE)</f>
        <v>#N/A</v>
      </c>
    </row>
    <row r="39" spans="1:10" x14ac:dyDescent="0.25">
      <c r="A39" s="181"/>
      <c r="B39" s="43" t="str">
        <f>A39&amp;"-"&amp;IF(DAY(Variables!$A$2)&lt;10,0,"")&amp;DAY(Variables!$A$2)</f>
        <v>-04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Runs'!$A$13:$A$99933,1,FALSE)</f>
        <v>#N/A</v>
      </c>
    </row>
    <row r="40" spans="1:10" x14ac:dyDescent="0.25">
      <c r="A40" s="181"/>
      <c r="B40" s="43" t="str">
        <f>A40&amp;"-"&amp;IF(DAY(Variables!$A$2)&lt;10,0,"")&amp;DAY(Variables!$A$2)</f>
        <v>-04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Runs'!$A$13:$A$99933,1,FALSE)</f>
        <v>#N/A</v>
      </c>
    </row>
    <row r="41" spans="1:10" x14ac:dyDescent="0.25">
      <c r="A41" s="181"/>
      <c r="B41" s="43" t="str">
        <f>A41&amp;"-"&amp;IF(DAY(Variables!$A$2)&lt;10,0,"")&amp;DAY(Variables!$A$2)</f>
        <v>-04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Runs'!$A$13:$A$99933,1,FALSE)</f>
        <v>#N/A</v>
      </c>
    </row>
    <row r="42" spans="1:10" x14ac:dyDescent="0.25">
      <c r="A42" s="181"/>
      <c r="B42" s="43" t="str">
        <f>A42&amp;"-"&amp;IF(DAY(Variables!$A$2)&lt;10,0,"")&amp;DAY(Variables!$A$2)</f>
        <v>-04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Runs'!$A$13:$A$99933,1,FALSE)</f>
        <v>#N/A</v>
      </c>
    </row>
    <row r="43" spans="1:10" x14ac:dyDescent="0.25">
      <c r="A43" s="181"/>
      <c r="B43" s="43" t="str">
        <f>A43&amp;"-"&amp;IF(DAY(Variables!$A$2)&lt;10,0,"")&amp;DAY(Variables!$A$2)</f>
        <v>-04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Runs'!$A$13:$A$99933,1,FALSE)</f>
        <v>#N/A</v>
      </c>
    </row>
    <row r="44" spans="1:10" x14ac:dyDescent="0.25">
      <c r="A44" s="181"/>
      <c r="B44" s="43" t="str">
        <f>A44&amp;"-"&amp;IF(DAY(Variables!$A$2)&lt;10,0,"")&amp;DAY(Variables!$A$2)</f>
        <v>-04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Runs'!$A$13:$A$99933,1,FALSE)</f>
        <v>#N/A</v>
      </c>
    </row>
    <row r="45" spans="1:10" x14ac:dyDescent="0.25">
      <c r="A45" s="181"/>
      <c r="B45" s="43" t="str">
        <f>A45&amp;"-"&amp;IF(DAY(Variables!$A$2)&lt;10,0,"")&amp;DAY(Variables!$A$2)</f>
        <v>-04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Runs'!$A$13:$A$99933,1,FALSE)</f>
        <v>#N/A</v>
      </c>
    </row>
    <row r="46" spans="1:10" x14ac:dyDescent="0.25">
      <c r="A46" s="181"/>
      <c r="B46" s="43" t="str">
        <f>A46&amp;"-"&amp;IF(DAY(Variables!$A$2)&lt;10,0,"")&amp;DAY(Variables!$A$2)</f>
        <v>-04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Runs'!$A$13:$A$99933,1,FALSE)</f>
        <v>#N/A</v>
      </c>
    </row>
    <row r="47" spans="1:10" x14ac:dyDescent="0.25">
      <c r="A47" s="181"/>
      <c r="B47" s="43" t="str">
        <f>A47&amp;"-"&amp;IF(DAY(Variables!$A$2)&lt;10,0,"")&amp;DAY(Variables!$A$2)</f>
        <v>-04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Runs'!$A$13:$A$99933,1,FALSE)</f>
        <v>#N/A</v>
      </c>
    </row>
    <row r="48" spans="1:10" x14ac:dyDescent="0.25">
      <c r="A48" s="181"/>
      <c r="B48" s="43" t="str">
        <f>A48&amp;"-"&amp;IF(DAY(Variables!$A$2)&lt;10,0,"")&amp;DAY(Variables!$A$2)</f>
        <v>-04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Runs'!$A$13:$A$99933,1,FALSE)</f>
        <v>#N/A</v>
      </c>
    </row>
    <row r="49" spans="1:10" x14ac:dyDescent="0.25">
      <c r="A49" s="181"/>
      <c r="B49" s="43" t="str">
        <f>A49&amp;"-"&amp;IF(DAY(Variables!$A$2)&lt;10,0,"")&amp;DAY(Variables!$A$2)</f>
        <v>-04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Runs'!$A$13:$A$99933,1,FALSE)</f>
        <v>#N/A</v>
      </c>
    </row>
    <row r="50" spans="1:10" x14ac:dyDescent="0.25">
      <c r="A50" s="181"/>
      <c r="B50" s="43" t="str">
        <f>A50&amp;"-"&amp;IF(DAY(Variables!$A$2)&lt;10,0,"")&amp;DAY(Variables!$A$2)</f>
        <v>-04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Runs'!$A$13:$A$99933,1,FALSE)</f>
        <v>#N/A</v>
      </c>
    </row>
    <row r="51" spans="1:10" x14ac:dyDescent="0.25">
      <c r="A51" s="181"/>
      <c r="B51" s="43" t="str">
        <f>A51&amp;"-"&amp;IF(DAY(Variables!$A$2)&lt;10,0,"")&amp;DAY(Variables!$A$2)</f>
        <v>-04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Runs'!$A$13:$A$99933,1,FALSE)</f>
        <v>#N/A</v>
      </c>
    </row>
    <row r="52" spans="1:10" x14ac:dyDescent="0.25">
      <c r="A52" s="181"/>
      <c r="B52" s="43" t="str">
        <f>A52&amp;"-"&amp;IF(DAY(Variables!$A$2)&lt;10,0,"")&amp;DAY(Variables!$A$2)</f>
        <v>-04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Runs'!$A$13:$A$99933,1,FALSE)</f>
        <v>#N/A</v>
      </c>
    </row>
    <row r="53" spans="1:10" x14ac:dyDescent="0.25">
      <c r="A53" s="181"/>
      <c r="B53" s="43" t="str">
        <f>A53&amp;"-"&amp;IF(DAY(Variables!$A$2)&lt;10,0,"")&amp;DAY(Variables!$A$2)</f>
        <v>-04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Runs'!$A$13:$A$99933,1,FALSE)</f>
        <v>#N/A</v>
      </c>
    </row>
    <row r="54" spans="1:10" x14ac:dyDescent="0.25">
      <c r="A54" s="181"/>
      <c r="B54" s="43" t="str">
        <f>A54&amp;"-"&amp;IF(DAY(Variables!$A$2)&lt;10,0,"")&amp;DAY(Variables!$A$2)</f>
        <v>-04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Runs'!$A$13:$A$99933,1,FALSE)</f>
        <v>#N/A</v>
      </c>
    </row>
    <row r="55" spans="1:10" x14ac:dyDescent="0.25">
      <c r="A55" s="181"/>
      <c r="B55" s="43" t="str">
        <f>A55&amp;"-"&amp;IF(DAY(Variables!$A$2)&lt;10,0,"")&amp;DAY(Variables!$A$2)</f>
        <v>-04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Runs'!$A$13:$A$99933,1,FALSE)</f>
        <v>#N/A</v>
      </c>
    </row>
    <row r="56" spans="1:10" x14ac:dyDescent="0.25">
      <c r="A56" s="181"/>
      <c r="B56" s="43" t="str">
        <f>A56&amp;"-"&amp;IF(DAY(Variables!$A$2)&lt;10,0,"")&amp;DAY(Variables!$A$2)</f>
        <v>-04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Runs'!$A$13:$A$99933,1,FALSE)</f>
        <v>#N/A</v>
      </c>
    </row>
    <row r="57" spans="1:10" x14ac:dyDescent="0.25">
      <c r="A57" s="181"/>
      <c r="B57" s="43" t="str">
        <f>A57&amp;"-"&amp;IF(DAY(Variables!$A$2)&lt;10,0,"")&amp;DAY(Variables!$A$2)</f>
        <v>-04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Runs'!$A$13:$A$99933,1,FALSE)</f>
        <v>#N/A</v>
      </c>
    </row>
    <row r="58" spans="1:10" x14ac:dyDescent="0.25">
      <c r="A58" s="181"/>
      <c r="B58" s="43" t="str">
        <f>A58&amp;"-"&amp;IF(DAY(Variables!$A$2)&lt;10,0,"")&amp;DAY(Variables!$A$2)</f>
        <v>-04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Runs'!$A$13:$A$99933,1,FALSE)</f>
        <v>#N/A</v>
      </c>
    </row>
    <row r="59" spans="1:10" x14ac:dyDescent="0.25">
      <c r="A59" s="181"/>
      <c r="B59" s="43" t="str">
        <f>A59&amp;"-"&amp;IF(DAY(Variables!$A$2)&lt;10,0,"")&amp;DAY(Variables!$A$2)</f>
        <v>-04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Runs'!$A$13:$A$99933,1,FALSE)</f>
        <v>#N/A</v>
      </c>
    </row>
    <row r="60" spans="1:10" x14ac:dyDescent="0.25">
      <c r="A60" s="181"/>
      <c r="B60" s="43" t="str">
        <f>A60&amp;"-"&amp;IF(DAY(Variables!$A$2)&lt;10,0,"")&amp;DAY(Variables!$A$2)</f>
        <v>-04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Runs'!$A$13:$A$99933,1,FALSE)</f>
        <v>#N/A</v>
      </c>
    </row>
    <row r="61" spans="1:10" x14ac:dyDescent="0.25">
      <c r="A61" s="181"/>
      <c r="B61" s="43" t="str">
        <f>A61&amp;"-"&amp;IF(DAY(Variables!$A$2)&lt;10,0,"")&amp;DAY(Variables!$A$2)</f>
        <v>-04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Runs'!$A$13:$A$99933,1,FALSE)</f>
        <v>#N/A</v>
      </c>
    </row>
    <row r="62" spans="1:10" x14ac:dyDescent="0.25">
      <c r="A62" s="181"/>
      <c r="B62" s="43" t="str">
        <f>A62&amp;"-"&amp;IF(DAY(Variables!$A$2)&lt;10,0,"")&amp;DAY(Variables!$A$2)</f>
        <v>-04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2" s="30" t="e">
        <f>VLOOKUP(B62,'Train Runs'!$A$13:$A$99933,1,FALSE)</f>
        <v>#N/A</v>
      </c>
    </row>
    <row r="63" spans="1:10" x14ac:dyDescent="0.25">
      <c r="A63" s="181"/>
      <c r="B63" s="43" t="str">
        <f>A63&amp;"-"&amp;IF(DAY(Variables!$A$2)&lt;10,0,"")&amp;DAY(Variables!$A$2)</f>
        <v>-04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3" s="30" t="e">
        <f>VLOOKUP(B63,'Train Runs'!$A$13:$A$99933,1,FALSE)</f>
        <v>#N/A</v>
      </c>
    </row>
    <row r="64" spans="1:10" x14ac:dyDescent="0.25">
      <c r="A64" s="181"/>
      <c r="B64" s="43" t="str">
        <f>A64&amp;"-"&amp;IF(DAY(Variables!$A$2)&lt;10,0,"")&amp;DAY(Variables!$A$2)</f>
        <v>-04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4" s="30" t="e">
        <f>VLOOKUP(B64,'Train Runs'!$A$13:$A$99933,1,FALSE)</f>
        <v>#N/A</v>
      </c>
    </row>
    <row r="65" spans="1:10" x14ac:dyDescent="0.25">
      <c r="A65" s="181"/>
      <c r="B65" s="43" t="str">
        <f>A65&amp;"-"&amp;IF(DAY(Variables!$A$2)&lt;10,0,"")&amp;DAY(Variables!$A$2)</f>
        <v>-04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5" s="30" t="e">
        <f>VLOOKUP(B65,'Train Runs'!$A$13:$A$99933,1,FALSE)</f>
        <v>#N/A</v>
      </c>
    </row>
    <row r="66" spans="1:10" x14ac:dyDescent="0.25">
      <c r="A66" s="181"/>
      <c r="B66" s="43" t="str">
        <f>A66&amp;"-"&amp;IF(DAY(Variables!$A$2)&lt;10,0,"")&amp;DAY(Variables!$A$2)</f>
        <v>-04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6" s="30" t="e">
        <f>VLOOKUP(B66,'Train Runs'!$A$13:$A$99933,1,FALSE)</f>
        <v>#N/A</v>
      </c>
    </row>
    <row r="67" spans="1:10" x14ac:dyDescent="0.25">
      <c r="A67" s="181"/>
      <c r="B67" s="43" t="str">
        <f>A67&amp;"-"&amp;IF(DAY(Variables!$A$2)&lt;10,0,"")&amp;DAY(Variables!$A$2)</f>
        <v>-04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7" s="30" t="e">
        <f>VLOOKUP(B67,'Train Runs'!$A$13:$A$99933,1,FALSE)</f>
        <v>#N/A</v>
      </c>
    </row>
    <row r="68" spans="1:10" x14ac:dyDescent="0.25">
      <c r="A68" s="181"/>
      <c r="B68" s="43" t="str">
        <f>A68&amp;"-"&amp;IF(DAY(Variables!$A$2)&lt;10,0,"")&amp;DAY(Variables!$A$2)</f>
        <v>-04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8" s="30" t="e">
        <f>VLOOKUP(B68,'Train Runs'!$A$13:$A$99933,1,FALSE)</f>
        <v>#N/A</v>
      </c>
    </row>
    <row r="69" spans="1:10" x14ac:dyDescent="0.25">
      <c r="A69" s="181"/>
      <c r="B69" s="43" t="str">
        <f>A69&amp;"-"&amp;IF(DAY(Variables!$A$2)&lt;10,0,"")&amp;DAY(Variables!$A$2)</f>
        <v>-04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9" s="30" t="e">
        <f>VLOOKUP(B69,'Train Runs'!$A$13:$A$99933,1,FALSE)</f>
        <v>#N/A</v>
      </c>
    </row>
    <row r="70" spans="1:10" x14ac:dyDescent="0.25">
      <c r="A70" s="181"/>
      <c r="B70" s="43" t="str">
        <f>A70&amp;"-"&amp;IF(DAY(Variables!$A$2)&lt;10,0,"")&amp;DAY(Variables!$A$2)</f>
        <v>-04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0" s="30" t="e">
        <f>VLOOKUP(B70,'Train Runs'!$A$13:$A$99933,1,FALSE)</f>
        <v>#N/A</v>
      </c>
    </row>
    <row r="71" spans="1:10" x14ac:dyDescent="0.25">
      <c r="A71" s="181"/>
      <c r="B71" s="43" t="str">
        <f>A71&amp;"-"&amp;IF(DAY(Variables!$A$2)&lt;10,0,"")&amp;DAY(Variables!$A$2)</f>
        <v>-04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1" s="30" t="e">
        <f>VLOOKUP(B71,'Train Runs'!$A$13:$A$99933,1,FALSE)</f>
        <v>#N/A</v>
      </c>
    </row>
    <row r="72" spans="1:10" x14ac:dyDescent="0.25">
      <c r="A72" s="181"/>
      <c r="B72" s="43" t="str">
        <f>A72&amp;"-"&amp;IF(DAY(Variables!$A$2)&lt;10,0,"")&amp;DAY(Variables!$A$2)</f>
        <v>-04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Runs'!$A$13:$A$99933,1,FALSE)</f>
        <v>#N/A</v>
      </c>
    </row>
    <row r="73" spans="1:10" x14ac:dyDescent="0.25">
      <c r="A73" s="181"/>
      <c r="B73" s="43" t="str">
        <f>A73&amp;"-"&amp;IF(DAY(Variables!$A$2)&lt;10,0,"")&amp;DAY(Variables!$A$2)</f>
        <v>-04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Runs'!$A$13:$A$99933,1,FALSE)</f>
        <v>#N/A</v>
      </c>
    </row>
    <row r="74" spans="1:10" x14ac:dyDescent="0.25">
      <c r="A74" s="181"/>
      <c r="B74" s="43" t="str">
        <f>A74&amp;"-"&amp;IF(DAY(Variables!$A$2)&lt;10,0,"")&amp;DAY(Variables!$A$2)</f>
        <v>-04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Runs'!$A$13:$A$99933,1,FALSE)</f>
        <v>#N/A</v>
      </c>
    </row>
    <row r="75" spans="1:10" x14ac:dyDescent="0.25">
      <c r="A75" s="181"/>
      <c r="B75" s="43" t="str">
        <f>A75&amp;"-"&amp;IF(DAY(Variables!$A$2)&lt;10,0,"")&amp;DAY(Variables!$A$2)</f>
        <v>-04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Runs'!$A$13:$A$99933,1,FALSE)</f>
        <v>#N/A</v>
      </c>
    </row>
    <row r="76" spans="1:10" x14ac:dyDescent="0.25">
      <c r="A76" s="181"/>
      <c r="B76" s="43" t="str">
        <f>A76&amp;"-"&amp;IF(DAY(Variables!$A$2)&lt;10,0,"")&amp;DAY(Variables!$A$2)</f>
        <v>-04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Runs'!$A$13:$A$99933,1,FALSE)</f>
        <v>#N/A</v>
      </c>
    </row>
    <row r="77" spans="1:10" x14ac:dyDescent="0.25">
      <c r="A77" s="181"/>
      <c r="B77" s="43" t="str">
        <f>A77&amp;"-"&amp;IF(DAY(Variables!$A$2)&lt;10,0,"")&amp;DAY(Variables!$A$2)</f>
        <v>-04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Runs'!$A$13:$A$99933,1,FALSE)</f>
        <v>#N/A</v>
      </c>
    </row>
    <row r="78" spans="1:10" x14ac:dyDescent="0.25">
      <c r="A78" s="181"/>
      <c r="B78" s="43" t="str">
        <f>A78&amp;"-"&amp;IF(DAY(Variables!$A$2)&lt;10,0,"")&amp;DAY(Variables!$A$2)</f>
        <v>-04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Runs'!$A$13:$A$99933,1,FALSE)</f>
        <v>#N/A</v>
      </c>
    </row>
    <row r="79" spans="1:10" x14ac:dyDescent="0.25">
      <c r="A79" s="181"/>
      <c r="B79" s="43" t="str">
        <f>A79&amp;"-"&amp;IF(DAY(Variables!$A$2)&lt;10,0,"")&amp;DAY(Variables!$A$2)</f>
        <v>-04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Runs'!$A$13:$A$99933,1,FALSE)</f>
        <v>#N/A</v>
      </c>
    </row>
    <row r="80" spans="1:10" x14ac:dyDescent="0.25">
      <c r="A80" s="181"/>
      <c r="B80" s="43" t="str">
        <f>A80&amp;"-"&amp;IF(DAY(Variables!$A$2)&lt;10,0,"")&amp;DAY(Variables!$A$2)</f>
        <v>-04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Runs'!$A$13:$A$99933,1,FALSE)</f>
        <v>#N/A</v>
      </c>
    </row>
    <row r="81" spans="1:10" x14ac:dyDescent="0.25">
      <c r="A81" s="181"/>
      <c r="B81" s="43" t="str">
        <f>A81&amp;"-"&amp;IF(DAY(Variables!$A$2)&lt;10,0,"")&amp;DAY(Variables!$A$2)</f>
        <v>-04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Runs'!$A$13:$A$99933,1,FALSE)</f>
        <v>#N/A</v>
      </c>
    </row>
    <row r="82" spans="1:10" x14ac:dyDescent="0.25">
      <c r="A82" s="181"/>
      <c r="B82" s="43" t="str">
        <f>A82&amp;"-"&amp;IF(DAY(Variables!$A$2)&lt;10,0,"")&amp;DAY(Variables!$A$2)</f>
        <v>-04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2" s="30" t="e">
        <f>VLOOKUP(B82,'Train Runs'!$A$13:$A$99933,1,FALSE)</f>
        <v>#N/A</v>
      </c>
    </row>
    <row r="83" spans="1:10" x14ac:dyDescent="0.25">
      <c r="A83" s="181"/>
      <c r="B83" s="43" t="str">
        <f>A83&amp;"-"&amp;IF(DAY(Variables!$A$2)&lt;10,0,"")&amp;DAY(Variables!$A$2)</f>
        <v>-04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3" s="30" t="e">
        <f>VLOOKUP(B83,'Train Runs'!$A$13:$A$99933,1,FALSE)</f>
        <v>#N/A</v>
      </c>
    </row>
    <row r="84" spans="1:10" x14ac:dyDescent="0.25">
      <c r="A84" s="181"/>
      <c r="B84" s="43" t="str">
        <f>A84&amp;"-"&amp;IF(DAY(Variables!$A$2)&lt;10,0,"")&amp;DAY(Variables!$A$2)</f>
        <v>-04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4" s="30" t="e">
        <f>VLOOKUP(B84,'Train Runs'!$A$13:$A$99933,1,FALSE)</f>
        <v>#N/A</v>
      </c>
    </row>
    <row r="85" spans="1:10" x14ac:dyDescent="0.25">
      <c r="A85" s="181"/>
      <c r="B85" s="43" t="str">
        <f>A85&amp;"-"&amp;IF(DAY(Variables!$A$2)&lt;10,0,"")&amp;DAY(Variables!$A$2)</f>
        <v>-04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5" s="30" t="e">
        <f>VLOOKUP(B85,'Train Runs'!$A$13:$A$99933,1,FALSE)</f>
        <v>#N/A</v>
      </c>
    </row>
    <row r="86" spans="1:10" x14ac:dyDescent="0.25">
      <c r="A86" s="181"/>
      <c r="B86" s="43" t="str">
        <f>A86&amp;"-"&amp;IF(DAY(Variables!$A$2)&lt;10,0,"")&amp;DAY(Variables!$A$2)</f>
        <v>-04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6" s="30" t="e">
        <f>VLOOKUP(B86,'Train Runs'!$A$13:$A$99933,1,FALSE)</f>
        <v>#N/A</v>
      </c>
    </row>
    <row r="87" spans="1:10" x14ac:dyDescent="0.25">
      <c r="A87" s="181"/>
      <c r="B87" s="43" t="str">
        <f>A87&amp;"-"&amp;IF(DAY(Variables!$A$2)&lt;10,0,"")&amp;DAY(Variables!$A$2)</f>
        <v>-04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7" s="30" t="e">
        <f>VLOOKUP(B87,'Train Runs'!$A$13:$A$99933,1,FALSE)</f>
        <v>#N/A</v>
      </c>
    </row>
    <row r="88" spans="1:10" x14ac:dyDescent="0.25">
      <c r="A88" s="181"/>
      <c r="B88" s="43" t="str">
        <f>A88&amp;"-"&amp;IF(DAY(Variables!$A$2)&lt;10,0,"")&amp;DAY(Variables!$A$2)</f>
        <v>-04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8" s="30" t="e">
        <f>VLOOKUP(B88,'Train Runs'!$A$13:$A$99933,1,FALSE)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351</v>
      </c>
      <c r="B1" s="203" t="s">
        <v>352</v>
      </c>
      <c r="C1" s="195" t="s">
        <v>360</v>
      </c>
      <c r="D1" s="207" t="s">
        <v>58</v>
      </c>
      <c r="E1" s="192" t="s">
        <v>24</v>
      </c>
      <c r="F1" s="207" t="s">
        <v>366</v>
      </c>
      <c r="G1" s="211" t="s">
        <v>94</v>
      </c>
      <c r="H1" s="213" t="s">
        <v>370</v>
      </c>
      <c r="I1" s="209" t="s">
        <v>369</v>
      </c>
      <c r="J1" s="205" t="s">
        <v>84</v>
      </c>
      <c r="K1" s="205" t="s">
        <v>365</v>
      </c>
      <c r="L1" s="200" t="s">
        <v>362</v>
      </c>
      <c r="M1" s="200" t="s">
        <v>353</v>
      </c>
      <c r="N1" s="200" t="s">
        <v>355</v>
      </c>
      <c r="O1" s="200" t="s">
        <v>356</v>
      </c>
      <c r="P1" s="200" t="s">
        <v>357</v>
      </c>
      <c r="Q1" s="199" t="s">
        <v>354</v>
      </c>
    </row>
    <row r="2" spans="1:17" x14ac:dyDescent="0.25">
      <c r="A2" s="197">
        <v>42800.21875</v>
      </c>
      <c r="B2" s="204" t="s">
        <v>359</v>
      </c>
      <c r="C2" s="194" t="s">
        <v>361</v>
      </c>
      <c r="D2" s="208">
        <v>104</v>
      </c>
      <c r="E2" s="30" t="s">
        <v>364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"%USERPROFILE%\AppData\Local\Temp\OnboardLogs"\RTDC4031\*4031*201703061*</v>
      </c>
      <c r="I2" s="210" t="str">
        <f>IF(VLOOKUP(K2,'Train Runs'!$A$13:$V$989,1,TRUE)=K2,VLOOKUP(K2,'Train Runs'!$A$13:$V$989,22,TRUE),NA())</f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104-04</v>
      </c>
      <c r="L2" s="202">
        <f>IF(VLOOKUP(K2,'Train Runs'!$A$12:$B$989,1,TRUE)=K2,VLOOKUP(K2,'Train Runs'!$A$12:$B$989,2,TRUE),NA())</f>
        <v>4031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359</v>
      </c>
      <c r="C3" s="194" t="s">
        <v>361</v>
      </c>
      <c r="D3" s="208">
        <v>126</v>
      </c>
      <c r="E3" s="30" t="s">
        <v>363</v>
      </c>
      <c r="F3" s="208" t="b">
        <v>1</v>
      </c>
      <c r="G3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"%USERPROFILE%\AppData\Local\Temp\OnboardLogs"\RTDC4013\*4013*201703061*</v>
      </c>
      <c r="I3" s="210" t="str">
        <f>IF(VLOOKUP(K3,'Train Runs'!$A$13:$V$989,1,TRUE)=K3,VLOOKUP(K3,'Train Runs'!$A$13:$V$989,22,TRUE),NA())</f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126-04</v>
      </c>
      <c r="L3" s="202">
        <f>IF(VLOOKUP(K3,'Train Runs'!$A$12:$B$989,1,TRUE)=K3,VLOOKUP(K3,'Train Runs'!$A$12:$B$989,2,TRUE),NA())</f>
        <v>4013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359</v>
      </c>
      <c r="C4" s="194" t="s">
        <v>361</v>
      </c>
      <c r="D4" s="208">
        <v>128</v>
      </c>
      <c r="E4" s="30" t="s">
        <v>363</v>
      </c>
      <c r="F4" s="208" t="b">
        <v>1</v>
      </c>
      <c r="G4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"%USERPROFILE%\AppData\Local\Temp\OnboardLogs"\RTDC4053\*4053*201703061*</v>
      </c>
      <c r="I4" s="210" t="str">
        <f>IF(VLOOKUP(K4,'Train Runs'!$A$13:$V$989,1,TRUE)=K4,VLOOKUP(K4,'Train Runs'!$A$13:$V$989,22,TRUE),NA())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128-04</v>
      </c>
      <c r="L4" s="202">
        <f>IF(VLOOKUP(K4,'Train Runs'!$A$12:$B$989,1,TRUE)=K4,VLOOKUP(K4,'Train Runs'!$A$12:$B$989,2,TRUE),NA())</f>
        <v>4053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359</v>
      </c>
      <c r="C5" s="194" t="s">
        <v>361</v>
      </c>
      <c r="D5" s="208">
        <f>D4+2</f>
        <v>130</v>
      </c>
      <c r="E5" s="30" t="s">
        <v>363</v>
      </c>
      <c r="F5" s="208" t="b">
        <v>1</v>
      </c>
      <c r="G5" s="212" t="str">
        <f t="shared" si="0"/>
        <v>"C:\Program Files (x86)\AstroGrep\AstroGrep.exe" /e /r /s /spath="%USERPROFILE%\AppData\Local\Temp\OnboardLogs" /stypes="*4003*201703061*"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"%USERPROFILE%\AppData\Local\Temp\OnboardLogs"\RTDC4003\*4003*201703061*</v>
      </c>
      <c r="I5" s="210" t="str">
        <f>IF(VLOOKUP(K5,'Train Runs'!$A$13:$V$989,1,TRUE)=K5,VLOOKUP(K5,'Train Runs'!$A$13:$V$989,22,TRUE),NA())</f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130-04</v>
      </c>
      <c r="L5" s="202">
        <f>IF(VLOOKUP(K5,'Train Runs'!$A$12:$B$989,1,TRUE)=K5,VLOOKUP(K5,'Train Runs'!$A$12:$B$989,2,TRUE),NA())</f>
        <v>4003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359</v>
      </c>
      <c r="C6" s="194" t="s">
        <v>361</v>
      </c>
      <c r="D6" s="208">
        <f>D5+2</f>
        <v>132</v>
      </c>
      <c r="E6" s="30" t="s">
        <v>363</v>
      </c>
      <c r="F6" s="208" t="b">
        <v>1</v>
      </c>
      <c r="G6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"%USERPROFILE%\AppData\Local\Temp\OnboardLogs"\RTDC4031\*4031*201703061*</v>
      </c>
      <c r="I6" s="210" t="str">
        <f>IF(VLOOKUP(K6,'Train Runs'!$A$13:$V$989,1,TRUE)=K6,VLOOKUP(K6,'Train Runs'!$A$13:$V$989,22,TRUE),NA())</f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6" s="206">
        <f t="shared" si="2"/>
        <v>42800.625</v>
      </c>
      <c r="K6" s="206" t="str">
        <f>D6&amp;"-"&amp;IF(DAY(Variables!$A$2)&lt;10,0,"")&amp;DAY(Variables!$A$2)</f>
        <v>132-04</v>
      </c>
      <c r="L6" s="202">
        <f>IF(VLOOKUP(K6,'Train Runs'!$A$12:$B$989,1,TRUE)=K6,VLOOKUP(K6,'Train Runs'!$A$12:$B$989,2,TRUE),NA())</f>
        <v>4031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359</v>
      </c>
      <c r="C7" s="194" t="s">
        <v>361</v>
      </c>
      <c r="D7" s="208">
        <f t="shared" ref="D7:D11" si="4">D6+2</f>
        <v>134</v>
      </c>
      <c r="E7" s="30" t="s">
        <v>363</v>
      </c>
      <c r="F7" s="208" t="b">
        <v>1</v>
      </c>
      <c r="G7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"%USERPROFILE%\AppData\Local\Temp\OnboardLogs"\RTDC4043\*4043*201703061*</v>
      </c>
      <c r="I7" s="210" t="str">
        <f>IF(VLOOKUP(K7,'Train Runs'!$A$13:$V$989,1,TRUE)=K7,VLOOKUP(K7,'Train Runs'!$A$13:$V$989,22,TRUE),NA())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134-04</v>
      </c>
      <c r="L7" s="202">
        <f>IF(VLOOKUP(K7,'Train Runs'!$A$12:$B$989,1,TRUE)=K7,VLOOKUP(K7,'Train Runs'!$A$12:$B$989,2,TRUE),NA())</f>
        <v>4043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359</v>
      </c>
      <c r="C8" s="194" t="s">
        <v>361</v>
      </c>
      <c r="D8" s="208">
        <f t="shared" si="4"/>
        <v>136</v>
      </c>
      <c r="E8" s="30" t="s">
        <v>363</v>
      </c>
      <c r="F8" s="208" t="b">
        <v>1</v>
      </c>
      <c r="G8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"%USERPROFILE%\AppData\Local\Temp\OnboardLogs"\RTDC4045\*4045*201703061*</v>
      </c>
      <c r="I8" s="210" t="str">
        <f>IF(VLOOKUP(K8,'Train Runs'!$A$13:$V$989,1,TRUE)=K8,VLOOKUP(K8,'Train Runs'!$A$13:$V$989,22,TRUE),NA())</f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136-04</v>
      </c>
      <c r="L8" s="202">
        <f>IF(VLOOKUP(K8,'Train Runs'!$A$12:$B$989,1,TRUE)=K8,VLOOKUP(K8,'Train Runs'!$A$12:$B$989,2,TRUE),NA())</f>
        <v>4045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359</v>
      </c>
      <c r="C9" s="194" t="s">
        <v>361</v>
      </c>
      <c r="D9" s="208">
        <f t="shared" si="4"/>
        <v>138</v>
      </c>
      <c r="E9" s="30" t="s">
        <v>363</v>
      </c>
      <c r="F9" s="208" t="b">
        <v>1</v>
      </c>
      <c r="G9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"%USERPROFILE%\AppData\Local\Temp\OnboardLogs"\RTDC4007\*4007*201703061*</v>
      </c>
      <c r="I9" s="210" t="str">
        <f>IF(VLOOKUP(K9,'Train Runs'!$A$13:$V$989,1,TRUE)=K9,VLOOKUP(K9,'Train Runs'!$A$13:$V$989,22,TRUE),NA())</f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138-04</v>
      </c>
      <c r="L9" s="202">
        <f>IF(VLOOKUP(K9,'Train Runs'!$A$12:$B$989,1,TRUE)=K9,VLOOKUP(K9,'Train Runs'!$A$12:$B$989,2,TRUE),NA())</f>
        <v>4007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359</v>
      </c>
      <c r="C10" s="194" t="s">
        <v>361</v>
      </c>
      <c r="D10" s="208">
        <f t="shared" si="4"/>
        <v>140</v>
      </c>
      <c r="E10" s="30" t="s">
        <v>363</v>
      </c>
      <c r="F10" s="208" t="b">
        <v>1</v>
      </c>
      <c r="G10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"%USERPROFILE%\AppData\Local\Temp\OnboardLogs"\RTDC4013\*4013*201703061*</v>
      </c>
      <c r="I10" s="210" t="str">
        <f>IF(VLOOKUP(K10,'Train Runs'!$A$13:$V$989,1,TRUE)=K10,VLOOKUP(K10,'Train Runs'!$A$13:$V$989,22,TRUE),NA())</f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140-04</v>
      </c>
      <c r="L10" s="202">
        <f>IF(VLOOKUP(K10,'Train Runs'!$A$12:$B$989,1,TRUE)=K10,VLOOKUP(K10,'Train Runs'!$A$12:$B$989,2,TRUE),NA())</f>
        <v>4013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359</v>
      </c>
      <c r="C11" s="194" t="s">
        <v>361</v>
      </c>
      <c r="D11" s="208">
        <f t="shared" si="4"/>
        <v>142</v>
      </c>
      <c r="E11" s="30" t="s">
        <v>363</v>
      </c>
      <c r="F11" s="208" t="b">
        <v>1</v>
      </c>
      <c r="G11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"%USERPROFILE%\AppData\Local\Temp\OnboardLogs"\RTDC4053\*4053*201703061*</v>
      </c>
      <c r="I11" s="210" t="str">
        <f>IF(VLOOKUP(K11,'Train Runs'!$A$13:$V$989,1,TRUE)=K11,VLOOKUP(K11,'Train Runs'!$A$13:$V$989,22,TRUE),NA())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142-04</v>
      </c>
      <c r="L11" s="202">
        <f>IF(VLOOKUP(K11,'Train Runs'!$A$12:$B$989,1,TRUE)=K11,VLOOKUP(K11,'Train Runs'!$A$12:$B$989,2,TRUE),NA())</f>
        <v>4053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359</v>
      </c>
      <c r="C12" s="194" t="s">
        <v>361</v>
      </c>
      <c r="D12" s="208">
        <v>144</v>
      </c>
      <c r="E12" s="30" t="s">
        <v>363</v>
      </c>
      <c r="F12" s="208" t="b">
        <v>1</v>
      </c>
      <c r="G12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"%USERPROFILE%\AppData\Local\Temp\OnboardLogs"\RTDC4003\*4003*201703061*</v>
      </c>
      <c r="I12" s="210" t="str">
        <f>IF(VLOOKUP(K12,'Train Runs'!$A$13:$V$989,1,TRUE)=K12,VLOOKUP(K12,'Train Runs'!$A$13:$V$989,22,TRUE),NA())</f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144-04</v>
      </c>
      <c r="L12" s="202">
        <f>IF(VLOOKUP(K12,'Train Runs'!$A$12:$B$989,1,TRUE)=K12,VLOOKUP(K12,'Train Runs'!$A$12:$B$989,2,TRUE),NA())</f>
        <v>4003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359</v>
      </c>
      <c r="C13" s="194" t="s">
        <v>361</v>
      </c>
      <c r="D13" s="208">
        <v>146</v>
      </c>
      <c r="E13" s="30" t="s">
        <v>363</v>
      </c>
      <c r="F13" s="208" t="b">
        <v>1</v>
      </c>
      <c r="G13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"%USERPROFILE%\AppData\Local\Temp\OnboardLogs"\RTDC4031\*4031*201703061*</v>
      </c>
      <c r="I13" s="210" t="str">
        <f>IF(VLOOKUP(K13,'Train Runs'!$A$13:$V$989,1,TRUE)=K13,VLOOKUP(K13,'Train Runs'!$A$13:$V$989,22,TRUE),NA())</f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146-04</v>
      </c>
      <c r="L13" s="202">
        <f>IF(VLOOKUP(K13,'Train Runs'!$A$12:$B$989,1,TRUE)=K13,VLOOKUP(K13,'Train Runs'!$A$12:$B$989,2,TRUE),NA())</f>
        <v>4031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359</v>
      </c>
      <c r="C14" s="194" t="s">
        <v>361</v>
      </c>
      <c r="D14" s="208">
        <v>148</v>
      </c>
      <c r="E14" s="30" t="s">
        <v>367</v>
      </c>
      <c r="F14" s="208" t="b">
        <v>1</v>
      </c>
      <c r="G14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"%USERPROFILE%\AppData\Local\Temp\OnboardLogs"\RTDC4043\*4043*201703061*</v>
      </c>
      <c r="I14" s="210" t="str">
        <f>IF(VLOOKUP(K14,'Train Runs'!$A$13:$V$989,1,TRUE)=K14,VLOOKUP(K14,'Train Runs'!$A$13:$V$989,22,TRUE),NA())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148-04</v>
      </c>
      <c r="L14" s="202">
        <f>IF(VLOOKUP(K14,'Train Runs'!$A$12:$B$989,1,TRUE)=K14,VLOOKUP(K14,'Train Runs'!$A$12:$B$989,2,TRUE),NA())</f>
        <v>4043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359</v>
      </c>
      <c r="C15" s="194" t="s">
        <v>361</v>
      </c>
      <c r="D15" s="208">
        <v>178</v>
      </c>
      <c r="E15" s="30" t="s">
        <v>368</v>
      </c>
      <c r="F15" s="208" t="b">
        <v>1</v>
      </c>
      <c r="G15" s="212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"%USERPROFILE%\AppData\Local\Temp\OnboardLogs"\RTDC4045\*4045*201703062*</v>
      </c>
      <c r="I15" s="210" t="str">
        <f>IF(VLOOKUP(K15,'Train Runs'!$A$13:$V$989,1,TRUE)=K15,VLOOKUP(K15,'Train Runs'!$A$13:$V$989,22,TRUE),NA())</f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178-04</v>
      </c>
      <c r="L15" s="202">
        <f>IF(VLOOKUP(K15,'Train Runs'!$A$12:$B$989,1,TRUE)=K15,VLOOKUP(K15,'Train Runs'!$A$12:$B$989,2,TRUE),NA())</f>
        <v>4045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359</v>
      </c>
      <c r="C16" s="194" t="s">
        <v>361</v>
      </c>
      <c r="D16" s="208">
        <v>194</v>
      </c>
      <c r="E16" s="30" t="s">
        <v>368</v>
      </c>
      <c r="F16" s="208" t="b">
        <v>1</v>
      </c>
      <c r="G16" s="212" t="str">
        <f t="shared" si="0"/>
        <v>"C:\Program Files (x86)\AstroGrep\AstroGrep.exe" /e /r /s /spath="%USERPROFILE%\AppData\Local\Temp\OnboardLogs" /stypes="*4007*201703062*"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"%USERPROFILE%\AppData\Local\Temp\OnboardLogs"\RTDC4007\*4007*201703062*</v>
      </c>
      <c r="I16" s="210" t="str">
        <f>IF(VLOOKUP(K16,'Train Runs'!$A$13:$V$989,1,TRUE)=K16,VLOOKUP(K16,'Train Runs'!$A$13:$V$989,22,TRUE),NA())</f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194-04</v>
      </c>
      <c r="L16" s="202">
        <f>IF(VLOOKUP(K16,'Train Runs'!$A$12:$B$989,1,TRUE)=K16,VLOOKUP(K16,'Train Runs'!$A$12:$B$989,2,TRUE),NA())</f>
        <v>4007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359</v>
      </c>
      <c r="C17" s="194" t="s">
        <v>361</v>
      </c>
      <c r="D17" s="208">
        <v>206</v>
      </c>
      <c r="E17" s="30" t="s">
        <v>363</v>
      </c>
      <c r="F17" s="208" t="b">
        <v>1</v>
      </c>
      <c r="G17" s="212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"%USERPROFILE%\AppData\Local\Temp\OnboardLogs"\RTDC4045\*4045*201703070*</v>
      </c>
      <c r="I17" s="210" t="str">
        <f>IF(VLOOKUP(K17,'Train Runs'!$A$13:$V$989,1,TRUE)=K17,VLOOKUP(K17,'Train Runs'!$A$13:$V$989,22,TRUE),NA())</f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206-04</v>
      </c>
      <c r="L17" s="202">
        <f>IF(VLOOKUP(K17,'Train Runs'!$A$12:$B$989,1,TRUE)=K17,VLOOKUP(K17,'Train Runs'!$A$12:$B$989,2,TRUE),NA())</f>
        <v>4045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359</v>
      </c>
      <c r="C18" s="194" t="s">
        <v>361</v>
      </c>
      <c r="D18" s="208">
        <v>210</v>
      </c>
      <c r="E18" s="30" t="s">
        <v>363</v>
      </c>
      <c r="F18" s="208" t="b">
        <v>1</v>
      </c>
      <c r="G18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"%USERPROFILE%\AppData\Local\Temp\OnboardLogs"\RTDC4013\*4013*201703070*</v>
      </c>
      <c r="I18" s="210" t="str">
        <f>IF(VLOOKUP(K18,'Train Runs'!$A$13:$V$989,1,TRUE)=K18,VLOOKUP(K18,'Train Runs'!$A$13:$V$989,22,TRUE),NA())</f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210-04</v>
      </c>
      <c r="L18" s="202">
        <f>IF(VLOOKUP(K18,'Train Runs'!$A$12:$B$989,1,TRUE)=K18,VLOOKUP(K18,'Train Runs'!$A$12:$B$989,2,TRUE),NA())</f>
        <v>4013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359</v>
      </c>
      <c r="C19" s="194" t="s">
        <v>361</v>
      </c>
      <c r="D19" s="208">
        <f>D18+2</f>
        <v>212</v>
      </c>
      <c r="E19" s="30" t="s">
        <v>363</v>
      </c>
      <c r="F19" s="208" t="b">
        <v>1</v>
      </c>
      <c r="G19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"%USERPROFILE%\AppData\Local\Temp\OnboardLogs"\RTDC4053\*4053*201703070*</v>
      </c>
      <c r="I19" s="210" t="str">
        <f>IF(VLOOKUP(K19,'Train Runs'!$A$13:$V$989,1,TRUE)=K19,VLOOKUP(K19,'Train Runs'!$A$13:$V$989,22,TRUE),NA())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212-04</v>
      </c>
      <c r="L19" s="202">
        <f>IF(VLOOKUP(K19,'Train Runs'!$A$12:$B$989,1,TRUE)=K19,VLOOKUP(K19,'Train Runs'!$A$12:$B$989,2,TRUE),NA())</f>
        <v>4053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359</v>
      </c>
      <c r="C20" s="194" t="s">
        <v>361</v>
      </c>
      <c r="D20" s="208">
        <v>214</v>
      </c>
      <c r="E20" s="30" t="s">
        <v>363</v>
      </c>
      <c r="F20" s="208" t="b">
        <v>1</v>
      </c>
      <c r="G20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"%USERPROFILE%\AppData\Local\Temp\OnboardLogs"\RTDC4003\*4003*201703070*</v>
      </c>
      <c r="I20" s="210" t="str">
        <f>IF(VLOOKUP(K20,'Train Runs'!$A$13:$V$989,1,TRUE)=K20,VLOOKUP(K20,'Train Runs'!$A$13:$V$989,22,TRUE),NA())</f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214-04</v>
      </c>
      <c r="L20" s="202">
        <f>IF(VLOOKUP(K20,'Train Runs'!$A$12:$B$989,1,TRUE)=K20,VLOOKUP(K20,'Train Runs'!$A$12:$B$989,2,TRUE),NA())</f>
        <v>4003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359</v>
      </c>
      <c r="C21" s="194" t="s">
        <v>361</v>
      </c>
      <c r="D21" s="208">
        <v>216</v>
      </c>
      <c r="E21" s="30" t="s">
        <v>363</v>
      </c>
      <c r="F21" s="208" t="b">
        <v>1</v>
      </c>
      <c r="G21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"%USERPROFILE%\AppData\Local\Temp\OnboardLogs"\RTDC4031\*4031*201703070*</v>
      </c>
      <c r="I21" s="210" t="str">
        <f>IF(VLOOKUP(K21,'Train Runs'!$A$13:$V$989,1,TRUE)=K21,VLOOKUP(K21,'Train Runs'!$A$13:$V$989,22,TRUE),NA())</f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216-04</v>
      </c>
      <c r="L21" s="202">
        <f>IF(VLOOKUP(K21,'Train Runs'!$A$12:$B$989,1,TRUE)=K21,VLOOKUP(K21,'Train Runs'!$A$12:$B$989,2,TRUE),NA())</f>
        <v>4031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359</v>
      </c>
      <c r="C22" s="194" t="s">
        <v>361</v>
      </c>
      <c r="D22" s="208">
        <f>D21+2</f>
        <v>218</v>
      </c>
      <c r="E22" s="30" t="s">
        <v>363</v>
      </c>
      <c r="F22" s="208" t="b">
        <v>1</v>
      </c>
      <c r="G22" s="212" t="str">
        <f t="shared" si="0"/>
        <v>"C:\Program Files (x86)\AstroGrep\AstroGrep.exe" /e /r /s /spath="%USERPROFILE%\AppData\Local\Temp\OnboardLogs" /stypes="*4009*201703070*"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"%USERPROFILE%\AppData\Local\Temp\OnboardLogs"\RTDC4009\*4009*201703070*</v>
      </c>
      <c r="I22" s="210" t="str">
        <f>IF(VLOOKUP(K22,'Train Runs'!$A$13:$V$989,1,TRUE)=K22,VLOOKUP(K22,'Train Runs'!$A$13:$V$989,22,TRUE),NA())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218-04</v>
      </c>
      <c r="L22" s="202">
        <f>IF(VLOOKUP(K22,'Train Runs'!$A$12:$B$989,1,TRUE)=K22,VLOOKUP(K22,'Train Runs'!$A$12:$B$989,2,TRUE),NA())</f>
        <v>4009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359</v>
      </c>
      <c r="C23" s="194" t="s">
        <v>361</v>
      </c>
      <c r="D23" s="208">
        <f>D22+2</f>
        <v>220</v>
      </c>
      <c r="E23" s="30" t="s">
        <v>363</v>
      </c>
      <c r="F23" s="208" t="b">
        <v>1</v>
      </c>
      <c r="G23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"%USERPROFILE%\AppData\Local\Temp\OnboardLogs"\RTDC4045\*4045*201703070*</v>
      </c>
      <c r="I23" s="210" t="str">
        <f>IF(VLOOKUP(K23,'Train Runs'!$A$13:$V$989,1,TRUE)=K23,VLOOKUP(K23,'Train Runs'!$A$13:$V$989,22,TRUE),NA())</f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220-04</v>
      </c>
      <c r="L23" s="202">
        <f>IF(VLOOKUP(K23,'Train Runs'!$A$12:$B$989,1,TRUE)=K23,VLOOKUP(K23,'Train Runs'!$A$12:$B$989,2,TRUE),NA())</f>
        <v>4045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359</v>
      </c>
      <c r="C24" s="194" t="s">
        <v>361</v>
      </c>
      <c r="D24" s="208">
        <f>D23+2</f>
        <v>222</v>
      </c>
      <c r="E24" s="30" t="s">
        <v>363</v>
      </c>
      <c r="F24" s="208" t="b">
        <v>1</v>
      </c>
      <c r="G24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"%USERPROFILE%\AppData\Local\Temp\OnboardLogs"\RTDC4013\*4013*201703070*</v>
      </c>
      <c r="I24" s="210" t="str">
        <f>IF(VLOOKUP(K24,'Train Runs'!$A$13:$V$989,1,TRUE)=K24,VLOOKUP(K24,'Train Runs'!$A$13:$V$989,22,TRUE),NA())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222-04</v>
      </c>
      <c r="L24" s="202">
        <f>IF(VLOOKUP(K24,'Train Runs'!$A$12:$B$989,1,TRUE)=K24,VLOOKUP(K24,'Train Runs'!$A$12:$B$989,2,TRUE),NA())</f>
        <v>4013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359</v>
      </c>
      <c r="C25" s="194" t="s">
        <v>361</v>
      </c>
      <c r="D25" s="208">
        <f>D24+2</f>
        <v>224</v>
      </c>
      <c r="E25" s="30" t="s">
        <v>363</v>
      </c>
      <c r="F25" s="208" t="b">
        <v>1</v>
      </c>
      <c r="G25" s="212" t="str">
        <f t="shared" si="0"/>
        <v>"C:\Program Files (x86)\AstroGrep\AstroGrep.exe" /e /r /s /spath="%USERPROFILE%\AppData\Local\Temp\OnboardLogs" /stypes="*4003*201703070*"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"%USERPROFILE%\AppData\Local\Temp\OnboardLogs"\RTDC4003\*4003*201703070*</v>
      </c>
      <c r="I25" s="210" t="str">
        <f>IF(VLOOKUP(K25,'Train Runs'!$A$13:$V$989,1,TRUE)=K25,VLOOKUP(K25,'Train Runs'!$A$13:$V$989,22,TRUE),NA())</f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224-04</v>
      </c>
      <c r="L25" s="202">
        <f>IF(VLOOKUP(K25,'Train Runs'!$A$12:$B$989,1,TRUE)=K25,VLOOKUP(K25,'Train Runs'!$A$12:$B$989,2,TRUE),NA())</f>
        <v>4003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359</v>
      </c>
      <c r="C26" s="194" t="s">
        <v>361</v>
      </c>
      <c r="D26" s="208">
        <f>D25+2</f>
        <v>226</v>
      </c>
      <c r="E26" s="30" t="s">
        <v>363</v>
      </c>
      <c r="F26" s="208" t="b">
        <v>1</v>
      </c>
      <c r="G26" s="212" t="str">
        <f t="shared" si="0"/>
        <v>"C:\Program Files (x86)\AstroGrep\AstroGrep.exe" /e /r /s /spath="%USERPROFILE%\AppData\Local\Temp\OnboardLogs" /stypes="*4009*201703070*"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"%USERPROFILE%\AppData\Local\Temp\OnboardLogs"\RTDC4009\*4009*201703070*</v>
      </c>
      <c r="I26" s="210" t="str">
        <f>IF(VLOOKUP(K26,'Train Runs'!$A$13:$V$989,1,TRUE)=K26,VLOOKUP(K26,'Train Runs'!$A$13:$V$989,22,TRUE),NA())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226-04</v>
      </c>
      <c r="L26" s="202">
        <f>IF(VLOOKUP(K26,'Train Runs'!$A$12:$B$989,1,TRUE)=K26,VLOOKUP(K26,'Train Runs'!$A$12:$B$989,2,TRUE),NA())</f>
        <v>4009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359</v>
      </c>
      <c r="C27" s="194" t="s">
        <v>361</v>
      </c>
      <c r="D27" s="208">
        <f t="shared" ref="D27:D33" si="5">D26+2</f>
        <v>228</v>
      </c>
      <c r="E27" s="30" t="s">
        <v>363</v>
      </c>
      <c r="F27" s="208" t="b">
        <v>1</v>
      </c>
      <c r="G27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"%USERPROFILE%\AppData\Local\Temp\OnboardLogs"\RTDC4045\*4045*201703070*</v>
      </c>
      <c r="I27" s="210" t="str">
        <f>IF(VLOOKUP(K27,'Train Runs'!$A$13:$V$989,1,TRUE)=K27,VLOOKUP(K27,'Train Runs'!$A$13:$V$989,22,TRUE),NA())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228-04</v>
      </c>
      <c r="L27" s="202">
        <f>IF(VLOOKUP(K27,'Train Runs'!$A$12:$B$989,1,TRUE)=K27,VLOOKUP(K27,'Train Runs'!$A$12:$B$989,2,TRUE),NA())</f>
        <v>4045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359</v>
      </c>
      <c r="C28" s="194" t="s">
        <v>361</v>
      </c>
      <c r="D28" s="208">
        <f t="shared" si="5"/>
        <v>230</v>
      </c>
      <c r="E28" s="30" t="s">
        <v>363</v>
      </c>
      <c r="F28" s="208" t="b">
        <v>1</v>
      </c>
      <c r="G28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"%USERPROFILE%\AppData\Local\Temp\OnboardLogs"\RTDC4013\*4013*201703070*</v>
      </c>
      <c r="I28" s="210" t="str">
        <f>IF(VLOOKUP(K28,'Train Runs'!$A$13:$V$989,1,TRUE)=K28,VLOOKUP(K28,'Train Runs'!$A$13:$V$989,22,TRUE),NA())</f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230-04</v>
      </c>
      <c r="L28" s="202">
        <f>IF(VLOOKUP(K28,'Train Runs'!$A$12:$B$989,1,TRUE)=K28,VLOOKUP(K28,'Train Runs'!$A$12:$B$989,2,TRUE),NA())</f>
        <v>4013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359</v>
      </c>
      <c r="C29" s="194" t="s">
        <v>361</v>
      </c>
      <c r="D29" s="208">
        <f t="shared" si="5"/>
        <v>232</v>
      </c>
      <c r="E29" s="30" t="s">
        <v>363</v>
      </c>
      <c r="F29" s="208" t="b">
        <v>1</v>
      </c>
      <c r="G29" s="212" t="str">
        <f t="shared" si="0"/>
        <v>"C:\Program Files (x86)\AstroGrep\AstroGrep.exe" /e /r /s /spath="%USERPROFILE%\AppData\Local\Temp\OnboardLogs" /stypes="*4003*201703070*"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"%USERPROFILE%\AppData\Local\Temp\OnboardLogs"\RTDC4003\*4003*201703070*</v>
      </c>
      <c r="I29" s="210" t="str">
        <f>IF(VLOOKUP(K29,'Train Runs'!$A$13:$V$989,1,TRUE)=K29,VLOOKUP(K29,'Train Runs'!$A$13:$V$989,22,TRUE),NA())</f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232-04</v>
      </c>
      <c r="L29" s="202">
        <f>IF(VLOOKUP(K29,'Train Runs'!$A$12:$B$989,1,TRUE)=K29,VLOOKUP(K29,'Train Runs'!$A$12:$B$989,2,TRUE),NA())</f>
        <v>4003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359</v>
      </c>
      <c r="C30" s="194" t="s">
        <v>361</v>
      </c>
      <c r="D30" s="208">
        <f t="shared" si="5"/>
        <v>234</v>
      </c>
      <c r="E30" s="30" t="s">
        <v>363</v>
      </c>
      <c r="F30" s="208" t="b">
        <v>1</v>
      </c>
      <c r="G30" s="212" t="str">
        <f t="shared" si="0"/>
        <v>"C:\Program Files (x86)\AstroGrep\AstroGrep.exe" /e /r /s /spath="%USERPROFILE%\AppData\Local\Temp\OnboardLogs" /stypes="*4009*201703070*"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"%USERPROFILE%\AppData\Local\Temp\OnboardLogs"\RTDC4009\*4009*201703070*</v>
      </c>
      <c r="I30" s="210" t="str">
        <f>IF(VLOOKUP(K30,'Train Runs'!$A$13:$V$989,1,TRUE)=K30,VLOOKUP(K30,'Train Runs'!$A$13:$V$989,22,TRUE),NA())</f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234-04</v>
      </c>
      <c r="L30" s="202">
        <f>IF(VLOOKUP(K30,'Train Runs'!$A$12:$B$989,1,TRUE)=K30,VLOOKUP(K30,'Train Runs'!$A$12:$B$989,2,TRUE),NA())</f>
        <v>4009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359</v>
      </c>
      <c r="C31" s="194" t="s">
        <v>361</v>
      </c>
      <c r="D31" s="208">
        <f t="shared" si="5"/>
        <v>236</v>
      </c>
      <c r="E31" s="30" t="s">
        <v>363</v>
      </c>
      <c r="F31" s="208" t="b">
        <v>1</v>
      </c>
      <c r="G31" s="212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"%USERPROFILE%\AppData\Local\Temp\OnboardLogs"\RTDC4045\*4045*201703070*</v>
      </c>
      <c r="I31" s="210" t="str">
        <f>IF(VLOOKUP(K31,'Train Runs'!$A$13:$V$989,1,TRUE)=K31,VLOOKUP(K31,'Train Runs'!$A$13:$V$989,22,TRUE),NA())</f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236-04</v>
      </c>
      <c r="L31" s="202">
        <f>IF(VLOOKUP(K31,'Train Runs'!$A$12:$B$989,1,TRUE)=K31,VLOOKUP(K31,'Train Runs'!$A$12:$B$989,2,TRUE),NA())</f>
        <v>4045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359</v>
      </c>
      <c r="C32" s="194" t="s">
        <v>361</v>
      </c>
      <c r="D32" s="208">
        <f t="shared" si="5"/>
        <v>238</v>
      </c>
      <c r="E32" s="30" t="s">
        <v>363</v>
      </c>
      <c r="F32" s="208" t="b">
        <v>1</v>
      </c>
      <c r="G32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"%USERPROFILE%\AppData\Local\Temp\OnboardLogs"\RTDC4013\*4013*201703070*</v>
      </c>
      <c r="I32" s="210" t="str">
        <f>IF(VLOOKUP(K32,'Train Runs'!$A$13:$V$989,1,TRUE)=K32,VLOOKUP(K32,'Train Runs'!$A$13:$V$989,22,TRUE),NA())</f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238-04</v>
      </c>
      <c r="L32" s="202">
        <f>IF(VLOOKUP(K32,'Train Runs'!$A$12:$B$989,1,TRUE)=K32,VLOOKUP(K32,'Train Runs'!$A$12:$B$989,2,TRUE),NA())</f>
        <v>4013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359</v>
      </c>
      <c r="C33" s="194" t="s">
        <v>361</v>
      </c>
      <c r="D33" s="208">
        <f t="shared" si="5"/>
        <v>240</v>
      </c>
      <c r="E33" s="30" t="s">
        <v>363</v>
      </c>
      <c r="F33" s="208" t="b">
        <v>1</v>
      </c>
      <c r="G33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"%USERPROFILE%\AppData\Local\Temp\OnboardLogs"\RTDC4003\*4003*201703070*</v>
      </c>
      <c r="I33" s="210" t="str">
        <f>IF(VLOOKUP(K33,'Train Runs'!$A$13:$V$989,1,TRUE)=K33,VLOOKUP(K33,'Train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240-04</v>
      </c>
      <c r="L33" s="202">
        <f>IF(VLOOKUP(K33,'Train Runs'!$A$12:$B$989,1,TRUE)=K33,VLOOKUP(K33,'Train Runs'!$A$12:$B$989,2,TRUE),NA())</f>
        <v>4003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359</v>
      </c>
      <c r="C34" s="194" t="s">
        <v>361</v>
      </c>
      <c r="D34" s="208">
        <v>240</v>
      </c>
      <c r="E34" s="30" t="s">
        <v>363</v>
      </c>
      <c r="F34" s="208" t="b">
        <v>1</v>
      </c>
      <c r="G34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"%USERPROFILE%\AppData\Local\Temp\OnboardLogs"\RTDC4003\*4003*201703070*</v>
      </c>
      <c r="I34" s="210" t="str">
        <f>IF(VLOOKUP(K34,'Train Runs'!$A$13:$V$989,1,TRUE)=K34,VLOOKUP(K34,'Train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240-04</v>
      </c>
      <c r="L34" s="202">
        <f>IF(VLOOKUP(K34,'Train Runs'!$A$12:$B$989,1,TRUE)=K34,VLOOKUP(K34,'Train Runs'!$A$12:$B$989,2,TRUE),NA())</f>
        <v>4003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359</v>
      </c>
      <c r="C35" s="194" t="s">
        <v>361</v>
      </c>
      <c r="D35" s="208">
        <v>242</v>
      </c>
      <c r="E35" s="30" t="s">
        <v>363</v>
      </c>
      <c r="F35" s="208" t="b">
        <v>1</v>
      </c>
      <c r="G35" s="212" t="str">
        <f t="shared" si="0"/>
        <v>"C:\Program Files (x86)\AstroGrep\AstroGrep.exe" /e /r /s /spath="%USERPROFILE%\AppData\Local\Temp\OnboardLogs" /stypes="*4009*201703070*"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"%USERPROFILE%\AppData\Local\Temp\OnboardLogs"\RTDC4009\*4009*201703070*</v>
      </c>
      <c r="I35" s="210" t="str">
        <f>IF(VLOOKUP(K35,'Train Runs'!$A$13:$V$989,1,TRUE)=K35,VLOOKUP(K35,'Train Runs'!$A$13:$V$989,22,TRUE),NA())</f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242-04</v>
      </c>
      <c r="L35" s="202">
        <f>IF(VLOOKUP(K35,'Train Runs'!$A$12:$B$989,1,TRUE)=K35,VLOOKUP(K35,'Train Runs'!$A$12:$B$989,2,TRUE),NA())</f>
        <v>4009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42829.03266203704</v>
      </c>
      <c r="B2" s="20" t="s">
        <v>445</v>
      </c>
      <c r="C2" s="20" t="s">
        <v>520</v>
      </c>
      <c r="D2" s="146">
        <v>1800000</v>
      </c>
      <c r="E2" s="20" t="s">
        <v>404</v>
      </c>
      <c r="F2" s="20" t="s">
        <v>405</v>
      </c>
      <c r="G2" s="8" t="str">
        <f>E2&amp;" "&amp;F2</f>
        <v>CHANDLER KELVIN</v>
      </c>
    </row>
    <row r="3" spans="1:7" x14ac:dyDescent="0.25">
      <c r="A3" s="8">
        <v>42829.038217592592</v>
      </c>
      <c r="B3" s="20" t="s">
        <v>385</v>
      </c>
      <c r="C3" s="20" t="s">
        <v>501</v>
      </c>
      <c r="D3" s="146">
        <v>2680000</v>
      </c>
      <c r="E3" s="20" t="s">
        <v>482</v>
      </c>
      <c r="F3" s="20" t="s">
        <v>483</v>
      </c>
      <c r="G3" s="8" t="str">
        <f t="shared" ref="G3:G66" si="0">E3&amp;" "&amp;F3</f>
        <v>DUNCAN SHEILA</v>
      </c>
    </row>
    <row r="4" spans="1:7" x14ac:dyDescent="0.25">
      <c r="A4" s="8">
        <v>42829.038773148146</v>
      </c>
      <c r="B4" s="20" t="s">
        <v>385</v>
      </c>
      <c r="C4" s="20" t="s">
        <v>501</v>
      </c>
      <c r="D4" s="146">
        <v>2680000</v>
      </c>
      <c r="E4" s="20" t="s">
        <v>482</v>
      </c>
      <c r="F4" s="20" t="s">
        <v>483</v>
      </c>
      <c r="G4" s="8" t="str">
        <f t="shared" si="0"/>
        <v>DUNCAN SHEILA</v>
      </c>
    </row>
    <row r="5" spans="1:7" x14ac:dyDescent="0.25">
      <c r="A5" s="8">
        <v>42829.046805555554</v>
      </c>
      <c r="B5" s="20" t="s">
        <v>472</v>
      </c>
      <c r="C5" s="20" t="s">
        <v>519</v>
      </c>
      <c r="D5" s="146">
        <v>1740000</v>
      </c>
      <c r="E5" s="20" t="s">
        <v>409</v>
      </c>
      <c r="F5" s="20" t="s">
        <v>410</v>
      </c>
      <c r="G5" s="8" t="str">
        <f t="shared" si="0"/>
        <v>STORY SAMANTHA</v>
      </c>
    </row>
    <row r="6" spans="1:7" x14ac:dyDescent="0.25">
      <c r="A6" s="8">
        <v>42829.050011574072</v>
      </c>
      <c r="B6" s="20" t="s">
        <v>201</v>
      </c>
      <c r="C6" s="20" t="s">
        <v>521</v>
      </c>
      <c r="D6" s="146">
        <v>2230000</v>
      </c>
      <c r="E6" s="20" t="s">
        <v>386</v>
      </c>
      <c r="F6" s="20" t="s">
        <v>198</v>
      </c>
      <c r="G6" s="8" t="str">
        <f t="shared" si="0"/>
        <v>SMITH MICHAEL</v>
      </c>
    </row>
    <row r="7" spans="1:7" x14ac:dyDescent="0.25">
      <c r="A7" s="8">
        <v>42829.053888888891</v>
      </c>
      <c r="B7" s="20" t="s">
        <v>384</v>
      </c>
      <c r="C7" s="20" t="s">
        <v>501</v>
      </c>
      <c r="D7" s="146">
        <v>2680000</v>
      </c>
      <c r="E7" s="20" t="s">
        <v>482</v>
      </c>
      <c r="F7" s="20" t="s">
        <v>483</v>
      </c>
      <c r="G7" s="8" t="str">
        <f t="shared" si="0"/>
        <v>DUNCAN SHEILA</v>
      </c>
    </row>
    <row r="8" spans="1:7" x14ac:dyDescent="0.25">
      <c r="A8" s="8">
        <v>42829.05914351852</v>
      </c>
      <c r="B8" s="20" t="s">
        <v>471</v>
      </c>
      <c r="C8" s="20" t="s">
        <v>522</v>
      </c>
      <c r="D8" s="146">
        <v>1740000</v>
      </c>
      <c r="E8" s="20" t="s">
        <v>409</v>
      </c>
      <c r="F8" s="20" t="s">
        <v>410</v>
      </c>
      <c r="G8" s="8" t="str">
        <f t="shared" si="0"/>
        <v>STORY SAMANTHA</v>
      </c>
    </row>
    <row r="9" spans="1:7" ht="15.75" thickBot="1" x14ac:dyDescent="0.3">
      <c r="A9" s="24">
        <v>42829.068726851852</v>
      </c>
      <c r="B9" s="20" t="s">
        <v>385</v>
      </c>
      <c r="C9" s="20" t="s">
        <v>501</v>
      </c>
      <c r="D9" s="146">
        <v>2680000</v>
      </c>
      <c r="E9" s="20" t="s">
        <v>482</v>
      </c>
      <c r="F9" s="20" t="s">
        <v>483</v>
      </c>
      <c r="G9" s="8" t="str">
        <f t="shared" si="0"/>
        <v>DUNCAN SHEILA</v>
      </c>
    </row>
    <row r="10" spans="1:7" x14ac:dyDescent="0.25">
      <c r="A10" s="8">
        <v>42829.073252314818</v>
      </c>
      <c r="B10" s="20" t="s">
        <v>377</v>
      </c>
      <c r="C10" s="20" t="s">
        <v>523</v>
      </c>
      <c r="D10" s="146">
        <v>2970000</v>
      </c>
      <c r="E10" s="20" t="s">
        <v>515</v>
      </c>
      <c r="F10" s="20" t="s">
        <v>516</v>
      </c>
      <c r="G10" s="8" t="str">
        <f t="shared" si="0"/>
        <v>GUZMAN DANNY</v>
      </c>
    </row>
    <row r="11" spans="1:7" x14ac:dyDescent="0.25">
      <c r="A11" s="8">
        <v>42829.079479166663</v>
      </c>
      <c r="B11" s="20" t="s">
        <v>384</v>
      </c>
      <c r="C11" s="20" t="s">
        <v>501</v>
      </c>
      <c r="D11" s="146">
        <v>2680000</v>
      </c>
      <c r="E11" s="20" t="s">
        <v>482</v>
      </c>
      <c r="F11" s="20" t="s">
        <v>483</v>
      </c>
      <c r="G11" s="8" t="str">
        <f t="shared" si="0"/>
        <v>DUNCAN SHEILA</v>
      </c>
    </row>
    <row r="12" spans="1:7" x14ac:dyDescent="0.25">
      <c r="A12" s="8">
        <v>42829.080277777779</v>
      </c>
      <c r="B12" s="20" t="s">
        <v>384</v>
      </c>
      <c r="C12" s="20" t="s">
        <v>501</v>
      </c>
      <c r="D12" s="146">
        <v>2680000</v>
      </c>
      <c r="E12" s="20" t="s">
        <v>482</v>
      </c>
      <c r="F12" s="20" t="s">
        <v>483</v>
      </c>
      <c r="G12" s="8" t="str">
        <f t="shared" si="0"/>
        <v>DUNCAN SHEILA</v>
      </c>
    </row>
    <row r="13" spans="1:7" x14ac:dyDescent="0.25">
      <c r="A13" s="8">
        <v>42829.081296296295</v>
      </c>
      <c r="B13" s="20" t="s">
        <v>384</v>
      </c>
      <c r="C13" s="20" t="s">
        <v>501</v>
      </c>
      <c r="D13" s="146">
        <v>2680000</v>
      </c>
      <c r="E13" s="20" t="s">
        <v>482</v>
      </c>
      <c r="F13" s="20" t="s">
        <v>483</v>
      </c>
      <c r="G13" s="8" t="str">
        <f t="shared" si="0"/>
        <v>DUNCAN SHEILA</v>
      </c>
    </row>
    <row r="14" spans="1:7" x14ac:dyDescent="0.25">
      <c r="A14" s="8">
        <v>42829.090208333335</v>
      </c>
      <c r="B14" s="20" t="s">
        <v>472</v>
      </c>
      <c r="C14" s="20" t="s">
        <v>524</v>
      </c>
      <c r="D14" s="146">
        <v>1740000</v>
      </c>
      <c r="E14" s="20" t="s">
        <v>409</v>
      </c>
      <c r="F14" s="20" t="s">
        <v>410</v>
      </c>
      <c r="G14" s="8" t="str">
        <f t="shared" si="0"/>
        <v>STORY SAMANTHA</v>
      </c>
    </row>
    <row r="15" spans="1:7" x14ac:dyDescent="0.25">
      <c r="A15" s="8">
        <v>42829.091516203705</v>
      </c>
      <c r="B15" s="20" t="s">
        <v>385</v>
      </c>
      <c r="C15" s="20" t="s">
        <v>501</v>
      </c>
      <c r="D15" s="146">
        <v>2680000</v>
      </c>
      <c r="E15" s="20" t="s">
        <v>482</v>
      </c>
      <c r="F15" s="20" t="s">
        <v>483</v>
      </c>
      <c r="G15" s="8" t="str">
        <f t="shared" si="0"/>
        <v>DUNCAN SHEILA</v>
      </c>
    </row>
    <row r="16" spans="1:7" x14ac:dyDescent="0.25">
      <c r="A16" s="8">
        <v>42829.10125</v>
      </c>
      <c r="B16" s="20" t="s">
        <v>384</v>
      </c>
      <c r="C16" s="20" t="s">
        <v>501</v>
      </c>
      <c r="D16" s="146">
        <v>2680000</v>
      </c>
      <c r="E16" s="20" t="s">
        <v>482</v>
      </c>
      <c r="F16" s="20" t="s">
        <v>483</v>
      </c>
      <c r="G16" s="8" t="str">
        <f t="shared" si="0"/>
        <v>DUNCAN SHEILA</v>
      </c>
    </row>
    <row r="17" spans="1:7" x14ac:dyDescent="0.25">
      <c r="A17" s="8">
        <v>42829.101967592593</v>
      </c>
      <c r="B17" s="20" t="s">
        <v>384</v>
      </c>
      <c r="C17" s="20" t="s">
        <v>501</v>
      </c>
      <c r="D17" s="146">
        <v>2680000</v>
      </c>
      <c r="E17" s="20" t="s">
        <v>482</v>
      </c>
      <c r="F17" s="20" t="s">
        <v>483</v>
      </c>
      <c r="G17" s="8" t="str">
        <f t="shared" si="0"/>
        <v>DUNCAN SHEILA</v>
      </c>
    </row>
    <row r="18" spans="1:7" x14ac:dyDescent="0.25">
      <c r="A18" s="8">
        <v>42829.102858796294</v>
      </c>
      <c r="B18" s="20" t="s">
        <v>384</v>
      </c>
      <c r="C18" s="20" t="s">
        <v>501</v>
      </c>
      <c r="D18" s="146">
        <v>2680000</v>
      </c>
      <c r="E18" s="20" t="s">
        <v>482</v>
      </c>
      <c r="F18" s="20" t="s">
        <v>483</v>
      </c>
      <c r="G18" s="8" t="str">
        <f t="shared" si="0"/>
        <v>DUNCAN SHEILA</v>
      </c>
    </row>
    <row r="19" spans="1:7" x14ac:dyDescent="0.25">
      <c r="A19" s="8">
        <v>42829.111539351848</v>
      </c>
      <c r="B19" s="20" t="s">
        <v>385</v>
      </c>
      <c r="C19" s="20" t="s">
        <v>501</v>
      </c>
      <c r="D19" s="146">
        <v>2680000</v>
      </c>
      <c r="E19" s="20" t="s">
        <v>482</v>
      </c>
      <c r="F19" s="20" t="s">
        <v>483</v>
      </c>
      <c r="G19" s="8" t="str">
        <f t="shared" si="0"/>
        <v>DUNCAN SHEILA</v>
      </c>
    </row>
    <row r="20" spans="1:7" x14ac:dyDescent="0.25">
      <c r="A20" s="8">
        <v>42829.112569444442</v>
      </c>
      <c r="B20" s="20" t="s">
        <v>385</v>
      </c>
      <c r="C20" s="20" t="s">
        <v>501</v>
      </c>
      <c r="D20" s="146">
        <v>2680000</v>
      </c>
      <c r="E20" s="20" t="s">
        <v>482</v>
      </c>
      <c r="F20" s="20" t="s">
        <v>483</v>
      </c>
      <c r="G20" s="8" t="str">
        <f t="shared" si="0"/>
        <v>DUNCAN SHEILA</v>
      </c>
    </row>
    <row r="21" spans="1:7" x14ac:dyDescent="0.25">
      <c r="A21" s="8">
        <v>42829.11310185185</v>
      </c>
      <c r="B21" s="20" t="s">
        <v>385</v>
      </c>
      <c r="C21" s="20" t="s">
        <v>501</v>
      </c>
      <c r="D21" s="146">
        <v>2680000</v>
      </c>
      <c r="E21" s="20" t="s">
        <v>482</v>
      </c>
      <c r="F21" s="20" t="s">
        <v>483</v>
      </c>
      <c r="G21" s="8" t="str">
        <f t="shared" si="0"/>
        <v>DUNCAN SHEILA</v>
      </c>
    </row>
    <row r="22" spans="1:7" x14ac:dyDescent="0.25">
      <c r="A22" s="26">
        <v>42829.113981481481</v>
      </c>
      <c r="B22" s="20" t="s">
        <v>385</v>
      </c>
      <c r="C22" s="20" t="s">
        <v>501</v>
      </c>
      <c r="D22" s="146">
        <v>2680000</v>
      </c>
      <c r="E22" s="20" t="s">
        <v>482</v>
      </c>
      <c r="F22" s="20" t="s">
        <v>483</v>
      </c>
      <c r="G22" s="8" t="str">
        <f t="shared" si="0"/>
        <v>DUNCAN SHEILA</v>
      </c>
    </row>
    <row r="23" spans="1:7" x14ac:dyDescent="0.25">
      <c r="A23" s="8">
        <v>42829.115208333336</v>
      </c>
      <c r="B23" s="20" t="s">
        <v>385</v>
      </c>
      <c r="C23" s="20" t="s">
        <v>501</v>
      </c>
      <c r="D23" s="146">
        <v>2680000</v>
      </c>
      <c r="E23" s="20" t="s">
        <v>482</v>
      </c>
      <c r="F23" s="20" t="s">
        <v>483</v>
      </c>
      <c r="G23" s="8" t="str">
        <f t="shared" si="0"/>
        <v>DUNCAN SHEILA</v>
      </c>
    </row>
    <row r="24" spans="1:7" x14ac:dyDescent="0.25">
      <c r="A24" s="8">
        <v>42829.116516203707</v>
      </c>
      <c r="B24" s="20" t="s">
        <v>385</v>
      </c>
      <c r="C24" s="20" t="s">
        <v>501</v>
      </c>
      <c r="D24" s="146">
        <v>2680000</v>
      </c>
      <c r="E24" s="20" t="s">
        <v>482</v>
      </c>
      <c r="F24" s="20" t="s">
        <v>483</v>
      </c>
      <c r="G24" s="8" t="str">
        <f t="shared" si="0"/>
        <v>DUNCAN SHEILA</v>
      </c>
    </row>
    <row r="25" spans="1:7" x14ac:dyDescent="0.25">
      <c r="A25" s="8">
        <v>42829.119409722225</v>
      </c>
      <c r="B25" s="20" t="s">
        <v>597</v>
      </c>
      <c r="C25" s="20" t="s">
        <v>629</v>
      </c>
      <c r="D25" s="146">
        <v>1360000</v>
      </c>
      <c r="E25" s="20" t="s">
        <v>473</v>
      </c>
      <c r="F25" s="20" t="s">
        <v>474</v>
      </c>
      <c r="G25" s="8" t="str">
        <f t="shared" si="0"/>
        <v>SANTIZO D. EDY</v>
      </c>
    </row>
    <row r="26" spans="1:7" x14ac:dyDescent="0.25">
      <c r="A26" s="8">
        <v>42829.121145833335</v>
      </c>
      <c r="B26" s="20" t="s">
        <v>597</v>
      </c>
      <c r="C26" s="20" t="s">
        <v>629</v>
      </c>
      <c r="D26" s="146">
        <v>1360000</v>
      </c>
      <c r="E26" s="20" t="s">
        <v>473</v>
      </c>
      <c r="F26" s="20" t="s">
        <v>474</v>
      </c>
      <c r="G26" s="8" t="str">
        <f t="shared" si="0"/>
        <v>SANTIZO D. EDY</v>
      </c>
    </row>
    <row r="27" spans="1:7" x14ac:dyDescent="0.25">
      <c r="A27" s="8">
        <v>42829.129872685182</v>
      </c>
      <c r="B27" s="20" t="s">
        <v>384</v>
      </c>
      <c r="C27" s="20" t="s">
        <v>501</v>
      </c>
      <c r="D27" s="146">
        <v>2680000</v>
      </c>
      <c r="E27" s="20" t="s">
        <v>482</v>
      </c>
      <c r="F27" s="20" t="s">
        <v>483</v>
      </c>
      <c r="G27" s="8" t="str">
        <f t="shared" si="0"/>
        <v>DUNCAN SHEILA</v>
      </c>
    </row>
    <row r="28" spans="1:7" x14ac:dyDescent="0.25">
      <c r="A28" s="8">
        <v>42829.131365740737</v>
      </c>
      <c r="B28" s="20" t="s">
        <v>413</v>
      </c>
      <c r="C28" s="20" t="s">
        <v>630</v>
      </c>
      <c r="D28" s="146">
        <v>1360000</v>
      </c>
      <c r="E28" s="20" t="s">
        <v>473</v>
      </c>
      <c r="F28" s="20" t="s">
        <v>474</v>
      </c>
      <c r="G28" s="8" t="str">
        <f t="shared" si="0"/>
        <v>SANTIZO D. EDY</v>
      </c>
    </row>
    <row r="29" spans="1:7" x14ac:dyDescent="0.25">
      <c r="A29" s="8">
        <v>42829.138414351852</v>
      </c>
      <c r="B29" s="20" t="s">
        <v>381</v>
      </c>
      <c r="C29" s="20" t="s">
        <v>631</v>
      </c>
      <c r="D29" s="146">
        <v>2010000</v>
      </c>
      <c r="E29" s="20" t="s">
        <v>475</v>
      </c>
      <c r="F29" s="20" t="s">
        <v>476</v>
      </c>
      <c r="G29" s="8" t="str">
        <f t="shared" si="0"/>
        <v>MAELZER KURT</v>
      </c>
    </row>
    <row r="30" spans="1:7" x14ac:dyDescent="0.25">
      <c r="A30" s="8">
        <v>42829.140740740739</v>
      </c>
      <c r="B30" s="20" t="s">
        <v>384</v>
      </c>
      <c r="C30" s="20" t="s">
        <v>501</v>
      </c>
      <c r="D30" s="146">
        <v>2680000</v>
      </c>
      <c r="E30" s="20" t="s">
        <v>482</v>
      </c>
      <c r="F30" s="20" t="s">
        <v>483</v>
      </c>
      <c r="G30" s="8" t="str">
        <f t="shared" si="0"/>
        <v>DUNCAN SHEILA</v>
      </c>
    </row>
    <row r="31" spans="1:7" x14ac:dyDescent="0.25">
      <c r="A31" s="8">
        <v>42829.150023148148</v>
      </c>
      <c r="B31" s="20" t="s">
        <v>496</v>
      </c>
      <c r="C31" s="20" t="s">
        <v>632</v>
      </c>
      <c r="D31" s="146">
        <v>2010000</v>
      </c>
      <c r="E31" s="20" t="s">
        <v>475</v>
      </c>
      <c r="F31" s="20" t="s">
        <v>476</v>
      </c>
      <c r="G31" s="8" t="str">
        <f t="shared" si="0"/>
        <v>MAELZER KURT</v>
      </c>
    </row>
    <row r="32" spans="1:7" x14ac:dyDescent="0.25">
      <c r="A32" s="8">
        <v>42829.163993055554</v>
      </c>
      <c r="B32" s="20" t="s">
        <v>597</v>
      </c>
      <c r="C32" s="20" t="s">
        <v>633</v>
      </c>
      <c r="D32" s="146">
        <v>1360000</v>
      </c>
      <c r="E32" s="20" t="s">
        <v>473</v>
      </c>
      <c r="F32" s="20" t="s">
        <v>474</v>
      </c>
      <c r="G32" s="8" t="str">
        <f t="shared" si="0"/>
        <v>SANTIZO D. EDY</v>
      </c>
    </row>
    <row r="33" spans="1:7" x14ac:dyDescent="0.25">
      <c r="A33" s="8">
        <v>42829.165300925924</v>
      </c>
      <c r="B33" s="20" t="s">
        <v>455</v>
      </c>
      <c r="C33" s="20" t="s">
        <v>584</v>
      </c>
      <c r="D33" s="146">
        <v>1110000</v>
      </c>
      <c r="E33" s="20" t="s">
        <v>503</v>
      </c>
      <c r="F33" s="20" t="s">
        <v>504</v>
      </c>
      <c r="G33" s="8" t="str">
        <f t="shared" si="0"/>
        <v>STARKS ANGELINA</v>
      </c>
    </row>
    <row r="34" spans="1:7" x14ac:dyDescent="0.25">
      <c r="A34" s="8">
        <v>42829.171122685184</v>
      </c>
      <c r="B34" s="20" t="s">
        <v>456</v>
      </c>
      <c r="C34" s="20" t="s">
        <v>634</v>
      </c>
      <c r="D34" s="146">
        <v>3000000</v>
      </c>
      <c r="E34" s="20" t="s">
        <v>505</v>
      </c>
      <c r="F34" s="20" t="s">
        <v>506</v>
      </c>
      <c r="G34" s="8" t="str">
        <f t="shared" si="0"/>
        <v>FORTUNATO FRANK</v>
      </c>
    </row>
    <row r="35" spans="1:7" x14ac:dyDescent="0.25">
      <c r="A35" s="8">
        <v>42829.174872685187</v>
      </c>
      <c r="B35" s="20" t="s">
        <v>385</v>
      </c>
      <c r="C35" s="20" t="s">
        <v>501</v>
      </c>
      <c r="D35" s="146">
        <v>2680000</v>
      </c>
      <c r="E35" s="20" t="s">
        <v>482</v>
      </c>
      <c r="F35" s="20" t="s">
        <v>483</v>
      </c>
      <c r="G35" s="8" t="str">
        <f t="shared" si="0"/>
        <v>DUNCAN SHEILA</v>
      </c>
    </row>
    <row r="36" spans="1:7" x14ac:dyDescent="0.25">
      <c r="A36" s="8">
        <v>42829.17627314815</v>
      </c>
      <c r="B36" s="20" t="s">
        <v>385</v>
      </c>
      <c r="C36" s="20" t="s">
        <v>501</v>
      </c>
      <c r="D36" s="146">
        <v>2680000</v>
      </c>
      <c r="E36" s="20" t="s">
        <v>482</v>
      </c>
      <c r="F36" s="20" t="s">
        <v>483</v>
      </c>
      <c r="G36" s="8" t="str">
        <f t="shared" si="0"/>
        <v>DUNCAN SHEILA</v>
      </c>
    </row>
    <row r="37" spans="1:7" x14ac:dyDescent="0.25">
      <c r="A37" s="8">
        <v>42829.177627314813</v>
      </c>
      <c r="B37" s="20" t="s">
        <v>385</v>
      </c>
      <c r="C37" s="20" t="s">
        <v>501</v>
      </c>
      <c r="D37" s="146">
        <v>2680000</v>
      </c>
      <c r="E37" s="20" t="s">
        <v>482</v>
      </c>
      <c r="F37" s="20" t="s">
        <v>483</v>
      </c>
      <c r="G37" s="8" t="str">
        <f t="shared" si="0"/>
        <v>DUNCAN SHEILA</v>
      </c>
    </row>
    <row r="38" spans="1:7" x14ac:dyDescent="0.25">
      <c r="A38" s="8">
        <v>42829.178703703707</v>
      </c>
      <c r="B38" s="20" t="s">
        <v>385</v>
      </c>
      <c r="C38" s="20" t="s">
        <v>501</v>
      </c>
      <c r="D38" s="146">
        <v>2680000</v>
      </c>
      <c r="E38" s="20" t="s">
        <v>482</v>
      </c>
      <c r="F38" s="20" t="s">
        <v>483</v>
      </c>
      <c r="G38" s="8" t="str">
        <f t="shared" si="0"/>
        <v>DUNCAN SHEILA</v>
      </c>
    </row>
    <row r="39" spans="1:7" x14ac:dyDescent="0.25">
      <c r="A39" s="8">
        <v>42829.178796296299</v>
      </c>
      <c r="B39" s="20" t="s">
        <v>498</v>
      </c>
      <c r="C39" s="20" t="s">
        <v>635</v>
      </c>
      <c r="D39" s="146">
        <v>1990000</v>
      </c>
      <c r="E39" s="20" t="s">
        <v>477</v>
      </c>
      <c r="F39" s="20" t="s">
        <v>478</v>
      </c>
      <c r="G39" s="8" t="str">
        <f t="shared" si="0"/>
        <v>DAVIS WENDY</v>
      </c>
    </row>
    <row r="40" spans="1:7" x14ac:dyDescent="0.25">
      <c r="A40" s="8">
        <v>42829.179131944446</v>
      </c>
      <c r="B40" s="25" t="s">
        <v>388</v>
      </c>
      <c r="C40" s="20" t="s">
        <v>585</v>
      </c>
      <c r="D40" s="146">
        <v>1110000</v>
      </c>
      <c r="E40" s="20" t="s">
        <v>503</v>
      </c>
      <c r="F40" s="20" t="s">
        <v>504</v>
      </c>
      <c r="G40" s="8" t="str">
        <f t="shared" si="0"/>
        <v>STARKS ANGELINA</v>
      </c>
    </row>
    <row r="41" spans="1:7" x14ac:dyDescent="0.25">
      <c r="A41" s="8">
        <v>42829.179594907408</v>
      </c>
      <c r="B41" s="20" t="s">
        <v>498</v>
      </c>
      <c r="C41" s="20" t="s">
        <v>635</v>
      </c>
      <c r="D41" s="146">
        <v>1990000</v>
      </c>
      <c r="E41" s="20" t="s">
        <v>477</v>
      </c>
      <c r="F41" s="20" t="s">
        <v>478</v>
      </c>
      <c r="G41" s="8" t="str">
        <f t="shared" si="0"/>
        <v>DAVIS WENDY</v>
      </c>
    </row>
    <row r="42" spans="1:7" x14ac:dyDescent="0.25">
      <c r="A42" s="8">
        <v>42829.180694444447</v>
      </c>
      <c r="B42" s="20" t="s">
        <v>382</v>
      </c>
      <c r="C42" s="20" t="s">
        <v>636</v>
      </c>
      <c r="D42" s="146">
        <v>3000000</v>
      </c>
      <c r="E42" s="20" t="s">
        <v>505</v>
      </c>
      <c r="F42" s="20" t="s">
        <v>506</v>
      </c>
      <c r="G42" s="8" t="str">
        <f t="shared" si="0"/>
        <v>FORTUNATO FRANK</v>
      </c>
    </row>
    <row r="43" spans="1:7" x14ac:dyDescent="0.25">
      <c r="A43" s="8">
        <v>42829.185416666667</v>
      </c>
      <c r="B43" s="20" t="s">
        <v>388</v>
      </c>
      <c r="C43" s="20" t="s">
        <v>585</v>
      </c>
      <c r="D43" s="146">
        <v>1110000</v>
      </c>
      <c r="E43" s="20" t="s">
        <v>503</v>
      </c>
      <c r="F43" s="20" t="s">
        <v>504</v>
      </c>
      <c r="G43" s="8" t="str">
        <f t="shared" si="0"/>
        <v>STARKS ANGELINA</v>
      </c>
    </row>
    <row r="44" spans="1:7" x14ac:dyDescent="0.25">
      <c r="A44" s="8">
        <v>42829.189918981479</v>
      </c>
      <c r="B44" s="20" t="s">
        <v>381</v>
      </c>
      <c r="C44" s="20" t="s">
        <v>637</v>
      </c>
      <c r="D44" s="146">
        <v>2010000</v>
      </c>
      <c r="E44" s="20" t="s">
        <v>475</v>
      </c>
      <c r="F44" s="20" t="s">
        <v>476</v>
      </c>
      <c r="G44" s="8" t="str">
        <f t="shared" si="0"/>
        <v>MAELZER KURT</v>
      </c>
    </row>
    <row r="45" spans="1:7" x14ac:dyDescent="0.25">
      <c r="A45" s="8">
        <v>42829.194548611114</v>
      </c>
      <c r="B45" s="20" t="s">
        <v>507</v>
      </c>
      <c r="C45" s="20" t="s">
        <v>638</v>
      </c>
      <c r="D45" s="146">
        <v>1990000</v>
      </c>
      <c r="E45" s="20" t="s">
        <v>477</v>
      </c>
      <c r="F45" s="20" t="s">
        <v>478</v>
      </c>
      <c r="G45" s="8" t="str">
        <f t="shared" si="0"/>
        <v>DAVIS WENDY</v>
      </c>
    </row>
    <row r="46" spans="1:7" x14ac:dyDescent="0.25">
      <c r="A46" s="8">
        <v>42829.201550925929</v>
      </c>
      <c r="B46" s="20" t="s">
        <v>639</v>
      </c>
      <c r="C46" s="20" t="s">
        <v>640</v>
      </c>
      <c r="D46" s="146">
        <v>1830000</v>
      </c>
      <c r="E46" s="20" t="s">
        <v>446</v>
      </c>
      <c r="F46" s="20" t="s">
        <v>447</v>
      </c>
      <c r="G46" s="8" t="str">
        <f t="shared" si="0"/>
        <v>YORK EDGAR</v>
      </c>
    </row>
    <row r="47" spans="1:7" x14ac:dyDescent="0.25">
      <c r="A47" s="8">
        <v>42829.21020833333</v>
      </c>
      <c r="B47" s="20" t="s">
        <v>413</v>
      </c>
      <c r="C47" s="20" t="s">
        <v>641</v>
      </c>
      <c r="D47" s="146">
        <v>890000</v>
      </c>
      <c r="E47" s="20" t="s">
        <v>642</v>
      </c>
      <c r="F47" s="20" t="s">
        <v>643</v>
      </c>
      <c r="G47" s="8" t="str">
        <f t="shared" si="0"/>
        <v>LOZA FIDEL</v>
      </c>
    </row>
    <row r="48" spans="1:7" x14ac:dyDescent="0.25">
      <c r="A48" s="8">
        <v>42829.211215277777</v>
      </c>
      <c r="B48" s="20" t="s">
        <v>470</v>
      </c>
      <c r="C48" s="20" t="s">
        <v>589</v>
      </c>
      <c r="D48" s="146">
        <v>1360000</v>
      </c>
      <c r="E48" s="20" t="s">
        <v>473</v>
      </c>
      <c r="F48" s="20" t="s">
        <v>474</v>
      </c>
      <c r="G48" s="8" t="str">
        <f t="shared" si="0"/>
        <v>SANTIZO D. EDY</v>
      </c>
    </row>
    <row r="49" spans="1:7" x14ac:dyDescent="0.25">
      <c r="A49" s="8">
        <v>42829.211493055554</v>
      </c>
      <c r="B49" s="20" t="s">
        <v>644</v>
      </c>
      <c r="C49" s="20" t="s">
        <v>645</v>
      </c>
      <c r="D49" s="146">
        <v>1830000</v>
      </c>
      <c r="E49" s="20" t="s">
        <v>446</v>
      </c>
      <c r="F49" s="20" t="s">
        <v>447</v>
      </c>
      <c r="G49" s="8" t="str">
        <f t="shared" si="0"/>
        <v>YORK EDGAR</v>
      </c>
    </row>
    <row r="50" spans="1:7" x14ac:dyDescent="0.25">
      <c r="A50" s="8">
        <v>42829.212893518517</v>
      </c>
      <c r="B50" s="20" t="s">
        <v>470</v>
      </c>
      <c r="C50" s="20" t="s">
        <v>589</v>
      </c>
      <c r="D50" s="146">
        <v>1360000</v>
      </c>
      <c r="E50" s="20" t="s">
        <v>473</v>
      </c>
      <c r="F50" s="20" t="s">
        <v>474</v>
      </c>
      <c r="G50" s="8" t="str">
        <f t="shared" si="0"/>
        <v>SANTIZO D. EDY</v>
      </c>
    </row>
    <row r="51" spans="1:7" x14ac:dyDescent="0.25">
      <c r="A51" s="8">
        <v>42829.214756944442</v>
      </c>
      <c r="B51" s="20" t="s">
        <v>455</v>
      </c>
      <c r="C51" s="20" t="s">
        <v>588</v>
      </c>
      <c r="D51" s="146">
        <v>1110000</v>
      </c>
      <c r="E51" s="20" t="s">
        <v>503</v>
      </c>
      <c r="F51" s="20" t="s">
        <v>504</v>
      </c>
      <c r="G51" s="8" t="str">
        <f t="shared" si="0"/>
        <v>STARKS ANGELINA</v>
      </c>
    </row>
    <row r="52" spans="1:7" x14ac:dyDescent="0.25">
      <c r="A52" s="8">
        <v>42829.215300925927</v>
      </c>
      <c r="B52" s="20" t="s">
        <v>455</v>
      </c>
      <c r="C52" s="20" t="s">
        <v>588</v>
      </c>
      <c r="D52" s="146">
        <v>1110000</v>
      </c>
      <c r="E52" s="20" t="s">
        <v>503</v>
      </c>
      <c r="F52" s="20" t="s">
        <v>504</v>
      </c>
      <c r="G52" s="8" t="str">
        <f t="shared" si="0"/>
        <v>STARKS ANGELINA</v>
      </c>
    </row>
    <row r="53" spans="1:7" x14ac:dyDescent="0.25">
      <c r="A53" s="8">
        <v>42829.216608796298</v>
      </c>
      <c r="B53" s="20" t="s">
        <v>455</v>
      </c>
      <c r="C53" s="20" t="s">
        <v>588</v>
      </c>
      <c r="D53" s="146">
        <v>1110000</v>
      </c>
      <c r="E53" s="20" t="s">
        <v>503</v>
      </c>
      <c r="F53" s="20" t="s">
        <v>504</v>
      </c>
      <c r="G53" s="8" t="str">
        <f t="shared" si="0"/>
        <v>STARKS ANGELINA</v>
      </c>
    </row>
    <row r="54" spans="1:7" x14ac:dyDescent="0.25">
      <c r="A54" s="8">
        <v>42829.220381944448</v>
      </c>
      <c r="B54" s="20" t="s">
        <v>456</v>
      </c>
      <c r="C54" s="20" t="s">
        <v>646</v>
      </c>
      <c r="D54" s="146">
        <v>3000000</v>
      </c>
      <c r="E54" s="20" t="s">
        <v>505</v>
      </c>
      <c r="F54" s="20" t="s">
        <v>506</v>
      </c>
      <c r="G54" s="8" t="str">
        <f t="shared" si="0"/>
        <v>FORTUNATO FRANK</v>
      </c>
    </row>
    <row r="55" spans="1:7" x14ac:dyDescent="0.25">
      <c r="A55" s="8">
        <v>42829.226215277777</v>
      </c>
      <c r="B55" s="20" t="s">
        <v>639</v>
      </c>
      <c r="C55" s="20" t="s">
        <v>647</v>
      </c>
      <c r="D55" s="146">
        <v>1830000</v>
      </c>
      <c r="E55" s="20" t="s">
        <v>446</v>
      </c>
      <c r="F55" s="20" t="s">
        <v>447</v>
      </c>
      <c r="G55" s="8" t="str">
        <f t="shared" si="0"/>
        <v>YORK EDGAR</v>
      </c>
    </row>
    <row r="56" spans="1:7" x14ac:dyDescent="0.25">
      <c r="A56" s="8">
        <v>42829.226550925923</v>
      </c>
      <c r="B56" s="20" t="s">
        <v>496</v>
      </c>
      <c r="C56" s="20" t="s">
        <v>648</v>
      </c>
      <c r="D56" s="146">
        <v>3020000</v>
      </c>
      <c r="E56" s="20" t="s">
        <v>508</v>
      </c>
      <c r="F56" s="20" t="s">
        <v>509</v>
      </c>
      <c r="G56" s="8" t="str">
        <f t="shared" si="0"/>
        <v>MENGES BRAD</v>
      </c>
    </row>
    <row r="57" spans="1:7" x14ac:dyDescent="0.25">
      <c r="A57" s="8">
        <v>42829.227407407408</v>
      </c>
      <c r="B57" s="20" t="s">
        <v>380</v>
      </c>
      <c r="C57" s="20" t="s">
        <v>649</v>
      </c>
      <c r="D57" s="146">
        <v>2010000</v>
      </c>
      <c r="E57" s="20" t="s">
        <v>475</v>
      </c>
      <c r="F57" s="20" t="s">
        <v>476</v>
      </c>
      <c r="G57" s="8" t="str">
        <f t="shared" si="0"/>
        <v>MAELZER KURT</v>
      </c>
    </row>
    <row r="58" spans="1:7" x14ac:dyDescent="0.25">
      <c r="A58" s="8">
        <v>42829.232175925928</v>
      </c>
      <c r="B58" s="20" t="s">
        <v>498</v>
      </c>
      <c r="C58" s="20" t="s">
        <v>650</v>
      </c>
      <c r="D58" s="146">
        <v>1990000</v>
      </c>
      <c r="E58" s="20" t="s">
        <v>477</v>
      </c>
      <c r="F58" s="20" t="s">
        <v>478</v>
      </c>
      <c r="G58" s="8" t="str">
        <f t="shared" si="0"/>
        <v>DAVIS WENDY</v>
      </c>
    </row>
    <row r="59" spans="1:7" x14ac:dyDescent="0.25">
      <c r="A59" s="8">
        <v>42829.243425925924</v>
      </c>
      <c r="B59" s="20" t="s">
        <v>414</v>
      </c>
      <c r="C59" s="20" t="s">
        <v>651</v>
      </c>
      <c r="D59" s="146">
        <v>890000</v>
      </c>
      <c r="E59" s="20" t="s">
        <v>642</v>
      </c>
      <c r="F59" s="20" t="s">
        <v>643</v>
      </c>
      <c r="G59" s="8" t="str">
        <f t="shared" si="0"/>
        <v>LOZA FIDEL</v>
      </c>
    </row>
    <row r="60" spans="1:7" x14ac:dyDescent="0.25">
      <c r="A60" s="8">
        <v>42829.245150462964</v>
      </c>
      <c r="B60" s="20" t="s">
        <v>495</v>
      </c>
      <c r="C60" s="20" t="s">
        <v>652</v>
      </c>
      <c r="D60" s="146">
        <v>1260000</v>
      </c>
      <c r="E60" s="20" t="s">
        <v>653</v>
      </c>
      <c r="F60" s="20" t="s">
        <v>654</v>
      </c>
      <c r="G60" s="8" t="str">
        <f t="shared" si="0"/>
        <v>ACKERMAN JARED</v>
      </c>
    </row>
    <row r="61" spans="1:7" x14ac:dyDescent="0.25">
      <c r="A61" s="8">
        <v>42829.248472222222</v>
      </c>
      <c r="B61" s="20" t="s">
        <v>597</v>
      </c>
      <c r="C61" s="20" t="s">
        <v>655</v>
      </c>
      <c r="D61" s="146">
        <v>1360000</v>
      </c>
      <c r="E61" s="20" t="s">
        <v>473</v>
      </c>
      <c r="F61" s="20" t="s">
        <v>474</v>
      </c>
      <c r="G61" s="8" t="str">
        <f t="shared" si="0"/>
        <v>SANTIZO D. EDY</v>
      </c>
    </row>
    <row r="62" spans="1:7" x14ac:dyDescent="0.25">
      <c r="A62" s="8">
        <v>42829.250057870369</v>
      </c>
      <c r="B62" s="20" t="s">
        <v>388</v>
      </c>
      <c r="C62" s="20" t="s">
        <v>590</v>
      </c>
      <c r="D62" s="146">
        <v>1110000</v>
      </c>
      <c r="E62" s="20" t="s">
        <v>503</v>
      </c>
      <c r="F62" s="20" t="s">
        <v>504</v>
      </c>
      <c r="G62" s="8" t="str">
        <f t="shared" si="0"/>
        <v>STARKS ANGELINA</v>
      </c>
    </row>
    <row r="63" spans="1:7" x14ac:dyDescent="0.25">
      <c r="A63" s="8">
        <v>42829.255370370367</v>
      </c>
      <c r="B63" s="20" t="s">
        <v>644</v>
      </c>
      <c r="C63" s="20" t="s">
        <v>656</v>
      </c>
      <c r="D63" s="146">
        <v>1830000</v>
      </c>
      <c r="E63" s="20" t="s">
        <v>446</v>
      </c>
      <c r="F63" s="20" t="s">
        <v>447</v>
      </c>
      <c r="G63" s="8" t="str">
        <f t="shared" si="0"/>
        <v>YORK EDGAR</v>
      </c>
    </row>
    <row r="64" spans="1:7" x14ac:dyDescent="0.25">
      <c r="A64" s="26">
        <v>42829.258831018517</v>
      </c>
      <c r="B64" s="20" t="s">
        <v>514</v>
      </c>
      <c r="C64" s="20" t="s">
        <v>657</v>
      </c>
      <c r="D64" s="146">
        <v>1260000</v>
      </c>
      <c r="E64" s="20" t="s">
        <v>653</v>
      </c>
      <c r="F64" s="20" t="s">
        <v>654</v>
      </c>
      <c r="G64" s="8" t="str">
        <f t="shared" si="0"/>
        <v>ACKERMAN JARED</v>
      </c>
    </row>
    <row r="65" spans="1:7" x14ac:dyDescent="0.25">
      <c r="A65" s="8">
        <v>42829.259421296294</v>
      </c>
      <c r="B65" s="20" t="s">
        <v>382</v>
      </c>
      <c r="C65" s="20" t="s">
        <v>658</v>
      </c>
      <c r="D65" s="146">
        <v>3000000</v>
      </c>
      <c r="E65" s="20" t="s">
        <v>505</v>
      </c>
      <c r="F65" s="20" t="s">
        <v>506</v>
      </c>
      <c r="G65" s="8" t="str">
        <f t="shared" si="0"/>
        <v>FORTUNATO FRANK</v>
      </c>
    </row>
    <row r="66" spans="1:7" x14ac:dyDescent="0.25">
      <c r="A66" s="8">
        <v>42829.267523148148</v>
      </c>
      <c r="B66" s="20" t="s">
        <v>497</v>
      </c>
      <c r="C66" s="20" t="s">
        <v>659</v>
      </c>
      <c r="D66" s="146">
        <v>3020000</v>
      </c>
      <c r="E66" s="20" t="s">
        <v>508</v>
      </c>
      <c r="F66" s="20" t="s">
        <v>509</v>
      </c>
      <c r="G66" s="8" t="str">
        <f t="shared" si="0"/>
        <v>MENGES BRAD</v>
      </c>
    </row>
    <row r="67" spans="1:7" x14ac:dyDescent="0.25">
      <c r="A67" s="8">
        <v>42829.269155092596</v>
      </c>
      <c r="B67" s="20" t="s">
        <v>507</v>
      </c>
      <c r="C67" s="20" t="s">
        <v>592</v>
      </c>
      <c r="D67" s="146">
        <v>1990000</v>
      </c>
      <c r="E67" s="20" t="s">
        <v>477</v>
      </c>
      <c r="F67" s="20" t="s">
        <v>478</v>
      </c>
      <c r="G67" s="8" t="str">
        <f t="shared" ref="G67:G130" si="1">E67&amp;" "&amp;F67</f>
        <v>DAVIS WENDY</v>
      </c>
    </row>
    <row r="68" spans="1:7" x14ac:dyDescent="0.25">
      <c r="A68" s="8">
        <v>42829.269166666665</v>
      </c>
      <c r="B68" s="20" t="s">
        <v>639</v>
      </c>
      <c r="C68" s="20" t="s">
        <v>660</v>
      </c>
      <c r="D68" s="146">
        <v>1830000</v>
      </c>
      <c r="E68" s="20" t="s">
        <v>446</v>
      </c>
      <c r="F68" s="20" t="s">
        <v>447</v>
      </c>
      <c r="G68" s="8" t="str">
        <f t="shared" si="1"/>
        <v>YORK EDGAR</v>
      </c>
    </row>
    <row r="69" spans="1:7" x14ac:dyDescent="0.25">
      <c r="A69" s="8">
        <v>42829.273553240739</v>
      </c>
      <c r="B69" s="20" t="s">
        <v>381</v>
      </c>
      <c r="C69" s="20" t="s">
        <v>593</v>
      </c>
      <c r="D69" s="146">
        <v>2010000</v>
      </c>
      <c r="E69" s="20" t="s">
        <v>475</v>
      </c>
      <c r="F69" s="20" t="s">
        <v>476</v>
      </c>
      <c r="G69" s="8" t="str">
        <f t="shared" si="1"/>
        <v>MAELZER KURT</v>
      </c>
    </row>
    <row r="70" spans="1:7" x14ac:dyDescent="0.25">
      <c r="A70" s="8">
        <v>42829.27611111111</v>
      </c>
      <c r="B70" s="20" t="s">
        <v>495</v>
      </c>
      <c r="C70" s="20" t="s">
        <v>591</v>
      </c>
      <c r="D70" s="146">
        <v>1260000</v>
      </c>
      <c r="E70" s="20" t="s">
        <v>653</v>
      </c>
      <c r="F70" s="20" t="s">
        <v>654</v>
      </c>
      <c r="G70" s="8" t="str">
        <f t="shared" si="1"/>
        <v>ACKERMAN JARED</v>
      </c>
    </row>
    <row r="71" spans="1:7" x14ac:dyDescent="0.25">
      <c r="A71" s="8">
        <v>42829.277604166666</v>
      </c>
      <c r="B71" s="20" t="s">
        <v>413</v>
      </c>
      <c r="C71" s="20" t="s">
        <v>594</v>
      </c>
      <c r="D71" s="146">
        <v>890000</v>
      </c>
      <c r="E71" s="20" t="s">
        <v>642</v>
      </c>
      <c r="F71" s="20" t="s">
        <v>643</v>
      </c>
      <c r="G71" s="8" t="str">
        <f t="shared" si="1"/>
        <v>LOZA FIDEL</v>
      </c>
    </row>
    <row r="72" spans="1:7" x14ac:dyDescent="0.25">
      <c r="A72" s="8">
        <v>42829.286631944444</v>
      </c>
      <c r="B72" s="20" t="s">
        <v>639</v>
      </c>
      <c r="C72" s="20" t="s">
        <v>660</v>
      </c>
      <c r="D72" s="146">
        <v>1830000</v>
      </c>
      <c r="E72" s="20" t="s">
        <v>446</v>
      </c>
      <c r="F72" s="20" t="s">
        <v>447</v>
      </c>
      <c r="G72" s="8" t="str">
        <f t="shared" si="1"/>
        <v>YORK EDGAR</v>
      </c>
    </row>
    <row r="73" spans="1:7" x14ac:dyDescent="0.25">
      <c r="A73" s="8">
        <v>42829.28738425926</v>
      </c>
      <c r="B73" s="20" t="s">
        <v>389</v>
      </c>
      <c r="C73" s="20" t="s">
        <v>595</v>
      </c>
      <c r="D73" s="146">
        <v>1110000</v>
      </c>
      <c r="E73" s="20" t="s">
        <v>503</v>
      </c>
      <c r="F73" s="20" t="s">
        <v>504</v>
      </c>
      <c r="G73" s="8" t="str">
        <f t="shared" si="1"/>
        <v>STARKS ANGELINA</v>
      </c>
    </row>
    <row r="74" spans="1:7" x14ac:dyDescent="0.25">
      <c r="A74" s="8">
        <v>42829.287743055553</v>
      </c>
      <c r="B74" s="20" t="s">
        <v>470</v>
      </c>
      <c r="C74" s="20" t="s">
        <v>661</v>
      </c>
      <c r="D74" s="146">
        <v>1360000</v>
      </c>
      <c r="E74" s="20" t="s">
        <v>473</v>
      </c>
      <c r="F74" s="20" t="s">
        <v>474</v>
      </c>
      <c r="G74" s="8" t="str">
        <f t="shared" si="1"/>
        <v>SANTIZO D. EDY</v>
      </c>
    </row>
    <row r="75" spans="1:7" x14ac:dyDescent="0.25">
      <c r="A75" s="8">
        <v>42829.292164351849</v>
      </c>
      <c r="B75" s="20" t="s">
        <v>456</v>
      </c>
      <c r="C75" s="20" t="s">
        <v>596</v>
      </c>
      <c r="D75" s="146">
        <v>3000000</v>
      </c>
      <c r="E75" s="20" t="s">
        <v>505</v>
      </c>
      <c r="F75" s="20" t="s">
        <v>506</v>
      </c>
      <c r="G75" s="8" t="str">
        <f t="shared" si="1"/>
        <v>FORTUNATO FRANK</v>
      </c>
    </row>
    <row r="76" spans="1:7" x14ac:dyDescent="0.25">
      <c r="A76" s="8">
        <v>42829.296956018516</v>
      </c>
      <c r="B76" s="20" t="s">
        <v>644</v>
      </c>
      <c r="C76" s="20" t="s">
        <v>662</v>
      </c>
      <c r="D76" s="146">
        <v>1830000</v>
      </c>
      <c r="E76" s="20" t="s">
        <v>446</v>
      </c>
      <c r="F76" s="20" t="s">
        <v>447</v>
      </c>
      <c r="G76" s="8" t="str">
        <f t="shared" si="1"/>
        <v>YORK EDGAR</v>
      </c>
    </row>
    <row r="77" spans="1:7" x14ac:dyDescent="0.25">
      <c r="A77" s="8">
        <v>42829.297743055555</v>
      </c>
      <c r="B77" s="20" t="s">
        <v>496</v>
      </c>
      <c r="C77" s="20" t="s">
        <v>663</v>
      </c>
      <c r="D77" s="146">
        <v>3020000</v>
      </c>
      <c r="E77" s="20" t="s">
        <v>508</v>
      </c>
      <c r="F77" s="20" t="s">
        <v>509</v>
      </c>
      <c r="G77" s="8" t="str">
        <f t="shared" si="1"/>
        <v>MENGES BRAD</v>
      </c>
    </row>
    <row r="78" spans="1:7" x14ac:dyDescent="0.25">
      <c r="A78" s="8">
        <v>42829.299675925926</v>
      </c>
      <c r="B78" s="20" t="s">
        <v>514</v>
      </c>
      <c r="C78" s="20" t="s">
        <v>664</v>
      </c>
      <c r="D78" s="146">
        <v>1260000</v>
      </c>
      <c r="E78" s="20" t="s">
        <v>653</v>
      </c>
      <c r="F78" s="20" t="s">
        <v>654</v>
      </c>
      <c r="G78" s="8" t="str">
        <f t="shared" si="1"/>
        <v>ACKERMAN JARED</v>
      </c>
    </row>
    <row r="79" spans="1:7" x14ac:dyDescent="0.25">
      <c r="A79" s="8">
        <v>42829.306921296295</v>
      </c>
      <c r="B79" s="20" t="s">
        <v>498</v>
      </c>
      <c r="C79" s="20" t="s">
        <v>665</v>
      </c>
      <c r="D79" s="146">
        <v>1990000</v>
      </c>
      <c r="E79" s="20" t="s">
        <v>477</v>
      </c>
      <c r="F79" s="20" t="s">
        <v>478</v>
      </c>
      <c r="G79" s="8" t="str">
        <f t="shared" si="1"/>
        <v>DAVIS WENDY</v>
      </c>
    </row>
    <row r="80" spans="1:7" x14ac:dyDescent="0.25">
      <c r="A80" s="8">
        <v>42829.308807870373</v>
      </c>
      <c r="B80" s="20" t="s">
        <v>380</v>
      </c>
      <c r="C80" s="20" t="s">
        <v>666</v>
      </c>
      <c r="D80" s="146">
        <v>2010000</v>
      </c>
      <c r="E80" s="20" t="s">
        <v>475</v>
      </c>
      <c r="F80" s="20" t="s">
        <v>476</v>
      </c>
      <c r="G80" s="8" t="str">
        <f t="shared" si="1"/>
        <v>MAELZER KURT</v>
      </c>
    </row>
    <row r="81" spans="1:7" x14ac:dyDescent="0.25">
      <c r="A81" s="8">
        <v>42829.310439814813</v>
      </c>
      <c r="B81" s="20" t="s">
        <v>639</v>
      </c>
      <c r="C81" s="20" t="s">
        <v>667</v>
      </c>
      <c r="D81" s="146">
        <v>1830000</v>
      </c>
      <c r="E81" s="20" t="s">
        <v>446</v>
      </c>
      <c r="F81" s="20" t="s">
        <v>447</v>
      </c>
      <c r="G81" s="8" t="str">
        <f t="shared" si="1"/>
        <v>YORK EDGAR</v>
      </c>
    </row>
    <row r="82" spans="1:7" x14ac:dyDescent="0.25">
      <c r="A82" s="8">
        <v>42829.31726851852</v>
      </c>
      <c r="B82" s="20" t="s">
        <v>414</v>
      </c>
      <c r="C82" s="20" t="s">
        <v>668</v>
      </c>
      <c r="D82" s="146">
        <v>890000</v>
      </c>
      <c r="E82" s="20" t="s">
        <v>642</v>
      </c>
      <c r="F82" s="20" t="s">
        <v>643</v>
      </c>
      <c r="G82" s="8" t="str">
        <f t="shared" si="1"/>
        <v>LOZA FIDEL</v>
      </c>
    </row>
    <row r="83" spans="1:7" x14ac:dyDescent="0.25">
      <c r="A83" s="8">
        <v>42829.317858796298</v>
      </c>
      <c r="B83" s="20" t="s">
        <v>495</v>
      </c>
      <c r="C83" s="20" t="s">
        <v>669</v>
      </c>
      <c r="D83" s="146">
        <v>1260000</v>
      </c>
      <c r="E83" s="20" t="s">
        <v>653</v>
      </c>
      <c r="F83" s="20" t="s">
        <v>654</v>
      </c>
      <c r="G83" s="8" t="str">
        <f t="shared" si="1"/>
        <v>ACKERMAN JARED</v>
      </c>
    </row>
    <row r="84" spans="1:7" x14ac:dyDescent="0.25">
      <c r="A84" s="8">
        <v>42829.318749999999</v>
      </c>
      <c r="B84" s="20" t="s">
        <v>597</v>
      </c>
      <c r="C84" s="20" t="s">
        <v>661</v>
      </c>
      <c r="D84" s="146">
        <v>1360000</v>
      </c>
      <c r="E84" s="20" t="s">
        <v>473</v>
      </c>
      <c r="F84" s="20" t="s">
        <v>474</v>
      </c>
      <c r="G84" s="8" t="str">
        <f t="shared" si="1"/>
        <v>SANTIZO D. EDY</v>
      </c>
    </row>
    <row r="85" spans="1:7" x14ac:dyDescent="0.25">
      <c r="A85" s="8">
        <v>42829.320405092592</v>
      </c>
      <c r="B85" s="20" t="s">
        <v>597</v>
      </c>
      <c r="C85" s="20" t="s">
        <v>598</v>
      </c>
      <c r="D85" s="146">
        <v>1360000</v>
      </c>
      <c r="E85" s="20" t="s">
        <v>473</v>
      </c>
      <c r="F85" s="20" t="s">
        <v>474</v>
      </c>
      <c r="G85" s="8" t="str">
        <f t="shared" si="1"/>
        <v>SANTIZO D. EDY</v>
      </c>
    </row>
    <row r="86" spans="1:7" x14ac:dyDescent="0.25">
      <c r="A86" s="8">
        <v>42829.321631944447</v>
      </c>
      <c r="B86" s="20" t="s">
        <v>388</v>
      </c>
      <c r="C86" s="20" t="s">
        <v>670</v>
      </c>
      <c r="D86" s="146">
        <v>1110000</v>
      </c>
      <c r="E86" s="20" t="s">
        <v>503</v>
      </c>
      <c r="F86" s="20" t="s">
        <v>504</v>
      </c>
      <c r="G86" s="8" t="str">
        <f t="shared" si="1"/>
        <v>STARKS ANGELINA</v>
      </c>
    </row>
    <row r="87" spans="1:7" x14ac:dyDescent="0.25">
      <c r="A87" s="8">
        <v>42829.330949074072</v>
      </c>
      <c r="B87" s="20" t="s">
        <v>382</v>
      </c>
      <c r="C87" s="20" t="s">
        <v>671</v>
      </c>
      <c r="D87" s="146">
        <v>3000000</v>
      </c>
      <c r="E87" s="20" t="s">
        <v>505</v>
      </c>
      <c r="F87" s="20" t="s">
        <v>506</v>
      </c>
      <c r="G87" s="8" t="str">
        <f t="shared" si="1"/>
        <v>FORTUNATO FRANK</v>
      </c>
    </row>
    <row r="88" spans="1:7" x14ac:dyDescent="0.25">
      <c r="A88" s="8">
        <v>42829.333680555559</v>
      </c>
      <c r="B88" s="20" t="s">
        <v>497</v>
      </c>
      <c r="C88" s="20" t="s">
        <v>672</v>
      </c>
      <c r="D88" s="146">
        <v>3020000</v>
      </c>
      <c r="E88" s="20" t="s">
        <v>508</v>
      </c>
      <c r="F88" s="20" t="s">
        <v>509</v>
      </c>
      <c r="G88" s="8" t="str">
        <f t="shared" si="1"/>
        <v>MENGES BRAD</v>
      </c>
    </row>
    <row r="89" spans="1:7" x14ac:dyDescent="0.25">
      <c r="A89" s="8">
        <v>42829.33630787037</v>
      </c>
      <c r="B89" s="20" t="s">
        <v>514</v>
      </c>
      <c r="C89" s="20" t="s">
        <v>673</v>
      </c>
      <c r="D89" s="146">
        <v>1260000</v>
      </c>
      <c r="E89" s="20" t="s">
        <v>653</v>
      </c>
      <c r="F89" s="20" t="s">
        <v>654</v>
      </c>
      <c r="G89" s="8" t="str">
        <f t="shared" si="1"/>
        <v>ACKERMAN JARED</v>
      </c>
    </row>
    <row r="90" spans="1:7" x14ac:dyDescent="0.25">
      <c r="A90" s="8">
        <v>42829.337280092594</v>
      </c>
      <c r="B90" s="20" t="s">
        <v>644</v>
      </c>
      <c r="C90" s="20" t="s">
        <v>674</v>
      </c>
      <c r="D90" s="146">
        <v>1830000</v>
      </c>
      <c r="E90" s="20" t="s">
        <v>446</v>
      </c>
      <c r="F90" s="20" t="s">
        <v>447</v>
      </c>
      <c r="G90" s="8" t="str">
        <f t="shared" si="1"/>
        <v>YORK EDGAR</v>
      </c>
    </row>
    <row r="91" spans="1:7" x14ac:dyDescent="0.25">
      <c r="A91" s="8">
        <v>42829.339814814812</v>
      </c>
      <c r="B91" s="20" t="s">
        <v>644</v>
      </c>
      <c r="C91" s="20" t="s">
        <v>674</v>
      </c>
      <c r="D91" s="146">
        <v>1830000</v>
      </c>
      <c r="E91" s="20" t="s">
        <v>446</v>
      </c>
      <c r="F91" s="20" t="s">
        <v>447</v>
      </c>
      <c r="G91" s="8" t="str">
        <f t="shared" si="1"/>
        <v>YORK EDGAR</v>
      </c>
    </row>
    <row r="92" spans="1:7" x14ac:dyDescent="0.25">
      <c r="A92" s="8">
        <v>42829.341400462959</v>
      </c>
      <c r="B92" s="20" t="s">
        <v>507</v>
      </c>
      <c r="C92" s="20" t="s">
        <v>675</v>
      </c>
      <c r="D92" s="146">
        <v>1990000</v>
      </c>
      <c r="E92" s="20" t="s">
        <v>477</v>
      </c>
      <c r="F92" s="20" t="s">
        <v>478</v>
      </c>
      <c r="G92" s="8" t="str">
        <f t="shared" si="1"/>
        <v>DAVIS WENDY</v>
      </c>
    </row>
    <row r="93" spans="1:7" x14ac:dyDescent="0.25">
      <c r="A93" s="8">
        <v>42829.345821759256</v>
      </c>
      <c r="B93" s="20" t="s">
        <v>381</v>
      </c>
      <c r="C93" s="20" t="s">
        <v>676</v>
      </c>
      <c r="D93" s="146">
        <v>2010000</v>
      </c>
      <c r="E93" s="20" t="s">
        <v>475</v>
      </c>
      <c r="F93" s="20" t="s">
        <v>476</v>
      </c>
      <c r="G93" s="8" t="str">
        <f t="shared" si="1"/>
        <v>MAELZER KURT</v>
      </c>
    </row>
    <row r="94" spans="1:7" x14ac:dyDescent="0.25">
      <c r="A94" s="8">
        <v>42829.352534722224</v>
      </c>
      <c r="B94" s="20" t="s">
        <v>413</v>
      </c>
      <c r="C94" s="20" t="s">
        <v>677</v>
      </c>
      <c r="D94" s="146">
        <v>890000</v>
      </c>
      <c r="E94" s="20" t="s">
        <v>642</v>
      </c>
      <c r="F94" s="20" t="s">
        <v>643</v>
      </c>
      <c r="G94" s="8" t="str">
        <f t="shared" si="1"/>
        <v>LOZA FIDEL</v>
      </c>
    </row>
    <row r="95" spans="1:7" x14ac:dyDescent="0.25">
      <c r="A95" s="8">
        <v>42829.352754629632</v>
      </c>
      <c r="B95" s="20" t="s">
        <v>639</v>
      </c>
      <c r="C95" s="20" t="s">
        <v>678</v>
      </c>
      <c r="D95" s="146">
        <v>1830000</v>
      </c>
      <c r="E95" s="20" t="s">
        <v>446</v>
      </c>
      <c r="F95" s="20" t="s">
        <v>447</v>
      </c>
      <c r="G95" s="8" t="str">
        <f t="shared" si="1"/>
        <v>YORK EDGAR</v>
      </c>
    </row>
    <row r="96" spans="1:7" x14ac:dyDescent="0.25">
      <c r="A96" s="8">
        <v>42829.358807870369</v>
      </c>
      <c r="B96" s="20" t="s">
        <v>470</v>
      </c>
      <c r="C96" s="20" t="s">
        <v>679</v>
      </c>
      <c r="D96" s="146">
        <v>1360000</v>
      </c>
      <c r="E96" s="20" t="s">
        <v>473</v>
      </c>
      <c r="F96" s="20" t="s">
        <v>474</v>
      </c>
      <c r="G96" s="8" t="str">
        <f t="shared" si="1"/>
        <v>SANTIZO D. EDY</v>
      </c>
    </row>
    <row r="97" spans="1:7" x14ac:dyDescent="0.25">
      <c r="A97" s="8">
        <v>42829.359236111108</v>
      </c>
      <c r="B97" s="20" t="s">
        <v>495</v>
      </c>
      <c r="C97" s="20" t="s">
        <v>673</v>
      </c>
      <c r="D97" s="146">
        <v>1260000</v>
      </c>
      <c r="E97" s="20" t="s">
        <v>653</v>
      </c>
      <c r="F97" s="20" t="s">
        <v>654</v>
      </c>
      <c r="G97" s="8" t="str">
        <f t="shared" si="1"/>
        <v>ACKERMAN JARED</v>
      </c>
    </row>
    <row r="98" spans="1:7" x14ac:dyDescent="0.25">
      <c r="A98" s="8">
        <v>42829.359861111108</v>
      </c>
      <c r="B98" s="20" t="s">
        <v>495</v>
      </c>
      <c r="C98" s="20" t="s">
        <v>680</v>
      </c>
      <c r="D98" s="146">
        <v>1260000</v>
      </c>
      <c r="E98" s="20" t="s">
        <v>653</v>
      </c>
      <c r="F98" s="20" t="s">
        <v>654</v>
      </c>
      <c r="G98" s="8" t="str">
        <f t="shared" si="1"/>
        <v>ACKERMAN JARED</v>
      </c>
    </row>
    <row r="99" spans="1:7" x14ac:dyDescent="0.25">
      <c r="A99" s="8">
        <v>42829.359988425924</v>
      </c>
      <c r="B99" s="20" t="s">
        <v>389</v>
      </c>
      <c r="C99" s="20" t="s">
        <v>599</v>
      </c>
      <c r="D99" s="146">
        <v>1110000</v>
      </c>
      <c r="E99" s="20" t="s">
        <v>503</v>
      </c>
      <c r="F99" s="20" t="s">
        <v>504</v>
      </c>
      <c r="G99" s="8" t="str">
        <f t="shared" si="1"/>
        <v>STARKS ANGELINA</v>
      </c>
    </row>
    <row r="100" spans="1:7" x14ac:dyDescent="0.25">
      <c r="A100" s="8">
        <v>42829.367094907408</v>
      </c>
      <c r="B100" s="20" t="s">
        <v>456</v>
      </c>
      <c r="C100" s="20" t="s">
        <v>681</v>
      </c>
      <c r="D100" s="146">
        <v>3000000</v>
      </c>
      <c r="E100" s="20" t="s">
        <v>505</v>
      </c>
      <c r="F100" s="20" t="s">
        <v>506</v>
      </c>
      <c r="G100" s="8" t="str">
        <f t="shared" si="1"/>
        <v>FORTUNATO FRANK</v>
      </c>
    </row>
    <row r="101" spans="1:7" x14ac:dyDescent="0.25">
      <c r="A101" s="8">
        <v>42829.371574074074</v>
      </c>
      <c r="B101" s="20" t="s">
        <v>496</v>
      </c>
      <c r="C101" s="20" t="s">
        <v>682</v>
      </c>
      <c r="D101" s="146">
        <v>3020000</v>
      </c>
      <c r="E101" s="20" t="s">
        <v>508</v>
      </c>
      <c r="F101" s="20" t="s">
        <v>509</v>
      </c>
      <c r="G101" s="8" t="str">
        <f t="shared" si="1"/>
        <v>MENGES BRAD</v>
      </c>
    </row>
    <row r="102" spans="1:7" x14ac:dyDescent="0.25">
      <c r="A102" s="8">
        <v>42829.378969907404</v>
      </c>
      <c r="B102" s="20" t="s">
        <v>498</v>
      </c>
      <c r="C102" s="20" t="s">
        <v>683</v>
      </c>
      <c r="D102" s="146">
        <v>1990000</v>
      </c>
      <c r="E102" s="20" t="s">
        <v>477</v>
      </c>
      <c r="F102" s="20" t="s">
        <v>478</v>
      </c>
      <c r="G102" s="8" t="str">
        <f t="shared" si="1"/>
        <v>DAVIS WENDY</v>
      </c>
    </row>
    <row r="103" spans="1:7" x14ac:dyDescent="0.25">
      <c r="A103" s="8">
        <v>42829.379618055558</v>
      </c>
      <c r="B103" s="20" t="s">
        <v>514</v>
      </c>
      <c r="C103" s="20" t="s">
        <v>684</v>
      </c>
      <c r="D103" s="146">
        <v>1260000</v>
      </c>
      <c r="E103" s="20" t="s">
        <v>653</v>
      </c>
      <c r="F103" s="20" t="s">
        <v>654</v>
      </c>
      <c r="G103" s="8" t="str">
        <f t="shared" si="1"/>
        <v>ACKERMAN JARED</v>
      </c>
    </row>
    <row r="104" spans="1:7" x14ac:dyDescent="0.25">
      <c r="A104" s="8">
        <v>42829.385752314818</v>
      </c>
      <c r="B104" s="20" t="s">
        <v>380</v>
      </c>
      <c r="C104" s="20" t="s">
        <v>685</v>
      </c>
      <c r="D104" s="146">
        <v>2010000</v>
      </c>
      <c r="E104" s="20" t="s">
        <v>475</v>
      </c>
      <c r="F104" s="20" t="s">
        <v>476</v>
      </c>
      <c r="G104" s="8" t="str">
        <f t="shared" si="1"/>
        <v>MAELZER KURT</v>
      </c>
    </row>
    <row r="105" spans="1:7" x14ac:dyDescent="0.25">
      <c r="A105" s="8">
        <v>42829.389016203706</v>
      </c>
      <c r="B105" s="20" t="s">
        <v>414</v>
      </c>
      <c r="C105" s="20" t="s">
        <v>686</v>
      </c>
      <c r="D105" s="146">
        <v>890000</v>
      </c>
      <c r="E105" s="20" t="s">
        <v>642</v>
      </c>
      <c r="F105" s="20" t="s">
        <v>643</v>
      </c>
      <c r="G105" s="8" t="str">
        <f t="shared" si="1"/>
        <v>LOZA FIDEL</v>
      </c>
    </row>
    <row r="106" spans="1:7" x14ac:dyDescent="0.25">
      <c r="A106" s="8">
        <v>42829.395115740743</v>
      </c>
      <c r="B106" s="20" t="s">
        <v>388</v>
      </c>
      <c r="C106" s="20" t="s">
        <v>600</v>
      </c>
      <c r="D106" s="146">
        <v>1110000</v>
      </c>
      <c r="E106" s="20" t="s">
        <v>503</v>
      </c>
      <c r="F106" s="20" t="s">
        <v>504</v>
      </c>
      <c r="G106" s="8" t="str">
        <f t="shared" si="1"/>
        <v>STARKS ANGELINA</v>
      </c>
    </row>
    <row r="107" spans="1:7" x14ac:dyDescent="0.25">
      <c r="A107" s="8">
        <v>42829.395358796297</v>
      </c>
      <c r="B107" s="20" t="s">
        <v>597</v>
      </c>
      <c r="C107" s="20" t="s">
        <v>601</v>
      </c>
      <c r="D107" s="146">
        <v>1360000</v>
      </c>
      <c r="E107" s="20" t="s">
        <v>473</v>
      </c>
      <c r="F107" s="20" t="s">
        <v>474</v>
      </c>
      <c r="G107" s="8" t="str">
        <f t="shared" si="1"/>
        <v>SANTIZO D. EDY</v>
      </c>
    </row>
    <row r="108" spans="1:7" x14ac:dyDescent="0.25">
      <c r="A108" s="8">
        <v>42829.400902777779</v>
      </c>
      <c r="B108" s="20" t="s">
        <v>495</v>
      </c>
      <c r="C108" s="20" t="s">
        <v>687</v>
      </c>
      <c r="D108" s="146">
        <v>1260000</v>
      </c>
      <c r="E108" s="20" t="s">
        <v>653</v>
      </c>
      <c r="F108" s="20" t="s">
        <v>654</v>
      </c>
      <c r="G108" s="8" t="str">
        <f t="shared" si="1"/>
        <v>ACKERMAN JARED</v>
      </c>
    </row>
    <row r="109" spans="1:7" x14ac:dyDescent="0.25">
      <c r="A109" s="8">
        <v>42829.406469907408</v>
      </c>
      <c r="B109" s="20" t="s">
        <v>382</v>
      </c>
      <c r="C109" s="20" t="s">
        <v>688</v>
      </c>
      <c r="D109" s="146">
        <v>3000000</v>
      </c>
      <c r="E109" s="20" t="s">
        <v>505</v>
      </c>
      <c r="F109" s="20" t="s">
        <v>506</v>
      </c>
      <c r="G109" s="8" t="str">
        <f t="shared" si="1"/>
        <v>FORTUNATO FRANK</v>
      </c>
    </row>
    <row r="110" spans="1:7" x14ac:dyDescent="0.25">
      <c r="A110" s="8">
        <v>42829.413252314815</v>
      </c>
      <c r="B110" s="20" t="s">
        <v>497</v>
      </c>
      <c r="C110" s="20" t="s">
        <v>689</v>
      </c>
      <c r="D110" s="146">
        <v>3020000</v>
      </c>
      <c r="E110" s="20" t="s">
        <v>508</v>
      </c>
      <c r="F110" s="20" t="s">
        <v>509</v>
      </c>
      <c r="G110" s="8" t="str">
        <f t="shared" si="1"/>
        <v>MENGES BRAD</v>
      </c>
    </row>
    <row r="111" spans="1:7" x14ac:dyDescent="0.25">
      <c r="A111" s="8">
        <v>42829.418749999997</v>
      </c>
      <c r="B111" s="20" t="s">
        <v>507</v>
      </c>
      <c r="C111" s="20" t="s">
        <v>690</v>
      </c>
      <c r="D111" s="146">
        <v>1990000</v>
      </c>
      <c r="E111" s="20" t="s">
        <v>477</v>
      </c>
      <c r="F111" s="20" t="s">
        <v>478</v>
      </c>
      <c r="G111" s="8" t="str">
        <f t="shared" si="1"/>
        <v>DAVIS WENDY</v>
      </c>
    </row>
    <row r="112" spans="1:7" x14ac:dyDescent="0.25">
      <c r="A112" s="8">
        <v>42829.421111111114</v>
      </c>
      <c r="B112" s="20" t="s">
        <v>381</v>
      </c>
      <c r="C112" s="20" t="s">
        <v>691</v>
      </c>
      <c r="D112" s="146">
        <v>2010000</v>
      </c>
      <c r="E112" s="20" t="s">
        <v>475</v>
      </c>
      <c r="F112" s="20" t="s">
        <v>476</v>
      </c>
      <c r="G112" s="8" t="str">
        <f t="shared" si="1"/>
        <v>MAELZER KURT</v>
      </c>
    </row>
    <row r="113" spans="1:7" x14ac:dyDescent="0.25">
      <c r="A113" s="8">
        <v>42829.42664351852</v>
      </c>
      <c r="B113" s="20" t="s">
        <v>413</v>
      </c>
      <c r="C113" s="20" t="s">
        <v>692</v>
      </c>
      <c r="D113" s="146">
        <v>890000</v>
      </c>
      <c r="E113" s="20" t="s">
        <v>642</v>
      </c>
      <c r="F113" s="20" t="s">
        <v>643</v>
      </c>
      <c r="G113" s="8" t="str">
        <f t="shared" si="1"/>
        <v>LOZA FIDEL</v>
      </c>
    </row>
    <row r="114" spans="1:7" x14ac:dyDescent="0.25">
      <c r="A114" s="8">
        <v>42829.428043981483</v>
      </c>
      <c r="B114" s="20" t="s">
        <v>514</v>
      </c>
      <c r="C114" s="20" t="s">
        <v>693</v>
      </c>
      <c r="D114" s="146">
        <v>1340000</v>
      </c>
      <c r="E114" s="20" t="s">
        <v>694</v>
      </c>
      <c r="F114" s="20" t="s">
        <v>695</v>
      </c>
      <c r="G114" s="8" t="str">
        <f t="shared" si="1"/>
        <v>BEAM ROSS</v>
      </c>
    </row>
    <row r="115" spans="1:7" x14ac:dyDescent="0.25">
      <c r="A115" s="8">
        <v>42829.433148148149</v>
      </c>
      <c r="B115" s="20" t="s">
        <v>389</v>
      </c>
      <c r="C115" s="20" t="s">
        <v>605</v>
      </c>
      <c r="D115" s="146">
        <v>1110000</v>
      </c>
      <c r="E115" s="20" t="s">
        <v>503</v>
      </c>
      <c r="F115" s="20" t="s">
        <v>504</v>
      </c>
      <c r="G115" s="8" t="str">
        <f t="shared" si="1"/>
        <v>STARKS ANGELINA</v>
      </c>
    </row>
    <row r="116" spans="1:7" x14ac:dyDescent="0.25">
      <c r="A116" s="8">
        <v>42829.433888888889</v>
      </c>
      <c r="B116" s="20" t="s">
        <v>603</v>
      </c>
      <c r="C116" s="20" t="s">
        <v>604</v>
      </c>
      <c r="D116" s="146">
        <v>1780000</v>
      </c>
      <c r="E116" s="20" t="s">
        <v>696</v>
      </c>
      <c r="F116" s="20" t="s">
        <v>697</v>
      </c>
      <c r="G116" s="8" t="str">
        <f t="shared" si="1"/>
        <v>DE LA ROSA ALEX</v>
      </c>
    </row>
    <row r="117" spans="1:7" x14ac:dyDescent="0.25">
      <c r="A117" s="8">
        <v>42829.436851851853</v>
      </c>
      <c r="B117" s="20" t="s">
        <v>456</v>
      </c>
      <c r="C117" s="20" t="s">
        <v>698</v>
      </c>
      <c r="D117" s="146">
        <v>3000000</v>
      </c>
      <c r="E117" s="20" t="s">
        <v>505</v>
      </c>
      <c r="F117" s="20" t="s">
        <v>506</v>
      </c>
      <c r="G117" s="8" t="str">
        <f t="shared" si="1"/>
        <v>FORTUNATO FRANK</v>
      </c>
    </row>
    <row r="118" spans="1:7" x14ac:dyDescent="0.25">
      <c r="A118" s="8">
        <v>42829.438136574077</v>
      </c>
      <c r="B118" s="20" t="s">
        <v>470</v>
      </c>
      <c r="C118" s="20" t="s">
        <v>602</v>
      </c>
      <c r="D118" s="146">
        <v>1830000</v>
      </c>
      <c r="E118" s="20" t="s">
        <v>446</v>
      </c>
      <c r="F118" s="20" t="s">
        <v>447</v>
      </c>
      <c r="G118" s="8" t="str">
        <f t="shared" si="1"/>
        <v>YORK EDGAR</v>
      </c>
    </row>
    <row r="119" spans="1:7" x14ac:dyDescent="0.25">
      <c r="A119" s="8">
        <v>42829.442060185182</v>
      </c>
      <c r="B119" s="20" t="s">
        <v>495</v>
      </c>
      <c r="C119" s="20" t="s">
        <v>699</v>
      </c>
      <c r="D119" s="146">
        <v>1340000</v>
      </c>
      <c r="E119" s="20" t="s">
        <v>694</v>
      </c>
      <c r="F119" s="20" t="s">
        <v>695</v>
      </c>
      <c r="G119" s="8" t="str">
        <f t="shared" si="1"/>
        <v>BEAM ROSS</v>
      </c>
    </row>
    <row r="120" spans="1:7" x14ac:dyDescent="0.25">
      <c r="A120" s="8">
        <v>42829.442627314813</v>
      </c>
      <c r="B120" s="20" t="s">
        <v>470</v>
      </c>
      <c r="C120" s="20" t="s">
        <v>602</v>
      </c>
      <c r="D120" s="146">
        <v>1830000</v>
      </c>
      <c r="E120" s="20" t="s">
        <v>446</v>
      </c>
      <c r="F120" s="20" t="s">
        <v>447</v>
      </c>
      <c r="G120" s="8" t="str">
        <f t="shared" si="1"/>
        <v>YORK EDGAR</v>
      </c>
    </row>
    <row r="121" spans="1:7" x14ac:dyDescent="0.25">
      <c r="A121" s="8">
        <v>42829.446747685186</v>
      </c>
      <c r="B121" s="20" t="s">
        <v>496</v>
      </c>
      <c r="C121" s="20" t="s">
        <v>606</v>
      </c>
      <c r="D121" s="146">
        <v>3020000</v>
      </c>
      <c r="E121" s="20" t="s">
        <v>508</v>
      </c>
      <c r="F121" s="20" t="s">
        <v>509</v>
      </c>
      <c r="G121" s="8" t="str">
        <f t="shared" si="1"/>
        <v>MENGES BRAD</v>
      </c>
    </row>
    <row r="122" spans="1:7" x14ac:dyDescent="0.25">
      <c r="A122" s="8">
        <v>42829.454722222225</v>
      </c>
      <c r="B122" s="25" t="s">
        <v>498</v>
      </c>
      <c r="C122" s="20" t="s">
        <v>700</v>
      </c>
      <c r="D122" s="146">
        <v>1990000</v>
      </c>
      <c r="E122" s="20" t="s">
        <v>477</v>
      </c>
      <c r="F122" s="20" t="s">
        <v>478</v>
      </c>
      <c r="G122" s="8" t="str">
        <f t="shared" si="1"/>
        <v>DAVIS WENDY</v>
      </c>
    </row>
    <row r="123" spans="1:7" x14ac:dyDescent="0.25">
      <c r="A123" s="8">
        <v>42829.458993055552</v>
      </c>
      <c r="B123" s="20" t="s">
        <v>380</v>
      </c>
      <c r="C123" s="20" t="s">
        <v>701</v>
      </c>
      <c r="D123" s="146">
        <v>920000</v>
      </c>
      <c r="E123" s="20" t="s">
        <v>477</v>
      </c>
      <c r="F123" s="20" t="s">
        <v>198</v>
      </c>
      <c r="G123" s="8" t="str">
        <f t="shared" si="1"/>
        <v>DAVIS MICHAEL</v>
      </c>
    </row>
    <row r="124" spans="1:7" x14ac:dyDescent="0.25">
      <c r="A124" s="8">
        <v>42829.463726851849</v>
      </c>
      <c r="B124" s="20" t="s">
        <v>414</v>
      </c>
      <c r="C124" s="20" t="s">
        <v>702</v>
      </c>
      <c r="D124" s="146">
        <v>890000</v>
      </c>
      <c r="E124" s="20" t="s">
        <v>642</v>
      </c>
      <c r="F124" s="20" t="s">
        <v>643</v>
      </c>
      <c r="G124" s="8" t="str">
        <f t="shared" si="1"/>
        <v>LOZA FIDEL</v>
      </c>
    </row>
    <row r="125" spans="1:7" x14ac:dyDescent="0.25">
      <c r="A125" s="8">
        <v>42829.464861111112</v>
      </c>
      <c r="B125" s="20" t="s">
        <v>597</v>
      </c>
      <c r="C125" s="20" t="s">
        <v>703</v>
      </c>
      <c r="D125" s="146">
        <v>1830000</v>
      </c>
      <c r="E125" s="20" t="s">
        <v>446</v>
      </c>
      <c r="F125" s="20" t="s">
        <v>447</v>
      </c>
      <c r="G125" s="8" t="str">
        <f t="shared" si="1"/>
        <v>YORK EDGAR</v>
      </c>
    </row>
    <row r="126" spans="1:7" x14ac:dyDescent="0.25">
      <c r="A126" s="8">
        <v>42829.465902777774</v>
      </c>
      <c r="B126" s="20" t="s">
        <v>388</v>
      </c>
      <c r="C126" s="20" t="s">
        <v>704</v>
      </c>
      <c r="D126" s="146">
        <v>880000</v>
      </c>
      <c r="E126" s="20" t="s">
        <v>479</v>
      </c>
      <c r="F126" s="20" t="s">
        <v>198</v>
      </c>
      <c r="G126" s="8" t="str">
        <f t="shared" si="1"/>
        <v>STEWART MICHAEL</v>
      </c>
    </row>
    <row r="127" spans="1:7" x14ac:dyDescent="0.25">
      <c r="A127" s="8">
        <v>42829.467129629629</v>
      </c>
      <c r="B127" s="20" t="s">
        <v>705</v>
      </c>
      <c r="C127" s="20" t="s">
        <v>706</v>
      </c>
      <c r="D127" s="146">
        <v>2010000</v>
      </c>
      <c r="E127" s="20" t="s">
        <v>475</v>
      </c>
      <c r="F127" s="20" t="s">
        <v>476</v>
      </c>
      <c r="G127" s="8" t="str">
        <f t="shared" si="1"/>
        <v>MAELZER KURT</v>
      </c>
    </row>
    <row r="128" spans="1:7" x14ac:dyDescent="0.25">
      <c r="A128" s="8">
        <v>42829.470810185187</v>
      </c>
      <c r="B128" s="20" t="s">
        <v>514</v>
      </c>
      <c r="C128" s="20" t="s">
        <v>707</v>
      </c>
      <c r="D128" s="146">
        <v>1340000</v>
      </c>
      <c r="E128" s="20" t="s">
        <v>694</v>
      </c>
      <c r="F128" s="20" t="s">
        <v>695</v>
      </c>
      <c r="G128" s="8" t="str">
        <f t="shared" si="1"/>
        <v>BEAM ROSS</v>
      </c>
    </row>
    <row r="129" spans="1:7" x14ac:dyDescent="0.25">
      <c r="A129" s="8">
        <v>42829.477546296293</v>
      </c>
      <c r="B129" s="20" t="s">
        <v>382</v>
      </c>
      <c r="C129" s="20" t="s">
        <v>708</v>
      </c>
      <c r="D129" s="146">
        <v>1180000</v>
      </c>
      <c r="E129" s="20" t="s">
        <v>709</v>
      </c>
      <c r="F129" s="20" t="s">
        <v>710</v>
      </c>
      <c r="G129" s="8" t="str">
        <f t="shared" si="1"/>
        <v>LEVERE CRAIG</v>
      </c>
    </row>
    <row r="130" spans="1:7" x14ac:dyDescent="0.25">
      <c r="A130" s="8">
        <v>42829.481527777774</v>
      </c>
      <c r="B130" s="20" t="s">
        <v>497</v>
      </c>
      <c r="C130" s="20" t="s">
        <v>711</v>
      </c>
      <c r="D130" s="146">
        <v>3020000</v>
      </c>
      <c r="E130" s="20" t="s">
        <v>508</v>
      </c>
      <c r="F130" s="20" t="s">
        <v>509</v>
      </c>
      <c r="G130" s="8" t="str">
        <f t="shared" si="1"/>
        <v>MENGES BRAD</v>
      </c>
    </row>
    <row r="131" spans="1:7" x14ac:dyDescent="0.25">
      <c r="A131" s="8">
        <v>42829.484120370369</v>
      </c>
      <c r="B131" s="20" t="s">
        <v>495</v>
      </c>
      <c r="C131" s="20" t="s">
        <v>712</v>
      </c>
      <c r="D131" s="146">
        <v>1340000</v>
      </c>
      <c r="E131" s="20" t="s">
        <v>694</v>
      </c>
      <c r="F131" s="20" t="s">
        <v>695</v>
      </c>
      <c r="G131" s="8" t="str">
        <f t="shared" ref="G131:G194" si="2">E131&amp;" "&amp;F131</f>
        <v>BEAM ROSS</v>
      </c>
    </row>
    <row r="132" spans="1:7" x14ac:dyDescent="0.25">
      <c r="A132" s="8">
        <v>42829.486539351848</v>
      </c>
      <c r="B132" s="20" t="s">
        <v>507</v>
      </c>
      <c r="C132" s="20" t="s">
        <v>713</v>
      </c>
      <c r="D132" s="146">
        <v>930000</v>
      </c>
      <c r="E132" s="20" t="s">
        <v>510</v>
      </c>
      <c r="F132" s="20" t="s">
        <v>511</v>
      </c>
      <c r="G132" s="8" t="str">
        <f t="shared" si="2"/>
        <v>CLARK KATHLEEN</v>
      </c>
    </row>
    <row r="133" spans="1:7" x14ac:dyDescent="0.25">
      <c r="A133" s="8">
        <v>42829.49622685185</v>
      </c>
      <c r="B133" s="20" t="s">
        <v>381</v>
      </c>
      <c r="C133" s="20" t="s">
        <v>714</v>
      </c>
      <c r="D133" s="146">
        <v>920000</v>
      </c>
      <c r="E133" s="20" t="s">
        <v>477</v>
      </c>
      <c r="F133" s="20" t="s">
        <v>198</v>
      </c>
      <c r="G133" s="8" t="str">
        <f t="shared" si="2"/>
        <v>DAVIS MICHAEL</v>
      </c>
    </row>
    <row r="134" spans="1:7" x14ac:dyDescent="0.25">
      <c r="A134" s="8">
        <v>42829.49894675926</v>
      </c>
      <c r="B134" s="20" t="s">
        <v>413</v>
      </c>
      <c r="C134" s="20" t="s">
        <v>715</v>
      </c>
      <c r="D134" s="146">
        <v>1120000</v>
      </c>
      <c r="E134" s="20" t="s">
        <v>402</v>
      </c>
      <c r="F134" s="20" t="s">
        <v>403</v>
      </c>
      <c r="G134" s="8" t="str">
        <f t="shared" si="2"/>
        <v>LOCKLEAR TRAVIS</v>
      </c>
    </row>
    <row r="135" spans="1:7" x14ac:dyDescent="0.25">
      <c r="A135" s="8">
        <v>42829.505358796298</v>
      </c>
      <c r="B135" s="20" t="s">
        <v>470</v>
      </c>
      <c r="C135" s="20" t="s">
        <v>716</v>
      </c>
      <c r="D135" s="146">
        <v>2470000</v>
      </c>
      <c r="E135" s="20" t="s">
        <v>717</v>
      </c>
      <c r="F135" s="20" t="s">
        <v>718</v>
      </c>
      <c r="G135" s="8" t="str">
        <f t="shared" si="2"/>
        <v>ROMERO CHAD</v>
      </c>
    </row>
    <row r="136" spans="1:7" x14ac:dyDescent="0.25">
      <c r="A136" s="8">
        <v>42829.506493055553</v>
      </c>
      <c r="B136" s="20" t="s">
        <v>389</v>
      </c>
      <c r="C136" s="20" t="s">
        <v>719</v>
      </c>
      <c r="D136" s="146">
        <v>880000</v>
      </c>
      <c r="E136" s="20" t="s">
        <v>479</v>
      </c>
      <c r="F136" s="20" t="s">
        <v>198</v>
      </c>
      <c r="G136" s="8" t="str">
        <f t="shared" si="2"/>
        <v>STEWART MICHAEL</v>
      </c>
    </row>
    <row r="137" spans="1:7" x14ac:dyDescent="0.25">
      <c r="A137" s="8">
        <v>42829.509930555556</v>
      </c>
      <c r="B137" s="20" t="s">
        <v>514</v>
      </c>
      <c r="C137" s="20" t="s">
        <v>720</v>
      </c>
      <c r="D137" s="146">
        <v>1340000</v>
      </c>
      <c r="E137" s="20" t="s">
        <v>694</v>
      </c>
      <c r="F137" s="20" t="s">
        <v>695</v>
      </c>
      <c r="G137" s="8" t="str">
        <f t="shared" si="2"/>
        <v>BEAM ROSS</v>
      </c>
    </row>
    <row r="138" spans="1:7" x14ac:dyDescent="0.25">
      <c r="A138" s="8">
        <v>42829.512615740743</v>
      </c>
      <c r="B138" s="20" t="s">
        <v>456</v>
      </c>
      <c r="C138" s="20" t="s">
        <v>721</v>
      </c>
      <c r="D138" s="146">
        <v>1180000</v>
      </c>
      <c r="E138" s="20" t="s">
        <v>709</v>
      </c>
      <c r="F138" s="20" t="s">
        <v>710</v>
      </c>
      <c r="G138" s="8" t="str">
        <f t="shared" si="2"/>
        <v>LEVERE CRAIG</v>
      </c>
    </row>
    <row r="139" spans="1:7" x14ac:dyDescent="0.25">
      <c r="A139" s="8">
        <v>42829.518240740741</v>
      </c>
      <c r="B139" s="20" t="s">
        <v>496</v>
      </c>
      <c r="C139" s="20" t="s">
        <v>722</v>
      </c>
      <c r="D139" s="146">
        <v>1760000</v>
      </c>
      <c r="E139" s="20" t="s">
        <v>723</v>
      </c>
      <c r="F139" s="20" t="s">
        <v>724</v>
      </c>
      <c r="G139" s="8" t="str">
        <f t="shared" si="2"/>
        <v>STRICKLAND EVAN</v>
      </c>
    </row>
    <row r="140" spans="1:7" x14ac:dyDescent="0.25">
      <c r="A140" s="8">
        <v>42829.524560185186</v>
      </c>
      <c r="B140" s="20" t="s">
        <v>498</v>
      </c>
      <c r="C140" s="20" t="s">
        <v>725</v>
      </c>
      <c r="D140" s="146">
        <v>930000</v>
      </c>
      <c r="E140" s="20" t="s">
        <v>510</v>
      </c>
      <c r="F140" s="20" t="s">
        <v>511</v>
      </c>
      <c r="G140" s="8" t="str">
        <f t="shared" si="2"/>
        <v>CLARK KATHLEEN</v>
      </c>
    </row>
    <row r="141" spans="1:7" x14ac:dyDescent="0.25">
      <c r="A141" s="8">
        <v>42829.525023148148</v>
      </c>
      <c r="B141" s="20" t="s">
        <v>495</v>
      </c>
      <c r="C141" s="20" t="s">
        <v>726</v>
      </c>
      <c r="D141" s="146">
        <v>1340000</v>
      </c>
      <c r="E141" s="20" t="s">
        <v>694</v>
      </c>
      <c r="F141" s="20" t="s">
        <v>695</v>
      </c>
      <c r="G141" s="8" t="str">
        <f t="shared" si="2"/>
        <v>BEAM ROSS</v>
      </c>
    </row>
    <row r="142" spans="1:7" x14ac:dyDescent="0.25">
      <c r="A142" s="8">
        <v>42829.530717592592</v>
      </c>
      <c r="B142" s="20" t="s">
        <v>380</v>
      </c>
      <c r="C142" s="20" t="s">
        <v>727</v>
      </c>
      <c r="D142" s="146">
        <v>920000</v>
      </c>
      <c r="E142" s="20" t="s">
        <v>477</v>
      </c>
      <c r="F142" s="20" t="s">
        <v>198</v>
      </c>
      <c r="G142" s="8" t="str">
        <f t="shared" si="2"/>
        <v>DAVIS MICHAEL</v>
      </c>
    </row>
    <row r="143" spans="1:7" x14ac:dyDescent="0.25">
      <c r="A143" s="8">
        <v>42829.531770833331</v>
      </c>
      <c r="B143" s="20" t="s">
        <v>414</v>
      </c>
      <c r="C143" s="20" t="s">
        <v>607</v>
      </c>
      <c r="D143" s="146">
        <v>1120000</v>
      </c>
      <c r="E143" s="20" t="s">
        <v>402</v>
      </c>
      <c r="F143" s="20" t="s">
        <v>403</v>
      </c>
      <c r="G143" s="8" t="str">
        <f t="shared" si="2"/>
        <v>LOCKLEAR TRAVIS</v>
      </c>
    </row>
    <row r="144" spans="1:7" x14ac:dyDescent="0.25">
      <c r="A144" s="8">
        <v>42829.53837962963</v>
      </c>
      <c r="B144" s="20" t="s">
        <v>388</v>
      </c>
      <c r="C144" s="20" t="s">
        <v>704</v>
      </c>
      <c r="D144" s="146">
        <v>880000</v>
      </c>
      <c r="E144" s="20" t="s">
        <v>479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42829.538657407407</v>
      </c>
      <c r="B145" s="20" t="s">
        <v>597</v>
      </c>
      <c r="C145" s="20" t="s">
        <v>728</v>
      </c>
      <c r="D145" s="146">
        <v>2470000</v>
      </c>
      <c r="E145" s="20" t="s">
        <v>717</v>
      </c>
      <c r="F145" s="20" t="s">
        <v>718</v>
      </c>
      <c r="G145" s="8" t="str">
        <f t="shared" si="2"/>
        <v>ROMERO CHAD</v>
      </c>
    </row>
    <row r="146" spans="1:7" x14ac:dyDescent="0.25">
      <c r="A146" s="8">
        <v>42829.548217592594</v>
      </c>
      <c r="B146" s="20" t="s">
        <v>382</v>
      </c>
      <c r="C146" s="20" t="s">
        <v>729</v>
      </c>
      <c r="D146" s="146">
        <v>1180000</v>
      </c>
      <c r="E146" s="20" t="s">
        <v>709</v>
      </c>
      <c r="F146" s="20" t="s">
        <v>710</v>
      </c>
      <c r="G146" s="8" t="str">
        <f t="shared" si="2"/>
        <v>LEVERE CRAIG</v>
      </c>
    </row>
    <row r="147" spans="1:7" x14ac:dyDescent="0.25">
      <c r="A147" s="8">
        <v>42829.550312500003</v>
      </c>
      <c r="B147" s="20" t="s">
        <v>497</v>
      </c>
      <c r="C147" s="20" t="s">
        <v>730</v>
      </c>
      <c r="D147" s="146">
        <v>1760000</v>
      </c>
      <c r="E147" s="20" t="s">
        <v>723</v>
      </c>
      <c r="F147" s="20" t="s">
        <v>724</v>
      </c>
      <c r="G147" s="8" t="str">
        <f t="shared" si="2"/>
        <v>STRICKLAND EVAN</v>
      </c>
    </row>
    <row r="148" spans="1:7" x14ac:dyDescent="0.25">
      <c r="A148" s="8">
        <v>42829.554178240738</v>
      </c>
      <c r="B148" s="20" t="s">
        <v>514</v>
      </c>
      <c r="C148" s="20" t="s">
        <v>731</v>
      </c>
      <c r="D148" s="146">
        <v>1300000</v>
      </c>
      <c r="E148" s="20" t="s">
        <v>480</v>
      </c>
      <c r="F148" s="20" t="s">
        <v>481</v>
      </c>
      <c r="G148" s="8" t="str">
        <f t="shared" si="2"/>
        <v>LEVIN SCOTT</v>
      </c>
    </row>
    <row r="149" spans="1:7" x14ac:dyDescent="0.25">
      <c r="A149" s="8">
        <v>42829.55908564815</v>
      </c>
      <c r="B149" s="20" t="s">
        <v>388</v>
      </c>
      <c r="C149" s="20" t="s">
        <v>732</v>
      </c>
      <c r="D149" s="146">
        <v>880000</v>
      </c>
      <c r="E149" s="20" t="s">
        <v>479</v>
      </c>
      <c r="F149" s="20" t="s">
        <v>198</v>
      </c>
      <c r="G149" s="8" t="str">
        <f t="shared" si="2"/>
        <v>STEWART MICHAEL</v>
      </c>
    </row>
    <row r="150" spans="1:7" x14ac:dyDescent="0.25">
      <c r="A150" s="8">
        <v>42829.559293981481</v>
      </c>
      <c r="B150" s="20" t="s">
        <v>507</v>
      </c>
      <c r="C150" s="20" t="s">
        <v>733</v>
      </c>
      <c r="D150" s="146">
        <v>930000</v>
      </c>
      <c r="E150" s="20" t="s">
        <v>510</v>
      </c>
      <c r="F150" s="20" t="s">
        <v>511</v>
      </c>
      <c r="G150" s="8" t="str">
        <f t="shared" si="2"/>
        <v>CLARK KATHLEEN</v>
      </c>
    </row>
    <row r="151" spans="1:7" x14ac:dyDescent="0.25">
      <c r="A151" s="8">
        <v>42829.567094907405</v>
      </c>
      <c r="B151" s="20" t="s">
        <v>495</v>
      </c>
      <c r="C151" s="20" t="s">
        <v>734</v>
      </c>
      <c r="D151" s="146">
        <v>1300000</v>
      </c>
      <c r="E151" s="20" t="s">
        <v>480</v>
      </c>
      <c r="F151" s="20" t="s">
        <v>481</v>
      </c>
      <c r="G151" s="8" t="str">
        <f t="shared" si="2"/>
        <v>LEVIN SCOTT</v>
      </c>
    </row>
    <row r="152" spans="1:7" x14ac:dyDescent="0.25">
      <c r="A152" s="8">
        <v>42829.568298611113</v>
      </c>
      <c r="B152" s="20" t="s">
        <v>381</v>
      </c>
      <c r="C152" s="20" t="s">
        <v>735</v>
      </c>
      <c r="D152" s="146">
        <v>920000</v>
      </c>
      <c r="E152" s="20" t="s">
        <v>477</v>
      </c>
      <c r="F152" s="20" t="s">
        <v>198</v>
      </c>
      <c r="G152" s="8" t="str">
        <f t="shared" si="2"/>
        <v>DAVIS MICHAEL</v>
      </c>
    </row>
    <row r="153" spans="1:7" x14ac:dyDescent="0.25">
      <c r="A153" s="8">
        <v>42829.572511574072</v>
      </c>
      <c r="B153" s="20" t="s">
        <v>413</v>
      </c>
      <c r="C153" s="20" t="s">
        <v>608</v>
      </c>
      <c r="D153" s="146">
        <v>1120000</v>
      </c>
      <c r="E153" s="20" t="s">
        <v>402</v>
      </c>
      <c r="F153" s="20" t="s">
        <v>403</v>
      </c>
      <c r="G153" s="8" t="str">
        <f t="shared" si="2"/>
        <v>LOCKLEAR TRAVIS</v>
      </c>
    </row>
    <row r="154" spans="1:7" x14ac:dyDescent="0.25">
      <c r="A154" s="8">
        <v>42829.581018518518</v>
      </c>
      <c r="B154" s="20" t="s">
        <v>389</v>
      </c>
      <c r="C154" s="20" t="s">
        <v>736</v>
      </c>
      <c r="D154" s="146">
        <v>880000</v>
      </c>
      <c r="E154" s="20" t="s">
        <v>479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42829.581562500003</v>
      </c>
      <c r="B155" s="20" t="s">
        <v>470</v>
      </c>
      <c r="C155" s="20" t="s">
        <v>737</v>
      </c>
      <c r="D155" s="146">
        <v>3040000</v>
      </c>
      <c r="E155" s="20" t="s">
        <v>512</v>
      </c>
      <c r="F155" s="20" t="s">
        <v>513</v>
      </c>
      <c r="G155" s="8" t="str">
        <f t="shared" si="2"/>
        <v>WILLIAMS DONTE</v>
      </c>
    </row>
    <row r="156" spans="1:7" x14ac:dyDescent="0.25">
      <c r="A156" s="8">
        <v>42829.589328703703</v>
      </c>
      <c r="B156" s="20" t="s">
        <v>496</v>
      </c>
      <c r="C156" s="20" t="s">
        <v>738</v>
      </c>
      <c r="D156" s="146">
        <v>1760000</v>
      </c>
      <c r="E156" s="20" t="s">
        <v>723</v>
      </c>
      <c r="F156" s="20" t="s">
        <v>724</v>
      </c>
      <c r="G156" s="8" t="str">
        <f t="shared" si="2"/>
        <v>STRICKLAND EVAN</v>
      </c>
    </row>
    <row r="157" spans="1:7" x14ac:dyDescent="0.25">
      <c r="A157" s="8">
        <v>42829.589803240742</v>
      </c>
      <c r="B157" s="20" t="s">
        <v>456</v>
      </c>
      <c r="C157" s="20" t="s">
        <v>739</v>
      </c>
      <c r="D157" s="146">
        <v>1180000</v>
      </c>
      <c r="E157" s="20" t="s">
        <v>709</v>
      </c>
      <c r="F157" s="20" t="s">
        <v>710</v>
      </c>
      <c r="G157" s="8" t="str">
        <f t="shared" si="2"/>
        <v>LEVERE CRAIG</v>
      </c>
    </row>
    <row r="158" spans="1:7" x14ac:dyDescent="0.25">
      <c r="A158" s="8">
        <v>42829.594293981485</v>
      </c>
      <c r="B158" s="20" t="s">
        <v>498</v>
      </c>
      <c r="C158" s="20" t="s">
        <v>740</v>
      </c>
      <c r="D158" s="146">
        <v>930000</v>
      </c>
      <c r="E158" s="20" t="s">
        <v>510</v>
      </c>
      <c r="F158" s="20" t="s">
        <v>511</v>
      </c>
      <c r="G158" s="8" t="str">
        <f t="shared" si="2"/>
        <v>CLARK KATHLEEN</v>
      </c>
    </row>
    <row r="159" spans="1:7" x14ac:dyDescent="0.25">
      <c r="A159" s="8">
        <v>42829.595937500002</v>
      </c>
      <c r="B159" s="20" t="s">
        <v>514</v>
      </c>
      <c r="C159" s="20" t="s">
        <v>741</v>
      </c>
      <c r="D159" s="146">
        <v>1300000</v>
      </c>
      <c r="E159" s="20" t="s">
        <v>480</v>
      </c>
      <c r="F159" s="20" t="s">
        <v>481</v>
      </c>
      <c r="G159" s="8" t="str">
        <f t="shared" si="2"/>
        <v>LEVIN SCOTT</v>
      </c>
    </row>
    <row r="160" spans="1:7" x14ac:dyDescent="0.25">
      <c r="A160" s="8">
        <v>42829.602326388886</v>
      </c>
      <c r="B160" s="20" t="s">
        <v>380</v>
      </c>
      <c r="C160" s="20" t="s">
        <v>742</v>
      </c>
      <c r="D160" s="146">
        <v>920000</v>
      </c>
      <c r="E160" s="20" t="s">
        <v>477</v>
      </c>
      <c r="F160" s="20" t="s">
        <v>198</v>
      </c>
      <c r="G160" s="8" t="str">
        <f t="shared" si="2"/>
        <v>DAVIS MICHAEL</v>
      </c>
    </row>
    <row r="161" spans="1:7" x14ac:dyDescent="0.25">
      <c r="A161" s="8">
        <v>42829.608807870369</v>
      </c>
      <c r="B161" s="20" t="s">
        <v>495</v>
      </c>
      <c r="C161" s="20" t="s">
        <v>609</v>
      </c>
      <c r="D161" s="146">
        <v>1300000</v>
      </c>
      <c r="E161" s="20" t="s">
        <v>480</v>
      </c>
      <c r="F161" s="20" t="s">
        <v>481</v>
      </c>
      <c r="G161" s="8" t="str">
        <f t="shared" si="2"/>
        <v>LEVIN SCOTT</v>
      </c>
    </row>
    <row r="162" spans="1:7" x14ac:dyDescent="0.25">
      <c r="A162" s="8">
        <v>42829.61010416667</v>
      </c>
      <c r="B162" s="20" t="s">
        <v>414</v>
      </c>
      <c r="C162" s="20" t="s">
        <v>610</v>
      </c>
      <c r="D162" s="146">
        <v>1120000</v>
      </c>
      <c r="E162" s="20" t="s">
        <v>402</v>
      </c>
      <c r="F162" s="20" t="s">
        <v>403</v>
      </c>
      <c r="G162" s="8" t="str">
        <f t="shared" si="2"/>
        <v>LOCKLEAR TRAVIS</v>
      </c>
    </row>
    <row r="163" spans="1:7" x14ac:dyDescent="0.25">
      <c r="A163" s="8">
        <v>42829.613692129627</v>
      </c>
      <c r="B163" s="20" t="s">
        <v>432</v>
      </c>
      <c r="C163" s="20" t="s">
        <v>743</v>
      </c>
      <c r="D163" s="146">
        <v>880000</v>
      </c>
      <c r="E163" s="20" t="s">
        <v>479</v>
      </c>
      <c r="F163" s="20" t="s">
        <v>198</v>
      </c>
      <c r="G163" s="8" t="str">
        <f t="shared" si="2"/>
        <v>STEWART MICHAEL</v>
      </c>
    </row>
    <row r="164" spans="1:7" x14ac:dyDescent="0.25">
      <c r="A164" s="8">
        <v>42829.617719907408</v>
      </c>
      <c r="B164" s="20" t="s">
        <v>597</v>
      </c>
      <c r="C164" s="20" t="s">
        <v>744</v>
      </c>
      <c r="D164" s="146">
        <v>3040000</v>
      </c>
      <c r="E164" s="20" t="s">
        <v>512</v>
      </c>
      <c r="F164" s="20" t="s">
        <v>513</v>
      </c>
      <c r="G164" s="8" t="str">
        <f t="shared" si="2"/>
        <v>WILLIAMS DONTE</v>
      </c>
    </row>
    <row r="165" spans="1:7" x14ac:dyDescent="0.25">
      <c r="A165" s="8">
        <v>42829.620891203704</v>
      </c>
      <c r="B165" s="20" t="s">
        <v>382</v>
      </c>
      <c r="C165" s="20" t="s">
        <v>745</v>
      </c>
      <c r="D165" s="146">
        <v>1180000</v>
      </c>
      <c r="E165" s="20" t="s">
        <v>709</v>
      </c>
      <c r="F165" s="20" t="s">
        <v>710</v>
      </c>
      <c r="G165" s="8" t="str">
        <f t="shared" si="2"/>
        <v>LEVERE CRAIG</v>
      </c>
    </row>
    <row r="166" spans="1:7" x14ac:dyDescent="0.25">
      <c r="A166" s="8">
        <v>42829.622303240743</v>
      </c>
      <c r="B166" s="20" t="s">
        <v>497</v>
      </c>
      <c r="C166" s="20" t="s">
        <v>746</v>
      </c>
      <c r="D166" s="146">
        <v>1760000</v>
      </c>
      <c r="E166" s="20" t="s">
        <v>723</v>
      </c>
      <c r="F166" s="20" t="s">
        <v>724</v>
      </c>
      <c r="G166" s="8" t="str">
        <f t="shared" si="2"/>
        <v>STRICKLAND EVAN</v>
      </c>
    </row>
    <row r="167" spans="1:7" x14ac:dyDescent="0.25">
      <c r="A167" s="8">
        <v>42829.632777777777</v>
      </c>
      <c r="B167" s="20" t="s">
        <v>507</v>
      </c>
      <c r="C167" s="20" t="s">
        <v>747</v>
      </c>
      <c r="D167" s="146">
        <v>930000</v>
      </c>
      <c r="E167" s="20" t="s">
        <v>510</v>
      </c>
      <c r="F167" s="20" t="s">
        <v>511</v>
      </c>
      <c r="G167" s="8" t="str">
        <f t="shared" si="2"/>
        <v>CLARK KATHLEEN</v>
      </c>
    </row>
    <row r="168" spans="1:7" x14ac:dyDescent="0.25">
      <c r="A168" s="8">
        <v>42829.637476851851</v>
      </c>
      <c r="B168" s="20" t="s">
        <v>514</v>
      </c>
      <c r="C168" s="20" t="s">
        <v>748</v>
      </c>
      <c r="D168" s="146">
        <v>1300000</v>
      </c>
      <c r="E168" s="20" t="s">
        <v>480</v>
      </c>
      <c r="F168" s="20" t="s">
        <v>481</v>
      </c>
      <c r="G168" s="8" t="str">
        <f t="shared" si="2"/>
        <v>LEVIN SCOTT</v>
      </c>
    </row>
    <row r="169" spans="1:7" x14ac:dyDescent="0.25">
      <c r="A169" s="8">
        <v>42829.638599537036</v>
      </c>
      <c r="B169" s="20" t="s">
        <v>381</v>
      </c>
      <c r="C169" s="20" t="s">
        <v>749</v>
      </c>
      <c r="D169" s="146">
        <v>920000</v>
      </c>
      <c r="E169" s="20" t="s">
        <v>477</v>
      </c>
      <c r="F169" s="20" t="s">
        <v>198</v>
      </c>
      <c r="G169" s="8" t="str">
        <f t="shared" si="2"/>
        <v>DAVIS MICHAEL</v>
      </c>
    </row>
    <row r="170" spans="1:7" x14ac:dyDescent="0.25">
      <c r="A170" s="8">
        <v>42829.639004629629</v>
      </c>
      <c r="B170" s="20" t="s">
        <v>644</v>
      </c>
      <c r="C170" s="20" t="s">
        <v>750</v>
      </c>
      <c r="D170" s="146">
        <v>2150000</v>
      </c>
      <c r="E170" s="20" t="s">
        <v>374</v>
      </c>
      <c r="F170" s="20" t="s">
        <v>375</v>
      </c>
      <c r="G170" s="8" t="str">
        <f t="shared" si="2"/>
        <v>SWANSON BRYCE</v>
      </c>
    </row>
    <row r="171" spans="1:7" x14ac:dyDescent="0.25">
      <c r="A171" s="8">
        <v>42829.643761574072</v>
      </c>
      <c r="B171" s="20" t="s">
        <v>413</v>
      </c>
      <c r="C171" s="20" t="s">
        <v>751</v>
      </c>
      <c r="D171" s="146">
        <v>1120000</v>
      </c>
      <c r="E171" s="20" t="s">
        <v>402</v>
      </c>
      <c r="F171" s="20" t="s">
        <v>403</v>
      </c>
      <c r="G171" s="8" t="str">
        <f t="shared" si="2"/>
        <v>LOCKLEAR TRAVIS</v>
      </c>
    </row>
    <row r="172" spans="1:7" x14ac:dyDescent="0.25">
      <c r="A172" s="8">
        <v>42829.649814814817</v>
      </c>
      <c r="B172" s="20" t="s">
        <v>639</v>
      </c>
      <c r="C172" s="20" t="s">
        <v>752</v>
      </c>
      <c r="D172" s="146">
        <v>2150000</v>
      </c>
      <c r="E172" s="20" t="s">
        <v>374</v>
      </c>
      <c r="F172" s="20" t="s">
        <v>375</v>
      </c>
      <c r="G172" s="8" t="str">
        <f t="shared" si="2"/>
        <v>SWANSON BRYCE</v>
      </c>
    </row>
    <row r="173" spans="1:7" x14ac:dyDescent="0.25">
      <c r="A173" s="8">
        <v>42829.650775462964</v>
      </c>
      <c r="B173" s="20" t="s">
        <v>495</v>
      </c>
      <c r="C173" s="20" t="s">
        <v>611</v>
      </c>
      <c r="D173" s="146">
        <v>1300000</v>
      </c>
      <c r="E173" s="20" t="s">
        <v>480</v>
      </c>
      <c r="F173" s="20" t="s">
        <v>481</v>
      </c>
      <c r="G173" s="8" t="str">
        <f t="shared" si="2"/>
        <v>LEVIN SCOTT</v>
      </c>
    </row>
    <row r="174" spans="1:7" x14ac:dyDescent="0.25">
      <c r="A174" s="8">
        <v>42829.651770833334</v>
      </c>
      <c r="B174" s="20" t="s">
        <v>455</v>
      </c>
      <c r="C174" s="20" t="s">
        <v>753</v>
      </c>
      <c r="D174" s="146">
        <v>880000</v>
      </c>
      <c r="E174" s="20" t="s">
        <v>479</v>
      </c>
      <c r="F174" s="20" t="s">
        <v>198</v>
      </c>
      <c r="G174" s="8" t="str">
        <f t="shared" si="2"/>
        <v>STEWART MICHAEL</v>
      </c>
    </row>
    <row r="175" spans="1:7" x14ac:dyDescent="0.25">
      <c r="A175" s="8">
        <v>42829.655775462961</v>
      </c>
      <c r="B175" s="20" t="s">
        <v>470</v>
      </c>
      <c r="C175" s="20" t="s">
        <v>612</v>
      </c>
      <c r="D175" s="146">
        <v>3040000</v>
      </c>
      <c r="E175" s="20" t="s">
        <v>512</v>
      </c>
      <c r="F175" s="20" t="s">
        <v>513</v>
      </c>
      <c r="G175" s="8" t="str">
        <f t="shared" si="2"/>
        <v>WILLIAMS DONTE</v>
      </c>
    </row>
    <row r="176" spans="1:7" x14ac:dyDescent="0.25">
      <c r="A176" s="8">
        <v>42829.659062500003</v>
      </c>
      <c r="B176" s="20" t="s">
        <v>456</v>
      </c>
      <c r="C176" s="20" t="s">
        <v>754</v>
      </c>
      <c r="D176" s="146">
        <v>1180000</v>
      </c>
      <c r="E176" s="20" t="s">
        <v>709</v>
      </c>
      <c r="F176" s="20" t="s">
        <v>710</v>
      </c>
      <c r="G176" s="8" t="str">
        <f t="shared" si="2"/>
        <v>LEVERE CRAIG</v>
      </c>
    </row>
    <row r="177" spans="1:7" x14ac:dyDescent="0.25">
      <c r="A177" s="8">
        <v>42829.6643287037</v>
      </c>
      <c r="B177" s="20" t="s">
        <v>496</v>
      </c>
      <c r="C177" s="20" t="s">
        <v>755</v>
      </c>
      <c r="D177" s="146">
        <v>1760000</v>
      </c>
      <c r="E177" s="20" t="s">
        <v>723</v>
      </c>
      <c r="F177" s="20" t="s">
        <v>724</v>
      </c>
      <c r="G177" s="8" t="str">
        <f t="shared" si="2"/>
        <v>STRICKLAND EVAN</v>
      </c>
    </row>
    <row r="178" spans="1:7" x14ac:dyDescent="0.25">
      <c r="A178" s="8">
        <v>42829.670370370368</v>
      </c>
      <c r="B178" s="20" t="s">
        <v>498</v>
      </c>
      <c r="C178" s="20" t="s">
        <v>756</v>
      </c>
      <c r="D178" s="146">
        <v>930000</v>
      </c>
      <c r="E178" s="20" t="s">
        <v>510</v>
      </c>
      <c r="F178" s="20" t="s">
        <v>511</v>
      </c>
      <c r="G178" s="8" t="str">
        <f t="shared" si="2"/>
        <v>CLARK KATHLEEN</v>
      </c>
    </row>
    <row r="179" spans="1:7" x14ac:dyDescent="0.25">
      <c r="A179" s="8">
        <v>42829.671851851854</v>
      </c>
      <c r="B179" s="20" t="s">
        <v>644</v>
      </c>
      <c r="C179" s="20" t="s">
        <v>757</v>
      </c>
      <c r="D179" s="146">
        <v>2150000</v>
      </c>
      <c r="E179" s="20" t="s">
        <v>374</v>
      </c>
      <c r="F179" s="20" t="s">
        <v>375</v>
      </c>
      <c r="G179" s="8" t="str">
        <f t="shared" si="2"/>
        <v>SWANSON BRYCE</v>
      </c>
    </row>
    <row r="180" spans="1:7" x14ac:dyDescent="0.25">
      <c r="A180" s="8">
        <v>42829.676203703704</v>
      </c>
      <c r="B180" s="20" t="s">
        <v>380</v>
      </c>
      <c r="C180" s="20" t="s">
        <v>758</v>
      </c>
      <c r="D180" s="146">
        <v>920000</v>
      </c>
      <c r="E180" s="20" t="s">
        <v>477</v>
      </c>
      <c r="F180" s="20" t="s">
        <v>198</v>
      </c>
      <c r="G180" s="8" t="str">
        <f t="shared" si="2"/>
        <v>DAVIS MICHAEL</v>
      </c>
    </row>
    <row r="181" spans="1:7" x14ac:dyDescent="0.25">
      <c r="A181" s="8">
        <v>42829.677384259259</v>
      </c>
      <c r="B181" s="20" t="s">
        <v>514</v>
      </c>
      <c r="C181" s="20" t="s">
        <v>759</v>
      </c>
      <c r="D181" s="146">
        <v>1300000</v>
      </c>
      <c r="E181" s="20" t="s">
        <v>480</v>
      </c>
      <c r="F181" s="20" t="s">
        <v>481</v>
      </c>
      <c r="G181" s="8" t="str">
        <f t="shared" si="2"/>
        <v>LEVIN SCOTT</v>
      </c>
    </row>
    <row r="182" spans="1:7" x14ac:dyDescent="0.25">
      <c r="A182" s="8">
        <v>42829.680185185185</v>
      </c>
      <c r="B182" s="20" t="s">
        <v>414</v>
      </c>
      <c r="C182" s="20" t="s">
        <v>760</v>
      </c>
      <c r="D182" s="146">
        <v>1120000</v>
      </c>
      <c r="E182" s="20" t="s">
        <v>402</v>
      </c>
      <c r="F182" s="20" t="s">
        <v>403</v>
      </c>
      <c r="G182" s="8" t="str">
        <f t="shared" si="2"/>
        <v>LOCKLEAR TRAVIS</v>
      </c>
    </row>
    <row r="183" spans="1:7" x14ac:dyDescent="0.25">
      <c r="A183" s="8">
        <v>42829.685277777775</v>
      </c>
      <c r="B183" s="20" t="s">
        <v>432</v>
      </c>
      <c r="C183" s="20" t="s">
        <v>614</v>
      </c>
      <c r="D183" s="146">
        <v>880000</v>
      </c>
      <c r="E183" s="20" t="s">
        <v>479</v>
      </c>
      <c r="F183" s="20" t="s">
        <v>198</v>
      </c>
      <c r="G183" s="8" t="str">
        <f t="shared" si="2"/>
        <v>STEWART MICHAEL</v>
      </c>
    </row>
    <row r="184" spans="1:7" x14ac:dyDescent="0.25">
      <c r="A184" s="8">
        <v>42829.686203703706</v>
      </c>
      <c r="B184" s="20" t="s">
        <v>639</v>
      </c>
      <c r="C184" s="20" t="s">
        <v>761</v>
      </c>
      <c r="D184" s="146">
        <v>2150000</v>
      </c>
      <c r="E184" s="20" t="s">
        <v>374</v>
      </c>
      <c r="F184" s="20" t="s">
        <v>375</v>
      </c>
      <c r="G184" s="8" t="str">
        <f t="shared" si="2"/>
        <v>SWANSON BRYCE</v>
      </c>
    </row>
    <row r="185" spans="1:7" x14ac:dyDescent="0.25">
      <c r="A185" s="8">
        <v>42829.692511574074</v>
      </c>
      <c r="B185" s="20" t="s">
        <v>495</v>
      </c>
      <c r="C185" s="20" t="s">
        <v>613</v>
      </c>
      <c r="D185" s="146">
        <v>1300000</v>
      </c>
      <c r="E185" s="20" t="s">
        <v>480</v>
      </c>
      <c r="F185" s="20" t="s">
        <v>481</v>
      </c>
      <c r="G185" s="8" t="str">
        <f t="shared" si="2"/>
        <v>LEVIN SCOTT</v>
      </c>
    </row>
    <row r="186" spans="1:7" x14ac:dyDescent="0.25">
      <c r="A186" s="8">
        <v>42829.693043981482</v>
      </c>
      <c r="B186" s="20" t="s">
        <v>597</v>
      </c>
      <c r="C186" s="20" t="s">
        <v>615</v>
      </c>
      <c r="D186" s="146">
        <v>3040000</v>
      </c>
      <c r="E186" s="20" t="s">
        <v>512</v>
      </c>
      <c r="F186" s="20" t="s">
        <v>513</v>
      </c>
      <c r="G186" s="8" t="str">
        <f t="shared" si="2"/>
        <v>WILLIAMS DONTE</v>
      </c>
    </row>
    <row r="187" spans="1:7" x14ac:dyDescent="0.25">
      <c r="A187" s="8">
        <v>42829.695717592593</v>
      </c>
      <c r="B187" s="20" t="s">
        <v>497</v>
      </c>
      <c r="C187" s="20" t="s">
        <v>762</v>
      </c>
      <c r="D187" s="146">
        <v>1760000</v>
      </c>
      <c r="E187" s="20" t="s">
        <v>723</v>
      </c>
      <c r="F187" s="20" t="s">
        <v>724</v>
      </c>
      <c r="G187" s="8" t="str">
        <f t="shared" si="2"/>
        <v>STRICKLAND EVAN</v>
      </c>
    </row>
    <row r="188" spans="1:7" x14ac:dyDescent="0.25">
      <c r="A188" s="8">
        <v>42829.69636574074</v>
      </c>
      <c r="B188" s="20" t="s">
        <v>382</v>
      </c>
      <c r="C188" s="20" t="s">
        <v>763</v>
      </c>
      <c r="D188" s="146">
        <v>1180000</v>
      </c>
      <c r="E188" s="20" t="s">
        <v>709</v>
      </c>
      <c r="F188" s="20" t="s">
        <v>710</v>
      </c>
      <c r="G188" s="8" t="str">
        <f t="shared" si="2"/>
        <v>LEVERE CRAIG</v>
      </c>
    </row>
    <row r="189" spans="1:7" x14ac:dyDescent="0.25">
      <c r="A189" s="8">
        <v>42829.70722222222</v>
      </c>
      <c r="B189" s="20" t="s">
        <v>507</v>
      </c>
      <c r="C189" s="20" t="s">
        <v>764</v>
      </c>
      <c r="D189" s="146">
        <v>930000</v>
      </c>
      <c r="E189" s="20" t="s">
        <v>510</v>
      </c>
      <c r="F189" s="20" t="s">
        <v>511</v>
      </c>
      <c r="G189" s="8" t="str">
        <f t="shared" si="2"/>
        <v>CLARK KATHLEEN</v>
      </c>
    </row>
    <row r="190" spans="1:7" x14ac:dyDescent="0.25">
      <c r="A190" s="8">
        <v>42829.713368055556</v>
      </c>
      <c r="B190" s="20" t="s">
        <v>381</v>
      </c>
      <c r="C190" s="20" t="s">
        <v>616</v>
      </c>
      <c r="D190" s="146">
        <v>920000</v>
      </c>
      <c r="E190" s="20" t="s">
        <v>477</v>
      </c>
      <c r="F190" s="20" t="s">
        <v>198</v>
      </c>
      <c r="G190" s="8" t="str">
        <f t="shared" si="2"/>
        <v>DAVIS MICHAEL</v>
      </c>
    </row>
    <row r="191" spans="1:7" x14ac:dyDescent="0.25">
      <c r="A191" s="8">
        <v>42829.71365740741</v>
      </c>
      <c r="B191" s="20" t="s">
        <v>644</v>
      </c>
      <c r="C191" s="20" t="s">
        <v>765</v>
      </c>
      <c r="D191" s="146">
        <v>2150000</v>
      </c>
      <c r="E191" s="20" t="s">
        <v>374</v>
      </c>
      <c r="F191" s="20" t="s">
        <v>375</v>
      </c>
      <c r="G191" s="8" t="str">
        <f t="shared" si="2"/>
        <v>SWANSON BRYCE</v>
      </c>
    </row>
    <row r="192" spans="1:7" x14ac:dyDescent="0.25">
      <c r="A192" s="8">
        <v>42829.718587962961</v>
      </c>
      <c r="B192" s="20" t="s">
        <v>413</v>
      </c>
      <c r="C192" s="20" t="s">
        <v>766</v>
      </c>
      <c r="D192" s="146">
        <v>1800000</v>
      </c>
      <c r="E192" s="20" t="s">
        <v>404</v>
      </c>
      <c r="F192" s="20" t="s">
        <v>405</v>
      </c>
      <c r="G192" s="8" t="str">
        <f t="shared" si="2"/>
        <v>CHANDLER KELVIN</v>
      </c>
    </row>
    <row r="193" spans="1:7" x14ac:dyDescent="0.25">
      <c r="A193" s="8">
        <v>42829.720057870371</v>
      </c>
      <c r="B193" s="20" t="s">
        <v>514</v>
      </c>
      <c r="C193" s="20" t="s">
        <v>767</v>
      </c>
      <c r="D193" s="146">
        <v>1300000</v>
      </c>
      <c r="E193" s="20" t="s">
        <v>480</v>
      </c>
      <c r="F193" s="20" t="s">
        <v>481</v>
      </c>
      <c r="G193" s="8" t="str">
        <f t="shared" si="2"/>
        <v>LEVIN SCOTT</v>
      </c>
    </row>
    <row r="194" spans="1:7" x14ac:dyDescent="0.25">
      <c r="A194" s="8">
        <v>42829.724282407406</v>
      </c>
      <c r="B194" s="20" t="s">
        <v>455</v>
      </c>
      <c r="C194" s="20" t="s">
        <v>768</v>
      </c>
      <c r="D194" s="146">
        <v>880000</v>
      </c>
      <c r="E194" s="20" t="s">
        <v>479</v>
      </c>
      <c r="F194" s="20" t="s">
        <v>198</v>
      </c>
      <c r="G194" s="8" t="str">
        <f t="shared" si="2"/>
        <v>STEWART MICHAEL</v>
      </c>
    </row>
    <row r="195" spans="1:7" x14ac:dyDescent="0.25">
      <c r="A195" s="8">
        <v>42829.728530092594</v>
      </c>
      <c r="B195" s="20" t="s">
        <v>470</v>
      </c>
      <c r="C195" s="20" t="s">
        <v>769</v>
      </c>
      <c r="D195" s="146">
        <v>1120000</v>
      </c>
      <c r="E195" s="20" t="s">
        <v>402</v>
      </c>
      <c r="F195" s="20" t="s">
        <v>403</v>
      </c>
      <c r="G195" s="8" t="str">
        <f t="shared" ref="G195:G258" si="3">E195&amp;" "&amp;F195</f>
        <v>LOCKLEAR TRAVIS</v>
      </c>
    </row>
    <row r="196" spans="1:7" x14ac:dyDescent="0.25">
      <c r="A196" s="8">
        <v>42829.728958333333</v>
      </c>
      <c r="B196" s="20" t="s">
        <v>639</v>
      </c>
      <c r="C196" s="20" t="s">
        <v>770</v>
      </c>
      <c r="D196" s="146">
        <v>2150000</v>
      </c>
      <c r="E196" s="20" t="s">
        <v>374</v>
      </c>
      <c r="F196" s="20" t="s">
        <v>375</v>
      </c>
      <c r="G196" s="8" t="str">
        <f t="shared" si="3"/>
        <v>SWANSON BRYCE</v>
      </c>
    </row>
    <row r="197" spans="1:7" x14ac:dyDescent="0.25">
      <c r="A197" s="8">
        <v>42829.729166666664</v>
      </c>
      <c r="B197" s="20" t="s">
        <v>388</v>
      </c>
      <c r="C197" s="20" t="s">
        <v>771</v>
      </c>
      <c r="D197" s="146">
        <v>1780000</v>
      </c>
      <c r="E197" s="20" t="s">
        <v>696</v>
      </c>
      <c r="F197" s="20" t="s">
        <v>697</v>
      </c>
      <c r="G197" s="8" t="str">
        <f t="shared" si="3"/>
        <v>DE LA ROSA ALEX</v>
      </c>
    </row>
    <row r="198" spans="1:7" x14ac:dyDescent="0.25">
      <c r="A198" s="8">
        <v>42829.730034722219</v>
      </c>
      <c r="B198" s="20" t="s">
        <v>456</v>
      </c>
      <c r="C198" s="20" t="s">
        <v>772</v>
      </c>
      <c r="D198" s="146">
        <v>1180000</v>
      </c>
      <c r="E198" s="20" t="s">
        <v>709</v>
      </c>
      <c r="F198" s="20" t="s">
        <v>710</v>
      </c>
      <c r="G198" s="8" t="str">
        <f t="shared" si="3"/>
        <v>LEVERE CRAIG</v>
      </c>
    </row>
    <row r="199" spans="1:7" x14ac:dyDescent="0.25">
      <c r="A199" s="8">
        <v>42829.730879629627</v>
      </c>
      <c r="B199" s="20" t="s">
        <v>388</v>
      </c>
      <c r="C199" s="20" t="s">
        <v>771</v>
      </c>
      <c r="D199" s="146">
        <v>1780000</v>
      </c>
      <c r="E199" s="20" t="s">
        <v>696</v>
      </c>
      <c r="F199" s="20" t="s">
        <v>697</v>
      </c>
      <c r="G199" s="8" t="str">
        <f t="shared" si="3"/>
        <v>DE LA ROSA ALEX</v>
      </c>
    </row>
    <row r="200" spans="1:7" x14ac:dyDescent="0.25">
      <c r="A200" s="8">
        <v>42829.731770833336</v>
      </c>
      <c r="B200" s="20" t="s">
        <v>603</v>
      </c>
      <c r="C200" s="20" t="s">
        <v>773</v>
      </c>
      <c r="D200" s="146">
        <v>1740000</v>
      </c>
      <c r="E200" s="20" t="s">
        <v>409</v>
      </c>
      <c r="F200" s="20" t="s">
        <v>410</v>
      </c>
      <c r="G200" s="8" t="str">
        <f t="shared" si="3"/>
        <v>STORY SAMANTHA</v>
      </c>
    </row>
    <row r="201" spans="1:7" x14ac:dyDescent="0.25">
      <c r="A201" s="8">
        <v>42829.732118055559</v>
      </c>
      <c r="B201" s="20" t="s">
        <v>388</v>
      </c>
      <c r="C201" s="20" t="s">
        <v>771</v>
      </c>
      <c r="D201" s="146">
        <v>1780000</v>
      </c>
      <c r="E201" s="20" t="s">
        <v>696</v>
      </c>
      <c r="F201" s="20" t="s">
        <v>697</v>
      </c>
      <c r="G201" s="8" t="str">
        <f t="shared" si="3"/>
        <v>DE LA ROSA ALEX</v>
      </c>
    </row>
    <row r="202" spans="1:7" x14ac:dyDescent="0.25">
      <c r="A202" s="26">
        <v>42829.733032407406</v>
      </c>
      <c r="B202" s="20" t="s">
        <v>603</v>
      </c>
      <c r="C202" s="20" t="s">
        <v>774</v>
      </c>
      <c r="D202" s="146">
        <v>1740000</v>
      </c>
      <c r="E202" s="20" t="s">
        <v>409</v>
      </c>
      <c r="F202" s="20" t="s">
        <v>410</v>
      </c>
      <c r="G202" s="8" t="str">
        <f t="shared" si="3"/>
        <v>STORY SAMANTHA</v>
      </c>
    </row>
    <row r="203" spans="1:7" x14ac:dyDescent="0.25">
      <c r="A203" s="8">
        <v>42829.733587962961</v>
      </c>
      <c r="B203" s="20" t="s">
        <v>495</v>
      </c>
      <c r="C203" s="20" t="s">
        <v>775</v>
      </c>
      <c r="D203" s="146">
        <v>1300000</v>
      </c>
      <c r="E203" s="20" t="s">
        <v>480</v>
      </c>
      <c r="F203" s="20" t="s">
        <v>481</v>
      </c>
      <c r="G203" s="8" t="str">
        <f t="shared" si="3"/>
        <v>LEVIN SCOTT</v>
      </c>
    </row>
    <row r="204" spans="1:7" x14ac:dyDescent="0.25">
      <c r="A204" s="8">
        <v>42829.733634259261</v>
      </c>
      <c r="B204" s="20" t="s">
        <v>388</v>
      </c>
      <c r="C204" s="20" t="s">
        <v>771</v>
      </c>
      <c r="D204" s="146">
        <v>1780000</v>
      </c>
      <c r="E204" s="20" t="s">
        <v>696</v>
      </c>
      <c r="F204" s="20" t="s">
        <v>697</v>
      </c>
      <c r="G204" s="8" t="str">
        <f t="shared" si="3"/>
        <v>DE LA ROSA ALEX</v>
      </c>
    </row>
    <row r="205" spans="1:7" x14ac:dyDescent="0.25">
      <c r="A205" s="8">
        <v>42829.735960648148</v>
      </c>
      <c r="B205" s="20" t="s">
        <v>496</v>
      </c>
      <c r="C205" s="20" t="s">
        <v>776</v>
      </c>
      <c r="D205" s="146">
        <v>1810000</v>
      </c>
      <c r="E205" s="20" t="s">
        <v>406</v>
      </c>
      <c r="F205" s="20" t="s">
        <v>195</v>
      </c>
      <c r="G205" s="8" t="str">
        <f t="shared" si="3"/>
        <v>NEWELL JAMES</v>
      </c>
    </row>
    <row r="206" spans="1:7" x14ac:dyDescent="0.25">
      <c r="A206" s="8">
        <v>42829.741342592592</v>
      </c>
      <c r="B206" s="20" t="s">
        <v>378</v>
      </c>
      <c r="C206" s="20" t="s">
        <v>777</v>
      </c>
      <c r="D206" s="146">
        <v>2610000</v>
      </c>
      <c r="E206" s="20" t="s">
        <v>517</v>
      </c>
      <c r="F206" s="20" t="s">
        <v>518</v>
      </c>
      <c r="G206" s="8" t="str">
        <f t="shared" si="3"/>
        <v>MAGEE KENYA</v>
      </c>
    </row>
    <row r="207" spans="1:7" x14ac:dyDescent="0.25">
      <c r="A207" s="8">
        <v>42829.742268518516</v>
      </c>
      <c r="B207" s="20" t="s">
        <v>498</v>
      </c>
      <c r="C207" s="20" t="s">
        <v>778</v>
      </c>
      <c r="D207" s="146">
        <v>930000</v>
      </c>
      <c r="E207" s="20" t="s">
        <v>510</v>
      </c>
      <c r="F207" s="20" t="s">
        <v>511</v>
      </c>
      <c r="G207" s="8" t="str">
        <f t="shared" si="3"/>
        <v>CLARK KATHLEEN</v>
      </c>
    </row>
    <row r="208" spans="1:7" x14ac:dyDescent="0.25">
      <c r="A208" s="8">
        <v>42829.748067129629</v>
      </c>
      <c r="B208" s="20" t="s">
        <v>380</v>
      </c>
      <c r="C208" s="20" t="s">
        <v>779</v>
      </c>
      <c r="D208" s="146">
        <v>1760000</v>
      </c>
      <c r="E208" s="20" t="s">
        <v>723</v>
      </c>
      <c r="F208" s="20" t="s">
        <v>724</v>
      </c>
      <c r="G208" s="8" t="str">
        <f t="shared" si="3"/>
        <v>STRICKLAND EVAN</v>
      </c>
    </row>
    <row r="209" spans="1:7" x14ac:dyDescent="0.25">
      <c r="A209" s="8">
        <v>42829.75509259259</v>
      </c>
      <c r="B209" s="20" t="s">
        <v>644</v>
      </c>
      <c r="C209" s="20" t="s">
        <v>780</v>
      </c>
      <c r="D209" s="146">
        <v>2150000</v>
      </c>
      <c r="E209" s="20" t="s">
        <v>374</v>
      </c>
      <c r="F209" s="20" t="s">
        <v>375</v>
      </c>
      <c r="G209" s="8" t="str">
        <f t="shared" si="3"/>
        <v>SWANSON BRYCE</v>
      </c>
    </row>
    <row r="210" spans="1:7" x14ac:dyDescent="0.25">
      <c r="A210" s="8">
        <v>42829.755694444444</v>
      </c>
      <c r="B210" s="20" t="s">
        <v>378</v>
      </c>
      <c r="C210" s="20" t="s">
        <v>777</v>
      </c>
      <c r="D210" s="146">
        <v>2610000</v>
      </c>
      <c r="E210" s="20" t="s">
        <v>517</v>
      </c>
      <c r="F210" s="20" t="s">
        <v>518</v>
      </c>
      <c r="G210" s="8" t="str">
        <f t="shared" si="3"/>
        <v>MAGEE KENYA</v>
      </c>
    </row>
    <row r="211" spans="1:7" x14ac:dyDescent="0.25">
      <c r="A211" s="8">
        <v>42829.757013888891</v>
      </c>
      <c r="B211" s="20" t="s">
        <v>414</v>
      </c>
      <c r="C211" s="20" t="s">
        <v>781</v>
      </c>
      <c r="D211" s="146">
        <v>1800000</v>
      </c>
      <c r="E211" s="20" t="s">
        <v>404</v>
      </c>
      <c r="F211" s="20" t="s">
        <v>405</v>
      </c>
      <c r="G211" s="8" t="str">
        <f t="shared" si="3"/>
        <v>CHANDLER KELVIN</v>
      </c>
    </row>
    <row r="212" spans="1:7" x14ac:dyDescent="0.25">
      <c r="A212" s="8">
        <v>42829.757997685185</v>
      </c>
      <c r="B212" s="20" t="s">
        <v>378</v>
      </c>
      <c r="C212" s="20" t="s">
        <v>777</v>
      </c>
      <c r="D212" s="146">
        <v>2610000</v>
      </c>
      <c r="E212" s="20" t="s">
        <v>517</v>
      </c>
      <c r="F212" s="20" t="s">
        <v>518</v>
      </c>
      <c r="G212" s="8" t="str">
        <f t="shared" si="3"/>
        <v>MAGEE KENYA</v>
      </c>
    </row>
    <row r="213" spans="1:7" x14ac:dyDescent="0.25">
      <c r="A213" s="8">
        <v>42829.758993055555</v>
      </c>
      <c r="B213" s="20" t="s">
        <v>432</v>
      </c>
      <c r="C213" s="20" t="s">
        <v>773</v>
      </c>
      <c r="D213" s="146">
        <v>1740000</v>
      </c>
      <c r="E213" s="20" t="s">
        <v>409</v>
      </c>
      <c r="F213" s="20" t="s">
        <v>410</v>
      </c>
      <c r="G213" s="8" t="str">
        <f t="shared" si="3"/>
        <v>STORY SAMANTHA</v>
      </c>
    </row>
    <row r="214" spans="1:7" x14ac:dyDescent="0.25">
      <c r="A214" s="8">
        <v>42829.762569444443</v>
      </c>
      <c r="B214" s="20" t="s">
        <v>514</v>
      </c>
      <c r="C214" s="20" t="s">
        <v>617</v>
      </c>
      <c r="D214" s="146">
        <v>1300000</v>
      </c>
      <c r="E214" s="20" t="s">
        <v>480</v>
      </c>
      <c r="F214" s="20" t="s">
        <v>481</v>
      </c>
      <c r="G214" s="8" t="str">
        <f t="shared" si="3"/>
        <v>LEVIN SCOTT</v>
      </c>
    </row>
    <row r="215" spans="1:7" x14ac:dyDescent="0.25">
      <c r="A215" s="8">
        <v>42829.765590277777</v>
      </c>
      <c r="B215" s="20" t="s">
        <v>597</v>
      </c>
      <c r="C215" s="20" t="s">
        <v>619</v>
      </c>
      <c r="D215" s="146">
        <v>1120000</v>
      </c>
      <c r="E215" s="20" t="s">
        <v>402</v>
      </c>
      <c r="F215" s="20" t="s">
        <v>403</v>
      </c>
      <c r="G215" s="8" t="str">
        <f t="shared" si="3"/>
        <v>LOCKLEAR TRAVIS</v>
      </c>
    </row>
    <row r="216" spans="1:7" x14ac:dyDescent="0.25">
      <c r="A216" s="8">
        <v>42829.76666666667</v>
      </c>
      <c r="B216" s="20" t="s">
        <v>705</v>
      </c>
      <c r="C216" s="20" t="s">
        <v>782</v>
      </c>
      <c r="D216" s="146">
        <v>880000</v>
      </c>
      <c r="E216" s="20" t="s">
        <v>479</v>
      </c>
      <c r="F216" s="20" t="s">
        <v>198</v>
      </c>
      <c r="G216" s="8" t="str">
        <f t="shared" si="3"/>
        <v>STEWART MICHAEL</v>
      </c>
    </row>
    <row r="217" spans="1:7" x14ac:dyDescent="0.25">
      <c r="A217" s="8">
        <v>42829.767939814818</v>
      </c>
      <c r="B217" s="20" t="s">
        <v>382</v>
      </c>
      <c r="C217" s="20" t="s">
        <v>618</v>
      </c>
      <c r="D217" s="146">
        <v>2970000</v>
      </c>
      <c r="E217" s="20" t="s">
        <v>515</v>
      </c>
      <c r="F217" s="20" t="s">
        <v>516</v>
      </c>
      <c r="G217" s="8" t="str">
        <f t="shared" si="3"/>
        <v>GUZMAN DANNY</v>
      </c>
    </row>
    <row r="218" spans="1:7" x14ac:dyDescent="0.25">
      <c r="A218" s="8">
        <v>42829.769837962966</v>
      </c>
      <c r="B218" s="20" t="s">
        <v>497</v>
      </c>
      <c r="C218" s="20" t="s">
        <v>783</v>
      </c>
      <c r="D218" s="146">
        <v>1810000</v>
      </c>
      <c r="E218" s="20" t="s">
        <v>406</v>
      </c>
      <c r="F218" s="20" t="s">
        <v>195</v>
      </c>
      <c r="G218" s="8" t="str">
        <f t="shared" si="3"/>
        <v>NEWELL JAMES</v>
      </c>
    </row>
    <row r="219" spans="1:7" x14ac:dyDescent="0.25">
      <c r="A219" s="8">
        <v>42829.770300925928</v>
      </c>
      <c r="B219" s="20" t="s">
        <v>639</v>
      </c>
      <c r="C219" s="20" t="s">
        <v>784</v>
      </c>
      <c r="D219" s="146">
        <v>2150000</v>
      </c>
      <c r="E219" s="20" t="s">
        <v>374</v>
      </c>
      <c r="F219" s="20" t="s">
        <v>375</v>
      </c>
      <c r="G219" s="8" t="str">
        <f t="shared" si="3"/>
        <v>SWANSON BRYCE</v>
      </c>
    </row>
    <row r="220" spans="1:7" x14ac:dyDescent="0.25">
      <c r="A220" s="8">
        <v>42829.775543981479</v>
      </c>
      <c r="B220" s="20" t="s">
        <v>495</v>
      </c>
      <c r="C220" s="20" t="s">
        <v>785</v>
      </c>
      <c r="D220" s="146">
        <v>1300000</v>
      </c>
      <c r="E220" s="20" t="s">
        <v>480</v>
      </c>
      <c r="F220" s="20" t="s">
        <v>481</v>
      </c>
      <c r="G220" s="8" t="str">
        <f t="shared" si="3"/>
        <v>LEVIN SCOTT</v>
      </c>
    </row>
    <row r="221" spans="1:7" x14ac:dyDescent="0.25">
      <c r="A221" s="8">
        <v>42829.777800925927</v>
      </c>
      <c r="B221" s="20" t="s">
        <v>381</v>
      </c>
      <c r="C221" s="20" t="s">
        <v>786</v>
      </c>
      <c r="D221" s="146">
        <v>1760000</v>
      </c>
      <c r="E221" s="20" t="s">
        <v>723</v>
      </c>
      <c r="F221" s="20" t="s">
        <v>724</v>
      </c>
      <c r="G221" s="8" t="str">
        <f t="shared" si="3"/>
        <v>STRICKLAND EVAN</v>
      </c>
    </row>
    <row r="222" spans="1:7" x14ac:dyDescent="0.25">
      <c r="A222" s="8">
        <v>42829.777916666666</v>
      </c>
      <c r="B222" s="20" t="s">
        <v>507</v>
      </c>
      <c r="C222" s="20" t="s">
        <v>787</v>
      </c>
      <c r="D222" s="146">
        <v>930000</v>
      </c>
      <c r="E222" s="20" t="s">
        <v>510</v>
      </c>
      <c r="F222" s="20" t="s">
        <v>511</v>
      </c>
      <c r="G222" s="8" t="str">
        <f t="shared" si="3"/>
        <v>CLARK KATHLEEN</v>
      </c>
    </row>
    <row r="223" spans="1:7" x14ac:dyDescent="0.25">
      <c r="A223" s="8">
        <v>42829.791504629633</v>
      </c>
      <c r="B223" s="20" t="s">
        <v>413</v>
      </c>
      <c r="C223" s="20" t="s">
        <v>788</v>
      </c>
      <c r="D223" s="146">
        <v>1800000</v>
      </c>
      <c r="E223" s="20" t="s">
        <v>404</v>
      </c>
      <c r="F223" s="20" t="s">
        <v>405</v>
      </c>
      <c r="G223" s="8" t="str">
        <f t="shared" si="3"/>
        <v>CHANDLER KELVIN</v>
      </c>
    </row>
    <row r="224" spans="1:7" x14ac:dyDescent="0.25">
      <c r="A224" s="8">
        <v>42829.796296296299</v>
      </c>
      <c r="B224" t="s">
        <v>455</v>
      </c>
      <c r="C224" t="s">
        <v>621</v>
      </c>
      <c r="D224" s="146">
        <v>1740000</v>
      </c>
      <c r="E224" t="s">
        <v>409</v>
      </c>
      <c r="F224" s="20" t="s">
        <v>410</v>
      </c>
      <c r="G224" s="8" t="str">
        <f t="shared" si="3"/>
        <v>STORY SAMANTHA</v>
      </c>
    </row>
    <row r="225" spans="1:7" x14ac:dyDescent="0.25">
      <c r="A225" s="8">
        <v>42829.796620370369</v>
      </c>
      <c r="B225" t="s">
        <v>470</v>
      </c>
      <c r="C225" t="s">
        <v>620</v>
      </c>
      <c r="D225" s="146">
        <v>1120000</v>
      </c>
      <c r="E225" t="s">
        <v>402</v>
      </c>
      <c r="F225" s="20" t="s">
        <v>403</v>
      </c>
      <c r="G225" s="8" t="str">
        <f t="shared" si="3"/>
        <v>LOCKLEAR TRAVIS</v>
      </c>
    </row>
    <row r="226" spans="1:7" x14ac:dyDescent="0.25">
      <c r="A226" s="8">
        <v>42829.797569444447</v>
      </c>
      <c r="B226" t="s">
        <v>644</v>
      </c>
      <c r="C226" t="s">
        <v>789</v>
      </c>
      <c r="D226" s="146">
        <v>2150000</v>
      </c>
      <c r="E226" t="s">
        <v>374</v>
      </c>
      <c r="F226" s="20" t="s">
        <v>375</v>
      </c>
      <c r="G226" s="8" t="str">
        <f t="shared" si="3"/>
        <v>SWANSON BRYCE</v>
      </c>
    </row>
    <row r="227" spans="1:7" x14ac:dyDescent="0.25">
      <c r="A227" s="8">
        <v>42829.801805555559</v>
      </c>
      <c r="B227" t="s">
        <v>514</v>
      </c>
      <c r="C227" t="s">
        <v>790</v>
      </c>
      <c r="D227" s="146">
        <v>1300000</v>
      </c>
      <c r="E227" t="s">
        <v>480</v>
      </c>
      <c r="F227" s="20" t="s">
        <v>481</v>
      </c>
      <c r="G227" s="8" t="str">
        <f t="shared" si="3"/>
        <v>LEVIN SCOTT</v>
      </c>
    </row>
    <row r="228" spans="1:7" x14ac:dyDescent="0.25">
      <c r="A228" s="8">
        <v>42829.802511574075</v>
      </c>
      <c r="B228" t="s">
        <v>456</v>
      </c>
      <c r="C228" t="s">
        <v>791</v>
      </c>
      <c r="D228" s="146">
        <v>2970000</v>
      </c>
      <c r="E228" t="s">
        <v>515</v>
      </c>
      <c r="F228" s="20" t="s">
        <v>516</v>
      </c>
      <c r="G228" s="8" t="str">
        <f t="shared" si="3"/>
        <v>GUZMAN DANNY</v>
      </c>
    </row>
    <row r="229" spans="1:7" x14ac:dyDescent="0.25">
      <c r="A229" s="8">
        <v>42829.810717592591</v>
      </c>
      <c r="B229" t="s">
        <v>496</v>
      </c>
      <c r="C229" t="s">
        <v>792</v>
      </c>
      <c r="D229" s="146">
        <v>2530000</v>
      </c>
      <c r="E229" t="s">
        <v>448</v>
      </c>
      <c r="F229" s="20" t="s">
        <v>449</v>
      </c>
      <c r="G229" s="8" t="str">
        <f t="shared" si="3"/>
        <v>LALONDE GREGORY</v>
      </c>
    </row>
    <row r="230" spans="1:7" x14ac:dyDescent="0.25">
      <c r="A230" s="8">
        <v>42829.812777777777</v>
      </c>
      <c r="B230" t="s">
        <v>384</v>
      </c>
      <c r="C230" t="s">
        <v>793</v>
      </c>
      <c r="D230" s="146">
        <v>2680000</v>
      </c>
      <c r="E230" t="s">
        <v>482</v>
      </c>
      <c r="F230" s="20" t="s">
        <v>483</v>
      </c>
      <c r="G230" s="8" t="str">
        <f t="shared" si="3"/>
        <v>DUNCAN SHEILA</v>
      </c>
    </row>
    <row r="231" spans="1:7" x14ac:dyDescent="0.25">
      <c r="A231" s="8">
        <v>42829.817997685182</v>
      </c>
      <c r="B231" t="s">
        <v>495</v>
      </c>
      <c r="C231" t="s">
        <v>794</v>
      </c>
      <c r="D231" s="146">
        <v>1300000</v>
      </c>
      <c r="E231" t="s">
        <v>480</v>
      </c>
      <c r="F231" s="20" t="s">
        <v>481</v>
      </c>
      <c r="G231" s="8" t="str">
        <f t="shared" si="3"/>
        <v>LEVIN SCOTT</v>
      </c>
    </row>
    <row r="232" spans="1:7" x14ac:dyDescent="0.25">
      <c r="A232" s="8">
        <v>42829.819386574076</v>
      </c>
      <c r="B232" t="s">
        <v>380</v>
      </c>
      <c r="C232" t="s">
        <v>622</v>
      </c>
      <c r="D232" s="146">
        <v>1760000</v>
      </c>
      <c r="E232" t="s">
        <v>723</v>
      </c>
      <c r="F232" s="20" t="s">
        <v>724</v>
      </c>
      <c r="G232" s="8" t="str">
        <f t="shared" si="3"/>
        <v>STRICKLAND EVAN</v>
      </c>
    </row>
    <row r="233" spans="1:7" x14ac:dyDescent="0.25">
      <c r="A233" s="8">
        <v>42829.829039351855</v>
      </c>
      <c r="B233" t="s">
        <v>414</v>
      </c>
      <c r="C233" t="s">
        <v>623</v>
      </c>
      <c r="D233" s="146">
        <v>1800000</v>
      </c>
      <c r="E233" t="s">
        <v>404</v>
      </c>
      <c r="F233" s="20" t="s">
        <v>405</v>
      </c>
      <c r="G233" s="8" t="str">
        <f t="shared" si="3"/>
        <v>CHANDLER KELVIN</v>
      </c>
    </row>
    <row r="234" spans="1:7" x14ac:dyDescent="0.25">
      <c r="A234" s="8">
        <v>42829.829363425924</v>
      </c>
      <c r="B234" t="s">
        <v>432</v>
      </c>
      <c r="C234" t="s">
        <v>624</v>
      </c>
      <c r="D234" s="146">
        <v>1740000</v>
      </c>
      <c r="E234" t="s">
        <v>409</v>
      </c>
      <c r="F234" s="20" t="s">
        <v>410</v>
      </c>
      <c r="G234" s="8" t="str">
        <f t="shared" si="3"/>
        <v>STORY SAMANTHA</v>
      </c>
    </row>
    <row r="235" spans="1:7" x14ac:dyDescent="0.25">
      <c r="A235" s="8">
        <v>42829.840451388889</v>
      </c>
      <c r="B235" t="s">
        <v>514</v>
      </c>
      <c r="C235" t="s">
        <v>795</v>
      </c>
      <c r="D235" s="146">
        <v>1300000</v>
      </c>
      <c r="E235" t="s">
        <v>480</v>
      </c>
      <c r="F235" s="20" t="s">
        <v>481</v>
      </c>
      <c r="G235" s="8" t="str">
        <f t="shared" si="3"/>
        <v>LEVIN SCOTT</v>
      </c>
    </row>
    <row r="236" spans="1:7" x14ac:dyDescent="0.25">
      <c r="A236" s="8">
        <v>42829.841192129628</v>
      </c>
      <c r="B236" t="s">
        <v>385</v>
      </c>
      <c r="C236" t="s">
        <v>628</v>
      </c>
      <c r="D236" s="146">
        <v>2680000</v>
      </c>
      <c r="E236" t="s">
        <v>482</v>
      </c>
      <c r="F236" s="20" t="s">
        <v>483</v>
      </c>
      <c r="G236" s="8" t="str">
        <f t="shared" si="3"/>
        <v>DUNCAN SHEILA</v>
      </c>
    </row>
    <row r="237" spans="1:7" x14ac:dyDescent="0.25">
      <c r="A237" s="8">
        <v>42829.843587962961</v>
      </c>
      <c r="B237" t="s">
        <v>382</v>
      </c>
      <c r="C237" t="s">
        <v>796</v>
      </c>
      <c r="D237" s="146">
        <v>2970000</v>
      </c>
      <c r="E237" t="s">
        <v>515</v>
      </c>
      <c r="F237" s="20" t="s">
        <v>516</v>
      </c>
      <c r="G237" s="8" t="str">
        <f t="shared" si="3"/>
        <v>GUZMAN DANNY</v>
      </c>
    </row>
    <row r="238" spans="1:7" x14ac:dyDescent="0.25">
      <c r="A238" s="8">
        <v>42829.846226851849</v>
      </c>
      <c r="B238" t="s">
        <v>497</v>
      </c>
      <c r="C238" t="s">
        <v>797</v>
      </c>
      <c r="D238" s="146">
        <v>2530000</v>
      </c>
      <c r="E238" t="s">
        <v>448</v>
      </c>
      <c r="F238" s="20" t="s">
        <v>449</v>
      </c>
      <c r="G238" s="8" t="str">
        <f t="shared" si="3"/>
        <v>LALONDE GREGORY</v>
      </c>
    </row>
    <row r="239" spans="1:7" x14ac:dyDescent="0.25">
      <c r="A239" s="8">
        <v>42829.859131944446</v>
      </c>
      <c r="B239" t="s">
        <v>495</v>
      </c>
      <c r="C239" t="s">
        <v>625</v>
      </c>
      <c r="D239" s="146">
        <v>1300000</v>
      </c>
      <c r="E239" t="s">
        <v>480</v>
      </c>
      <c r="F239" s="20" t="s">
        <v>481</v>
      </c>
      <c r="G239" s="8" t="str">
        <f t="shared" si="3"/>
        <v>LEVIN SCOTT</v>
      </c>
    </row>
    <row r="240" spans="1:7" x14ac:dyDescent="0.25">
      <c r="A240" s="8">
        <v>42829.867766203701</v>
      </c>
      <c r="B240" t="s">
        <v>455</v>
      </c>
      <c r="C240" t="s">
        <v>626</v>
      </c>
      <c r="D240" s="146">
        <v>1740000</v>
      </c>
      <c r="E240" t="s">
        <v>409</v>
      </c>
      <c r="F240" s="20" t="s">
        <v>410</v>
      </c>
      <c r="G240" s="8" t="str">
        <f t="shared" si="3"/>
        <v>STORY SAMANTHA</v>
      </c>
    </row>
    <row r="241" spans="1:7" x14ac:dyDescent="0.25">
      <c r="A241" s="8">
        <v>42829.870613425926</v>
      </c>
      <c r="B241" t="s">
        <v>384</v>
      </c>
      <c r="C241" t="s">
        <v>798</v>
      </c>
      <c r="D241" s="146">
        <v>2680000</v>
      </c>
      <c r="E241" t="s">
        <v>482</v>
      </c>
      <c r="F241" s="20" t="s">
        <v>483</v>
      </c>
      <c r="G241" s="8" t="str">
        <f t="shared" si="3"/>
        <v>DUNCAN SHEILA</v>
      </c>
    </row>
    <row r="242" spans="1:7" x14ac:dyDescent="0.25">
      <c r="A242" s="8">
        <v>42829.875023148146</v>
      </c>
      <c r="B242" t="s">
        <v>413</v>
      </c>
      <c r="C242" t="s">
        <v>799</v>
      </c>
      <c r="D242" s="146">
        <v>1800000</v>
      </c>
      <c r="E242" t="s">
        <v>404</v>
      </c>
      <c r="F242" s="20" t="s">
        <v>405</v>
      </c>
      <c r="G242" s="8" t="str">
        <f t="shared" si="3"/>
        <v>CHANDLER KELVIN</v>
      </c>
    </row>
    <row r="243" spans="1:7" x14ac:dyDescent="0.25">
      <c r="A243" s="8">
        <v>42829.875439814816</v>
      </c>
      <c r="B243" t="s">
        <v>514</v>
      </c>
      <c r="C243" t="s">
        <v>800</v>
      </c>
      <c r="D243" s="146">
        <v>2150000</v>
      </c>
      <c r="E243" t="s">
        <v>374</v>
      </c>
      <c r="F243" s="20" t="s">
        <v>375</v>
      </c>
      <c r="G243" s="8" t="str">
        <f t="shared" si="3"/>
        <v>SWANSON BRYCE</v>
      </c>
    </row>
    <row r="244" spans="1:7" x14ac:dyDescent="0.25">
      <c r="A244" s="8">
        <v>42829.880879629629</v>
      </c>
      <c r="B244" t="s">
        <v>385</v>
      </c>
      <c r="C244" t="s">
        <v>628</v>
      </c>
      <c r="D244" s="146">
        <v>2680000</v>
      </c>
      <c r="E244" t="s">
        <v>482</v>
      </c>
      <c r="F244" s="20" t="s">
        <v>483</v>
      </c>
      <c r="G244" s="8" t="str">
        <f t="shared" si="3"/>
        <v>DUNCAN SHEILA</v>
      </c>
    </row>
    <row r="245" spans="1:7" x14ac:dyDescent="0.25">
      <c r="A245" s="8">
        <v>42829.885046296295</v>
      </c>
      <c r="B245" t="s">
        <v>456</v>
      </c>
      <c r="C245" t="s">
        <v>801</v>
      </c>
      <c r="D245" s="146">
        <v>2970000</v>
      </c>
      <c r="E245" t="s">
        <v>515</v>
      </c>
      <c r="F245" s="20" t="s">
        <v>516</v>
      </c>
      <c r="G245" s="8" t="str">
        <f t="shared" si="3"/>
        <v>GUZMAN DANNY</v>
      </c>
    </row>
    <row r="246" spans="1:7" x14ac:dyDescent="0.25">
      <c r="A246" s="8">
        <v>42829.891157407408</v>
      </c>
      <c r="B246" t="s">
        <v>384</v>
      </c>
      <c r="C246" t="s">
        <v>628</v>
      </c>
      <c r="D246" s="146">
        <v>2680000</v>
      </c>
      <c r="E246" t="s">
        <v>482</v>
      </c>
      <c r="F246" s="20" t="s">
        <v>483</v>
      </c>
      <c r="G246" s="8" t="str">
        <f t="shared" si="3"/>
        <v>DUNCAN SHEILA</v>
      </c>
    </row>
    <row r="247" spans="1:7" x14ac:dyDescent="0.25">
      <c r="A247" s="8">
        <v>42829.891793981478</v>
      </c>
      <c r="B247" t="s">
        <v>384</v>
      </c>
      <c r="C247" t="s">
        <v>798</v>
      </c>
      <c r="D247" s="146">
        <v>2680000</v>
      </c>
      <c r="E247" t="s">
        <v>482</v>
      </c>
      <c r="F247" s="20" t="s">
        <v>483</v>
      </c>
      <c r="G247" s="8" t="str">
        <f t="shared" si="3"/>
        <v>DUNCAN SHEILA</v>
      </c>
    </row>
    <row r="248" spans="1:7" x14ac:dyDescent="0.25">
      <c r="A248" s="8">
        <v>42829.893807870372</v>
      </c>
      <c r="B248" t="s">
        <v>496</v>
      </c>
      <c r="C248" t="s">
        <v>802</v>
      </c>
      <c r="D248" s="146">
        <v>1810000</v>
      </c>
      <c r="E248" t="s">
        <v>406</v>
      </c>
      <c r="F248" s="20" t="s">
        <v>195</v>
      </c>
      <c r="G248" s="8" t="str">
        <f t="shared" si="3"/>
        <v>NEWELL JAMES</v>
      </c>
    </row>
    <row r="249" spans="1:7" x14ac:dyDescent="0.25">
      <c r="A249" s="8">
        <v>42829.901365740741</v>
      </c>
      <c r="B249" t="s">
        <v>495</v>
      </c>
      <c r="C249" t="s">
        <v>803</v>
      </c>
      <c r="D249" s="146">
        <v>2150000</v>
      </c>
      <c r="E249" t="s">
        <v>374</v>
      </c>
      <c r="F249" s="20" t="s">
        <v>375</v>
      </c>
      <c r="G249" s="8" t="str">
        <f t="shared" si="3"/>
        <v>SWANSON BRYCE</v>
      </c>
    </row>
    <row r="250" spans="1:7" x14ac:dyDescent="0.25">
      <c r="A250" s="8">
        <v>42829.907881944448</v>
      </c>
      <c r="B250" t="s">
        <v>385</v>
      </c>
      <c r="C250" t="s">
        <v>628</v>
      </c>
      <c r="D250" s="146">
        <v>2680000</v>
      </c>
      <c r="E250" t="s">
        <v>482</v>
      </c>
      <c r="F250" s="20" t="s">
        <v>483</v>
      </c>
      <c r="G250" s="8" t="str">
        <f t="shared" si="3"/>
        <v>DUNCAN SHEILA</v>
      </c>
    </row>
    <row r="251" spans="1:7" x14ac:dyDescent="0.25">
      <c r="A251" s="8">
        <v>42829.909618055557</v>
      </c>
      <c r="B251" t="s">
        <v>414</v>
      </c>
      <c r="C251" t="s">
        <v>804</v>
      </c>
      <c r="D251" s="146">
        <v>1800000</v>
      </c>
      <c r="E251" t="s">
        <v>404</v>
      </c>
      <c r="F251" s="20" t="s">
        <v>405</v>
      </c>
      <c r="G251" s="8" t="str">
        <f t="shared" si="3"/>
        <v>CHANDLER KELVIN</v>
      </c>
    </row>
    <row r="252" spans="1:7" x14ac:dyDescent="0.25">
      <c r="A252" s="8">
        <v>42829.913263888891</v>
      </c>
      <c r="B252" t="s">
        <v>432</v>
      </c>
      <c r="C252" t="s">
        <v>805</v>
      </c>
      <c r="D252" s="146">
        <v>1740000</v>
      </c>
      <c r="E252" t="s">
        <v>409</v>
      </c>
      <c r="F252" s="20" t="s">
        <v>410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514</v>
      </c>
      <c r="C253" t="s">
        <v>806</v>
      </c>
      <c r="D253" s="146">
        <v>2150000</v>
      </c>
      <c r="E253" t="s">
        <v>374</v>
      </c>
      <c r="F253" s="20" t="s">
        <v>375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384</v>
      </c>
      <c r="C254" t="s">
        <v>798</v>
      </c>
      <c r="D254" s="146">
        <v>2680000</v>
      </c>
      <c r="E254" t="s">
        <v>482</v>
      </c>
      <c r="F254" s="20" t="s">
        <v>483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382</v>
      </c>
      <c r="C255" t="s">
        <v>807</v>
      </c>
      <c r="D255" s="146">
        <v>2970000</v>
      </c>
      <c r="E255" t="s">
        <v>515</v>
      </c>
      <c r="F255" s="20" t="s">
        <v>516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385</v>
      </c>
      <c r="C256" t="s">
        <v>628</v>
      </c>
      <c r="D256" s="146">
        <v>2680000</v>
      </c>
      <c r="E256" t="s">
        <v>482</v>
      </c>
      <c r="F256" s="20" t="s">
        <v>483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497</v>
      </c>
      <c r="C257" t="s">
        <v>808</v>
      </c>
      <c r="D257" s="146">
        <v>1810000</v>
      </c>
      <c r="E257" t="s">
        <v>406</v>
      </c>
      <c r="F257" s="20" t="s">
        <v>195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495</v>
      </c>
      <c r="C258" t="s">
        <v>809</v>
      </c>
      <c r="D258" s="146">
        <v>2150000</v>
      </c>
      <c r="E258" t="s">
        <v>374</v>
      </c>
      <c r="F258" s="20" t="s">
        <v>375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384</v>
      </c>
      <c r="C259" t="s">
        <v>798</v>
      </c>
      <c r="D259" s="146">
        <v>2680000</v>
      </c>
      <c r="E259" t="s">
        <v>482</v>
      </c>
      <c r="F259" s="20" t="s">
        <v>483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455</v>
      </c>
      <c r="C260" t="s">
        <v>810</v>
      </c>
      <c r="D260" s="146">
        <v>1740000</v>
      </c>
      <c r="E260" t="s">
        <v>409</v>
      </c>
      <c r="F260" s="20" t="s">
        <v>410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413</v>
      </c>
      <c r="C261" t="s">
        <v>811</v>
      </c>
      <c r="D261" s="146">
        <v>1800000</v>
      </c>
      <c r="E261" t="s">
        <v>404</v>
      </c>
      <c r="F261" s="20" t="s">
        <v>405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385</v>
      </c>
      <c r="C262" t="s">
        <v>628</v>
      </c>
      <c r="D262" s="146">
        <v>2680000</v>
      </c>
      <c r="E262" t="s">
        <v>482</v>
      </c>
      <c r="F262" s="20" t="s">
        <v>483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456</v>
      </c>
      <c r="C263" t="s">
        <v>812</v>
      </c>
      <c r="D263" s="146">
        <v>2970000</v>
      </c>
      <c r="E263" t="s">
        <v>515</v>
      </c>
      <c r="F263" s="20" t="s">
        <v>516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385</v>
      </c>
      <c r="C264" t="s">
        <v>628</v>
      </c>
      <c r="D264" s="146">
        <v>2680000</v>
      </c>
      <c r="E264" t="s">
        <v>482</v>
      </c>
      <c r="F264" s="20" t="s">
        <v>483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496</v>
      </c>
      <c r="C265" t="s">
        <v>627</v>
      </c>
      <c r="D265" s="146">
        <v>1810000</v>
      </c>
      <c r="E265" t="s">
        <v>406</v>
      </c>
      <c r="F265" s="20" t="s">
        <v>195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384</v>
      </c>
      <c r="C266" t="s">
        <v>798</v>
      </c>
      <c r="D266" s="146">
        <v>2680000</v>
      </c>
      <c r="E266" t="s">
        <v>482</v>
      </c>
      <c r="F266" s="20" t="s">
        <v>483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385</v>
      </c>
      <c r="C267" t="s">
        <v>628</v>
      </c>
      <c r="D267" s="146">
        <v>2680000</v>
      </c>
      <c r="E267" t="s">
        <v>482</v>
      </c>
      <c r="F267" s="20" t="s">
        <v>483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432</v>
      </c>
      <c r="C268" t="s">
        <v>813</v>
      </c>
      <c r="D268" s="146">
        <v>1740000</v>
      </c>
      <c r="E268" t="s">
        <v>409</v>
      </c>
      <c r="F268" s="20" t="s">
        <v>410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414</v>
      </c>
      <c r="C269" t="s">
        <v>814</v>
      </c>
      <c r="D269" s="146">
        <v>1800000</v>
      </c>
      <c r="E269" t="s">
        <v>404</v>
      </c>
      <c r="F269" s="20" t="s">
        <v>405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384</v>
      </c>
      <c r="C270" t="s">
        <v>798</v>
      </c>
      <c r="D270" s="146">
        <v>2680000</v>
      </c>
      <c r="E270" t="s">
        <v>482</v>
      </c>
      <c r="F270" s="20" t="s">
        <v>483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385</v>
      </c>
      <c r="C271" t="s">
        <v>628</v>
      </c>
      <c r="D271" s="146">
        <v>2680000</v>
      </c>
      <c r="E271" t="s">
        <v>482</v>
      </c>
      <c r="F271" s="20" t="s">
        <v>483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382</v>
      </c>
      <c r="C272" t="s">
        <v>815</v>
      </c>
      <c r="D272" s="146">
        <v>2970000</v>
      </c>
      <c r="E272" t="s">
        <v>515</v>
      </c>
      <c r="F272" s="20" t="s">
        <v>516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384</v>
      </c>
      <c r="C273" t="s">
        <v>798</v>
      </c>
      <c r="D273" s="146">
        <v>2680000</v>
      </c>
      <c r="E273" t="s">
        <v>482</v>
      </c>
      <c r="F273" s="20" t="s">
        <v>483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385</v>
      </c>
      <c r="C274" t="s">
        <v>628</v>
      </c>
      <c r="D274" s="146">
        <v>2680000</v>
      </c>
      <c r="E274" t="s">
        <v>482</v>
      </c>
      <c r="F274" s="20" t="s">
        <v>483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497</v>
      </c>
      <c r="C275" t="s">
        <v>816</v>
      </c>
      <c r="D275" s="146">
        <v>1810000</v>
      </c>
      <c r="E275" t="s">
        <v>406</v>
      </c>
      <c r="F275" s="20" t="s">
        <v>195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384</v>
      </c>
      <c r="C276" t="s">
        <v>798</v>
      </c>
      <c r="D276" s="146">
        <v>2680000</v>
      </c>
      <c r="E276" t="s">
        <v>482</v>
      </c>
      <c r="F276" s="20" t="s">
        <v>483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385</v>
      </c>
      <c r="C277" t="s">
        <v>628</v>
      </c>
      <c r="D277" s="146">
        <v>2680000</v>
      </c>
      <c r="E277" t="s">
        <v>482</v>
      </c>
      <c r="F277" s="20" t="s">
        <v>483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384</v>
      </c>
      <c r="C278" t="s">
        <v>798</v>
      </c>
      <c r="D278" s="146">
        <v>2680000</v>
      </c>
      <c r="E278" t="s">
        <v>482</v>
      </c>
      <c r="F278" s="20" t="s">
        <v>483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413</v>
      </c>
      <c r="C279" t="s">
        <v>817</v>
      </c>
      <c r="D279" s="146">
        <v>1800000</v>
      </c>
      <c r="E279" t="s">
        <v>404</v>
      </c>
      <c r="F279" s="20" t="s">
        <v>405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455</v>
      </c>
      <c r="C280" t="s">
        <v>818</v>
      </c>
      <c r="D280" s="146">
        <v>1740000</v>
      </c>
      <c r="E280" t="s">
        <v>409</v>
      </c>
      <c r="F280" s="20" t="s">
        <v>410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456</v>
      </c>
      <c r="C281" t="s">
        <v>819</v>
      </c>
      <c r="D281" s="146">
        <v>2970000</v>
      </c>
      <c r="E281" t="s">
        <v>515</v>
      </c>
      <c r="F281" s="20" t="s">
        <v>516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496</v>
      </c>
      <c r="C282" t="s">
        <v>820</v>
      </c>
      <c r="D282" s="146">
        <v>1810000</v>
      </c>
      <c r="E282" t="s">
        <v>406</v>
      </c>
      <c r="F282" s="20" t="s">
        <v>195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432</v>
      </c>
      <c r="C283" t="s">
        <v>821</v>
      </c>
      <c r="D283" s="146">
        <v>1740000</v>
      </c>
      <c r="E283" t="s">
        <v>409</v>
      </c>
      <c r="F283" s="20" t="s">
        <v>410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385</v>
      </c>
      <c r="C284" t="s">
        <v>628</v>
      </c>
      <c r="D284" s="146">
        <v>2680000</v>
      </c>
      <c r="E284" t="s">
        <v>482</v>
      </c>
      <c r="F284" s="20" t="s">
        <v>483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385</v>
      </c>
      <c r="C285" t="s">
        <v>628</v>
      </c>
      <c r="D285" s="146">
        <v>2680000</v>
      </c>
      <c r="E285" t="s">
        <v>482</v>
      </c>
      <c r="F285" s="20" t="s">
        <v>483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382</v>
      </c>
      <c r="C286" t="s">
        <v>822</v>
      </c>
      <c r="D286" s="146">
        <v>2970000</v>
      </c>
      <c r="E286" t="s">
        <v>515</v>
      </c>
      <c r="F286" s="20" t="s">
        <v>516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201</v>
      </c>
      <c r="C287" t="s">
        <v>392</v>
      </c>
      <c r="D287" s="146">
        <v>2230000</v>
      </c>
      <c r="E287" t="s">
        <v>386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381</v>
      </c>
      <c r="C288" t="s">
        <v>393</v>
      </c>
      <c r="D288" s="146">
        <v>2000000</v>
      </c>
      <c r="E288" t="s">
        <v>379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390</v>
      </c>
      <c r="C289" t="s">
        <v>394</v>
      </c>
      <c r="D289" s="146">
        <v>2150000</v>
      </c>
      <c r="E289" t="s">
        <v>374</v>
      </c>
      <c r="F289" s="20" t="s">
        <v>375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390</v>
      </c>
      <c r="C290" t="s">
        <v>394</v>
      </c>
      <c r="D290" s="146">
        <v>2150000</v>
      </c>
      <c r="E290" t="s">
        <v>374</v>
      </c>
      <c r="F290" s="20" t="s">
        <v>375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390</v>
      </c>
      <c r="C291" t="s">
        <v>394</v>
      </c>
      <c r="D291" s="146">
        <v>2150000</v>
      </c>
      <c r="E291" t="s">
        <v>374</v>
      </c>
      <c r="F291" s="20" t="s">
        <v>375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391</v>
      </c>
      <c r="C292" t="s">
        <v>395</v>
      </c>
      <c r="D292" s="146">
        <v>2230000</v>
      </c>
      <c r="E292" t="s">
        <v>386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377</v>
      </c>
      <c r="C293" t="s">
        <v>396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377</v>
      </c>
      <c r="C294" t="s">
        <v>396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377</v>
      </c>
      <c r="C295" t="s">
        <v>396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385</v>
      </c>
      <c r="C296" t="s">
        <v>397</v>
      </c>
      <c r="D296" s="146">
        <v>2150000</v>
      </c>
      <c r="E296" t="s">
        <v>374</v>
      </c>
      <c r="F296" s="20" t="s">
        <v>375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378</v>
      </c>
      <c r="C297" t="s">
        <v>398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A7" sqref="A7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823</v>
      </c>
      <c r="I1" s="186" t="s">
        <v>168</v>
      </c>
      <c r="J1" s="186" t="s">
        <v>169</v>
      </c>
      <c r="K1" s="186" t="s">
        <v>422</v>
      </c>
      <c r="L1" s="186" t="s">
        <v>163</v>
      </c>
      <c r="M1" s="186" t="s">
        <v>161</v>
      </c>
      <c r="N1" s="186" t="s">
        <v>156</v>
      </c>
      <c r="O1" s="186" t="s">
        <v>166</v>
      </c>
      <c r="P1" s="186" t="s">
        <v>160</v>
      </c>
      <c r="Q1" s="186" t="s">
        <v>167</v>
      </c>
      <c r="R1" s="186" t="s">
        <v>164</v>
      </c>
    </row>
    <row r="2" spans="1:18" x14ac:dyDescent="0.25">
      <c r="A2" s="164">
        <v>35.28</v>
      </c>
      <c r="B2" s="164">
        <v>0.98</v>
      </c>
      <c r="C2" s="164">
        <v>30.59</v>
      </c>
      <c r="D2" s="8">
        <v>42829</v>
      </c>
      <c r="E2" s="164">
        <v>0.71</v>
      </c>
      <c r="F2" s="164" t="s">
        <v>423</v>
      </c>
      <c r="G2" s="164">
        <v>363.45</v>
      </c>
      <c r="H2" s="164"/>
      <c r="I2" s="164">
        <v>1.7999999999999999E-2</v>
      </c>
      <c r="J2" s="164">
        <v>0.59</v>
      </c>
      <c r="K2" s="164" t="s">
        <v>423</v>
      </c>
      <c r="L2" s="164">
        <v>1011.42</v>
      </c>
      <c r="M2" s="164" t="s">
        <v>433</v>
      </c>
      <c r="N2" s="164">
        <v>39.24</v>
      </c>
      <c r="O2" s="164">
        <v>1491285600</v>
      </c>
      <c r="P2" s="164">
        <v>2.58</v>
      </c>
      <c r="Q2" s="164">
        <v>28</v>
      </c>
      <c r="R2" s="164">
        <v>5.39</v>
      </c>
    </row>
    <row r="3" spans="1:18" x14ac:dyDescent="0.25">
      <c r="A3" s="164">
        <v>34.22</v>
      </c>
      <c r="B3" s="164">
        <v>0.95</v>
      </c>
      <c r="C3" s="164">
        <v>30.7</v>
      </c>
      <c r="D3" s="8">
        <v>42829.041666666664</v>
      </c>
      <c r="E3" s="164">
        <v>0.76</v>
      </c>
      <c r="F3" s="164" t="s">
        <v>423</v>
      </c>
      <c r="G3" s="164">
        <v>363.42</v>
      </c>
      <c r="H3" s="164"/>
      <c r="I3" s="164">
        <v>2.9100000000000001E-2</v>
      </c>
      <c r="J3" s="164">
        <v>0.66</v>
      </c>
      <c r="K3" s="164" t="s">
        <v>423</v>
      </c>
      <c r="L3" s="164">
        <v>1011.43</v>
      </c>
      <c r="M3" s="164" t="s">
        <v>433</v>
      </c>
      <c r="N3" s="164">
        <v>37.630000000000003</v>
      </c>
      <c r="O3" s="164">
        <v>1491289200</v>
      </c>
      <c r="P3" s="164">
        <v>1.9</v>
      </c>
      <c r="Q3" s="164">
        <v>15</v>
      </c>
      <c r="R3" s="164">
        <v>4.38</v>
      </c>
    </row>
    <row r="4" spans="1:18" x14ac:dyDescent="0.25">
      <c r="A4" s="164">
        <v>32.549999999999997</v>
      </c>
      <c r="B4" s="164">
        <v>0.93</v>
      </c>
      <c r="C4" s="164">
        <v>31.33</v>
      </c>
      <c r="D4" s="8">
        <v>42829.083333333336</v>
      </c>
      <c r="E4" s="164">
        <v>0.83</v>
      </c>
      <c r="F4" s="164" t="s">
        <v>423</v>
      </c>
      <c r="G4" s="164">
        <v>363.39</v>
      </c>
      <c r="H4" s="164"/>
      <c r="I4" s="164">
        <v>3.5200000000000002E-2</v>
      </c>
      <c r="J4" s="164">
        <v>0.68</v>
      </c>
      <c r="K4" s="164" t="s">
        <v>423</v>
      </c>
      <c r="L4" s="164">
        <v>1011.44</v>
      </c>
      <c r="M4" s="164" t="s">
        <v>433</v>
      </c>
      <c r="N4" s="164">
        <v>35.97</v>
      </c>
      <c r="O4" s="164">
        <v>1491292800</v>
      </c>
      <c r="P4" s="164">
        <v>3.05</v>
      </c>
      <c r="Q4" s="164">
        <v>38</v>
      </c>
      <c r="R4" s="164">
        <v>4.12</v>
      </c>
    </row>
    <row r="5" spans="1:18" x14ac:dyDescent="0.25">
      <c r="A5" s="164">
        <v>33.99</v>
      </c>
      <c r="B5" s="164">
        <v>0.79</v>
      </c>
      <c r="C5" s="164">
        <v>31.54</v>
      </c>
      <c r="D5" s="8">
        <v>42829.125</v>
      </c>
      <c r="E5" s="164">
        <v>0.91</v>
      </c>
      <c r="F5" s="164" t="s">
        <v>525</v>
      </c>
      <c r="G5" s="164">
        <v>363.36</v>
      </c>
      <c r="H5" s="164"/>
      <c r="I5" s="164">
        <v>3.6499999999999998E-2</v>
      </c>
      <c r="J5" s="164">
        <v>0.69</v>
      </c>
      <c r="K5" s="164" t="s">
        <v>525</v>
      </c>
      <c r="L5" s="164">
        <v>1011.47</v>
      </c>
      <c r="M5" s="164" t="s">
        <v>526</v>
      </c>
      <c r="N5" s="164">
        <v>33.99</v>
      </c>
      <c r="O5" s="164">
        <v>1491296400</v>
      </c>
      <c r="P5" s="164">
        <v>1.31</v>
      </c>
      <c r="Q5" s="164">
        <v>20</v>
      </c>
      <c r="R5" s="164">
        <v>2.56</v>
      </c>
    </row>
    <row r="6" spans="1:18" x14ac:dyDescent="0.25">
      <c r="A6" s="164">
        <v>30.85</v>
      </c>
      <c r="B6" s="164">
        <v>0.7</v>
      </c>
      <c r="C6" s="164">
        <v>31.76</v>
      </c>
      <c r="D6" s="8">
        <v>42829.166666666664</v>
      </c>
      <c r="E6" s="164">
        <v>0.93</v>
      </c>
      <c r="F6" s="164" t="s">
        <v>525</v>
      </c>
      <c r="G6" s="164">
        <v>363.45</v>
      </c>
      <c r="H6" s="164"/>
      <c r="I6" s="164">
        <v>3.9699999999999999E-2</v>
      </c>
      <c r="J6" s="164">
        <v>0.7</v>
      </c>
      <c r="K6" s="164" t="s">
        <v>525</v>
      </c>
      <c r="L6" s="164">
        <v>1012.06</v>
      </c>
      <c r="M6" s="164" t="s">
        <v>526</v>
      </c>
      <c r="N6" s="164">
        <v>33.6</v>
      </c>
      <c r="O6" s="164">
        <v>1491300000</v>
      </c>
      <c r="P6" s="164">
        <v>2.42</v>
      </c>
      <c r="Q6" s="164">
        <v>12</v>
      </c>
      <c r="R6" s="164">
        <v>3.21</v>
      </c>
    </row>
    <row r="7" spans="1:18" x14ac:dyDescent="0.25">
      <c r="A7" s="164">
        <v>29.17</v>
      </c>
      <c r="B7" s="164">
        <v>0.64</v>
      </c>
      <c r="C7" s="164">
        <v>30.93</v>
      </c>
      <c r="D7" s="8">
        <v>42829.208333333336</v>
      </c>
      <c r="E7" s="164">
        <v>0.94</v>
      </c>
      <c r="F7" s="164" t="s">
        <v>824</v>
      </c>
      <c r="G7" s="164">
        <v>363.64</v>
      </c>
      <c r="H7" s="164">
        <v>0.32900000000000001</v>
      </c>
      <c r="I7" s="164">
        <v>4.3299999999999998E-2</v>
      </c>
      <c r="J7" s="164">
        <v>0.71</v>
      </c>
      <c r="K7" s="164" t="s">
        <v>824</v>
      </c>
      <c r="L7" s="164">
        <v>1012.92</v>
      </c>
      <c r="M7" s="164" t="s">
        <v>825</v>
      </c>
      <c r="N7" s="164">
        <v>32.33</v>
      </c>
      <c r="O7" s="164">
        <v>1491303600</v>
      </c>
      <c r="P7" s="164">
        <v>0.59</v>
      </c>
      <c r="Q7" s="164">
        <v>1</v>
      </c>
      <c r="R7" s="164">
        <v>3.4</v>
      </c>
    </row>
    <row r="8" spans="1:18" x14ac:dyDescent="0.25">
      <c r="A8" s="164">
        <v>27.66</v>
      </c>
      <c r="B8" s="164">
        <v>0.7</v>
      </c>
      <c r="C8" s="164">
        <v>30.82</v>
      </c>
      <c r="D8" s="8">
        <v>42829.25</v>
      </c>
      <c r="E8" s="164">
        <v>0.95</v>
      </c>
      <c r="F8" s="164" t="s">
        <v>824</v>
      </c>
      <c r="G8" s="164">
        <v>364.26</v>
      </c>
      <c r="H8" s="164">
        <v>0.32900000000000001</v>
      </c>
      <c r="I8" s="164">
        <v>4.3299999999999998E-2</v>
      </c>
      <c r="J8" s="164">
        <v>0.71</v>
      </c>
      <c r="K8" s="164" t="s">
        <v>824</v>
      </c>
      <c r="L8" s="164">
        <v>1013.71</v>
      </c>
      <c r="M8" s="164" t="s">
        <v>825</v>
      </c>
      <c r="N8" s="164">
        <v>32.04</v>
      </c>
      <c r="O8" s="164">
        <v>1491307200</v>
      </c>
      <c r="P8" s="164">
        <v>0.71</v>
      </c>
      <c r="Q8" s="164">
        <v>0</v>
      </c>
      <c r="R8" s="164">
        <v>4.4400000000000004</v>
      </c>
    </row>
    <row r="9" spans="1:18" x14ac:dyDescent="0.25">
      <c r="A9" s="164">
        <v>26.86</v>
      </c>
      <c r="B9" s="164">
        <v>0.7</v>
      </c>
      <c r="C9" s="164">
        <v>30.61</v>
      </c>
      <c r="D9" s="8">
        <v>42829.291666666664</v>
      </c>
      <c r="E9" s="164">
        <v>0.96</v>
      </c>
      <c r="F9" s="164" t="s">
        <v>824</v>
      </c>
      <c r="G9" s="164">
        <v>365.62</v>
      </c>
      <c r="H9" s="164">
        <v>0.28999999999999998</v>
      </c>
      <c r="I9" s="164">
        <v>3.7199999999999997E-2</v>
      </c>
      <c r="J9" s="164">
        <v>0.69</v>
      </c>
      <c r="K9" s="164" t="s">
        <v>824</v>
      </c>
      <c r="L9" s="164">
        <v>1014.14</v>
      </c>
      <c r="M9" s="164" t="s">
        <v>825</v>
      </c>
      <c r="N9" s="164">
        <v>31.73</v>
      </c>
      <c r="O9" s="164">
        <v>1491310800</v>
      </c>
      <c r="P9" s="164">
        <v>0.63</v>
      </c>
      <c r="Q9" s="164">
        <v>358</v>
      </c>
      <c r="R9" s="164">
        <v>4.8899999999999997</v>
      </c>
    </row>
    <row r="10" spans="1:18" x14ac:dyDescent="0.25">
      <c r="A10" s="164">
        <v>27.4</v>
      </c>
      <c r="B10" s="164">
        <v>0.69</v>
      </c>
      <c r="C10" s="164">
        <v>30.72</v>
      </c>
      <c r="D10" s="8">
        <v>42829.333333333336</v>
      </c>
      <c r="E10" s="164">
        <v>0.95</v>
      </c>
      <c r="F10" s="164" t="s">
        <v>824</v>
      </c>
      <c r="G10" s="164">
        <v>367.4</v>
      </c>
      <c r="H10" s="164">
        <v>0.23799999999999999</v>
      </c>
      <c r="I10" s="164">
        <v>3.1099999999999999E-2</v>
      </c>
      <c r="J10" s="164">
        <v>0.67</v>
      </c>
      <c r="K10" s="164" t="s">
        <v>824</v>
      </c>
      <c r="L10" s="164">
        <v>1014.38</v>
      </c>
      <c r="M10" s="164" t="s">
        <v>825</v>
      </c>
      <c r="N10" s="164">
        <v>31.98</v>
      </c>
      <c r="O10" s="164">
        <v>1491314400</v>
      </c>
      <c r="P10" s="164">
        <v>1.26</v>
      </c>
      <c r="Q10" s="164">
        <v>351</v>
      </c>
      <c r="R10" s="164">
        <v>4.63</v>
      </c>
    </row>
    <row r="11" spans="1:18" x14ac:dyDescent="0.25">
      <c r="A11" s="164">
        <v>27.62</v>
      </c>
      <c r="B11" s="164">
        <v>0.7</v>
      </c>
      <c r="C11" s="164">
        <v>31.39</v>
      </c>
      <c r="D11" s="8">
        <v>42829.375</v>
      </c>
      <c r="E11" s="164">
        <v>0.95</v>
      </c>
      <c r="F11" s="164" t="s">
        <v>824</v>
      </c>
      <c r="G11" s="164">
        <v>368.91</v>
      </c>
      <c r="H11" s="164">
        <v>0.20399999999999999</v>
      </c>
      <c r="I11" s="164">
        <v>2.6800000000000001E-2</v>
      </c>
      <c r="J11" s="164">
        <v>0.65</v>
      </c>
      <c r="K11" s="164" t="s">
        <v>824</v>
      </c>
      <c r="L11" s="164">
        <v>1014.6</v>
      </c>
      <c r="M11" s="164" t="s">
        <v>825</v>
      </c>
      <c r="N11" s="164">
        <v>32.590000000000003</v>
      </c>
      <c r="O11" s="164">
        <v>1491318000</v>
      </c>
      <c r="P11" s="164">
        <v>1.22</v>
      </c>
      <c r="Q11" s="164">
        <v>358</v>
      </c>
      <c r="R11" s="164">
        <v>5.16</v>
      </c>
    </row>
    <row r="12" spans="1:18" x14ac:dyDescent="0.25">
      <c r="A12" s="164">
        <v>30.97</v>
      </c>
      <c r="B12" s="164">
        <v>0.71</v>
      </c>
      <c r="C12" s="164">
        <v>32.68</v>
      </c>
      <c r="D12" s="8">
        <v>42829.416666666664</v>
      </c>
      <c r="E12" s="164">
        <v>0.95</v>
      </c>
      <c r="F12" s="164" t="s">
        <v>824</v>
      </c>
      <c r="G12" s="164">
        <v>370.01</v>
      </c>
      <c r="H12" s="164">
        <v>0.161</v>
      </c>
      <c r="I12" s="164">
        <v>2.12E-2</v>
      </c>
      <c r="J12" s="164">
        <v>0.61</v>
      </c>
      <c r="K12" s="164" t="s">
        <v>824</v>
      </c>
      <c r="L12" s="164">
        <v>1015.06</v>
      </c>
      <c r="M12" s="164" t="s">
        <v>825</v>
      </c>
      <c r="N12" s="164">
        <v>34.020000000000003</v>
      </c>
      <c r="O12" s="164">
        <v>1491321600</v>
      </c>
      <c r="P12" s="164">
        <v>0.79</v>
      </c>
      <c r="Q12" s="164">
        <v>349</v>
      </c>
      <c r="R12" s="164">
        <v>3.5</v>
      </c>
    </row>
    <row r="13" spans="1:18" x14ac:dyDescent="0.25">
      <c r="A13" s="164">
        <v>31.02</v>
      </c>
      <c r="B13" s="164">
        <v>0.7</v>
      </c>
      <c r="C13" s="164">
        <v>33.5</v>
      </c>
      <c r="D13" s="8">
        <v>42829.458333333336</v>
      </c>
      <c r="E13" s="164">
        <v>0.92</v>
      </c>
      <c r="F13" s="164" t="s">
        <v>824</v>
      </c>
      <c r="G13" s="164">
        <v>370.84</v>
      </c>
      <c r="H13" s="164">
        <v>0.12</v>
      </c>
      <c r="I13" s="164">
        <v>1.5800000000000002E-2</v>
      </c>
      <c r="J13" s="164">
        <v>0.56999999999999995</v>
      </c>
      <c r="K13" s="164" t="s">
        <v>824</v>
      </c>
      <c r="L13" s="164">
        <v>1015.45</v>
      </c>
      <c r="M13" s="164" t="s">
        <v>826</v>
      </c>
      <c r="N13" s="164">
        <v>35.5</v>
      </c>
      <c r="O13" s="164">
        <v>1491325200</v>
      </c>
      <c r="P13" s="164">
        <v>4.12</v>
      </c>
      <c r="Q13" s="164">
        <v>0</v>
      </c>
      <c r="R13" s="164">
        <v>5.2</v>
      </c>
    </row>
    <row r="14" spans="1:18" x14ac:dyDescent="0.25">
      <c r="A14" s="164">
        <v>33.56</v>
      </c>
      <c r="B14" s="164">
        <v>0.64</v>
      </c>
      <c r="C14" s="164">
        <v>34.229999999999997</v>
      </c>
      <c r="D14" s="8">
        <v>42829.5</v>
      </c>
      <c r="E14" s="164">
        <v>0.89</v>
      </c>
      <c r="F14" s="164" t="s">
        <v>824</v>
      </c>
      <c r="G14" s="164">
        <v>371.15</v>
      </c>
      <c r="H14" s="164">
        <v>4.2000000000000003E-2</v>
      </c>
      <c r="I14" s="164">
        <v>5.4999999999999997E-3</v>
      </c>
      <c r="J14" s="164">
        <v>0.24</v>
      </c>
      <c r="K14" s="164" t="s">
        <v>824</v>
      </c>
      <c r="L14" s="164">
        <v>1015.51</v>
      </c>
      <c r="M14" s="164" t="s">
        <v>826</v>
      </c>
      <c r="N14" s="164">
        <v>37.24</v>
      </c>
      <c r="O14" s="164">
        <v>1491328800</v>
      </c>
      <c r="P14" s="164">
        <v>2.2599999999999998</v>
      </c>
      <c r="Q14" s="164">
        <v>349</v>
      </c>
      <c r="R14" s="164">
        <v>4.6100000000000003</v>
      </c>
    </row>
    <row r="15" spans="1:18" x14ac:dyDescent="0.25">
      <c r="A15" s="164">
        <v>34.67</v>
      </c>
      <c r="B15" s="164">
        <v>0.64</v>
      </c>
      <c r="C15" s="164">
        <v>34.19</v>
      </c>
      <c r="D15" s="8">
        <v>42829.541666666664</v>
      </c>
      <c r="E15" s="164">
        <v>0.85</v>
      </c>
      <c r="F15" s="164" t="s">
        <v>349</v>
      </c>
      <c r="G15" s="164">
        <v>370.41</v>
      </c>
      <c r="H15" s="164"/>
      <c r="I15" s="164">
        <v>4.0000000000000001E-3</v>
      </c>
      <c r="J15" s="164">
        <v>0.15</v>
      </c>
      <c r="K15" s="164" t="s">
        <v>423</v>
      </c>
      <c r="L15" s="164">
        <v>1014.58</v>
      </c>
      <c r="M15" s="164" t="s">
        <v>407</v>
      </c>
      <c r="N15" s="164">
        <v>38.33</v>
      </c>
      <c r="O15" s="164">
        <v>1491332400</v>
      </c>
      <c r="P15" s="164">
        <v>2.5499999999999998</v>
      </c>
      <c r="Q15" s="164">
        <v>3</v>
      </c>
      <c r="R15" s="164">
        <v>4.8099999999999996</v>
      </c>
    </row>
    <row r="16" spans="1:18" x14ac:dyDescent="0.25">
      <c r="A16" s="164">
        <v>35.96</v>
      </c>
      <c r="B16" s="164">
        <v>0.6</v>
      </c>
      <c r="C16" s="164">
        <v>33.799999999999997</v>
      </c>
      <c r="D16" s="8">
        <v>42829.583333333336</v>
      </c>
      <c r="E16" s="164">
        <v>0.81</v>
      </c>
      <c r="F16" s="164" t="s">
        <v>349</v>
      </c>
      <c r="G16" s="164">
        <v>369.15</v>
      </c>
      <c r="H16" s="164"/>
      <c r="I16" s="164">
        <v>2.3E-3</v>
      </c>
      <c r="J16" s="164">
        <v>0.06</v>
      </c>
      <c r="K16" s="164" t="s">
        <v>423</v>
      </c>
      <c r="L16" s="164">
        <v>1013.59</v>
      </c>
      <c r="M16" s="164" t="s">
        <v>407</v>
      </c>
      <c r="N16" s="164">
        <v>39.28</v>
      </c>
      <c r="O16" s="164">
        <v>1491336000</v>
      </c>
      <c r="P16" s="164">
        <v>2.6</v>
      </c>
      <c r="Q16" s="164">
        <v>5</v>
      </c>
      <c r="R16" s="164">
        <v>4.58</v>
      </c>
    </row>
    <row r="17" spans="1:18" x14ac:dyDescent="0.25">
      <c r="A17" s="164">
        <v>37.58</v>
      </c>
      <c r="B17" s="164">
        <v>0.56000000000000005</v>
      </c>
      <c r="C17" s="164">
        <v>32.369999999999997</v>
      </c>
      <c r="D17" s="8">
        <v>42829.625</v>
      </c>
      <c r="E17" s="164">
        <v>0.71</v>
      </c>
      <c r="F17" s="164" t="s">
        <v>349</v>
      </c>
      <c r="G17" s="164">
        <v>368.59</v>
      </c>
      <c r="H17" s="164"/>
      <c r="I17" s="164">
        <v>1.8E-3</v>
      </c>
      <c r="J17" s="164">
        <v>0.04</v>
      </c>
      <c r="K17" s="164" t="s">
        <v>423</v>
      </c>
      <c r="L17" s="164">
        <v>1013.58</v>
      </c>
      <c r="M17" s="164" t="s">
        <v>348</v>
      </c>
      <c r="N17" s="164">
        <v>40.880000000000003</v>
      </c>
      <c r="O17" s="164">
        <v>1491339600</v>
      </c>
      <c r="P17" s="164">
        <v>4.91</v>
      </c>
      <c r="Q17" s="164">
        <v>1</v>
      </c>
      <c r="R17" s="164">
        <v>4.91</v>
      </c>
    </row>
    <row r="18" spans="1:18" x14ac:dyDescent="0.25">
      <c r="A18" s="164">
        <v>37.36</v>
      </c>
      <c r="B18" s="164">
        <v>0.68</v>
      </c>
      <c r="C18" s="164">
        <v>31.2</v>
      </c>
      <c r="D18" s="8">
        <v>42829.666666666664</v>
      </c>
      <c r="E18" s="164">
        <v>0.66</v>
      </c>
      <c r="F18" s="164" t="s">
        <v>349</v>
      </c>
      <c r="G18" s="164">
        <v>368.79</v>
      </c>
      <c r="H18" s="164"/>
      <c r="I18" s="164">
        <v>2.2000000000000001E-3</v>
      </c>
      <c r="J18" s="164">
        <v>0.06</v>
      </c>
      <c r="K18" s="164" t="s">
        <v>423</v>
      </c>
      <c r="L18" s="164">
        <v>1014.36</v>
      </c>
      <c r="M18" s="164" t="s">
        <v>407</v>
      </c>
      <c r="N18" s="164">
        <v>41.83</v>
      </c>
      <c r="O18" s="164">
        <v>1491343200</v>
      </c>
      <c r="P18" s="164">
        <v>9.3699999999999992</v>
      </c>
      <c r="Q18" s="164">
        <v>14</v>
      </c>
      <c r="R18" s="164">
        <v>6.98</v>
      </c>
    </row>
    <row r="19" spans="1:18" x14ac:dyDescent="0.25">
      <c r="A19" s="164">
        <v>36.67</v>
      </c>
      <c r="B19" s="164">
        <v>0.78</v>
      </c>
      <c r="C19" s="164">
        <v>30.23</v>
      </c>
      <c r="D19" s="8">
        <v>42829.708333333336</v>
      </c>
      <c r="E19" s="164">
        <v>0.65</v>
      </c>
      <c r="F19" s="164" t="s">
        <v>349</v>
      </c>
      <c r="G19" s="164">
        <v>369.22</v>
      </c>
      <c r="H19" s="164"/>
      <c r="I19" s="164">
        <v>4.4999999999999997E-3</v>
      </c>
      <c r="J19" s="164">
        <v>0.18</v>
      </c>
      <c r="K19" s="164" t="s">
        <v>423</v>
      </c>
      <c r="L19" s="164">
        <v>1015.84</v>
      </c>
      <c r="M19" s="164" t="s">
        <v>407</v>
      </c>
      <c r="N19" s="164">
        <v>41.23</v>
      </c>
      <c r="O19" s="164">
        <v>1491346800</v>
      </c>
      <c r="P19" s="164">
        <v>4.13</v>
      </c>
      <c r="Q19" s="164">
        <v>15</v>
      </c>
      <c r="R19" s="164">
        <v>6.91</v>
      </c>
    </row>
    <row r="20" spans="1:18" x14ac:dyDescent="0.25">
      <c r="A20" s="164">
        <v>33.81</v>
      </c>
      <c r="B20" s="164">
        <v>0.92</v>
      </c>
      <c r="C20" s="164">
        <v>31.21</v>
      </c>
      <c r="D20" s="8">
        <v>42829.75</v>
      </c>
      <c r="E20" s="164">
        <v>0.74</v>
      </c>
      <c r="F20" s="164" t="s">
        <v>525</v>
      </c>
      <c r="G20" s="164">
        <v>369.79</v>
      </c>
      <c r="H20" s="164"/>
      <c r="I20" s="164">
        <v>1.1299999999999999E-2</v>
      </c>
      <c r="J20" s="164">
        <v>0.52</v>
      </c>
      <c r="K20" s="164" t="s">
        <v>525</v>
      </c>
      <c r="L20" s="164">
        <v>1017.69</v>
      </c>
      <c r="M20" s="164" t="s">
        <v>526</v>
      </c>
      <c r="N20" s="164">
        <v>38.79</v>
      </c>
      <c r="O20" s="164">
        <v>1491350400</v>
      </c>
      <c r="P20" s="164">
        <v>4.12</v>
      </c>
      <c r="Q20" s="164">
        <v>5</v>
      </c>
      <c r="R20" s="164">
        <v>6.78</v>
      </c>
    </row>
    <row r="21" spans="1:18" x14ac:dyDescent="0.25">
      <c r="A21" s="164">
        <v>31.28</v>
      </c>
      <c r="B21" s="164">
        <v>0.92</v>
      </c>
      <c r="C21" s="164">
        <v>31.9</v>
      </c>
      <c r="D21" s="8">
        <v>42829.791666666664</v>
      </c>
      <c r="E21" s="164">
        <v>0.86</v>
      </c>
      <c r="F21" s="164" t="s">
        <v>525</v>
      </c>
      <c r="G21" s="164">
        <v>370.45</v>
      </c>
      <c r="H21" s="164"/>
      <c r="I21" s="164">
        <v>2.12E-2</v>
      </c>
      <c r="J21" s="164">
        <v>0.61</v>
      </c>
      <c r="K21" s="164" t="s">
        <v>525</v>
      </c>
      <c r="L21" s="164">
        <v>1018.94</v>
      </c>
      <c r="M21" s="164" t="s">
        <v>526</v>
      </c>
      <c r="N21" s="164">
        <v>35.619999999999997</v>
      </c>
      <c r="O21" s="164">
        <v>1491354000</v>
      </c>
      <c r="P21" s="164">
        <v>5.13</v>
      </c>
      <c r="Q21" s="164">
        <v>6</v>
      </c>
      <c r="R21" s="164">
        <v>5.05</v>
      </c>
    </row>
    <row r="22" spans="1:18" x14ac:dyDescent="0.25">
      <c r="A22" s="164">
        <v>31.34</v>
      </c>
      <c r="B22" s="164">
        <v>0.79</v>
      </c>
      <c r="C22" s="164">
        <v>32.450000000000003</v>
      </c>
      <c r="D22" s="8">
        <v>42829.833333333336</v>
      </c>
      <c r="E22" s="164">
        <v>0.93</v>
      </c>
      <c r="F22" s="164" t="s">
        <v>525</v>
      </c>
      <c r="G22" s="164">
        <v>371.11</v>
      </c>
      <c r="H22" s="164"/>
      <c r="I22" s="164">
        <v>3.44E-2</v>
      </c>
      <c r="J22" s="164">
        <v>0.68</v>
      </c>
      <c r="K22" s="164" t="s">
        <v>525</v>
      </c>
      <c r="L22" s="164">
        <v>1019.92</v>
      </c>
      <c r="M22" s="164" t="s">
        <v>526</v>
      </c>
      <c r="N22" s="164">
        <v>34.33</v>
      </c>
      <c r="O22" s="164">
        <v>1491357600</v>
      </c>
      <c r="P22" s="164">
        <v>3.25</v>
      </c>
      <c r="Q22" s="164">
        <v>359</v>
      </c>
      <c r="R22" s="164">
        <v>3.49</v>
      </c>
    </row>
    <row r="23" spans="1:18" x14ac:dyDescent="0.25">
      <c r="A23" s="164">
        <v>33.409999999999997</v>
      </c>
      <c r="B23" s="164">
        <v>0.71</v>
      </c>
      <c r="C23" s="164">
        <v>31.96</v>
      </c>
      <c r="D23" s="8">
        <v>42829.875</v>
      </c>
      <c r="E23" s="164">
        <v>0.94</v>
      </c>
      <c r="F23" s="164" t="s">
        <v>525</v>
      </c>
      <c r="G23" s="164">
        <v>371.7</v>
      </c>
      <c r="H23" s="164"/>
      <c r="I23" s="164">
        <v>3.6999999999999998E-2</v>
      </c>
      <c r="J23" s="164">
        <v>0.69</v>
      </c>
      <c r="K23" s="164" t="s">
        <v>525</v>
      </c>
      <c r="L23" s="164">
        <v>1020.92</v>
      </c>
      <c r="M23" s="164" t="s">
        <v>526</v>
      </c>
      <c r="N23" s="164">
        <v>33.409999999999997</v>
      </c>
      <c r="O23" s="164">
        <v>1491361200</v>
      </c>
      <c r="P23" s="164">
        <v>2.91</v>
      </c>
      <c r="Q23" s="164">
        <v>352</v>
      </c>
      <c r="R23" s="164">
        <v>2.98</v>
      </c>
    </row>
    <row r="24" spans="1:18" x14ac:dyDescent="0.25">
      <c r="A24" s="164">
        <v>30.51</v>
      </c>
      <c r="B24" s="164">
        <v>0.8</v>
      </c>
      <c r="C24" s="164">
        <v>31.99</v>
      </c>
      <c r="D24" s="8">
        <v>42829.916666666664</v>
      </c>
      <c r="E24" s="164">
        <v>0.95</v>
      </c>
      <c r="F24" s="164" t="s">
        <v>525</v>
      </c>
      <c r="G24" s="164">
        <v>372.15</v>
      </c>
      <c r="H24" s="164"/>
      <c r="I24" s="164">
        <v>2.0500000000000001E-2</v>
      </c>
      <c r="J24" s="164">
        <v>0.61</v>
      </c>
      <c r="K24" s="164" t="s">
        <v>525</v>
      </c>
      <c r="L24" s="164">
        <v>1022.14</v>
      </c>
      <c r="M24" s="164" t="s">
        <v>526</v>
      </c>
      <c r="N24" s="164">
        <v>33.369999999999997</v>
      </c>
      <c r="O24" s="164">
        <v>1491364800</v>
      </c>
      <c r="P24" s="164">
        <v>2.57</v>
      </c>
      <c r="Q24" s="164">
        <v>344</v>
      </c>
      <c r="R24" s="164">
        <v>3.27</v>
      </c>
    </row>
    <row r="25" spans="1:18" x14ac:dyDescent="0.25">
      <c r="A25" s="164">
        <v>29.5</v>
      </c>
      <c r="B25" s="164">
        <v>0.81</v>
      </c>
      <c r="C25" s="164">
        <v>32.049999999999997</v>
      </c>
      <c r="D25" s="8">
        <v>42829.958333333336</v>
      </c>
      <c r="E25" s="164">
        <v>0.94</v>
      </c>
      <c r="F25" s="164" t="s">
        <v>525</v>
      </c>
      <c r="G25" s="164">
        <v>372.39</v>
      </c>
      <c r="H25" s="164"/>
      <c r="I25" s="164">
        <v>1.01E-2</v>
      </c>
      <c r="J25" s="164">
        <v>0.51</v>
      </c>
      <c r="K25" s="164" t="s">
        <v>525</v>
      </c>
      <c r="L25" s="164">
        <v>1023.41</v>
      </c>
      <c r="M25" s="164" t="s">
        <v>526</v>
      </c>
      <c r="N25" s="164">
        <v>33.590000000000003</v>
      </c>
      <c r="O25" s="164">
        <v>1491368400</v>
      </c>
      <c r="P25" s="164">
        <v>2.54</v>
      </c>
      <c r="Q25" s="164">
        <v>348</v>
      </c>
      <c r="R25" s="164">
        <v>4.4000000000000004</v>
      </c>
    </row>
    <row r="26" spans="1:18" x14ac:dyDescent="0.25">
      <c r="A26" s="164">
        <v>29.07</v>
      </c>
      <c r="B26" s="164">
        <v>0.79</v>
      </c>
      <c r="C26" s="164">
        <v>30.98</v>
      </c>
      <c r="D26" s="8">
        <v>42830</v>
      </c>
      <c r="E26" s="164">
        <v>0.93</v>
      </c>
      <c r="F26" s="164" t="s">
        <v>457</v>
      </c>
      <c r="G26" s="164">
        <v>372.34</v>
      </c>
      <c r="H26" s="164"/>
      <c r="I26" s="164">
        <v>4.1999999999999997E-3</v>
      </c>
      <c r="J26" s="164">
        <v>0.16</v>
      </c>
      <c r="K26" s="164" t="s">
        <v>525</v>
      </c>
      <c r="L26" s="164">
        <v>1024.5999999999999</v>
      </c>
      <c r="M26" s="164" t="s">
        <v>407</v>
      </c>
      <c r="N26" s="164">
        <v>32.82</v>
      </c>
      <c r="O26" s="164">
        <v>1491372000</v>
      </c>
      <c r="P26" s="164">
        <v>2.57</v>
      </c>
      <c r="Q26" s="164">
        <v>329</v>
      </c>
      <c r="R26" s="164">
        <v>3.96</v>
      </c>
    </row>
    <row r="27" spans="1:18" x14ac:dyDescent="0.25">
      <c r="A27" s="164">
        <v>28.8</v>
      </c>
      <c r="B27" s="164">
        <v>0.79</v>
      </c>
      <c r="C27" s="164">
        <v>29.56</v>
      </c>
      <c r="D27" s="8">
        <v>42830.041666666664</v>
      </c>
      <c r="E27" s="164">
        <v>0.92</v>
      </c>
      <c r="F27" s="164" t="s">
        <v>457</v>
      </c>
      <c r="G27" s="164">
        <v>369.78</v>
      </c>
      <c r="H27" s="164"/>
      <c r="I27" s="164">
        <v>0</v>
      </c>
      <c r="J27" s="164">
        <v>0</v>
      </c>
      <c r="K27" s="164"/>
      <c r="L27" s="164">
        <v>1025.6400000000001</v>
      </c>
      <c r="M27" s="164" t="s">
        <v>407</v>
      </c>
      <c r="N27" s="164">
        <v>31.69</v>
      </c>
      <c r="O27" s="164">
        <v>1491375600</v>
      </c>
      <c r="P27" s="164">
        <v>3.14</v>
      </c>
      <c r="Q27" s="164">
        <v>304</v>
      </c>
      <c r="R27" s="164">
        <v>3.12</v>
      </c>
    </row>
    <row r="28" spans="1:18" x14ac:dyDescent="0.25">
      <c r="A28" s="164">
        <v>30.92</v>
      </c>
      <c r="B28" s="164">
        <v>0.74</v>
      </c>
      <c r="C28" s="164">
        <v>28.8</v>
      </c>
      <c r="D28" s="8">
        <v>42830.083333333336</v>
      </c>
      <c r="E28" s="164">
        <v>0.92</v>
      </c>
      <c r="F28" s="164" t="s">
        <v>457</v>
      </c>
      <c r="G28" s="164">
        <v>367.22</v>
      </c>
      <c r="H28" s="164"/>
      <c r="I28" s="164">
        <v>0</v>
      </c>
      <c r="J28" s="164">
        <v>0</v>
      </c>
      <c r="K28" s="164"/>
      <c r="L28" s="164">
        <v>1026.6300000000001</v>
      </c>
      <c r="M28" s="164" t="s">
        <v>407</v>
      </c>
      <c r="N28" s="164">
        <v>30.92</v>
      </c>
      <c r="O28" s="164">
        <v>1491379200</v>
      </c>
      <c r="P28" s="164">
        <v>3.53</v>
      </c>
      <c r="Q28" s="164">
        <v>268</v>
      </c>
      <c r="R28" s="164">
        <v>2.8</v>
      </c>
    </row>
    <row r="29" spans="1:18" x14ac:dyDescent="0.25">
      <c r="A29" s="164">
        <v>30.48</v>
      </c>
      <c r="B29" s="164">
        <v>0.66</v>
      </c>
      <c r="C29" s="164">
        <v>27.94</v>
      </c>
      <c r="D29" s="8">
        <v>42830.125</v>
      </c>
      <c r="E29" s="164">
        <v>0.9</v>
      </c>
      <c r="F29" s="164" t="s">
        <v>457</v>
      </c>
      <c r="G29" s="164">
        <v>364.67</v>
      </c>
      <c r="H29" s="164"/>
      <c r="I29" s="164">
        <v>0</v>
      </c>
      <c r="J29" s="164">
        <v>0</v>
      </c>
      <c r="K29" s="164"/>
      <c r="L29" s="164">
        <v>1027.57</v>
      </c>
      <c r="M29" s="164" t="s">
        <v>407</v>
      </c>
      <c r="N29" s="164">
        <v>30.48</v>
      </c>
      <c r="O29" s="164">
        <v>1491382800</v>
      </c>
      <c r="P29" s="164">
        <v>2.5099999999999998</v>
      </c>
      <c r="Q29" s="164">
        <v>264</v>
      </c>
      <c r="R29" s="164">
        <v>2.54</v>
      </c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358</v>
      </c>
      <c r="U1" s="215"/>
      <c r="V1" s="215"/>
      <c r="W1" s="215"/>
      <c r="X1" s="215"/>
    </row>
    <row r="2" spans="1:24" ht="15.75" thickBot="1" x14ac:dyDescent="0.3">
      <c r="A2" s="12">
        <v>42829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359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371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372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373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578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1029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1030</v>
      </c>
      <c r="J20" s="148" t="s">
        <v>87</v>
      </c>
      <c r="M20" s="164" t="s">
        <v>350</v>
      </c>
      <c r="N20" s="164" t="s">
        <v>350</v>
      </c>
      <c r="T20" s="193"/>
      <c r="U20" s="193"/>
      <c r="V20" s="193"/>
      <c r="W20" s="193"/>
      <c r="X20" s="193"/>
    </row>
    <row r="21" spans="3:24" x14ac:dyDescent="0.25">
      <c r="C21" t="s">
        <v>1031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1032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1033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1034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1035</v>
      </c>
      <c r="J25" s="148" t="s">
        <v>150</v>
      </c>
      <c r="M25" s="164" t="b">
        <v>1</v>
      </c>
    </row>
    <row r="26" spans="3:24" x14ac:dyDescent="0.25">
      <c r="C26" t="s">
        <v>1036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C:\Users\stu\Documents\GitHub\eaglep3-reporting\EC\2017-04-04-refined-times.txt</v>
      </c>
    </row>
    <row r="27" spans="3:24" x14ac:dyDescent="0.25">
      <c r="C27" t="s">
        <v>1037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C:\Users\stu\Documents\GitHub\eaglep3-reporting\EC\2017-04-04-Enforcements.txt</v>
      </c>
    </row>
    <row r="28" spans="3:24" x14ac:dyDescent="0.25">
      <c r="C28" t="s">
        <v>1038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C:\Users\stu\Documents\GitHub\eaglep3-reporting\EC\2017-04-04-Runs-refined.txt</v>
      </c>
    </row>
    <row r="29" spans="3:24" x14ac:dyDescent="0.25">
      <c r="C29" t="s">
        <v>1039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C:\Users\stu\Documents\GitHub\eaglep3-reporting\EC\2017-04-04-Trips.txt</v>
      </c>
    </row>
    <row r="30" spans="3:24" x14ac:dyDescent="0.25">
      <c r="C30" t="s">
        <v>579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C:\Users\stu\Documents\GitHub\eaglep3-reporting\EC\2017-04-04-Weather.txt</v>
      </c>
    </row>
    <row r="31" spans="3:24" x14ac:dyDescent="0.25">
      <c r="C31" t="s">
        <v>1040</v>
      </c>
      <c r="J31" s="148" t="s">
        <v>203</v>
      </c>
      <c r="M31" s="164" t="s">
        <v>204</v>
      </c>
    </row>
    <row r="32" spans="3:24" x14ac:dyDescent="0.25">
      <c r="C32" t="s">
        <v>1041</v>
      </c>
    </row>
    <row r="33" spans="3:3" x14ac:dyDescent="0.25">
      <c r="C33" t="s">
        <v>1042</v>
      </c>
    </row>
    <row r="34" spans="3:3" x14ac:dyDescent="0.25">
      <c r="C34" t="s">
        <v>1043</v>
      </c>
    </row>
    <row r="35" spans="3:3" x14ac:dyDescent="0.25">
      <c r="C35" t="s">
        <v>1044</v>
      </c>
    </row>
    <row r="36" spans="3:3" x14ac:dyDescent="0.25">
      <c r="C36" t="s">
        <v>1045</v>
      </c>
    </row>
    <row r="37" spans="3:3" x14ac:dyDescent="0.25">
      <c r="C37" t="s">
        <v>1046</v>
      </c>
    </row>
    <row r="38" spans="3:3" x14ac:dyDescent="0.25">
      <c r="C38" t="s">
        <v>1047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430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431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2017-04-05T15:01:05Z</dcterms:modified>
</cp:coreProperties>
</file>