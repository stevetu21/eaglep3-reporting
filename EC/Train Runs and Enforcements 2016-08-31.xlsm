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queryTables/queryTable1.xml" ContentType="application/vnd.openxmlformats-officedocument.spreadsheetml.queryTable+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stu\Documents\GitHub\eaglep3-reporting\EC\"/>
    </mc:Choice>
  </mc:AlternateContent>
  <bookViews>
    <workbookView xWindow="0" yWindow="0" windowWidth="28800" windowHeight="12435"/>
  </bookViews>
  <sheets>
    <sheet name="Train Runs" sheetId="1" r:id="rId1"/>
    <sheet name="Enforcements" sheetId="3" r:id="rId2"/>
    <sheet name="Missing Trips" sheetId="6" r:id="rId3"/>
    <sheet name="Trips&amp;Operators" sheetId="4" r:id="rId4"/>
    <sheet name="Variables" sheetId="5" r:id="rId5"/>
    <sheet name="Redmine List Values" sheetId="7" r:id="rId6"/>
  </sheets>
  <externalReferences>
    <externalReference r:id="rId7"/>
    <externalReference r:id="rId8"/>
  </externalReferences>
  <definedNames>
    <definedName name="_xlnm._FilterDatabase" localSheetId="1" hidden="1">Enforcements!$A$6:$Z$61</definedName>
    <definedName name="_xlnm._FilterDatabase" localSheetId="2" hidden="1">'Missing Trips'!$B$2:$I$2</definedName>
    <definedName name="_xlnm._FilterDatabase" localSheetId="0" hidden="1">'Train Runs'!$A$12:$AG$238</definedName>
    <definedName name="_xlnm._FilterDatabase" localSheetId="3" hidden="1">'Trips&amp;Operators'!$A$1:$E$211</definedName>
    <definedName name="astrogrep_path">Variables!$M$18</definedName>
    <definedName name="Denver_Train_Runs_04122016" localSheetId="0">'Train Runs'!$A$12:$J$65</definedName>
    <definedName name="outputrefinedruntimes">Variables!$M$25</definedName>
    <definedName name="redm_api_key">[1]Constants!$B$4</definedName>
    <definedName name="redm_url">[1]Constants!$B$5</definedName>
    <definedName name="redmine_api">'Redmine List Values'!$I$1</definedName>
    <definedName name="redmine_assignee">'Redmine List Values'!$I$5</definedName>
    <definedName name="redmine_op_impact">'Redmine List Values'!$I$6</definedName>
    <definedName name="redmine_priority">'Redmine List Values'!$I$4</definedName>
    <definedName name="redmine_status">'Redmine List Values'!$I$3</definedName>
    <definedName name="redmine_url">'Redmine List Values'!$I$2</definedName>
    <definedName name="RefinedRTDCRunTimesOutputFile">Variables!$M$26</definedName>
    <definedName name="refinertdcruntimes">Variables!$M$24</definedName>
    <definedName name="s3_bucket">Variables!$M$21</definedName>
    <definedName name="search_path">Variables!$M$19</definedName>
    <definedName name="search_regexp">Variables!$M$20</definedName>
    <definedName name="utc_offset">Variables!$M$23</definedName>
    <definedName name="walkandungz">Variables!$M$22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107" i="1" l="1"/>
  <c r="X108" i="1"/>
  <c r="X109" i="1"/>
  <c r="P123" i="1" l="1"/>
  <c r="X126" i="1"/>
  <c r="K123" i="1"/>
  <c r="L123" i="1"/>
  <c r="M123" i="1"/>
  <c r="V123" i="1"/>
  <c r="Y123" i="1"/>
  <c r="Z123" i="1"/>
  <c r="AA123" i="1"/>
  <c r="W123" i="1" s="1"/>
  <c r="AB123" i="1"/>
  <c r="AC123" i="1"/>
  <c r="AD123" i="1"/>
  <c r="AG123" i="1" s="1"/>
  <c r="AE123" i="1"/>
  <c r="AF123" i="1"/>
  <c r="AH123" i="1"/>
  <c r="X16" i="1"/>
  <c r="K15" i="1"/>
  <c r="L15" i="1"/>
  <c r="M15" i="1"/>
  <c r="V15" i="1"/>
  <c r="Y15" i="1"/>
  <c r="Z15" i="1"/>
  <c r="AA15" i="1" s="1"/>
  <c r="AB15" i="1"/>
  <c r="AC15" i="1"/>
  <c r="AD15" i="1"/>
  <c r="T15" i="1" s="1"/>
  <c r="AE15" i="1"/>
  <c r="AF15" i="1"/>
  <c r="AH15" i="1"/>
  <c r="X146" i="1"/>
  <c r="S18" i="3"/>
  <c r="R18" i="3" s="1"/>
  <c r="T18" i="3"/>
  <c r="U18" i="3"/>
  <c r="V18" i="3"/>
  <c r="S7" i="3"/>
  <c r="R7" i="3" s="1"/>
  <c r="T7" i="3"/>
  <c r="U7" i="3"/>
  <c r="V7" i="3"/>
  <c r="S16" i="3"/>
  <c r="R16" i="3" s="1"/>
  <c r="T16" i="3"/>
  <c r="U16" i="3"/>
  <c r="V16" i="3"/>
  <c r="S25" i="3"/>
  <c r="R25" i="3" s="1"/>
  <c r="T25" i="3"/>
  <c r="U25" i="3"/>
  <c r="V25" i="3"/>
  <c r="S20" i="3"/>
  <c r="R20" i="3" s="1"/>
  <c r="T20" i="3"/>
  <c r="U20" i="3"/>
  <c r="V20" i="3"/>
  <c r="S23" i="3"/>
  <c r="R23" i="3" s="1"/>
  <c r="T23" i="3"/>
  <c r="U23" i="3"/>
  <c r="V23" i="3"/>
  <c r="S27" i="3"/>
  <c r="R27" i="3" s="1"/>
  <c r="T27" i="3"/>
  <c r="U27" i="3"/>
  <c r="V27" i="3"/>
  <c r="S17" i="3"/>
  <c r="R17" i="3" s="1"/>
  <c r="T17" i="3"/>
  <c r="U17" i="3"/>
  <c r="V17" i="3"/>
  <c r="S40" i="3"/>
  <c r="R40" i="3" s="1"/>
  <c r="T40" i="3"/>
  <c r="U40" i="3"/>
  <c r="V40" i="3"/>
  <c r="S51" i="3"/>
  <c r="R51" i="3" s="1"/>
  <c r="T51" i="3"/>
  <c r="U51" i="3"/>
  <c r="V51" i="3"/>
  <c r="S35" i="3"/>
  <c r="R35" i="3" s="1"/>
  <c r="T35" i="3"/>
  <c r="U35" i="3"/>
  <c r="V35" i="3"/>
  <c r="S26" i="3"/>
  <c r="R26" i="3" s="1"/>
  <c r="T26" i="3"/>
  <c r="U26" i="3"/>
  <c r="V26" i="3"/>
  <c r="S28" i="3"/>
  <c r="R28" i="3" s="1"/>
  <c r="T28" i="3"/>
  <c r="U28" i="3"/>
  <c r="V28" i="3"/>
  <c r="S36" i="3"/>
  <c r="R36" i="3" s="1"/>
  <c r="T36" i="3"/>
  <c r="U36" i="3"/>
  <c r="V36" i="3"/>
  <c r="S41" i="3"/>
  <c r="R41" i="3" s="1"/>
  <c r="T41" i="3"/>
  <c r="U41" i="3"/>
  <c r="V41" i="3"/>
  <c r="S12" i="3"/>
  <c r="R12" i="3" s="1"/>
  <c r="T12" i="3"/>
  <c r="U12" i="3"/>
  <c r="V12" i="3"/>
  <c r="S42" i="3"/>
  <c r="R42" i="3" s="1"/>
  <c r="T42" i="3"/>
  <c r="U42" i="3"/>
  <c r="V42" i="3"/>
  <c r="S29" i="3"/>
  <c r="R29" i="3" s="1"/>
  <c r="T29" i="3"/>
  <c r="U29" i="3"/>
  <c r="V29" i="3"/>
  <c r="S37" i="3"/>
  <c r="R37" i="3" s="1"/>
  <c r="T37" i="3"/>
  <c r="U37" i="3"/>
  <c r="V37" i="3"/>
  <c r="S13" i="3"/>
  <c r="R13" i="3" s="1"/>
  <c r="T13" i="3"/>
  <c r="U13" i="3"/>
  <c r="V13" i="3"/>
  <c r="S8" i="3"/>
  <c r="R8" i="3" s="1"/>
  <c r="T8" i="3"/>
  <c r="U8" i="3"/>
  <c r="V8" i="3"/>
  <c r="S52" i="3"/>
  <c r="R52" i="3" s="1"/>
  <c r="T52" i="3"/>
  <c r="U52" i="3"/>
  <c r="V52" i="3"/>
  <c r="S30" i="3"/>
  <c r="R30" i="3" s="1"/>
  <c r="T30" i="3"/>
  <c r="U30" i="3"/>
  <c r="V30" i="3"/>
  <c r="S10" i="3"/>
  <c r="R10" i="3" s="1"/>
  <c r="T10" i="3"/>
  <c r="U10" i="3"/>
  <c r="V10" i="3"/>
  <c r="S43" i="3"/>
  <c r="R43" i="3" s="1"/>
  <c r="T43" i="3"/>
  <c r="U43" i="3"/>
  <c r="V43" i="3"/>
  <c r="S44" i="3"/>
  <c r="R44" i="3" s="1"/>
  <c r="T44" i="3"/>
  <c r="U44" i="3"/>
  <c r="V44" i="3"/>
  <c r="S21" i="3"/>
  <c r="R21" i="3" s="1"/>
  <c r="T21" i="3"/>
  <c r="U21" i="3"/>
  <c r="V21" i="3"/>
  <c r="S53" i="3"/>
  <c r="R53" i="3" s="1"/>
  <c r="T53" i="3"/>
  <c r="U53" i="3"/>
  <c r="V53" i="3"/>
  <c r="S54" i="3"/>
  <c r="R54" i="3" s="1"/>
  <c r="T54" i="3"/>
  <c r="U54" i="3"/>
  <c r="V54" i="3"/>
  <c r="S31" i="3"/>
  <c r="R31" i="3" s="1"/>
  <c r="T31" i="3"/>
  <c r="U31" i="3"/>
  <c r="V31" i="3"/>
  <c r="S45" i="3"/>
  <c r="R45" i="3" s="1"/>
  <c r="T45" i="3"/>
  <c r="U45" i="3"/>
  <c r="V45" i="3"/>
  <c r="S14" i="3"/>
  <c r="R14" i="3" s="1"/>
  <c r="T14" i="3"/>
  <c r="U14" i="3"/>
  <c r="V14" i="3"/>
  <c r="S47" i="3"/>
  <c r="R47" i="3" s="1"/>
  <c r="T47" i="3"/>
  <c r="U47" i="3"/>
  <c r="V47" i="3"/>
  <c r="S22" i="3"/>
  <c r="R22" i="3" s="1"/>
  <c r="T22" i="3"/>
  <c r="U22" i="3"/>
  <c r="V22" i="3"/>
  <c r="S48" i="3"/>
  <c r="R48" i="3" s="1"/>
  <c r="T48" i="3"/>
  <c r="U48" i="3"/>
  <c r="V48" i="3"/>
  <c r="S49" i="3"/>
  <c r="R49" i="3" s="1"/>
  <c r="T49" i="3"/>
  <c r="U49" i="3"/>
  <c r="V49" i="3"/>
  <c r="S46" i="3"/>
  <c r="R46" i="3" s="1"/>
  <c r="T46" i="3"/>
  <c r="U46" i="3"/>
  <c r="V46" i="3"/>
  <c r="S39" i="3"/>
  <c r="R39" i="3" s="1"/>
  <c r="T39" i="3"/>
  <c r="U39" i="3"/>
  <c r="V39" i="3"/>
  <c r="S55" i="3"/>
  <c r="R55" i="3" s="1"/>
  <c r="T55" i="3"/>
  <c r="U55" i="3"/>
  <c r="V55" i="3"/>
  <c r="S19" i="3"/>
  <c r="R19" i="3" s="1"/>
  <c r="T19" i="3"/>
  <c r="U19" i="3"/>
  <c r="V19" i="3"/>
  <c r="S24" i="3"/>
  <c r="R24" i="3" s="1"/>
  <c r="T24" i="3"/>
  <c r="U24" i="3"/>
  <c r="V24" i="3"/>
  <c r="S50" i="3"/>
  <c r="R50" i="3" s="1"/>
  <c r="T50" i="3"/>
  <c r="U50" i="3"/>
  <c r="V50" i="3"/>
  <c r="S9" i="3"/>
  <c r="R9" i="3" s="1"/>
  <c r="T9" i="3"/>
  <c r="U9" i="3"/>
  <c r="V9" i="3"/>
  <c r="S38" i="3"/>
  <c r="R38" i="3" s="1"/>
  <c r="T38" i="3"/>
  <c r="U38" i="3"/>
  <c r="V38" i="3"/>
  <c r="S32" i="3"/>
  <c r="R32" i="3" s="1"/>
  <c r="T32" i="3"/>
  <c r="U32" i="3"/>
  <c r="V32" i="3"/>
  <c r="S11" i="3"/>
  <c r="R11" i="3" s="1"/>
  <c r="T11" i="3"/>
  <c r="U11" i="3"/>
  <c r="V11" i="3"/>
  <c r="S33" i="3"/>
  <c r="R33" i="3" s="1"/>
  <c r="T33" i="3"/>
  <c r="U33" i="3"/>
  <c r="V33" i="3"/>
  <c r="S34" i="3"/>
  <c r="R34" i="3" s="1"/>
  <c r="T34" i="3"/>
  <c r="U34" i="3"/>
  <c r="V34" i="3"/>
  <c r="S15" i="3"/>
  <c r="R15" i="3" s="1"/>
  <c r="T15" i="3"/>
  <c r="U15" i="3"/>
  <c r="V15" i="3"/>
  <c r="L18" i="3"/>
  <c r="L7" i="3"/>
  <c r="L16" i="3"/>
  <c r="L25" i="3"/>
  <c r="L20" i="3"/>
  <c r="L23" i="3"/>
  <c r="L27" i="3"/>
  <c r="L17" i="3"/>
  <c r="L40" i="3"/>
  <c r="L51" i="3"/>
  <c r="L35" i="3"/>
  <c r="L26" i="3"/>
  <c r="L28" i="3"/>
  <c r="L36" i="3"/>
  <c r="L41" i="3"/>
  <c r="L12" i="3"/>
  <c r="L42" i="3"/>
  <c r="L29" i="3"/>
  <c r="L37" i="3"/>
  <c r="L13" i="3"/>
  <c r="L8" i="3"/>
  <c r="L52" i="3"/>
  <c r="L30" i="3"/>
  <c r="L10" i="3"/>
  <c r="L43" i="3"/>
  <c r="L44" i="3"/>
  <c r="L21" i="3"/>
  <c r="L53" i="3"/>
  <c r="L54" i="3"/>
  <c r="L31" i="3"/>
  <c r="L45" i="3"/>
  <c r="L14" i="3"/>
  <c r="L47" i="3"/>
  <c r="L22" i="3"/>
  <c r="L48" i="3"/>
  <c r="L49" i="3"/>
  <c r="L46" i="3"/>
  <c r="L39" i="3"/>
  <c r="L55" i="3"/>
  <c r="L19" i="3"/>
  <c r="L24" i="3"/>
  <c r="L50" i="3"/>
  <c r="L9" i="3"/>
  <c r="L38" i="3"/>
  <c r="L32" i="3"/>
  <c r="L11" i="3"/>
  <c r="L33" i="3"/>
  <c r="L34" i="3"/>
  <c r="S56" i="3"/>
  <c r="R56" i="3" s="1"/>
  <c r="T56" i="3"/>
  <c r="U56" i="3"/>
  <c r="V56" i="3"/>
  <c r="K14" i="1"/>
  <c r="L14" i="1"/>
  <c r="M14" i="1"/>
  <c r="N14" i="1" s="1"/>
  <c r="V14" i="1"/>
  <c r="Y14" i="1"/>
  <c r="Z14" i="1"/>
  <c r="AB14" i="1"/>
  <c r="AC14" i="1"/>
  <c r="AD14" i="1"/>
  <c r="AG14" i="1" s="1"/>
  <c r="AE14" i="1"/>
  <c r="AF14" i="1"/>
  <c r="K16" i="1"/>
  <c r="L16" i="1"/>
  <c r="M16" i="1"/>
  <c r="N16" i="1" s="1"/>
  <c r="V16" i="1"/>
  <c r="Y16" i="1"/>
  <c r="Z16" i="1"/>
  <c r="AB16" i="1"/>
  <c r="AC16" i="1"/>
  <c r="AD16" i="1"/>
  <c r="T16" i="1" s="1"/>
  <c r="AE16" i="1"/>
  <c r="AF16" i="1"/>
  <c r="K17" i="1"/>
  <c r="L17" i="1"/>
  <c r="M17" i="1"/>
  <c r="N17" i="1" s="1"/>
  <c r="V17" i="1"/>
  <c r="Y17" i="1"/>
  <c r="Z17" i="1"/>
  <c r="AB17" i="1"/>
  <c r="AC17" i="1"/>
  <c r="AD17" i="1"/>
  <c r="AE17" i="1"/>
  <c r="AF17" i="1"/>
  <c r="K18" i="1"/>
  <c r="L18" i="1"/>
  <c r="M18" i="1"/>
  <c r="N18" i="1" s="1"/>
  <c r="V18" i="1"/>
  <c r="Q18" i="3" s="1"/>
  <c r="Y18" i="1"/>
  <c r="Z18" i="1"/>
  <c r="AB18" i="1"/>
  <c r="AC18" i="1"/>
  <c r="AD18" i="1"/>
  <c r="T18" i="1" s="1"/>
  <c r="AE18" i="1"/>
  <c r="P18" i="3" s="1"/>
  <c r="AF18" i="1"/>
  <c r="K19" i="1"/>
  <c r="L19" i="1"/>
  <c r="M19" i="1"/>
  <c r="N19" i="1" s="1"/>
  <c r="V19" i="1"/>
  <c r="Y19" i="1"/>
  <c r="Z19" i="1"/>
  <c r="AB19" i="1"/>
  <c r="AC19" i="1"/>
  <c r="AD19" i="1"/>
  <c r="AG19" i="1" s="1"/>
  <c r="AE19" i="1"/>
  <c r="AF19" i="1"/>
  <c r="K20" i="1"/>
  <c r="L20" i="1"/>
  <c r="M20" i="1"/>
  <c r="N20" i="1" s="1"/>
  <c r="V20" i="1"/>
  <c r="Q7" i="3" s="1"/>
  <c r="Y20" i="1"/>
  <c r="Z20" i="1"/>
  <c r="AB20" i="1"/>
  <c r="AC20" i="1"/>
  <c r="AD20" i="1"/>
  <c r="T20" i="1" s="1"/>
  <c r="AE20" i="1"/>
  <c r="P7" i="3" s="1"/>
  <c r="AF20" i="1"/>
  <c r="K21" i="1"/>
  <c r="L21" i="1"/>
  <c r="M21" i="1"/>
  <c r="N21" i="1" s="1"/>
  <c r="V21" i="1"/>
  <c r="Y21" i="1"/>
  <c r="Z21" i="1"/>
  <c r="AA21" i="1" s="1"/>
  <c r="AB21" i="1"/>
  <c r="AC21" i="1"/>
  <c r="AD21" i="1"/>
  <c r="AE21" i="1"/>
  <c r="AF21" i="1"/>
  <c r="K22" i="1"/>
  <c r="L22" i="1"/>
  <c r="M22" i="1"/>
  <c r="N22" i="1" s="1"/>
  <c r="V22" i="1"/>
  <c r="Y22" i="1"/>
  <c r="Z22" i="1"/>
  <c r="AB22" i="1"/>
  <c r="AC22" i="1"/>
  <c r="AD22" i="1"/>
  <c r="AG22" i="1" s="1"/>
  <c r="AE22" i="1"/>
  <c r="AF22" i="1"/>
  <c r="K23" i="1"/>
  <c r="L23" i="1"/>
  <c r="M23" i="1"/>
  <c r="N23" i="1"/>
  <c r="V23" i="1"/>
  <c r="Y23" i="1"/>
  <c r="Z23" i="1"/>
  <c r="AB23" i="1"/>
  <c r="AC23" i="1"/>
  <c r="AD23" i="1"/>
  <c r="AG23" i="1" s="1"/>
  <c r="AE23" i="1"/>
  <c r="AF23" i="1"/>
  <c r="K24" i="1"/>
  <c r="L24" i="1"/>
  <c r="M24" i="1"/>
  <c r="N24" i="1" s="1"/>
  <c r="V24" i="1"/>
  <c r="Y24" i="1"/>
  <c r="Z24" i="1"/>
  <c r="AB24" i="1"/>
  <c r="AC24" i="1"/>
  <c r="AD24" i="1"/>
  <c r="T24" i="1" s="1"/>
  <c r="AE24" i="1"/>
  <c r="AF24" i="1"/>
  <c r="K25" i="1"/>
  <c r="L25" i="1"/>
  <c r="M25" i="1"/>
  <c r="N25" i="1" s="1"/>
  <c r="V25" i="1"/>
  <c r="Y25" i="1"/>
  <c r="Z25" i="1"/>
  <c r="AB25" i="1"/>
  <c r="AC25" i="1"/>
  <c r="AD25" i="1"/>
  <c r="AE25" i="1"/>
  <c r="AF25" i="1"/>
  <c r="K26" i="1"/>
  <c r="L26" i="1"/>
  <c r="M26" i="1"/>
  <c r="N26" i="1" s="1"/>
  <c r="V26" i="1"/>
  <c r="Y26" i="1"/>
  <c r="Z26" i="1"/>
  <c r="AB26" i="1"/>
  <c r="AC26" i="1"/>
  <c r="AD26" i="1"/>
  <c r="T26" i="1" s="1"/>
  <c r="AE26" i="1"/>
  <c r="AF26" i="1"/>
  <c r="K27" i="1"/>
  <c r="L27" i="1"/>
  <c r="M27" i="1"/>
  <c r="N27" i="1" s="1"/>
  <c r="V27" i="1"/>
  <c r="Y27" i="1"/>
  <c r="Z27" i="1"/>
  <c r="AB27" i="1"/>
  <c r="AC27" i="1"/>
  <c r="AD27" i="1"/>
  <c r="AG27" i="1" s="1"/>
  <c r="AE27" i="1"/>
  <c r="AF27" i="1"/>
  <c r="K28" i="1"/>
  <c r="L28" i="1"/>
  <c r="M28" i="1"/>
  <c r="N28" i="1" s="1"/>
  <c r="V28" i="1"/>
  <c r="Q25" i="3" s="1"/>
  <c r="Y28" i="1"/>
  <c r="Z28" i="1"/>
  <c r="AB28" i="1"/>
  <c r="AC28" i="1"/>
  <c r="AD28" i="1"/>
  <c r="T28" i="1" s="1"/>
  <c r="AE28" i="1"/>
  <c r="P25" i="3" s="1"/>
  <c r="AF28" i="1"/>
  <c r="K29" i="1"/>
  <c r="L29" i="1"/>
  <c r="M29" i="1"/>
  <c r="N29" i="1" s="1"/>
  <c r="V29" i="1"/>
  <c r="Y29" i="1"/>
  <c r="Z29" i="1"/>
  <c r="AB29" i="1"/>
  <c r="AC29" i="1"/>
  <c r="AD29" i="1"/>
  <c r="AE29" i="1"/>
  <c r="AF29" i="1"/>
  <c r="K30" i="1"/>
  <c r="L30" i="1"/>
  <c r="M30" i="1"/>
  <c r="N30" i="1" s="1"/>
  <c r="V30" i="1"/>
  <c r="Q27" i="3" s="1"/>
  <c r="Y30" i="1"/>
  <c r="Z30" i="1"/>
  <c r="AB30" i="1"/>
  <c r="AC30" i="1"/>
  <c r="AD30" i="1"/>
  <c r="T30" i="1" s="1"/>
  <c r="AE30" i="1"/>
  <c r="P27" i="3" s="1"/>
  <c r="AF30" i="1"/>
  <c r="K31" i="1"/>
  <c r="L31" i="1"/>
  <c r="M31" i="1"/>
  <c r="P31" i="1" s="1"/>
  <c r="V31" i="1"/>
  <c r="Q20" i="3" s="1"/>
  <c r="Y31" i="1"/>
  <c r="Z31" i="1"/>
  <c r="AB31" i="1"/>
  <c r="AC31" i="1"/>
  <c r="AD31" i="1"/>
  <c r="AG31" i="1" s="1"/>
  <c r="AE31" i="1"/>
  <c r="P16" i="3" s="1"/>
  <c r="AF31" i="1"/>
  <c r="K32" i="1"/>
  <c r="L32" i="1"/>
  <c r="M32" i="1"/>
  <c r="V32" i="1"/>
  <c r="Y32" i="1"/>
  <c r="Z32" i="1"/>
  <c r="AB32" i="1"/>
  <c r="AC32" i="1"/>
  <c r="AD32" i="1"/>
  <c r="T32" i="1" s="1"/>
  <c r="AE32" i="1"/>
  <c r="AF32" i="1"/>
  <c r="K33" i="1"/>
  <c r="L33" i="1"/>
  <c r="M33" i="1"/>
  <c r="N33" i="1" s="1"/>
  <c r="V33" i="1"/>
  <c r="Q23" i="3" s="1"/>
  <c r="Y33" i="1"/>
  <c r="Z33" i="1"/>
  <c r="AB33" i="1"/>
  <c r="AC33" i="1"/>
  <c r="AD33" i="1"/>
  <c r="T33" i="1" s="1"/>
  <c r="AE33" i="1"/>
  <c r="P23" i="3" s="1"/>
  <c r="AF33" i="1"/>
  <c r="K34" i="1"/>
  <c r="L34" i="1"/>
  <c r="M34" i="1"/>
  <c r="N34" i="1" s="1"/>
  <c r="V34" i="1"/>
  <c r="Y34" i="1"/>
  <c r="Z34" i="1"/>
  <c r="AB34" i="1"/>
  <c r="AC34" i="1"/>
  <c r="AD34" i="1"/>
  <c r="AE34" i="1"/>
  <c r="AF34" i="1"/>
  <c r="K35" i="1"/>
  <c r="L35" i="1"/>
  <c r="M35" i="1"/>
  <c r="N35" i="1"/>
  <c r="V35" i="1"/>
  <c r="Y35" i="1"/>
  <c r="Z35" i="1"/>
  <c r="AB35" i="1"/>
  <c r="AC35" i="1"/>
  <c r="AD35" i="1"/>
  <c r="AG35" i="1" s="1"/>
  <c r="AE35" i="1"/>
  <c r="AF35" i="1"/>
  <c r="K36" i="1"/>
  <c r="L36" i="1"/>
  <c r="M36" i="1"/>
  <c r="N36" i="1" s="1"/>
  <c r="V36" i="1"/>
  <c r="Y36" i="1"/>
  <c r="Z36" i="1"/>
  <c r="AB36" i="1"/>
  <c r="AC36" i="1"/>
  <c r="AD36" i="1"/>
  <c r="AG36" i="1" s="1"/>
  <c r="AE36" i="1"/>
  <c r="AF36" i="1"/>
  <c r="K37" i="1"/>
  <c r="L37" i="1"/>
  <c r="M37" i="1"/>
  <c r="N37" i="1" s="1"/>
  <c r="V37" i="1"/>
  <c r="Y37" i="1"/>
  <c r="Z37" i="1"/>
  <c r="AB37" i="1"/>
  <c r="AC37" i="1"/>
  <c r="AD37" i="1"/>
  <c r="T37" i="1" s="1"/>
  <c r="AE37" i="1"/>
  <c r="AF37" i="1"/>
  <c r="K38" i="1"/>
  <c r="L38" i="1"/>
  <c r="M38" i="1"/>
  <c r="N38" i="1" s="1"/>
  <c r="V38" i="1"/>
  <c r="Y38" i="1"/>
  <c r="Z38" i="1"/>
  <c r="AB38" i="1"/>
  <c r="AC38" i="1"/>
  <c r="AD38" i="1"/>
  <c r="T38" i="1" s="1"/>
  <c r="AE38" i="1"/>
  <c r="AF38" i="1"/>
  <c r="K39" i="1"/>
  <c r="L39" i="1"/>
  <c r="M39" i="1"/>
  <c r="N39" i="1" s="1"/>
  <c r="V39" i="1"/>
  <c r="Y39" i="1"/>
  <c r="Z39" i="1"/>
  <c r="AB39" i="1"/>
  <c r="AC39" i="1"/>
  <c r="AD39" i="1"/>
  <c r="AE39" i="1"/>
  <c r="AF39" i="1"/>
  <c r="K40" i="1"/>
  <c r="L40" i="1"/>
  <c r="M40" i="1"/>
  <c r="N40" i="1" s="1"/>
  <c r="V40" i="1"/>
  <c r="Y40" i="1"/>
  <c r="Z40" i="1"/>
  <c r="AB40" i="1"/>
  <c r="AC40" i="1"/>
  <c r="AD40" i="1"/>
  <c r="AG40" i="1" s="1"/>
  <c r="AE40" i="1"/>
  <c r="AF40" i="1"/>
  <c r="K41" i="1"/>
  <c r="L41" i="1"/>
  <c r="M41" i="1"/>
  <c r="N41" i="1" s="1"/>
  <c r="V41" i="1"/>
  <c r="Y41" i="1"/>
  <c r="Z41" i="1"/>
  <c r="AB41" i="1"/>
  <c r="AC41" i="1"/>
  <c r="AD41" i="1"/>
  <c r="T41" i="1" s="1"/>
  <c r="AE41" i="1"/>
  <c r="AF41" i="1"/>
  <c r="K42" i="1"/>
  <c r="L42" i="1"/>
  <c r="M42" i="1"/>
  <c r="N42" i="1" s="1"/>
  <c r="V42" i="1"/>
  <c r="Q17" i="3" s="1"/>
  <c r="Y42" i="1"/>
  <c r="Z42" i="1"/>
  <c r="AB42" i="1"/>
  <c r="AC42" i="1"/>
  <c r="AD42" i="1"/>
  <c r="AG42" i="1" s="1"/>
  <c r="AE42" i="1"/>
  <c r="P17" i="3" s="1"/>
  <c r="AF42" i="1"/>
  <c r="K43" i="1"/>
  <c r="L43" i="1"/>
  <c r="M43" i="1"/>
  <c r="N43" i="1" s="1"/>
  <c r="V43" i="1"/>
  <c r="Y43" i="1"/>
  <c r="Z43" i="1"/>
  <c r="AB43" i="1"/>
  <c r="AC43" i="1"/>
  <c r="AD43" i="1"/>
  <c r="AG43" i="1" s="1"/>
  <c r="AE43" i="1"/>
  <c r="AF43" i="1"/>
  <c r="K44" i="1"/>
  <c r="L44" i="1"/>
  <c r="M44" i="1"/>
  <c r="N44" i="1" s="1"/>
  <c r="V44" i="1"/>
  <c r="Y44" i="1"/>
  <c r="Z44" i="1"/>
  <c r="AB44" i="1"/>
  <c r="AC44" i="1"/>
  <c r="AD44" i="1"/>
  <c r="AG44" i="1" s="1"/>
  <c r="AE44" i="1"/>
  <c r="AF44" i="1"/>
  <c r="K45" i="1"/>
  <c r="L45" i="1"/>
  <c r="M45" i="1"/>
  <c r="N45" i="1" s="1"/>
  <c r="V45" i="1"/>
  <c r="Y45" i="1"/>
  <c r="Z45" i="1"/>
  <c r="AB45" i="1"/>
  <c r="AC45" i="1"/>
  <c r="AD45" i="1"/>
  <c r="T45" i="1" s="1"/>
  <c r="AE45" i="1"/>
  <c r="AF45" i="1"/>
  <c r="K46" i="1"/>
  <c r="L46" i="1"/>
  <c r="M46" i="1"/>
  <c r="N46" i="1" s="1"/>
  <c r="V46" i="1"/>
  <c r="Q35" i="3" s="1"/>
  <c r="Y46" i="1"/>
  <c r="Z46" i="1"/>
  <c r="AB46" i="1"/>
  <c r="AC46" i="1"/>
  <c r="AD46" i="1"/>
  <c r="T46" i="1" s="1"/>
  <c r="AE46" i="1"/>
  <c r="P35" i="3" s="1"/>
  <c r="AF46" i="1"/>
  <c r="K47" i="1"/>
  <c r="L47" i="1"/>
  <c r="M47" i="1"/>
  <c r="N47" i="1" s="1"/>
  <c r="V47" i="1"/>
  <c r="Y47" i="1"/>
  <c r="Z47" i="1"/>
  <c r="AB47" i="1"/>
  <c r="AC47" i="1"/>
  <c r="AD47" i="1"/>
  <c r="AG47" i="1" s="1"/>
  <c r="AE47" i="1"/>
  <c r="AF47" i="1"/>
  <c r="K48" i="1"/>
  <c r="L48" i="1"/>
  <c r="M48" i="1"/>
  <c r="N48" i="1" s="1"/>
  <c r="V48" i="1"/>
  <c r="Y48" i="1"/>
  <c r="Z48" i="1"/>
  <c r="AB48" i="1"/>
  <c r="AC48" i="1"/>
  <c r="AD48" i="1"/>
  <c r="AE48" i="1"/>
  <c r="AF48" i="1"/>
  <c r="K49" i="1"/>
  <c r="L49" i="1"/>
  <c r="M49" i="1"/>
  <c r="N49" i="1" s="1"/>
  <c r="V49" i="1"/>
  <c r="Y49" i="1"/>
  <c r="Z49" i="1"/>
  <c r="AB49" i="1"/>
  <c r="AC49" i="1"/>
  <c r="AD49" i="1"/>
  <c r="T49" i="1" s="1"/>
  <c r="AE49" i="1"/>
  <c r="AF49" i="1"/>
  <c r="K50" i="1"/>
  <c r="L50" i="1"/>
  <c r="M50" i="1"/>
  <c r="N50" i="1" s="1"/>
  <c r="V50" i="1"/>
  <c r="Y50" i="1"/>
  <c r="Z50" i="1"/>
  <c r="AB50" i="1"/>
  <c r="AC50" i="1"/>
  <c r="AD50" i="1"/>
  <c r="T50" i="1" s="1"/>
  <c r="AE50" i="1"/>
  <c r="AF50" i="1"/>
  <c r="K51" i="1"/>
  <c r="L51" i="1"/>
  <c r="M51" i="1"/>
  <c r="N51" i="1" s="1"/>
  <c r="V51" i="1"/>
  <c r="Y51" i="1"/>
  <c r="Z51" i="1"/>
  <c r="AB51" i="1"/>
  <c r="AC51" i="1"/>
  <c r="AD51" i="1"/>
  <c r="AG51" i="1" s="1"/>
  <c r="AE51" i="1"/>
  <c r="AF51" i="1"/>
  <c r="K52" i="1"/>
  <c r="L52" i="1"/>
  <c r="M52" i="1"/>
  <c r="N52" i="1" s="1"/>
  <c r="V52" i="1"/>
  <c r="Y52" i="1"/>
  <c r="Z52" i="1"/>
  <c r="AB52" i="1"/>
  <c r="AC52" i="1"/>
  <c r="AD52" i="1"/>
  <c r="AG52" i="1" s="1"/>
  <c r="AE52" i="1"/>
  <c r="AF52" i="1"/>
  <c r="K53" i="1"/>
  <c r="L53" i="1"/>
  <c r="M53" i="1"/>
  <c r="N53" i="1" s="1"/>
  <c r="V53" i="1"/>
  <c r="Q26" i="3" s="1"/>
  <c r="Y53" i="1"/>
  <c r="Z53" i="1"/>
  <c r="AB53" i="1"/>
  <c r="AC53" i="1"/>
  <c r="AD53" i="1"/>
  <c r="AE53" i="1"/>
  <c r="P26" i="3" s="1"/>
  <c r="AF53" i="1"/>
  <c r="K54" i="1"/>
  <c r="L54" i="1"/>
  <c r="M54" i="1"/>
  <c r="N54" i="1" s="1"/>
  <c r="V54" i="1"/>
  <c r="Y54" i="1"/>
  <c r="Z54" i="1"/>
  <c r="AB54" i="1"/>
  <c r="AC54" i="1"/>
  <c r="AD54" i="1"/>
  <c r="T54" i="1" s="1"/>
  <c r="AE54" i="1"/>
  <c r="AF54" i="1"/>
  <c r="K55" i="1"/>
  <c r="L55" i="1"/>
  <c r="M55" i="1"/>
  <c r="N55" i="1" s="1"/>
  <c r="V55" i="1"/>
  <c r="Y55" i="1"/>
  <c r="Z55" i="1"/>
  <c r="AB55" i="1"/>
  <c r="AC55" i="1"/>
  <c r="AD55" i="1"/>
  <c r="AE55" i="1"/>
  <c r="AF55" i="1"/>
  <c r="K56" i="1"/>
  <c r="L56" i="1"/>
  <c r="M56" i="1"/>
  <c r="N56" i="1" s="1"/>
  <c r="V56" i="1"/>
  <c r="Y56" i="1"/>
  <c r="Z56" i="1"/>
  <c r="AA56" i="1" s="1"/>
  <c r="AB56" i="1"/>
  <c r="AC56" i="1"/>
  <c r="AD56" i="1"/>
  <c r="T56" i="1" s="1"/>
  <c r="AE56" i="1"/>
  <c r="AF56" i="1"/>
  <c r="AG56" i="1"/>
  <c r="K57" i="1"/>
  <c r="L57" i="1"/>
  <c r="M57" i="1"/>
  <c r="N57" i="1" s="1"/>
  <c r="V57" i="1"/>
  <c r="Y57" i="1"/>
  <c r="Z57" i="1"/>
  <c r="AB57" i="1"/>
  <c r="AC57" i="1"/>
  <c r="AD57" i="1"/>
  <c r="AE57" i="1"/>
  <c r="AF57" i="1"/>
  <c r="K58" i="1"/>
  <c r="L58" i="1"/>
  <c r="M58" i="1"/>
  <c r="N58" i="1" s="1"/>
  <c r="V58" i="1"/>
  <c r="Y58" i="1"/>
  <c r="Z58" i="1"/>
  <c r="AB58" i="1"/>
  <c r="AC58" i="1"/>
  <c r="AD58" i="1"/>
  <c r="T58" i="1" s="1"/>
  <c r="AE58" i="1"/>
  <c r="AF58" i="1"/>
  <c r="K59" i="1"/>
  <c r="L59" i="1"/>
  <c r="M59" i="1"/>
  <c r="N59" i="1" s="1"/>
  <c r="V59" i="1"/>
  <c r="Q28" i="3" s="1"/>
  <c r="Y59" i="1"/>
  <c r="Z59" i="1"/>
  <c r="AB59" i="1"/>
  <c r="AC59" i="1"/>
  <c r="AD59" i="1"/>
  <c r="AE59" i="1"/>
  <c r="P28" i="3" s="1"/>
  <c r="AF59" i="1"/>
  <c r="K60" i="1"/>
  <c r="L60" i="1"/>
  <c r="M60" i="1"/>
  <c r="N60" i="1" s="1"/>
  <c r="V60" i="1"/>
  <c r="Y60" i="1"/>
  <c r="Z60" i="1"/>
  <c r="AB60" i="1"/>
  <c r="AC60" i="1"/>
  <c r="AD60" i="1"/>
  <c r="AE60" i="1"/>
  <c r="AF60" i="1"/>
  <c r="K61" i="1"/>
  <c r="L61" i="1"/>
  <c r="M61" i="1"/>
  <c r="N61" i="1" s="1"/>
  <c r="V61" i="1"/>
  <c r="Y61" i="1"/>
  <c r="Z61" i="1"/>
  <c r="AB61" i="1"/>
  <c r="AC61" i="1"/>
  <c r="AD61" i="1"/>
  <c r="AE61" i="1"/>
  <c r="AF61" i="1"/>
  <c r="K62" i="1"/>
  <c r="L62" i="1"/>
  <c r="M62" i="1"/>
  <c r="N62" i="1" s="1"/>
  <c r="V62" i="1"/>
  <c r="Y62" i="1"/>
  <c r="Z62" i="1"/>
  <c r="AB62" i="1"/>
  <c r="AC62" i="1"/>
  <c r="AD62" i="1"/>
  <c r="T62" i="1" s="1"/>
  <c r="AE62" i="1"/>
  <c r="AF62" i="1"/>
  <c r="K63" i="1"/>
  <c r="L63" i="1"/>
  <c r="M63" i="1"/>
  <c r="N63" i="1" s="1"/>
  <c r="V63" i="1"/>
  <c r="Y63" i="1"/>
  <c r="Z63" i="1"/>
  <c r="AB63" i="1"/>
  <c r="AC63" i="1"/>
  <c r="AD63" i="1"/>
  <c r="AE63" i="1"/>
  <c r="AF63" i="1"/>
  <c r="K64" i="1"/>
  <c r="L64" i="1"/>
  <c r="M64" i="1"/>
  <c r="N64" i="1" s="1"/>
  <c r="V64" i="1"/>
  <c r="Y64" i="1"/>
  <c r="Z64" i="1"/>
  <c r="AB64" i="1"/>
  <c r="AC64" i="1"/>
  <c r="AD64" i="1"/>
  <c r="AE64" i="1"/>
  <c r="AF64" i="1"/>
  <c r="K65" i="1"/>
  <c r="L65" i="1"/>
  <c r="M65" i="1"/>
  <c r="N65" i="1" s="1"/>
  <c r="V65" i="1"/>
  <c r="Y65" i="1"/>
  <c r="Z65" i="1"/>
  <c r="AB65" i="1"/>
  <c r="AC65" i="1"/>
  <c r="AD65" i="1"/>
  <c r="AE65" i="1"/>
  <c r="AF65" i="1"/>
  <c r="K66" i="1"/>
  <c r="L66" i="1"/>
  <c r="M66" i="1"/>
  <c r="N66" i="1" s="1"/>
  <c r="V66" i="1"/>
  <c r="Y66" i="1"/>
  <c r="Z66" i="1"/>
  <c r="AB66" i="1"/>
  <c r="AC66" i="1"/>
  <c r="AD66" i="1"/>
  <c r="AE66" i="1"/>
  <c r="AF66" i="1"/>
  <c r="K67" i="1"/>
  <c r="L67" i="1"/>
  <c r="M67" i="1"/>
  <c r="N67" i="1" s="1"/>
  <c r="V67" i="1"/>
  <c r="Y67" i="1"/>
  <c r="Z67" i="1"/>
  <c r="AB67" i="1"/>
  <c r="AC67" i="1"/>
  <c r="AD67" i="1"/>
  <c r="T67" i="1" s="1"/>
  <c r="AE67" i="1"/>
  <c r="AF67" i="1"/>
  <c r="K68" i="1"/>
  <c r="L68" i="1"/>
  <c r="M68" i="1"/>
  <c r="N68" i="1" s="1"/>
  <c r="V68" i="1"/>
  <c r="Y68" i="1"/>
  <c r="Z68" i="1"/>
  <c r="AB68" i="1"/>
  <c r="AC68" i="1"/>
  <c r="AD68" i="1"/>
  <c r="AE68" i="1"/>
  <c r="AF68" i="1"/>
  <c r="K69" i="1"/>
  <c r="L69" i="1"/>
  <c r="M69" i="1"/>
  <c r="N69" i="1" s="1"/>
  <c r="V69" i="1"/>
  <c r="Y69" i="1"/>
  <c r="Z69" i="1"/>
  <c r="AB69" i="1"/>
  <c r="AC69" i="1"/>
  <c r="AD69" i="1"/>
  <c r="AE69" i="1"/>
  <c r="AF69" i="1"/>
  <c r="K70" i="1"/>
  <c r="L70" i="1"/>
  <c r="M70" i="1"/>
  <c r="N70" i="1" s="1"/>
  <c r="V70" i="1"/>
  <c r="Q36" i="3" s="1"/>
  <c r="Y70" i="1"/>
  <c r="Z70" i="1"/>
  <c r="AB70" i="1"/>
  <c r="AC70" i="1"/>
  <c r="AD70" i="1"/>
  <c r="AE70" i="1"/>
  <c r="P36" i="3" s="1"/>
  <c r="AF70" i="1"/>
  <c r="K71" i="1"/>
  <c r="L71" i="1"/>
  <c r="M71" i="1"/>
  <c r="N71" i="1" s="1"/>
  <c r="V71" i="1"/>
  <c r="Q12" i="3" s="1"/>
  <c r="Y71" i="1"/>
  <c r="Z71" i="1"/>
  <c r="AB71" i="1"/>
  <c r="AC71" i="1"/>
  <c r="AD71" i="1"/>
  <c r="AE71" i="1"/>
  <c r="P12" i="3" s="1"/>
  <c r="AF71" i="1"/>
  <c r="K72" i="1"/>
  <c r="L72" i="1"/>
  <c r="M72" i="1"/>
  <c r="N72" i="1" s="1"/>
  <c r="V72" i="1"/>
  <c r="Y72" i="1"/>
  <c r="Z72" i="1"/>
  <c r="AB72" i="1"/>
  <c r="AC72" i="1"/>
  <c r="AD72" i="1"/>
  <c r="T72" i="1" s="1"/>
  <c r="AE72" i="1"/>
  <c r="AF72" i="1"/>
  <c r="K73" i="1"/>
  <c r="L73" i="1"/>
  <c r="M73" i="1"/>
  <c r="N73" i="1" s="1"/>
  <c r="V73" i="1"/>
  <c r="Y73" i="1"/>
  <c r="Z73" i="1"/>
  <c r="AB73" i="1"/>
  <c r="AC73" i="1"/>
  <c r="AD73" i="1"/>
  <c r="AG73" i="1" s="1"/>
  <c r="AE73" i="1"/>
  <c r="AF73" i="1"/>
  <c r="K74" i="1"/>
  <c r="L74" i="1"/>
  <c r="M74" i="1"/>
  <c r="N74" i="1" s="1"/>
  <c r="V74" i="1"/>
  <c r="Y74" i="1"/>
  <c r="Z74" i="1"/>
  <c r="AB74" i="1"/>
  <c r="AC74" i="1"/>
  <c r="AD74" i="1"/>
  <c r="AG74" i="1" s="1"/>
  <c r="AE74" i="1"/>
  <c r="AF74" i="1"/>
  <c r="K75" i="1"/>
  <c r="L75" i="1"/>
  <c r="M75" i="1"/>
  <c r="N75" i="1" s="1"/>
  <c r="V75" i="1"/>
  <c r="Q29" i="3" s="1"/>
  <c r="Y75" i="1"/>
  <c r="Z75" i="1"/>
  <c r="AB75" i="1"/>
  <c r="AC75" i="1"/>
  <c r="AD75" i="1"/>
  <c r="T75" i="1" s="1"/>
  <c r="AE75" i="1"/>
  <c r="P29" i="3" s="1"/>
  <c r="AF75" i="1"/>
  <c r="K76" i="1"/>
  <c r="L76" i="1"/>
  <c r="M76" i="1"/>
  <c r="N76" i="1" s="1"/>
  <c r="V76" i="1"/>
  <c r="Y76" i="1"/>
  <c r="Z76" i="1"/>
  <c r="AB76" i="1"/>
  <c r="AC76" i="1"/>
  <c r="AD76" i="1"/>
  <c r="AE76" i="1"/>
  <c r="AF76" i="1"/>
  <c r="K77" i="1"/>
  <c r="L77" i="1"/>
  <c r="M77" i="1"/>
  <c r="N77" i="1" s="1"/>
  <c r="V77" i="1"/>
  <c r="Y77" i="1"/>
  <c r="Z77" i="1"/>
  <c r="AB77" i="1"/>
  <c r="AC77" i="1"/>
  <c r="AD77" i="1"/>
  <c r="AE77" i="1"/>
  <c r="AF77" i="1"/>
  <c r="K78" i="1"/>
  <c r="L78" i="1"/>
  <c r="M78" i="1"/>
  <c r="N78" i="1" s="1"/>
  <c r="V78" i="1"/>
  <c r="Y78" i="1"/>
  <c r="Z78" i="1"/>
  <c r="AB78" i="1"/>
  <c r="AC78" i="1"/>
  <c r="AD78" i="1"/>
  <c r="AE78" i="1"/>
  <c r="AF78" i="1"/>
  <c r="K79" i="1"/>
  <c r="L79" i="1"/>
  <c r="M79" i="1"/>
  <c r="N79" i="1" s="1"/>
  <c r="V79" i="1"/>
  <c r="Y79" i="1"/>
  <c r="Z79" i="1"/>
  <c r="AB79" i="1"/>
  <c r="AC79" i="1"/>
  <c r="AD79" i="1"/>
  <c r="AE79" i="1"/>
  <c r="AF79" i="1"/>
  <c r="K80" i="1"/>
  <c r="L80" i="1"/>
  <c r="M80" i="1"/>
  <c r="N80" i="1" s="1"/>
  <c r="V80" i="1"/>
  <c r="Y80" i="1"/>
  <c r="Z80" i="1"/>
  <c r="AB80" i="1"/>
  <c r="AC80" i="1"/>
  <c r="AD80" i="1"/>
  <c r="AG80" i="1" s="1"/>
  <c r="AE80" i="1"/>
  <c r="AF80" i="1"/>
  <c r="K81" i="1"/>
  <c r="L81" i="1"/>
  <c r="M81" i="1"/>
  <c r="N81" i="1" s="1"/>
  <c r="V81" i="1"/>
  <c r="Y81" i="1"/>
  <c r="Z81" i="1"/>
  <c r="AB81" i="1"/>
  <c r="AC81" i="1"/>
  <c r="AD81" i="1"/>
  <c r="AG81" i="1" s="1"/>
  <c r="AE81" i="1"/>
  <c r="AF81" i="1"/>
  <c r="K82" i="1"/>
  <c r="L82" i="1"/>
  <c r="M82" i="1"/>
  <c r="N82" i="1" s="1"/>
  <c r="V82" i="1"/>
  <c r="Q37" i="3" s="1"/>
  <c r="Y82" i="1"/>
  <c r="Z82" i="1"/>
  <c r="AB82" i="1"/>
  <c r="AC82" i="1"/>
  <c r="AD82" i="1"/>
  <c r="AE82" i="1"/>
  <c r="P37" i="3" s="1"/>
  <c r="AF82" i="1"/>
  <c r="K83" i="1"/>
  <c r="L83" i="1"/>
  <c r="M83" i="1"/>
  <c r="N83" i="1" s="1"/>
  <c r="V83" i="1"/>
  <c r="Q30" i="3" s="1"/>
  <c r="Y83" i="1"/>
  <c r="Z83" i="1"/>
  <c r="AB83" i="1"/>
  <c r="AC83" i="1"/>
  <c r="AD83" i="1"/>
  <c r="T83" i="1" s="1"/>
  <c r="AE83" i="1"/>
  <c r="P30" i="3" s="1"/>
  <c r="AF83" i="1"/>
  <c r="K84" i="1"/>
  <c r="L84" i="1"/>
  <c r="M84" i="1"/>
  <c r="N84" i="1" s="1"/>
  <c r="V84" i="1"/>
  <c r="Y84" i="1"/>
  <c r="Z84" i="1"/>
  <c r="AB84" i="1"/>
  <c r="AC84" i="1"/>
  <c r="AD84" i="1"/>
  <c r="AE84" i="1"/>
  <c r="AF84" i="1"/>
  <c r="K85" i="1"/>
  <c r="L85" i="1"/>
  <c r="M85" i="1"/>
  <c r="N85" i="1" s="1"/>
  <c r="V85" i="1"/>
  <c r="Y85" i="1"/>
  <c r="Z85" i="1"/>
  <c r="AB85" i="1"/>
  <c r="AC85" i="1"/>
  <c r="AD85" i="1"/>
  <c r="AE85" i="1"/>
  <c r="AF85" i="1"/>
  <c r="K86" i="1"/>
  <c r="L86" i="1"/>
  <c r="M86" i="1"/>
  <c r="N86" i="1" s="1"/>
  <c r="V86" i="1"/>
  <c r="Y86" i="1"/>
  <c r="Z86" i="1"/>
  <c r="AB86" i="1"/>
  <c r="AC86" i="1"/>
  <c r="AD86" i="1"/>
  <c r="AE86" i="1"/>
  <c r="AF86" i="1"/>
  <c r="K87" i="1"/>
  <c r="L87" i="1"/>
  <c r="M87" i="1"/>
  <c r="N87" i="1" s="1"/>
  <c r="V87" i="1"/>
  <c r="Y87" i="1"/>
  <c r="Z87" i="1"/>
  <c r="AB87" i="1"/>
  <c r="AC87" i="1"/>
  <c r="AD87" i="1"/>
  <c r="AE87" i="1"/>
  <c r="AF87" i="1"/>
  <c r="K88" i="1"/>
  <c r="L88" i="1"/>
  <c r="M88" i="1"/>
  <c r="N88" i="1" s="1"/>
  <c r="V88" i="1"/>
  <c r="Y88" i="1"/>
  <c r="Z88" i="1"/>
  <c r="AB88" i="1"/>
  <c r="AC88" i="1"/>
  <c r="AD88" i="1"/>
  <c r="T88" i="1" s="1"/>
  <c r="AE88" i="1"/>
  <c r="AF88" i="1"/>
  <c r="K89" i="1"/>
  <c r="L89" i="1"/>
  <c r="M89" i="1"/>
  <c r="N89" i="1" s="1"/>
  <c r="V89" i="1"/>
  <c r="Y89" i="1"/>
  <c r="Z89" i="1"/>
  <c r="AB89" i="1"/>
  <c r="AC89" i="1"/>
  <c r="AD89" i="1"/>
  <c r="AG89" i="1" s="1"/>
  <c r="AE89" i="1"/>
  <c r="AF89" i="1"/>
  <c r="K90" i="1"/>
  <c r="L90" i="1"/>
  <c r="M90" i="1"/>
  <c r="N90" i="1" s="1"/>
  <c r="V90" i="1"/>
  <c r="Y90" i="1"/>
  <c r="Z90" i="1"/>
  <c r="AB90" i="1"/>
  <c r="AC90" i="1"/>
  <c r="AD90" i="1"/>
  <c r="AG90" i="1" s="1"/>
  <c r="AE90" i="1"/>
  <c r="AF90" i="1"/>
  <c r="K91" i="1"/>
  <c r="L91" i="1"/>
  <c r="M91" i="1"/>
  <c r="N91" i="1" s="1"/>
  <c r="V91" i="1"/>
  <c r="Q10" i="3" s="1"/>
  <c r="Y91" i="1"/>
  <c r="Z91" i="1"/>
  <c r="AB91" i="1"/>
  <c r="AC91" i="1"/>
  <c r="AD91" i="1"/>
  <c r="T91" i="1" s="1"/>
  <c r="AE91" i="1"/>
  <c r="P10" i="3" s="1"/>
  <c r="AF91" i="1"/>
  <c r="K92" i="1"/>
  <c r="L92" i="1"/>
  <c r="M92" i="1"/>
  <c r="N92" i="1" s="1"/>
  <c r="V92" i="1"/>
  <c r="Y92" i="1"/>
  <c r="Z92" i="1"/>
  <c r="AB92" i="1"/>
  <c r="AC92" i="1"/>
  <c r="AD92" i="1"/>
  <c r="AE92" i="1"/>
  <c r="AF92" i="1"/>
  <c r="K93" i="1"/>
  <c r="L93" i="1"/>
  <c r="M93" i="1"/>
  <c r="N93" i="1" s="1"/>
  <c r="V93" i="1"/>
  <c r="Y93" i="1"/>
  <c r="Z93" i="1"/>
  <c r="AB93" i="1"/>
  <c r="AC93" i="1"/>
  <c r="AD93" i="1"/>
  <c r="AE93" i="1"/>
  <c r="AF93" i="1"/>
  <c r="K94" i="1"/>
  <c r="L94" i="1"/>
  <c r="M94" i="1"/>
  <c r="N94" i="1" s="1"/>
  <c r="V94" i="1"/>
  <c r="Y94" i="1"/>
  <c r="Z94" i="1"/>
  <c r="AB94" i="1"/>
  <c r="AC94" i="1"/>
  <c r="AD94" i="1"/>
  <c r="AE94" i="1"/>
  <c r="AF94" i="1"/>
  <c r="K95" i="1"/>
  <c r="L95" i="1"/>
  <c r="M95" i="1"/>
  <c r="N95" i="1" s="1"/>
  <c r="V95" i="1"/>
  <c r="Q31" i="3" s="1"/>
  <c r="Y95" i="1"/>
  <c r="Z95" i="1"/>
  <c r="AB95" i="1"/>
  <c r="AC95" i="1"/>
  <c r="AD95" i="1"/>
  <c r="AE95" i="1"/>
  <c r="P31" i="3" s="1"/>
  <c r="AF95" i="1"/>
  <c r="K96" i="1"/>
  <c r="L96" i="1"/>
  <c r="M96" i="1"/>
  <c r="N96" i="1" s="1"/>
  <c r="V96" i="1"/>
  <c r="Y96" i="1"/>
  <c r="Z96" i="1"/>
  <c r="AB96" i="1"/>
  <c r="AC96" i="1"/>
  <c r="AD96" i="1"/>
  <c r="AG96" i="1" s="1"/>
  <c r="AE96" i="1"/>
  <c r="AF96" i="1"/>
  <c r="K97" i="1"/>
  <c r="L97" i="1"/>
  <c r="M97" i="1"/>
  <c r="N97" i="1" s="1"/>
  <c r="V97" i="1"/>
  <c r="Y97" i="1"/>
  <c r="Z97" i="1"/>
  <c r="AB97" i="1"/>
  <c r="AC97" i="1"/>
  <c r="AD97" i="1"/>
  <c r="AG97" i="1" s="1"/>
  <c r="AE97" i="1"/>
  <c r="AF97" i="1"/>
  <c r="K98" i="1"/>
  <c r="L98" i="1"/>
  <c r="M98" i="1"/>
  <c r="N98" i="1" s="1"/>
  <c r="V98" i="1"/>
  <c r="Y98" i="1"/>
  <c r="Z98" i="1"/>
  <c r="AB98" i="1"/>
  <c r="AC98" i="1"/>
  <c r="AD98" i="1"/>
  <c r="AG98" i="1" s="1"/>
  <c r="AE98" i="1"/>
  <c r="AF98" i="1"/>
  <c r="K99" i="1"/>
  <c r="L99" i="1"/>
  <c r="M99" i="1"/>
  <c r="N99" i="1" s="1"/>
  <c r="V99" i="1"/>
  <c r="Y99" i="1"/>
  <c r="Z99" i="1"/>
  <c r="AB99" i="1"/>
  <c r="AC99" i="1"/>
  <c r="AD99" i="1"/>
  <c r="T99" i="1" s="1"/>
  <c r="AE99" i="1"/>
  <c r="AF99" i="1"/>
  <c r="K100" i="1"/>
  <c r="L100" i="1"/>
  <c r="M100" i="1"/>
  <c r="N100" i="1" s="1"/>
  <c r="V100" i="1"/>
  <c r="Q21" i="3" s="1"/>
  <c r="Y100" i="1"/>
  <c r="Z100" i="1"/>
  <c r="AB100" i="1"/>
  <c r="AC100" i="1"/>
  <c r="AD100" i="1"/>
  <c r="AE100" i="1"/>
  <c r="P21" i="3" s="1"/>
  <c r="AF100" i="1"/>
  <c r="K101" i="1"/>
  <c r="L101" i="1"/>
  <c r="M101" i="1"/>
  <c r="N101" i="1" s="1"/>
  <c r="V101" i="1"/>
  <c r="Q14" i="3" s="1"/>
  <c r="Y101" i="1"/>
  <c r="Z101" i="1"/>
  <c r="AB101" i="1"/>
  <c r="AC101" i="1"/>
  <c r="AD101" i="1"/>
  <c r="AG101" i="1" s="1"/>
  <c r="AE101" i="1"/>
  <c r="P14" i="3" s="1"/>
  <c r="AF101" i="1"/>
  <c r="K102" i="1"/>
  <c r="L102" i="1"/>
  <c r="M102" i="1"/>
  <c r="N102" i="1" s="1"/>
  <c r="V102" i="1"/>
  <c r="Y102" i="1"/>
  <c r="Z102" i="1"/>
  <c r="AB102" i="1"/>
  <c r="AC102" i="1"/>
  <c r="AD102" i="1"/>
  <c r="AE102" i="1"/>
  <c r="AF102" i="1"/>
  <c r="K103" i="1"/>
  <c r="L103" i="1"/>
  <c r="M103" i="1"/>
  <c r="N103" i="1" s="1"/>
  <c r="V103" i="1"/>
  <c r="Y103" i="1"/>
  <c r="Z103" i="1"/>
  <c r="AB103" i="1"/>
  <c r="AC103" i="1"/>
  <c r="AD103" i="1"/>
  <c r="AE103" i="1"/>
  <c r="AF103" i="1"/>
  <c r="K104" i="1"/>
  <c r="L104" i="1"/>
  <c r="M104" i="1"/>
  <c r="N104" i="1" s="1"/>
  <c r="V104" i="1"/>
  <c r="Y104" i="1"/>
  <c r="Z104" i="1"/>
  <c r="AB104" i="1"/>
  <c r="AC104" i="1"/>
  <c r="AD104" i="1"/>
  <c r="AG104" i="1" s="1"/>
  <c r="AE104" i="1"/>
  <c r="AF104" i="1"/>
  <c r="K105" i="1"/>
  <c r="L105" i="1"/>
  <c r="M105" i="1"/>
  <c r="N105" i="1" s="1"/>
  <c r="V105" i="1"/>
  <c r="Y105" i="1"/>
  <c r="Z105" i="1"/>
  <c r="AB105" i="1"/>
  <c r="AC105" i="1"/>
  <c r="AD105" i="1"/>
  <c r="AG105" i="1" s="1"/>
  <c r="AE105" i="1"/>
  <c r="AF105" i="1"/>
  <c r="K106" i="1"/>
  <c r="L106" i="1"/>
  <c r="M106" i="1"/>
  <c r="N106" i="1" s="1"/>
  <c r="V106" i="1"/>
  <c r="Y106" i="1"/>
  <c r="Z106" i="1"/>
  <c r="AB106" i="1"/>
  <c r="AC106" i="1"/>
  <c r="AD106" i="1"/>
  <c r="AG106" i="1" s="1"/>
  <c r="AE106" i="1"/>
  <c r="AF106" i="1"/>
  <c r="K107" i="1"/>
  <c r="L107" i="1"/>
  <c r="M107" i="1"/>
  <c r="N107" i="1" s="1"/>
  <c r="V107" i="1"/>
  <c r="Y107" i="1"/>
  <c r="Z107" i="1"/>
  <c r="AB107" i="1"/>
  <c r="AC107" i="1"/>
  <c r="AD107" i="1"/>
  <c r="T107" i="1" s="1"/>
  <c r="AE107" i="1"/>
  <c r="AF107" i="1"/>
  <c r="K108" i="1"/>
  <c r="L108" i="1"/>
  <c r="M108" i="1"/>
  <c r="N108" i="1" s="1"/>
  <c r="V108" i="1"/>
  <c r="Q22" i="3" s="1"/>
  <c r="Y108" i="1"/>
  <c r="Z108" i="1"/>
  <c r="AB108" i="1"/>
  <c r="AC108" i="1"/>
  <c r="AD108" i="1"/>
  <c r="AE108" i="1"/>
  <c r="P22" i="3" s="1"/>
  <c r="AF108" i="1"/>
  <c r="K109" i="1"/>
  <c r="L109" i="1"/>
  <c r="M109" i="1"/>
  <c r="N109" i="1" s="1"/>
  <c r="V109" i="1"/>
  <c r="Y109" i="1"/>
  <c r="Z109" i="1"/>
  <c r="AB109" i="1"/>
  <c r="AC109" i="1"/>
  <c r="AD109" i="1"/>
  <c r="AE109" i="1"/>
  <c r="AF109" i="1"/>
  <c r="K110" i="1"/>
  <c r="L110" i="1"/>
  <c r="M110" i="1"/>
  <c r="N110" i="1" s="1"/>
  <c r="V110" i="1"/>
  <c r="Y110" i="1"/>
  <c r="Z110" i="1"/>
  <c r="AB110" i="1"/>
  <c r="AC110" i="1"/>
  <c r="AD110" i="1"/>
  <c r="AG110" i="1" s="1"/>
  <c r="AE110" i="1"/>
  <c r="AF110" i="1"/>
  <c r="K111" i="1"/>
  <c r="L111" i="1"/>
  <c r="M111" i="1"/>
  <c r="N111" i="1" s="1"/>
  <c r="V111" i="1"/>
  <c r="Y111" i="1"/>
  <c r="Z111" i="1"/>
  <c r="AB111" i="1"/>
  <c r="AC111" i="1"/>
  <c r="AD111" i="1"/>
  <c r="AG111" i="1" s="1"/>
  <c r="AE111" i="1"/>
  <c r="AF111" i="1"/>
  <c r="K112" i="1"/>
  <c r="L112" i="1"/>
  <c r="M112" i="1"/>
  <c r="N112" i="1" s="1"/>
  <c r="V112" i="1"/>
  <c r="Y112" i="1"/>
  <c r="Z112" i="1"/>
  <c r="AB112" i="1"/>
  <c r="AC112" i="1"/>
  <c r="AD112" i="1"/>
  <c r="T112" i="1" s="1"/>
  <c r="AE112" i="1"/>
  <c r="AF112" i="1"/>
  <c r="K113" i="1"/>
  <c r="L113" i="1"/>
  <c r="M113" i="1"/>
  <c r="N113" i="1" s="1"/>
  <c r="V113" i="1"/>
  <c r="Y113" i="1"/>
  <c r="Z113" i="1"/>
  <c r="AB113" i="1"/>
  <c r="AC113" i="1"/>
  <c r="AD113" i="1"/>
  <c r="AE113" i="1"/>
  <c r="AF113" i="1"/>
  <c r="K114" i="1"/>
  <c r="L114" i="1"/>
  <c r="M114" i="1"/>
  <c r="N114" i="1" s="1"/>
  <c r="V114" i="1"/>
  <c r="Y114" i="1"/>
  <c r="Z114" i="1"/>
  <c r="AB114" i="1"/>
  <c r="AC114" i="1"/>
  <c r="AD114" i="1"/>
  <c r="AG114" i="1" s="1"/>
  <c r="AE114" i="1"/>
  <c r="AF114" i="1"/>
  <c r="K115" i="1"/>
  <c r="L115" i="1"/>
  <c r="M115" i="1"/>
  <c r="N115" i="1" s="1"/>
  <c r="V115" i="1"/>
  <c r="Y115" i="1"/>
  <c r="Z115" i="1"/>
  <c r="AB115" i="1"/>
  <c r="AC115" i="1"/>
  <c r="AD115" i="1"/>
  <c r="AG115" i="1" s="1"/>
  <c r="AE115" i="1"/>
  <c r="AF115" i="1"/>
  <c r="K116" i="1"/>
  <c r="L116" i="1"/>
  <c r="M116" i="1"/>
  <c r="N116" i="1" s="1"/>
  <c r="V116" i="1"/>
  <c r="Y116" i="1"/>
  <c r="Z116" i="1"/>
  <c r="AB116" i="1"/>
  <c r="AC116" i="1"/>
  <c r="AD116" i="1"/>
  <c r="AG116" i="1" s="1"/>
  <c r="AE116" i="1"/>
  <c r="AF116" i="1"/>
  <c r="K117" i="1"/>
  <c r="L117" i="1"/>
  <c r="M117" i="1"/>
  <c r="N117" i="1" s="1"/>
  <c r="V117" i="1"/>
  <c r="Y117" i="1"/>
  <c r="Z117" i="1"/>
  <c r="AB117" i="1"/>
  <c r="AC117" i="1"/>
  <c r="AD117" i="1"/>
  <c r="AE117" i="1"/>
  <c r="AF117" i="1"/>
  <c r="K118" i="1"/>
  <c r="L118" i="1"/>
  <c r="M118" i="1"/>
  <c r="P118" i="1" s="1"/>
  <c r="V118" i="1"/>
  <c r="Y118" i="1"/>
  <c r="Z118" i="1"/>
  <c r="AB118" i="1"/>
  <c r="AC118" i="1"/>
  <c r="AD118" i="1"/>
  <c r="X118" i="1" s="1"/>
  <c r="AE118" i="1"/>
  <c r="AF118" i="1"/>
  <c r="K119" i="1"/>
  <c r="L119" i="1"/>
  <c r="M119" i="1"/>
  <c r="N119" i="1" s="1"/>
  <c r="V119" i="1"/>
  <c r="Y119" i="1"/>
  <c r="Z119" i="1"/>
  <c r="AB119" i="1"/>
  <c r="AC119" i="1"/>
  <c r="AD119" i="1"/>
  <c r="T119" i="1" s="1"/>
  <c r="AE119" i="1"/>
  <c r="AF119" i="1"/>
  <c r="K120" i="1"/>
  <c r="L120" i="1"/>
  <c r="M120" i="1"/>
  <c r="N120" i="1" s="1"/>
  <c r="V120" i="1"/>
  <c r="Y120" i="1"/>
  <c r="Z120" i="1"/>
  <c r="AB120" i="1"/>
  <c r="AC120" i="1"/>
  <c r="AD120" i="1"/>
  <c r="AG120" i="1" s="1"/>
  <c r="AE120" i="1"/>
  <c r="AF120" i="1"/>
  <c r="K121" i="1"/>
  <c r="L121" i="1"/>
  <c r="M121" i="1"/>
  <c r="N121" i="1" s="1"/>
  <c r="V121" i="1"/>
  <c r="Q19" i="3" s="1"/>
  <c r="Y121" i="1"/>
  <c r="Z121" i="1"/>
  <c r="AB121" i="1"/>
  <c r="AC121" i="1"/>
  <c r="AD121" i="1"/>
  <c r="AG121" i="1" s="1"/>
  <c r="AE121" i="1"/>
  <c r="P19" i="3" s="1"/>
  <c r="AF121" i="1"/>
  <c r="K122" i="1"/>
  <c r="L122" i="1"/>
  <c r="M122" i="1"/>
  <c r="N122" i="1" s="1"/>
  <c r="V122" i="1"/>
  <c r="Y122" i="1"/>
  <c r="Z122" i="1"/>
  <c r="AB122" i="1"/>
  <c r="AC122" i="1"/>
  <c r="AD122" i="1"/>
  <c r="T122" i="1" s="1"/>
  <c r="AE122" i="1"/>
  <c r="AF122" i="1"/>
  <c r="K124" i="1"/>
  <c r="L124" i="1"/>
  <c r="M124" i="1"/>
  <c r="N124" i="1" s="1"/>
  <c r="V124" i="1"/>
  <c r="Y124" i="1"/>
  <c r="Z124" i="1"/>
  <c r="AB124" i="1"/>
  <c r="AC124" i="1"/>
  <c r="AD124" i="1"/>
  <c r="AG124" i="1" s="1"/>
  <c r="AE124" i="1"/>
  <c r="AF124" i="1"/>
  <c r="K125" i="1"/>
  <c r="L125" i="1"/>
  <c r="M125" i="1"/>
  <c r="N125" i="1" s="1"/>
  <c r="V125" i="1"/>
  <c r="Y125" i="1"/>
  <c r="Z125" i="1"/>
  <c r="AB125" i="1"/>
  <c r="AC125" i="1"/>
  <c r="AD125" i="1"/>
  <c r="AG125" i="1" s="1"/>
  <c r="AE125" i="1"/>
  <c r="AF125" i="1"/>
  <c r="K126" i="1"/>
  <c r="L126" i="1"/>
  <c r="M126" i="1"/>
  <c r="N126" i="1" s="1"/>
  <c r="V126" i="1"/>
  <c r="Y126" i="1"/>
  <c r="Z126" i="1"/>
  <c r="AB126" i="1"/>
  <c r="AC126" i="1"/>
  <c r="AD126" i="1"/>
  <c r="AE126" i="1"/>
  <c r="AF126" i="1"/>
  <c r="K127" i="1"/>
  <c r="L127" i="1"/>
  <c r="M127" i="1"/>
  <c r="N127" i="1" s="1"/>
  <c r="V127" i="1"/>
  <c r="Y127" i="1"/>
  <c r="Z127" i="1"/>
  <c r="AB127" i="1"/>
  <c r="AC127" i="1"/>
  <c r="AD127" i="1"/>
  <c r="AE127" i="1"/>
  <c r="AF127" i="1"/>
  <c r="K128" i="1"/>
  <c r="L128" i="1"/>
  <c r="M128" i="1"/>
  <c r="N128" i="1" s="1"/>
  <c r="V128" i="1"/>
  <c r="Y128" i="1"/>
  <c r="Z128" i="1"/>
  <c r="AB128" i="1"/>
  <c r="AC128" i="1"/>
  <c r="AD128" i="1"/>
  <c r="T128" i="1" s="1"/>
  <c r="AE128" i="1"/>
  <c r="AF128" i="1"/>
  <c r="K129" i="1"/>
  <c r="L129" i="1"/>
  <c r="M129" i="1"/>
  <c r="N129" i="1" s="1"/>
  <c r="V129" i="1"/>
  <c r="Y129" i="1"/>
  <c r="Z129" i="1"/>
  <c r="AB129" i="1"/>
  <c r="AC129" i="1"/>
  <c r="AD129" i="1"/>
  <c r="AG129" i="1" s="1"/>
  <c r="AE129" i="1"/>
  <c r="AF129" i="1"/>
  <c r="K130" i="1"/>
  <c r="L130" i="1"/>
  <c r="M130" i="1"/>
  <c r="P130" i="1" s="1"/>
  <c r="V130" i="1"/>
  <c r="Q24" i="3" s="1"/>
  <c r="Y130" i="1"/>
  <c r="Z130" i="1"/>
  <c r="AB130" i="1"/>
  <c r="AC130" i="1"/>
  <c r="AD130" i="1"/>
  <c r="AG130" i="1" s="1"/>
  <c r="AE130" i="1"/>
  <c r="P24" i="3" s="1"/>
  <c r="AF130" i="1"/>
  <c r="K131" i="1"/>
  <c r="L131" i="1"/>
  <c r="M131" i="1"/>
  <c r="V131" i="1"/>
  <c r="Y131" i="1"/>
  <c r="Z131" i="1"/>
  <c r="AB131" i="1"/>
  <c r="AC131" i="1"/>
  <c r="AD131" i="1"/>
  <c r="AE131" i="1"/>
  <c r="AF131" i="1"/>
  <c r="K132" i="1"/>
  <c r="L132" i="1"/>
  <c r="M132" i="1"/>
  <c r="N132" i="1" s="1"/>
  <c r="V132" i="1"/>
  <c r="Y132" i="1"/>
  <c r="Z132" i="1"/>
  <c r="AB132" i="1"/>
  <c r="AC132" i="1"/>
  <c r="AD132" i="1"/>
  <c r="T132" i="1" s="1"/>
  <c r="AE132" i="1"/>
  <c r="AF132" i="1"/>
  <c r="K133" i="1"/>
  <c r="L133" i="1"/>
  <c r="M133" i="1"/>
  <c r="N133" i="1" s="1"/>
  <c r="V133" i="1"/>
  <c r="Y133" i="1"/>
  <c r="Z133" i="1"/>
  <c r="AA133" i="1" s="1"/>
  <c r="AB133" i="1"/>
  <c r="AC133" i="1"/>
  <c r="AD133" i="1"/>
  <c r="AE133" i="1"/>
  <c r="AF133" i="1"/>
  <c r="K134" i="1"/>
  <c r="L134" i="1"/>
  <c r="M134" i="1"/>
  <c r="N134" i="1" s="1"/>
  <c r="V134" i="1"/>
  <c r="Y134" i="1"/>
  <c r="Z134" i="1"/>
  <c r="AB134" i="1"/>
  <c r="AC134" i="1"/>
  <c r="AD134" i="1"/>
  <c r="AE134" i="1"/>
  <c r="AF134" i="1"/>
  <c r="K135" i="1"/>
  <c r="L135" i="1"/>
  <c r="M135" i="1"/>
  <c r="N135" i="1" s="1"/>
  <c r="V135" i="1"/>
  <c r="Y135" i="1"/>
  <c r="Z135" i="1"/>
  <c r="AB135" i="1"/>
  <c r="AC135" i="1"/>
  <c r="AD135" i="1"/>
  <c r="T135" i="1" s="1"/>
  <c r="AE135" i="1"/>
  <c r="AF135" i="1"/>
  <c r="K136" i="1"/>
  <c r="L136" i="1"/>
  <c r="M136" i="1"/>
  <c r="N136" i="1" s="1"/>
  <c r="V136" i="1"/>
  <c r="Y136" i="1"/>
  <c r="Z136" i="1"/>
  <c r="AB136" i="1"/>
  <c r="AC136" i="1"/>
  <c r="AD136" i="1"/>
  <c r="AG136" i="1" s="1"/>
  <c r="AE136" i="1"/>
  <c r="AF136" i="1"/>
  <c r="K137" i="1"/>
  <c r="L137" i="1"/>
  <c r="M137" i="1"/>
  <c r="N137" i="1" s="1"/>
  <c r="V137" i="1"/>
  <c r="Y137" i="1"/>
  <c r="Z137" i="1"/>
  <c r="AB137" i="1"/>
  <c r="AC137" i="1"/>
  <c r="AD137" i="1"/>
  <c r="AG137" i="1" s="1"/>
  <c r="AE137" i="1"/>
  <c r="AF137" i="1"/>
  <c r="K138" i="1"/>
  <c r="L138" i="1"/>
  <c r="M138" i="1"/>
  <c r="N138" i="1" s="1"/>
  <c r="V138" i="1"/>
  <c r="Q32" i="3" s="1"/>
  <c r="Y138" i="1"/>
  <c r="Z138" i="1"/>
  <c r="AB138" i="1"/>
  <c r="AC138" i="1"/>
  <c r="AD138" i="1"/>
  <c r="AG138" i="1" s="1"/>
  <c r="AE138" i="1"/>
  <c r="P32" i="3" s="1"/>
  <c r="AF138" i="1"/>
  <c r="K139" i="1"/>
  <c r="L139" i="1"/>
  <c r="M139" i="1"/>
  <c r="N139" i="1" s="1"/>
  <c r="V139" i="1"/>
  <c r="Q9" i="3" s="1"/>
  <c r="Y139" i="1"/>
  <c r="Z139" i="1"/>
  <c r="AB139" i="1"/>
  <c r="AC139" i="1"/>
  <c r="AD139" i="1"/>
  <c r="AE139" i="1"/>
  <c r="P9" i="3" s="1"/>
  <c r="AF139" i="1"/>
  <c r="K140" i="1"/>
  <c r="L140" i="1"/>
  <c r="M140" i="1"/>
  <c r="N140" i="1" s="1"/>
  <c r="V140" i="1"/>
  <c r="Y140" i="1"/>
  <c r="Z140" i="1"/>
  <c r="AB140" i="1"/>
  <c r="AC140" i="1"/>
  <c r="AD140" i="1"/>
  <c r="AE140" i="1"/>
  <c r="P33" i="3" s="1"/>
  <c r="AF140" i="1"/>
  <c r="K141" i="1"/>
  <c r="L141" i="1"/>
  <c r="M141" i="1"/>
  <c r="N141" i="1" s="1"/>
  <c r="V141" i="1"/>
  <c r="Y141" i="1"/>
  <c r="Z141" i="1"/>
  <c r="AB141" i="1"/>
  <c r="AC141" i="1"/>
  <c r="AD141" i="1"/>
  <c r="AE141" i="1"/>
  <c r="AF141" i="1"/>
  <c r="K142" i="1"/>
  <c r="L142" i="1"/>
  <c r="M142" i="1"/>
  <c r="N142" i="1" s="1"/>
  <c r="V142" i="1"/>
  <c r="Y142" i="1"/>
  <c r="Z142" i="1"/>
  <c r="AB142" i="1"/>
  <c r="AC142" i="1"/>
  <c r="AD142" i="1"/>
  <c r="AE142" i="1"/>
  <c r="AF142" i="1"/>
  <c r="K143" i="1"/>
  <c r="L143" i="1"/>
  <c r="M143" i="1"/>
  <c r="N143" i="1" s="1"/>
  <c r="V143" i="1"/>
  <c r="Y143" i="1"/>
  <c r="Z143" i="1"/>
  <c r="AB143" i="1"/>
  <c r="AC143" i="1"/>
  <c r="AD143" i="1"/>
  <c r="AE143" i="1"/>
  <c r="AF143" i="1"/>
  <c r="K144" i="1"/>
  <c r="L144" i="1"/>
  <c r="M144" i="1"/>
  <c r="P144" i="1" s="1"/>
  <c r="V144" i="1"/>
  <c r="Y144" i="1"/>
  <c r="Z144" i="1"/>
  <c r="AB144" i="1"/>
  <c r="AC144" i="1"/>
  <c r="AD144" i="1"/>
  <c r="AG144" i="1" s="1"/>
  <c r="AE144" i="1"/>
  <c r="AF144" i="1"/>
  <c r="K145" i="1"/>
  <c r="L145" i="1"/>
  <c r="M145" i="1"/>
  <c r="N145" i="1" s="1"/>
  <c r="V145" i="1"/>
  <c r="Y145" i="1"/>
  <c r="Z145" i="1"/>
  <c r="AB145" i="1"/>
  <c r="AC145" i="1"/>
  <c r="AD145" i="1"/>
  <c r="AG145" i="1" s="1"/>
  <c r="AE145" i="1"/>
  <c r="AF145" i="1"/>
  <c r="K146" i="1"/>
  <c r="L146" i="1"/>
  <c r="M146" i="1"/>
  <c r="N146" i="1" s="1"/>
  <c r="V146" i="1"/>
  <c r="Y146" i="1"/>
  <c r="Z146" i="1"/>
  <c r="AB146" i="1"/>
  <c r="AC146" i="1"/>
  <c r="AD146" i="1"/>
  <c r="T146" i="1" s="1"/>
  <c r="AE146" i="1"/>
  <c r="AF146" i="1"/>
  <c r="K147" i="1"/>
  <c r="L147" i="1"/>
  <c r="M147" i="1"/>
  <c r="N147" i="1" s="1"/>
  <c r="V147" i="1"/>
  <c r="Y147" i="1"/>
  <c r="Z147" i="1"/>
  <c r="AB147" i="1"/>
  <c r="AC147" i="1"/>
  <c r="AD147" i="1"/>
  <c r="AG147" i="1" s="1"/>
  <c r="AE147" i="1"/>
  <c r="AF147" i="1"/>
  <c r="K148" i="1"/>
  <c r="L148" i="1"/>
  <c r="M148" i="1"/>
  <c r="N148" i="1"/>
  <c r="V148" i="1"/>
  <c r="Q34" i="3" s="1"/>
  <c r="Y148" i="1"/>
  <c r="Z148" i="1"/>
  <c r="AB148" i="1"/>
  <c r="AC148" i="1"/>
  <c r="AD148" i="1"/>
  <c r="X148" i="1" s="1"/>
  <c r="AE148" i="1"/>
  <c r="P34" i="3" s="1"/>
  <c r="AF148" i="1"/>
  <c r="K149" i="1"/>
  <c r="L149" i="1"/>
  <c r="M149" i="1"/>
  <c r="N149" i="1" s="1"/>
  <c r="V149" i="1"/>
  <c r="Y149" i="1"/>
  <c r="Z149" i="1"/>
  <c r="AB149" i="1"/>
  <c r="AC149" i="1"/>
  <c r="AD149" i="1"/>
  <c r="T149" i="1" s="1"/>
  <c r="AE149" i="1"/>
  <c r="AF149" i="1"/>
  <c r="K150" i="1"/>
  <c r="L150" i="1"/>
  <c r="M150" i="1"/>
  <c r="N150" i="1" s="1"/>
  <c r="V150" i="1"/>
  <c r="Y150" i="1"/>
  <c r="Z150" i="1"/>
  <c r="AB150" i="1"/>
  <c r="AC150" i="1"/>
  <c r="AD150" i="1"/>
  <c r="T150" i="1" s="1"/>
  <c r="AE150" i="1"/>
  <c r="AF150" i="1"/>
  <c r="K151" i="1"/>
  <c r="L151" i="1"/>
  <c r="M151" i="1"/>
  <c r="N151" i="1" s="1"/>
  <c r="V151" i="1"/>
  <c r="Y151" i="1"/>
  <c r="Z151" i="1"/>
  <c r="AB151" i="1"/>
  <c r="AC151" i="1"/>
  <c r="AD151" i="1"/>
  <c r="AG151" i="1" s="1"/>
  <c r="AE151" i="1"/>
  <c r="AF151" i="1"/>
  <c r="K152" i="1"/>
  <c r="L152" i="1"/>
  <c r="M152" i="1"/>
  <c r="N152" i="1" s="1"/>
  <c r="V152" i="1"/>
  <c r="Y152" i="1"/>
  <c r="AA152" i="1" s="1"/>
  <c r="Z152" i="1"/>
  <c r="AB152" i="1"/>
  <c r="AC152" i="1"/>
  <c r="AD152" i="1"/>
  <c r="AE152" i="1"/>
  <c r="AF152" i="1"/>
  <c r="K153" i="1"/>
  <c r="L153" i="1"/>
  <c r="M153" i="1"/>
  <c r="N153" i="1" s="1"/>
  <c r="V153" i="1"/>
  <c r="Y153" i="1"/>
  <c r="Z153" i="1"/>
  <c r="AB153" i="1"/>
  <c r="AC153" i="1"/>
  <c r="AD153" i="1"/>
  <c r="T153" i="1" s="1"/>
  <c r="AE153" i="1"/>
  <c r="AF153" i="1"/>
  <c r="K154" i="1"/>
  <c r="L154" i="1"/>
  <c r="M154" i="1"/>
  <c r="N154" i="1" s="1"/>
  <c r="V154" i="1"/>
  <c r="Q15" i="3" s="1"/>
  <c r="Y154" i="1"/>
  <c r="Z154" i="1"/>
  <c r="AB154" i="1"/>
  <c r="AC154" i="1"/>
  <c r="AD154" i="1"/>
  <c r="AE154" i="1"/>
  <c r="P15" i="3" s="1"/>
  <c r="AF154" i="1"/>
  <c r="K155" i="1"/>
  <c r="L155" i="1"/>
  <c r="M155" i="1"/>
  <c r="N155" i="1" s="1"/>
  <c r="V155" i="1"/>
  <c r="Y155" i="1"/>
  <c r="Z155" i="1"/>
  <c r="AB155" i="1"/>
  <c r="AC155" i="1"/>
  <c r="AD155" i="1"/>
  <c r="AG155" i="1" s="1"/>
  <c r="AE155" i="1"/>
  <c r="AF155" i="1"/>
  <c r="K156" i="1"/>
  <c r="L156" i="1"/>
  <c r="M156" i="1"/>
  <c r="N156" i="1" s="1"/>
  <c r="V156" i="1"/>
  <c r="Y156" i="1"/>
  <c r="Z156" i="1"/>
  <c r="AB156" i="1"/>
  <c r="AC156" i="1"/>
  <c r="AD156" i="1"/>
  <c r="AE156" i="1"/>
  <c r="AF156" i="1"/>
  <c r="K204" i="1"/>
  <c r="L204" i="1"/>
  <c r="M204" i="1"/>
  <c r="N204" i="1" s="1"/>
  <c r="V204" i="1"/>
  <c r="Y204" i="1"/>
  <c r="Z204" i="1"/>
  <c r="AB204" i="1"/>
  <c r="AC204" i="1"/>
  <c r="AD204" i="1"/>
  <c r="AE204" i="1"/>
  <c r="AF204" i="1"/>
  <c r="K205" i="1"/>
  <c r="L205" i="1"/>
  <c r="M205" i="1"/>
  <c r="N205" i="1" s="1"/>
  <c r="V205" i="1"/>
  <c r="Y205" i="1"/>
  <c r="Z205" i="1"/>
  <c r="AB205" i="1"/>
  <c r="AC205" i="1"/>
  <c r="AD205" i="1"/>
  <c r="AG205" i="1" s="1"/>
  <c r="AE205" i="1"/>
  <c r="AF205" i="1"/>
  <c r="K206" i="1"/>
  <c r="L206" i="1"/>
  <c r="M206" i="1"/>
  <c r="N206" i="1" s="1"/>
  <c r="V206" i="1"/>
  <c r="Y206" i="1"/>
  <c r="Z206" i="1"/>
  <c r="AB206" i="1"/>
  <c r="AC206" i="1"/>
  <c r="AD206" i="1"/>
  <c r="AG206" i="1" s="1"/>
  <c r="AE206" i="1"/>
  <c r="AF206" i="1"/>
  <c r="K207" i="1"/>
  <c r="L207" i="1"/>
  <c r="M207" i="1"/>
  <c r="N207" i="1" s="1"/>
  <c r="V207" i="1"/>
  <c r="Y207" i="1"/>
  <c r="Z207" i="1"/>
  <c r="AB207" i="1"/>
  <c r="AC207" i="1"/>
  <c r="AD207" i="1"/>
  <c r="AG207" i="1" s="1"/>
  <c r="AE207" i="1"/>
  <c r="AF207" i="1"/>
  <c r="K208" i="1"/>
  <c r="L208" i="1"/>
  <c r="M208" i="1"/>
  <c r="N208" i="1" s="1"/>
  <c r="V208" i="1"/>
  <c r="Y208" i="1"/>
  <c r="Z208" i="1"/>
  <c r="AB208" i="1"/>
  <c r="AC208" i="1"/>
  <c r="AD208" i="1"/>
  <c r="T208" i="1" s="1"/>
  <c r="AE208" i="1"/>
  <c r="AF208" i="1"/>
  <c r="K209" i="1"/>
  <c r="L209" i="1"/>
  <c r="M209" i="1"/>
  <c r="N209" i="1" s="1"/>
  <c r="V209" i="1"/>
  <c r="Y209" i="1"/>
  <c r="Z209" i="1"/>
  <c r="AB209" i="1"/>
  <c r="AC209" i="1"/>
  <c r="AD209" i="1"/>
  <c r="AG209" i="1" s="1"/>
  <c r="AE209" i="1"/>
  <c r="AF209" i="1"/>
  <c r="K210" i="1"/>
  <c r="L210" i="1"/>
  <c r="M210" i="1"/>
  <c r="N210" i="1" s="1"/>
  <c r="V210" i="1"/>
  <c r="Y210" i="1"/>
  <c r="Z210" i="1"/>
  <c r="AB210" i="1"/>
  <c r="AC210" i="1"/>
  <c r="AD210" i="1"/>
  <c r="T210" i="1" s="1"/>
  <c r="AE210" i="1"/>
  <c r="AF210" i="1"/>
  <c r="K216" i="1"/>
  <c r="L216" i="1"/>
  <c r="M216" i="1"/>
  <c r="N216" i="1" s="1"/>
  <c r="V216" i="1"/>
  <c r="Q56" i="3" s="1"/>
  <c r="Y216" i="1"/>
  <c r="Z216" i="1"/>
  <c r="AB216" i="1"/>
  <c r="AC216" i="1"/>
  <c r="AD216" i="1"/>
  <c r="AE216" i="1"/>
  <c r="P56" i="3" s="1"/>
  <c r="AF216" i="1"/>
  <c r="K217" i="1"/>
  <c r="L217" i="1"/>
  <c r="M217" i="1"/>
  <c r="N217" i="1" s="1"/>
  <c r="V217" i="1"/>
  <c r="Y217" i="1"/>
  <c r="Z217" i="1"/>
  <c r="AB217" i="1"/>
  <c r="AC217" i="1"/>
  <c r="AD217" i="1"/>
  <c r="T217" i="1" s="1"/>
  <c r="AE217" i="1"/>
  <c r="AF217" i="1"/>
  <c r="K218" i="1"/>
  <c r="L218" i="1"/>
  <c r="M218" i="1"/>
  <c r="N218" i="1" s="1"/>
  <c r="V218" i="1"/>
  <c r="Y218" i="1"/>
  <c r="Z218" i="1"/>
  <c r="AB218" i="1"/>
  <c r="AC218" i="1"/>
  <c r="AD218" i="1"/>
  <c r="AG218" i="1" s="1"/>
  <c r="AE218" i="1"/>
  <c r="AF218" i="1"/>
  <c r="K219" i="1"/>
  <c r="L219" i="1"/>
  <c r="M219" i="1"/>
  <c r="N219" i="1" s="1"/>
  <c r="V219" i="1"/>
  <c r="Y219" i="1"/>
  <c r="Z219" i="1"/>
  <c r="AB219" i="1"/>
  <c r="AC219" i="1"/>
  <c r="AD219" i="1"/>
  <c r="T219" i="1" s="1"/>
  <c r="AE219" i="1"/>
  <c r="AF219" i="1"/>
  <c r="K220" i="1"/>
  <c r="L220" i="1"/>
  <c r="M220" i="1"/>
  <c r="N220" i="1" s="1"/>
  <c r="V220" i="1"/>
  <c r="Y220" i="1"/>
  <c r="Z220" i="1"/>
  <c r="AB220" i="1"/>
  <c r="AC220" i="1"/>
  <c r="AD220" i="1"/>
  <c r="AE220" i="1"/>
  <c r="AF220" i="1"/>
  <c r="K221" i="1"/>
  <c r="L221" i="1"/>
  <c r="M221" i="1"/>
  <c r="N221" i="1" s="1"/>
  <c r="V221" i="1"/>
  <c r="Q55" i="3" s="1"/>
  <c r="Y221" i="1"/>
  <c r="Z221" i="1"/>
  <c r="AB221" i="1"/>
  <c r="AC221" i="1"/>
  <c r="AD221" i="1"/>
  <c r="AG221" i="1" s="1"/>
  <c r="AE221" i="1"/>
  <c r="P55" i="3" s="1"/>
  <c r="AF221" i="1"/>
  <c r="K222" i="1"/>
  <c r="L222" i="1"/>
  <c r="M222" i="1"/>
  <c r="N222" i="1" s="1"/>
  <c r="V222" i="1"/>
  <c r="Y222" i="1"/>
  <c r="Z222" i="1"/>
  <c r="AB222" i="1"/>
  <c r="AC222" i="1"/>
  <c r="AD222" i="1"/>
  <c r="AG222" i="1" s="1"/>
  <c r="AE222" i="1"/>
  <c r="AF222" i="1"/>
  <c r="K157" i="1"/>
  <c r="L157" i="1"/>
  <c r="M157" i="1"/>
  <c r="N157" i="1" s="1"/>
  <c r="V157" i="1"/>
  <c r="Y157" i="1"/>
  <c r="Z157" i="1"/>
  <c r="AB157" i="1"/>
  <c r="AC157" i="1"/>
  <c r="AD157" i="1"/>
  <c r="T157" i="1" s="1"/>
  <c r="AE157" i="1"/>
  <c r="AF157" i="1"/>
  <c r="K158" i="1"/>
  <c r="L158" i="1"/>
  <c r="M158" i="1"/>
  <c r="N158" i="1" s="1"/>
  <c r="V158" i="1"/>
  <c r="Y158" i="1"/>
  <c r="Z158" i="1"/>
  <c r="AB158" i="1"/>
  <c r="AC158" i="1"/>
  <c r="AD158" i="1"/>
  <c r="AE158" i="1"/>
  <c r="AF158" i="1"/>
  <c r="K159" i="1"/>
  <c r="L159" i="1"/>
  <c r="M159" i="1"/>
  <c r="N159" i="1" s="1"/>
  <c r="V159" i="1"/>
  <c r="Y159" i="1"/>
  <c r="Z159" i="1"/>
  <c r="AB159" i="1"/>
  <c r="AC159" i="1"/>
  <c r="AD159" i="1"/>
  <c r="T159" i="1" s="1"/>
  <c r="AE159" i="1"/>
  <c r="AF159" i="1"/>
  <c r="K160" i="1"/>
  <c r="L160" i="1"/>
  <c r="M160" i="1"/>
  <c r="N160" i="1"/>
  <c r="V160" i="1"/>
  <c r="Y160" i="1"/>
  <c r="Z160" i="1"/>
  <c r="AB160" i="1"/>
  <c r="AC160" i="1"/>
  <c r="AD160" i="1"/>
  <c r="AG160" i="1" s="1"/>
  <c r="AE160" i="1"/>
  <c r="AF160" i="1"/>
  <c r="K161" i="1"/>
  <c r="L161" i="1"/>
  <c r="M161" i="1"/>
  <c r="N161" i="1" s="1"/>
  <c r="V161" i="1"/>
  <c r="Y161" i="1"/>
  <c r="Z161" i="1"/>
  <c r="AB161" i="1"/>
  <c r="AC161" i="1"/>
  <c r="AD161" i="1"/>
  <c r="AE161" i="1"/>
  <c r="AF161" i="1"/>
  <c r="K162" i="1"/>
  <c r="L162" i="1"/>
  <c r="M162" i="1"/>
  <c r="P162" i="1" s="1"/>
  <c r="V162" i="1"/>
  <c r="Y162" i="1"/>
  <c r="AB162" i="1"/>
  <c r="AC162" i="1"/>
  <c r="AD162" i="1"/>
  <c r="AE162" i="1"/>
  <c r="AF162" i="1"/>
  <c r="K163" i="1"/>
  <c r="L163" i="1"/>
  <c r="M163" i="1"/>
  <c r="N163" i="1" s="1"/>
  <c r="V163" i="1"/>
  <c r="Y163" i="1"/>
  <c r="Z163" i="1"/>
  <c r="AB163" i="1"/>
  <c r="AC163" i="1"/>
  <c r="AD163" i="1"/>
  <c r="AG163" i="1" s="1"/>
  <c r="AE163" i="1"/>
  <c r="AF163" i="1"/>
  <c r="K164" i="1"/>
  <c r="L164" i="1"/>
  <c r="M164" i="1"/>
  <c r="N164" i="1" s="1"/>
  <c r="V164" i="1"/>
  <c r="Y164" i="1"/>
  <c r="Z164" i="1"/>
  <c r="AB164" i="1"/>
  <c r="AC164" i="1"/>
  <c r="AD164" i="1"/>
  <c r="AG164" i="1" s="1"/>
  <c r="AE164" i="1"/>
  <c r="AF164" i="1"/>
  <c r="K165" i="1"/>
  <c r="L165" i="1"/>
  <c r="M165" i="1"/>
  <c r="N165" i="1" s="1"/>
  <c r="V165" i="1"/>
  <c r="Y165" i="1"/>
  <c r="Z165" i="1"/>
  <c r="AB165" i="1"/>
  <c r="AC165" i="1"/>
  <c r="AD165" i="1"/>
  <c r="AE165" i="1"/>
  <c r="AF165" i="1"/>
  <c r="K166" i="1"/>
  <c r="L166" i="1"/>
  <c r="M166" i="1"/>
  <c r="N166" i="1" s="1"/>
  <c r="V166" i="1"/>
  <c r="Y166" i="1"/>
  <c r="Z166" i="1"/>
  <c r="AB166" i="1"/>
  <c r="AC166" i="1"/>
  <c r="AD166" i="1"/>
  <c r="AG166" i="1" s="1"/>
  <c r="AE166" i="1"/>
  <c r="AF166" i="1"/>
  <c r="K167" i="1"/>
  <c r="L167" i="1"/>
  <c r="M167" i="1"/>
  <c r="N167" i="1" s="1"/>
  <c r="V167" i="1"/>
  <c r="Y167" i="1"/>
  <c r="Z167" i="1"/>
  <c r="AB167" i="1"/>
  <c r="AC167" i="1"/>
  <c r="AD167" i="1"/>
  <c r="AE167" i="1"/>
  <c r="AF167" i="1"/>
  <c r="K168" i="1"/>
  <c r="L168" i="1"/>
  <c r="M168" i="1"/>
  <c r="N168" i="1" s="1"/>
  <c r="V168" i="1"/>
  <c r="Y168" i="1"/>
  <c r="Z168" i="1"/>
  <c r="AB168" i="1"/>
  <c r="AC168" i="1"/>
  <c r="AD168" i="1"/>
  <c r="AG168" i="1" s="1"/>
  <c r="AE168" i="1"/>
  <c r="AF168" i="1"/>
  <c r="K169" i="1"/>
  <c r="L169" i="1"/>
  <c r="M169" i="1"/>
  <c r="N169" i="1" s="1"/>
  <c r="V169" i="1"/>
  <c r="Y169" i="1"/>
  <c r="Z169" i="1"/>
  <c r="AB169" i="1"/>
  <c r="AC169" i="1"/>
  <c r="AD169" i="1"/>
  <c r="AG169" i="1" s="1"/>
  <c r="AE169" i="1"/>
  <c r="AF169" i="1"/>
  <c r="K170" i="1"/>
  <c r="L170" i="1"/>
  <c r="M170" i="1"/>
  <c r="N170" i="1" s="1"/>
  <c r="V170" i="1"/>
  <c r="Y170" i="1"/>
  <c r="Z170" i="1"/>
  <c r="AB170" i="1"/>
  <c r="AC170" i="1"/>
  <c r="AD170" i="1"/>
  <c r="T170" i="1" s="1"/>
  <c r="AE170" i="1"/>
  <c r="AF170" i="1"/>
  <c r="K171" i="1"/>
  <c r="L171" i="1"/>
  <c r="M171" i="1"/>
  <c r="N171" i="1" s="1"/>
  <c r="V171" i="1"/>
  <c r="Y171" i="1"/>
  <c r="Z171" i="1"/>
  <c r="AB171" i="1"/>
  <c r="AC171" i="1"/>
  <c r="AD171" i="1"/>
  <c r="AE171" i="1"/>
  <c r="AF171" i="1"/>
  <c r="K172" i="1"/>
  <c r="L172" i="1"/>
  <c r="M172" i="1"/>
  <c r="N172" i="1" s="1"/>
  <c r="V172" i="1"/>
  <c r="Y172" i="1"/>
  <c r="Z172" i="1"/>
  <c r="AB172" i="1"/>
  <c r="AC172" i="1"/>
  <c r="AD172" i="1"/>
  <c r="AG172" i="1" s="1"/>
  <c r="AE172" i="1"/>
  <c r="AF172" i="1"/>
  <c r="K173" i="1"/>
  <c r="L173" i="1"/>
  <c r="M173" i="1"/>
  <c r="N173" i="1" s="1"/>
  <c r="V173" i="1"/>
  <c r="Y173" i="1"/>
  <c r="Z173" i="1"/>
  <c r="AB173" i="1"/>
  <c r="AC173" i="1"/>
  <c r="AD173" i="1"/>
  <c r="AE173" i="1"/>
  <c r="AF173" i="1"/>
  <c r="K174" i="1"/>
  <c r="L174" i="1"/>
  <c r="M174" i="1"/>
  <c r="N174" i="1" s="1"/>
  <c r="V174" i="1"/>
  <c r="Y174" i="1"/>
  <c r="Z174" i="1"/>
  <c r="AB174" i="1"/>
  <c r="AC174" i="1"/>
  <c r="AD174" i="1"/>
  <c r="AE174" i="1"/>
  <c r="AF174" i="1"/>
  <c r="K175" i="1"/>
  <c r="L175" i="1"/>
  <c r="M175" i="1"/>
  <c r="N175" i="1" s="1"/>
  <c r="V175" i="1"/>
  <c r="Q41" i="3" s="1"/>
  <c r="Y175" i="1"/>
  <c r="Z175" i="1"/>
  <c r="AA175" i="1" s="1"/>
  <c r="AB175" i="1"/>
  <c r="AC175" i="1"/>
  <c r="AD175" i="1"/>
  <c r="T175" i="1" s="1"/>
  <c r="AE175" i="1"/>
  <c r="P41" i="3" s="1"/>
  <c r="AF175" i="1"/>
  <c r="K176" i="1"/>
  <c r="L176" i="1"/>
  <c r="M176" i="1"/>
  <c r="N176" i="1" s="1"/>
  <c r="V176" i="1"/>
  <c r="Y176" i="1"/>
  <c r="Z176" i="1"/>
  <c r="AB176" i="1"/>
  <c r="AC176" i="1"/>
  <c r="AD176" i="1"/>
  <c r="AG176" i="1" s="1"/>
  <c r="AE176" i="1"/>
  <c r="AF176" i="1"/>
  <c r="K177" i="1"/>
  <c r="L177" i="1"/>
  <c r="M177" i="1"/>
  <c r="N177" i="1" s="1"/>
  <c r="V177" i="1"/>
  <c r="Q42" i="3" s="1"/>
  <c r="Y177" i="1"/>
  <c r="Z177" i="1"/>
  <c r="AB177" i="1"/>
  <c r="AC177" i="1"/>
  <c r="AD177" i="1"/>
  <c r="AG177" i="1" s="1"/>
  <c r="AE177" i="1"/>
  <c r="P42" i="3" s="1"/>
  <c r="AF177" i="1"/>
  <c r="K178" i="1"/>
  <c r="L178" i="1"/>
  <c r="M178" i="1"/>
  <c r="N178" i="1" s="1"/>
  <c r="V178" i="1"/>
  <c r="Q52" i="3" s="1"/>
  <c r="Y178" i="1"/>
  <c r="Z178" i="1"/>
  <c r="AB178" i="1"/>
  <c r="AC178" i="1"/>
  <c r="AD178" i="1"/>
  <c r="T178" i="1" s="1"/>
  <c r="AE178" i="1"/>
  <c r="P52" i="3" s="1"/>
  <c r="AF178" i="1"/>
  <c r="K179" i="1"/>
  <c r="L179" i="1"/>
  <c r="M179" i="1"/>
  <c r="N179" i="1" s="1"/>
  <c r="V179" i="1"/>
  <c r="Y179" i="1"/>
  <c r="Z179" i="1"/>
  <c r="AB179" i="1"/>
  <c r="AC179" i="1"/>
  <c r="AD179" i="1"/>
  <c r="AE179" i="1"/>
  <c r="AF179" i="1"/>
  <c r="K180" i="1"/>
  <c r="L180" i="1"/>
  <c r="M180" i="1"/>
  <c r="N180" i="1" s="1"/>
  <c r="V180" i="1"/>
  <c r="Y180" i="1"/>
  <c r="Z180" i="1"/>
  <c r="AB180" i="1"/>
  <c r="AC180" i="1"/>
  <c r="AD180" i="1"/>
  <c r="AG180" i="1" s="1"/>
  <c r="AE180" i="1"/>
  <c r="AF180" i="1"/>
  <c r="K181" i="1"/>
  <c r="L181" i="1"/>
  <c r="M181" i="1"/>
  <c r="N181" i="1"/>
  <c r="V181" i="1"/>
  <c r="Q44" i="3" s="1"/>
  <c r="Y181" i="1"/>
  <c r="Z181" i="1"/>
  <c r="AB181" i="1"/>
  <c r="AC181" i="1"/>
  <c r="AD181" i="1"/>
  <c r="AE181" i="1"/>
  <c r="P43" i="3" s="1"/>
  <c r="AF181" i="1"/>
  <c r="K182" i="1"/>
  <c r="L182" i="1"/>
  <c r="M182" i="1"/>
  <c r="N182" i="1" s="1"/>
  <c r="V182" i="1"/>
  <c r="Y182" i="1"/>
  <c r="Z182" i="1"/>
  <c r="AB182" i="1"/>
  <c r="AC182" i="1"/>
  <c r="AD182" i="1"/>
  <c r="AE182" i="1"/>
  <c r="AF182" i="1"/>
  <c r="K183" i="1"/>
  <c r="L183" i="1"/>
  <c r="M183" i="1"/>
  <c r="N183" i="1" s="1"/>
  <c r="V183" i="1"/>
  <c r="Q45" i="3" s="1"/>
  <c r="Y183" i="1"/>
  <c r="Z183" i="1"/>
  <c r="AB183" i="1"/>
  <c r="AC183" i="1"/>
  <c r="AD183" i="1"/>
  <c r="AE183" i="1"/>
  <c r="P45" i="3" s="1"/>
  <c r="AF183" i="1"/>
  <c r="K184" i="1"/>
  <c r="L184" i="1"/>
  <c r="M184" i="1"/>
  <c r="N184" i="1" s="1"/>
  <c r="V184" i="1"/>
  <c r="Q47" i="3" s="1"/>
  <c r="Y184" i="1"/>
  <c r="Z184" i="1"/>
  <c r="AA184" i="1" s="1"/>
  <c r="AB184" i="1"/>
  <c r="AC184" i="1"/>
  <c r="AD184" i="1"/>
  <c r="AG184" i="1" s="1"/>
  <c r="AE184" i="1"/>
  <c r="P47" i="3" s="1"/>
  <c r="AF184" i="1"/>
  <c r="K185" i="1"/>
  <c r="L185" i="1"/>
  <c r="M185" i="1"/>
  <c r="N185" i="1" s="1"/>
  <c r="V185" i="1"/>
  <c r="Y185" i="1"/>
  <c r="Z185" i="1"/>
  <c r="AB185" i="1"/>
  <c r="AC185" i="1"/>
  <c r="AD185" i="1"/>
  <c r="AG185" i="1" s="1"/>
  <c r="AE185" i="1"/>
  <c r="AF185" i="1"/>
  <c r="K186" i="1"/>
  <c r="L186" i="1"/>
  <c r="M186" i="1"/>
  <c r="N186" i="1" s="1"/>
  <c r="V186" i="1"/>
  <c r="Y186" i="1"/>
  <c r="Z186" i="1"/>
  <c r="AB186" i="1"/>
  <c r="AC186" i="1"/>
  <c r="AD186" i="1"/>
  <c r="T186" i="1" s="1"/>
  <c r="AE186" i="1"/>
  <c r="AF186" i="1"/>
  <c r="K187" i="1"/>
  <c r="L187" i="1"/>
  <c r="M187" i="1"/>
  <c r="N187" i="1" s="1"/>
  <c r="V187" i="1"/>
  <c r="Y187" i="1"/>
  <c r="Z187" i="1"/>
  <c r="AB187" i="1"/>
  <c r="AC187" i="1"/>
  <c r="AD187" i="1"/>
  <c r="AE187" i="1"/>
  <c r="AF187" i="1"/>
  <c r="K188" i="1"/>
  <c r="L188" i="1"/>
  <c r="M188" i="1"/>
  <c r="N188" i="1" s="1"/>
  <c r="V188" i="1"/>
  <c r="Q48" i="3" s="1"/>
  <c r="Y188" i="1"/>
  <c r="Z188" i="1"/>
  <c r="AB188" i="1"/>
  <c r="AC188" i="1"/>
  <c r="AD188" i="1"/>
  <c r="AG188" i="1" s="1"/>
  <c r="AE188" i="1"/>
  <c r="P48" i="3" s="1"/>
  <c r="AF188" i="1"/>
  <c r="K189" i="1"/>
  <c r="L189" i="1"/>
  <c r="M189" i="1"/>
  <c r="N189" i="1" s="1"/>
  <c r="V189" i="1"/>
  <c r="Y189" i="1"/>
  <c r="Z189" i="1"/>
  <c r="AB189" i="1"/>
  <c r="AC189" i="1"/>
  <c r="AD189" i="1"/>
  <c r="AE189" i="1"/>
  <c r="AF189" i="1"/>
  <c r="K190" i="1"/>
  <c r="L190" i="1"/>
  <c r="M190" i="1"/>
  <c r="N190" i="1" s="1"/>
  <c r="V190" i="1"/>
  <c r="Q49" i="3" s="1"/>
  <c r="Y190" i="1"/>
  <c r="Z190" i="1"/>
  <c r="AB190" i="1"/>
  <c r="AC190" i="1"/>
  <c r="AD190" i="1"/>
  <c r="AE190" i="1"/>
  <c r="P49" i="3" s="1"/>
  <c r="AF190" i="1"/>
  <c r="K191" i="1"/>
  <c r="L191" i="1"/>
  <c r="M191" i="1"/>
  <c r="N191" i="1" s="1"/>
  <c r="V191" i="1"/>
  <c r="Q46" i="3" s="1"/>
  <c r="Y191" i="1"/>
  <c r="Z191" i="1"/>
  <c r="AB191" i="1"/>
  <c r="AC191" i="1"/>
  <c r="AD191" i="1"/>
  <c r="T191" i="1" s="1"/>
  <c r="AE191" i="1"/>
  <c r="P46" i="3" s="1"/>
  <c r="AF191" i="1"/>
  <c r="K192" i="1"/>
  <c r="L192" i="1"/>
  <c r="M192" i="1"/>
  <c r="N192" i="1" s="1"/>
  <c r="V192" i="1"/>
  <c r="Q39" i="3" s="1"/>
  <c r="Y192" i="1"/>
  <c r="Z192" i="1"/>
  <c r="AB192" i="1"/>
  <c r="AC192" i="1"/>
  <c r="AD192" i="1"/>
  <c r="AG192" i="1" s="1"/>
  <c r="AE192" i="1"/>
  <c r="P39" i="3" s="1"/>
  <c r="AF192" i="1"/>
  <c r="K193" i="1"/>
  <c r="L193" i="1"/>
  <c r="M193" i="1"/>
  <c r="N193" i="1" s="1"/>
  <c r="V193" i="1"/>
  <c r="Y193" i="1"/>
  <c r="Z193" i="1"/>
  <c r="AB193" i="1"/>
  <c r="AC193" i="1"/>
  <c r="AD193" i="1"/>
  <c r="AG193" i="1" s="1"/>
  <c r="AE193" i="1"/>
  <c r="AF193" i="1"/>
  <c r="K194" i="1"/>
  <c r="L194" i="1"/>
  <c r="M194" i="1"/>
  <c r="N194" i="1" s="1"/>
  <c r="V194" i="1"/>
  <c r="Y194" i="1"/>
  <c r="Z194" i="1"/>
  <c r="AB194" i="1"/>
  <c r="AC194" i="1"/>
  <c r="AD194" i="1"/>
  <c r="AE194" i="1"/>
  <c r="AF194" i="1"/>
  <c r="K195" i="1"/>
  <c r="L195" i="1"/>
  <c r="M195" i="1"/>
  <c r="N195" i="1" s="1"/>
  <c r="V195" i="1"/>
  <c r="Y195" i="1"/>
  <c r="Z195" i="1"/>
  <c r="AB195" i="1"/>
  <c r="AC195" i="1"/>
  <c r="AD195" i="1"/>
  <c r="AE195" i="1"/>
  <c r="AF195" i="1"/>
  <c r="K196" i="1"/>
  <c r="L196" i="1"/>
  <c r="M196" i="1"/>
  <c r="N196" i="1" s="1"/>
  <c r="V196" i="1"/>
  <c r="Y196" i="1"/>
  <c r="Z196" i="1"/>
  <c r="AB196" i="1"/>
  <c r="AC196" i="1"/>
  <c r="AD196" i="1"/>
  <c r="AG196" i="1" s="1"/>
  <c r="AE196" i="1"/>
  <c r="AF196" i="1"/>
  <c r="K197" i="1"/>
  <c r="L197" i="1"/>
  <c r="M197" i="1"/>
  <c r="N197" i="1" s="1"/>
  <c r="V197" i="1"/>
  <c r="Y197" i="1"/>
  <c r="Z197" i="1"/>
  <c r="AB197" i="1"/>
  <c r="AC197" i="1"/>
  <c r="AD197" i="1"/>
  <c r="AE197" i="1"/>
  <c r="AF197" i="1"/>
  <c r="K198" i="1"/>
  <c r="L198" i="1"/>
  <c r="M198" i="1"/>
  <c r="N198" i="1" s="1"/>
  <c r="V198" i="1"/>
  <c r="Y198" i="1"/>
  <c r="Z198" i="1"/>
  <c r="AB198" i="1"/>
  <c r="AC198" i="1"/>
  <c r="AD198" i="1"/>
  <c r="AE198" i="1"/>
  <c r="AF198" i="1"/>
  <c r="K199" i="1"/>
  <c r="L199" i="1"/>
  <c r="M199" i="1"/>
  <c r="N199" i="1" s="1"/>
  <c r="V199" i="1"/>
  <c r="Y199" i="1"/>
  <c r="Z199" i="1"/>
  <c r="AB199" i="1"/>
  <c r="AC199" i="1"/>
  <c r="AD199" i="1"/>
  <c r="AE199" i="1"/>
  <c r="AF199" i="1"/>
  <c r="K200" i="1"/>
  <c r="L200" i="1"/>
  <c r="M200" i="1"/>
  <c r="N200" i="1" s="1"/>
  <c r="V200" i="1"/>
  <c r="Q50" i="3" s="1"/>
  <c r="Y200" i="1"/>
  <c r="Z200" i="1"/>
  <c r="AB200" i="1"/>
  <c r="AC200" i="1"/>
  <c r="AD200" i="1"/>
  <c r="AG200" i="1" s="1"/>
  <c r="AE200" i="1"/>
  <c r="P50" i="3" s="1"/>
  <c r="AF200" i="1"/>
  <c r="K201" i="1"/>
  <c r="L201" i="1"/>
  <c r="M201" i="1"/>
  <c r="N201" i="1" s="1"/>
  <c r="V201" i="1"/>
  <c r="Y201" i="1"/>
  <c r="Z201" i="1"/>
  <c r="AB201" i="1"/>
  <c r="AC201" i="1"/>
  <c r="AD201" i="1"/>
  <c r="AE201" i="1"/>
  <c r="AF201" i="1"/>
  <c r="K202" i="1"/>
  <c r="L202" i="1"/>
  <c r="M202" i="1"/>
  <c r="N202" i="1" s="1"/>
  <c r="V202" i="1"/>
  <c r="Y202" i="1"/>
  <c r="Z202" i="1"/>
  <c r="AB202" i="1"/>
  <c r="AC202" i="1"/>
  <c r="AD202" i="1"/>
  <c r="T202" i="1" s="1"/>
  <c r="AE202" i="1"/>
  <c r="AF202" i="1"/>
  <c r="K203" i="1"/>
  <c r="L203" i="1"/>
  <c r="M203" i="1"/>
  <c r="N203" i="1" s="1"/>
  <c r="V203" i="1"/>
  <c r="Y203" i="1"/>
  <c r="Z203" i="1"/>
  <c r="AB203" i="1"/>
  <c r="AC203" i="1"/>
  <c r="AD203" i="1"/>
  <c r="AE203" i="1"/>
  <c r="AF203" i="1"/>
  <c r="K211" i="1"/>
  <c r="L211" i="1"/>
  <c r="M211" i="1"/>
  <c r="N211" i="1" s="1"/>
  <c r="V211" i="1"/>
  <c r="Y211" i="1"/>
  <c r="Z211" i="1"/>
  <c r="AB211" i="1"/>
  <c r="AC211" i="1"/>
  <c r="AD211" i="1"/>
  <c r="AG211" i="1" s="1"/>
  <c r="AE211" i="1"/>
  <c r="AF211" i="1"/>
  <c r="K212" i="1"/>
  <c r="L212" i="1"/>
  <c r="M212" i="1"/>
  <c r="N212" i="1" s="1"/>
  <c r="V212" i="1"/>
  <c r="Q53" i="3" s="1"/>
  <c r="Y212" i="1"/>
  <c r="Z212" i="1"/>
  <c r="AB212" i="1"/>
  <c r="AC212" i="1"/>
  <c r="AD212" i="1"/>
  <c r="AE212" i="1"/>
  <c r="AF212" i="1"/>
  <c r="K213" i="1"/>
  <c r="L213" i="1"/>
  <c r="M213" i="1"/>
  <c r="N213" i="1" s="1"/>
  <c r="V213" i="1"/>
  <c r="Y213" i="1"/>
  <c r="Z213" i="1"/>
  <c r="AB213" i="1"/>
  <c r="AC213" i="1"/>
  <c r="AD213" i="1"/>
  <c r="AE213" i="1"/>
  <c r="AF213" i="1"/>
  <c r="K214" i="1"/>
  <c r="L214" i="1"/>
  <c r="M214" i="1"/>
  <c r="N214" i="1" s="1"/>
  <c r="V214" i="1"/>
  <c r="Y214" i="1"/>
  <c r="Z214" i="1"/>
  <c r="AB214" i="1"/>
  <c r="AC214" i="1"/>
  <c r="AD214" i="1"/>
  <c r="T214" i="1" s="1"/>
  <c r="AE214" i="1"/>
  <c r="AF214" i="1"/>
  <c r="K215" i="1"/>
  <c r="L215" i="1"/>
  <c r="M215" i="1"/>
  <c r="N215" i="1" s="1"/>
  <c r="V215" i="1"/>
  <c r="Y215" i="1"/>
  <c r="Z215" i="1"/>
  <c r="AB215" i="1"/>
  <c r="AC215" i="1"/>
  <c r="AD215" i="1"/>
  <c r="AG215" i="1" s="1"/>
  <c r="AE215" i="1"/>
  <c r="AF215" i="1"/>
  <c r="X125" i="1" l="1"/>
  <c r="T221" i="1"/>
  <c r="U221" i="1" s="1"/>
  <c r="S221" i="1" s="1"/>
  <c r="X150" i="1"/>
  <c r="X18" i="1"/>
  <c r="X124" i="1"/>
  <c r="X147" i="1"/>
  <c r="AA212" i="1"/>
  <c r="AA189" i="1"/>
  <c r="X117" i="1"/>
  <c r="X149" i="1"/>
  <c r="X17" i="1"/>
  <c r="X123" i="1"/>
  <c r="T123" i="1"/>
  <c r="U123" i="1" s="1"/>
  <c r="S123" i="1" s="1"/>
  <c r="AI123" i="1"/>
  <c r="AG15" i="1"/>
  <c r="X15" i="1"/>
  <c r="AA90" i="1"/>
  <c r="AA86" i="1"/>
  <c r="X145" i="1"/>
  <c r="T144" i="1"/>
  <c r="AA96" i="1"/>
  <c r="AA81" i="1"/>
  <c r="AI81" i="1" s="1"/>
  <c r="AA69" i="1"/>
  <c r="AA61" i="1"/>
  <c r="W13" i="3"/>
  <c r="W37" i="3"/>
  <c r="P20" i="3"/>
  <c r="X144" i="1"/>
  <c r="AA154" i="1"/>
  <c r="X153" i="1"/>
  <c r="AA59" i="1"/>
  <c r="X119" i="1"/>
  <c r="AG153" i="1"/>
  <c r="AA64" i="1"/>
  <c r="X60" i="1"/>
  <c r="X121" i="1"/>
  <c r="X122" i="1"/>
  <c r="AA202" i="1"/>
  <c r="AA201" i="1"/>
  <c r="AI201" i="1" s="1"/>
  <c r="AA169" i="1"/>
  <c r="AA161" i="1"/>
  <c r="AA109" i="1"/>
  <c r="AA83" i="1"/>
  <c r="X83" i="1"/>
  <c r="W48" i="3"/>
  <c r="X120" i="1"/>
  <c r="X116" i="1"/>
  <c r="W11" i="3"/>
  <c r="W50" i="3"/>
  <c r="W35" i="3"/>
  <c r="W31" i="3"/>
  <c r="W26" i="3"/>
  <c r="W25" i="3"/>
  <c r="W33" i="3"/>
  <c r="W21" i="3"/>
  <c r="X183" i="1"/>
  <c r="AA182" i="1"/>
  <c r="AA173" i="1"/>
  <c r="AA168" i="1"/>
  <c r="W168" i="1" s="1"/>
  <c r="AA166" i="1"/>
  <c r="T111" i="1"/>
  <c r="AG83" i="1"/>
  <c r="U83" i="1" s="1"/>
  <c r="S83" i="1" s="1"/>
  <c r="AA80" i="1"/>
  <c r="AI80" i="1" s="1"/>
  <c r="P44" i="3"/>
  <c r="Q16" i="3"/>
  <c r="AA157" i="1"/>
  <c r="AA218" i="1"/>
  <c r="AI218" i="1" s="1"/>
  <c r="T218" i="1"/>
  <c r="AG217" i="1"/>
  <c r="X155" i="1"/>
  <c r="T147" i="1"/>
  <c r="U147" i="1" s="1"/>
  <c r="S147" i="1" s="1"/>
  <c r="AA136" i="1"/>
  <c r="W136" i="1" s="1"/>
  <c r="AA124" i="1"/>
  <c r="AI124" i="1" s="1"/>
  <c r="AG119" i="1"/>
  <c r="U119" i="1" s="1"/>
  <c r="S119" i="1" s="1"/>
  <c r="AA115" i="1"/>
  <c r="W115" i="1" s="1"/>
  <c r="AG67" i="1"/>
  <c r="Q38" i="3"/>
  <c r="Q54" i="3"/>
  <c r="X198" i="1"/>
  <c r="X190" i="1"/>
  <c r="X187" i="1"/>
  <c r="X174" i="1"/>
  <c r="X168" i="1"/>
  <c r="X203" i="1"/>
  <c r="AA196" i="1"/>
  <c r="X195" i="1"/>
  <c r="AA220" i="1"/>
  <c r="X218" i="1"/>
  <c r="AA210" i="1"/>
  <c r="AA206" i="1"/>
  <c r="W206" i="1" s="1"/>
  <c r="AA155" i="1"/>
  <c r="AI155" i="1" s="1"/>
  <c r="X92" i="1"/>
  <c r="AA84" i="1"/>
  <c r="AA67" i="1"/>
  <c r="AI67" i="1" s="1"/>
  <c r="AG54" i="1"/>
  <c r="U54" i="1" s="1"/>
  <c r="S54" i="1" s="1"/>
  <c r="AA52" i="1"/>
  <c r="AA46" i="1"/>
  <c r="AA40" i="1"/>
  <c r="AI40" i="1" s="1"/>
  <c r="AA38" i="1"/>
  <c r="AA35" i="1"/>
  <c r="AA16" i="1"/>
  <c r="Q8" i="3"/>
  <c r="Q13" i="3"/>
  <c r="T80" i="1"/>
  <c r="AG34" i="1"/>
  <c r="T34" i="1"/>
  <c r="P40" i="3"/>
  <c r="P51" i="3"/>
  <c r="Q51" i="3"/>
  <c r="Q40" i="3"/>
  <c r="T171" i="1"/>
  <c r="AG171" i="1"/>
  <c r="T154" i="1"/>
  <c r="AG154" i="1"/>
  <c r="AI154" i="1" s="1"/>
  <c r="T84" i="1"/>
  <c r="U84" i="1" s="1"/>
  <c r="S84" i="1" s="1"/>
  <c r="X84" i="1"/>
  <c r="AG84" i="1"/>
  <c r="W84" i="1" s="1"/>
  <c r="AG140" i="1"/>
  <c r="X140" i="1"/>
  <c r="P8" i="3"/>
  <c r="P13" i="3"/>
  <c r="AG85" i="1"/>
  <c r="X85" i="1"/>
  <c r="T55" i="1"/>
  <c r="X55" i="1"/>
  <c r="AG55" i="1"/>
  <c r="P54" i="3"/>
  <c r="P53" i="3"/>
  <c r="T167" i="1"/>
  <c r="X167" i="1"/>
  <c r="AG167" i="1"/>
  <c r="Q33" i="3"/>
  <c r="Q11" i="3"/>
  <c r="T108" i="1"/>
  <c r="T76" i="1"/>
  <c r="AG76" i="1"/>
  <c r="T68" i="1"/>
  <c r="X68" i="1"/>
  <c r="X56" i="1"/>
  <c r="AA215" i="1"/>
  <c r="W215" i="1" s="1"/>
  <c r="AA214" i="1"/>
  <c r="AA195" i="1"/>
  <c r="X194" i="1"/>
  <c r="X182" i="1"/>
  <c r="AA177" i="1"/>
  <c r="W177" i="1" s="1"/>
  <c r="AA221" i="1"/>
  <c r="AI221" i="1" s="1"/>
  <c r="AA207" i="1"/>
  <c r="T137" i="1"/>
  <c r="U137" i="1" s="1"/>
  <c r="S137" i="1" s="1"/>
  <c r="AA129" i="1"/>
  <c r="W129" i="1" s="1"/>
  <c r="AA125" i="1"/>
  <c r="AI125" i="1" s="1"/>
  <c r="AA120" i="1"/>
  <c r="AI120" i="1" s="1"/>
  <c r="AA116" i="1"/>
  <c r="W116" i="1" s="1"/>
  <c r="AA114" i="1"/>
  <c r="W114" i="1" s="1"/>
  <c r="T104" i="1"/>
  <c r="X100" i="1"/>
  <c r="T92" i="1"/>
  <c r="AA89" i="1"/>
  <c r="AI89" i="1" s="1"/>
  <c r="AA85" i="1"/>
  <c r="AA77" i="1"/>
  <c r="AA68" i="1"/>
  <c r="X63" i="1"/>
  <c r="AA60" i="1"/>
  <c r="X59" i="1"/>
  <c r="AA51" i="1"/>
  <c r="AI51" i="1" s="1"/>
  <c r="T35" i="1"/>
  <c r="AA14" i="1"/>
  <c r="AI14" i="1" s="1"/>
  <c r="P11" i="3"/>
  <c r="P38" i="3"/>
  <c r="Q43" i="3"/>
  <c r="AA192" i="1"/>
  <c r="W192" i="1" s="1"/>
  <c r="AA191" i="1"/>
  <c r="AA181" i="1"/>
  <c r="X179" i="1"/>
  <c r="AA164" i="1"/>
  <c r="W164" i="1" s="1"/>
  <c r="AA219" i="1"/>
  <c r="AA145" i="1"/>
  <c r="W145" i="1" s="1"/>
  <c r="AA140" i="1"/>
  <c r="AA122" i="1"/>
  <c r="AA119" i="1"/>
  <c r="AA105" i="1"/>
  <c r="AI105" i="1" s="1"/>
  <c r="AA74" i="1"/>
  <c r="AI74" i="1" s="1"/>
  <c r="X67" i="1"/>
  <c r="AA53" i="1"/>
  <c r="AA43" i="1"/>
  <c r="AI43" i="1" s="1"/>
  <c r="AA42" i="1"/>
  <c r="W42" i="1" s="1"/>
  <c r="AA36" i="1"/>
  <c r="AI36" i="1" s="1"/>
  <c r="AA17" i="1"/>
  <c r="W9" i="3"/>
  <c r="W39" i="3"/>
  <c r="W45" i="3"/>
  <c r="W30" i="3"/>
  <c r="W41" i="3"/>
  <c r="W27" i="3"/>
  <c r="W15" i="3"/>
  <c r="W55" i="3"/>
  <c r="W22" i="3"/>
  <c r="W10" i="3"/>
  <c r="W12" i="3"/>
  <c r="W17" i="3"/>
  <c r="W16" i="3"/>
  <c r="W34" i="3"/>
  <c r="W38" i="3"/>
  <c r="W19" i="3"/>
  <c r="W49" i="3"/>
  <c r="W14" i="3"/>
  <c r="W53" i="3"/>
  <c r="W32" i="3"/>
  <c r="W24" i="3"/>
  <c r="W46" i="3"/>
  <c r="W47" i="3"/>
  <c r="W54" i="3"/>
  <c r="W43" i="3"/>
  <c r="W8" i="3"/>
  <c r="W42" i="3"/>
  <c r="W28" i="3"/>
  <c r="W40" i="3"/>
  <c r="W20" i="3"/>
  <c r="W18" i="3"/>
  <c r="W44" i="3"/>
  <c r="W52" i="3"/>
  <c r="W29" i="3"/>
  <c r="W36" i="3"/>
  <c r="W51" i="3"/>
  <c r="W23" i="3"/>
  <c r="W7" i="3"/>
  <c r="W56" i="3"/>
  <c r="AI84" i="1"/>
  <c r="X199" i="1"/>
  <c r="AA198" i="1"/>
  <c r="AA197" i="1"/>
  <c r="AA176" i="1"/>
  <c r="W166" i="1"/>
  <c r="AA153" i="1"/>
  <c r="W153" i="1" s="1"/>
  <c r="T118" i="1"/>
  <c r="T114" i="1"/>
  <c r="U114" i="1" s="1"/>
  <c r="S114" i="1" s="1"/>
  <c r="T110" i="1"/>
  <c r="AA106" i="1"/>
  <c r="W106" i="1" s="1"/>
  <c r="AA100" i="1"/>
  <c r="AA93" i="1"/>
  <c r="X76" i="1"/>
  <c r="AA75" i="1"/>
  <c r="AG68" i="1"/>
  <c r="U68" i="1" s="1"/>
  <c r="S68" i="1" s="1"/>
  <c r="X64" i="1"/>
  <c r="AA63" i="1"/>
  <c r="T59" i="1"/>
  <c r="T51" i="1"/>
  <c r="U51" i="1" s="1"/>
  <c r="S51" i="1" s="1"/>
  <c r="AA48" i="1"/>
  <c r="AG46" i="1"/>
  <c r="X46" i="1"/>
  <c r="AA45" i="1"/>
  <c r="AG32" i="1"/>
  <c r="U32" i="1" s="1"/>
  <c r="AA170" i="1"/>
  <c r="AA160" i="1"/>
  <c r="W160" i="1" s="1"/>
  <c r="AG159" i="1"/>
  <c r="U159" i="1" s="1"/>
  <c r="S159" i="1" s="1"/>
  <c r="AA151" i="1"/>
  <c r="W151" i="1" s="1"/>
  <c r="AA150" i="1"/>
  <c r="AI145" i="1"/>
  <c r="AA139" i="1"/>
  <c r="AG132" i="1"/>
  <c r="U132" i="1" s="1"/>
  <c r="S132" i="1" s="1"/>
  <c r="X132" i="1"/>
  <c r="AA131" i="1"/>
  <c r="AA130" i="1"/>
  <c r="W130" i="1" s="1"/>
  <c r="AI90" i="1"/>
  <c r="AA73" i="1"/>
  <c r="AI73" i="1" s="1"/>
  <c r="AI52" i="1"/>
  <c r="AA25" i="1"/>
  <c r="AG24" i="1"/>
  <c r="U24" i="1" s="1"/>
  <c r="S24" i="1" s="1"/>
  <c r="AA20" i="1"/>
  <c r="AG214" i="1"/>
  <c r="U214" i="1" s="1"/>
  <c r="S214" i="1" s="1"/>
  <c r="X214" i="1"/>
  <c r="AA200" i="1"/>
  <c r="W200" i="1" s="1"/>
  <c r="T199" i="1"/>
  <c r="AG191" i="1"/>
  <c r="U191" i="1" s="1"/>
  <c r="S191" i="1" s="1"/>
  <c r="AA185" i="1"/>
  <c r="W185" i="1" s="1"/>
  <c r="X205" i="1"/>
  <c r="AA97" i="1"/>
  <c r="AI97" i="1" s="1"/>
  <c r="T81" i="1"/>
  <c r="U81" i="1" s="1"/>
  <c r="S81" i="1" s="1"/>
  <c r="AG75" i="1"/>
  <c r="U75" i="1" s="1"/>
  <c r="S75" i="1" s="1"/>
  <c r="X75" i="1"/>
  <c r="AA66" i="1"/>
  <c r="AA65" i="1"/>
  <c r="AG49" i="1"/>
  <c r="U49" i="1" s="1"/>
  <c r="S49" i="1" s="1"/>
  <c r="X47" i="1"/>
  <c r="AG45" i="1"/>
  <c r="U45" i="1" s="1"/>
  <c r="S45" i="1" s="1"/>
  <c r="X45" i="1"/>
  <c r="AG38" i="1"/>
  <c r="U38" i="1" s="1"/>
  <c r="S38" i="1" s="1"/>
  <c r="AG33" i="1"/>
  <c r="U33" i="1" s="1"/>
  <c r="S33" i="1" s="1"/>
  <c r="X33" i="1"/>
  <c r="AA32" i="1"/>
  <c r="T27" i="1"/>
  <c r="U27" i="1" s="1"/>
  <c r="S27" i="1" s="1"/>
  <c r="T203" i="1"/>
  <c r="T187" i="1"/>
  <c r="AA183" i="1"/>
  <c r="AA180" i="1"/>
  <c r="W180" i="1" s="1"/>
  <c r="AA179" i="1"/>
  <c r="AG175" i="1"/>
  <c r="U175" i="1" s="1"/>
  <c r="S175" i="1" s="1"/>
  <c r="AA167" i="1"/>
  <c r="AG157" i="1"/>
  <c r="U157" i="1" s="1"/>
  <c r="S157" i="1" s="1"/>
  <c r="AG210" i="1"/>
  <c r="U210" i="1" s="1"/>
  <c r="S210" i="1" s="1"/>
  <c r="T205" i="1"/>
  <c r="U205" i="1" s="1"/>
  <c r="S205" i="1" s="1"/>
  <c r="AA144" i="1"/>
  <c r="AI144" i="1" s="1"/>
  <c r="AA142" i="1"/>
  <c r="AA137" i="1"/>
  <c r="AI137" i="1" s="1"/>
  <c r="T136" i="1"/>
  <c r="U136" i="1" s="1"/>
  <c r="S136" i="1" s="1"/>
  <c r="AA128" i="1"/>
  <c r="T120" i="1"/>
  <c r="U120" i="1" s="1"/>
  <c r="S120" i="1" s="1"/>
  <c r="AA111" i="1"/>
  <c r="W111" i="1" s="1"/>
  <c r="AA102" i="1"/>
  <c r="AG92" i="1"/>
  <c r="AA91" i="1"/>
  <c r="AA88" i="1"/>
  <c r="AA76" i="1"/>
  <c r="AI76" i="1" s="1"/>
  <c r="AA72" i="1"/>
  <c r="T63" i="1"/>
  <c r="W56" i="1"/>
  <c r="X43" i="1"/>
  <c r="AA29" i="1"/>
  <c r="AA28" i="1"/>
  <c r="AA27" i="1"/>
  <c r="W27" i="1" s="1"/>
  <c r="AA24" i="1"/>
  <c r="AG20" i="1"/>
  <c r="U20" i="1" s="1"/>
  <c r="S20" i="1" s="1"/>
  <c r="W207" i="1"/>
  <c r="T200" i="1"/>
  <c r="U200" i="1" s="1"/>
  <c r="S200" i="1" s="1"/>
  <c r="AA186" i="1"/>
  <c r="T184" i="1"/>
  <c r="T183" i="1"/>
  <c r="AA178" i="1"/>
  <c r="AA172" i="1"/>
  <c r="W172" i="1" s="1"/>
  <c r="X171" i="1"/>
  <c r="W167" i="1"/>
  <c r="T163" i="1"/>
  <c r="U163" i="1" s="1"/>
  <c r="S163" i="1" s="1"/>
  <c r="X222" i="1"/>
  <c r="AG219" i="1"/>
  <c r="U219" i="1" s="1"/>
  <c r="S219" i="1" s="1"/>
  <c r="AA217" i="1"/>
  <c r="W217" i="1" s="1"/>
  <c r="AA216" i="1"/>
  <c r="AA209" i="1"/>
  <c r="AI209" i="1" s="1"/>
  <c r="T209" i="1"/>
  <c r="U209" i="1" s="1"/>
  <c r="S209" i="1" s="1"/>
  <c r="AA208" i="1"/>
  <c r="X206" i="1"/>
  <c r="AA156" i="1"/>
  <c r="X154" i="1"/>
  <c r="AG150" i="1"/>
  <c r="AA146" i="1"/>
  <c r="AA141" i="1"/>
  <c r="AA138" i="1"/>
  <c r="W138" i="1" s="1"/>
  <c r="AI136" i="1"/>
  <c r="T179" i="1"/>
  <c r="W169" i="1"/>
  <c r="T164" i="1"/>
  <c r="U164" i="1" s="1"/>
  <c r="S164" i="1" s="1"/>
  <c r="T160" i="1"/>
  <c r="U160" i="1" s="1"/>
  <c r="S160" i="1" s="1"/>
  <c r="T151" i="1"/>
  <c r="U151" i="1" s="1"/>
  <c r="S151" i="1" s="1"/>
  <c r="AG141" i="1"/>
  <c r="X141" i="1"/>
  <c r="AA126" i="1"/>
  <c r="AI114" i="1"/>
  <c r="AA199" i="1"/>
  <c r="AA203" i="1"/>
  <c r="AG202" i="1"/>
  <c r="W202" i="1" s="1"/>
  <c r="X202" i="1"/>
  <c r="X196" i="1"/>
  <c r="AG195" i="1"/>
  <c r="AA193" i="1"/>
  <c r="W193" i="1" s="1"/>
  <c r="AA187" i="1"/>
  <c r="AG186" i="1"/>
  <c r="U186" i="1" s="1"/>
  <c r="S186" i="1" s="1"/>
  <c r="X186" i="1"/>
  <c r="X184" i="1"/>
  <c r="AG183" i="1"/>
  <c r="X180" i="1"/>
  <c r="AG179" i="1"/>
  <c r="AG178" i="1"/>
  <c r="X178" i="1"/>
  <c r="AA163" i="1"/>
  <c r="W163" i="1" s="1"/>
  <c r="AA159" i="1"/>
  <c r="AA158" i="1"/>
  <c r="AA222" i="1"/>
  <c r="AI222" i="1" s="1"/>
  <c r="T222" i="1"/>
  <c r="U222" i="1" s="1"/>
  <c r="S222" i="1" s="1"/>
  <c r="X209" i="1"/>
  <c r="AG208" i="1"/>
  <c r="U208" i="1" s="1"/>
  <c r="S208" i="1" s="1"/>
  <c r="X208" i="1"/>
  <c r="T206" i="1"/>
  <c r="U206" i="1" s="1"/>
  <c r="S206" i="1" s="1"/>
  <c r="AG152" i="1"/>
  <c r="AI152" i="1" s="1"/>
  <c r="AA148" i="1"/>
  <c r="AA147" i="1"/>
  <c r="W147" i="1" s="1"/>
  <c r="AG146" i="1"/>
  <c r="U146" i="1" s="1"/>
  <c r="S146" i="1" s="1"/>
  <c r="T139" i="1"/>
  <c r="X139" i="1"/>
  <c r="AG139" i="1"/>
  <c r="T131" i="1"/>
  <c r="X131" i="1"/>
  <c r="AG131" i="1"/>
  <c r="AG128" i="1"/>
  <c r="U128" i="1" s="1"/>
  <c r="S128" i="1" s="1"/>
  <c r="X128" i="1"/>
  <c r="W96" i="1"/>
  <c r="T195" i="1"/>
  <c r="X200" i="1"/>
  <c r="AG199" i="1"/>
  <c r="U199" i="1" s="1"/>
  <c r="S199" i="1" s="1"/>
  <c r="AA211" i="1"/>
  <c r="W211" i="1" s="1"/>
  <c r="AG203" i="1"/>
  <c r="AA194" i="1"/>
  <c r="AA188" i="1"/>
  <c r="W188" i="1" s="1"/>
  <c r="AG187" i="1"/>
  <c r="U187" i="1" s="1"/>
  <c r="S187" i="1" s="1"/>
  <c r="AA171" i="1"/>
  <c r="AG170" i="1"/>
  <c r="AI170" i="1" s="1"/>
  <c r="X170" i="1"/>
  <c r="T168" i="1"/>
  <c r="U168" i="1" s="1"/>
  <c r="S168" i="1" s="1"/>
  <c r="AA165" i="1"/>
  <c r="X164" i="1"/>
  <c r="X160" i="1"/>
  <c r="AA205" i="1"/>
  <c r="W205" i="1" s="1"/>
  <c r="T140" i="1"/>
  <c r="X129" i="1"/>
  <c r="AA121" i="1"/>
  <c r="W121" i="1" s="1"/>
  <c r="T117" i="1"/>
  <c r="AG117" i="1"/>
  <c r="AI96" i="1"/>
  <c r="T100" i="1"/>
  <c r="T60" i="1"/>
  <c r="U56" i="1"/>
  <c r="S56" i="1" s="1"/>
  <c r="W52" i="1"/>
  <c r="T22" i="1"/>
  <c r="U22" i="1" s="1"/>
  <c r="S22" i="1" s="1"/>
  <c r="X19" i="1"/>
  <c r="AG18" i="1"/>
  <c r="AG16" i="1"/>
  <c r="W16" i="1" s="1"/>
  <c r="AA118" i="1"/>
  <c r="AA108" i="1"/>
  <c r="AI108" i="1" s="1"/>
  <c r="AG107" i="1"/>
  <c r="T105" i="1"/>
  <c r="X101" i="1"/>
  <c r="AG100" i="1"/>
  <c r="AG99" i="1"/>
  <c r="U99" i="1" s="1"/>
  <c r="S99" i="1" s="1"/>
  <c r="X99" i="1"/>
  <c r="T96" i="1"/>
  <c r="U96" i="1" s="1"/>
  <c r="S96" i="1" s="1"/>
  <c r="W90" i="1"/>
  <c r="X89" i="1"/>
  <c r="AG88" i="1"/>
  <c r="X88" i="1"/>
  <c r="AA82" i="1"/>
  <c r="X73" i="1"/>
  <c r="AG72" i="1"/>
  <c r="U72" i="1" s="1"/>
  <c r="S72" i="1" s="1"/>
  <c r="T64" i="1"/>
  <c r="AG62" i="1"/>
  <c r="U62" i="1" s="1"/>
  <c r="S62" i="1" s="1"/>
  <c r="AG60" i="1"/>
  <c r="AG58" i="1"/>
  <c r="U58" i="1" s="1"/>
  <c r="S58" i="1" s="1"/>
  <c r="T42" i="1"/>
  <c r="U42" i="1" s="1"/>
  <c r="S42" i="1" s="1"/>
  <c r="AA34" i="1"/>
  <c r="X31" i="1"/>
  <c r="AG30" i="1"/>
  <c r="AG28" i="1"/>
  <c r="AA23" i="1"/>
  <c r="W23" i="1" s="1"/>
  <c r="T23" i="1"/>
  <c r="U23" i="1" s="1"/>
  <c r="S23" i="1" s="1"/>
  <c r="T124" i="1"/>
  <c r="AG118" i="1"/>
  <c r="AA112" i="1"/>
  <c r="AA110" i="1"/>
  <c r="W110" i="1" s="1"/>
  <c r="AG108" i="1"/>
  <c r="AG82" i="1"/>
  <c r="AI82" i="1" s="1"/>
  <c r="X72" i="1"/>
  <c r="AG66" i="1"/>
  <c r="AG64" i="1"/>
  <c r="W64" i="1" s="1"/>
  <c r="AG63" i="1"/>
  <c r="AG59" i="1"/>
  <c r="AI56" i="1"/>
  <c r="AA55" i="1"/>
  <c r="AG50" i="1"/>
  <c r="U50" i="1" s="1"/>
  <c r="S50" i="1" s="1"/>
  <c r="AA47" i="1"/>
  <c r="W47" i="1" s="1"/>
  <c r="T47" i="1"/>
  <c r="U47" i="1" s="1"/>
  <c r="S47" i="1" s="1"/>
  <c r="AA39" i="1"/>
  <c r="AG37" i="1"/>
  <c r="U37" i="1" s="1"/>
  <c r="S37" i="1" s="1"/>
  <c r="X37" i="1"/>
  <c r="X27" i="1"/>
  <c r="AG26" i="1"/>
  <c r="U26" i="1" s="1"/>
  <c r="S26" i="1" s="1"/>
  <c r="AA19" i="1"/>
  <c r="AI19" i="1" s="1"/>
  <c r="T19" i="1"/>
  <c r="U19" i="1" s="1"/>
  <c r="S19" i="1" s="1"/>
  <c r="AA134" i="1"/>
  <c r="AA132" i="1"/>
  <c r="T129" i="1"/>
  <c r="U129" i="1" s="1"/>
  <c r="S129" i="1" s="1"/>
  <c r="AG122" i="1"/>
  <c r="U122" i="1" s="1"/>
  <c r="S122" i="1" s="1"/>
  <c r="AA117" i="1"/>
  <c r="X115" i="1"/>
  <c r="AA113" i="1"/>
  <c r="AG112" i="1"/>
  <c r="X111" i="1"/>
  <c r="AA107" i="1"/>
  <c r="AI107" i="1" s="1"/>
  <c r="X105" i="1"/>
  <c r="X104" i="1"/>
  <c r="AA101" i="1"/>
  <c r="AI101" i="1" s="1"/>
  <c r="AA99" i="1"/>
  <c r="AA98" i="1"/>
  <c r="AI98" i="1" s="1"/>
  <c r="T97" i="1"/>
  <c r="U97" i="1" s="1"/>
  <c r="S97" i="1" s="1"/>
  <c r="AA94" i="1"/>
  <c r="AA92" i="1"/>
  <c r="W92" i="1" s="1"/>
  <c r="AG91" i="1"/>
  <c r="U91" i="1" s="1"/>
  <c r="S91" i="1" s="1"/>
  <c r="X91" i="1"/>
  <c r="T89" i="1"/>
  <c r="U89" i="1" s="1"/>
  <c r="S89" i="1" s="1"/>
  <c r="U80" i="1"/>
  <c r="S80" i="1" s="1"/>
  <c r="AA78" i="1"/>
  <c r="T73" i="1"/>
  <c r="U73" i="1" s="1"/>
  <c r="S73" i="1" s="1"/>
  <c r="AA58" i="1"/>
  <c r="AA57" i="1"/>
  <c r="W46" i="1"/>
  <c r="T43" i="1"/>
  <c r="U43" i="1" s="1"/>
  <c r="S43" i="1" s="1"/>
  <c r="AA31" i="1"/>
  <c r="AI31" i="1" s="1"/>
  <c r="T31" i="1"/>
  <c r="U31" i="1" s="1"/>
  <c r="S31" i="1" s="1"/>
  <c r="X23" i="1"/>
  <c r="T14" i="1"/>
  <c r="W176" i="1"/>
  <c r="T162" i="1"/>
  <c r="X162" i="1"/>
  <c r="AA104" i="1"/>
  <c r="W104" i="1" s="1"/>
  <c r="U104" i="1"/>
  <c r="S104" i="1" s="1"/>
  <c r="X95" i="1"/>
  <c r="AG95" i="1"/>
  <c r="X96" i="1"/>
  <c r="T95" i="1"/>
  <c r="T211" i="1"/>
  <c r="U211" i="1" s="1"/>
  <c r="S211" i="1" s="1"/>
  <c r="W196" i="1"/>
  <c r="X211" i="1"/>
  <c r="T192" i="1"/>
  <c r="U192" i="1" s="1"/>
  <c r="S192" i="1" s="1"/>
  <c r="W184" i="1"/>
  <c r="T176" i="1"/>
  <c r="U176" i="1" s="1"/>
  <c r="S176" i="1" s="1"/>
  <c r="T173" i="1"/>
  <c r="X173" i="1"/>
  <c r="X172" i="1"/>
  <c r="AG158" i="1"/>
  <c r="X159" i="1"/>
  <c r="T158" i="1"/>
  <c r="X158" i="1"/>
  <c r="AG220" i="1"/>
  <c r="X221" i="1"/>
  <c r="T220" i="1"/>
  <c r="X220" i="1"/>
  <c r="U217" i="1"/>
  <c r="S217" i="1" s="1"/>
  <c r="AG216" i="1"/>
  <c r="AI216" i="1" s="1"/>
  <c r="X217" i="1"/>
  <c r="T216" i="1"/>
  <c r="X216" i="1"/>
  <c r="U153" i="1"/>
  <c r="S153" i="1" s="1"/>
  <c r="AG149" i="1"/>
  <c r="T126" i="1"/>
  <c r="AG126" i="1"/>
  <c r="U124" i="1"/>
  <c r="S124" i="1" s="1"/>
  <c r="AG93" i="1"/>
  <c r="T93" i="1"/>
  <c r="X93" i="1"/>
  <c r="U88" i="1"/>
  <c r="S88" i="1" s="1"/>
  <c r="T57" i="1"/>
  <c r="X57" i="1"/>
  <c r="AG57" i="1"/>
  <c r="T213" i="1"/>
  <c r="T197" i="1"/>
  <c r="X197" i="1"/>
  <c r="T190" i="1"/>
  <c r="T181" i="1"/>
  <c r="X181" i="1"/>
  <c r="T174" i="1"/>
  <c r="AI184" i="1"/>
  <c r="AI166" i="1"/>
  <c r="U218" i="1"/>
  <c r="S218" i="1" s="1"/>
  <c r="T156" i="1"/>
  <c r="X156" i="1"/>
  <c r="AG156" i="1"/>
  <c r="T70" i="1"/>
  <c r="X70" i="1"/>
  <c r="AG70" i="1"/>
  <c r="AI23" i="1"/>
  <c r="AA22" i="1"/>
  <c r="W22" i="1" s="1"/>
  <c r="AG213" i="1"/>
  <c r="X213" i="1"/>
  <c r="T201" i="1"/>
  <c r="X201" i="1"/>
  <c r="AG197" i="1"/>
  <c r="AI197" i="1" s="1"/>
  <c r="T194" i="1"/>
  <c r="T188" i="1"/>
  <c r="U188" i="1" s="1"/>
  <c r="S188" i="1" s="1"/>
  <c r="T215" i="1"/>
  <c r="U215" i="1" s="1"/>
  <c r="S215" i="1" s="1"/>
  <c r="T212" i="1"/>
  <c r="X212" i="1"/>
  <c r="AG201" i="1"/>
  <c r="T198" i="1"/>
  <c r="AG194" i="1"/>
  <c r="AI207" i="1"/>
  <c r="T189" i="1"/>
  <c r="X189" i="1"/>
  <c r="X188" i="1"/>
  <c r="T182" i="1"/>
  <c r="X215" i="1"/>
  <c r="AA213" i="1"/>
  <c r="AG212" i="1"/>
  <c r="AG198" i="1"/>
  <c r="T196" i="1"/>
  <c r="U196" i="1" s="1"/>
  <c r="S196" i="1" s="1"/>
  <c r="T193" i="1"/>
  <c r="U193" i="1" s="1"/>
  <c r="S193" i="1" s="1"/>
  <c r="X193" i="1"/>
  <c r="X192" i="1"/>
  <c r="X191" i="1"/>
  <c r="AA190" i="1"/>
  <c r="AG189" i="1"/>
  <c r="AI189" i="1" s="1"/>
  <c r="U184" i="1"/>
  <c r="S184" i="1" s="1"/>
  <c r="AG182" i="1"/>
  <c r="T180" i="1"/>
  <c r="U180" i="1" s="1"/>
  <c r="S180" i="1" s="1"/>
  <c r="T177" i="1"/>
  <c r="U177" i="1" s="1"/>
  <c r="S177" i="1" s="1"/>
  <c r="X177" i="1"/>
  <c r="X176" i="1"/>
  <c r="X175" i="1"/>
  <c r="AA174" i="1"/>
  <c r="AG173" i="1"/>
  <c r="AA162" i="1"/>
  <c r="T161" i="1"/>
  <c r="X161" i="1"/>
  <c r="AG161" i="1"/>
  <c r="AI161" i="1" s="1"/>
  <c r="U144" i="1"/>
  <c r="S144" i="1" s="1"/>
  <c r="T142" i="1"/>
  <c r="X142" i="1"/>
  <c r="AG142" i="1"/>
  <c r="T165" i="1"/>
  <c r="X165" i="1"/>
  <c r="AG165" i="1"/>
  <c r="AG190" i="1"/>
  <c r="T185" i="1"/>
  <c r="U185" i="1" s="1"/>
  <c r="S185" i="1" s="1"/>
  <c r="X185" i="1"/>
  <c r="AG181" i="1"/>
  <c r="AG174" i="1"/>
  <c r="T172" i="1"/>
  <c r="U172" i="1" s="1"/>
  <c r="S172" i="1" s="1"/>
  <c r="T169" i="1"/>
  <c r="U169" i="1" s="1"/>
  <c r="S169" i="1" s="1"/>
  <c r="X169" i="1"/>
  <c r="T166" i="1"/>
  <c r="U166" i="1" s="1"/>
  <c r="S166" i="1" s="1"/>
  <c r="X166" i="1"/>
  <c r="X163" i="1"/>
  <c r="AG162" i="1"/>
  <c r="AI169" i="1"/>
  <c r="X135" i="1"/>
  <c r="AG135" i="1"/>
  <c r="X136" i="1"/>
  <c r="AG133" i="1"/>
  <c r="W133" i="1" s="1"/>
  <c r="T133" i="1"/>
  <c r="X133" i="1"/>
  <c r="U110" i="1"/>
  <c r="S110" i="1" s="1"/>
  <c r="W81" i="1"/>
  <c r="T204" i="1"/>
  <c r="T148" i="1"/>
  <c r="T143" i="1"/>
  <c r="T134" i="1"/>
  <c r="X134" i="1"/>
  <c r="T127" i="1"/>
  <c r="AG113" i="1"/>
  <c r="X114" i="1"/>
  <c r="T102" i="1"/>
  <c r="X102" i="1"/>
  <c r="AG102" i="1"/>
  <c r="AI91" i="1"/>
  <c r="U67" i="1"/>
  <c r="S67" i="1" s="1"/>
  <c r="X157" i="1"/>
  <c r="X219" i="1"/>
  <c r="X210" i="1"/>
  <c r="AG204" i="1"/>
  <c r="X204" i="1"/>
  <c r="T155" i="1"/>
  <c r="U155" i="1" s="1"/>
  <c r="S155" i="1" s="1"/>
  <c r="T152" i="1"/>
  <c r="X152" i="1"/>
  <c r="X151" i="1"/>
  <c r="AA149" i="1"/>
  <c r="W149" i="1" s="1"/>
  <c r="AG148" i="1"/>
  <c r="AI147" i="1"/>
  <c r="AG143" i="1"/>
  <c r="X143" i="1"/>
  <c r="T141" i="1"/>
  <c r="T138" i="1"/>
  <c r="U138" i="1" s="1"/>
  <c r="S138" i="1" s="1"/>
  <c r="X138" i="1"/>
  <c r="X137" i="1"/>
  <c r="AA135" i="1"/>
  <c r="AG134" i="1"/>
  <c r="W134" i="1" s="1"/>
  <c r="AG127" i="1"/>
  <c r="X127" i="1"/>
  <c r="T125" i="1"/>
  <c r="U125" i="1" s="1"/>
  <c r="S125" i="1" s="1"/>
  <c r="T121" i="1"/>
  <c r="U121" i="1" s="1"/>
  <c r="S121" i="1" s="1"/>
  <c r="T115" i="1"/>
  <c r="U115" i="1" s="1"/>
  <c r="S115" i="1" s="1"/>
  <c r="X113" i="1"/>
  <c r="U111" i="1"/>
  <c r="S111" i="1" s="1"/>
  <c r="U107" i="1"/>
  <c r="S107" i="1" s="1"/>
  <c r="W101" i="1"/>
  <c r="X79" i="1"/>
  <c r="AG79" i="1"/>
  <c r="X80" i="1"/>
  <c r="AG77" i="1"/>
  <c r="T77" i="1"/>
  <c r="X77" i="1"/>
  <c r="T207" i="1"/>
  <c r="U207" i="1" s="1"/>
  <c r="S207" i="1" s="1"/>
  <c r="X207" i="1"/>
  <c r="AA204" i="1"/>
  <c r="T145" i="1"/>
  <c r="U145" i="1" s="1"/>
  <c r="S145" i="1" s="1"/>
  <c r="AA143" i="1"/>
  <c r="T130" i="1"/>
  <c r="U130" i="1" s="1"/>
  <c r="S130" i="1" s="1"/>
  <c r="X130" i="1"/>
  <c r="AA127" i="1"/>
  <c r="T116" i="1"/>
  <c r="U116" i="1" s="1"/>
  <c r="S116" i="1" s="1"/>
  <c r="T113" i="1"/>
  <c r="T109" i="1"/>
  <c r="AG109" i="1"/>
  <c r="X110" i="1"/>
  <c r="T86" i="1"/>
  <c r="X86" i="1"/>
  <c r="AG86" i="1"/>
  <c r="T79" i="1"/>
  <c r="AI66" i="1"/>
  <c r="AA50" i="1"/>
  <c r="T103" i="1"/>
  <c r="T94" i="1"/>
  <c r="X94" i="1"/>
  <c r="T87" i="1"/>
  <c r="T78" i="1"/>
  <c r="X78" i="1"/>
  <c r="W73" i="1"/>
  <c r="T71" i="1"/>
  <c r="T65" i="1"/>
  <c r="X65" i="1"/>
  <c r="AG65" i="1"/>
  <c r="W65" i="1" s="1"/>
  <c r="W58" i="1"/>
  <c r="U46" i="1"/>
  <c r="S46" i="1" s="1"/>
  <c r="W43" i="1"/>
  <c r="X42" i="1"/>
  <c r="X41" i="1"/>
  <c r="AG41" i="1"/>
  <c r="AA30" i="1"/>
  <c r="W30" i="1" s="1"/>
  <c r="U30" i="1"/>
  <c r="S30" i="1" s="1"/>
  <c r="U14" i="1"/>
  <c r="S14" i="1" s="1"/>
  <c r="X112" i="1"/>
  <c r="U105" i="1"/>
  <c r="S105" i="1" s="1"/>
  <c r="AG103" i="1"/>
  <c r="X103" i="1"/>
  <c r="T101" i="1"/>
  <c r="U101" i="1" s="1"/>
  <c r="S101" i="1" s="1"/>
  <c r="T98" i="1"/>
  <c r="U98" i="1" s="1"/>
  <c r="S98" i="1" s="1"/>
  <c r="X98" i="1"/>
  <c r="X97" i="1"/>
  <c r="AA95" i="1"/>
  <c r="AG94" i="1"/>
  <c r="W94" i="1" s="1"/>
  <c r="AG87" i="1"/>
  <c r="X87" i="1"/>
  <c r="T85" i="1"/>
  <c r="T82" i="1"/>
  <c r="X82" i="1"/>
  <c r="X81" i="1"/>
  <c r="AA79" i="1"/>
  <c r="AG78" i="1"/>
  <c r="AG71" i="1"/>
  <c r="X71" i="1"/>
  <c r="AA70" i="1"/>
  <c r="T69" i="1"/>
  <c r="X69" i="1"/>
  <c r="AG69" i="1"/>
  <c r="T66" i="1"/>
  <c r="X66" i="1"/>
  <c r="T61" i="1"/>
  <c r="X61" i="1"/>
  <c r="AG61" i="1"/>
  <c r="W61" i="1" s="1"/>
  <c r="AA54" i="1"/>
  <c r="T48" i="1"/>
  <c r="X48" i="1"/>
  <c r="X49" i="1"/>
  <c r="AG48" i="1"/>
  <c r="AI47" i="1"/>
  <c r="AG39" i="1"/>
  <c r="X39" i="1"/>
  <c r="T39" i="1"/>
  <c r="AA26" i="1"/>
  <c r="W26" i="1" s="1"/>
  <c r="T106" i="1"/>
  <c r="U106" i="1" s="1"/>
  <c r="S106" i="1" s="1"/>
  <c r="X106" i="1"/>
  <c r="AA103" i="1"/>
  <c r="T90" i="1"/>
  <c r="U90" i="1" s="1"/>
  <c r="S90" i="1" s="1"/>
  <c r="X90" i="1"/>
  <c r="AA87" i="1"/>
  <c r="T74" i="1"/>
  <c r="U74" i="1" s="1"/>
  <c r="S74" i="1" s="1"/>
  <c r="X74" i="1"/>
  <c r="AA71" i="1"/>
  <c r="AA62" i="1"/>
  <c r="T53" i="1"/>
  <c r="X53" i="1"/>
  <c r="AG53" i="1"/>
  <c r="AA44" i="1"/>
  <c r="W44" i="1" s="1"/>
  <c r="AI35" i="1"/>
  <c r="W35" i="1"/>
  <c r="AA18" i="1"/>
  <c r="U18" i="1"/>
  <c r="S18" i="1" s="1"/>
  <c r="AI63" i="1"/>
  <c r="X62" i="1"/>
  <c r="X58" i="1"/>
  <c r="X54" i="1"/>
  <c r="T52" i="1"/>
  <c r="U52" i="1" s="1"/>
  <c r="S52" i="1" s="1"/>
  <c r="X52" i="1"/>
  <c r="X51" i="1"/>
  <c r="X50" i="1"/>
  <c r="AA49" i="1"/>
  <c r="AI46" i="1"/>
  <c r="T36" i="1"/>
  <c r="U36" i="1" s="1"/>
  <c r="S36" i="1" s="1"/>
  <c r="X36" i="1"/>
  <c r="X35" i="1"/>
  <c r="X34" i="1"/>
  <c r="AA33" i="1"/>
  <c r="T40" i="1"/>
  <c r="U40" i="1" s="1"/>
  <c r="S40" i="1" s="1"/>
  <c r="X40" i="1"/>
  <c r="X38" i="1"/>
  <c r="AA37" i="1"/>
  <c r="AG29" i="1"/>
  <c r="X30" i="1"/>
  <c r="T29" i="1"/>
  <c r="X29" i="1"/>
  <c r="AG25" i="1"/>
  <c r="X26" i="1"/>
  <c r="T25" i="1"/>
  <c r="X25" i="1"/>
  <c r="AG21" i="1"/>
  <c r="X22" i="1"/>
  <c r="T21" i="1"/>
  <c r="X21" i="1"/>
  <c r="AG17" i="1"/>
  <c r="T17" i="1"/>
  <c r="T44" i="1"/>
  <c r="U44" i="1" s="1"/>
  <c r="S44" i="1" s="1"/>
  <c r="X44" i="1"/>
  <c r="AA41" i="1"/>
  <c r="U35" i="1"/>
  <c r="S35" i="1" s="1"/>
  <c r="X32" i="1"/>
  <c r="X28" i="1"/>
  <c r="X24" i="1"/>
  <c r="X20" i="1"/>
  <c r="W54" i="1" l="1"/>
  <c r="W91" i="1"/>
  <c r="W98" i="1"/>
  <c r="W120" i="1"/>
  <c r="AI151" i="1"/>
  <c r="AI55" i="1"/>
  <c r="W19" i="1"/>
  <c r="W69" i="1"/>
  <c r="W109" i="1"/>
  <c r="AI190" i="1"/>
  <c r="AI138" i="1"/>
  <c r="W78" i="1"/>
  <c r="AI202" i="1"/>
  <c r="W113" i="1"/>
  <c r="AI158" i="1"/>
  <c r="AI58" i="1"/>
  <c r="AI92" i="1"/>
  <c r="AI15" i="1"/>
  <c r="U15" i="1"/>
  <c r="S15" i="1" s="1"/>
  <c r="W15" i="1"/>
  <c r="W29" i="1"/>
  <c r="W37" i="1"/>
  <c r="W14" i="1"/>
  <c r="W125" i="1"/>
  <c r="W100" i="1"/>
  <c r="AI192" i="1"/>
  <c r="AI139" i="1"/>
  <c r="W85" i="1"/>
  <c r="AI180" i="1"/>
  <c r="W60" i="1"/>
  <c r="W36" i="1"/>
  <c r="U131" i="1"/>
  <c r="AI88" i="1"/>
  <c r="W67" i="1"/>
  <c r="W222" i="1"/>
  <c r="AI117" i="1"/>
  <c r="W55" i="1"/>
  <c r="U108" i="1"/>
  <c r="S108" i="1" s="1"/>
  <c r="U117" i="1"/>
  <c r="S117" i="1" s="1"/>
  <c r="W208" i="1"/>
  <c r="U183" i="1"/>
  <c r="S183" i="1" s="1"/>
  <c r="AI140" i="1"/>
  <c r="W41" i="1"/>
  <c r="U66" i="1"/>
  <c r="S66" i="1" s="1"/>
  <c r="AI153" i="1"/>
  <c r="W201" i="1"/>
  <c r="AI121" i="1"/>
  <c r="AI59" i="1"/>
  <c r="AI42" i="1"/>
  <c r="AI129" i="1"/>
  <c r="W68" i="1"/>
  <c r="U154" i="1"/>
  <c r="S154" i="1" s="1"/>
  <c r="AI173" i="1"/>
  <c r="AI122" i="1"/>
  <c r="U179" i="1"/>
  <c r="S179" i="1" s="1"/>
  <c r="W195" i="1"/>
  <c r="W119" i="1"/>
  <c r="U55" i="1"/>
  <c r="S55" i="1" s="1"/>
  <c r="U171" i="1"/>
  <c r="S171" i="1" s="1"/>
  <c r="AI104" i="1"/>
  <c r="AI200" i="1"/>
  <c r="W199" i="1"/>
  <c r="W49" i="1"/>
  <c r="W18" i="1"/>
  <c r="W88" i="1"/>
  <c r="W144" i="1"/>
  <c r="AI177" i="1"/>
  <c r="W76" i="1"/>
  <c r="U118" i="1"/>
  <c r="S118" i="1" s="1"/>
  <c r="AI183" i="1"/>
  <c r="AI141" i="1"/>
  <c r="AI130" i="1"/>
  <c r="W66" i="1"/>
  <c r="AI75" i="1"/>
  <c r="W40" i="1"/>
  <c r="U76" i="1"/>
  <c r="S76" i="1" s="1"/>
  <c r="W83" i="1"/>
  <c r="W48" i="1"/>
  <c r="AI83" i="1"/>
  <c r="W51" i="1"/>
  <c r="W24" i="1"/>
  <c r="AI206" i="1"/>
  <c r="W95" i="1"/>
  <c r="W77" i="1"/>
  <c r="W152" i="1"/>
  <c r="AI185" i="1"/>
  <c r="W93" i="1"/>
  <c r="AI112" i="1"/>
  <c r="W132" i="1"/>
  <c r="W62" i="1"/>
  <c r="W70" i="1"/>
  <c r="U82" i="1"/>
  <c r="S82" i="1" s="1"/>
  <c r="AI111" i="1"/>
  <c r="W117" i="1"/>
  <c r="AI110" i="1"/>
  <c r="AI194" i="1"/>
  <c r="W122" i="1"/>
  <c r="W124" i="1"/>
  <c r="AI165" i="1"/>
  <c r="U203" i="1"/>
  <c r="S203" i="1" s="1"/>
  <c r="AI178" i="1"/>
  <c r="AI24" i="1"/>
  <c r="AI72" i="1"/>
  <c r="U92" i="1"/>
  <c r="S92" i="1" s="1"/>
  <c r="W38" i="1"/>
  <c r="AI22" i="1"/>
  <c r="W53" i="1"/>
  <c r="AI85" i="1"/>
  <c r="W137" i="1"/>
  <c r="W155" i="1"/>
  <c r="U140" i="1"/>
  <c r="S140" i="1" s="1"/>
  <c r="W218" i="1"/>
  <c r="AI146" i="1"/>
  <c r="W126" i="1"/>
  <c r="W57" i="1"/>
  <c r="U59" i="1"/>
  <c r="S59" i="1" s="1"/>
  <c r="AI116" i="1"/>
  <c r="W97" i="1"/>
  <c r="W158" i="1"/>
  <c r="AI119" i="1"/>
  <c r="W141" i="1"/>
  <c r="W186" i="1"/>
  <c r="W140" i="1"/>
  <c r="AI167" i="1"/>
  <c r="W80" i="1"/>
  <c r="AI131" i="1"/>
  <c r="AI115" i="1"/>
  <c r="W17" i="1"/>
  <c r="W107" i="1"/>
  <c r="AI162" i="1"/>
  <c r="W182" i="1"/>
  <c r="AI45" i="1"/>
  <c r="AI26" i="1"/>
  <c r="U85" i="1"/>
  <c r="S85" i="1" s="1"/>
  <c r="AI174" i="1"/>
  <c r="W32" i="1"/>
  <c r="AI68" i="1"/>
  <c r="W74" i="1"/>
  <c r="W146" i="1"/>
  <c r="W165" i="1"/>
  <c r="W209" i="1"/>
  <c r="W220" i="1"/>
  <c r="W118" i="1"/>
  <c r="W102" i="1"/>
  <c r="AI33" i="1"/>
  <c r="W34" i="1"/>
  <c r="W50" i="1"/>
  <c r="U112" i="1"/>
  <c r="S112" i="1" s="1"/>
  <c r="W170" i="1"/>
  <c r="U170" i="1"/>
  <c r="S170" i="1" s="1"/>
  <c r="W221" i="1"/>
  <c r="AI186" i="1"/>
  <c r="AI160" i="1"/>
  <c r="W31" i="1"/>
  <c r="W33" i="1"/>
  <c r="AI27" i="1"/>
  <c r="W39" i="1"/>
  <c r="AI118" i="1"/>
  <c r="AI128" i="1"/>
  <c r="U167" i="1"/>
  <c r="S167" i="1" s="1"/>
  <c r="U202" i="1"/>
  <c r="S202" i="1" s="1"/>
  <c r="U34" i="1"/>
  <c r="S34" i="1" s="1"/>
  <c r="AI34" i="1"/>
  <c r="W75" i="1"/>
  <c r="W105" i="1"/>
  <c r="W135" i="1"/>
  <c r="U141" i="1"/>
  <c r="S141" i="1" s="1"/>
  <c r="W131" i="1"/>
  <c r="W181" i="1"/>
  <c r="AI198" i="1"/>
  <c r="AI18" i="1"/>
  <c r="AI50" i="1"/>
  <c r="W89" i="1"/>
  <c r="AI99" i="1"/>
  <c r="AI132" i="1"/>
  <c r="U152" i="1"/>
  <c r="S152" i="1" s="1"/>
  <c r="W216" i="1"/>
  <c r="W112" i="1"/>
  <c r="AI217" i="1"/>
  <c r="AI191" i="1"/>
  <c r="W154" i="1"/>
  <c r="AI49" i="1"/>
  <c r="W71" i="1"/>
  <c r="W87" i="1"/>
  <c r="W127" i="1"/>
  <c r="AI199" i="1"/>
  <c r="W159" i="1"/>
  <c r="AI38" i="1"/>
  <c r="W214" i="1"/>
  <c r="AI106" i="1"/>
  <c r="W175" i="1"/>
  <c r="W45" i="1"/>
  <c r="W191" i="1"/>
  <c r="AI30" i="1"/>
  <c r="U63" i="1"/>
  <c r="S63" i="1" s="1"/>
  <c r="W63" i="1"/>
  <c r="AI20" i="1"/>
  <c r="W210" i="1"/>
  <c r="AI210" i="1"/>
  <c r="W79" i="1"/>
  <c r="AI213" i="1"/>
  <c r="W99" i="1"/>
  <c r="W139" i="1"/>
  <c r="W20" i="1"/>
  <c r="W179" i="1"/>
  <c r="AI214" i="1"/>
  <c r="AI32" i="1"/>
  <c r="W157" i="1"/>
  <c r="U28" i="1"/>
  <c r="S28" i="1" s="1"/>
  <c r="AI28" i="1"/>
  <c r="W108" i="1"/>
  <c r="AI182" i="1"/>
  <c r="W219" i="1"/>
  <c r="W198" i="1"/>
  <c r="W171" i="1"/>
  <c r="AI171" i="1"/>
  <c r="W187" i="1"/>
  <c r="U178" i="1"/>
  <c r="S178" i="1" s="1"/>
  <c r="AI193" i="1"/>
  <c r="AI163" i="1"/>
  <c r="AI62" i="1"/>
  <c r="U60" i="1"/>
  <c r="S60" i="1" s="1"/>
  <c r="AI60" i="1"/>
  <c r="W59" i="1"/>
  <c r="W72" i="1"/>
  <c r="W128" i="1"/>
  <c r="AI181" i="1"/>
  <c r="U150" i="1"/>
  <c r="S150" i="1" s="1"/>
  <c r="AI150" i="1"/>
  <c r="W150" i="1"/>
  <c r="AI205" i="1"/>
  <c r="AI54" i="1"/>
  <c r="W103" i="1"/>
  <c r="W174" i="1"/>
  <c r="U64" i="1"/>
  <c r="S64" i="1" s="1"/>
  <c r="AI64" i="1"/>
  <c r="W82" i="1"/>
  <c r="U100" i="1"/>
  <c r="S100" i="1" s="1"/>
  <c r="AI100" i="1"/>
  <c r="U16" i="1"/>
  <c r="S16" i="1" s="1"/>
  <c r="AI16" i="1"/>
  <c r="W28" i="1"/>
  <c r="U139" i="1"/>
  <c r="S139" i="1" s="1"/>
  <c r="U195" i="1"/>
  <c r="S195" i="1" s="1"/>
  <c r="W203" i="1"/>
  <c r="AI159" i="1"/>
  <c r="W183" i="1"/>
  <c r="W178" i="1"/>
  <c r="AI204" i="1"/>
  <c r="U190" i="1"/>
  <c r="S190" i="1" s="1"/>
  <c r="AI187" i="1"/>
  <c r="W173" i="1"/>
  <c r="U173" i="1"/>
  <c r="S173" i="1" s="1"/>
  <c r="AI156" i="1"/>
  <c r="U156" i="1"/>
  <c r="S156" i="1" s="1"/>
  <c r="AI44" i="1"/>
  <c r="U69" i="1"/>
  <c r="S69" i="1" s="1"/>
  <c r="AI69" i="1"/>
  <c r="AI87" i="1"/>
  <c r="U87" i="1"/>
  <c r="S87" i="1" s="1"/>
  <c r="AI94" i="1"/>
  <c r="U94" i="1"/>
  <c r="S94" i="1" s="1"/>
  <c r="AI41" i="1"/>
  <c r="U41" i="1"/>
  <c r="S41" i="1" s="1"/>
  <c r="AI86" i="1"/>
  <c r="U86" i="1"/>
  <c r="S86" i="1" s="1"/>
  <c r="W143" i="1"/>
  <c r="W204" i="1"/>
  <c r="U77" i="1"/>
  <c r="S77" i="1" s="1"/>
  <c r="AI77" i="1"/>
  <c r="AI127" i="1"/>
  <c r="U127" i="1"/>
  <c r="S127" i="1" s="1"/>
  <c r="AI134" i="1"/>
  <c r="U134" i="1"/>
  <c r="S134" i="1" s="1"/>
  <c r="AI102" i="1"/>
  <c r="U102" i="1"/>
  <c r="S102" i="1" s="1"/>
  <c r="U113" i="1"/>
  <c r="S113" i="1" s="1"/>
  <c r="AI113" i="1"/>
  <c r="AI188" i="1"/>
  <c r="U174" i="1"/>
  <c r="S174" i="1" s="1"/>
  <c r="AI142" i="1"/>
  <c r="U142" i="1"/>
  <c r="S142" i="1" s="1"/>
  <c r="AI203" i="1"/>
  <c r="U189" i="1"/>
  <c r="S189" i="1" s="1"/>
  <c r="W189" i="1"/>
  <c r="AI212" i="1"/>
  <c r="U198" i="1"/>
  <c r="S198" i="1" s="1"/>
  <c r="W213" i="1"/>
  <c r="AI211" i="1"/>
  <c r="U197" i="1"/>
  <c r="S197" i="1" s="1"/>
  <c r="W142" i="1"/>
  <c r="W197" i="1"/>
  <c r="U21" i="1"/>
  <c r="S21" i="1" s="1"/>
  <c r="AI21" i="1"/>
  <c r="U25" i="1"/>
  <c r="S25" i="1" s="1"/>
  <c r="AI25" i="1"/>
  <c r="W21" i="1"/>
  <c r="AI79" i="1"/>
  <c r="U79" i="1"/>
  <c r="S79" i="1" s="1"/>
  <c r="AI157" i="1"/>
  <c r="U204" i="1"/>
  <c r="S204" i="1" s="1"/>
  <c r="U161" i="1"/>
  <c r="S161" i="1" s="1"/>
  <c r="AI175" i="1"/>
  <c r="AI103" i="1"/>
  <c r="U103" i="1"/>
  <c r="S103" i="1" s="1"/>
  <c r="AI53" i="1"/>
  <c r="U53" i="1"/>
  <c r="S53" i="1" s="1"/>
  <c r="W25" i="1"/>
  <c r="AI61" i="1"/>
  <c r="U61" i="1"/>
  <c r="S61" i="1" s="1"/>
  <c r="AI71" i="1"/>
  <c r="U71" i="1"/>
  <c r="S71" i="1" s="1"/>
  <c r="AI78" i="1"/>
  <c r="U78" i="1"/>
  <c r="S78" i="1" s="1"/>
  <c r="AI37" i="1"/>
  <c r="U65" i="1"/>
  <c r="S65" i="1" s="1"/>
  <c r="AI65" i="1"/>
  <c r="U109" i="1"/>
  <c r="S109" i="1" s="1"/>
  <c r="AI109" i="1"/>
  <c r="W86" i="1"/>
  <c r="AI135" i="1"/>
  <c r="U135" i="1"/>
  <c r="S135" i="1" s="1"/>
  <c r="W156" i="1"/>
  <c r="W162" i="1"/>
  <c r="AI196" i="1"/>
  <c r="U182" i="1"/>
  <c r="S182" i="1" s="1"/>
  <c r="W190" i="1"/>
  <c r="AI220" i="1"/>
  <c r="U213" i="1"/>
  <c r="S213" i="1" s="1"/>
  <c r="AI70" i="1"/>
  <c r="U70" i="1"/>
  <c r="S70" i="1" s="1"/>
  <c r="AI126" i="1"/>
  <c r="U126" i="1"/>
  <c r="S126" i="1" s="1"/>
  <c r="U216" i="1"/>
  <c r="S216" i="1" s="1"/>
  <c r="AI164" i="1"/>
  <c r="AI95" i="1"/>
  <c r="U95" i="1"/>
  <c r="S95" i="1" s="1"/>
  <c r="U17" i="1"/>
  <c r="S17" i="1" s="1"/>
  <c r="AI17" i="1"/>
  <c r="U29" i="1"/>
  <c r="S29" i="1" s="1"/>
  <c r="AI29" i="1"/>
  <c r="U39" i="1"/>
  <c r="S39" i="1" s="1"/>
  <c r="AI39" i="1"/>
  <c r="AI176" i="1"/>
  <c r="U162" i="1"/>
  <c r="S162" i="1" s="1"/>
  <c r="AI195" i="1"/>
  <c r="U181" i="1"/>
  <c r="S181" i="1" s="1"/>
  <c r="U220" i="1"/>
  <c r="S220" i="1" s="1"/>
  <c r="AI168" i="1"/>
  <c r="AI48" i="1"/>
  <c r="U48" i="1"/>
  <c r="S48" i="1" s="1"/>
  <c r="AI143" i="1"/>
  <c r="U143" i="1"/>
  <c r="S143" i="1" s="1"/>
  <c r="AI148" i="1"/>
  <c r="U148" i="1"/>
  <c r="S148" i="1" s="1"/>
  <c r="W148" i="1"/>
  <c r="U133" i="1"/>
  <c r="S133" i="1" s="1"/>
  <c r="AI133" i="1"/>
  <c r="U165" i="1"/>
  <c r="S165" i="1" s="1"/>
  <c r="AI179" i="1"/>
  <c r="U212" i="1"/>
  <c r="S212" i="1" s="1"/>
  <c r="AI219" i="1"/>
  <c r="W212" i="1"/>
  <c r="AI208" i="1"/>
  <c r="U194" i="1"/>
  <c r="S194" i="1" s="1"/>
  <c r="U201" i="1"/>
  <c r="S201" i="1" s="1"/>
  <c r="AI215" i="1"/>
  <c r="W194" i="1"/>
  <c r="AI57" i="1"/>
  <c r="U57" i="1"/>
  <c r="S57" i="1" s="1"/>
  <c r="U93" i="1"/>
  <c r="S93" i="1" s="1"/>
  <c r="AI93" i="1"/>
  <c r="AI149" i="1"/>
  <c r="U149" i="1"/>
  <c r="S149" i="1" s="1"/>
  <c r="U158" i="1"/>
  <c r="S158" i="1" s="1"/>
  <c r="AI172" i="1"/>
  <c r="W161" i="1"/>
  <c r="L56" i="3"/>
  <c r="B4" i="6" l="1"/>
  <c r="B5" i="6"/>
  <c r="B6" i="6"/>
  <c r="B7" i="6"/>
  <c r="B8" i="6"/>
  <c r="B9" i="6"/>
  <c r="B3" i="6"/>
  <c r="F3" i="6" l="1"/>
  <c r="G3" i="6"/>
  <c r="H3" i="6"/>
  <c r="I3" i="6"/>
  <c r="F4" i="6"/>
  <c r="G4" i="6"/>
  <c r="H4" i="6"/>
  <c r="I4" i="6"/>
  <c r="F5" i="6"/>
  <c r="G5" i="6"/>
  <c r="H5" i="6"/>
  <c r="I5" i="6"/>
  <c r="F6" i="6"/>
  <c r="G6" i="6"/>
  <c r="H6" i="6"/>
  <c r="I6" i="6"/>
  <c r="F7" i="6"/>
  <c r="G7" i="6"/>
  <c r="H7" i="6"/>
  <c r="I7" i="6"/>
  <c r="F8" i="6"/>
  <c r="G8" i="6"/>
  <c r="H8" i="6"/>
  <c r="I8" i="6"/>
  <c r="F9" i="6"/>
  <c r="G9" i="6"/>
  <c r="H9" i="6"/>
  <c r="I9" i="6"/>
  <c r="K13" i="1" l="1"/>
  <c r="L13" i="1"/>
  <c r="M13" i="1"/>
  <c r="N13" i="1" s="1"/>
  <c r="V13" i="1"/>
  <c r="Y13" i="1"/>
  <c r="Z13" i="1"/>
  <c r="AB13" i="1"/>
  <c r="AC13" i="1"/>
  <c r="AD13" i="1"/>
  <c r="X14" i="1" s="1"/>
  <c r="AE13" i="1"/>
  <c r="AF13" i="1"/>
  <c r="T13" i="1" l="1"/>
  <c r="X13" i="1"/>
  <c r="AA13" i="1"/>
  <c r="AG13" i="1"/>
  <c r="M26" i="5"/>
  <c r="AH19" i="1" l="1"/>
  <c r="AH20" i="1"/>
  <c r="AH21" i="1"/>
  <c r="AH22" i="1"/>
  <c r="AH34" i="1"/>
  <c r="AH40" i="1"/>
  <c r="AH41" i="1"/>
  <c r="AH42" i="1"/>
  <c r="AH54" i="1"/>
  <c r="AH56" i="1"/>
  <c r="AH57" i="1"/>
  <c r="AH58" i="1"/>
  <c r="AH59" i="1"/>
  <c r="AH60" i="1"/>
  <c r="AH61" i="1"/>
  <c r="AH62" i="1"/>
  <c r="AH63" i="1"/>
  <c r="AH64" i="1"/>
  <c r="AH68" i="1"/>
  <c r="AH69" i="1"/>
  <c r="AH70" i="1"/>
  <c r="AH71" i="1"/>
  <c r="AH72" i="1"/>
  <c r="AH73" i="1"/>
  <c r="AH74" i="1"/>
  <c r="AH75" i="1"/>
  <c r="AH81" i="1"/>
  <c r="AH82" i="1"/>
  <c r="AH94" i="1"/>
  <c r="AH95" i="1"/>
  <c r="AH108" i="1"/>
  <c r="AH109" i="1"/>
  <c r="AH110" i="1"/>
  <c r="AH115" i="1"/>
  <c r="AH116" i="1"/>
  <c r="AH117" i="1"/>
  <c r="AH118" i="1"/>
  <c r="AH129" i="1"/>
  <c r="AH130" i="1"/>
  <c r="AH131" i="1"/>
  <c r="AH132" i="1"/>
  <c r="AH133" i="1"/>
  <c r="AH140" i="1"/>
  <c r="AH148" i="1"/>
  <c r="AH149" i="1"/>
  <c r="AH150" i="1"/>
  <c r="AH151" i="1"/>
  <c r="AH152" i="1"/>
  <c r="AH159" i="1"/>
  <c r="AH160" i="1"/>
  <c r="AH161" i="1"/>
  <c r="AH174" i="1"/>
  <c r="AH175" i="1"/>
  <c r="AH176" i="1"/>
  <c r="AH177" i="1"/>
  <c r="AH178" i="1"/>
  <c r="AH181" i="1"/>
  <c r="AH185" i="1"/>
  <c r="AH186" i="1"/>
  <c r="AH187" i="1"/>
  <c r="AH188" i="1"/>
  <c r="AH189" i="1"/>
  <c r="AH190" i="1"/>
  <c r="AH191" i="1"/>
  <c r="AH192" i="1"/>
  <c r="AH193" i="1"/>
  <c r="AH194" i="1"/>
  <c r="AH203" i="1"/>
  <c r="AH204" i="1"/>
  <c r="AH205" i="1"/>
  <c r="AH218" i="1"/>
  <c r="AH179" i="1"/>
  <c r="AH182" i="1"/>
  <c r="AH196" i="1"/>
  <c r="AH197" i="1"/>
  <c r="AH198" i="1"/>
  <c r="AH200" i="1"/>
  <c r="AH206" i="1"/>
  <c r="AH207" i="1"/>
  <c r="AH209" i="1"/>
  <c r="AH210" i="1"/>
  <c r="AH26" i="1"/>
  <c r="AH27" i="1"/>
  <c r="AH29" i="1"/>
  <c r="AH23" i="1"/>
  <c r="AH24" i="1"/>
  <c r="AH43" i="1"/>
  <c r="AH65" i="1"/>
  <c r="AH66" i="1"/>
  <c r="AH76" i="1"/>
  <c r="AH77" i="1"/>
  <c r="AH78" i="1"/>
  <c r="AH79" i="1"/>
  <c r="AH83" i="1"/>
  <c r="AH85" i="1"/>
  <c r="AH86" i="1"/>
  <c r="AH87" i="1"/>
  <c r="AH88" i="1"/>
  <c r="AH89" i="1"/>
  <c r="AH90" i="1"/>
  <c r="AH96" i="1"/>
  <c r="AH97" i="1"/>
  <c r="AH98" i="1"/>
  <c r="AH99" i="1"/>
  <c r="AH100" i="1"/>
  <c r="AH101" i="1"/>
  <c r="AH111" i="1"/>
  <c r="AH112" i="1"/>
  <c r="AH134" i="1"/>
  <c r="AH135" i="1"/>
  <c r="AH136" i="1"/>
  <c r="AH141" i="1"/>
  <c r="AH142" i="1"/>
  <c r="AH143" i="1"/>
  <c r="AH153" i="1"/>
  <c r="AH162" i="1"/>
  <c r="AH163" i="1"/>
  <c r="AH166" i="1"/>
  <c r="AH167" i="1"/>
  <c r="AH168" i="1"/>
  <c r="AH195" i="1"/>
  <c r="AH199" i="1"/>
  <c r="AH201" i="1"/>
  <c r="AH208" i="1"/>
  <c r="AH25" i="1"/>
  <c r="AH28" i="1"/>
  <c r="AH14" i="1"/>
  <c r="AH16" i="1"/>
  <c r="AH17" i="1"/>
  <c r="AH18" i="1"/>
  <c r="AH31" i="1"/>
  <c r="AH32" i="1"/>
  <c r="AH33" i="1"/>
  <c r="AH39" i="1"/>
  <c r="AH51" i="1"/>
  <c r="AH52" i="1"/>
  <c r="AH53" i="1"/>
  <c r="AH67" i="1"/>
  <c r="AH80" i="1"/>
  <c r="AH84" i="1"/>
  <c r="AH92" i="1"/>
  <c r="AH93" i="1"/>
  <c r="AH104" i="1"/>
  <c r="AH105" i="1"/>
  <c r="AH106" i="1"/>
  <c r="AH107" i="1"/>
  <c r="AH120" i="1"/>
  <c r="AH121" i="1"/>
  <c r="AH122" i="1"/>
  <c r="AH124" i="1"/>
  <c r="AH125" i="1"/>
  <c r="AH126" i="1"/>
  <c r="AH127" i="1"/>
  <c r="AH128" i="1"/>
  <c r="AH138" i="1"/>
  <c r="AH139" i="1"/>
  <c r="AH147" i="1"/>
  <c r="AH154" i="1"/>
  <c r="AH165" i="1"/>
  <c r="AH172" i="1"/>
  <c r="AH113" i="1"/>
  <c r="AH114" i="1"/>
  <c r="AH183" i="1"/>
  <c r="AH214" i="1"/>
  <c r="AH215" i="1"/>
  <c r="AH216" i="1"/>
  <c r="AH217" i="1"/>
  <c r="AH102" i="1"/>
  <c r="AH103" i="1"/>
  <c r="AH119" i="1"/>
  <c r="AH164" i="1"/>
  <c r="AH171" i="1"/>
  <c r="AH184" i="1"/>
  <c r="AH44" i="1"/>
  <c r="AH45" i="1"/>
  <c r="AH46" i="1"/>
  <c r="AH47" i="1"/>
  <c r="AH48" i="1"/>
  <c r="AH49" i="1"/>
  <c r="AH50" i="1"/>
  <c r="AH55" i="1"/>
  <c r="AH155" i="1"/>
  <c r="AH156" i="1"/>
  <c r="AH157" i="1"/>
  <c r="AH158" i="1"/>
  <c r="AH180" i="1"/>
  <c r="AH219" i="1"/>
  <c r="AH220" i="1"/>
  <c r="AH221" i="1"/>
  <c r="AH146" i="1"/>
  <c r="AH202" i="1"/>
  <c r="AH212" i="1"/>
  <c r="AH213" i="1"/>
  <c r="AH137" i="1"/>
  <c r="AH169" i="1"/>
  <c r="AH30" i="1"/>
  <c r="AH35" i="1"/>
  <c r="AH36" i="1"/>
  <c r="AH37" i="1"/>
  <c r="AH38" i="1"/>
  <c r="AH91" i="1"/>
  <c r="AH144" i="1"/>
  <c r="AH145" i="1"/>
  <c r="AH211" i="1"/>
  <c r="AH222" i="1"/>
  <c r="AH170" i="1"/>
  <c r="AH173" i="1"/>
  <c r="AI13" i="1"/>
  <c r="AH13" i="1"/>
  <c r="W13" i="1"/>
  <c r="U13" i="1"/>
  <c r="S13" i="1" s="1"/>
  <c r="X6" i="1" l="1"/>
  <c r="W6" i="1"/>
  <c r="V6" i="1"/>
  <c r="S6" i="1"/>
  <c r="R2" i="1"/>
  <c r="I2" i="1"/>
  <c r="O6" i="1"/>
  <c r="N6" i="1"/>
  <c r="M6" i="1"/>
  <c r="J6" i="1"/>
  <c r="P3" i="5" l="1"/>
  <c r="M18" i="5" l="1"/>
  <c r="F282" i="4" l="1"/>
  <c r="G282" i="4"/>
  <c r="F283" i="4"/>
  <c r="G283" i="4"/>
  <c r="F284" i="4"/>
  <c r="G284" i="4"/>
  <c r="F285" i="4"/>
  <c r="G285" i="4"/>
  <c r="F286" i="4"/>
  <c r="G286" i="4"/>
  <c r="F287" i="4"/>
  <c r="G287" i="4"/>
  <c r="F288" i="4"/>
  <c r="G288" i="4"/>
  <c r="F289" i="4"/>
  <c r="G289" i="4"/>
  <c r="F290" i="4"/>
  <c r="G290" i="4"/>
  <c r="F291" i="4"/>
  <c r="G291" i="4"/>
  <c r="F292" i="4"/>
  <c r="G292" i="4"/>
  <c r="F293" i="4"/>
  <c r="G293" i="4"/>
  <c r="F294" i="4"/>
  <c r="G294" i="4"/>
  <c r="F295" i="4"/>
  <c r="G295" i="4"/>
  <c r="F296" i="4"/>
  <c r="G296" i="4"/>
  <c r="F297" i="4"/>
  <c r="G297" i="4"/>
  <c r="F298" i="4"/>
  <c r="G298" i="4"/>
  <c r="F299" i="4"/>
  <c r="G299" i="4"/>
  <c r="F300" i="4"/>
  <c r="G300" i="4"/>
  <c r="F301" i="4"/>
  <c r="G301" i="4"/>
  <c r="F302" i="4"/>
  <c r="G302" i="4"/>
  <c r="F303" i="4"/>
  <c r="G303" i="4"/>
  <c r="F304" i="4"/>
  <c r="G304" i="4"/>
  <c r="F305" i="4"/>
  <c r="G305" i="4"/>
  <c r="F306" i="4"/>
  <c r="G306" i="4"/>
  <c r="F307" i="4"/>
  <c r="G307" i="4"/>
  <c r="F308" i="4"/>
  <c r="G308" i="4"/>
  <c r="F309" i="4"/>
  <c r="G309" i="4"/>
  <c r="F310" i="4"/>
  <c r="G310" i="4"/>
  <c r="F311" i="4"/>
  <c r="G311" i="4"/>
  <c r="F312" i="4"/>
  <c r="G312" i="4"/>
  <c r="F313" i="4"/>
  <c r="G313" i="4"/>
  <c r="F314" i="4"/>
  <c r="G314" i="4"/>
  <c r="F315" i="4"/>
  <c r="G315" i="4"/>
  <c r="F316" i="4"/>
  <c r="G316" i="4"/>
  <c r="F317" i="4"/>
  <c r="G317" i="4"/>
  <c r="F318" i="4"/>
  <c r="G318" i="4"/>
  <c r="F319" i="4"/>
  <c r="G319" i="4"/>
  <c r="F320" i="4"/>
  <c r="G320" i="4"/>
  <c r="F321" i="4"/>
  <c r="G321" i="4"/>
  <c r="F322" i="4"/>
  <c r="G322" i="4"/>
  <c r="F323" i="4"/>
  <c r="G323" i="4"/>
  <c r="F324" i="4"/>
  <c r="G324" i="4"/>
  <c r="F325" i="4"/>
  <c r="G325" i="4"/>
  <c r="F326" i="4"/>
  <c r="G326" i="4"/>
  <c r="F327" i="4"/>
  <c r="G327" i="4"/>
  <c r="F328" i="4"/>
  <c r="G328" i="4"/>
  <c r="F329" i="4"/>
  <c r="G329" i="4"/>
  <c r="F330" i="4"/>
  <c r="G330" i="4"/>
  <c r="F331" i="4"/>
  <c r="G331" i="4"/>
  <c r="F332" i="4"/>
  <c r="G332" i="4"/>
  <c r="F333" i="4"/>
  <c r="G333" i="4"/>
  <c r="F334" i="4"/>
  <c r="G334" i="4"/>
  <c r="F335" i="4"/>
  <c r="G335" i="4"/>
  <c r="F336" i="4"/>
  <c r="G336" i="4"/>
  <c r="F337" i="4"/>
  <c r="G337" i="4"/>
  <c r="F338" i="4"/>
  <c r="G338" i="4"/>
  <c r="F339" i="4"/>
  <c r="G339" i="4"/>
  <c r="F340" i="4"/>
  <c r="G340" i="4"/>
  <c r="F341" i="4"/>
  <c r="G341" i="4"/>
  <c r="F342" i="4"/>
  <c r="G342" i="4"/>
  <c r="F343" i="4"/>
  <c r="G343" i="4"/>
  <c r="F344" i="4"/>
  <c r="G344" i="4"/>
  <c r="F345" i="4"/>
  <c r="G345" i="4"/>
  <c r="F346" i="4"/>
  <c r="G346" i="4"/>
  <c r="F347" i="4"/>
  <c r="G347" i="4"/>
  <c r="F348" i="4"/>
  <c r="G348" i="4"/>
  <c r="F349" i="4"/>
  <c r="G349" i="4"/>
  <c r="F350" i="4"/>
  <c r="G350" i="4"/>
  <c r="F351" i="4"/>
  <c r="G351" i="4"/>
  <c r="F352" i="4"/>
  <c r="G352" i="4"/>
  <c r="F353" i="4"/>
  <c r="G353" i="4"/>
  <c r="F354" i="4"/>
  <c r="G354" i="4"/>
  <c r="F355" i="4"/>
  <c r="G355" i="4"/>
  <c r="F356" i="4"/>
  <c r="G356" i="4"/>
  <c r="F357" i="4"/>
  <c r="G357" i="4"/>
  <c r="F358" i="4"/>
  <c r="G358" i="4"/>
  <c r="F359" i="4"/>
  <c r="G359" i="4"/>
  <c r="F360" i="4"/>
  <c r="G360" i="4"/>
  <c r="F361" i="4"/>
  <c r="G361" i="4"/>
  <c r="F362" i="4"/>
  <c r="G362" i="4"/>
  <c r="F363" i="4"/>
  <c r="G363" i="4"/>
  <c r="F364" i="4"/>
  <c r="G364" i="4"/>
  <c r="F365" i="4"/>
  <c r="G365" i="4"/>
  <c r="F366" i="4"/>
  <c r="G366" i="4"/>
  <c r="F367" i="4"/>
  <c r="G367" i="4"/>
  <c r="F368" i="4"/>
  <c r="G368" i="4"/>
  <c r="F369" i="4"/>
  <c r="G369" i="4"/>
  <c r="F370" i="4"/>
  <c r="G370" i="4"/>
  <c r="F371" i="4"/>
  <c r="G371" i="4"/>
  <c r="F372" i="4"/>
  <c r="G372" i="4"/>
  <c r="F373" i="4"/>
  <c r="G373" i="4"/>
  <c r="F374" i="4"/>
  <c r="G374" i="4"/>
  <c r="F375" i="4"/>
  <c r="G375" i="4"/>
  <c r="F376" i="4"/>
  <c r="G376" i="4"/>
  <c r="F377" i="4"/>
  <c r="G377" i="4"/>
  <c r="F378" i="4"/>
  <c r="G378" i="4"/>
  <c r="F379" i="4"/>
  <c r="G379" i="4"/>
  <c r="F380" i="4"/>
  <c r="G380" i="4"/>
  <c r="F381" i="4"/>
  <c r="G381" i="4"/>
  <c r="F382" i="4"/>
  <c r="G382" i="4"/>
  <c r="F383" i="4"/>
  <c r="G383" i="4"/>
  <c r="F384" i="4"/>
  <c r="G384" i="4"/>
  <c r="F385" i="4"/>
  <c r="G385" i="4"/>
  <c r="F386" i="4"/>
  <c r="G386" i="4"/>
  <c r="F387" i="4"/>
  <c r="G387" i="4"/>
  <c r="F388" i="4"/>
  <c r="G388" i="4"/>
  <c r="F389" i="4"/>
  <c r="G389" i="4"/>
  <c r="F390" i="4"/>
  <c r="G390" i="4"/>
  <c r="F391" i="4"/>
  <c r="G391" i="4"/>
  <c r="F392" i="4"/>
  <c r="G392" i="4"/>
  <c r="F393" i="4"/>
  <c r="G393" i="4"/>
  <c r="F394" i="4"/>
  <c r="G394" i="4"/>
  <c r="F395" i="4"/>
  <c r="G395" i="4"/>
  <c r="F396" i="4"/>
  <c r="G396" i="4"/>
  <c r="F397" i="4"/>
  <c r="G397" i="4"/>
  <c r="F398" i="4"/>
  <c r="G398" i="4"/>
  <c r="F399" i="4"/>
  <c r="G399" i="4"/>
  <c r="F400" i="4"/>
  <c r="G400" i="4"/>
  <c r="F401" i="4"/>
  <c r="G401" i="4"/>
  <c r="F402" i="4"/>
  <c r="G402" i="4"/>
  <c r="F403" i="4"/>
  <c r="G403" i="4"/>
  <c r="F404" i="4"/>
  <c r="G404" i="4"/>
  <c r="F405" i="4"/>
  <c r="G405" i="4"/>
  <c r="F406" i="4"/>
  <c r="G406" i="4"/>
  <c r="F407" i="4"/>
  <c r="G407" i="4"/>
  <c r="F408" i="4"/>
  <c r="G408" i="4"/>
  <c r="F409" i="4"/>
  <c r="G409" i="4"/>
  <c r="F410" i="4"/>
  <c r="G410" i="4"/>
  <c r="F411" i="4"/>
  <c r="G411" i="4"/>
  <c r="F412" i="4"/>
  <c r="G412" i="4"/>
  <c r="F413" i="4"/>
  <c r="G413" i="4"/>
  <c r="F414" i="4"/>
  <c r="G414" i="4"/>
  <c r="F415" i="4"/>
  <c r="G415" i="4"/>
  <c r="F416" i="4"/>
  <c r="G416" i="4"/>
  <c r="F417" i="4"/>
  <c r="G417" i="4"/>
  <c r="F418" i="4"/>
  <c r="G418" i="4"/>
  <c r="F419" i="4"/>
  <c r="G419" i="4"/>
  <c r="F420" i="4"/>
  <c r="G420" i="4"/>
  <c r="F421" i="4"/>
  <c r="G421" i="4"/>
  <c r="F422" i="4"/>
  <c r="G422" i="4"/>
  <c r="F423" i="4"/>
  <c r="G423" i="4"/>
  <c r="F424" i="4"/>
  <c r="G424" i="4"/>
  <c r="F425" i="4"/>
  <c r="G425" i="4"/>
  <c r="F426" i="4"/>
  <c r="G426" i="4"/>
  <c r="F427" i="4"/>
  <c r="G427" i="4"/>
  <c r="F428" i="4"/>
  <c r="G428" i="4"/>
  <c r="F429" i="4"/>
  <c r="G429" i="4"/>
  <c r="F430" i="4"/>
  <c r="G430" i="4"/>
  <c r="F431" i="4"/>
  <c r="G431" i="4"/>
  <c r="F432" i="4"/>
  <c r="G432" i="4"/>
  <c r="F433" i="4"/>
  <c r="G433" i="4"/>
  <c r="F434" i="4"/>
  <c r="G434" i="4"/>
  <c r="F435" i="4"/>
  <c r="G435" i="4"/>
  <c r="F436" i="4"/>
  <c r="G436" i="4"/>
  <c r="F437" i="4"/>
  <c r="G437" i="4"/>
  <c r="F438" i="4"/>
  <c r="G438" i="4"/>
  <c r="F439" i="4"/>
  <c r="G439" i="4"/>
  <c r="F440" i="4"/>
  <c r="G440" i="4"/>
  <c r="F441" i="4"/>
  <c r="G441" i="4"/>
  <c r="F442" i="4"/>
  <c r="G442" i="4"/>
  <c r="F443" i="4"/>
  <c r="G443" i="4"/>
  <c r="F444" i="4"/>
  <c r="G444" i="4"/>
  <c r="F445" i="4"/>
  <c r="G445" i="4"/>
  <c r="F446" i="4"/>
  <c r="G446" i="4"/>
  <c r="F447" i="4"/>
  <c r="G447" i="4"/>
  <c r="F448" i="4"/>
  <c r="G448" i="4"/>
  <c r="F449" i="4"/>
  <c r="G449" i="4"/>
  <c r="F450" i="4"/>
  <c r="G450" i="4"/>
  <c r="F451" i="4"/>
  <c r="G451" i="4"/>
  <c r="F452" i="4"/>
  <c r="G452" i="4"/>
  <c r="F453" i="4"/>
  <c r="G453" i="4"/>
  <c r="F454" i="4"/>
  <c r="G454" i="4"/>
  <c r="F455" i="4"/>
  <c r="G455" i="4"/>
  <c r="F456" i="4"/>
  <c r="G456" i="4"/>
  <c r="F457" i="4"/>
  <c r="G457" i="4"/>
  <c r="F458" i="4"/>
  <c r="G458" i="4"/>
  <c r="F459" i="4"/>
  <c r="G459" i="4"/>
  <c r="F460" i="4"/>
  <c r="G460" i="4"/>
  <c r="F461" i="4"/>
  <c r="G461" i="4"/>
  <c r="F462" i="4"/>
  <c r="G462" i="4"/>
  <c r="F463" i="4"/>
  <c r="G463" i="4"/>
  <c r="F464" i="4"/>
  <c r="G464" i="4"/>
  <c r="F465" i="4"/>
  <c r="G465" i="4"/>
  <c r="F466" i="4"/>
  <c r="G466" i="4"/>
  <c r="F467" i="4"/>
  <c r="G467" i="4"/>
  <c r="F468" i="4"/>
  <c r="G468" i="4"/>
  <c r="F469" i="4"/>
  <c r="G469" i="4"/>
  <c r="F470" i="4"/>
  <c r="G470" i="4"/>
  <c r="F471" i="4"/>
  <c r="G471" i="4"/>
  <c r="F472" i="4"/>
  <c r="G472" i="4"/>
  <c r="F473" i="4"/>
  <c r="G473" i="4"/>
  <c r="F474" i="4"/>
  <c r="G474" i="4"/>
  <c r="F475" i="4"/>
  <c r="G475" i="4"/>
  <c r="F476" i="4"/>
  <c r="G476" i="4"/>
  <c r="F477" i="4"/>
  <c r="G477" i="4"/>
  <c r="F478" i="4"/>
  <c r="G478" i="4"/>
  <c r="F479" i="4"/>
  <c r="G479" i="4"/>
  <c r="F480" i="4"/>
  <c r="G480" i="4"/>
  <c r="F481" i="4"/>
  <c r="G481" i="4"/>
  <c r="F482" i="4"/>
  <c r="G482" i="4"/>
  <c r="F483" i="4"/>
  <c r="G483" i="4"/>
  <c r="F484" i="4"/>
  <c r="G484" i="4"/>
  <c r="F485" i="4"/>
  <c r="G485" i="4"/>
  <c r="F486" i="4"/>
  <c r="G486" i="4"/>
  <c r="F487" i="4"/>
  <c r="G487" i="4"/>
  <c r="F488" i="4"/>
  <c r="G488" i="4"/>
  <c r="F489" i="4"/>
  <c r="G489" i="4"/>
  <c r="F490" i="4"/>
  <c r="G490" i="4"/>
  <c r="F491" i="4"/>
  <c r="G491" i="4"/>
  <c r="F492" i="4"/>
  <c r="G492" i="4"/>
  <c r="F493" i="4"/>
  <c r="G493" i="4"/>
  <c r="F494" i="4"/>
  <c r="G494" i="4"/>
  <c r="F495" i="4"/>
  <c r="G495" i="4"/>
  <c r="F496" i="4"/>
  <c r="G496" i="4"/>
  <c r="F497" i="4"/>
  <c r="G497" i="4"/>
  <c r="F498" i="4"/>
  <c r="G498" i="4"/>
  <c r="F499" i="4"/>
  <c r="G499" i="4"/>
  <c r="F500" i="4"/>
  <c r="G500" i="4"/>
  <c r="F501" i="4"/>
  <c r="G501" i="4"/>
  <c r="F502" i="4"/>
  <c r="G502" i="4"/>
  <c r="F503" i="4"/>
  <c r="G503" i="4"/>
  <c r="F504" i="4"/>
  <c r="G504" i="4"/>
  <c r="F505" i="4"/>
  <c r="G505" i="4"/>
  <c r="F506" i="4"/>
  <c r="G506" i="4"/>
  <c r="F507" i="4"/>
  <c r="G507" i="4"/>
  <c r="F508" i="4"/>
  <c r="G508" i="4"/>
  <c r="F509" i="4"/>
  <c r="G509" i="4"/>
  <c r="F510" i="4"/>
  <c r="G510" i="4"/>
  <c r="F511" i="4"/>
  <c r="G511" i="4"/>
  <c r="F512" i="4"/>
  <c r="G512" i="4"/>
  <c r="F513" i="4"/>
  <c r="G513" i="4"/>
  <c r="F514" i="4"/>
  <c r="G514" i="4"/>
  <c r="F515" i="4"/>
  <c r="G515" i="4"/>
  <c r="F516" i="4"/>
  <c r="G516" i="4"/>
  <c r="F517" i="4"/>
  <c r="G517" i="4"/>
  <c r="F518" i="4"/>
  <c r="G518" i="4"/>
  <c r="F519" i="4"/>
  <c r="G519" i="4"/>
  <c r="F520" i="4"/>
  <c r="G520" i="4"/>
  <c r="F521" i="4"/>
  <c r="G521" i="4"/>
  <c r="F522" i="4"/>
  <c r="G522" i="4"/>
  <c r="F523" i="4"/>
  <c r="G523" i="4"/>
  <c r="F524" i="4"/>
  <c r="G524" i="4"/>
  <c r="F525" i="4"/>
  <c r="G525" i="4"/>
  <c r="F526" i="4"/>
  <c r="G526" i="4"/>
  <c r="F527" i="4"/>
  <c r="G527" i="4"/>
  <c r="F528" i="4"/>
  <c r="G528" i="4"/>
  <c r="F529" i="4"/>
  <c r="G529" i="4"/>
  <c r="F530" i="4"/>
  <c r="G530" i="4"/>
  <c r="F531" i="4"/>
  <c r="G531" i="4"/>
  <c r="F532" i="4"/>
  <c r="G532" i="4"/>
  <c r="F533" i="4"/>
  <c r="G533" i="4"/>
  <c r="F534" i="4"/>
  <c r="G534" i="4"/>
  <c r="F535" i="4"/>
  <c r="G535" i="4"/>
  <c r="F536" i="4"/>
  <c r="G536" i="4"/>
  <c r="F537" i="4"/>
  <c r="G537" i="4"/>
  <c r="F538" i="4"/>
  <c r="G538" i="4"/>
  <c r="F539" i="4"/>
  <c r="G539" i="4"/>
  <c r="F540" i="4"/>
  <c r="G540" i="4"/>
  <c r="F541" i="4"/>
  <c r="G541" i="4"/>
  <c r="F542" i="4"/>
  <c r="G542" i="4"/>
  <c r="F543" i="4"/>
  <c r="G543" i="4"/>
  <c r="V5" i="1" l="1"/>
  <c r="V8" i="1" s="1"/>
  <c r="F266" i="4"/>
  <c r="G266" i="4"/>
  <c r="F267" i="4"/>
  <c r="G267" i="4"/>
  <c r="F268" i="4"/>
  <c r="G268" i="4"/>
  <c r="F269" i="4"/>
  <c r="G269" i="4"/>
  <c r="F270" i="4"/>
  <c r="G270" i="4"/>
  <c r="F271" i="4"/>
  <c r="G271" i="4"/>
  <c r="F272" i="4"/>
  <c r="G272" i="4"/>
  <c r="F273" i="4"/>
  <c r="G273" i="4"/>
  <c r="F274" i="4"/>
  <c r="G274" i="4"/>
  <c r="F275" i="4"/>
  <c r="G275" i="4"/>
  <c r="F276" i="4"/>
  <c r="G276" i="4"/>
  <c r="F277" i="4"/>
  <c r="G277" i="4"/>
  <c r="F278" i="4"/>
  <c r="G278" i="4"/>
  <c r="F279" i="4"/>
  <c r="G279" i="4"/>
  <c r="F280" i="4"/>
  <c r="G280" i="4"/>
  <c r="F281" i="4"/>
  <c r="G281" i="4"/>
  <c r="F236" i="4" l="1"/>
  <c r="G236" i="4"/>
  <c r="F237" i="4"/>
  <c r="G237" i="4"/>
  <c r="F238" i="4"/>
  <c r="G238" i="4"/>
  <c r="F239" i="4"/>
  <c r="G239" i="4"/>
  <c r="F240" i="4"/>
  <c r="G240" i="4"/>
  <c r="F241" i="4"/>
  <c r="G241" i="4"/>
  <c r="F242" i="4"/>
  <c r="G242" i="4"/>
  <c r="F243" i="4"/>
  <c r="G243" i="4"/>
  <c r="F244" i="4"/>
  <c r="G244" i="4"/>
  <c r="F245" i="4"/>
  <c r="G245" i="4"/>
  <c r="F246" i="4"/>
  <c r="G246" i="4"/>
  <c r="F247" i="4"/>
  <c r="G247" i="4"/>
  <c r="F248" i="4"/>
  <c r="G248" i="4"/>
  <c r="F249" i="4"/>
  <c r="G249" i="4"/>
  <c r="F250" i="4"/>
  <c r="G250" i="4"/>
  <c r="F251" i="4"/>
  <c r="G251" i="4"/>
  <c r="F252" i="4"/>
  <c r="G252" i="4"/>
  <c r="F253" i="4"/>
  <c r="G253" i="4"/>
  <c r="F254" i="4"/>
  <c r="G254" i="4"/>
  <c r="F255" i="4"/>
  <c r="G255" i="4"/>
  <c r="F256" i="4"/>
  <c r="G256" i="4"/>
  <c r="F257" i="4"/>
  <c r="G257" i="4"/>
  <c r="F258" i="4"/>
  <c r="G258" i="4"/>
  <c r="F259" i="4"/>
  <c r="G259" i="4"/>
  <c r="F260" i="4"/>
  <c r="G260" i="4"/>
  <c r="F261" i="4"/>
  <c r="G261" i="4"/>
  <c r="F262" i="4"/>
  <c r="G262" i="4"/>
  <c r="F263" i="4"/>
  <c r="G263" i="4"/>
  <c r="F264" i="4"/>
  <c r="G264" i="4"/>
  <c r="F265" i="4"/>
  <c r="G265" i="4"/>
  <c r="F2" i="4"/>
  <c r="G2" i="4"/>
  <c r="F3" i="4"/>
  <c r="G3" i="4"/>
  <c r="F4" i="4"/>
  <c r="G4" i="4"/>
  <c r="F5" i="4"/>
  <c r="G5" i="4"/>
  <c r="F6" i="4"/>
  <c r="G6" i="4"/>
  <c r="F7" i="4"/>
  <c r="G7" i="4"/>
  <c r="F8" i="4"/>
  <c r="G8" i="4"/>
  <c r="F9" i="4"/>
  <c r="G9" i="4"/>
  <c r="F10" i="4"/>
  <c r="G10" i="4"/>
  <c r="F11" i="4"/>
  <c r="G11" i="4"/>
  <c r="F12" i="4"/>
  <c r="G12" i="4"/>
  <c r="F13" i="4"/>
  <c r="G13" i="4"/>
  <c r="F14" i="4"/>
  <c r="G14" i="4"/>
  <c r="F15" i="4"/>
  <c r="G15" i="4"/>
  <c r="F16" i="4"/>
  <c r="G16" i="4"/>
  <c r="F17" i="4"/>
  <c r="G17" i="4"/>
  <c r="F18" i="4"/>
  <c r="G18" i="4"/>
  <c r="F19" i="4"/>
  <c r="G19" i="4"/>
  <c r="F20" i="4"/>
  <c r="G20" i="4"/>
  <c r="F21" i="4"/>
  <c r="G21" i="4"/>
  <c r="F22" i="4"/>
  <c r="G22" i="4"/>
  <c r="F23" i="4"/>
  <c r="G23" i="4"/>
  <c r="F24" i="4"/>
  <c r="G24" i="4"/>
  <c r="F25" i="4"/>
  <c r="G25" i="4"/>
  <c r="F26" i="4"/>
  <c r="G26" i="4"/>
  <c r="F27" i="4"/>
  <c r="G27" i="4"/>
  <c r="F28" i="4"/>
  <c r="G28" i="4"/>
  <c r="F29" i="4"/>
  <c r="G29" i="4"/>
  <c r="F30" i="4"/>
  <c r="G30" i="4"/>
  <c r="F31" i="4"/>
  <c r="G31" i="4"/>
  <c r="F32" i="4"/>
  <c r="G32" i="4"/>
  <c r="F33" i="4"/>
  <c r="G33" i="4"/>
  <c r="F34" i="4"/>
  <c r="G34" i="4"/>
  <c r="F35" i="4"/>
  <c r="G35" i="4"/>
  <c r="F36" i="4"/>
  <c r="G36" i="4"/>
  <c r="F37" i="4"/>
  <c r="G37" i="4"/>
  <c r="F38" i="4"/>
  <c r="G38" i="4"/>
  <c r="F39" i="4"/>
  <c r="G39" i="4"/>
  <c r="F40" i="4"/>
  <c r="G40" i="4"/>
  <c r="F41" i="4"/>
  <c r="G41" i="4"/>
  <c r="F42" i="4"/>
  <c r="G42" i="4"/>
  <c r="F43" i="4"/>
  <c r="G43" i="4"/>
  <c r="F44" i="4"/>
  <c r="G44" i="4"/>
  <c r="F45" i="4"/>
  <c r="G45" i="4"/>
  <c r="F46" i="4"/>
  <c r="G46" i="4"/>
  <c r="F47" i="4"/>
  <c r="G47" i="4"/>
  <c r="F48" i="4"/>
  <c r="G48" i="4"/>
  <c r="F49" i="4"/>
  <c r="G49" i="4"/>
  <c r="F50" i="4"/>
  <c r="G50" i="4"/>
  <c r="F51" i="4"/>
  <c r="G51" i="4"/>
  <c r="F52" i="4"/>
  <c r="G52" i="4"/>
  <c r="F53" i="4"/>
  <c r="G53" i="4"/>
  <c r="F54" i="4"/>
  <c r="G54" i="4"/>
  <c r="F55" i="4"/>
  <c r="G55" i="4"/>
  <c r="F56" i="4"/>
  <c r="G56" i="4"/>
  <c r="F57" i="4"/>
  <c r="G57" i="4"/>
  <c r="F58" i="4"/>
  <c r="G58" i="4"/>
  <c r="F59" i="4"/>
  <c r="G59" i="4"/>
  <c r="F60" i="4"/>
  <c r="G60" i="4"/>
  <c r="F61" i="4"/>
  <c r="G61" i="4"/>
  <c r="F62" i="4"/>
  <c r="G62" i="4"/>
  <c r="F63" i="4"/>
  <c r="G63" i="4"/>
  <c r="F64" i="4"/>
  <c r="G64" i="4"/>
  <c r="F65" i="4"/>
  <c r="G65" i="4"/>
  <c r="F66" i="4"/>
  <c r="G66" i="4"/>
  <c r="F67" i="4"/>
  <c r="G67" i="4"/>
  <c r="F68" i="4"/>
  <c r="G68" i="4"/>
  <c r="F69" i="4"/>
  <c r="G69" i="4"/>
  <c r="F70" i="4"/>
  <c r="G70" i="4"/>
  <c r="F71" i="4"/>
  <c r="G71" i="4"/>
  <c r="F72" i="4"/>
  <c r="G72" i="4"/>
  <c r="F73" i="4"/>
  <c r="G73" i="4"/>
  <c r="F74" i="4"/>
  <c r="G74" i="4"/>
  <c r="F75" i="4"/>
  <c r="G75" i="4"/>
  <c r="F76" i="4"/>
  <c r="G76" i="4"/>
  <c r="F77" i="4"/>
  <c r="G77" i="4"/>
  <c r="F78" i="4"/>
  <c r="G78" i="4"/>
  <c r="F79" i="4"/>
  <c r="G79" i="4"/>
  <c r="F80" i="4"/>
  <c r="G80" i="4"/>
  <c r="F81" i="4"/>
  <c r="G81" i="4"/>
  <c r="F82" i="4"/>
  <c r="G82" i="4"/>
  <c r="F83" i="4"/>
  <c r="G83" i="4"/>
  <c r="F84" i="4"/>
  <c r="G84" i="4"/>
  <c r="F85" i="4"/>
  <c r="G85" i="4"/>
  <c r="F86" i="4"/>
  <c r="G86" i="4"/>
  <c r="F87" i="4"/>
  <c r="G87" i="4"/>
  <c r="F88" i="4"/>
  <c r="G88" i="4"/>
  <c r="F89" i="4"/>
  <c r="G89" i="4"/>
  <c r="F90" i="4"/>
  <c r="G90" i="4"/>
  <c r="F91" i="4"/>
  <c r="G91" i="4"/>
  <c r="F92" i="4"/>
  <c r="G92" i="4"/>
  <c r="F93" i="4"/>
  <c r="G93" i="4"/>
  <c r="F94" i="4"/>
  <c r="G94" i="4"/>
  <c r="F95" i="4"/>
  <c r="G95" i="4"/>
  <c r="F96" i="4"/>
  <c r="G96" i="4"/>
  <c r="F97" i="4"/>
  <c r="G97" i="4"/>
  <c r="F98" i="4"/>
  <c r="G98" i="4"/>
  <c r="F99" i="4"/>
  <c r="G99" i="4"/>
  <c r="F100" i="4"/>
  <c r="G100" i="4"/>
  <c r="F101" i="4"/>
  <c r="G101" i="4"/>
  <c r="F102" i="4"/>
  <c r="G102" i="4"/>
  <c r="F103" i="4"/>
  <c r="G103" i="4"/>
  <c r="F104" i="4"/>
  <c r="G104" i="4"/>
  <c r="F105" i="4"/>
  <c r="G105" i="4"/>
  <c r="F106" i="4"/>
  <c r="G106" i="4"/>
  <c r="F107" i="4"/>
  <c r="G107" i="4"/>
  <c r="F108" i="4"/>
  <c r="G108" i="4"/>
  <c r="F109" i="4"/>
  <c r="G109" i="4"/>
  <c r="F110" i="4"/>
  <c r="G110" i="4"/>
  <c r="F111" i="4"/>
  <c r="G111" i="4"/>
  <c r="F112" i="4"/>
  <c r="G112" i="4"/>
  <c r="F113" i="4"/>
  <c r="G113" i="4"/>
  <c r="F114" i="4"/>
  <c r="G114" i="4"/>
  <c r="F115" i="4"/>
  <c r="G115" i="4"/>
  <c r="F116" i="4"/>
  <c r="G116" i="4"/>
  <c r="F117" i="4"/>
  <c r="G117" i="4"/>
  <c r="F118" i="4"/>
  <c r="G118" i="4"/>
  <c r="F119" i="4"/>
  <c r="G119" i="4"/>
  <c r="F120" i="4"/>
  <c r="G120" i="4"/>
  <c r="F121" i="4"/>
  <c r="G121" i="4"/>
  <c r="F122" i="4"/>
  <c r="G122" i="4"/>
  <c r="F123" i="4"/>
  <c r="G123" i="4"/>
  <c r="F124" i="4"/>
  <c r="G124" i="4"/>
  <c r="F125" i="4"/>
  <c r="G125" i="4"/>
  <c r="F126" i="4"/>
  <c r="G126" i="4"/>
  <c r="F127" i="4"/>
  <c r="G127" i="4"/>
  <c r="F128" i="4"/>
  <c r="G128" i="4"/>
  <c r="F129" i="4"/>
  <c r="G129" i="4"/>
  <c r="F130" i="4"/>
  <c r="G130" i="4"/>
  <c r="F131" i="4"/>
  <c r="G131" i="4"/>
  <c r="F132" i="4"/>
  <c r="G132" i="4"/>
  <c r="F133" i="4"/>
  <c r="G133" i="4"/>
  <c r="F134" i="4"/>
  <c r="G134" i="4"/>
  <c r="F135" i="4"/>
  <c r="G135" i="4"/>
  <c r="F136" i="4"/>
  <c r="G136" i="4"/>
  <c r="F137" i="4"/>
  <c r="G137" i="4"/>
  <c r="F138" i="4"/>
  <c r="G138" i="4"/>
  <c r="F139" i="4"/>
  <c r="G139" i="4"/>
  <c r="F140" i="4"/>
  <c r="G140" i="4"/>
  <c r="F141" i="4"/>
  <c r="G141" i="4"/>
  <c r="F142" i="4"/>
  <c r="G142" i="4"/>
  <c r="F143" i="4"/>
  <c r="G143" i="4"/>
  <c r="F144" i="4"/>
  <c r="G144" i="4"/>
  <c r="F145" i="4"/>
  <c r="G145" i="4"/>
  <c r="F146" i="4"/>
  <c r="G146" i="4"/>
  <c r="F147" i="4"/>
  <c r="G147" i="4"/>
  <c r="F148" i="4"/>
  <c r="G148" i="4"/>
  <c r="F149" i="4"/>
  <c r="G149" i="4"/>
  <c r="F150" i="4"/>
  <c r="G150" i="4"/>
  <c r="F151" i="4"/>
  <c r="G151" i="4"/>
  <c r="F152" i="4"/>
  <c r="G152" i="4"/>
  <c r="F153" i="4"/>
  <c r="G153" i="4"/>
  <c r="F154" i="4"/>
  <c r="G154" i="4"/>
  <c r="F155" i="4"/>
  <c r="G155" i="4"/>
  <c r="F156" i="4"/>
  <c r="G156" i="4"/>
  <c r="F157" i="4"/>
  <c r="G157" i="4"/>
  <c r="F158" i="4"/>
  <c r="G158" i="4"/>
  <c r="F159" i="4"/>
  <c r="G159" i="4"/>
  <c r="F160" i="4"/>
  <c r="G160" i="4"/>
  <c r="F161" i="4"/>
  <c r="G161" i="4"/>
  <c r="F162" i="4"/>
  <c r="G162" i="4"/>
  <c r="F163" i="4"/>
  <c r="G163" i="4"/>
  <c r="F164" i="4"/>
  <c r="G164" i="4"/>
  <c r="F165" i="4"/>
  <c r="G165" i="4"/>
  <c r="F166" i="4"/>
  <c r="G166" i="4"/>
  <c r="F167" i="4"/>
  <c r="G167" i="4"/>
  <c r="F168" i="4"/>
  <c r="G168" i="4"/>
  <c r="F169" i="4"/>
  <c r="G169" i="4"/>
  <c r="F170" i="4"/>
  <c r="G170" i="4"/>
  <c r="F171" i="4"/>
  <c r="G171" i="4"/>
  <c r="F172" i="4"/>
  <c r="G172" i="4"/>
  <c r="F173" i="4"/>
  <c r="G173" i="4"/>
  <c r="F174" i="4"/>
  <c r="G174" i="4"/>
  <c r="F175" i="4"/>
  <c r="G175" i="4"/>
  <c r="F176" i="4"/>
  <c r="G176" i="4"/>
  <c r="F177" i="4"/>
  <c r="G177" i="4"/>
  <c r="F178" i="4"/>
  <c r="G178" i="4"/>
  <c r="F179" i="4"/>
  <c r="G179" i="4"/>
  <c r="F180" i="4"/>
  <c r="G180" i="4"/>
  <c r="F181" i="4"/>
  <c r="G181" i="4"/>
  <c r="F182" i="4"/>
  <c r="G182" i="4"/>
  <c r="F183" i="4"/>
  <c r="G183" i="4"/>
  <c r="F184" i="4"/>
  <c r="G184" i="4"/>
  <c r="F185" i="4"/>
  <c r="G185" i="4"/>
  <c r="F186" i="4"/>
  <c r="G186" i="4"/>
  <c r="F187" i="4"/>
  <c r="G187" i="4"/>
  <c r="F188" i="4"/>
  <c r="G188" i="4"/>
  <c r="F189" i="4"/>
  <c r="G189" i="4"/>
  <c r="F190" i="4"/>
  <c r="G190" i="4"/>
  <c r="F191" i="4"/>
  <c r="G191" i="4"/>
  <c r="F192" i="4"/>
  <c r="G192" i="4"/>
  <c r="F193" i="4"/>
  <c r="G193" i="4"/>
  <c r="F194" i="4"/>
  <c r="G194" i="4"/>
  <c r="F195" i="4"/>
  <c r="G195" i="4"/>
  <c r="F196" i="4"/>
  <c r="G196" i="4"/>
  <c r="F197" i="4"/>
  <c r="G197" i="4"/>
  <c r="F198" i="4"/>
  <c r="G198" i="4"/>
  <c r="F199" i="4"/>
  <c r="G199" i="4"/>
  <c r="F200" i="4"/>
  <c r="G200" i="4"/>
  <c r="F201" i="4"/>
  <c r="G201" i="4"/>
  <c r="F202" i="4"/>
  <c r="G202" i="4"/>
  <c r="F203" i="4"/>
  <c r="G203" i="4"/>
  <c r="F204" i="4"/>
  <c r="G204" i="4"/>
  <c r="F205" i="4"/>
  <c r="G205" i="4"/>
  <c r="F206" i="4"/>
  <c r="G206" i="4"/>
  <c r="F207" i="4"/>
  <c r="G207" i="4"/>
  <c r="F208" i="4"/>
  <c r="G208" i="4"/>
  <c r="F209" i="4"/>
  <c r="G209" i="4"/>
  <c r="F210" i="4"/>
  <c r="G210" i="4"/>
  <c r="F211" i="4"/>
  <c r="G211" i="4"/>
  <c r="F212" i="4"/>
  <c r="G212" i="4"/>
  <c r="F213" i="4"/>
  <c r="G213" i="4"/>
  <c r="F214" i="4"/>
  <c r="G214" i="4"/>
  <c r="F215" i="4"/>
  <c r="G215" i="4"/>
  <c r="F216" i="4"/>
  <c r="G216" i="4"/>
  <c r="F217" i="4"/>
  <c r="G217" i="4"/>
  <c r="F218" i="4"/>
  <c r="G218" i="4"/>
  <c r="F219" i="4"/>
  <c r="G219" i="4"/>
  <c r="F220" i="4"/>
  <c r="G220" i="4"/>
  <c r="F221" i="4"/>
  <c r="G221" i="4"/>
  <c r="F222" i="4"/>
  <c r="G222" i="4"/>
  <c r="F223" i="4"/>
  <c r="G223" i="4"/>
  <c r="F224" i="4"/>
  <c r="G224" i="4"/>
  <c r="F225" i="4"/>
  <c r="G225" i="4"/>
  <c r="F226" i="4"/>
  <c r="G226" i="4"/>
  <c r="F227" i="4"/>
  <c r="G227" i="4"/>
  <c r="F228" i="4"/>
  <c r="G228" i="4"/>
  <c r="F229" i="4"/>
  <c r="G229" i="4"/>
  <c r="F230" i="4"/>
  <c r="G230" i="4"/>
  <c r="F231" i="4"/>
  <c r="G231" i="4"/>
  <c r="F232" i="4"/>
  <c r="G232" i="4"/>
  <c r="F233" i="4"/>
  <c r="G233" i="4"/>
  <c r="F234" i="4"/>
  <c r="G234" i="4"/>
  <c r="F235" i="4"/>
  <c r="G235" i="4"/>
  <c r="G1" i="4"/>
  <c r="F1" i="4"/>
  <c r="M14" i="5" l="1"/>
  <c r="M13" i="5"/>
  <c r="M12" i="5"/>
  <c r="M11" i="5"/>
  <c r="M10" i="5"/>
  <c r="M9" i="5"/>
  <c r="M8" i="5"/>
  <c r="M7" i="5"/>
  <c r="M6" i="5"/>
  <c r="M5" i="5"/>
  <c r="M4" i="5"/>
  <c r="M3" i="5"/>
  <c r="M2" i="3" l="1"/>
  <c r="M3" i="3" s="1"/>
  <c r="J7" i="1" l="1"/>
  <c r="S7" i="1"/>
  <c r="S5" i="1"/>
  <c r="J5" i="1"/>
  <c r="M5" i="1"/>
  <c r="M8" i="1" s="1"/>
  <c r="W5" i="1" a="1"/>
  <c r="W5" i="1" s="1"/>
  <c r="W8" i="1" s="1"/>
  <c r="N5" i="1" a="1"/>
  <c r="N5" i="1" s="1"/>
  <c r="N8" i="1" s="1"/>
  <c r="X5" i="1" a="1"/>
  <c r="X5" i="1" s="1"/>
  <c r="X8" i="1" s="1"/>
  <c r="O5" i="1" a="1"/>
  <c r="O5" i="1" s="1"/>
  <c r="O8" i="1" s="1"/>
  <c r="J8" i="1" l="1"/>
  <c r="J4" i="1"/>
  <c r="S8" i="1"/>
  <c r="S4" i="1"/>
  <c r="S9" i="1" l="1"/>
  <c r="J9" i="1"/>
  <c r="S11" i="1" l="1"/>
  <c r="A11" i="1"/>
  <c r="B1" i="6" l="1"/>
  <c r="A5" i="3"/>
</calcChain>
</file>

<file path=xl/connections.xml><?xml version="1.0" encoding="utf-8"?>
<connections xmlns="http://schemas.openxmlformats.org/spreadsheetml/2006/main">
  <connection id="1" name="Denver Train Runs 04122016" type="6" refreshedVersion="5" deleted="1" background="1" saveData="1">
    <textPr codePage="437" sourceFile="C:\Users\rwhitlock\Desktop\Denver Train Runs 04122016.txt">
      <textFields count="10">
        <textField/>
        <textField/>
        <textField/>
        <textField/>
        <textField/>
        <textField/>
        <textField/>
        <textField/>
        <textField/>
        <textField/>
      </textFields>
    </textPr>
  </connection>
</connections>
</file>

<file path=xl/sharedStrings.xml><?xml version="1.0" encoding="utf-8"?>
<sst xmlns="http://schemas.openxmlformats.org/spreadsheetml/2006/main" count="2145" uniqueCount="742">
  <si>
    <t>Train ID</t>
  </si>
  <si>
    <t>Departure/Init Location</t>
  </si>
  <si>
    <t>Initialization Date/Time (US/Mountain)</t>
  </si>
  <si>
    <t>Departure Date/Time (US/Mountain)</t>
  </si>
  <si>
    <t>Delay (minutes)</t>
  </si>
  <si>
    <t>Arrival Location</t>
  </si>
  <si>
    <t>Arrival Date/Time (US/Mountain)</t>
  </si>
  <si>
    <t>2083 Enforcements (count)</t>
  </si>
  <si>
    <t>Trip Length</t>
  </si>
  <si>
    <t>Cut out runs</t>
  </si>
  <si>
    <t>PTC Runs</t>
  </si>
  <si>
    <t>Average</t>
  </si>
  <si>
    <t>Min</t>
  </si>
  <si>
    <t>Max</t>
  </si>
  <si>
    <t>Total</t>
  </si>
  <si>
    <t>NA</t>
  </si>
  <si>
    <t>Total Completed PTC runs</t>
  </si>
  <si>
    <t>Single Init runs</t>
  </si>
  <si>
    <t>Cut out</t>
  </si>
  <si>
    <t>Total Completed PTC runs (%)</t>
  </si>
  <si>
    <t>Trip Start MP</t>
  </si>
  <si>
    <t>Trip End MP</t>
  </si>
  <si>
    <t>Trip Distance</t>
  </si>
  <si>
    <t>Concerning?</t>
  </si>
  <si>
    <t>Comments</t>
  </si>
  <si>
    <t>Operating Date</t>
  </si>
  <si>
    <t>Onboard Software Version</t>
  </si>
  <si>
    <t>System Enforcement Y/N</t>
  </si>
  <si>
    <t xml:space="preserve">Data.Enforcement Direction of Travel </t>
  </si>
  <si>
    <t xml:space="preserve">Data.Target Start Milepost </t>
  </si>
  <si>
    <t xml:space="preserve">Data.Target Type </t>
  </si>
  <si>
    <t xml:space="preserve">Data.Enforcement Start Milepost </t>
  </si>
  <si>
    <t xml:space="preserve">Data.Enforcement Train Speed </t>
  </si>
  <si>
    <t xml:space="preserve">Data.Target Speed </t>
  </si>
  <si>
    <t xml:space="preserve">Data.Target Description </t>
  </si>
  <si>
    <t xml:space="preserve">Data.Warning/Enforcement Type </t>
  </si>
  <si>
    <t xml:space="preserve">Data.Train ID </t>
  </si>
  <si>
    <t xml:space="preserve">Source </t>
  </si>
  <si>
    <t xml:space="preserve">Time </t>
  </si>
  <si>
    <t>Enforcement MP</t>
  </si>
  <si>
    <t>Enforcement Desc</t>
  </si>
  <si>
    <t>w/o multiple inits</t>
  </si>
  <si>
    <t>w/ multiple inits</t>
  </si>
  <si>
    <t>Multi Init runs</t>
  </si>
  <si>
    <t>Loco ID</t>
  </si>
  <si>
    <t>Kibana Link</t>
  </si>
  <si>
    <t>Status</t>
  </si>
  <si>
    <t>Operator Name</t>
  </si>
  <si>
    <t>Difference between last trip</t>
  </si>
  <si>
    <t>Predictive Enforcement (2)</t>
  </si>
  <si>
    <t>TRACK WARRANT AUTHORITY</t>
  </si>
  <si>
    <t>Form based authority (4)</t>
  </si>
  <si>
    <t>Increasing Mileposts (1)</t>
  </si>
  <si>
    <t>Decreasing Mileposts (2)</t>
  </si>
  <si>
    <t>SIGNAL</t>
  </si>
  <si>
    <t>Signal based authority (5)</t>
  </si>
  <si>
    <t>PERMANENT SPEED RESTRICTION</t>
  </si>
  <si>
    <t>Speed (6)</t>
  </si>
  <si>
    <t>sunday - thu - 144/day</t>
  </si>
  <si>
    <t>fri-sat - 146/day</t>
  </si>
  <si>
    <t>Married Pair</t>
  </si>
  <si>
    <t>Kibana URL</t>
  </si>
  <si>
    <t>Possible Explanation</t>
  </si>
  <si>
    <t>Recorded Operator</t>
  </si>
  <si>
    <t>Trip ID</t>
  </si>
  <si>
    <t># Of Times Offered</t>
  </si>
  <si>
    <t>Loco</t>
  </si>
  <si>
    <t>Recorded Loco</t>
  </si>
  <si>
    <t>Recorded time</t>
  </si>
  <si>
    <t>Xing Completion Percentage</t>
  </si>
  <si>
    <t>IsEven</t>
  </si>
  <si>
    <t>Xing#</t>
  </si>
  <si>
    <t>BEGINMILEPOST</t>
  </si>
  <si>
    <t>ENDMILEPOST</t>
  </si>
  <si>
    <t>York and Josephine Street</t>
  </si>
  <si>
    <t>CLAYTON ST</t>
  </si>
  <si>
    <t>STEELE ST</t>
  </si>
  <si>
    <t>Dahlia Street</t>
  </si>
  <si>
    <t>Holly Street</t>
  </si>
  <si>
    <t>Monaco Parkway</t>
  </si>
  <si>
    <t>SB Quebec Parkway</t>
  </si>
  <si>
    <t>NB Quebec Parkway</t>
  </si>
  <si>
    <t>Ulster Street</t>
  </si>
  <si>
    <t>Havana Street</t>
  </si>
  <si>
    <t>Sable Boulevard</t>
  </si>
  <si>
    <t>Chambers Road</t>
  </si>
  <si>
    <t>N</t>
  </si>
  <si>
    <t>Possible System Enforcement</t>
  </si>
  <si>
    <t>Training enforcement</t>
  </si>
  <si>
    <t>204:143</t>
  </si>
  <si>
    <t>rtdc.l.rtdc.4013:itc</t>
  </si>
  <si>
    <t>rtdc.l.rtdc.4029:itc</t>
  </si>
  <si>
    <t>rtdc.l.rtdc.4030:itc</t>
  </si>
  <si>
    <t>rtdc.l.rtdc.4027:itc</t>
  </si>
  <si>
    <t>Trip Number Sortable</t>
  </si>
  <si>
    <t>LocoID</t>
  </si>
  <si>
    <t>UTC Time</t>
  </si>
  <si>
    <t>AstroGrep Path</t>
  </si>
  <si>
    <t>Search Path</t>
  </si>
  <si>
    <t>Search RegExp</t>
  </si>
  <si>
    <t>AstroGrepCall</t>
  </si>
  <si>
    <t>AWS CP</t>
  </si>
  <si>
    <t>S3 Bucket</t>
  </si>
  <si>
    <t>s3://rtdc.mdm.uploadarchive</t>
  </si>
  <si>
    <t>WalkAndUnGZ</t>
  </si>
  <si>
    <t>C:\Users\stu\Documents\GitHub\mrs-test-scripts\Headless Mode &amp; Sideloading\WalkAndUnGZ.bat</t>
  </si>
  <si>
    <t>AstroGrep</t>
  </si>
  <si>
    <t>UTC Offset</t>
  </si>
  <si>
    <t>EC or NWGL</t>
  </si>
  <si>
    <t>204:462</t>
  </si>
  <si>
    <t>Omit due to TWC &lt; 1</t>
  </si>
  <si>
    <t>Reactive Enforcement (3)</t>
  </si>
  <si>
    <t>rtdc.l.rtdc.4014:itc</t>
  </si>
  <si>
    <t>DE.1.0.7.0</t>
  </si>
  <si>
    <t>rtdc.l.rtdc.4031:itc</t>
  </si>
  <si>
    <t>rtdc.l.rtdc.4032:itc</t>
  </si>
  <si>
    <t>EC Threshold for Pink Highlight (Slow Run) (mins)</t>
  </si>
  <si>
    <t>NWGL Threshold for Pink Highlight (Slow run) (mins)</t>
  </si>
  <si>
    <t>EC Crossings</t>
  </si>
  <si>
    <t>NW Crossings</t>
  </si>
  <si>
    <t>BNSF FUEL YARD</t>
  </si>
  <si>
    <t>Kibana link</t>
  </si>
  <si>
    <t>EC</t>
  </si>
  <si>
    <t>NW</t>
  </si>
  <si>
    <t>EC/NW/GL</t>
  </si>
  <si>
    <t>204:455</t>
  </si>
  <si>
    <t>RefineRTDCRunTimes</t>
  </si>
  <si>
    <t>RefineTime</t>
  </si>
  <si>
    <t>"%USERPROFILE%\Documents\GitHub\eaglep3\Utilities\RefineRTDCRunTimes.py"</t>
  </si>
  <si>
    <t>%USERPROFILE%\Documents\GitHub\mrs-test-scripts\Headless Mode &amp; Sideloading\WalkAndUnGZ.bat</t>
  </si>
  <si>
    <t>"%USERPROFILE%\AppData\Local\Temp\OnboardLogs"</t>
  </si>
  <si>
    <t>204:158</t>
  </si>
  <si>
    <t>204:147</t>
  </si>
  <si>
    <t>204:453</t>
  </si>
  <si>
    <t>204:232994</t>
  </si>
  <si>
    <t>204:449</t>
  </si>
  <si>
    <t>204:149</t>
  </si>
  <si>
    <t>ISHMAEL</t>
  </si>
  <si>
    <t>204:467</t>
  </si>
  <si>
    <t>LEVIN</t>
  </si>
  <si>
    <t>204:457</t>
  </si>
  <si>
    <t>STAMBAUGH</t>
  </si>
  <si>
    <t>rtdc.l.rtdc.4037:itc</t>
  </si>
  <si>
    <t xml:space="preserve">baselines for EC: </t>
  </si>
  <si>
    <t>baselines for NWES:</t>
  </si>
  <si>
    <t>M - F = 47 trips</t>
  </si>
  <si>
    <t>Sat - Sun = 33 Trips</t>
  </si>
  <si>
    <t>rtdc.l.rtdc.4042:itc</t>
  </si>
  <si>
    <t>rtdc.l.rtdc.4038:itc</t>
  </si>
  <si>
    <t>204:156</t>
  </si>
  <si>
    <t>204:451</t>
  </si>
  <si>
    <t>204:233291</t>
  </si>
  <si>
    <t>204:154</t>
  </si>
  <si>
    <t>236-12</t>
  </si>
  <si>
    <t>238-12</t>
  </si>
  <si>
    <t>240-12</t>
  </si>
  <si>
    <t>241-12</t>
  </si>
  <si>
    <t>242-12</t>
  </si>
  <si>
    <t>243-12</t>
  </si>
  <si>
    <t>244-12</t>
  </si>
  <si>
    <t>245-12</t>
  </si>
  <si>
    <t>246-12</t>
  </si>
  <si>
    <t>309-12</t>
  </si>
  <si>
    <t>311-12</t>
  </si>
  <si>
    <t>315-12</t>
  </si>
  <si>
    <t>YANAI</t>
  </si>
  <si>
    <t>313-12</t>
  </si>
  <si>
    <t>204:152</t>
  </si>
  <si>
    <t>rtdc.l.rtdc.4009:itc</t>
  </si>
  <si>
    <t>rtdc.l.rtdc.4010:itc</t>
  </si>
  <si>
    <t>CHANDLER</t>
  </si>
  <si>
    <t>204:471</t>
  </si>
  <si>
    <t>rtdc.l.rtdc.4002:itc</t>
  </si>
  <si>
    <t>:.+((SYSTEM_STATE.+slice.+state.+changed )|(ment ac)|(system.+state.+changed )|(\|lc)|(penalty)|(\[timeout)|(PRM\|1\|D)|(kpr)|(kdp))</t>
  </si>
  <si>
    <t>204:145</t>
  </si>
  <si>
    <t>204:447</t>
  </si>
  <si>
    <t>rtdc.l.rtdc.4041:itc</t>
  </si>
  <si>
    <t>204:160</t>
  </si>
  <si>
    <t>204:233293</t>
  </si>
  <si>
    <t>rtdc.l.rtdc.4003:itc</t>
  </si>
  <si>
    <t>204:460</t>
  </si>
  <si>
    <t>204:139</t>
  </si>
  <si>
    <t>HAITHCOX</t>
  </si>
  <si>
    <t>204:233320</t>
  </si>
  <si>
    <t>204:464</t>
  </si>
  <si>
    <t>204:232989</t>
  </si>
  <si>
    <t>rtdc.l.rtdc.4004:itc</t>
  </si>
  <si>
    <t>ARVIDSON</t>
  </si>
  <si>
    <t>Redmine API Key</t>
  </si>
  <si>
    <t>Redmine URL</t>
  </si>
  <si>
    <t>d6333d4a04012a730768444271f8ca06482dae87</t>
  </si>
  <si>
    <t>https://secure.xorail.net/redmine/issues.json</t>
  </si>
  <si>
    <t>Impact</t>
  </si>
  <si>
    <t>Operational Impact</t>
  </si>
  <si>
    <t>Denver Segment Assigned</t>
  </si>
  <si>
    <t>Enforcement</t>
  </si>
  <si>
    <t>Yes</t>
  </si>
  <si>
    <t>General</t>
  </si>
  <si>
    <t>Failed State</t>
  </si>
  <si>
    <t>No</t>
  </si>
  <si>
    <t>Signal</t>
  </si>
  <si>
    <t>Unexpected Cut-Out or Disengaged</t>
  </si>
  <si>
    <t>Crossings</t>
  </si>
  <si>
    <t>Initialization Problem</t>
  </si>
  <si>
    <t>STMS</t>
  </si>
  <si>
    <t>Immediate Train Stop</t>
  </si>
  <si>
    <t>Comms</t>
  </si>
  <si>
    <t>Others</t>
  </si>
  <si>
    <t>Wi-MAX</t>
  </si>
  <si>
    <t>Loco - Comms</t>
  </si>
  <si>
    <t>Loco – PTC</t>
  </si>
  <si>
    <t>Subdiv</t>
  </si>
  <si>
    <t>RTDC Issue</t>
  </si>
  <si>
    <t>TBD</t>
  </si>
  <si>
    <t>Training</t>
  </si>
  <si>
    <t>Redmine Status</t>
  </si>
  <si>
    <t>Redmine Priority</t>
  </si>
  <si>
    <t>Redmine Assignee</t>
  </si>
  <si>
    <t>Redmine Operational Impact</t>
  </si>
  <si>
    <t>Redmine cURL</t>
  </si>
  <si>
    <t>Redmine add'l desc</t>
  </si>
  <si>
    <t>Seg't</t>
  </si>
  <si>
    <t>204:232980</t>
  </si>
  <si>
    <t>204:232977</t>
  </si>
  <si>
    <t>From 08-24-2016 13:14:05.327 until 13:28:22.128, 61st 2S should have been clear (controls sent to it the entire time was CLEAR). However, it cycled back and forth between PROCEED CAB and STOP. Any ideas why?</t>
  </si>
  <si>
    <t>204:438</t>
  </si>
  <si>
    <t>204:233282</t>
  </si>
  <si>
    <t>204:233301</t>
  </si>
  <si>
    <t>rtdc.l.rtdc.4019:itc</t>
  </si>
  <si>
    <t>rtdc.l.rtdc.4020:itc</t>
  </si>
  <si>
    <t>Output Refined Run Times to File?</t>
  </si>
  <si>
    <t>RefinedRTDCRunTimesOutputFile</t>
  </si>
  <si>
    <t>rtdc.l.rtdc.4040:itc</t>
  </si>
  <si>
    <t>rtdc.l.rtdc.4039:itc</t>
  </si>
  <si>
    <t>rtdc.l.rtdc.4028:itc</t>
  </si>
  <si>
    <t>245-26</t>
  </si>
  <si>
    <t>242-26</t>
  </si>
  <si>
    <t>309-26</t>
  </si>
  <si>
    <t>244-26</t>
  </si>
  <si>
    <t>311-26</t>
  </si>
  <si>
    <t>246-26</t>
  </si>
  <si>
    <t>313-26</t>
  </si>
  <si>
    <t>Bulletin (2)</t>
  </si>
  <si>
    <t>GRADE CROSSING</t>
  </si>
  <si>
    <t>204:232971</t>
  </si>
  <si>
    <t>204:458</t>
  </si>
  <si>
    <t>204:232988</t>
  </si>
  <si>
    <t>204:232985</t>
  </si>
  <si>
    <t>204:232974</t>
  </si>
  <si>
    <t>204:232973</t>
  </si>
  <si>
    <t>204:466</t>
  </si>
  <si>
    <t>204:233297</t>
  </si>
  <si>
    <t>204:475</t>
  </si>
  <si>
    <t>204:232981</t>
  </si>
  <si>
    <t>204:233288</t>
  </si>
  <si>
    <t>204:232990</t>
  </si>
  <si>
    <t>KILLION</t>
  </si>
  <si>
    <t>BARTLETT</t>
  </si>
  <si>
    <t>DE LA ROSA</t>
  </si>
  <si>
    <t>STARKS</t>
  </si>
  <si>
    <t>YOUNG</t>
  </si>
  <si>
    <t>COOLAHAN</t>
  </si>
  <si>
    <t>204:232961</t>
  </si>
  <si>
    <t>204:233289</t>
  </si>
  <si>
    <t>204:232976</t>
  </si>
  <si>
    <t>204:1020</t>
  </si>
  <si>
    <t>300:58606</t>
  </si>
  <si>
    <t>204:233308</t>
  </si>
  <si>
    <t>204:442</t>
  </si>
  <si>
    <t>204:233008</t>
  </si>
  <si>
    <t>204:431</t>
  </si>
  <si>
    <t>204:233013</t>
  </si>
  <si>
    <t>204:446</t>
  </si>
  <si>
    <t>Trip Number</t>
  </si>
  <si>
    <t>40th 4S STOP, cleared shortly</t>
  </si>
  <si>
    <t>Early arrival</t>
  </si>
  <si>
    <t>SPECTOR</t>
  </si>
  <si>
    <t>rtdc.l.rtdc.4018:itc</t>
  </si>
  <si>
    <t>SANTIZO</t>
  </si>
  <si>
    <t>rtdc.l.rtdc.4017:itc</t>
  </si>
  <si>
    <t>rtdc.l.rtdc.4005:itc</t>
  </si>
  <si>
    <t>rtdc.l.rtdc.4011:itc</t>
  </si>
  <si>
    <t>rtdc.l.rtdc.4006:itc</t>
  </si>
  <si>
    <t>Y</t>
  </si>
  <si>
    <t>204:233314</t>
  </si>
  <si>
    <t>204:136</t>
  </si>
  <si>
    <t>204:163</t>
  </si>
  <si>
    <t>204:497</t>
  </si>
  <si>
    <t>204:232975</t>
  </si>
  <si>
    <t>204:232965</t>
  </si>
  <si>
    <t>204:233303</t>
  </si>
  <si>
    <t>204:232996</t>
  </si>
  <si>
    <t>204:232993</t>
  </si>
  <si>
    <t>204:232978</t>
  </si>
  <si>
    <t>204:233298</t>
  </si>
  <si>
    <t>204:232987</t>
  </si>
  <si>
    <t>204:233321</t>
  </si>
  <si>
    <t>204:233307</t>
  </si>
  <si>
    <t>204:232982</t>
  </si>
  <si>
    <t>204:233001</t>
  </si>
  <si>
    <t>300:23306</t>
  </si>
  <si>
    <t>204:724</t>
  </si>
  <si>
    <t>204:692</t>
  </si>
  <si>
    <t>204:678</t>
  </si>
  <si>
    <t>Onboard in-route failure</t>
  </si>
  <si>
    <t>rtdc.l.rtdc.4015:itc</t>
  </si>
  <si>
    <t>rtdc.l.rtdc.4012:itc</t>
  </si>
  <si>
    <t>SMITH</t>
  </si>
  <si>
    <t>GEBRETEKLE</t>
  </si>
  <si>
    <t>ROCHA</t>
  </si>
  <si>
    <t>MAHAN</t>
  </si>
  <si>
    <t>BROWN</t>
  </si>
  <si>
    <t>rtdc.l.rtdc.4016:itc</t>
  </si>
  <si>
    <t>HILLS</t>
  </si>
  <si>
    <t>242-30</t>
  </si>
  <si>
    <t>311-30</t>
  </si>
  <si>
    <t>244-30</t>
  </si>
  <si>
    <t>313-30</t>
  </si>
  <si>
    <t>51-31</t>
  </si>
  <si>
    <t>CHIONE</t>
  </si>
  <si>
    <t>315-30</t>
  </si>
  <si>
    <t>50-31</t>
  </si>
  <si>
    <t>204:233319</t>
  </si>
  <si>
    <t>204:233302</t>
  </si>
  <si>
    <t>204:233286</t>
  </si>
  <si>
    <t>204:233324</t>
  </si>
  <si>
    <t>204:233331</t>
  </si>
  <si>
    <t>204:233309</t>
  </si>
  <si>
    <t>204:233283</t>
  </si>
  <si>
    <t>204:161</t>
  </si>
  <si>
    <t>204:233300</t>
  </si>
  <si>
    <t>204:440</t>
  </si>
  <si>
    <t>204:232970</t>
  </si>
  <si>
    <t>204:233305</t>
  </si>
  <si>
    <t>204:127852</t>
  </si>
  <si>
    <t>204:233310</t>
  </si>
  <si>
    <t>204:478</t>
  </si>
  <si>
    <t>204:480</t>
  </si>
  <si>
    <t>204:433</t>
  </si>
  <si>
    <t>204:498</t>
  </si>
  <si>
    <t>204:233010</t>
  </si>
  <si>
    <t>204:138</t>
  </si>
  <si>
    <t>204:233334</t>
  </si>
  <si>
    <t>204:533</t>
  </si>
  <si>
    <t>204:123</t>
  </si>
  <si>
    <t>204:172</t>
  </si>
  <si>
    <t>300:23346</t>
  </si>
  <si>
    <t>300:22877</t>
  </si>
  <si>
    <t>300:31142</t>
  </si>
  <si>
    <t>300:5280</t>
  </si>
  <si>
    <t>204:1177</t>
  </si>
  <si>
    <t>300:31462</t>
  </si>
  <si>
    <t>300:5540</t>
  </si>
  <si>
    <t>300:31265</t>
  </si>
  <si>
    <t>204:415</t>
  </si>
  <si>
    <t>204:715</t>
  </si>
  <si>
    <t>300:58645</t>
  </si>
  <si>
    <t>300:58613</t>
  </si>
  <si>
    <t>300:58628</t>
  </si>
  <si>
    <t>300:58992</t>
  </si>
  <si>
    <t>300:58668</t>
  </si>
  <si>
    <t>204:1083</t>
  </si>
  <si>
    <t>204:635</t>
  </si>
  <si>
    <t>204:971</t>
  </si>
  <si>
    <t>204:972</t>
  </si>
  <si>
    <t>300:58918</t>
  </si>
  <si>
    <t>300:58600</t>
  </si>
  <si>
    <t>204:694</t>
  </si>
  <si>
    <t>204:953</t>
  </si>
  <si>
    <t>Pena 4S STOP, cleared shortly</t>
  </si>
  <si>
    <t>101-31</t>
  </si>
  <si>
    <t>102-31</t>
  </si>
  <si>
    <t>204:232652</t>
  </si>
  <si>
    <t>204:141</t>
  </si>
  <si>
    <t>104-31</t>
  </si>
  <si>
    <t>204:232742</t>
  </si>
  <si>
    <t>204:87</t>
  </si>
  <si>
    <t>105-31</t>
  </si>
  <si>
    <t>204:772</t>
  </si>
  <si>
    <t>106-31</t>
  </si>
  <si>
    <t>204:232658</t>
  </si>
  <si>
    <t>107-31</t>
  </si>
  <si>
    <t>108-31</t>
  </si>
  <si>
    <t>109-31</t>
  </si>
  <si>
    <t>110-31</t>
  </si>
  <si>
    <t>204:150</t>
  </si>
  <si>
    <t>111-31</t>
  </si>
  <si>
    <t>204:746</t>
  </si>
  <si>
    <t>112-31</t>
  </si>
  <si>
    <t>113-31</t>
  </si>
  <si>
    <t>114-31</t>
  </si>
  <si>
    <t>115-31</t>
  </si>
  <si>
    <t>204:708</t>
  </si>
  <si>
    <t>204:233349</t>
  </si>
  <si>
    <t>116-31</t>
  </si>
  <si>
    <t>204:233002</t>
  </si>
  <si>
    <t>117-31</t>
  </si>
  <si>
    <t>204:400</t>
  </si>
  <si>
    <t>118-31</t>
  </si>
  <si>
    <t>204:183</t>
  </si>
  <si>
    <t>119-31</t>
  </si>
  <si>
    <t>204:19133</t>
  </si>
  <si>
    <t>204:763</t>
  </si>
  <si>
    <t>204:1205</t>
  </si>
  <si>
    <t>120-31</t>
  </si>
  <si>
    <t>204:233030</t>
  </si>
  <si>
    <t>121-31</t>
  </si>
  <si>
    <t>204:486</t>
  </si>
  <si>
    <t>204:233318</t>
  </si>
  <si>
    <t>122-31</t>
  </si>
  <si>
    <t>123-31</t>
  </si>
  <si>
    <t>204:233264</t>
  </si>
  <si>
    <t>124-31</t>
  </si>
  <si>
    <t>125-31</t>
  </si>
  <si>
    <t>204:233341</t>
  </si>
  <si>
    <t>126-31</t>
  </si>
  <si>
    <t>204:232955</t>
  </si>
  <si>
    <t>127-31</t>
  </si>
  <si>
    <t>128-31</t>
  </si>
  <si>
    <t>129-31</t>
  </si>
  <si>
    <t>130-31</t>
  </si>
  <si>
    <t>131-31</t>
  </si>
  <si>
    <t>204:493</t>
  </si>
  <si>
    <t>132-31</t>
  </si>
  <si>
    <t>133-31</t>
  </si>
  <si>
    <t>134-31</t>
  </si>
  <si>
    <t>135-31</t>
  </si>
  <si>
    <t>204:233306</t>
  </si>
  <si>
    <t>136-31</t>
  </si>
  <si>
    <t>204:233004</t>
  </si>
  <si>
    <t>137-31</t>
  </si>
  <si>
    <t>204:233270</t>
  </si>
  <si>
    <t>138-31</t>
  </si>
  <si>
    <t>139-31</t>
  </si>
  <si>
    <t>140-31</t>
  </si>
  <si>
    <t>141-31</t>
  </si>
  <si>
    <t>142-31</t>
  </si>
  <si>
    <t>143-31</t>
  </si>
  <si>
    <t>144-31</t>
  </si>
  <si>
    <t>145-31</t>
  </si>
  <si>
    <t>146-31</t>
  </si>
  <si>
    <t>147-31</t>
  </si>
  <si>
    <t>148-31</t>
  </si>
  <si>
    <t>149-31</t>
  </si>
  <si>
    <t>150-31</t>
  </si>
  <si>
    <t>151-31</t>
  </si>
  <si>
    <t>152-31</t>
  </si>
  <si>
    <t>204:232972</t>
  </si>
  <si>
    <t>153-31</t>
  </si>
  <si>
    <t>154-31</t>
  </si>
  <si>
    <t>155-31</t>
  </si>
  <si>
    <t>204:444</t>
  </si>
  <si>
    <t>204:233272</t>
  </si>
  <si>
    <t>156-31</t>
  </si>
  <si>
    <t>204:232979</t>
  </si>
  <si>
    <t>204:165</t>
  </si>
  <si>
    <t>157-31</t>
  </si>
  <si>
    <t>204:233408</t>
  </si>
  <si>
    <t>158-31</t>
  </si>
  <si>
    <t>204:233080</t>
  </si>
  <si>
    <t>159-31</t>
  </si>
  <si>
    <t>160-31</t>
  </si>
  <si>
    <t>204:232983</t>
  </si>
  <si>
    <t>161-31</t>
  </si>
  <si>
    <t>204:233360</t>
  </si>
  <si>
    <t>162-31</t>
  </si>
  <si>
    <t>204:233069</t>
  </si>
  <si>
    <t>204:214</t>
  </si>
  <si>
    <t>163-31</t>
  </si>
  <si>
    <t>164-31</t>
  </si>
  <si>
    <t>165-31</t>
  </si>
  <si>
    <t>166-31</t>
  </si>
  <si>
    <t>167-31</t>
  </si>
  <si>
    <t>204:233304</t>
  </si>
  <si>
    <t>168-31</t>
  </si>
  <si>
    <t>204:233011</t>
  </si>
  <si>
    <t>204:216</t>
  </si>
  <si>
    <t>169-31</t>
  </si>
  <si>
    <t>204:469</t>
  </si>
  <si>
    <t>204:233268</t>
  </si>
  <si>
    <t>170-31</t>
  </si>
  <si>
    <t>204:232957</t>
  </si>
  <si>
    <t>204:169</t>
  </si>
  <si>
    <t>171-31</t>
  </si>
  <si>
    <t>172-31</t>
  </si>
  <si>
    <t>173-31</t>
  </si>
  <si>
    <t>174-31</t>
  </si>
  <si>
    <t>175-31</t>
  </si>
  <si>
    <t>176-31</t>
  </si>
  <si>
    <t>177-31</t>
  </si>
  <si>
    <t>178-31</t>
  </si>
  <si>
    <t>179-31</t>
  </si>
  <si>
    <t>180-31</t>
  </si>
  <si>
    <t>204:901</t>
  </si>
  <si>
    <t>181-31</t>
  </si>
  <si>
    <t>204:559</t>
  </si>
  <si>
    <t>204:233326</t>
  </si>
  <si>
    <t>182-31</t>
  </si>
  <si>
    <t>183-31</t>
  </si>
  <si>
    <t>204:484</t>
  </si>
  <si>
    <t>184-31</t>
  </si>
  <si>
    <t>185-31</t>
  </si>
  <si>
    <t>186-31</t>
  </si>
  <si>
    <t>204:1232</t>
  </si>
  <si>
    <t>187-31</t>
  </si>
  <si>
    <t>188-31</t>
  </si>
  <si>
    <t>189-31</t>
  </si>
  <si>
    <t>190-31</t>
  </si>
  <si>
    <t>204:176</t>
  </si>
  <si>
    <t>191-31</t>
  </si>
  <si>
    <t>204:233317</t>
  </si>
  <si>
    <t>192-31</t>
  </si>
  <si>
    <t>193-31</t>
  </si>
  <si>
    <t>204:734</t>
  </si>
  <si>
    <t>194-31</t>
  </si>
  <si>
    <t>197-31</t>
  </si>
  <si>
    <t>198-31</t>
  </si>
  <si>
    <t>199-31</t>
  </si>
  <si>
    <t>204:770</t>
  </si>
  <si>
    <t>200-31</t>
  </si>
  <si>
    <t>201-31</t>
  </si>
  <si>
    <t>204:416</t>
  </si>
  <si>
    <t>202-31</t>
  </si>
  <si>
    <t>203-31</t>
  </si>
  <si>
    <t>204-31</t>
  </si>
  <si>
    <t>205-31</t>
  </si>
  <si>
    <t>204:233381</t>
  </si>
  <si>
    <t>206-31</t>
  </si>
  <si>
    <t>204:233047</t>
  </si>
  <si>
    <t>207-31</t>
  </si>
  <si>
    <t>204:19121</t>
  </si>
  <si>
    <t>208-31</t>
  </si>
  <si>
    <t>204:180</t>
  </si>
  <si>
    <t>209-31</t>
  </si>
  <si>
    <t>210-31</t>
  </si>
  <si>
    <t>211-31</t>
  </si>
  <si>
    <t>213-31</t>
  </si>
  <si>
    <t>214-31</t>
  </si>
  <si>
    <t>215-31</t>
  </si>
  <si>
    <t>204:488</t>
  </si>
  <si>
    <t>216-31</t>
  </si>
  <si>
    <t>204:178</t>
  </si>
  <si>
    <t>217-31</t>
  </si>
  <si>
    <t>218-31</t>
  </si>
  <si>
    <t>204:233019</t>
  </si>
  <si>
    <t>219-31</t>
  </si>
  <si>
    <t>204:19126</t>
  </si>
  <si>
    <t>204:1901</t>
  </si>
  <si>
    <t>220-31</t>
  </si>
  <si>
    <t>221-31</t>
  </si>
  <si>
    <t>204:233287</t>
  </si>
  <si>
    <t>222-31</t>
  </si>
  <si>
    <t>223-31</t>
  </si>
  <si>
    <t>204:426</t>
  </si>
  <si>
    <t>224-31</t>
  </si>
  <si>
    <t>225-31</t>
  </si>
  <si>
    <t>226-31</t>
  </si>
  <si>
    <t>227-31</t>
  </si>
  <si>
    <t>228-31</t>
  </si>
  <si>
    <t>204:260</t>
  </si>
  <si>
    <t>229-31</t>
  </si>
  <si>
    <t>230-31</t>
  </si>
  <si>
    <t>231-31</t>
  </si>
  <si>
    <t>204:429</t>
  </si>
  <si>
    <t>232-31</t>
  </si>
  <si>
    <t>233-31</t>
  </si>
  <si>
    <t>234-31</t>
  </si>
  <si>
    <t>235-31</t>
  </si>
  <si>
    <t>204:562</t>
  </si>
  <si>
    <t>236-31</t>
  </si>
  <si>
    <t>204:191</t>
  </si>
  <si>
    <t>237-31</t>
  </si>
  <si>
    <t>238-31</t>
  </si>
  <si>
    <t>239-31</t>
  </si>
  <si>
    <t>240-31</t>
  </si>
  <si>
    <t>204:4592</t>
  </si>
  <si>
    <t>241-31</t>
  </si>
  <si>
    <t>242-31</t>
  </si>
  <si>
    <t>204:233028</t>
  </si>
  <si>
    <t>243-31</t>
  </si>
  <si>
    <t>204:508</t>
  </si>
  <si>
    <t>244-31</t>
  </si>
  <si>
    <t>303-31</t>
  </si>
  <si>
    <t>309-31</t>
  </si>
  <si>
    <t>300:22589</t>
  </si>
  <si>
    <t>311-31</t>
  </si>
  <si>
    <t>300:23301</t>
  </si>
  <si>
    <t>313-31</t>
  </si>
  <si>
    <t>300:23056</t>
  </si>
  <si>
    <t>315-31</t>
  </si>
  <si>
    <t>300:23312</t>
  </si>
  <si>
    <t>300:30945</t>
  </si>
  <si>
    <t>204:1022</t>
  </si>
  <si>
    <t>204:1456</t>
  </si>
  <si>
    <t>300:23297</t>
  </si>
  <si>
    <t>67-31</t>
  </si>
  <si>
    <t>300:23491</t>
  </si>
  <si>
    <t>71-31</t>
  </si>
  <si>
    <t>300:24207</t>
  </si>
  <si>
    <t>800-31</t>
  </si>
  <si>
    <t>204:738</t>
  </si>
  <si>
    <t>801-31</t>
  </si>
  <si>
    <t>204:1034</t>
  </si>
  <si>
    <t>300:58931</t>
  </si>
  <si>
    <t>802-31</t>
  </si>
  <si>
    <t>300:58617</t>
  </si>
  <si>
    <t>204:740</t>
  </si>
  <si>
    <t>803-31</t>
  </si>
  <si>
    <t>204:962</t>
  </si>
  <si>
    <t>300:59005</t>
  </si>
  <si>
    <t>804-31</t>
  </si>
  <si>
    <t>300:58689</t>
  </si>
  <si>
    <t>204:691</t>
  </si>
  <si>
    <t>805-31</t>
  </si>
  <si>
    <t>300:58927</t>
  </si>
  <si>
    <t>806-31</t>
  </si>
  <si>
    <t>807-31</t>
  </si>
  <si>
    <t>808-31</t>
  </si>
  <si>
    <t>809-31</t>
  </si>
  <si>
    <t>204:1016</t>
  </si>
  <si>
    <t>810-31</t>
  </si>
  <si>
    <t>204:771</t>
  </si>
  <si>
    <t>811-31</t>
  </si>
  <si>
    <t>204:985</t>
  </si>
  <si>
    <t>300:58971</t>
  </si>
  <si>
    <t>812-31</t>
  </si>
  <si>
    <t>300:58657</t>
  </si>
  <si>
    <t>204:687</t>
  </si>
  <si>
    <t>813-31</t>
  </si>
  <si>
    <t>300:58982</t>
  </si>
  <si>
    <t>814-31</t>
  </si>
  <si>
    <t>815-31</t>
  </si>
  <si>
    <t>816-31</t>
  </si>
  <si>
    <t>817-31</t>
  </si>
  <si>
    <t>204:992</t>
  </si>
  <si>
    <t>300:58980</t>
  </si>
  <si>
    <t>818-31</t>
  </si>
  <si>
    <t>300:58664</t>
  </si>
  <si>
    <t>819-31</t>
  </si>
  <si>
    <t>300:58969</t>
  </si>
  <si>
    <t>820-31</t>
  </si>
  <si>
    <t>300:58656</t>
  </si>
  <si>
    <t>821-31</t>
  </si>
  <si>
    <t>204:979</t>
  </si>
  <si>
    <t>822-31</t>
  </si>
  <si>
    <t>300:58674</t>
  </si>
  <si>
    <t>823-31</t>
  </si>
  <si>
    <t>204:925</t>
  </si>
  <si>
    <t>300:58990</t>
  </si>
  <si>
    <t>824-31</t>
  </si>
  <si>
    <t>204:629</t>
  </si>
  <si>
    <t>825-31</t>
  </si>
  <si>
    <t>204:939</t>
  </si>
  <si>
    <t>300:59001</t>
  </si>
  <si>
    <t>826-31</t>
  </si>
  <si>
    <t>300:58685</t>
  </si>
  <si>
    <t>204:705</t>
  </si>
  <si>
    <t>827-31</t>
  </si>
  <si>
    <t>204:988</t>
  </si>
  <si>
    <t>300:58986</t>
  </si>
  <si>
    <t>828-31</t>
  </si>
  <si>
    <t>300:58670</t>
  </si>
  <si>
    <t>204:657</t>
  </si>
  <si>
    <t>829-31</t>
  </si>
  <si>
    <t>204:983</t>
  </si>
  <si>
    <t>300:59007</t>
  </si>
  <si>
    <t>830-31</t>
  </si>
  <si>
    <t>300:58694</t>
  </si>
  <si>
    <t>204:670</t>
  </si>
  <si>
    <t>831-31</t>
  </si>
  <si>
    <t>204:950</t>
  </si>
  <si>
    <t>300:58958</t>
  </si>
  <si>
    <t>832-31</t>
  </si>
  <si>
    <t>300:58655</t>
  </si>
  <si>
    <t>833-31</t>
  </si>
  <si>
    <t>204:948</t>
  </si>
  <si>
    <t>834-31</t>
  </si>
  <si>
    <t>204:633</t>
  </si>
  <si>
    <t>835-31</t>
  </si>
  <si>
    <t>836-31</t>
  </si>
  <si>
    <t>300:58658</t>
  </si>
  <si>
    <t>204:713</t>
  </si>
  <si>
    <t>837-31</t>
  </si>
  <si>
    <t>204:927</t>
  </si>
  <si>
    <t>838-31</t>
  </si>
  <si>
    <t>300:58675</t>
  </si>
  <si>
    <t>204:649</t>
  </si>
  <si>
    <t>839-31</t>
  </si>
  <si>
    <t>204:1002</t>
  </si>
  <si>
    <t>840-31</t>
  </si>
  <si>
    <t>204:673</t>
  </si>
  <si>
    <t>841-31</t>
  </si>
  <si>
    <t>300:59003</t>
  </si>
  <si>
    <t>842-31</t>
  </si>
  <si>
    <t>300:58662</t>
  </si>
  <si>
    <t>204:661</t>
  </si>
  <si>
    <t>843-31</t>
  </si>
  <si>
    <t>300:58995</t>
  </si>
  <si>
    <t>844-31</t>
  </si>
  <si>
    <t>300:58649</t>
  </si>
  <si>
    <t>204:675</t>
  </si>
  <si>
    <t>845-31</t>
  </si>
  <si>
    <t>204:960</t>
  </si>
  <si>
    <t>300:58956</t>
  </si>
  <si>
    <t>847-31</t>
  </si>
  <si>
    <t>204:969</t>
  </si>
  <si>
    <t>903-31</t>
  </si>
  <si>
    <t>300:24239</t>
  </si>
  <si>
    <t>904-31</t>
  </si>
  <si>
    <t>300:23154</t>
  </si>
  <si>
    <t>300:25143</t>
  </si>
  <si>
    <t>300:24379</t>
  </si>
  <si>
    <t>906-31</t>
  </si>
  <si>
    <t>300:58653</t>
  </si>
  <si>
    <t>300:21750</t>
  </si>
  <si>
    <t>908-31</t>
  </si>
  <si>
    <t>300:58183</t>
  </si>
  <si>
    <t>300:21748</t>
  </si>
  <si>
    <t>rtdc.l.rtdc.4043:itc</t>
  </si>
  <si>
    <t>rtdc.l.rtdc.4001:itc</t>
  </si>
  <si>
    <t>rtdc.l.rtdc.4044:itc</t>
  </si>
  <si>
    <t>rtdc.l.rtdc.4008:itc</t>
  </si>
  <si>
    <t>rtdc.l.rtdc.4007:itc</t>
  </si>
  <si>
    <t>MAELZER</t>
  </si>
  <si>
    <t>STRICKLAND</t>
  </si>
  <si>
    <t>ROBINSON</t>
  </si>
  <si>
    <t>MOSES</t>
  </si>
  <si>
    <t>STURGEON</t>
  </si>
  <si>
    <t>CUSHING-31</t>
  </si>
  <si>
    <t>CUSHING</t>
  </si>
  <si>
    <t>STORY</t>
  </si>
  <si>
    <t>212-31</t>
  </si>
  <si>
    <t>307-31</t>
  </si>
  <si>
    <t>Reactive Warning (1)</t>
  </si>
  <si>
    <t>DUS 2N was STOP because 20N was also STOP. Need to clear 20N before being able to clear 2N</t>
  </si>
  <si>
    <t>CodeServer logs indicate that 20N was STOP during the timeframe that the train was cut out. This would naturally explain why 2N was also STOP. Vital logic dictates that 20N must clear before 2N is allowed to clear while XO's 1 and 9 are Normal. I would consider this a dispatcher training issue.</t>
  </si>
  <si>
    <t>Went active too close to DUS 2N</t>
  </si>
  <si>
    <t>Wi-MAX outage</t>
  </si>
  <si>
    <t>103-31</t>
  </si>
  <si>
    <t>Did not init</t>
  </si>
  <si>
    <t>Form C</t>
  </si>
  <si>
    <t>Annulled</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</si>
</sst>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h:mm:ss;@"/>
    <numFmt numFmtId="165" formatCode="0.0%"/>
    <numFmt numFmtId="166" formatCode="yyyy\-mm\-dd"/>
    <numFmt numFmtId="167" formatCode="yyyy\-mm\-dd\ hh:mm:ss"/>
    <numFmt numFmtId="168" formatCode="m/d/yy\ h:mm;@"/>
    <numFmt numFmtId="169" formatCode="[$-F400]h:mm:ss\ AM/PM"/>
    <numFmt numFmtId="170" formatCode="0.000"/>
    <numFmt numFmtId="171" formatCode="0.0000"/>
  </numFmts>
  <fonts count="17"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b/>
      <sz val="10"/>
      <color theme="1"/>
      <name val="Calibri"/>
      <family val="2"/>
      <scheme val="minor"/>
    </font>
    <font>
      <sz val="11"/>
      <color theme="0" tint="-0.14999847407452621"/>
      <name val="Calibri"/>
      <family val="2"/>
      <scheme val="minor"/>
    </font>
    <font>
      <sz val="11"/>
      <color theme="0" tint="-0.34998626667073579"/>
      <name val="Calibri"/>
      <family val="2"/>
      <scheme val="minor"/>
    </font>
    <font>
      <sz val="10"/>
      <color indexed="8"/>
      <name val="Arial"/>
      <family val="2"/>
    </font>
    <font>
      <sz val="11"/>
      <color indexed="8"/>
      <name val="Calibri"/>
      <family val="2"/>
    </font>
    <font>
      <sz val="11"/>
      <color theme="0" tint="-0.499984740745262"/>
      <name val="Calibri"/>
      <family val="2"/>
      <scheme val="minor"/>
    </font>
    <font>
      <sz val="11"/>
      <color theme="1"/>
      <name val="Calibri"/>
      <family val="2"/>
      <scheme val="minor"/>
    </font>
    <font>
      <sz val="11"/>
      <color rgb="FF000000"/>
      <name val="Calibri"/>
      <family val="2"/>
    </font>
    <font>
      <sz val="11"/>
      <color theme="1"/>
      <name val="Consolas"/>
      <family val="3"/>
    </font>
    <font>
      <b/>
      <sz val="9"/>
      <color theme="1"/>
      <name val="Calibri"/>
      <family val="2"/>
      <scheme val="minor"/>
    </font>
    <font>
      <sz val="9"/>
      <color theme="1"/>
      <name val="Calibri"/>
      <family val="2"/>
      <scheme val="minor"/>
    </font>
    <font>
      <b/>
      <sz val="9"/>
      <color theme="0" tint="-0.499984740745262"/>
      <name val="Calibri"/>
      <family val="2"/>
      <scheme val="minor"/>
    </font>
    <font>
      <sz val="9"/>
      <color theme="0" tint="-0.499984740745262"/>
      <name val="Calibri"/>
      <family val="2"/>
      <scheme val="minor"/>
    </font>
  </fonts>
  <fills count="10">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theme="4"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rgb="FFE4C9FF"/>
        <bgColor indexed="64"/>
      </patternFill>
    </fill>
    <fill>
      <patternFill patternType="solid">
        <fgColor theme="5" tint="0.79998168889431442"/>
        <bgColor indexed="64"/>
      </patternFill>
    </fill>
  </fills>
  <borders count="18">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top/>
      <bottom style="medium">
        <color rgb="FFECF0F1"/>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s>
  <cellStyleXfs count="4">
    <xf numFmtId="169" fontId="0" fillId="0" borderId="0"/>
    <xf numFmtId="169" fontId="7" fillId="0" borderId="0"/>
    <xf numFmtId="9" fontId="10" fillId="0" borderId="0" applyFont="0" applyFill="0" applyBorder="0" applyAlignment="0" applyProtection="0"/>
    <xf numFmtId="0" fontId="10" fillId="0" borderId="0"/>
  </cellStyleXfs>
  <cellXfs count="167">
    <xf numFmtId="169" fontId="0" fillId="0" borderId="0" xfId="0"/>
    <xf numFmtId="169" fontId="0" fillId="0" borderId="0" xfId="0" applyFill="1"/>
    <xf numFmtId="1" fontId="0" fillId="0" borderId="0" xfId="0" applyNumberFormat="1"/>
    <xf numFmtId="1" fontId="0" fillId="0" borderId="2" xfId="0" applyNumberFormat="1" applyBorder="1" applyAlignment="1">
      <alignment horizontal="center" vertical="center"/>
    </xf>
    <xf numFmtId="169" fontId="0" fillId="0" borderId="0" xfId="0" applyBorder="1" applyAlignment="1">
      <alignment horizontal="center" vertical="center" wrapText="1"/>
    </xf>
    <xf numFmtId="169" fontId="0" fillId="0" borderId="4" xfId="0" applyBorder="1" applyAlignment="1">
      <alignment horizontal="center" vertical="center" wrapText="1"/>
    </xf>
    <xf numFmtId="164" fontId="0" fillId="0" borderId="5" xfId="0" applyNumberFormat="1" applyFill="1" applyBorder="1" applyAlignment="1">
      <alignment horizontal="left"/>
    </xf>
    <xf numFmtId="1" fontId="0" fillId="0" borderId="5" xfId="0" applyNumberFormat="1" applyFill="1" applyBorder="1" applyAlignment="1">
      <alignment horizontal="left"/>
    </xf>
    <xf numFmtId="167" fontId="0" fillId="0" borderId="0" xfId="0" applyNumberFormat="1"/>
    <xf numFmtId="169" fontId="0" fillId="0" borderId="5" xfId="0" applyFill="1" applyBorder="1" applyAlignment="1"/>
    <xf numFmtId="169" fontId="0" fillId="0" borderId="5" xfId="0" applyFill="1" applyBorder="1" applyAlignment="1">
      <alignment vertical="center"/>
    </xf>
    <xf numFmtId="169" fontId="0" fillId="0" borderId="0" xfId="0" applyAlignment="1">
      <alignment horizontal="center" vertical="center"/>
    </xf>
    <xf numFmtId="1" fontId="0" fillId="0" borderId="0" xfId="0" applyNumberFormat="1" applyAlignment="1">
      <alignment horizontal="center" vertical="center"/>
    </xf>
    <xf numFmtId="169" fontId="3" fillId="0" borderId="6" xfId="0" applyFont="1" applyBorder="1" applyAlignment="1">
      <alignment horizontal="center" wrapText="1"/>
    </xf>
    <xf numFmtId="166" fontId="4" fillId="0" borderId="7" xfId="0" applyNumberFormat="1" applyFont="1" applyBorder="1" applyAlignment="1">
      <alignment horizontal="center" vertical="center" wrapText="1"/>
    </xf>
    <xf numFmtId="167" fontId="0" fillId="0" borderId="5" xfId="0" applyNumberFormat="1" applyFill="1" applyBorder="1" applyAlignment="1">
      <alignment horizontal="left"/>
    </xf>
    <xf numFmtId="169" fontId="1" fillId="0" borderId="5" xfId="0" applyFont="1" applyFill="1" applyBorder="1" applyAlignment="1">
      <alignment horizontal="left" vertical="center" wrapText="1"/>
    </xf>
    <xf numFmtId="169" fontId="1" fillId="0" borderId="5" xfId="0" applyFont="1" applyBorder="1" applyAlignment="1">
      <alignment horizontal="left" vertical="center" wrapText="1"/>
    </xf>
    <xf numFmtId="167" fontId="1" fillId="0" borderId="5" xfId="0" applyNumberFormat="1" applyFont="1" applyBorder="1" applyAlignment="1">
      <alignment horizontal="left" vertical="center" wrapText="1"/>
    </xf>
    <xf numFmtId="20" fontId="1" fillId="0" borderId="5" xfId="0" applyNumberFormat="1" applyFont="1" applyFill="1" applyBorder="1" applyAlignment="1">
      <alignment horizontal="left" vertical="center" wrapText="1"/>
    </xf>
    <xf numFmtId="1" fontId="1" fillId="0" borderId="5" xfId="0" applyNumberFormat="1" applyFont="1" applyBorder="1" applyAlignment="1">
      <alignment horizontal="left" vertical="center" wrapText="1"/>
    </xf>
    <xf numFmtId="169" fontId="1" fillId="0" borderId="5" xfId="0" applyFont="1" applyBorder="1" applyAlignment="1">
      <alignment horizontal="center" vertical="center" wrapText="1"/>
    </xf>
    <xf numFmtId="169" fontId="5" fillId="0" borderId="0" xfId="0" applyFont="1"/>
    <xf numFmtId="169" fontId="0" fillId="0" borderId="0" xfId="0"/>
    <xf numFmtId="169" fontId="0" fillId="0" borderId="5" xfId="0" applyFill="1" applyBorder="1" applyAlignment="1">
      <alignment horizontal="left"/>
    </xf>
    <xf numFmtId="1" fontId="0" fillId="0" borderId="5" xfId="0" applyNumberFormat="1" applyFill="1" applyBorder="1"/>
    <xf numFmtId="169" fontId="0" fillId="0" borderId="0" xfId="0" applyBorder="1"/>
    <xf numFmtId="167" fontId="0" fillId="0" borderId="8" xfId="0" applyNumberFormat="1" applyBorder="1"/>
    <xf numFmtId="17" fontId="0" fillId="0" borderId="0" xfId="0" applyNumberFormat="1"/>
    <xf numFmtId="167" fontId="0" fillId="0" borderId="0" xfId="0" applyNumberFormat="1" applyBorder="1"/>
    <xf numFmtId="169" fontId="0" fillId="0" borderId="0" xfId="0" applyAlignment="1">
      <alignment horizontal="left"/>
    </xf>
    <xf numFmtId="169" fontId="0" fillId="0" borderId="0" xfId="0" applyFill="1" applyBorder="1"/>
    <xf numFmtId="168" fontId="0" fillId="0" borderId="5" xfId="0" applyNumberFormat="1" applyFill="1" applyBorder="1" applyAlignment="1">
      <alignment horizontal="left"/>
    </xf>
    <xf numFmtId="169" fontId="0" fillId="0" borderId="5" xfId="0" applyBorder="1"/>
    <xf numFmtId="169" fontId="8" fillId="4" borderId="9" xfId="1" applyFont="1" applyFill="1" applyBorder="1" applyAlignment="1">
      <alignment horizontal="center"/>
    </xf>
    <xf numFmtId="169" fontId="8" fillId="0" borderId="10" xfId="1" applyFont="1" applyFill="1" applyBorder="1" applyAlignment="1">
      <alignment wrapText="1"/>
    </xf>
    <xf numFmtId="169" fontId="8" fillId="0" borderId="10" xfId="1" applyFont="1" applyFill="1" applyBorder="1" applyAlignment="1">
      <alignment horizontal="right" wrapText="1"/>
    </xf>
    <xf numFmtId="9" fontId="0" fillId="0" borderId="5" xfId="0" applyNumberFormat="1" applyFill="1" applyBorder="1"/>
    <xf numFmtId="167" fontId="0" fillId="0" borderId="5" xfId="0" applyNumberFormat="1" applyBorder="1"/>
    <xf numFmtId="22" fontId="0" fillId="0" borderId="5" xfId="0" applyNumberFormat="1" applyFill="1" applyBorder="1" applyAlignment="1">
      <alignment horizontal="left"/>
    </xf>
    <xf numFmtId="167" fontId="0" fillId="0" borderId="0" xfId="0" applyNumberFormat="1" applyAlignment="1">
      <alignment horizontal="left"/>
    </xf>
    <xf numFmtId="169" fontId="0" fillId="0" borderId="0" xfId="0" applyFill="1" applyAlignment="1">
      <alignment horizontal="left"/>
    </xf>
    <xf numFmtId="20" fontId="0" fillId="0" borderId="0" xfId="0" applyNumberFormat="1" applyFill="1" applyAlignment="1">
      <alignment horizontal="left" wrapText="1"/>
    </xf>
    <xf numFmtId="1" fontId="0" fillId="0" borderId="0" xfId="0" applyNumberFormat="1" applyAlignment="1">
      <alignment horizontal="left"/>
    </xf>
    <xf numFmtId="169" fontId="0" fillId="0" borderId="3" xfId="0" applyFill="1" applyBorder="1" applyAlignment="1">
      <alignment horizontal="left" vertical="center"/>
    </xf>
    <xf numFmtId="1" fontId="0" fillId="0" borderId="3" xfId="0" applyNumberFormat="1" applyBorder="1" applyAlignment="1">
      <alignment horizontal="left" vertical="center"/>
    </xf>
    <xf numFmtId="169" fontId="0" fillId="0" borderId="4" xfId="0" applyBorder="1" applyAlignment="1">
      <alignment horizontal="left" vertical="center"/>
    </xf>
    <xf numFmtId="1" fontId="0" fillId="0" borderId="3" xfId="0" applyNumberFormat="1" applyFill="1" applyBorder="1" applyAlignment="1">
      <alignment horizontal="left" vertical="center"/>
    </xf>
    <xf numFmtId="165" fontId="0" fillId="0" borderId="0" xfId="0" applyNumberFormat="1" applyAlignment="1">
      <alignment horizontal="left"/>
    </xf>
    <xf numFmtId="1" fontId="0" fillId="0" borderId="5" xfId="0" applyNumberFormat="1" applyBorder="1"/>
    <xf numFmtId="169" fontId="0" fillId="0" borderId="0" xfId="0" applyNumberFormat="1"/>
    <xf numFmtId="169" fontId="0" fillId="0" borderId="0" xfId="0" applyNumberFormat="1" applyAlignment="1">
      <alignment horizontal="center" vertical="center"/>
    </xf>
    <xf numFmtId="169" fontId="0" fillId="0" borderId="5" xfId="0" applyFill="1" applyBorder="1"/>
    <xf numFmtId="169" fontId="9" fillId="0" borderId="0" xfId="0" applyFont="1" applyBorder="1" applyAlignment="1">
      <alignment horizontal="center" vertical="center" wrapText="1"/>
    </xf>
    <xf numFmtId="169" fontId="9" fillId="0" borderId="0" xfId="0" applyFont="1" applyFill="1" applyBorder="1"/>
    <xf numFmtId="169" fontId="9" fillId="0" borderId="0" xfId="0" applyFont="1" applyFill="1"/>
    <xf numFmtId="169" fontId="0" fillId="0" borderId="5" xfId="0" applyBorder="1" applyAlignment="1">
      <alignment horizontal="center" vertical="center" wrapText="1"/>
    </xf>
    <xf numFmtId="1" fontId="0" fillId="0" borderId="4" xfId="0" applyNumberFormat="1" applyBorder="1" applyAlignment="1">
      <alignment horizontal="left" vertical="center"/>
    </xf>
    <xf numFmtId="170" fontId="5" fillId="0" borderId="0" xfId="0" applyNumberFormat="1" applyFont="1" applyAlignment="1">
      <alignment horizontal="left"/>
    </xf>
    <xf numFmtId="170" fontId="0" fillId="0" borderId="0" xfId="0" applyNumberFormat="1"/>
    <xf numFmtId="170" fontId="9" fillId="0" borderId="0" xfId="0" applyNumberFormat="1" applyFont="1" applyBorder="1" applyAlignment="1">
      <alignment horizontal="center" vertical="center" wrapText="1"/>
    </xf>
    <xf numFmtId="170" fontId="9" fillId="0" borderId="0" xfId="0" applyNumberFormat="1" applyFont="1" applyBorder="1" applyAlignment="1">
      <alignment horizontal="left" vertical="center" wrapText="1"/>
    </xf>
    <xf numFmtId="170" fontId="9" fillId="0" borderId="0" xfId="0" applyNumberFormat="1" applyFont="1" applyFill="1" applyBorder="1" applyAlignment="1">
      <alignment horizontal="left"/>
    </xf>
    <xf numFmtId="170" fontId="9" fillId="0" borderId="0" xfId="0" applyNumberFormat="1" applyFont="1" applyFill="1"/>
    <xf numFmtId="1" fontId="5" fillId="0" borderId="0" xfId="0" applyNumberFormat="1" applyFont="1" applyAlignment="1">
      <alignment horizontal="left"/>
    </xf>
    <xf numFmtId="1" fontId="9" fillId="0" borderId="0" xfId="0" applyNumberFormat="1" applyFont="1" applyBorder="1" applyAlignment="1">
      <alignment horizontal="left" vertical="center" wrapText="1"/>
    </xf>
    <xf numFmtId="1" fontId="9" fillId="0" borderId="0" xfId="0" applyNumberFormat="1" applyFont="1" applyFill="1" applyBorder="1" applyAlignment="1">
      <alignment horizontal="left"/>
    </xf>
    <xf numFmtId="171" fontId="5" fillId="0" borderId="0" xfId="0" applyNumberFormat="1" applyFont="1"/>
    <xf numFmtId="171" fontId="9" fillId="0" borderId="0" xfId="0" applyNumberFormat="1" applyFont="1" applyBorder="1" applyAlignment="1">
      <alignment horizontal="center" vertical="center" wrapText="1"/>
    </xf>
    <xf numFmtId="171" fontId="9" fillId="0" borderId="0" xfId="0" applyNumberFormat="1" applyFont="1" applyFill="1" applyBorder="1"/>
    <xf numFmtId="169" fontId="0" fillId="0" borderId="0" xfId="0" applyNumberFormat="1"/>
    <xf numFmtId="165" fontId="0" fillId="0" borderId="0" xfId="2" applyNumberFormat="1" applyFont="1" applyAlignment="1">
      <alignment horizontal="left"/>
    </xf>
    <xf numFmtId="2" fontId="0" fillId="0" borderId="0" xfId="0" applyNumberFormat="1"/>
    <xf numFmtId="169" fontId="1" fillId="0" borderId="5" xfId="0" applyNumberFormat="1" applyFont="1" applyFill="1" applyBorder="1" applyAlignment="1">
      <alignment horizontal="center" wrapText="1"/>
    </xf>
    <xf numFmtId="169" fontId="1" fillId="0" borderId="5" xfId="0" applyNumberFormat="1" applyFont="1" applyBorder="1" applyAlignment="1">
      <alignment horizontal="center" vertical="center" wrapText="1"/>
    </xf>
    <xf numFmtId="169" fontId="1" fillId="0" borderId="5" xfId="0" applyNumberFormat="1" applyFont="1" applyFill="1" applyBorder="1" applyAlignment="1">
      <alignment horizontal="center" vertical="center"/>
    </xf>
    <xf numFmtId="169" fontId="1" fillId="0" borderId="5" xfId="0" applyNumberFormat="1" applyFont="1" applyBorder="1"/>
    <xf numFmtId="169" fontId="8" fillId="4" borderId="0" xfId="1" applyFont="1" applyFill="1" applyBorder="1" applyAlignment="1">
      <alignment horizontal="center"/>
    </xf>
    <xf numFmtId="166" fontId="0" fillId="0" borderId="1" xfId="0" applyNumberFormat="1" applyBorder="1" applyAlignment="1"/>
    <xf numFmtId="166" fontId="0" fillId="0" borderId="2" xfId="0" applyNumberFormat="1" applyBorder="1" applyAlignment="1"/>
    <xf numFmtId="166" fontId="0" fillId="0" borderId="4" xfId="0" applyNumberFormat="1" applyBorder="1" applyAlignment="1">
      <alignment horizontal="left"/>
    </xf>
    <xf numFmtId="169" fontId="1" fillId="0" borderId="1" xfId="0" applyFont="1" applyBorder="1" applyAlignment="1"/>
    <xf numFmtId="169" fontId="1" fillId="0" borderId="4" xfId="0" applyFont="1" applyBorder="1" applyAlignment="1"/>
    <xf numFmtId="169" fontId="1" fillId="0" borderId="2" xfId="0" applyFont="1" applyBorder="1" applyAlignment="1"/>
    <xf numFmtId="20" fontId="0" fillId="0" borderId="1" xfId="0" applyNumberFormat="1" applyBorder="1" applyAlignment="1">
      <alignment vertical="center"/>
    </xf>
    <xf numFmtId="20" fontId="0" fillId="0" borderId="2" xfId="0" applyNumberFormat="1" applyBorder="1" applyAlignment="1">
      <alignment vertical="center"/>
    </xf>
    <xf numFmtId="20" fontId="0" fillId="0" borderId="2" xfId="0" applyNumberFormat="1" applyBorder="1" applyAlignment="1">
      <alignment horizontal="left" vertical="center"/>
    </xf>
    <xf numFmtId="167" fontId="0" fillId="0" borderId="3" xfId="0" applyNumberFormat="1" applyBorder="1" applyAlignment="1">
      <alignment horizontal="left" vertical="center"/>
    </xf>
    <xf numFmtId="167" fontId="0" fillId="2" borderId="3" xfId="0" applyNumberFormat="1" applyFill="1" applyBorder="1" applyAlignment="1">
      <alignment horizontal="left" vertical="center"/>
    </xf>
    <xf numFmtId="167" fontId="0" fillId="3" borderId="3" xfId="0" applyNumberFormat="1" applyFill="1" applyBorder="1" applyAlignment="1">
      <alignment horizontal="left" vertical="center"/>
    </xf>
    <xf numFmtId="20" fontId="0" fillId="0" borderId="0" xfId="0" applyNumberFormat="1" applyFill="1" applyAlignment="1">
      <alignment horizontal="left"/>
    </xf>
    <xf numFmtId="1" fontId="0" fillId="0" borderId="0" xfId="0" applyNumberFormat="1" applyAlignment="1"/>
    <xf numFmtId="169" fontId="0" fillId="0" borderId="17" xfId="0" applyFill="1" applyBorder="1" applyAlignment="1">
      <alignment horizontal="left" vertical="center"/>
    </xf>
    <xf numFmtId="169" fontId="1" fillId="0" borderId="17" xfId="0" applyFont="1" applyBorder="1" applyAlignment="1">
      <alignment horizontal="left" vertical="center" wrapText="1"/>
    </xf>
    <xf numFmtId="169" fontId="0" fillId="5" borderId="0" xfId="0" applyFill="1"/>
    <xf numFmtId="169" fontId="9" fillId="5" borderId="0" xfId="0" applyFont="1" applyFill="1" applyBorder="1" applyAlignment="1">
      <alignment horizontal="center" vertical="center" wrapText="1"/>
    </xf>
    <xf numFmtId="169" fontId="9" fillId="5" borderId="0" xfId="0" applyFont="1" applyFill="1"/>
    <xf numFmtId="169" fontId="0" fillId="6" borderId="0" xfId="0" applyFill="1"/>
    <xf numFmtId="169" fontId="9" fillId="6" borderId="0" xfId="0" applyFont="1" applyFill="1" applyBorder="1" applyAlignment="1">
      <alignment horizontal="center" vertical="center" wrapText="1"/>
    </xf>
    <xf numFmtId="169" fontId="9" fillId="6" borderId="0" xfId="0" applyFont="1" applyFill="1"/>
    <xf numFmtId="169" fontId="9" fillId="7" borderId="0" xfId="0" applyFont="1" applyFill="1"/>
    <xf numFmtId="169" fontId="9" fillId="7" borderId="0" xfId="0" applyFont="1" applyFill="1" applyBorder="1" applyAlignment="1">
      <alignment horizontal="center" vertical="center" wrapText="1"/>
    </xf>
    <xf numFmtId="169" fontId="1" fillId="0" borderId="1" xfId="0" applyFont="1" applyFill="1" applyBorder="1" applyAlignment="1"/>
    <xf numFmtId="169" fontId="5" fillId="0" borderId="0" xfId="0" applyFont="1" applyFill="1"/>
    <xf numFmtId="169" fontId="5" fillId="8" borderId="0" xfId="0" applyFont="1" applyFill="1"/>
    <xf numFmtId="169" fontId="9" fillId="8" borderId="0" xfId="0" applyFont="1" applyFill="1" applyBorder="1" applyAlignment="1">
      <alignment horizontal="center" vertical="center" wrapText="1"/>
    </xf>
    <xf numFmtId="169" fontId="9" fillId="8" borderId="0" xfId="0" applyFont="1" applyFill="1" applyBorder="1"/>
    <xf numFmtId="169" fontId="0" fillId="6" borderId="0" xfId="0" applyFill="1" applyAlignment="1">
      <alignment horizontal="center" vertical="center"/>
    </xf>
    <xf numFmtId="169" fontId="9" fillId="6" borderId="5" xfId="0" applyFont="1" applyFill="1" applyBorder="1"/>
    <xf numFmtId="169" fontId="6" fillId="8" borderId="0" xfId="0" applyFont="1" applyFill="1"/>
    <xf numFmtId="169" fontId="6" fillId="8" borderId="0" xfId="0" applyFont="1" applyFill="1" applyAlignment="1">
      <alignment horizontal="center" vertical="center"/>
    </xf>
    <xf numFmtId="169" fontId="9" fillId="8" borderId="5" xfId="0" applyFont="1" applyFill="1" applyBorder="1" applyAlignment="1"/>
    <xf numFmtId="169" fontId="0" fillId="5" borderId="0" xfId="0" applyFill="1" applyAlignment="1">
      <alignment horizontal="center" vertical="center"/>
    </xf>
    <xf numFmtId="169" fontId="9" fillId="5" borderId="5" xfId="0" applyFont="1" applyFill="1" applyBorder="1"/>
    <xf numFmtId="0" fontId="0" fillId="0" borderId="0" xfId="0" applyNumberFormat="1"/>
    <xf numFmtId="0" fontId="1" fillId="0" borderId="2" xfId="0" applyNumberFormat="1" applyFont="1" applyBorder="1" applyAlignment="1"/>
    <xf numFmtId="0" fontId="0" fillId="0" borderId="2" xfId="0" applyNumberFormat="1" applyBorder="1" applyAlignment="1">
      <alignment horizontal="center" vertical="center"/>
    </xf>
    <xf numFmtId="0" fontId="0" fillId="0" borderId="0" xfId="0" applyNumberFormat="1" applyAlignment="1"/>
    <xf numFmtId="0" fontId="5" fillId="0" borderId="0" xfId="0" applyNumberFormat="1" applyFont="1"/>
    <xf numFmtId="0" fontId="9" fillId="0" borderId="0" xfId="0" applyNumberFormat="1" applyFont="1" applyBorder="1" applyAlignment="1">
      <alignment horizontal="center" vertical="center" wrapText="1"/>
    </xf>
    <xf numFmtId="0" fontId="9" fillId="0" borderId="0" xfId="0" applyNumberFormat="1" applyFont="1" applyFill="1" applyBorder="1"/>
    <xf numFmtId="0" fontId="0" fillId="0" borderId="0" xfId="0" applyNumberFormat="1" applyAlignment="1">
      <alignment horizontal="left"/>
    </xf>
    <xf numFmtId="0" fontId="0" fillId="0" borderId="4" xfId="0" applyNumberFormat="1" applyBorder="1" applyAlignment="1">
      <alignment horizontal="left"/>
    </xf>
    <xf numFmtId="0" fontId="0" fillId="0" borderId="2" xfId="0" applyNumberFormat="1" applyBorder="1" applyAlignment="1">
      <alignment horizontal="left" vertical="center"/>
    </xf>
    <xf numFmtId="0" fontId="0" fillId="0" borderId="4" xfId="0" applyNumberFormat="1" applyBorder="1" applyAlignment="1">
      <alignment horizontal="left" vertical="center"/>
    </xf>
    <xf numFmtId="0" fontId="0" fillId="0" borderId="5" xfId="0" applyNumberFormat="1" applyBorder="1" applyAlignment="1">
      <alignment horizontal="center" vertical="center" wrapText="1"/>
    </xf>
    <xf numFmtId="0" fontId="0" fillId="0" borderId="5" xfId="0" applyNumberFormat="1" applyFill="1" applyBorder="1"/>
    <xf numFmtId="0" fontId="1" fillId="0" borderId="0" xfId="0" applyNumberFormat="1" applyFont="1" applyBorder="1" applyAlignment="1">
      <alignment horizontal="center" wrapText="1"/>
    </xf>
    <xf numFmtId="0" fontId="1" fillId="0" borderId="0" xfId="0" applyNumberFormat="1" applyFont="1" applyBorder="1" applyAlignment="1">
      <alignment horizontal="left" wrapText="1"/>
    </xf>
    <xf numFmtId="0" fontId="0" fillId="0" borderId="5" xfId="0" applyNumberFormat="1" applyBorder="1"/>
    <xf numFmtId="0" fontId="0" fillId="0" borderId="0" xfId="0" applyNumberFormat="1" applyAlignment="1">
      <alignment horizontal="center"/>
    </xf>
    <xf numFmtId="0" fontId="0" fillId="0" borderId="5" xfId="0" applyNumberFormat="1" applyFill="1" applyBorder="1" applyAlignment="1"/>
    <xf numFmtId="169" fontId="0" fillId="0" borderId="17" xfId="0" applyFill="1" applyBorder="1" applyAlignment="1">
      <alignment horizontal="left"/>
    </xf>
    <xf numFmtId="169" fontId="0" fillId="2" borderId="11" xfId="0" applyFill="1" applyBorder="1" applyAlignment="1">
      <alignment vertical="center"/>
    </xf>
    <xf numFmtId="169" fontId="0" fillId="2" borderId="12" xfId="0" applyFill="1" applyBorder="1" applyAlignment="1">
      <alignment horizontal="left" vertical="center"/>
    </xf>
    <xf numFmtId="0" fontId="0" fillId="2" borderId="13" xfId="0" applyNumberFormat="1" applyFill="1" applyBorder="1" applyAlignment="1"/>
    <xf numFmtId="169" fontId="0" fillId="0" borderId="0" xfId="0" applyAlignment="1"/>
    <xf numFmtId="169" fontId="0" fillId="0" borderId="14" xfId="0" applyBorder="1" applyAlignment="1">
      <alignment vertical="center"/>
    </xf>
    <xf numFmtId="169" fontId="0" fillId="0" borderId="15" xfId="0" applyBorder="1" applyAlignment="1">
      <alignment horizontal="left" vertical="center"/>
    </xf>
    <xf numFmtId="0" fontId="0" fillId="0" borderId="16" xfId="0" applyNumberFormat="1" applyBorder="1" applyAlignment="1"/>
    <xf numFmtId="1" fontId="1" fillId="0" borderId="0" xfId="0" applyNumberFormat="1" applyFont="1" applyBorder="1"/>
    <xf numFmtId="169" fontId="0" fillId="9" borderId="0" xfId="0" applyFill="1"/>
    <xf numFmtId="0" fontId="1" fillId="0" borderId="0" xfId="3" applyFont="1"/>
    <xf numFmtId="0" fontId="10" fillId="0" borderId="0" xfId="3"/>
    <xf numFmtId="0" fontId="12" fillId="0" borderId="0" xfId="0" applyNumberFormat="1" applyFont="1"/>
    <xf numFmtId="0" fontId="10" fillId="0" borderId="0" xfId="3" applyNumberFormat="1"/>
    <xf numFmtId="0" fontId="0" fillId="0" borderId="0" xfId="3" applyFont="1"/>
    <xf numFmtId="0" fontId="0" fillId="0" borderId="0" xfId="3" applyNumberFormat="1" applyFont="1"/>
    <xf numFmtId="169" fontId="9" fillId="9" borderId="0" xfId="0" applyFont="1" applyFill="1" applyBorder="1" applyAlignment="1">
      <alignment horizontal="center" vertical="center" wrapText="1"/>
    </xf>
    <xf numFmtId="169" fontId="9" fillId="9" borderId="0" xfId="0" applyFont="1" applyFill="1"/>
    <xf numFmtId="167" fontId="13" fillId="0" borderId="5" xfId="0" applyNumberFormat="1" applyFont="1" applyFill="1" applyBorder="1" applyAlignment="1">
      <alignment horizontal="center" vertical="center" wrapText="1"/>
    </xf>
    <xf numFmtId="169" fontId="13" fillId="0" borderId="5" xfId="0" applyFont="1" applyFill="1" applyBorder="1" applyAlignment="1">
      <alignment horizontal="center" vertical="center" wrapText="1"/>
    </xf>
    <xf numFmtId="1" fontId="13" fillId="0" borderId="5" xfId="0" applyNumberFormat="1" applyFont="1" applyFill="1" applyBorder="1" applyAlignment="1">
      <alignment horizontal="center" vertical="center" wrapText="1"/>
    </xf>
    <xf numFmtId="169" fontId="13" fillId="0" borderId="5" xfId="0" applyFont="1" applyFill="1" applyBorder="1" applyAlignment="1">
      <alignment horizontal="left" vertical="center" wrapText="1"/>
    </xf>
    <xf numFmtId="0" fontId="13" fillId="0" borderId="5" xfId="0" applyNumberFormat="1" applyFont="1" applyFill="1" applyBorder="1" applyAlignment="1">
      <alignment horizontal="center" vertical="center" wrapText="1"/>
    </xf>
    <xf numFmtId="169" fontId="14" fillId="0" borderId="5" xfId="0" applyFont="1" applyFill="1" applyBorder="1"/>
    <xf numFmtId="169" fontId="15" fillId="6" borderId="5" xfId="0" applyFont="1" applyFill="1" applyBorder="1" applyAlignment="1">
      <alignment horizontal="center" vertical="center" wrapText="1"/>
    </xf>
    <xf numFmtId="169" fontId="15" fillId="8" borderId="5" xfId="0" applyFont="1" applyFill="1" applyBorder="1" applyAlignment="1">
      <alignment horizontal="center" vertical="center" wrapText="1"/>
    </xf>
    <xf numFmtId="169" fontId="15" fillId="5" borderId="5" xfId="0" applyFont="1" applyFill="1" applyBorder="1"/>
    <xf numFmtId="169" fontId="13" fillId="0" borderId="5" xfId="0" applyNumberFormat="1" applyFont="1" applyFill="1" applyBorder="1" applyAlignment="1">
      <alignment horizontal="center" vertical="center" wrapText="1"/>
    </xf>
    <xf numFmtId="169" fontId="16" fillId="9" borderId="0" xfId="0" applyFont="1" applyFill="1" applyBorder="1" applyAlignment="1">
      <alignment horizontal="center" vertical="center" wrapText="1"/>
    </xf>
    <xf numFmtId="169" fontId="16" fillId="0" borderId="0" xfId="0" applyFont="1" applyBorder="1" applyAlignment="1">
      <alignment horizontal="center" vertical="center" wrapText="1"/>
    </xf>
    <xf numFmtId="169" fontId="14" fillId="0" borderId="0" xfId="0" applyFont="1" applyFill="1"/>
    <xf numFmtId="0" fontId="0" fillId="0" borderId="0" xfId="0" applyNumberFormat="1" applyBorder="1"/>
    <xf numFmtId="169" fontId="9" fillId="0" borderId="0" xfId="0" applyFont="1" applyFill="1" applyAlignment="1"/>
    <xf numFmtId="169" fontId="2" fillId="0" borderId="0" xfId="0" applyFont="1" applyBorder="1" applyAlignment="1">
      <alignment horizontal="center" vertical="center"/>
    </xf>
    <xf numFmtId="169" fontId="1" fillId="0" borderId="0" xfId="0" applyFont="1" applyBorder="1" applyAlignment="1">
      <alignment horizontal="center"/>
    </xf>
  </cellXfs>
  <cellStyles count="4">
    <cellStyle name="Normal" xfId="0" builtinId="0"/>
    <cellStyle name="Normal 2" xfId="3"/>
    <cellStyle name="Normal_XINGS" xfId="1"/>
    <cellStyle name="Percent" xfId="2" builtinId="5"/>
  </cellStyles>
  <dxfs count="9">
    <dxf>
      <font>
        <color rgb="FF9C6500"/>
      </font>
      <fill>
        <patternFill>
          <bgColor rgb="FFFFEB9C"/>
        </patternFill>
      </fill>
    </dxf>
    <dxf>
      <fill>
        <patternFill>
          <bgColor rgb="FFFFFF00"/>
        </patternFill>
      </fill>
    </dxf>
    <dxf>
      <font>
        <color rgb="FF9C6500"/>
      </font>
      <fill>
        <patternFill>
          <bgColor rgb="FFFFEB9C"/>
        </patternFill>
      </fill>
    </dxf>
    <dxf>
      <fill>
        <patternFill>
          <bgColor theme="5" tint="0.79998168889431442"/>
        </patternFill>
      </fill>
    </dxf>
    <dxf>
      <font>
        <color theme="0"/>
      </font>
      <fill>
        <patternFill>
          <bgColor rgb="FFFF0000"/>
        </patternFill>
      </fill>
    </dxf>
    <dxf>
      <fill>
        <patternFill>
          <bgColor rgb="FFFFFF00"/>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E4C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552450</xdr:colOff>
          <xdr:row>2</xdr:row>
          <xdr:rowOff>38100</xdr:rowOff>
        </xdr:from>
        <xdr:to>
          <xdr:col>26</xdr:col>
          <xdr:colOff>466725</xdr:colOff>
          <xdr:row>4</xdr:row>
          <xdr:rowOff>190500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Apply Formatting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352425</xdr:colOff>
          <xdr:row>1</xdr:row>
          <xdr:rowOff>28575</xdr:rowOff>
        </xdr:from>
        <xdr:to>
          <xdr:col>13</xdr:col>
          <xdr:colOff>1152525</xdr:colOff>
          <xdr:row>3</xdr:row>
          <xdr:rowOff>66675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Apply Formatting</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tu/Documents/GitHub/eaglep3/Utilities/Daily%20Observations.xlsb"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iver"/>
      <sheetName val="List Values"/>
      <sheetName val="Constants"/>
    </sheetNames>
    <sheetDataSet>
      <sheetData sheetId="0"/>
      <sheetData sheetId="1"/>
      <sheetData sheetId="2">
        <row r="4">
          <cell r="B4" t="str">
            <v>d6333d4a04012a730768444271f8ca06482dae87</v>
          </cell>
        </row>
        <row r="5">
          <cell r="B5" t="str">
            <v>https://secure.xorail.net/redmine/issues.json</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DailyMorningStuff_Enforcements"/>
      <definedName name="DailyMorningStuff_Runs"/>
    </definedNames>
    <sheetDataSet>
      <sheetData sheetId="0"/>
    </sheetDataSet>
  </externalBook>
</externalLink>
</file>

<file path=xl/queryTables/queryTable1.xml><?xml version="1.0" encoding="utf-8"?>
<queryTable xmlns="http://schemas.openxmlformats.org/spreadsheetml/2006/main" name="Denver Train Runs 04122016"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queryTable" Target="../queryTables/query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M238"/>
  <sheetViews>
    <sheetView tabSelected="1" workbookViewId="0">
      <selection activeCell="R162" sqref="R162"/>
    </sheetView>
  </sheetViews>
  <sheetFormatPr defaultRowHeight="15" x14ac:dyDescent="0.25"/>
  <cols>
    <col min="1" max="1" width="8" style="41" customWidth="1"/>
    <col min="2" max="2" width="6.140625" style="43" customWidth="1"/>
    <col min="3" max="3" width="13.5703125" style="30" hidden="1" customWidth="1"/>
    <col min="4" max="4" width="16.140625" style="30" hidden="1" customWidth="1"/>
    <col min="5" max="5" width="19.5703125" style="40" hidden="1" customWidth="1"/>
    <col min="6" max="6" width="18.28515625" style="40" customWidth="1"/>
    <col min="7" max="7" width="4.85546875" style="43" hidden="1" customWidth="1"/>
    <col min="8" max="8" width="22.140625" style="40" hidden="1" customWidth="1"/>
    <col min="9" max="9" width="18.5703125" style="40" customWidth="1"/>
    <col min="10" max="10" width="7.28515625" style="43" customWidth="1"/>
    <col min="11" max="11" width="10.42578125" style="30" customWidth="1"/>
    <col min="12" max="12" width="13.28515625" style="30" customWidth="1"/>
    <col min="13" max="13" width="9.5703125" style="42" customWidth="1"/>
    <col min="14" max="14" width="3.7109375" style="43" customWidth="1"/>
    <col min="15" max="15" width="4.7109375" style="2" customWidth="1"/>
    <col min="16" max="16" width="4" style="2" customWidth="1"/>
    <col min="17" max="17" width="5.85546875" hidden="1" customWidth="1"/>
    <col min="18" max="18" width="34.28515625" customWidth="1"/>
    <col min="19" max="19" width="7.7109375" style="23" customWidth="1"/>
    <col min="20" max="20" width="3.85546875" customWidth="1"/>
    <col min="21" max="21" width="5" style="114" customWidth="1"/>
    <col min="22" max="22" width="5.7109375" style="104" customWidth="1"/>
    <col min="23" max="23" width="3.85546875" style="22" customWidth="1"/>
    <col min="24" max="24" width="5.28515625" style="118" customWidth="1"/>
    <col min="25" max="25" width="9.140625" style="67"/>
    <col min="26" max="26" width="7.28515625" style="67" customWidth="1"/>
    <col min="27" max="27" width="9.140625" style="67"/>
    <col min="28" max="28" width="10.7109375" style="64" hidden="1" customWidth="1"/>
    <col min="29" max="29" width="9.42578125" style="58" hidden="1" customWidth="1"/>
    <col min="30" max="30" width="7.85546875" style="59" customWidth="1"/>
    <col min="31" max="31" width="4.5703125" style="97" customWidth="1"/>
    <col min="32" max="32" width="6.28515625" style="94" customWidth="1"/>
    <col min="33" max="33" width="5.42578125" customWidth="1"/>
    <col min="34" max="34" width="5" style="100" customWidth="1"/>
    <col min="35" max="35" width="5.7109375" style="141" customWidth="1"/>
    <col min="36" max="36" width="9.85546875" customWidth="1"/>
    <col min="37" max="37" width="7.7109375" customWidth="1"/>
    <col min="38" max="38" width="7.85546875" customWidth="1"/>
  </cols>
  <sheetData>
    <row r="1" spans="1:91" s="23" customFormat="1" ht="15.75" thickBot="1" x14ac:dyDescent="0.3">
      <c r="A1" s="41"/>
      <c r="B1" s="43"/>
      <c r="C1" s="30"/>
      <c r="D1" s="30"/>
      <c r="E1" s="40"/>
      <c r="F1" s="40"/>
      <c r="G1" s="43"/>
      <c r="H1" s="40"/>
      <c r="I1" s="40" t="s">
        <v>122</v>
      </c>
      <c r="J1" s="43"/>
      <c r="K1" s="30"/>
      <c r="L1" s="30"/>
      <c r="M1" s="42"/>
      <c r="N1" s="43"/>
      <c r="O1" s="2"/>
      <c r="P1" s="2"/>
      <c r="R1" s="40" t="s">
        <v>123</v>
      </c>
      <c r="S1" s="43"/>
      <c r="T1" s="30"/>
      <c r="U1" s="121"/>
      <c r="V1" s="42"/>
      <c r="W1" s="43"/>
      <c r="X1" s="114"/>
      <c r="Y1" s="67"/>
      <c r="Z1" s="67"/>
      <c r="AA1" s="67"/>
      <c r="AB1" s="64"/>
      <c r="AC1" s="58"/>
      <c r="AD1" s="59"/>
      <c r="AE1" s="1"/>
      <c r="AF1" s="1"/>
      <c r="AG1" s="1"/>
      <c r="AH1" s="55"/>
      <c r="AI1" s="1"/>
    </row>
    <row r="2" spans="1:91" s="23" customFormat="1" ht="15.75" thickBot="1" x14ac:dyDescent="0.3">
      <c r="A2" s="41"/>
      <c r="B2" s="43"/>
      <c r="C2" s="30"/>
      <c r="D2" s="30"/>
      <c r="E2" s="40"/>
      <c r="F2" s="40"/>
      <c r="G2" s="43"/>
      <c r="H2" s="40"/>
      <c r="I2" s="78">
        <f>Variables!$A$2</f>
        <v>42613</v>
      </c>
      <c r="J2" s="79"/>
      <c r="K2" s="80"/>
      <c r="L2" s="80"/>
      <c r="M2" s="81" t="s">
        <v>8</v>
      </c>
      <c r="N2" s="82"/>
      <c r="O2" s="83"/>
      <c r="P2" s="2"/>
      <c r="R2" s="78">
        <f>Variables!$A$2</f>
        <v>42613</v>
      </c>
      <c r="S2" s="79"/>
      <c r="T2" s="80"/>
      <c r="U2" s="122"/>
      <c r="V2" s="102" t="s">
        <v>8</v>
      </c>
      <c r="W2" s="82"/>
      <c r="X2" s="115"/>
      <c r="Y2" s="67"/>
      <c r="Z2" s="67"/>
      <c r="AA2" s="67"/>
      <c r="AB2" s="64"/>
      <c r="AC2" s="58"/>
      <c r="AD2" s="59"/>
      <c r="AE2" s="1"/>
      <c r="AF2" s="1"/>
      <c r="AG2" s="1"/>
      <c r="AH2" s="55"/>
      <c r="AI2" s="1"/>
    </row>
    <row r="3" spans="1:91" s="23" customFormat="1" ht="15.75" thickBot="1" x14ac:dyDescent="0.3">
      <c r="A3" s="41"/>
      <c r="B3" s="43"/>
      <c r="C3" s="30"/>
      <c r="D3" s="30"/>
      <c r="E3" s="40"/>
      <c r="F3" s="40"/>
      <c r="G3" s="43"/>
      <c r="H3" s="40"/>
      <c r="I3" s="84" t="s">
        <v>10</v>
      </c>
      <c r="J3" s="85"/>
      <c r="K3" s="86"/>
      <c r="L3" s="86"/>
      <c r="M3" s="44" t="s">
        <v>11</v>
      </c>
      <c r="N3" s="45" t="s">
        <v>12</v>
      </c>
      <c r="O3" s="3" t="s">
        <v>13</v>
      </c>
      <c r="P3" s="2"/>
      <c r="R3" s="84" t="s">
        <v>10</v>
      </c>
      <c r="S3" s="85"/>
      <c r="T3" s="86"/>
      <c r="U3" s="123"/>
      <c r="V3" s="44" t="s">
        <v>11</v>
      </c>
      <c r="W3" s="45" t="s">
        <v>12</v>
      </c>
      <c r="X3" s="116" t="s">
        <v>13</v>
      </c>
      <c r="Y3" s="67"/>
      <c r="Z3" s="67"/>
      <c r="AA3" s="67"/>
      <c r="AB3" s="64"/>
      <c r="AC3" s="58"/>
      <c r="AD3" s="59"/>
      <c r="AE3" s="1"/>
      <c r="AF3" s="1"/>
      <c r="AG3" s="1"/>
      <c r="AH3" s="55"/>
      <c r="AI3" s="1"/>
    </row>
    <row r="4" spans="1:91" s="23" customFormat="1" ht="15.75" thickBot="1" x14ac:dyDescent="0.3">
      <c r="A4" s="41"/>
      <c r="B4" s="43"/>
      <c r="C4" s="30"/>
      <c r="D4" s="30"/>
      <c r="E4" s="40"/>
      <c r="F4" s="40"/>
      <c r="G4" s="43"/>
      <c r="H4" s="40"/>
      <c r="I4" s="87" t="s">
        <v>14</v>
      </c>
      <c r="J4" s="57">
        <f>SUM(J5:J7)</f>
        <v>142</v>
      </c>
      <c r="K4" s="46"/>
      <c r="L4" s="46"/>
      <c r="M4" s="47" t="s">
        <v>15</v>
      </c>
      <c r="N4" s="45" t="s">
        <v>15</v>
      </c>
      <c r="O4" s="3" t="s">
        <v>15</v>
      </c>
      <c r="P4" s="2"/>
      <c r="R4" s="87" t="s">
        <v>14</v>
      </c>
      <c r="S4" s="57">
        <f>SUM(S5:S7)</f>
        <v>47</v>
      </c>
      <c r="T4" s="46"/>
      <c r="U4" s="124"/>
      <c r="V4" s="47" t="s">
        <v>15</v>
      </c>
      <c r="W4" s="45" t="s">
        <v>15</v>
      </c>
      <c r="X4" s="116" t="s">
        <v>15</v>
      </c>
      <c r="Y4" s="67"/>
      <c r="Z4" s="67"/>
      <c r="AA4" s="67"/>
      <c r="AB4" s="64"/>
      <c r="AC4" s="58"/>
      <c r="AD4" s="59"/>
      <c r="AE4" s="1"/>
      <c r="AF4" s="1"/>
      <c r="AG4" s="1"/>
      <c r="AH4" s="55"/>
      <c r="AI4" s="1"/>
    </row>
    <row r="5" spans="1:91" s="23" customFormat="1" ht="15.75" thickBot="1" x14ac:dyDescent="0.3">
      <c r="A5" s="41"/>
      <c r="B5" s="43"/>
      <c r="C5" s="30"/>
      <c r="D5" s="30"/>
      <c r="E5" s="40"/>
      <c r="F5" s="40"/>
      <c r="G5" s="43"/>
      <c r="H5" s="40"/>
      <c r="I5" s="87" t="s">
        <v>17</v>
      </c>
      <c r="J5" s="57">
        <f>COUNTIFS($N$13:$N$9393,"&gt;0",$AG$13:$AG$9393,I1)</f>
        <v>136</v>
      </c>
      <c r="K5" s="46"/>
      <c r="L5" s="46"/>
      <c r="M5" s="47">
        <f>AVERAGEIFS($N$13:$N$9393,$AG$13:$AG$9393,I1)</f>
        <v>40.086764705860439</v>
      </c>
      <c r="N5" s="45">
        <f t="array" ref="N5">MIN(IF($AG$13:$AG$9393=I1,IF(ISNUMBER($N$13:$N$9393),IF($N$13:$N$9393&gt;0,$N$13:$N$9393))))</f>
        <v>34.300000002840534</v>
      </c>
      <c r="O5" s="3">
        <f t="array" ref="O5">MAX(IF($AG$13:$AG$9393=I1,IF(ISNUMBER($N$13:$N$9393),IF($N$13:$N$9393&gt;0,$N$13:$N$9393))))</f>
        <v>53.966666667256504</v>
      </c>
      <c r="P5" s="2"/>
      <c r="R5" s="87" t="s">
        <v>17</v>
      </c>
      <c r="S5" s="57">
        <f>COUNTIFS($N$13:$N$9393,"&gt;0",$AG$13:$AG$9393,R1)</f>
        <v>46</v>
      </c>
      <c r="T5" s="46"/>
      <c r="U5" s="124"/>
      <c r="V5" s="47">
        <f>AVERAGEIFS($N$13:$N$9393,$AG$13:$AG$9393,R1)</f>
        <v>15.148913042452794</v>
      </c>
      <c r="W5" s="45">
        <f t="array" ref="W5">MIN(IF($AG$13:$AG$9393=R1,IF(ISNUMBER($N$13:$N$9393),IF($N$13:$N$9393&gt;0,$N$13:$N$9393))))</f>
        <v>13.266666666604578</v>
      </c>
      <c r="X5" s="116">
        <f t="array" ref="X5">MAX(IF($AG$13:$AG$9393=R1,IF(ISNUMBER($N$13:$N$9393),IF($N$13:$N$9393&gt;0,$N$13:$N$9393))))</f>
        <v>18.099999998230487</v>
      </c>
      <c r="Y5" s="67"/>
      <c r="Z5" s="67"/>
      <c r="AA5" s="67"/>
      <c r="AB5" s="64"/>
      <c r="AC5" s="58"/>
      <c r="AD5" s="59"/>
      <c r="AE5" s="1"/>
      <c r="AF5" s="1"/>
      <c r="AG5" s="1"/>
      <c r="AH5" s="55"/>
      <c r="AI5" s="1"/>
    </row>
    <row r="6" spans="1:91" s="23" customFormat="1" ht="15.75" thickBot="1" x14ac:dyDescent="0.3">
      <c r="A6" s="41"/>
      <c r="B6" s="43"/>
      <c r="C6" s="30"/>
      <c r="D6" s="30"/>
      <c r="E6" s="40"/>
      <c r="F6" s="40"/>
      <c r="G6" s="43"/>
      <c r="H6" s="40"/>
      <c r="I6" s="88" t="s">
        <v>43</v>
      </c>
      <c r="J6" s="57">
        <f>COUNT($O$13:$O$152)</f>
        <v>0</v>
      </c>
      <c r="K6" s="46"/>
      <c r="L6" s="46"/>
      <c r="M6" s="47">
        <f>IFERROR(AVERAGE($O$13:$O$152),0)</f>
        <v>0</v>
      </c>
      <c r="N6" s="45">
        <f>MIN($O$13:$O$152)</f>
        <v>0</v>
      </c>
      <c r="O6" s="3">
        <f>MAX($O$13:$O$152)</f>
        <v>0</v>
      </c>
      <c r="P6" s="2"/>
      <c r="R6" s="88" t="s">
        <v>43</v>
      </c>
      <c r="S6" s="57">
        <f>COUNT($O$13:$O$152)</f>
        <v>0</v>
      </c>
      <c r="T6" s="46"/>
      <c r="U6" s="124"/>
      <c r="V6" s="47">
        <f>IFERROR(AVERAGE($O$13:$O$152),0)</f>
        <v>0</v>
      </c>
      <c r="W6" s="45">
        <f>MIN($O$13:$O$152)</f>
        <v>0</v>
      </c>
      <c r="X6" s="116">
        <f>MAX($O$13:$O$152)</f>
        <v>0</v>
      </c>
      <c r="Y6" s="67"/>
      <c r="Z6" s="67"/>
      <c r="AA6" s="67"/>
      <c r="AB6" s="64"/>
      <c r="AC6" s="58"/>
      <c r="AD6" s="59"/>
      <c r="AE6" s="1"/>
      <c r="AF6" s="1"/>
      <c r="AG6" s="1"/>
      <c r="AH6" s="55"/>
      <c r="AI6" s="1"/>
    </row>
    <row r="7" spans="1:91" s="23" customFormat="1" ht="15.75" thickBot="1" x14ac:dyDescent="0.3">
      <c r="A7" s="41"/>
      <c r="B7" s="43"/>
      <c r="C7" s="30"/>
      <c r="D7" s="30"/>
      <c r="E7" s="40"/>
      <c r="F7" s="40"/>
      <c r="G7" s="43"/>
      <c r="H7" s="40"/>
      <c r="I7" s="89" t="s">
        <v>9</v>
      </c>
      <c r="J7" s="57">
        <f>COUNTIFS($P$13:$P$9393,"&gt;0",$AG$13:$AG$9393,I1)</f>
        <v>6</v>
      </c>
      <c r="K7" s="46"/>
      <c r="L7" s="46"/>
      <c r="M7" s="45" t="s">
        <v>15</v>
      </c>
      <c r="N7" s="45" t="s">
        <v>15</v>
      </c>
      <c r="O7" s="3" t="s">
        <v>15</v>
      </c>
      <c r="P7" s="2"/>
      <c r="R7" s="89" t="s">
        <v>9</v>
      </c>
      <c r="S7" s="57">
        <f>COUNTIFS($P$13:$P$9393,"&gt;0",$AG$13:$AG$9393,R1)</f>
        <v>1</v>
      </c>
      <c r="T7" s="46"/>
      <c r="U7" s="124"/>
      <c r="V7" s="47" t="s">
        <v>15</v>
      </c>
      <c r="W7" s="45" t="s">
        <v>15</v>
      </c>
      <c r="X7" s="116" t="s">
        <v>15</v>
      </c>
      <c r="Y7" s="67"/>
      <c r="Z7" s="67"/>
      <c r="AA7" s="67"/>
      <c r="AB7" s="64"/>
      <c r="AC7" s="58"/>
      <c r="AD7" s="59"/>
      <c r="AE7" s="1"/>
      <c r="AF7" s="1"/>
      <c r="AG7" s="1"/>
      <c r="AH7" s="55"/>
      <c r="AI7" s="1"/>
    </row>
    <row r="8" spans="1:91" s="23" customFormat="1" ht="15.75" thickBot="1" x14ac:dyDescent="0.3">
      <c r="A8" s="41"/>
      <c r="B8" s="43"/>
      <c r="C8" s="30"/>
      <c r="D8" s="30"/>
      <c r="E8" s="40"/>
      <c r="F8" s="40"/>
      <c r="G8" s="43"/>
      <c r="H8" s="40"/>
      <c r="I8" s="87" t="s">
        <v>16</v>
      </c>
      <c r="J8" s="57">
        <f>J5</f>
        <v>136</v>
      </c>
      <c r="K8" s="46"/>
      <c r="L8" s="46"/>
      <c r="M8" s="47">
        <f>M5</f>
        <v>40.086764705860439</v>
      </c>
      <c r="N8" s="45">
        <f>N5</f>
        <v>34.300000002840534</v>
      </c>
      <c r="O8" s="3">
        <f>O5</f>
        <v>53.966666667256504</v>
      </c>
      <c r="P8" s="2"/>
      <c r="R8" s="87" t="s">
        <v>16</v>
      </c>
      <c r="S8" s="57">
        <f>S5</f>
        <v>46</v>
      </c>
      <c r="T8" s="46"/>
      <c r="U8" s="124"/>
      <c r="V8" s="47">
        <f>V5</f>
        <v>15.148913042452794</v>
      </c>
      <c r="W8" s="45">
        <f>W5</f>
        <v>13.266666666604578</v>
      </c>
      <c r="X8" s="116">
        <f>X5</f>
        <v>18.099999998230487</v>
      </c>
      <c r="Y8" s="67"/>
      <c r="Z8" s="67"/>
      <c r="AA8" s="67"/>
      <c r="AB8" s="64"/>
      <c r="AC8" s="58"/>
      <c r="AD8" s="59"/>
      <c r="AE8" s="1"/>
      <c r="AF8" s="1"/>
      <c r="AG8" s="1"/>
      <c r="AH8" s="55"/>
      <c r="AI8" s="1"/>
    </row>
    <row r="9" spans="1:91" s="23" customFormat="1" ht="15.75" thickBot="1" x14ac:dyDescent="0.3">
      <c r="A9" s="41"/>
      <c r="B9" s="43"/>
      <c r="C9" s="30"/>
      <c r="D9" s="30"/>
      <c r="E9" s="40"/>
      <c r="F9" s="40"/>
      <c r="G9" s="43"/>
      <c r="H9" s="40"/>
      <c r="I9" s="87" t="s">
        <v>19</v>
      </c>
      <c r="J9" s="71">
        <f>J8/J4</f>
        <v>0.95774647887323938</v>
      </c>
      <c r="K9" s="48"/>
      <c r="L9" s="48"/>
      <c r="M9" s="90"/>
      <c r="N9" s="43"/>
      <c r="O9" s="91"/>
      <c r="P9" s="2"/>
      <c r="R9" s="87" t="s">
        <v>19</v>
      </c>
      <c r="S9" s="71">
        <f>S8/S4</f>
        <v>0.97872340425531912</v>
      </c>
      <c r="T9" s="48"/>
      <c r="U9" s="121"/>
      <c r="V9" s="90"/>
      <c r="W9" s="43"/>
      <c r="X9" s="117"/>
      <c r="Y9" s="67"/>
      <c r="Z9" s="67"/>
      <c r="AA9" s="67"/>
      <c r="AB9" s="64"/>
      <c r="AC9" s="58"/>
      <c r="AD9" s="59"/>
      <c r="AE9" s="1"/>
      <c r="AF9" s="1"/>
      <c r="AG9" s="1"/>
      <c r="AH9" s="55"/>
      <c r="AI9" s="1"/>
    </row>
    <row r="10" spans="1:91" s="23" customFormat="1" x14ac:dyDescent="0.25">
      <c r="A10" s="41"/>
      <c r="B10" s="43"/>
      <c r="C10" s="30"/>
      <c r="D10" s="30"/>
      <c r="E10" s="40"/>
      <c r="F10" s="40"/>
      <c r="G10" s="43"/>
      <c r="H10" s="40"/>
      <c r="I10" s="40"/>
      <c r="J10" s="43"/>
      <c r="K10" s="30"/>
      <c r="L10" s="30"/>
      <c r="M10" s="42"/>
      <c r="N10" s="43"/>
      <c r="O10" s="2"/>
      <c r="P10" s="2"/>
      <c r="U10" s="114"/>
      <c r="V10" s="103"/>
      <c r="W10" s="22"/>
      <c r="X10" s="118"/>
      <c r="Y10" s="67"/>
      <c r="Z10" s="67"/>
      <c r="AA10" s="67"/>
      <c r="AB10" s="64"/>
      <c r="AC10" s="58"/>
      <c r="AD10" s="59"/>
      <c r="AE10" s="1"/>
      <c r="AF10" s="1"/>
      <c r="AG10" s="1"/>
      <c r="AH10" s="55"/>
      <c r="AI10" s="1"/>
    </row>
    <row r="11" spans="1:91" ht="16.5" thickBot="1" x14ac:dyDescent="0.3">
      <c r="A11" s="165" t="str">
        <f>"Eagle P3 System Performance - "&amp;TEXT(Variables!A2,"yyyy-mm-dd")</f>
        <v>Eagle P3 System Performance - 2016-08-31</v>
      </c>
      <c r="B11" s="165"/>
      <c r="C11" s="165"/>
      <c r="D11" s="165"/>
      <c r="E11" s="165"/>
      <c r="F11" s="165"/>
      <c r="G11" s="165"/>
      <c r="H11" s="165"/>
      <c r="I11" s="165"/>
      <c r="J11" s="165"/>
      <c r="K11" s="165"/>
      <c r="L11" s="165"/>
      <c r="M11" s="165"/>
      <c r="N11" s="165"/>
      <c r="O11" s="165"/>
      <c r="P11" s="165"/>
      <c r="S11" s="72">
        <f>AVERAGE(S13:S101)</f>
        <v>0.98863636363636365</v>
      </c>
      <c r="V11" s="103"/>
      <c r="AE11" s="1"/>
      <c r="AF11" s="1"/>
      <c r="AG11" s="1"/>
      <c r="AH11" s="55"/>
      <c r="AI11" s="1"/>
    </row>
    <row r="12" spans="1:91" s="5" customFormat="1" ht="69" customHeight="1" thickBot="1" x14ac:dyDescent="0.3">
      <c r="A12" s="16" t="s">
        <v>0</v>
      </c>
      <c r="B12" s="20" t="s">
        <v>44</v>
      </c>
      <c r="C12" s="17" t="s">
        <v>26</v>
      </c>
      <c r="D12" s="17" t="s">
        <v>1</v>
      </c>
      <c r="E12" s="18" t="s">
        <v>2</v>
      </c>
      <c r="F12" s="18" t="s">
        <v>3</v>
      </c>
      <c r="G12" s="20" t="s">
        <v>4</v>
      </c>
      <c r="H12" s="18" t="s">
        <v>5</v>
      </c>
      <c r="I12" s="18" t="s">
        <v>6</v>
      </c>
      <c r="J12" s="20" t="s">
        <v>7</v>
      </c>
      <c r="K12" s="93" t="s">
        <v>60</v>
      </c>
      <c r="L12" s="17" t="s">
        <v>47</v>
      </c>
      <c r="M12" s="19" t="s">
        <v>8</v>
      </c>
      <c r="N12" s="17" t="s">
        <v>41</v>
      </c>
      <c r="O12" s="20" t="s">
        <v>42</v>
      </c>
      <c r="P12" s="20" t="s">
        <v>18</v>
      </c>
      <c r="Q12" s="21" t="s">
        <v>46</v>
      </c>
      <c r="R12" s="21" t="s">
        <v>24</v>
      </c>
      <c r="S12" s="21" t="s">
        <v>69</v>
      </c>
      <c r="T12" s="56" t="s">
        <v>70</v>
      </c>
      <c r="U12" s="125" t="s">
        <v>71</v>
      </c>
      <c r="V12" s="105" t="s">
        <v>45</v>
      </c>
      <c r="W12" s="53" t="s">
        <v>23</v>
      </c>
      <c r="X12" s="119" t="s">
        <v>48</v>
      </c>
      <c r="Y12" s="68" t="s">
        <v>20</v>
      </c>
      <c r="Z12" s="68" t="s">
        <v>21</v>
      </c>
      <c r="AA12" s="68" t="s">
        <v>22</v>
      </c>
      <c r="AB12" s="65" t="s">
        <v>39</v>
      </c>
      <c r="AC12" s="61" t="s">
        <v>40</v>
      </c>
      <c r="AD12" s="60" t="s">
        <v>94</v>
      </c>
      <c r="AE12" s="98" t="s">
        <v>101</v>
      </c>
      <c r="AF12" s="95" t="s">
        <v>106</v>
      </c>
      <c r="AG12" s="4" t="s">
        <v>124</v>
      </c>
      <c r="AH12" s="101" t="s">
        <v>127</v>
      </c>
      <c r="AI12" s="148" t="s">
        <v>219</v>
      </c>
      <c r="AJ12" s="53" t="s">
        <v>220</v>
      </c>
      <c r="AK12" s="53" t="s">
        <v>192</v>
      </c>
      <c r="AL12" s="53" t="s">
        <v>221</v>
      </c>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row>
    <row r="13" spans="1:91" s="1" customFormat="1" x14ac:dyDescent="0.25">
      <c r="A13" s="39" t="s">
        <v>370</v>
      </c>
      <c r="B13" s="7">
        <v>4042</v>
      </c>
      <c r="C13" s="24" t="s">
        <v>113</v>
      </c>
      <c r="D13" s="24" t="s">
        <v>301</v>
      </c>
      <c r="E13" s="15">
        <v>42613.143599537034</v>
      </c>
      <c r="F13" s="15">
        <v>42613.14539351852</v>
      </c>
      <c r="G13" s="7">
        <v>1</v>
      </c>
      <c r="H13" s="15" t="s">
        <v>227</v>
      </c>
      <c r="I13" s="15">
        <v>42613.170775462961</v>
      </c>
      <c r="J13" s="7">
        <v>0</v>
      </c>
      <c r="K13" s="132" t="str">
        <f t="shared" ref="K13:K44" si="0">IF(ISEVEN(B13),(B13-1)&amp;"/"&amp;B13,B13&amp;"/"&amp;(B13+1))</f>
        <v>4041/4042</v>
      </c>
      <c r="L13" s="24" t="str">
        <f>VLOOKUP(A13,'Trips&amp;Operators'!$C$1:$E$10000,3,FALSE)</f>
        <v>MAELZER</v>
      </c>
      <c r="M13" s="6">
        <f t="shared" ref="M13:M44" si="1">I13-F13</f>
        <v>2.5381944440596271E-2</v>
      </c>
      <c r="N13" s="7">
        <f>24*60*SUM($M13:$M13)</f>
        <v>36.549999994458631</v>
      </c>
      <c r="O13" s="7"/>
      <c r="P13" s="7"/>
      <c r="Q13" s="25"/>
      <c r="R13" s="25"/>
      <c r="S13" s="37">
        <f t="shared" ref="S13:S31" si="2">SUM(U13:U13)/IF(AG13="EC",12,1)</f>
        <v>1</v>
      </c>
      <c r="T13" s="52" t="str">
        <f t="shared" ref="T13:T44" si="3">IF(ISEVEN(LEFT(AD13,4)),"Southbound","NorthBound")</f>
        <v>NorthBound</v>
      </c>
      <c r="U13" s="126">
        <f>IF(AG13="EC",COUNTIFS(Variables!$M$2:$M$19,IF(T13="NorthBound","&gt;=","&lt;=")&amp;Y13,Variables!$M$2:$M$19,IF(T13="NorthBound","&lt;=","&gt;=")&amp;Z13),COUNTIFS(Variables!$P$2:$P$19,IF(T13="NorthBound","&gt;=","&lt;=")&amp;Y13,Variables!$P$2:$P$19,IF(T13="NorthBound","&lt;=","&gt;=")&amp;Z13))</f>
        <v>12</v>
      </c>
      <c r="V13" s="106" t="str">
        <f t="shared" ref="V13:V44" si="4">"https://search-rtdc-monitor-bjffxe2xuh6vdkpspy63sjmuny.us-east-1.es.amazonaws.com/_plugin/kibana/#/discover/Steve-Slow-Train-Analysis-(2080s-and-2083s)?_g=(refreshInterval:(display:Off,section:0,value:0),time:(from:'"&amp;TEXT(E13-1/24,"yyyy-MM-DD hh:mm:ss")&amp;"-0600',mode:absolute,to:'"&amp;TEXT(I13+1/24,"yyyy-MM-DD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filters:!(),index:'emp_*',interval:auto,query:"&amp;"(query_string:(analyze_wildcard:!t,query:'Message%5C%20ID:(2083%20OR%202080%20OR%201041%20OR%202003%20OR%201051)%20AND%20%22rtdc.l.rtdc."&amp;B13&amp;"%22')),sort:!(Time,asc))"</f>
        <v>https://search-rtdc-monitor-bjffxe2xuh6vdkpspy63sjmuny.us-east-1.es.amazonaws.com/_plugin/kibana/#/discover/Steve-Slow-Train-Analysis-(2080s-and-2083s)?_g=(refreshInterval:(display:Off,section:0,value:0),time:(from:'2016-08-31 02:26:47-0600',mode:absolute,to:'2016-08-31 05:05:55-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4042%22')),sort:!(Time,asc))</v>
      </c>
      <c r="W13" s="54" t="str">
        <f t="shared" ref="W13:W44" si="5">IF(AA13&lt;IF(AG13="EC",23,5.65),"Y","N")</f>
        <v>N</v>
      </c>
      <c r="X13" s="120" t="e">
        <f>VALUE(LEFT(AD13,4))-VALUE(LEFT(AD12,4))</f>
        <v>#VALUE!</v>
      </c>
      <c r="Y13" s="69">
        <f t="shared" ref="Y13:Y44" si="6">RIGHT(D13,LEN(D13)-4)/10000</f>
        <v>7.2400000000000006E-2</v>
      </c>
      <c r="Z13" s="69">
        <f t="shared" ref="Z13:Z44" si="7">RIGHT(H13,LEN(H13)-4)/10000</f>
        <v>23.330100000000002</v>
      </c>
      <c r="AA13" s="69">
        <f t="shared" ref="AA13:AA44" si="8">ABS(Z13-Y13)</f>
        <v>23.257700000000003</v>
      </c>
      <c r="AB13" s="66" t="e">
        <f>VLOOKUP(A13,Enforcements!$C$7:$J$21,8,0)</f>
        <v>#N/A</v>
      </c>
      <c r="AC13" s="62" t="e">
        <f>VLOOKUP(A13,Enforcements!$C$7:$E$21,3,0)</f>
        <v>#N/A</v>
      </c>
      <c r="AD13" s="63" t="str">
        <f t="shared" ref="AD13:AD44" si="9">IF(LEN(A13)=6,"0"&amp;A13,A13)</f>
        <v>0101-31</v>
      </c>
      <c r="AE13" s="99" t="str">
        <f t="shared" ref="AE13:AE76" si="10">"aws s3 cp "&amp;s3_bucket&amp;"/RTDC"&amp;B13&amp;"/"&amp;TEXT(F13,"YYYY-MM-DD")&amp;"/ "&amp;search_path&amp;"\RTDC"&amp;B13&amp;"\"&amp;TEXT(F13,"YYYY-MM-DD")&amp;" --recursive &amp; """&amp;walkandungz&amp;""" "&amp;search_path&amp;"\RTDC"&amp;B13&amp;"\"&amp;TEXT(F13,"YYYY-MM-DD")
&amp;" &amp; "&amp;"aws s3 cp "&amp;s3_bucket&amp;"/RTDC"&amp;B13&amp;"/"&amp;TEXT(F13+1,"YYYY-MM-DD")&amp;"/ "&amp;search_path&amp;"\RTDC"&amp;B13&amp;"\"&amp;TEXT(F13+1,"YYYY-MM-DD")&amp;" --recursive &amp; """&amp;walkandungz&amp;""" "&amp;search_path&amp;"\RTDC"&amp;B13&amp;"\"&amp;TEXT(F13+1,"YYYY-MM-DD")</f>
        <v>aws s3 cp s3://rtdc.mdm.uploadarchive/RTDC4042/2016-08-31/ "%USERPROFILE%\AppData\Local\Temp\OnboardLogs"\RTDC4042\2016-08-31 --recursive &amp; "%USERPROFILE%\Documents\GitHub\mrs-test-scripts\Headless Mode &amp; Sideloading\WalkAndUnGZ.bat" "%USERPROFILE%\AppData\Local\Temp\OnboardLogs"\RTDC4042\2016-08-31 &amp; aws s3 cp s3://rtdc.mdm.uploadarchive/RTDC4042/2016-09-01/ "%USERPROFILE%\AppData\Local\Temp\OnboardLogs"\RTDC4042\2016-09-01 --recursive &amp; "%USERPROFILE%\Documents\GitHub\mrs-test-scripts\Headless Mode &amp; Sideloading\WalkAndUnGZ.bat" "%USERPROFILE%\AppData\Local\Temp\OnboardLogs"\RTDC4042\2016-09-01</v>
      </c>
      <c r="AF13" s="96" t="str">
        <f t="shared" ref="AF13:AF76" si="11">astrogrep_path&amp;" /spath="&amp;search_path&amp;" /stypes=""*"&amp;B13&amp;"*"&amp;TEXT(I13-utc_offset/24,"YYYYMMDD")&amp;"*"" /stext="" "&amp;TEXT(I13-utc_offset/24,"HH")&amp;search_regexp&amp;""" /e /r /s"</f>
        <v>"C:\Program Files (x86)\AstroGrep\AstroGrep.exe" /spath="%USERPROFILE%\AppData\Local\Temp\OnboardLogs" /stypes="*4042*20160831*" /stext=" 10:.+((SYSTEM_STATE.+slice.+state.+changed )|(ment ac)|(system.+state.+changed )|(\|lc)|(penalty)|(\[timeout)|(PRM\|1\|D)|(kpr)|(kdp))" /e /r /s</v>
      </c>
      <c r="AG13" s="1" t="str">
        <f t="shared" ref="AG13:AG44" si="12">IFERROR(IF(VALUE(LEFT(AD13,2))&lt;=2,"EC",IF(OR(VALUE(LEFT(AD13,2))=8,VALUE(LEFT(AD13,2))=18),"NW","Other")),"Other")</f>
        <v>EC</v>
      </c>
      <c r="AH13" s="100" t="str">
        <f t="shared" ref="AH13" si="13">refinertdcruntimes&amp;" --tripid "&amp;A13&amp;" --locoid "&amp;B13&amp;" --swversion "&amp;C13&amp;" --startMP "&amp;D13&amp;" --initTime "&amp;TEXT(E13,"yyyy-mm-ddTHH:MM:SS")&amp;" --startdatetime "&amp;TEXT(F13,"yyyy-mm-ddTHH:MM:SS")&amp;" --delay "&amp;G13&amp;" --endMP "&amp;H13&amp;" --enddatetime "&amp;TEXT(I13,"yyyy-mm-ddTHH:MM:SS")&amp;" --enforcementcount "&amp;J13&amp;IF(outputrefinedruntimes," &gt;&gt;"&amp;RefinedRTDCRunTimesOutputFile,"")</f>
        <v>"%USERPROFILE%\Documents\GitHub\eaglep3\Utilities\RefineRTDCRunTimes.py" --tripid 101-31 --locoid 4042 --swversion DE.1.0.7.0 --startMP 204:724 --initTime 2016-08-31T03:26:47 --startdatetime 2016-08-31T03:29:22 --delay 1 --endMP 204:233301 --enddatetime 2016-08-31T04:05:55 --enforcementcount 0 &gt;&gt;C:\Users\stu\Documents\GitHub\eaglep3-reporting\EC\2016-08-31-refined-times.txt</v>
      </c>
      <c r="AI13" s="149" t="str">
        <f t="shared" ref="AI13" si="14">"echo {""issue"":{""subject"":"""&amp;R13&amp;""",""project_id"":79,""tracker_id"":40,""status_id"":"&amp;redmine_status&amp;",""priority_id"":"&amp;redmine_priority&amp;",""assigned_to_id"":"&amp;redmine_assignee&amp;",""start_date"":"""&amp;TEXT(I13,"YYYY-mm-dd")&amp;""",""description"":"""&amp;AJ13&amp;""",""custom_fields"":[{""id"":1,""name"":""Subdivision"",""value"":"""&amp;AG13&amp;"""},{""id"":4,""name"":""Milepost"",""value"":"""&amp;AA13&amp;"""},{""id"":17,""name"":""Train ID"",""value"":"""&amp;A13&amp;"""},{""id"":16,""name"":""Locomotive ID"",""value"":"""&amp;B13&amp;"""},{""id"":130,""name"":""Impact"",""value"":"""&amp;AK13&amp;"""},{""id"":150,""name"":""Time of Event (Mountain Time)"",""value"":"""&amp;TEXT(I13,"hh:mm:ss")&amp;"""},{""id"":151,""name"":""Denver Issue ID"",""value"":"""&amp;"""},{""id"":178,""name"":""Operational Impact"",""value"":"""&amp;redmine_op_impact&amp;"""},{""id"":179,""name"":""Denver Segment Assigned"",""value"":"""&amp;AL13&amp;"""}]}}"&amp;" | curl -X POST -H ""Content-Type: application/json"" -H ""X-Redmine-API-Key: "&amp;redm_api_key&amp;""" "&amp;redm_url&amp;" --data @-"</f>
        <v>echo {"issue":{"subject":"","project_id":79,"tracker_id":40,"status_id":1,"priority_id":2,"assigned_to_id":23,"start_date":"2016-08-31","description":"","custom_fields":[{"id":1,"name":"Subdivision","value":"EC"},{"id":4,"name":"Milepost","value":"23.2577"},{"id":17,"name":"Train ID","value":"101-31"},{"id":16,"name":"Locomotive ID","value":"4042"},{"id":130,"name":"Impact","value":""},{"id":150,"name":"Time of Event (Mountain Time)","value":"04:05:55"},{"id":151,"name":"Denver Issue ID","value":""},{"id":178,"name":"Operational Impact","value":"Yes"},{"id":179,"name":"Denver Segment Assigned","value":""}]}} | curl -X POST -H "Content-Type: application/json" -H "X-Redmine-API-Key: d6333d4a04012a730768444271f8ca06482dae87" https://secure.xorail.net/redmine/issues.json --data @-</v>
      </c>
      <c r="AJ13" s="55"/>
      <c r="AK13" s="55"/>
      <c r="AL13" s="55"/>
    </row>
    <row r="14" spans="1:91" s="1" customFormat="1" x14ac:dyDescent="0.25">
      <c r="A14" s="39" t="s">
        <v>371</v>
      </c>
      <c r="B14" s="7">
        <v>4030</v>
      </c>
      <c r="C14" s="24" t="s">
        <v>113</v>
      </c>
      <c r="D14" s="24" t="s">
        <v>372</v>
      </c>
      <c r="E14" s="15">
        <v>42613.173020833332</v>
      </c>
      <c r="F14" s="15">
        <v>42613.174710648149</v>
      </c>
      <c r="G14" s="7">
        <v>1</v>
      </c>
      <c r="H14" s="15" t="s">
        <v>373</v>
      </c>
      <c r="I14" s="15">
        <v>42613.202997685185</v>
      </c>
      <c r="J14" s="7">
        <v>0</v>
      </c>
      <c r="K14" s="132" t="str">
        <f t="shared" si="0"/>
        <v>4029/4030</v>
      </c>
      <c r="L14" s="24" t="str">
        <f>VLOOKUP(A14,'Trips&amp;Operators'!$C$1:$E$10000,3,FALSE)</f>
        <v>MAELZER</v>
      </c>
      <c r="M14" s="6">
        <f t="shared" si="1"/>
        <v>2.8287037035624962E-2</v>
      </c>
      <c r="N14" s="7">
        <f>24*60*SUM($M14:$M14)</f>
        <v>40.733333331299946</v>
      </c>
      <c r="O14" s="7"/>
      <c r="P14" s="7"/>
      <c r="Q14" s="25"/>
      <c r="R14" s="25"/>
      <c r="S14" s="37">
        <f t="shared" si="2"/>
        <v>1</v>
      </c>
      <c r="T14" s="52" t="str">
        <f t="shared" si="3"/>
        <v>Southbound</v>
      </c>
      <c r="U14" s="126">
        <f>IF(AG14="EC",COUNTIFS(Variables!$M$2:$M$19,IF(T14="NorthBound","&gt;=","&lt;=")&amp;Y14,Variables!$M$2:$M$19,IF(T14="NorthBound","&lt;=","&gt;=")&amp;Z14),COUNTIFS(Variables!$P$2:$P$19,IF(T14="NorthBound","&gt;=","&lt;=")&amp;Y14,Variables!$P$2:$P$19,IF(T14="NorthBound","&lt;=","&gt;=")&amp;Z14))</f>
        <v>12</v>
      </c>
      <c r="V14" s="106" t="str">
        <f t="shared" si="4"/>
        <v>https://search-rtdc-monitor-bjffxe2xuh6vdkpspy63sjmuny.us-east-1.es.amazonaws.com/_plugin/kibana/#/discover/Steve-Slow-Train-Analysis-(2080s-and-2083s)?_g=(refreshInterval:(display:Off,section:0,value:0),time:(from:'2016-08-31 03:09:09-0600',mode:absolute,to:'2016-08-31 05:52:19-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4030%22')),sort:!(Time,asc))</v>
      </c>
      <c r="W14" s="54" t="str">
        <f t="shared" si="5"/>
        <v>N</v>
      </c>
      <c r="X14" s="120">
        <f>VALUE(LEFT(AD14,4))-VALUE(LEFT(AD13,4))</f>
        <v>1</v>
      </c>
      <c r="Y14" s="69">
        <f t="shared" si="6"/>
        <v>23.2652</v>
      </c>
      <c r="Z14" s="69">
        <f t="shared" si="7"/>
        <v>1.41E-2</v>
      </c>
      <c r="AA14" s="69">
        <f t="shared" si="8"/>
        <v>23.251100000000001</v>
      </c>
      <c r="AB14" s="66" t="e">
        <f>VLOOKUP(A14,Enforcements!$C$7:$J$21,8,0)</f>
        <v>#N/A</v>
      </c>
      <c r="AC14" s="62" t="e">
        <f>VLOOKUP(A14,Enforcements!$C$7:$E$21,3,0)</f>
        <v>#N/A</v>
      </c>
      <c r="AD14" s="63" t="str">
        <f t="shared" si="9"/>
        <v>0102-31</v>
      </c>
      <c r="AE14" s="99" t="str">
        <f t="shared" si="10"/>
        <v>aws s3 cp s3://rtdc.mdm.uploadarchive/RTDC4030/2016-08-31/ "%USERPROFILE%\AppData\Local\Temp\OnboardLogs"\RTDC4030\2016-08-31 --recursive &amp; "%USERPROFILE%\Documents\GitHub\mrs-test-scripts\Headless Mode &amp; Sideloading\WalkAndUnGZ.bat" "%USERPROFILE%\AppData\Local\Temp\OnboardLogs"\RTDC4030\2016-08-31 &amp; aws s3 cp s3://rtdc.mdm.uploadarchive/RTDC4030/2016-09-01/ "%USERPROFILE%\AppData\Local\Temp\OnboardLogs"\RTDC4030\2016-09-01 --recursive &amp; "%USERPROFILE%\Documents\GitHub\mrs-test-scripts\Headless Mode &amp; Sideloading\WalkAndUnGZ.bat" "%USERPROFILE%\AppData\Local\Temp\OnboardLogs"\RTDC4030\2016-09-01</v>
      </c>
      <c r="AF14" s="96" t="str">
        <f t="shared" si="11"/>
        <v>"C:\Program Files (x86)\AstroGrep\AstroGrep.exe" /spath="%USERPROFILE%\AppData\Local\Temp\OnboardLogs" /stypes="*4030*20160831*" /stext=" 10:.+((SYSTEM_STATE.+slice.+state.+changed )|(ment ac)|(system.+state.+changed )|(\|lc)|(penalty)|(\[timeout)|(PRM\|1\|D)|(kpr)|(kdp))" /e /r /s</v>
      </c>
      <c r="AG14" s="1" t="str">
        <f t="shared" si="12"/>
        <v>EC</v>
      </c>
      <c r="AH14" s="100" t="str">
        <f t="shared" ref="AH14:AH78" si="15">refinertdcruntimes&amp;" --tripid "&amp;A14&amp;" --locoid "&amp;B14&amp;" --swversion "&amp;C14&amp;" --startMP "&amp;D14&amp;" --initTime "&amp;TEXT(E14,"yyyy-mm-ddTHH:MM:SS")&amp;" --startdatetime "&amp;TEXT(F14,"yyyy-mm-ddTHH:MM:SS")&amp;" --delay "&amp;G14&amp;" --endMP "&amp;H14&amp;" --enddatetime "&amp;TEXT(I14,"yyyy-mm-ddTHH:MM:SS")&amp;" --enforcementcount "&amp;J14&amp;IF(outputrefinedruntimes," &gt;&gt;"&amp;RefinedRTDCRunTimesOutputFile,"")</f>
        <v>"%USERPROFILE%\Documents\GitHub\eaglep3\Utilities\RefineRTDCRunTimes.py" --tripid 102-31 --locoid 4030 --swversion DE.1.0.7.0 --startMP 204:232652 --initTime 2016-08-31T04:09:09 --startdatetime 2016-08-31T04:11:35 --delay 1 --endMP 204:141 --enddatetime 2016-08-31T04:52:19 --enforcementcount 0 &gt;&gt;C:\Users\stu\Documents\GitHub\eaglep3-reporting\EC\2016-08-31-refined-times.txt</v>
      </c>
      <c r="AI14" s="149" t="str">
        <f t="shared" ref="AI14:AI78" si="16">"echo {""issue"":{""subject"":"""&amp;R14&amp;""",""project_id"":79,""tracker_id"":40,""status_id"":"&amp;redmine_status&amp;",""priority_id"":"&amp;redmine_priority&amp;",""assigned_to_id"":"&amp;redmine_assignee&amp;",""start_date"":"""&amp;TEXT(I14,"YYYY-mm-dd")&amp;""",""description"":"""&amp;AJ14&amp;""",""custom_fields"":[{""id"":1,""name"":""Subdivision"",""value"":"""&amp;AG14&amp;"""},{""id"":4,""name"":""Milepost"",""value"":"""&amp;AA14&amp;"""},{""id"":17,""name"":""Train ID"",""value"":"""&amp;A14&amp;"""},{""id"":16,""name"":""Locomotive ID"",""value"":"""&amp;B14&amp;"""},{""id"":130,""name"":""Impact"",""value"":"""&amp;AK14&amp;"""},{""id"":150,""name"":""Time of Event (Mountain Time)"",""value"":"""&amp;TEXT(I14,"hh:mm:ss")&amp;"""},{""id"":151,""name"":""Denver Issue ID"",""value"":"""&amp;"""},{""id"":178,""name"":""Operational Impact"",""value"":"""&amp;redmine_op_impact&amp;"""},{""id"":179,""name"":""Denver Segment Assigned"",""value"":"""&amp;AL14&amp;"""}]}}"&amp;" | curl -X POST -H ""Content-Type: application/json"" -H ""X-Redmine-API-Key: "&amp;redm_api_key&amp;""" "&amp;redm_url&amp;" --data @-"</f>
        <v>echo {"issue":{"subject":"","project_id":79,"tracker_id":40,"status_id":1,"priority_id":2,"assigned_to_id":23,"start_date":"2016-08-31","description":"","custom_fields":[{"id":1,"name":"Subdivision","value":"EC"},{"id":4,"name":"Milepost","value":"23.2511"},{"id":17,"name":"Train ID","value":"102-31"},{"id":16,"name":"Locomotive ID","value":"4030"},{"id":130,"name":"Impact","value":""},{"id":150,"name":"Time of Event (Mountain Time)","value":"04:52:19"},{"id":151,"name":"Denver Issue ID","value":""},{"id":178,"name":"Operational Impact","value":"Yes"},{"id":179,"name":"Denver Segment Assigned","value":""}]}} | curl -X POST -H "Content-Type: application/json" -H "X-Redmine-API-Key: d6333d4a04012a730768444271f8ca06482dae87" https://secure.xorail.net/redmine/issues.json --data @-</v>
      </c>
      <c r="AJ14" s="55"/>
      <c r="AK14" s="55"/>
      <c r="AL14" s="55"/>
    </row>
    <row r="15" spans="1:91" s="1" customFormat="1" x14ac:dyDescent="0.25">
      <c r="A15" s="39" t="s">
        <v>738</v>
      </c>
      <c r="B15" s="7">
        <v>4002</v>
      </c>
      <c r="C15" s="24" t="s">
        <v>113</v>
      </c>
      <c r="D15" s="24" t="s">
        <v>372</v>
      </c>
      <c r="E15" s="15">
        <v>42613.173020833332</v>
      </c>
      <c r="F15" s="15">
        <v>42613.174710648149</v>
      </c>
      <c r="G15" s="7">
        <v>1</v>
      </c>
      <c r="H15" s="15" t="s">
        <v>373</v>
      </c>
      <c r="I15" s="15">
        <v>42613.202997685185</v>
      </c>
      <c r="J15" s="7">
        <v>0</v>
      </c>
      <c r="K15" s="132" t="str">
        <f t="shared" si="0"/>
        <v>4001/4002</v>
      </c>
      <c r="L15" s="24" t="e">
        <f>VLOOKUP(A15,'Trips&amp;Operators'!$C$1:$E$10000,3,FALSE)</f>
        <v>#N/A</v>
      </c>
      <c r="M15" s="6">
        <f t="shared" si="1"/>
        <v>2.8287037035624962E-2</v>
      </c>
      <c r="N15" s="7"/>
      <c r="O15" s="7"/>
      <c r="P15" s="7">
        <v>1</v>
      </c>
      <c r="Q15" s="25"/>
      <c r="R15" s="25" t="s">
        <v>739</v>
      </c>
      <c r="S15" s="37">
        <f t="shared" si="2"/>
        <v>0</v>
      </c>
      <c r="T15" s="52" t="str">
        <f t="shared" si="3"/>
        <v>NorthBound</v>
      </c>
      <c r="U15" s="126">
        <f>IF(AG15="EC",COUNTIFS(Variables!$M$2:$M$19,IF(T15="NorthBound","&gt;=","&lt;=")&amp;Y15,Variables!$M$2:$M$19,IF(T15="NorthBound","&lt;=","&gt;=")&amp;Z15),COUNTIFS(Variables!$P$2:$P$19,IF(T15="NorthBound","&gt;=","&lt;=")&amp;Y15,Variables!$P$2:$P$19,IF(T15="NorthBound","&lt;=","&gt;=")&amp;Z15))</f>
        <v>0</v>
      </c>
      <c r="V15" s="106" t="str">
        <f t="shared" si="4"/>
        <v>https://search-rtdc-monitor-bjffxe2xuh6vdkpspy63sjmuny.us-east-1.es.amazonaws.com/_plugin/kibana/#/discover/Steve-Slow-Train-Analysis-(2080s-and-2083s)?_g=(refreshInterval:(display:Off,section:0,value:0),time:(from:'2016-08-31 03:09:09-0600',mode:absolute,to:'2016-08-31 05:52:19-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4002%22')),sort:!(Time,asc))</v>
      </c>
      <c r="W15" s="54" t="str">
        <f t="shared" si="5"/>
        <v>N</v>
      </c>
      <c r="X15" s="120">
        <f>VALUE(LEFT(AD15,4))-VALUE(LEFT(AD14,4))</f>
        <v>1</v>
      </c>
      <c r="Y15" s="69">
        <f t="shared" si="6"/>
        <v>23.2652</v>
      </c>
      <c r="Z15" s="69">
        <f t="shared" si="7"/>
        <v>1.41E-2</v>
      </c>
      <c r="AA15" s="69">
        <f t="shared" si="8"/>
        <v>23.251100000000001</v>
      </c>
      <c r="AB15" s="66" t="e">
        <f>VLOOKUP(A15,Enforcements!$C$7:$J$21,8,0)</f>
        <v>#N/A</v>
      </c>
      <c r="AC15" s="62" t="e">
        <f>VLOOKUP(A15,Enforcements!$C$7:$E$21,3,0)</f>
        <v>#N/A</v>
      </c>
      <c r="AD15" s="63" t="str">
        <f t="shared" si="9"/>
        <v>0103-31</v>
      </c>
      <c r="AE15" s="99" t="str">
        <f t="shared" si="10"/>
        <v>aws s3 cp s3://rtdc.mdm.uploadarchive/RTDC4002/2016-08-31/ "%USERPROFILE%\AppData\Local\Temp\OnboardLogs"\RTDC4002\2016-08-31 --recursive &amp; "%USERPROFILE%\Documents\GitHub\mrs-test-scripts\Headless Mode &amp; Sideloading\WalkAndUnGZ.bat" "%USERPROFILE%\AppData\Local\Temp\OnboardLogs"\RTDC4002\2016-08-31 &amp; aws s3 cp s3://rtdc.mdm.uploadarchive/RTDC4002/2016-09-01/ "%USERPROFILE%\AppData\Local\Temp\OnboardLogs"\RTDC4002\2016-09-01 --recursive &amp; "%USERPROFILE%\Documents\GitHub\mrs-test-scripts\Headless Mode &amp; Sideloading\WalkAndUnGZ.bat" "%USERPROFILE%\AppData\Local\Temp\OnboardLogs"\RTDC4002\2016-09-01</v>
      </c>
      <c r="AF15" s="96" t="str">
        <f t="shared" si="11"/>
        <v>"C:\Program Files (x86)\AstroGrep\AstroGrep.exe" /spath="%USERPROFILE%\AppData\Local\Temp\OnboardLogs" /stypes="*4002*20160831*" /stext=" 10:.+((SYSTEM_STATE.+slice.+state.+changed )|(ment ac)|(system.+state.+changed )|(\|lc)|(penalty)|(\[timeout)|(PRM\|1\|D)|(kpr)|(kdp))" /e /r /s</v>
      </c>
      <c r="AG15" s="1" t="str">
        <f t="shared" si="12"/>
        <v>EC</v>
      </c>
      <c r="AH15" s="100" t="str">
        <f t="shared" ref="AH15" si="17">refinertdcruntimes&amp;" --tripid "&amp;A15&amp;" --locoid "&amp;B15&amp;" --swversion "&amp;C15&amp;" --startMP "&amp;D15&amp;" --initTime "&amp;TEXT(E15,"yyyy-mm-ddTHH:MM:SS")&amp;" --startdatetime "&amp;TEXT(F15,"yyyy-mm-ddTHH:MM:SS")&amp;" --delay "&amp;G15&amp;" --endMP "&amp;H15&amp;" --enddatetime "&amp;TEXT(I15,"yyyy-mm-ddTHH:MM:SS")&amp;" --enforcementcount "&amp;J15&amp;IF(outputrefinedruntimes," &gt;&gt;"&amp;RefinedRTDCRunTimesOutputFile,"")</f>
        <v>"%USERPROFILE%\Documents\GitHub\eaglep3\Utilities\RefineRTDCRunTimes.py" --tripid 103-31 --locoid 4002 --swversion DE.1.0.7.0 --startMP 204:232652 --initTime 2016-08-31T04:09:09 --startdatetime 2016-08-31T04:11:35 --delay 1 --endMP 204:141 --enddatetime 2016-08-31T04:52:19 --enforcementcount 0 &gt;&gt;C:\Users\stu\Documents\GitHub\eaglep3-reporting\EC\2016-08-31-refined-times.txt</v>
      </c>
      <c r="AI15" s="149" t="str">
        <f t="shared" ref="AI15" si="18">"echo {""issue"":{""subject"":"""&amp;R15&amp;""",""project_id"":79,""tracker_id"":40,""status_id"":"&amp;redmine_status&amp;",""priority_id"":"&amp;redmine_priority&amp;",""assigned_to_id"":"&amp;redmine_assignee&amp;",""start_date"":"""&amp;TEXT(I15,"YYYY-mm-dd")&amp;""",""description"":"""&amp;AJ15&amp;""",""custom_fields"":[{""id"":1,""name"":""Subdivision"",""value"":"""&amp;AG15&amp;"""},{""id"":4,""name"":""Milepost"",""value"":"""&amp;AA15&amp;"""},{""id"":17,""name"":""Train ID"",""value"":"""&amp;A15&amp;"""},{""id"":16,""name"":""Locomotive ID"",""value"":"""&amp;B15&amp;"""},{""id"":130,""name"":""Impact"",""value"":"""&amp;AK15&amp;"""},{""id"":150,""name"":""Time of Event (Mountain Time)"",""value"":"""&amp;TEXT(I15,"hh:mm:ss")&amp;"""},{""id"":151,""name"":""Denver Issue ID"",""value"":"""&amp;"""},{""id"":178,""name"":""Operational Impact"",""value"":"""&amp;redmine_op_impact&amp;"""},{""id"":179,""name"":""Denver Segment Assigned"",""value"":"""&amp;AL15&amp;"""}]}}"&amp;" | curl -X POST -H ""Content-Type: application/json"" -H ""X-Redmine-API-Key: "&amp;redm_api_key&amp;""" "&amp;redm_url&amp;" --data @-"</f>
        <v>echo {"issue":{"subject":"Did not init","project_id":79,"tracker_id":40,"status_id":1,"priority_id":2,"assigned_to_id":23,"start_date":"2016-08-31","description":"","custom_fields":[{"id":1,"name":"Subdivision","value":"EC"},{"id":4,"name":"Milepost","value":"23.2511"},{"id":17,"name":"Train ID","value":"103-31"},{"id":16,"name":"Locomotive ID","value":"4002"},{"id":130,"name":"Impact","value":""},{"id":150,"name":"Time of Event (Mountain Time)","value":"04:52:19"},{"id":151,"name":"Denver Issue ID","value":""},{"id":178,"name":"Operational Impact","value":"Yes"},{"id":179,"name":"Denver Segment Assigned","value":""}]}} | curl -X POST -H "Content-Type: application/json" -H "X-Redmine-API-Key: d6333d4a04012a730768444271f8ca06482dae87" https://secure.xorail.net/redmine/issues.json --data @-</v>
      </c>
      <c r="AJ15" s="55"/>
      <c r="AK15" s="55"/>
      <c r="AL15" s="55"/>
    </row>
    <row r="16" spans="1:91" s="1" customFormat="1" x14ac:dyDescent="0.25">
      <c r="A16" s="39" t="s">
        <v>374</v>
      </c>
      <c r="B16" s="7">
        <v>4001</v>
      </c>
      <c r="C16" s="24" t="s">
        <v>113</v>
      </c>
      <c r="D16" s="24" t="s">
        <v>375</v>
      </c>
      <c r="E16" s="15">
        <v>42613.191620370373</v>
      </c>
      <c r="F16" s="15">
        <v>42613.195532407408</v>
      </c>
      <c r="G16" s="7">
        <v>3</v>
      </c>
      <c r="H16" s="15" t="s">
        <v>376</v>
      </c>
      <c r="I16" s="15">
        <v>42613.224768518521</v>
      </c>
      <c r="J16" s="7">
        <v>0</v>
      </c>
      <c r="K16" s="132" t="str">
        <f t="shared" si="0"/>
        <v>4001/4002</v>
      </c>
      <c r="L16" s="24" t="str">
        <f>VLOOKUP(A16,'Trips&amp;Operators'!$C$1:$E$10000,3,FALSE)</f>
        <v>ARVIDSON</v>
      </c>
      <c r="M16" s="6">
        <f t="shared" si="1"/>
        <v>2.923611111327773E-2</v>
      </c>
      <c r="N16" s="7">
        <f t="shared" ref="N16:N30" si="19">24*60*SUM($M16:$M16)</f>
        <v>42.100000003119931</v>
      </c>
      <c r="O16" s="7"/>
      <c r="P16" s="7"/>
      <c r="Q16" s="25"/>
      <c r="R16" s="25"/>
      <c r="S16" s="37">
        <f t="shared" si="2"/>
        <v>1</v>
      </c>
      <c r="T16" s="52" t="str">
        <f t="shared" si="3"/>
        <v>Southbound</v>
      </c>
      <c r="U16" s="126">
        <f>IF(AG16="EC",COUNTIFS(Variables!$M$2:$M$19,IF(T16="NorthBound","&gt;=","&lt;=")&amp;Y16,Variables!$M$2:$M$19,IF(T16="NorthBound","&lt;=","&gt;=")&amp;Z16),COUNTIFS(Variables!$P$2:$P$19,IF(T16="NorthBound","&gt;=","&lt;=")&amp;Y16,Variables!$P$2:$P$19,IF(T16="NorthBound","&lt;=","&gt;=")&amp;Z16))</f>
        <v>12</v>
      </c>
      <c r="V16" s="106" t="str">
        <f t="shared" si="4"/>
        <v>https://search-rtdc-monitor-bjffxe2xuh6vdkpspy63sjmuny.us-east-1.es.amazonaws.com/_plugin/kibana/#/discover/Steve-Slow-Train-Analysis-(2080s-and-2083s)?_g=(refreshInterval:(display:Off,section:0,value:0),time:(from:'2016-08-31 03:35:56-0600',mode:absolute,to:'2016-08-31 06:23:40-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4001%22')),sort:!(Time,asc))</v>
      </c>
      <c r="W16" s="54" t="str">
        <f t="shared" si="5"/>
        <v>N</v>
      </c>
      <c r="X16" s="120">
        <f t="shared" ref="X16:X18" si="20">VALUE(LEFT(AD16,4))-VALUE(LEFT(AD15,4))</f>
        <v>1</v>
      </c>
      <c r="Y16" s="69">
        <f t="shared" si="6"/>
        <v>23.2742</v>
      </c>
      <c r="Z16" s="69">
        <f t="shared" si="7"/>
        <v>8.6999999999999994E-3</v>
      </c>
      <c r="AA16" s="69">
        <f t="shared" si="8"/>
        <v>23.265499999999999</v>
      </c>
      <c r="AB16" s="66" t="e">
        <f>VLOOKUP(A16,Enforcements!$C$7:$J$21,8,0)</f>
        <v>#N/A</v>
      </c>
      <c r="AC16" s="62" t="e">
        <f>VLOOKUP(A16,Enforcements!$C$7:$E$21,3,0)</f>
        <v>#N/A</v>
      </c>
      <c r="AD16" s="63" t="str">
        <f t="shared" si="9"/>
        <v>0104-31</v>
      </c>
      <c r="AE16" s="99" t="str">
        <f t="shared" si="10"/>
        <v>aws s3 cp s3://rtdc.mdm.uploadarchive/RTDC4001/2016-08-31/ "%USERPROFILE%\AppData\Local\Temp\OnboardLogs"\RTDC4001\2016-08-31 --recursive &amp; "%USERPROFILE%\Documents\GitHub\mrs-test-scripts\Headless Mode &amp; Sideloading\WalkAndUnGZ.bat" "%USERPROFILE%\AppData\Local\Temp\OnboardLogs"\RTDC4001\2016-08-31 &amp; aws s3 cp s3://rtdc.mdm.uploadarchive/RTDC4001/2016-09-01/ "%USERPROFILE%\AppData\Local\Temp\OnboardLogs"\RTDC4001\2016-09-01 --recursive &amp; "%USERPROFILE%\Documents\GitHub\mrs-test-scripts\Headless Mode &amp; Sideloading\WalkAndUnGZ.bat" "%USERPROFILE%\AppData\Local\Temp\OnboardLogs"\RTDC4001\2016-09-01</v>
      </c>
      <c r="AF16" s="96" t="str">
        <f t="shared" si="11"/>
        <v>"C:\Program Files (x86)\AstroGrep\AstroGrep.exe" /spath="%USERPROFILE%\AppData\Local\Temp\OnboardLogs" /stypes="*4001*20160831*" /stext=" 11:.+((SYSTEM_STATE.+slice.+state.+changed )|(ment ac)|(system.+state.+changed )|(\|lc)|(penalty)|(\[timeout)|(PRM\|1\|D)|(kpr)|(kdp))" /e /r /s</v>
      </c>
      <c r="AG16" s="1" t="str">
        <f t="shared" si="12"/>
        <v>EC</v>
      </c>
      <c r="AH16" s="100" t="str">
        <f t="shared" si="15"/>
        <v>"%USERPROFILE%\Documents\GitHub\eaglep3\Utilities\RefineRTDCRunTimes.py" --tripid 104-31 --locoid 4001 --swversion DE.1.0.7.0 --startMP 204:232742 --initTime 2016-08-31T04:35:56 --startdatetime 2016-08-31T04:41:34 --delay 3 --endMP 204:87 --enddatetime 2016-08-31T05:23:40 --enforcementcount 0 &gt;&gt;C:\Users\stu\Documents\GitHub\eaglep3-reporting\EC\2016-08-31-refined-times.txt</v>
      </c>
      <c r="AI16" s="149" t="str">
        <f t="shared" si="16"/>
        <v>echo {"issue":{"subject":"","project_id":79,"tracker_id":40,"status_id":1,"priority_id":2,"assigned_to_id":23,"start_date":"2016-08-31","description":"","custom_fields":[{"id":1,"name":"Subdivision","value":"EC"},{"id":4,"name":"Milepost","value":"23.2655"},{"id":17,"name":"Train ID","value":"104-31"},{"id":16,"name":"Locomotive ID","value":"4001"},{"id":130,"name":"Impact","value":""},{"id":150,"name":"Time of Event (Mountain Time)","value":"05:23:40"},{"id":151,"name":"Denver Issue ID","value":""},{"id":178,"name":"Operational Impact","value":"Yes"},{"id":179,"name":"Denver Segment Assigned","value":""}]}} | curl -X POST -H "Content-Type: application/json" -H "X-Redmine-API-Key: d6333d4a04012a730768444271f8ca06482dae87" https://secure.xorail.net/redmine/issues.json --data @-</v>
      </c>
      <c r="AJ16" s="55"/>
      <c r="AK16" s="55"/>
      <c r="AL16" s="55"/>
    </row>
    <row r="17" spans="1:38" s="1" customFormat="1" x14ac:dyDescent="0.25">
      <c r="A17" s="39" t="s">
        <v>377</v>
      </c>
      <c r="B17" s="7">
        <v>4016</v>
      </c>
      <c r="C17" s="24" t="s">
        <v>113</v>
      </c>
      <c r="D17" s="24" t="s">
        <v>378</v>
      </c>
      <c r="E17" s="15">
        <v>42613.168136574073</v>
      </c>
      <c r="F17" s="15">
        <v>42613.17732638889</v>
      </c>
      <c r="G17" s="7">
        <v>1</v>
      </c>
      <c r="H17" s="15" t="s">
        <v>178</v>
      </c>
      <c r="I17" s="15">
        <v>42613.204293981478</v>
      </c>
      <c r="J17" s="7">
        <v>0</v>
      </c>
      <c r="K17" s="132" t="str">
        <f t="shared" si="0"/>
        <v>4015/4016</v>
      </c>
      <c r="L17" s="24" t="str">
        <f>VLOOKUP(A17,'Trips&amp;Operators'!$C$1:$E$10000,3,FALSE)</f>
        <v>STRICKLAND</v>
      </c>
      <c r="M17" s="6">
        <f t="shared" si="1"/>
        <v>2.696759258833481E-2</v>
      </c>
      <c r="N17" s="7">
        <f t="shared" si="19"/>
        <v>38.833333327202126</v>
      </c>
      <c r="O17" s="7"/>
      <c r="P17" s="7"/>
      <c r="Q17" s="25"/>
      <c r="R17" s="25"/>
      <c r="S17" s="37">
        <f t="shared" si="2"/>
        <v>1</v>
      </c>
      <c r="T17" s="52" t="str">
        <f t="shared" si="3"/>
        <v>NorthBound</v>
      </c>
      <c r="U17" s="126">
        <f>IF(AG17="EC",COUNTIFS(Variables!$M$2:$M$19,IF(T17="NorthBound","&gt;=","&lt;=")&amp;Y17,Variables!$M$2:$M$19,IF(T17="NorthBound","&lt;=","&gt;=")&amp;Z17),COUNTIFS(Variables!$P$2:$P$19,IF(T17="NorthBound","&gt;=","&lt;=")&amp;Y17,Variables!$P$2:$P$19,IF(T17="NorthBound","&lt;=","&gt;=")&amp;Z17))</f>
        <v>12</v>
      </c>
      <c r="V17" s="106" t="str">
        <f t="shared" si="4"/>
        <v>https://search-rtdc-monitor-bjffxe2xuh6vdkpspy63sjmuny.us-east-1.es.amazonaws.com/_plugin/kibana/#/discover/Steve-Slow-Train-Analysis-(2080s-and-2083s)?_g=(refreshInterval:(display:Off,section:0,value:0),time:(from:'2016-08-31 03:02:07-0600',mode:absolute,to:'2016-08-31 05:54:11-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4016%22')),sort:!(Time,asc))</v>
      </c>
      <c r="W17" s="54" t="str">
        <f t="shared" si="5"/>
        <v>N</v>
      </c>
      <c r="X17" s="120">
        <f t="shared" si="20"/>
        <v>1</v>
      </c>
      <c r="Y17" s="69">
        <f t="shared" si="6"/>
        <v>7.7200000000000005E-2</v>
      </c>
      <c r="Z17" s="69">
        <f t="shared" si="7"/>
        <v>23.3293</v>
      </c>
      <c r="AA17" s="69">
        <f t="shared" si="8"/>
        <v>23.252099999999999</v>
      </c>
      <c r="AB17" s="66" t="e">
        <f>VLOOKUP(A17,Enforcements!$C$7:$J$21,8,0)</f>
        <v>#N/A</v>
      </c>
      <c r="AC17" s="62" t="e">
        <f>VLOOKUP(A17,Enforcements!$C$7:$E$21,3,0)</f>
        <v>#N/A</v>
      </c>
      <c r="AD17" s="63" t="str">
        <f t="shared" si="9"/>
        <v>0105-31</v>
      </c>
      <c r="AE17" s="99" t="str">
        <f t="shared" si="10"/>
        <v>aws s3 cp s3://rtdc.mdm.uploadarchive/RTDC4016/2016-08-31/ "%USERPROFILE%\AppData\Local\Temp\OnboardLogs"\RTDC4016\2016-08-31 --recursive &amp; "%USERPROFILE%\Documents\GitHub\mrs-test-scripts\Headless Mode &amp; Sideloading\WalkAndUnGZ.bat" "%USERPROFILE%\AppData\Local\Temp\OnboardLogs"\RTDC4016\2016-08-31 &amp; aws s3 cp s3://rtdc.mdm.uploadarchive/RTDC4016/2016-09-01/ "%USERPROFILE%\AppData\Local\Temp\OnboardLogs"\RTDC4016\2016-09-01 --recursive &amp; "%USERPROFILE%\Documents\GitHub\mrs-test-scripts\Headless Mode &amp; Sideloading\WalkAndUnGZ.bat" "%USERPROFILE%\AppData\Local\Temp\OnboardLogs"\RTDC4016\2016-09-01</v>
      </c>
      <c r="AF17" s="96" t="str">
        <f t="shared" si="11"/>
        <v>"C:\Program Files (x86)\AstroGrep\AstroGrep.exe" /spath="%USERPROFILE%\AppData\Local\Temp\OnboardLogs" /stypes="*4016*20160831*" /stext=" 10:.+((SYSTEM_STATE.+slice.+state.+changed )|(ment ac)|(system.+state.+changed )|(\|lc)|(penalty)|(\[timeout)|(PRM\|1\|D)|(kpr)|(kdp))" /e /r /s</v>
      </c>
      <c r="AG17" s="1" t="str">
        <f t="shared" si="12"/>
        <v>EC</v>
      </c>
      <c r="AH17" s="100" t="str">
        <f t="shared" si="15"/>
        <v>"%USERPROFILE%\Documents\GitHub\eaglep3\Utilities\RefineRTDCRunTimes.py" --tripid 105-31 --locoid 4016 --swversion DE.1.0.7.0 --startMP 204:772 --initTime 2016-08-31T04:02:07 --startdatetime 2016-08-31T04:15:21 --delay 1 --endMP 204:233293 --enddatetime 2016-08-31T04:54:11 --enforcementcount 0 &gt;&gt;C:\Users\stu\Documents\GitHub\eaglep3-reporting\EC\2016-08-31-refined-times.txt</v>
      </c>
      <c r="AI17" s="149" t="str">
        <f t="shared" si="16"/>
        <v>echo {"issue":{"subject":"","project_id":79,"tracker_id":40,"status_id":1,"priority_id":2,"assigned_to_id":23,"start_date":"2016-08-31","description":"","custom_fields":[{"id":1,"name":"Subdivision","value":"EC"},{"id":4,"name":"Milepost","value":"23.2521"},{"id":17,"name":"Train ID","value":"105-31"},{"id":16,"name":"Locomotive ID","value":"4016"},{"id":130,"name":"Impact","value":""},{"id":150,"name":"Time of Event (Mountain Time)","value":"04:54:11"},{"id":151,"name":"Denver Issue ID","value":""},{"id":178,"name":"Operational Impact","value":"Yes"},{"id":179,"name":"Denver Segment Assigned","value":""}]}} | curl -X POST -H "Content-Type: application/json" -H "X-Redmine-API-Key: d6333d4a04012a730768444271f8ca06482dae87" https://secure.xorail.net/redmine/issues.json --data @-</v>
      </c>
      <c r="AJ17" s="55"/>
      <c r="AK17" s="55"/>
      <c r="AL17" s="55"/>
    </row>
    <row r="18" spans="1:38" s="1" customFormat="1" x14ac:dyDescent="0.25">
      <c r="A18" s="39" t="s">
        <v>379</v>
      </c>
      <c r="B18" s="7">
        <v>4028</v>
      </c>
      <c r="C18" s="24" t="s">
        <v>113</v>
      </c>
      <c r="D18" s="24" t="s">
        <v>380</v>
      </c>
      <c r="E18" s="15">
        <v>42613.211099537039</v>
      </c>
      <c r="F18" s="15">
        <v>42613.216770833336</v>
      </c>
      <c r="G18" s="7">
        <v>1</v>
      </c>
      <c r="H18" s="15" t="s">
        <v>149</v>
      </c>
      <c r="I18" s="15">
        <v>42613.245092592595</v>
      </c>
      <c r="J18" s="7">
        <v>0</v>
      </c>
      <c r="K18" s="132" t="str">
        <f t="shared" si="0"/>
        <v>4027/4028</v>
      </c>
      <c r="L18" s="24" t="str">
        <f>VLOOKUP(A18,'Trips&amp;Operators'!$C$1:$E$10000,3,FALSE)</f>
        <v>STRICKLAND</v>
      </c>
      <c r="M18" s="6">
        <f t="shared" si="1"/>
        <v>2.8321759258687962E-2</v>
      </c>
      <c r="N18" s="7">
        <f t="shared" si="19"/>
        <v>40.783333332510665</v>
      </c>
      <c r="O18" s="7"/>
      <c r="P18" s="7"/>
      <c r="Q18" s="25"/>
      <c r="R18" s="25"/>
      <c r="S18" s="37">
        <f t="shared" si="2"/>
        <v>1</v>
      </c>
      <c r="T18" s="52" t="str">
        <f t="shared" si="3"/>
        <v>Southbound</v>
      </c>
      <c r="U18" s="126">
        <f>IF(AG18="EC",COUNTIFS(Variables!$M$2:$M$19,IF(T18="NorthBound","&gt;=","&lt;=")&amp;Y18,Variables!$M$2:$M$19,IF(T18="NorthBound","&lt;=","&gt;=")&amp;Z18),COUNTIFS(Variables!$P$2:$P$19,IF(T18="NorthBound","&gt;=","&lt;=")&amp;Y18,Variables!$P$2:$P$19,IF(T18="NorthBound","&lt;=","&gt;=")&amp;Z18))</f>
        <v>12</v>
      </c>
      <c r="V18" s="106" t="str">
        <f t="shared" si="4"/>
        <v>https://search-rtdc-monitor-bjffxe2xuh6vdkpspy63sjmuny.us-east-1.es.amazonaws.com/_plugin/kibana/#/discover/Steve-Slow-Train-Analysis-(2080s-and-2083s)?_g=(refreshInterval:(display:Off,section:0,value:0),time:(from:'2016-08-31 04:03:59-0600',mode:absolute,to:'2016-08-31 06:52:56-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4028%22')),sort:!(Time,asc))</v>
      </c>
      <c r="W18" s="54" t="str">
        <f t="shared" si="5"/>
        <v>N</v>
      </c>
      <c r="X18" s="120">
        <f t="shared" si="20"/>
        <v>1</v>
      </c>
      <c r="Y18" s="69">
        <f t="shared" si="6"/>
        <v>23.265799999999999</v>
      </c>
      <c r="Z18" s="69">
        <f t="shared" si="7"/>
        <v>1.5599999999999999E-2</v>
      </c>
      <c r="AA18" s="69">
        <f t="shared" si="8"/>
        <v>23.2502</v>
      </c>
      <c r="AB18" s="66">
        <f>VLOOKUP(A18,Enforcements!$C$7:$J$21,8,0)</f>
        <v>183829</v>
      </c>
      <c r="AC18" s="62" t="str">
        <f>VLOOKUP(A18,Enforcements!$C$7:$E$21,3,0)</f>
        <v>PERMANENT SPEED RESTRICTION</v>
      </c>
      <c r="AD18" s="63" t="str">
        <f t="shared" si="9"/>
        <v>0106-31</v>
      </c>
      <c r="AE18" s="99" t="str">
        <f t="shared" si="10"/>
        <v>aws s3 cp s3://rtdc.mdm.uploadarchive/RTDC4028/2016-08-31/ "%USERPROFILE%\AppData\Local\Temp\OnboardLogs"\RTDC4028\2016-08-31 --recursive &amp; "%USERPROFILE%\Documents\GitHub\mrs-test-scripts\Headless Mode &amp; Sideloading\WalkAndUnGZ.bat" "%USERPROFILE%\AppData\Local\Temp\OnboardLogs"\RTDC4028\2016-08-31 &amp; aws s3 cp s3://rtdc.mdm.uploadarchive/RTDC4028/2016-09-01/ "%USERPROFILE%\AppData\Local\Temp\OnboardLogs"\RTDC4028\2016-09-01 --recursive &amp; "%USERPROFILE%\Documents\GitHub\mrs-test-scripts\Headless Mode &amp; Sideloading\WalkAndUnGZ.bat" "%USERPROFILE%\AppData\Local\Temp\OnboardLogs"\RTDC4028\2016-09-01</v>
      </c>
      <c r="AF18" s="96" t="str">
        <f t="shared" si="11"/>
        <v>"C:\Program Files (x86)\AstroGrep\AstroGrep.exe" /spath="%USERPROFILE%\AppData\Local\Temp\OnboardLogs" /stypes="*4028*20160831*" /stext=" 11:.+((SYSTEM_STATE.+slice.+state.+changed )|(ment ac)|(system.+state.+changed )|(\|lc)|(penalty)|(\[timeout)|(PRM\|1\|D)|(kpr)|(kdp))" /e /r /s</v>
      </c>
      <c r="AG18" s="1" t="str">
        <f t="shared" si="12"/>
        <v>EC</v>
      </c>
      <c r="AH18" s="100" t="str">
        <f t="shared" si="15"/>
        <v>"%USERPROFILE%\Documents\GitHub\eaglep3\Utilities\RefineRTDCRunTimes.py" --tripid 106-31 --locoid 4028 --swversion DE.1.0.7.0 --startMP 204:232658 --initTime 2016-08-31T05:03:59 --startdatetime 2016-08-31T05:12:09 --delay 1 --endMP 204:156 --enddatetime 2016-08-31T05:52:56 --enforcementcount 0 &gt;&gt;C:\Users\stu\Documents\GitHub\eaglep3-reporting\EC\2016-08-31-refined-times.txt</v>
      </c>
      <c r="AI18" s="149" t="str">
        <f t="shared" si="16"/>
        <v>echo {"issue":{"subject":"","project_id":79,"tracker_id":40,"status_id":1,"priority_id":2,"assigned_to_id":23,"start_date":"2016-08-31","description":"","custom_fields":[{"id":1,"name":"Subdivision","value":"EC"},{"id":4,"name":"Milepost","value":"23.2502"},{"id":17,"name":"Train ID","value":"106-31"},{"id":16,"name":"Locomotive ID","value":"4028"},{"id":130,"name":"Impact","value":""},{"id":150,"name":"Time of Event (Mountain Time)","value":"05:52:56"},{"id":151,"name":"Denver Issue ID","value":""},{"id":178,"name":"Operational Impact","value":"Yes"},{"id":179,"name":"Denver Segment Assigned","value":""}]}} | curl -X POST -H "Content-Type: application/json" -H "X-Redmine-API-Key: d6333d4a04012a730768444271f8ca06482dae87" https://secure.xorail.net/redmine/issues.json --data @-</v>
      </c>
      <c r="AJ18" s="55"/>
      <c r="AK18" s="55"/>
      <c r="AL18" s="55"/>
    </row>
    <row r="19" spans="1:38" s="1" customFormat="1" x14ac:dyDescent="0.25">
      <c r="A19" s="39" t="s">
        <v>381</v>
      </c>
      <c r="B19" s="7">
        <v>4014</v>
      </c>
      <c r="C19" s="24" t="s">
        <v>113</v>
      </c>
      <c r="D19" s="24" t="s">
        <v>135</v>
      </c>
      <c r="E19" s="15">
        <v>42613.180196759262</v>
      </c>
      <c r="F19" s="15">
        <v>42613.187696759262</v>
      </c>
      <c r="G19" s="7">
        <v>2</v>
      </c>
      <c r="H19" s="15" t="s">
        <v>326</v>
      </c>
      <c r="I19" s="15">
        <v>42613.212731481479</v>
      </c>
      <c r="J19" s="7">
        <v>0</v>
      </c>
      <c r="K19" s="132" t="str">
        <f t="shared" si="0"/>
        <v>4013/4014</v>
      </c>
      <c r="L19" s="24" t="str">
        <f>VLOOKUP(A19,'Trips&amp;Operators'!$C$1:$E$10000,3,FALSE)</f>
        <v>SPECTOR</v>
      </c>
      <c r="M19" s="6">
        <f t="shared" si="1"/>
        <v>2.5034722217242233E-2</v>
      </c>
      <c r="N19" s="7">
        <f t="shared" si="19"/>
        <v>36.049999992828816</v>
      </c>
      <c r="O19" s="7"/>
      <c r="P19" s="7"/>
      <c r="Q19" s="25"/>
      <c r="R19" s="25"/>
      <c r="S19" s="37">
        <f t="shared" si="2"/>
        <v>1</v>
      </c>
      <c r="T19" s="52" t="str">
        <f t="shared" si="3"/>
        <v>NorthBound</v>
      </c>
      <c r="U19" s="126">
        <f>IF(AG19="EC",COUNTIFS(Variables!$M$2:$M$19,IF(T19="NorthBound","&gt;=","&lt;=")&amp;Y19,Variables!$M$2:$M$19,IF(T19="NorthBound","&lt;=","&gt;=")&amp;Z19),COUNTIFS(Variables!$P$2:$P$19,IF(T19="NorthBound","&gt;=","&lt;=")&amp;Y19,Variables!$P$2:$P$19,IF(T19="NorthBound","&lt;=","&gt;=")&amp;Z19))</f>
        <v>12</v>
      </c>
      <c r="V19" s="106" t="str">
        <f t="shared" si="4"/>
        <v>https://search-rtdc-monitor-bjffxe2xuh6vdkpspy63sjmuny.us-east-1.es.amazonaws.com/_plugin/kibana/#/discover/Steve-Slow-Train-Analysis-(2080s-and-2083s)?_g=(refreshInterval:(display:Off,section:0,value:0),time:(from:'2016-08-31 03:19:29-0600',mode:absolute,to:'2016-08-31 06:06:20-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4014%22')),sort:!(Time,asc))</v>
      </c>
      <c r="W19" s="54" t="str">
        <f t="shared" si="5"/>
        <v>N</v>
      </c>
      <c r="X19" s="120">
        <f t="shared" ref="X19:X50" si="21">VALUE(LEFT(AD19,4))-VALUE(LEFT(AD18,4))</f>
        <v>1</v>
      </c>
      <c r="Y19" s="69">
        <f t="shared" si="6"/>
        <v>4.4900000000000002E-2</v>
      </c>
      <c r="Z19" s="69">
        <f t="shared" si="7"/>
        <v>23.333100000000002</v>
      </c>
      <c r="AA19" s="69">
        <f t="shared" si="8"/>
        <v>23.288200000000003</v>
      </c>
      <c r="AB19" s="66" t="e">
        <f>VLOOKUP(A19,Enforcements!$C$7:$J$21,8,0)</f>
        <v>#N/A</v>
      </c>
      <c r="AC19" s="62" t="e">
        <f>VLOOKUP(A19,Enforcements!$C$7:$E$21,3,0)</f>
        <v>#N/A</v>
      </c>
      <c r="AD19" s="63" t="str">
        <f t="shared" si="9"/>
        <v>0107-31</v>
      </c>
      <c r="AE19" s="99" t="str">
        <f t="shared" si="10"/>
        <v>aws s3 cp s3://rtdc.mdm.uploadarchive/RTDC4014/2016-08-31/ "%USERPROFILE%\AppData\Local\Temp\OnboardLogs"\RTDC4014\2016-08-31 --recursive &amp; "%USERPROFILE%\Documents\GitHub\mrs-test-scripts\Headless Mode &amp; Sideloading\WalkAndUnGZ.bat" "%USERPROFILE%\AppData\Local\Temp\OnboardLogs"\RTDC4014\2016-08-31 &amp; aws s3 cp s3://rtdc.mdm.uploadarchive/RTDC4014/2016-09-01/ "%USERPROFILE%\AppData\Local\Temp\OnboardLogs"\RTDC4014\2016-09-01 --recursive &amp; "%USERPROFILE%\Documents\GitHub\mrs-test-scripts\Headless Mode &amp; Sideloading\WalkAndUnGZ.bat" "%USERPROFILE%\AppData\Local\Temp\OnboardLogs"\RTDC4014\2016-09-01</v>
      </c>
      <c r="AF19" s="96" t="str">
        <f t="shared" si="11"/>
        <v>"C:\Program Files (x86)\AstroGrep\AstroGrep.exe" /spath="%USERPROFILE%\AppData\Local\Temp\OnboardLogs" /stypes="*4014*20160831*" /stext=" 11:.+((SYSTEM_STATE.+slice.+state.+changed )|(ment ac)|(system.+state.+changed )|(\|lc)|(penalty)|(\[timeout)|(PRM\|1\|D)|(kpr)|(kdp))" /e /r /s</v>
      </c>
      <c r="AG19" s="1" t="str">
        <f t="shared" si="12"/>
        <v>EC</v>
      </c>
      <c r="AH19" s="100" t="str">
        <f t="shared" si="15"/>
        <v>"%USERPROFILE%\Documents\GitHub\eaglep3\Utilities\RefineRTDCRunTimes.py" --tripid 107-31 --locoid 4014 --swversion DE.1.0.7.0 --startMP 204:449 --initTime 2016-08-31T04:19:29 --startdatetime 2016-08-31T04:30:17 --delay 2 --endMP 204:233331 --enddatetime 2016-08-31T05:06:20 --enforcementcount 0 &gt;&gt;C:\Users\stu\Documents\GitHub\eaglep3-reporting\EC\2016-08-31-refined-times.txt</v>
      </c>
      <c r="AI19" s="149" t="str">
        <f t="shared" si="16"/>
        <v>echo {"issue":{"subject":"","project_id":79,"tracker_id":40,"status_id":1,"priority_id":2,"assigned_to_id":23,"start_date":"2016-08-31","description":"","custom_fields":[{"id":1,"name":"Subdivision","value":"EC"},{"id":4,"name":"Milepost","value":"23.2882"},{"id":17,"name":"Train ID","value":"107-31"},{"id":16,"name":"Locomotive ID","value":"4014"},{"id":130,"name":"Impact","value":""},{"id":150,"name":"Time of Event (Mountain Time)","value":"05:06:20"},{"id":151,"name":"Denver Issue ID","value":""},{"id":178,"name":"Operational Impact","value":"Yes"},{"id":179,"name":"Denver Segment Assigned","value":""}]}} | curl -X POST -H "Content-Type: application/json" -H "X-Redmine-API-Key: d6333d4a04012a730768444271f8ca06482dae87" https://secure.xorail.net/redmine/issues.json --data @-</v>
      </c>
      <c r="AJ19" s="55"/>
      <c r="AK19" s="55"/>
      <c r="AL19" s="55"/>
    </row>
    <row r="20" spans="1:38" s="1" customFormat="1" x14ac:dyDescent="0.25">
      <c r="A20" s="39" t="s">
        <v>382</v>
      </c>
      <c r="B20" s="7">
        <v>4013</v>
      </c>
      <c r="C20" s="24" t="s">
        <v>113</v>
      </c>
      <c r="D20" s="24" t="s">
        <v>269</v>
      </c>
      <c r="E20" s="15">
        <v>42613.219560185185</v>
      </c>
      <c r="F20" s="15">
        <v>42613.2265625</v>
      </c>
      <c r="G20" s="7">
        <v>1</v>
      </c>
      <c r="H20" s="15" t="s">
        <v>167</v>
      </c>
      <c r="I20" s="15">
        <v>42613.25408564815</v>
      </c>
      <c r="J20" s="7">
        <v>0</v>
      </c>
      <c r="K20" s="132" t="str">
        <f t="shared" si="0"/>
        <v>4013/4014</v>
      </c>
      <c r="L20" s="24" t="str">
        <f>VLOOKUP(A20,'Trips&amp;Operators'!$C$1:$E$10000,3,FALSE)</f>
        <v>SPECTOR</v>
      </c>
      <c r="M20" s="6">
        <f t="shared" si="1"/>
        <v>2.7523148150066845E-2</v>
      </c>
      <c r="N20" s="7">
        <f t="shared" si="19"/>
        <v>39.633333336096257</v>
      </c>
      <c r="O20" s="7"/>
      <c r="P20" s="7"/>
      <c r="Q20" s="25"/>
      <c r="R20" s="25"/>
      <c r="S20" s="37">
        <f t="shared" si="2"/>
        <v>1</v>
      </c>
      <c r="T20" s="52" t="str">
        <f t="shared" si="3"/>
        <v>Southbound</v>
      </c>
      <c r="U20" s="126">
        <f>IF(AG20="EC",COUNTIFS(Variables!$M$2:$M$19,IF(T20="NorthBound","&gt;=","&lt;=")&amp;Y20,Variables!$M$2:$M$19,IF(T20="NorthBound","&lt;=","&gt;=")&amp;Z20),COUNTIFS(Variables!$P$2:$P$19,IF(T20="NorthBound","&gt;=","&lt;=")&amp;Y20,Variables!$P$2:$P$19,IF(T20="NorthBound","&lt;=","&gt;=")&amp;Z20))</f>
        <v>12</v>
      </c>
      <c r="V20" s="106" t="str">
        <f t="shared" si="4"/>
        <v>https://search-rtdc-monitor-bjffxe2xuh6vdkpspy63sjmuny.us-east-1.es.amazonaws.com/_plugin/kibana/#/discover/Steve-Slow-Train-Analysis-(2080s-and-2083s)?_g=(refreshInterval:(display:Off,section:0,value:0),time:(from:'2016-08-31 04:16:10-0600',mode:absolute,to:'2016-08-31 07:05:53-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4013%22')),sort:!(Time,asc))</v>
      </c>
      <c r="W20" s="54" t="str">
        <f t="shared" si="5"/>
        <v>N</v>
      </c>
      <c r="X20" s="120">
        <f t="shared" si="21"/>
        <v>1</v>
      </c>
      <c r="Y20" s="69">
        <f t="shared" si="6"/>
        <v>23.300799999999999</v>
      </c>
      <c r="Z20" s="69">
        <f t="shared" si="7"/>
        <v>1.52E-2</v>
      </c>
      <c r="AA20" s="69">
        <f t="shared" si="8"/>
        <v>23.285599999999999</v>
      </c>
      <c r="AB20" s="66">
        <f>VLOOKUP(A20,Enforcements!$C$7:$J$21,8,0)</f>
        <v>27350</v>
      </c>
      <c r="AC20" s="62" t="str">
        <f>VLOOKUP(A20,Enforcements!$C$7:$E$21,3,0)</f>
        <v>GRADE CROSSING</v>
      </c>
      <c r="AD20" s="63" t="str">
        <f t="shared" si="9"/>
        <v>0108-31</v>
      </c>
      <c r="AE20" s="99" t="str">
        <f t="shared" si="10"/>
        <v>aws s3 cp s3://rtdc.mdm.uploadarchive/RTDC4013/2016-08-31/ "%USERPROFILE%\AppData\Local\Temp\OnboardLogs"\RTDC4013\2016-08-31 --recursive &amp; "%USERPROFILE%\Documents\GitHub\mrs-test-scripts\Headless Mode &amp; Sideloading\WalkAndUnGZ.bat" "%USERPROFILE%\AppData\Local\Temp\OnboardLogs"\RTDC4013\2016-08-31 &amp; aws s3 cp s3://rtdc.mdm.uploadarchive/RTDC4013/2016-09-01/ "%USERPROFILE%\AppData\Local\Temp\OnboardLogs"\RTDC4013\2016-09-01 --recursive &amp; "%USERPROFILE%\Documents\GitHub\mrs-test-scripts\Headless Mode &amp; Sideloading\WalkAndUnGZ.bat" "%USERPROFILE%\AppData\Local\Temp\OnboardLogs"\RTDC4013\2016-09-01</v>
      </c>
      <c r="AF20" s="96" t="str">
        <f t="shared" si="11"/>
        <v>"C:\Program Files (x86)\AstroGrep\AstroGrep.exe" /spath="%USERPROFILE%\AppData\Local\Temp\OnboardLogs" /stypes="*4013*20160831*" /stext=" 12:.+((SYSTEM_STATE.+slice.+state.+changed )|(ment ac)|(system.+state.+changed )|(\|lc)|(penalty)|(\[timeout)|(PRM\|1\|D)|(kpr)|(kdp))" /e /r /s</v>
      </c>
      <c r="AG20" s="1" t="str">
        <f t="shared" si="12"/>
        <v>EC</v>
      </c>
      <c r="AH20" s="100" t="str">
        <f t="shared" si="15"/>
        <v>"%USERPROFILE%\Documents\GitHub\eaglep3\Utilities\RefineRTDCRunTimes.py" --tripid 108-31 --locoid 4013 --swversion DE.1.0.7.0 --startMP 204:233008 --initTime 2016-08-31T05:16:10 --startdatetime 2016-08-31T05:26:15 --delay 1 --endMP 204:152 --enddatetime 2016-08-31T06:05:53 --enforcementcount 0 &gt;&gt;C:\Users\stu\Documents\GitHub\eaglep3-reporting\EC\2016-08-31-refined-times.txt</v>
      </c>
      <c r="AI20" s="149" t="str">
        <f t="shared" si="16"/>
        <v>echo {"issue":{"subject":"","project_id":79,"tracker_id":40,"status_id":1,"priority_id":2,"assigned_to_id":23,"start_date":"2016-08-31","description":"","custom_fields":[{"id":1,"name":"Subdivision","value":"EC"},{"id":4,"name":"Milepost","value":"23.2856"},{"id":17,"name":"Train ID","value":"108-31"},{"id":16,"name":"Locomotive ID","value":"4013"},{"id":130,"name":"Impact","value":""},{"id":150,"name":"Time of Event (Mountain Time)","value":"06:05:53"},{"id":151,"name":"Denver Issue ID","value":""},{"id":178,"name":"Operational Impact","value":"Yes"},{"id":179,"name":"Denver Segment Assigned","value":""}]}} | curl -X POST -H "Content-Type: application/json" -H "X-Redmine-API-Key: d6333d4a04012a730768444271f8ca06482dae87" https://secure.xorail.net/redmine/issues.json --data @-</v>
      </c>
      <c r="AJ20" s="55"/>
      <c r="AK20" s="55"/>
      <c r="AL20" s="55"/>
    </row>
    <row r="21" spans="1:38" s="1" customFormat="1" x14ac:dyDescent="0.25">
      <c r="A21" s="39" t="s">
        <v>383</v>
      </c>
      <c r="B21" s="7">
        <v>4011</v>
      </c>
      <c r="C21" s="24" t="s">
        <v>113</v>
      </c>
      <c r="D21" s="24" t="s">
        <v>175</v>
      </c>
      <c r="E21" s="15">
        <v>42613.192662037036</v>
      </c>
      <c r="F21" s="15">
        <v>42613.198113425926</v>
      </c>
      <c r="G21" s="7">
        <v>1</v>
      </c>
      <c r="H21" s="15" t="s">
        <v>151</v>
      </c>
      <c r="I21" s="15">
        <v>42613.22314814815</v>
      </c>
      <c r="J21" s="7">
        <v>0</v>
      </c>
      <c r="K21" s="132" t="str">
        <f t="shared" si="0"/>
        <v>4011/4012</v>
      </c>
      <c r="L21" s="24" t="str">
        <f>VLOOKUP(A21,'Trips&amp;Operators'!$C$1:$E$10000,3,FALSE)</f>
        <v>KILLION</v>
      </c>
      <c r="M21" s="6">
        <f t="shared" si="1"/>
        <v>2.5034722224518191E-2</v>
      </c>
      <c r="N21" s="7">
        <f t="shared" si="19"/>
        <v>36.050000003306195</v>
      </c>
      <c r="O21" s="7"/>
      <c r="P21" s="7"/>
      <c r="Q21" s="25"/>
      <c r="R21" s="25"/>
      <c r="S21" s="37">
        <f t="shared" si="2"/>
        <v>1</v>
      </c>
      <c r="T21" s="52" t="str">
        <f t="shared" si="3"/>
        <v>NorthBound</v>
      </c>
      <c r="U21" s="126">
        <f>IF(AG21="EC",COUNTIFS(Variables!$M$2:$M$19,IF(T21="NorthBound","&gt;=","&lt;=")&amp;Y21,Variables!$M$2:$M$19,IF(T21="NorthBound","&lt;=","&gt;=")&amp;Z21),COUNTIFS(Variables!$P$2:$P$19,IF(T21="NorthBound","&gt;=","&lt;=")&amp;Y21,Variables!$P$2:$P$19,IF(T21="NorthBound","&lt;=","&gt;=")&amp;Z21))</f>
        <v>12</v>
      </c>
      <c r="V21" s="106" t="str">
        <f t="shared" si="4"/>
        <v>https://search-rtdc-monitor-bjffxe2xuh6vdkpspy63sjmuny.us-east-1.es.amazonaws.com/_plugin/kibana/#/discover/Steve-Slow-Train-Analysis-(2080s-and-2083s)?_g=(refreshInterval:(display:Off,section:0,value:0),time:(from:'2016-08-31 03:37:26-0600',mode:absolute,to:'2016-08-31 06:21:20-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4011%22')),sort:!(Time,asc))</v>
      </c>
      <c r="W21" s="54" t="str">
        <f t="shared" si="5"/>
        <v>N</v>
      </c>
      <c r="X21" s="120">
        <f t="shared" si="21"/>
        <v>1</v>
      </c>
      <c r="Y21" s="69">
        <f t="shared" si="6"/>
        <v>4.4699999999999997E-2</v>
      </c>
      <c r="Z21" s="69">
        <f t="shared" si="7"/>
        <v>23.3291</v>
      </c>
      <c r="AA21" s="69">
        <f t="shared" si="8"/>
        <v>23.284400000000002</v>
      </c>
      <c r="AB21" s="66" t="e">
        <f>VLOOKUP(A21,Enforcements!$C$7:$J$21,8,0)</f>
        <v>#N/A</v>
      </c>
      <c r="AC21" s="62" t="e">
        <f>VLOOKUP(A21,Enforcements!$C$7:$E$21,3,0)</f>
        <v>#N/A</v>
      </c>
      <c r="AD21" s="63" t="str">
        <f t="shared" si="9"/>
        <v>0109-31</v>
      </c>
      <c r="AE21" s="99" t="str">
        <f t="shared" si="10"/>
        <v>aws s3 cp s3://rtdc.mdm.uploadarchive/RTDC4011/2016-08-31/ "%USERPROFILE%\AppData\Local\Temp\OnboardLogs"\RTDC4011\2016-08-31 --recursive &amp; "%USERPROFILE%\Documents\GitHub\mrs-test-scripts\Headless Mode &amp; Sideloading\WalkAndUnGZ.bat" "%USERPROFILE%\AppData\Local\Temp\OnboardLogs"\RTDC4011\2016-08-31 &amp; aws s3 cp s3://rtdc.mdm.uploadarchive/RTDC4011/2016-09-01/ "%USERPROFILE%\AppData\Local\Temp\OnboardLogs"\RTDC4011\2016-09-01 --recursive &amp; "%USERPROFILE%\Documents\GitHub\mrs-test-scripts\Headless Mode &amp; Sideloading\WalkAndUnGZ.bat" "%USERPROFILE%\AppData\Local\Temp\OnboardLogs"\RTDC4011\2016-09-01</v>
      </c>
      <c r="AF21" s="96" t="str">
        <f t="shared" si="11"/>
        <v>"C:\Program Files (x86)\AstroGrep\AstroGrep.exe" /spath="%USERPROFILE%\AppData\Local\Temp\OnboardLogs" /stypes="*4011*20160831*" /stext=" 11:.+((SYSTEM_STATE.+slice.+state.+changed )|(ment ac)|(system.+state.+changed )|(\|lc)|(penalty)|(\[timeout)|(PRM\|1\|D)|(kpr)|(kdp))" /e /r /s</v>
      </c>
      <c r="AG21" s="1" t="str">
        <f t="shared" si="12"/>
        <v>EC</v>
      </c>
      <c r="AH21" s="100" t="str">
        <f t="shared" si="15"/>
        <v>"%USERPROFILE%\Documents\GitHub\eaglep3\Utilities\RefineRTDCRunTimes.py" --tripid 109-31 --locoid 4011 --swversion DE.1.0.7.0 --startMP 204:447 --initTime 2016-08-31T04:37:26 --startdatetime 2016-08-31T04:45:17 --delay 1 --endMP 204:233291 --enddatetime 2016-08-31T05:21:20 --enforcementcount 0 &gt;&gt;C:\Users\stu\Documents\GitHub\eaglep3-reporting\EC\2016-08-31-refined-times.txt</v>
      </c>
      <c r="AI21" s="149" t="str">
        <f t="shared" si="16"/>
        <v>echo {"issue":{"subject":"","project_id":79,"tracker_id":40,"status_id":1,"priority_id":2,"assigned_to_id":23,"start_date":"2016-08-31","description":"","custom_fields":[{"id":1,"name":"Subdivision","value":"EC"},{"id":4,"name":"Milepost","value":"23.2844"},{"id":17,"name":"Train ID","value":"109-31"},{"id":16,"name":"Locomotive ID","value":"4011"},{"id":130,"name":"Impact","value":""},{"id":150,"name":"Time of Event (Mountain Time)","value":"05:21:20"},{"id":151,"name":"Denver Issue ID","value":""},{"id":178,"name":"Operational Impact","value":"Yes"},{"id":179,"name":"Denver Segment Assigned","value":""}]}} | curl -X POST -H "Content-Type: application/json" -H "X-Redmine-API-Key: d6333d4a04012a730768444271f8ca06482dae87" https://secure.xorail.net/redmine/issues.json --data @-</v>
      </c>
      <c r="AJ21" s="55"/>
      <c r="AK21" s="55"/>
      <c r="AL21" s="55"/>
    </row>
    <row r="22" spans="1:38" s="1" customFormat="1" x14ac:dyDescent="0.25">
      <c r="A22" s="39" t="s">
        <v>384</v>
      </c>
      <c r="B22" s="7">
        <v>4012</v>
      </c>
      <c r="C22" s="24" t="s">
        <v>113</v>
      </c>
      <c r="D22" s="24" t="s">
        <v>244</v>
      </c>
      <c r="E22" s="15">
        <v>42613.230405092596</v>
      </c>
      <c r="F22" s="15">
        <v>42613.236979166664</v>
      </c>
      <c r="G22" s="7">
        <v>1</v>
      </c>
      <c r="H22" s="15" t="s">
        <v>385</v>
      </c>
      <c r="I22" s="15">
        <v>42613.263611111113</v>
      </c>
      <c r="J22" s="7">
        <v>0</v>
      </c>
      <c r="K22" s="132" t="str">
        <f t="shared" si="0"/>
        <v>4011/4012</v>
      </c>
      <c r="L22" s="24" t="str">
        <f>VLOOKUP(A22,'Trips&amp;Operators'!$C$1:$E$10000,3,FALSE)</f>
        <v>KILLION</v>
      </c>
      <c r="M22" s="6">
        <f t="shared" si="1"/>
        <v>2.6631944449036382E-2</v>
      </c>
      <c r="N22" s="7">
        <f t="shared" si="19"/>
        <v>38.35000000661239</v>
      </c>
      <c r="O22" s="7"/>
      <c r="P22" s="7"/>
      <c r="Q22" s="25"/>
      <c r="R22" s="25"/>
      <c r="S22" s="37">
        <f t="shared" si="2"/>
        <v>1</v>
      </c>
      <c r="T22" s="52" t="str">
        <f t="shared" si="3"/>
        <v>Southbound</v>
      </c>
      <c r="U22" s="126">
        <f>IF(AG22="EC",COUNTIFS(Variables!$M$2:$M$19,IF(T22="NorthBound","&gt;=","&lt;=")&amp;Y22,Variables!$M$2:$M$19,IF(T22="NorthBound","&lt;=","&gt;=")&amp;Z22),COUNTIFS(Variables!$P$2:$P$19,IF(T22="NorthBound","&gt;=","&lt;=")&amp;Y22,Variables!$P$2:$P$19,IF(T22="NorthBound","&lt;=","&gt;=")&amp;Z22))</f>
        <v>12</v>
      </c>
      <c r="V22" s="106" t="str">
        <f t="shared" si="4"/>
        <v>https://search-rtdc-monitor-bjffxe2xuh6vdkpspy63sjmuny.us-east-1.es.amazonaws.com/_plugin/kibana/#/discover/Steve-Slow-Train-Analysis-(2080s-and-2083s)?_g=(refreshInterval:(display:Off,section:0,value:0),time:(from:'2016-08-31 04:31:47-0600',mode:absolute,to:'2016-08-31 07:19:36-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4012%22')),sort:!(Time,asc))</v>
      </c>
      <c r="W22" s="54" t="str">
        <f t="shared" si="5"/>
        <v>N</v>
      </c>
      <c r="X22" s="120">
        <f t="shared" si="21"/>
        <v>1</v>
      </c>
      <c r="Y22" s="69">
        <f t="shared" si="6"/>
        <v>23.2971</v>
      </c>
      <c r="Z22" s="69">
        <f t="shared" si="7"/>
        <v>1.4999999999999999E-2</v>
      </c>
      <c r="AA22" s="69">
        <f t="shared" si="8"/>
        <v>23.2821</v>
      </c>
      <c r="AB22" s="66" t="e">
        <f>VLOOKUP(A22,Enforcements!$C$7:$J$21,8,0)</f>
        <v>#N/A</v>
      </c>
      <c r="AC22" s="62" t="e">
        <f>VLOOKUP(A22,Enforcements!$C$7:$E$21,3,0)</f>
        <v>#N/A</v>
      </c>
      <c r="AD22" s="63" t="str">
        <f t="shared" si="9"/>
        <v>0110-31</v>
      </c>
      <c r="AE22" s="99" t="str">
        <f t="shared" si="10"/>
        <v>aws s3 cp s3://rtdc.mdm.uploadarchive/RTDC4012/2016-08-31/ "%USERPROFILE%\AppData\Local\Temp\OnboardLogs"\RTDC4012\2016-08-31 --recursive &amp; "%USERPROFILE%\Documents\GitHub\mrs-test-scripts\Headless Mode &amp; Sideloading\WalkAndUnGZ.bat" "%USERPROFILE%\AppData\Local\Temp\OnboardLogs"\RTDC4012\2016-08-31 &amp; aws s3 cp s3://rtdc.mdm.uploadarchive/RTDC4012/2016-09-01/ "%USERPROFILE%\AppData\Local\Temp\OnboardLogs"\RTDC4012\2016-09-01 --recursive &amp; "%USERPROFILE%\Documents\GitHub\mrs-test-scripts\Headless Mode &amp; Sideloading\WalkAndUnGZ.bat" "%USERPROFILE%\AppData\Local\Temp\OnboardLogs"\RTDC4012\2016-09-01</v>
      </c>
      <c r="AF22" s="96" t="str">
        <f t="shared" si="11"/>
        <v>"C:\Program Files (x86)\AstroGrep\AstroGrep.exe" /spath="%USERPROFILE%\AppData\Local\Temp\OnboardLogs" /stypes="*4012*20160831*" /stext=" 12:.+((SYSTEM_STATE.+slice.+state.+changed )|(ment ac)|(system.+state.+changed )|(\|lc)|(penalty)|(\[timeout)|(PRM\|1\|D)|(kpr)|(kdp))" /e /r /s</v>
      </c>
      <c r="AG22" s="1" t="str">
        <f t="shared" si="12"/>
        <v>EC</v>
      </c>
      <c r="AH22" s="100" t="str">
        <f t="shared" si="15"/>
        <v>"%USERPROFILE%\Documents\GitHub\eaglep3\Utilities\RefineRTDCRunTimes.py" --tripid 110-31 --locoid 4012 --swversion DE.1.0.7.0 --startMP 204:232971 --initTime 2016-08-31T05:31:47 --startdatetime 2016-08-31T05:41:15 --delay 1 --endMP 204:150 --enddatetime 2016-08-31T06:19:36 --enforcementcount 0 &gt;&gt;C:\Users\stu\Documents\GitHub\eaglep3-reporting\EC\2016-08-31-refined-times.txt</v>
      </c>
      <c r="AI22" s="149" t="str">
        <f t="shared" si="16"/>
        <v>echo {"issue":{"subject":"","project_id":79,"tracker_id":40,"status_id":1,"priority_id":2,"assigned_to_id":23,"start_date":"2016-08-31","description":"","custom_fields":[{"id":1,"name":"Subdivision","value":"EC"},{"id":4,"name":"Milepost","value":"23.2821"},{"id":17,"name":"Train ID","value":"110-31"},{"id":16,"name":"Locomotive ID","value":"4012"},{"id":130,"name":"Impact","value":""},{"id":150,"name":"Time of Event (Mountain Time)","value":"06:19:36"},{"id":151,"name":"Denver Issue ID","value":""},{"id":178,"name":"Operational Impact","value":"Yes"},{"id":179,"name":"Denver Segment Assigned","value":""}]}} | curl -X POST -H "Content-Type: application/json" -H "X-Redmine-API-Key: d6333d4a04012a730768444271f8ca06482dae87" https://secure.xorail.net/redmine/issues.json --data @-</v>
      </c>
      <c r="AJ22" s="55"/>
      <c r="AK22" s="55"/>
      <c r="AL22" s="55"/>
    </row>
    <row r="23" spans="1:38" s="1" customFormat="1" x14ac:dyDescent="0.25">
      <c r="A23" s="39" t="s">
        <v>386</v>
      </c>
      <c r="B23" s="7">
        <v>4042</v>
      </c>
      <c r="C23" s="24" t="s">
        <v>113</v>
      </c>
      <c r="D23" s="24" t="s">
        <v>387</v>
      </c>
      <c r="E23" s="15">
        <v>42613.207430555558</v>
      </c>
      <c r="F23" s="15">
        <v>42613.209398148145</v>
      </c>
      <c r="G23" s="7">
        <v>1</v>
      </c>
      <c r="H23" s="15" t="s">
        <v>326</v>
      </c>
      <c r="I23" s="15">
        <v>42613.233981481484</v>
      </c>
      <c r="J23" s="7">
        <v>0</v>
      </c>
      <c r="K23" s="132" t="str">
        <f t="shared" si="0"/>
        <v>4041/4042</v>
      </c>
      <c r="L23" s="24" t="str">
        <f>VLOOKUP(A23,'Trips&amp;Operators'!$C$1:$E$10000,3,FALSE)</f>
        <v>ROCHA</v>
      </c>
      <c r="M23" s="6">
        <f t="shared" si="1"/>
        <v>2.4583333339251112E-2</v>
      </c>
      <c r="N23" s="7">
        <f t="shared" si="19"/>
        <v>35.400000008521602</v>
      </c>
      <c r="O23" s="7"/>
      <c r="P23" s="7"/>
      <c r="Q23" s="25"/>
      <c r="R23" s="25"/>
      <c r="S23" s="37">
        <f t="shared" si="2"/>
        <v>1</v>
      </c>
      <c r="T23" s="52" t="str">
        <f t="shared" si="3"/>
        <v>NorthBound</v>
      </c>
      <c r="U23" s="126">
        <f>IF(AG23="EC",COUNTIFS(Variables!$M$2:$M$19,IF(T23="NorthBound","&gt;=","&lt;=")&amp;Y23,Variables!$M$2:$M$19,IF(T23="NorthBound","&lt;=","&gt;=")&amp;Z23),COUNTIFS(Variables!$P$2:$P$19,IF(T23="NorthBound","&gt;=","&lt;=")&amp;Y23,Variables!$P$2:$P$19,IF(T23="NorthBound","&lt;=","&gt;=")&amp;Z23))</f>
        <v>12</v>
      </c>
      <c r="V23" s="106" t="str">
        <f t="shared" si="4"/>
        <v>https://search-rtdc-monitor-bjffxe2xuh6vdkpspy63sjmuny.us-east-1.es.amazonaws.com/_plugin/kibana/#/discover/Steve-Slow-Train-Analysis-(2080s-and-2083s)?_g=(refreshInterval:(display:Off,section:0,value:0),time:(from:'2016-08-31 03:58:42-0600',mode:absolute,to:'2016-08-31 06:36:56-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4042%22')),sort:!(Time,asc))</v>
      </c>
      <c r="W23" s="54" t="str">
        <f t="shared" si="5"/>
        <v>N</v>
      </c>
      <c r="X23" s="120">
        <f t="shared" si="21"/>
        <v>1</v>
      </c>
      <c r="Y23" s="69">
        <f t="shared" si="6"/>
        <v>7.46E-2</v>
      </c>
      <c r="Z23" s="69">
        <f t="shared" si="7"/>
        <v>23.333100000000002</v>
      </c>
      <c r="AA23" s="69">
        <f t="shared" si="8"/>
        <v>23.258500000000002</v>
      </c>
      <c r="AB23" s="66" t="e">
        <f>VLOOKUP(A23,Enforcements!$C$7:$J$21,8,0)</f>
        <v>#N/A</v>
      </c>
      <c r="AC23" s="62" t="e">
        <f>VLOOKUP(A23,Enforcements!$C$7:$E$21,3,0)</f>
        <v>#N/A</v>
      </c>
      <c r="AD23" s="63" t="str">
        <f t="shared" si="9"/>
        <v>0111-31</v>
      </c>
      <c r="AE23" s="99" t="str">
        <f t="shared" si="10"/>
        <v>aws s3 cp s3://rtdc.mdm.uploadarchive/RTDC4042/2016-08-31/ "%USERPROFILE%\AppData\Local\Temp\OnboardLogs"\RTDC4042\2016-08-31 --recursive &amp; "%USERPROFILE%\Documents\GitHub\mrs-test-scripts\Headless Mode &amp; Sideloading\WalkAndUnGZ.bat" "%USERPROFILE%\AppData\Local\Temp\OnboardLogs"\RTDC4042\2016-08-31 &amp; aws s3 cp s3://rtdc.mdm.uploadarchive/RTDC4042/2016-09-01/ "%USERPROFILE%\AppData\Local\Temp\OnboardLogs"\RTDC4042\2016-09-01 --recursive &amp; "%USERPROFILE%\Documents\GitHub\mrs-test-scripts\Headless Mode &amp; Sideloading\WalkAndUnGZ.bat" "%USERPROFILE%\AppData\Local\Temp\OnboardLogs"\RTDC4042\2016-09-01</v>
      </c>
      <c r="AF23" s="96" t="str">
        <f t="shared" si="11"/>
        <v>"C:\Program Files (x86)\AstroGrep\AstroGrep.exe" /spath="%USERPROFILE%\AppData\Local\Temp\OnboardLogs" /stypes="*4042*20160831*" /stext=" 11:.+((SYSTEM_STATE.+slice.+state.+changed )|(ment ac)|(system.+state.+changed )|(\|lc)|(penalty)|(\[timeout)|(PRM\|1\|D)|(kpr)|(kdp))" /e /r /s</v>
      </c>
      <c r="AG23" s="1" t="str">
        <f t="shared" si="12"/>
        <v>EC</v>
      </c>
      <c r="AH23" s="100" t="str">
        <f t="shared" si="15"/>
        <v>"%USERPROFILE%\Documents\GitHub\eaglep3\Utilities\RefineRTDCRunTimes.py" --tripid 111-31 --locoid 4042 --swversion DE.1.0.7.0 --startMP 204:746 --initTime 2016-08-31T04:58:42 --startdatetime 2016-08-31T05:01:32 --delay 1 --endMP 204:233331 --enddatetime 2016-08-31T05:36:56 --enforcementcount 0 &gt;&gt;C:\Users\stu\Documents\GitHub\eaglep3-reporting\EC\2016-08-31-refined-times.txt</v>
      </c>
      <c r="AI23" s="149" t="str">
        <f t="shared" si="16"/>
        <v>echo {"issue":{"subject":"","project_id":79,"tracker_id":40,"status_id":1,"priority_id":2,"assigned_to_id":23,"start_date":"2016-08-31","description":"","custom_fields":[{"id":1,"name":"Subdivision","value":"EC"},{"id":4,"name":"Milepost","value":"23.2585"},{"id":17,"name":"Train ID","value":"111-31"},{"id":16,"name":"Locomotive ID","value":"4042"},{"id":130,"name":"Impact","value":""},{"id":150,"name":"Time of Event (Mountain Time)","value":"05:36:56"},{"id":151,"name":"Denver Issue ID","value":""},{"id":178,"name":"Operational Impact","value":"Yes"},{"id":179,"name":"Denver Segment Assigned","value":""}]}} | curl -X POST -H "Content-Type: application/json" -H "X-Redmine-API-Key: d6333d4a04012a730768444271f8ca06482dae87" https://secure.xorail.net/redmine/issues.json --data @-</v>
      </c>
      <c r="AJ23" s="55"/>
      <c r="AK23" s="55"/>
      <c r="AL23" s="55"/>
    </row>
    <row r="24" spans="1:38" s="1" customFormat="1" x14ac:dyDescent="0.25">
      <c r="A24" s="39" t="s">
        <v>388</v>
      </c>
      <c r="B24" s="7">
        <v>4041</v>
      </c>
      <c r="C24" s="24" t="s">
        <v>113</v>
      </c>
      <c r="D24" s="24" t="s">
        <v>185</v>
      </c>
      <c r="E24" s="15">
        <v>42613.236458333333</v>
      </c>
      <c r="F24" s="15">
        <v>42613.247662037036</v>
      </c>
      <c r="G24" s="7">
        <v>2</v>
      </c>
      <c r="H24" s="15" t="s">
        <v>167</v>
      </c>
      <c r="I24" s="15">
        <v>42613.274282407408</v>
      </c>
      <c r="J24" s="7">
        <v>0</v>
      </c>
      <c r="K24" s="132" t="str">
        <f t="shared" si="0"/>
        <v>4041/4042</v>
      </c>
      <c r="L24" s="24" t="str">
        <f>VLOOKUP(A24,'Trips&amp;Operators'!$C$1:$E$10000,3,FALSE)</f>
        <v>ROCHA</v>
      </c>
      <c r="M24" s="6">
        <f t="shared" si="1"/>
        <v>2.662037037225673E-2</v>
      </c>
      <c r="N24" s="7">
        <f t="shared" si="19"/>
        <v>38.333333336049691</v>
      </c>
      <c r="O24" s="7"/>
      <c r="P24" s="7"/>
      <c r="Q24" s="25"/>
      <c r="R24" s="25"/>
      <c r="S24" s="37">
        <f t="shared" si="2"/>
        <v>1</v>
      </c>
      <c r="T24" s="52" t="str">
        <f t="shared" si="3"/>
        <v>Southbound</v>
      </c>
      <c r="U24" s="126">
        <f>IF(AG24="EC",COUNTIFS(Variables!$M$2:$M$19,IF(T24="NorthBound","&gt;=","&lt;=")&amp;Y24,Variables!$M$2:$M$19,IF(T24="NorthBound","&lt;=","&gt;=")&amp;Z24),COUNTIFS(Variables!$P$2:$P$19,IF(T24="NorthBound","&gt;=","&lt;=")&amp;Y24,Variables!$P$2:$P$19,IF(T24="NorthBound","&lt;=","&gt;=")&amp;Z24))</f>
        <v>12</v>
      </c>
      <c r="V24" s="106" t="str">
        <f t="shared" si="4"/>
        <v>https://search-rtdc-monitor-bjffxe2xuh6vdkpspy63sjmuny.us-east-1.es.amazonaws.com/_plugin/kibana/#/discover/Steve-Slow-Train-Analysis-(2080s-and-2083s)?_g=(refreshInterval:(display:Off,section:0,value:0),time:(from:'2016-08-31 04:40:30-0600',mode:absolute,to:'2016-08-31 07:34:58-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4041%22')),sort:!(Time,asc))</v>
      </c>
      <c r="W24" s="54" t="str">
        <f t="shared" si="5"/>
        <v>N</v>
      </c>
      <c r="X24" s="120">
        <f t="shared" si="21"/>
        <v>1</v>
      </c>
      <c r="Y24" s="69">
        <f t="shared" si="6"/>
        <v>23.2989</v>
      </c>
      <c r="Z24" s="69">
        <f t="shared" si="7"/>
        <v>1.52E-2</v>
      </c>
      <c r="AA24" s="69">
        <f t="shared" si="8"/>
        <v>23.2837</v>
      </c>
      <c r="AB24" s="66" t="e">
        <f>VLOOKUP(A24,Enforcements!$C$7:$J$21,8,0)</f>
        <v>#N/A</v>
      </c>
      <c r="AC24" s="62" t="e">
        <f>VLOOKUP(A24,Enforcements!$C$7:$E$21,3,0)</f>
        <v>#N/A</v>
      </c>
      <c r="AD24" s="63" t="str">
        <f t="shared" si="9"/>
        <v>0112-31</v>
      </c>
      <c r="AE24" s="99" t="str">
        <f t="shared" si="10"/>
        <v>aws s3 cp s3://rtdc.mdm.uploadarchive/RTDC4041/2016-08-31/ "%USERPROFILE%\AppData\Local\Temp\OnboardLogs"\RTDC4041\2016-08-31 --recursive &amp; "%USERPROFILE%\Documents\GitHub\mrs-test-scripts\Headless Mode &amp; Sideloading\WalkAndUnGZ.bat" "%USERPROFILE%\AppData\Local\Temp\OnboardLogs"\RTDC4041\2016-08-31 &amp; aws s3 cp s3://rtdc.mdm.uploadarchive/RTDC4041/2016-09-01/ "%USERPROFILE%\AppData\Local\Temp\OnboardLogs"\RTDC4041\2016-09-01 --recursive &amp; "%USERPROFILE%\Documents\GitHub\mrs-test-scripts\Headless Mode &amp; Sideloading\WalkAndUnGZ.bat" "%USERPROFILE%\AppData\Local\Temp\OnboardLogs"\RTDC4041\2016-09-01</v>
      </c>
      <c r="AF24" s="96" t="str">
        <f t="shared" si="11"/>
        <v>"C:\Program Files (x86)\AstroGrep\AstroGrep.exe" /spath="%USERPROFILE%\AppData\Local\Temp\OnboardLogs" /stypes="*4041*20160831*" /stext=" 12:.+((SYSTEM_STATE.+slice.+state.+changed )|(ment ac)|(system.+state.+changed )|(\|lc)|(penalty)|(\[timeout)|(PRM\|1\|D)|(kpr)|(kdp))" /e /r /s</v>
      </c>
      <c r="AG24" s="1" t="str">
        <f t="shared" si="12"/>
        <v>EC</v>
      </c>
      <c r="AH24" s="100" t="str">
        <f t="shared" si="15"/>
        <v>"%USERPROFILE%\Documents\GitHub\eaglep3\Utilities\RefineRTDCRunTimes.py" --tripid 112-31 --locoid 4041 --swversion DE.1.0.7.0 --startMP 204:232989 --initTime 2016-08-31T05:40:30 --startdatetime 2016-08-31T05:56:38 --delay 2 --endMP 204:152 --enddatetime 2016-08-31T06:34:58 --enforcementcount 0 &gt;&gt;C:\Users\stu\Documents\GitHub\eaglep3-reporting\EC\2016-08-31-refined-times.txt</v>
      </c>
      <c r="AI24" s="149" t="str">
        <f t="shared" si="16"/>
        <v>echo {"issue":{"subject":"","project_id":79,"tracker_id":40,"status_id":1,"priority_id":2,"assigned_to_id":23,"start_date":"2016-08-31","description":"","custom_fields":[{"id":1,"name":"Subdivision","value":"EC"},{"id":4,"name":"Milepost","value":"23.2837"},{"id":17,"name":"Train ID","value":"112-31"},{"id":16,"name":"Locomotive ID","value":"4041"},{"id":130,"name":"Impact","value":""},{"id":150,"name":"Time of Event (Mountain Time)","value":"06:34:58"},{"id":151,"name":"Denver Issue ID","value":""},{"id":178,"name":"Operational Impact","value":"Yes"},{"id":179,"name":"Denver Segment Assigned","value":""}]}} | curl -X POST -H "Content-Type: application/json" -H "X-Redmine-API-Key: d6333d4a04012a730768444271f8ca06482dae87" https://secure.xorail.net/redmine/issues.json --data @-</v>
      </c>
      <c r="AJ24" s="55"/>
      <c r="AK24" s="55"/>
      <c r="AL24" s="55"/>
    </row>
    <row r="25" spans="1:38" s="1" customFormat="1" x14ac:dyDescent="0.25">
      <c r="A25" s="39" t="s">
        <v>389</v>
      </c>
      <c r="B25" s="7">
        <v>4029</v>
      </c>
      <c r="C25" s="24" t="s">
        <v>113</v>
      </c>
      <c r="D25" s="24" t="s">
        <v>270</v>
      </c>
      <c r="E25" s="15">
        <v>42613.213009259256</v>
      </c>
      <c r="F25" s="15">
        <v>42613.219039351854</v>
      </c>
      <c r="G25" s="7">
        <v>1</v>
      </c>
      <c r="H25" s="15" t="s">
        <v>178</v>
      </c>
      <c r="I25" s="15">
        <v>42613.244652777779</v>
      </c>
      <c r="J25" s="7">
        <v>0</v>
      </c>
      <c r="K25" s="132" t="str">
        <f t="shared" si="0"/>
        <v>4029/4030</v>
      </c>
      <c r="L25" s="24" t="str">
        <f>VLOOKUP(A25,'Trips&amp;Operators'!$C$1:$E$10000,3,FALSE)</f>
        <v>MAELZER</v>
      </c>
      <c r="M25" s="6">
        <f t="shared" si="1"/>
        <v>2.5613425925257616E-2</v>
      </c>
      <c r="N25" s="7">
        <f t="shared" si="19"/>
        <v>36.883333332370967</v>
      </c>
      <c r="O25" s="7"/>
      <c r="P25" s="7"/>
      <c r="Q25" s="25"/>
      <c r="R25" s="25"/>
      <c r="S25" s="37">
        <f t="shared" si="2"/>
        <v>1</v>
      </c>
      <c r="T25" s="52" t="str">
        <f t="shared" si="3"/>
        <v>NorthBound</v>
      </c>
      <c r="U25" s="126">
        <f>IF(AG25="EC",COUNTIFS(Variables!$M$2:$M$19,IF(T25="NorthBound","&gt;=","&lt;=")&amp;Y25,Variables!$M$2:$M$19,IF(T25="NorthBound","&lt;=","&gt;=")&amp;Z25),COUNTIFS(Variables!$P$2:$P$19,IF(T25="NorthBound","&gt;=","&lt;=")&amp;Y25,Variables!$P$2:$P$19,IF(T25="NorthBound","&lt;=","&gt;=")&amp;Z25))</f>
        <v>12</v>
      </c>
      <c r="V25" s="106" t="str">
        <f t="shared" si="4"/>
        <v>https://search-rtdc-monitor-bjffxe2xuh6vdkpspy63sjmuny.us-east-1.es.amazonaws.com/_plugin/kibana/#/discover/Steve-Slow-Train-Analysis-(2080s-and-2083s)?_g=(refreshInterval:(display:Off,section:0,value:0),time:(from:'2016-08-31 04:06:44-0600',mode:absolute,to:'2016-08-31 06:52:18-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4029%22')),sort:!(Time,asc))</v>
      </c>
      <c r="W25" s="54" t="str">
        <f t="shared" si="5"/>
        <v>N</v>
      </c>
      <c r="X25" s="120">
        <f t="shared" si="21"/>
        <v>1</v>
      </c>
      <c r="Y25" s="69">
        <f t="shared" si="6"/>
        <v>4.3099999999999999E-2</v>
      </c>
      <c r="Z25" s="69">
        <f t="shared" si="7"/>
        <v>23.3293</v>
      </c>
      <c r="AA25" s="69">
        <f t="shared" si="8"/>
        <v>23.286200000000001</v>
      </c>
      <c r="AB25" s="66" t="e">
        <f>VLOOKUP(A25,Enforcements!$C$7:$J$21,8,0)</f>
        <v>#N/A</v>
      </c>
      <c r="AC25" s="62" t="e">
        <f>VLOOKUP(A25,Enforcements!$C$7:$E$21,3,0)</f>
        <v>#N/A</v>
      </c>
      <c r="AD25" s="63" t="str">
        <f t="shared" si="9"/>
        <v>0113-31</v>
      </c>
      <c r="AE25" s="99" t="str">
        <f t="shared" si="10"/>
        <v>aws s3 cp s3://rtdc.mdm.uploadarchive/RTDC4029/2016-08-31/ "%USERPROFILE%\AppData\Local\Temp\OnboardLogs"\RTDC4029\2016-08-31 --recursive &amp; "%USERPROFILE%\Documents\GitHub\mrs-test-scripts\Headless Mode &amp; Sideloading\WalkAndUnGZ.bat" "%USERPROFILE%\AppData\Local\Temp\OnboardLogs"\RTDC4029\2016-08-31 &amp; aws s3 cp s3://rtdc.mdm.uploadarchive/RTDC4029/2016-09-01/ "%USERPROFILE%\AppData\Local\Temp\OnboardLogs"\RTDC4029\2016-09-01 --recursive &amp; "%USERPROFILE%\Documents\GitHub\mrs-test-scripts\Headless Mode &amp; Sideloading\WalkAndUnGZ.bat" "%USERPROFILE%\AppData\Local\Temp\OnboardLogs"\RTDC4029\2016-09-01</v>
      </c>
      <c r="AF25" s="96" t="str">
        <f t="shared" si="11"/>
        <v>"C:\Program Files (x86)\AstroGrep\AstroGrep.exe" /spath="%USERPROFILE%\AppData\Local\Temp\OnboardLogs" /stypes="*4029*20160831*" /stext=" 11:.+((SYSTEM_STATE.+slice.+state.+changed )|(ment ac)|(system.+state.+changed )|(\|lc)|(penalty)|(\[timeout)|(PRM\|1\|D)|(kpr)|(kdp))" /e /r /s</v>
      </c>
      <c r="AG25" s="1" t="str">
        <f t="shared" si="12"/>
        <v>EC</v>
      </c>
      <c r="AH25" s="100" t="str">
        <f t="shared" si="15"/>
        <v>"%USERPROFILE%\Documents\GitHub\eaglep3\Utilities\RefineRTDCRunTimes.py" --tripid 113-31 --locoid 4029 --swversion DE.1.0.7.0 --startMP 204:431 --initTime 2016-08-31T05:06:44 --startdatetime 2016-08-31T05:15:25 --delay 1 --endMP 204:233293 --enddatetime 2016-08-31T05:52:18 --enforcementcount 0 &gt;&gt;C:\Users\stu\Documents\GitHub\eaglep3-reporting\EC\2016-08-31-refined-times.txt</v>
      </c>
      <c r="AI25" s="149" t="str">
        <f t="shared" si="16"/>
        <v>echo {"issue":{"subject":"","project_id":79,"tracker_id":40,"status_id":1,"priority_id":2,"assigned_to_id":23,"start_date":"2016-08-31","description":"","custom_fields":[{"id":1,"name":"Subdivision","value":"EC"},{"id":4,"name":"Milepost","value":"23.2862"},{"id":17,"name":"Train ID","value":"113-31"},{"id":16,"name":"Locomotive ID","value":"4029"},{"id":130,"name":"Impact","value":""},{"id":150,"name":"Time of Event (Mountain Time)","value":"05:52:18"},{"id":151,"name":"Denver Issue ID","value":""},{"id":178,"name":"Operational Impact","value":"Yes"},{"id":179,"name":"Denver Segment Assigned","value":""}]}} | curl -X POST -H "Content-Type: application/json" -H "X-Redmine-API-Key: d6333d4a04012a730768444271f8ca06482dae87" https://secure.xorail.net/redmine/issues.json --data @-</v>
      </c>
      <c r="AJ25" s="55"/>
      <c r="AK25" s="55"/>
      <c r="AL25" s="55"/>
    </row>
    <row r="26" spans="1:38" s="1" customFormat="1" x14ac:dyDescent="0.25">
      <c r="A26" s="39" t="s">
        <v>390</v>
      </c>
      <c r="B26" s="7">
        <v>4030</v>
      </c>
      <c r="C26" s="24" t="s">
        <v>113</v>
      </c>
      <c r="D26" s="24" t="s">
        <v>299</v>
      </c>
      <c r="E26" s="15">
        <v>42613.249988425923</v>
      </c>
      <c r="F26" s="15">
        <v>42613.257916666669</v>
      </c>
      <c r="G26" s="7">
        <v>1</v>
      </c>
      <c r="H26" s="15" t="s">
        <v>136</v>
      </c>
      <c r="I26" s="15">
        <v>42613.287256944444</v>
      </c>
      <c r="J26" s="7">
        <v>0</v>
      </c>
      <c r="K26" s="132" t="str">
        <f t="shared" si="0"/>
        <v>4029/4030</v>
      </c>
      <c r="L26" s="24" t="str">
        <f>VLOOKUP(A26,'Trips&amp;Operators'!$C$1:$E$10000,3,FALSE)</f>
        <v>MAELZER</v>
      </c>
      <c r="M26" s="6">
        <f t="shared" si="1"/>
        <v>2.9340277775190771E-2</v>
      </c>
      <c r="N26" s="7">
        <f t="shared" si="19"/>
        <v>42.24999999627471</v>
      </c>
      <c r="O26" s="7"/>
      <c r="P26" s="7"/>
      <c r="Q26" s="25"/>
      <c r="R26" s="25"/>
      <c r="S26" s="37">
        <f t="shared" si="2"/>
        <v>1</v>
      </c>
      <c r="T26" s="52" t="str">
        <f t="shared" si="3"/>
        <v>Southbound</v>
      </c>
      <c r="U26" s="126">
        <f>IF(AG26="EC",COUNTIFS(Variables!$M$2:$M$19,IF(T26="NorthBound","&gt;=","&lt;=")&amp;Y26,Variables!$M$2:$M$19,IF(T26="NorthBound","&lt;=","&gt;=")&amp;Z26),COUNTIFS(Variables!$P$2:$P$19,IF(T26="NorthBound","&gt;=","&lt;=")&amp;Y26,Variables!$P$2:$P$19,IF(T26="NorthBound","&lt;=","&gt;=")&amp;Z26))</f>
        <v>12</v>
      </c>
      <c r="V26" s="106" t="str">
        <f t="shared" si="4"/>
        <v>https://search-rtdc-monitor-bjffxe2xuh6vdkpspy63sjmuny.us-east-1.es.amazonaws.com/_plugin/kibana/#/discover/Steve-Slow-Train-Analysis-(2080s-and-2083s)?_g=(refreshInterval:(display:Off,section:0,value:0),time:(from:'2016-08-31 04:59:59-0600',mode:absolute,to:'2016-08-31 07:53:39-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4030%22')),sort:!(Time,asc))</v>
      </c>
      <c r="W26" s="54" t="str">
        <f t="shared" si="5"/>
        <v>N</v>
      </c>
      <c r="X26" s="120">
        <f t="shared" si="21"/>
        <v>1</v>
      </c>
      <c r="Y26" s="69">
        <f t="shared" si="6"/>
        <v>23.3001</v>
      </c>
      <c r="Z26" s="69">
        <f t="shared" si="7"/>
        <v>1.49E-2</v>
      </c>
      <c r="AA26" s="69">
        <f t="shared" si="8"/>
        <v>23.2852</v>
      </c>
      <c r="AB26" s="66" t="e">
        <f>VLOOKUP(A26,Enforcements!$C$7:$J$21,8,0)</f>
        <v>#N/A</v>
      </c>
      <c r="AC26" s="62" t="e">
        <f>VLOOKUP(A26,Enforcements!$C$7:$E$21,3,0)</f>
        <v>#N/A</v>
      </c>
      <c r="AD26" s="63" t="str">
        <f t="shared" si="9"/>
        <v>0114-31</v>
      </c>
      <c r="AE26" s="99" t="str">
        <f t="shared" si="10"/>
        <v>aws s3 cp s3://rtdc.mdm.uploadarchive/RTDC4030/2016-08-31/ "%USERPROFILE%\AppData\Local\Temp\OnboardLogs"\RTDC4030\2016-08-31 --recursive &amp; "%USERPROFILE%\Documents\GitHub\mrs-test-scripts\Headless Mode &amp; Sideloading\WalkAndUnGZ.bat" "%USERPROFILE%\AppData\Local\Temp\OnboardLogs"\RTDC4030\2016-08-31 &amp; aws s3 cp s3://rtdc.mdm.uploadarchive/RTDC4030/2016-09-01/ "%USERPROFILE%\AppData\Local\Temp\OnboardLogs"\RTDC4030\2016-09-01 --recursive &amp; "%USERPROFILE%\Documents\GitHub\mrs-test-scripts\Headless Mode &amp; Sideloading\WalkAndUnGZ.bat" "%USERPROFILE%\AppData\Local\Temp\OnboardLogs"\RTDC4030\2016-09-01</v>
      </c>
      <c r="AF26" s="96" t="str">
        <f t="shared" si="11"/>
        <v>"C:\Program Files (x86)\AstroGrep\AstroGrep.exe" /spath="%USERPROFILE%\AppData\Local\Temp\OnboardLogs" /stypes="*4030*20160831*" /stext=" 12:.+((SYSTEM_STATE.+slice.+state.+changed )|(ment ac)|(system.+state.+changed )|(\|lc)|(penalty)|(\[timeout)|(PRM\|1\|D)|(kpr)|(kdp))" /e /r /s</v>
      </c>
      <c r="AG26" s="1" t="str">
        <f t="shared" si="12"/>
        <v>EC</v>
      </c>
      <c r="AH26" s="100" t="str">
        <f t="shared" si="15"/>
        <v>"%USERPROFILE%\Documents\GitHub\eaglep3\Utilities\RefineRTDCRunTimes.py" --tripid 114-31 --locoid 4030 --swversion DE.1.0.7.0 --startMP 204:233001 --initTime 2016-08-31T05:59:59 --startdatetime 2016-08-31T06:11:24 --delay 1 --endMP 204:149 --enddatetime 2016-08-31T06:53:39 --enforcementcount 0 &gt;&gt;C:\Users\stu\Documents\GitHub\eaglep3-reporting\EC\2016-08-31-refined-times.txt</v>
      </c>
      <c r="AI26" s="149" t="str">
        <f t="shared" si="16"/>
        <v>echo {"issue":{"subject":"","project_id":79,"tracker_id":40,"status_id":1,"priority_id":2,"assigned_to_id":23,"start_date":"2016-08-31","description":"","custom_fields":[{"id":1,"name":"Subdivision","value":"EC"},{"id":4,"name":"Milepost","value":"23.2852"},{"id":17,"name":"Train ID","value":"114-31"},{"id":16,"name":"Locomotive ID","value":"4030"},{"id":130,"name":"Impact","value":""},{"id":150,"name":"Time of Event (Mountain Time)","value":"06:53:39"},{"id":151,"name":"Denver Issue ID","value":""},{"id":178,"name":"Operational Impact","value":"Yes"},{"id":179,"name":"Denver Segment Assigned","value":""}]}} | curl -X POST -H "Content-Type: application/json" -H "X-Redmine-API-Key: d6333d4a04012a730768444271f8ca06482dae87" https://secure.xorail.net/redmine/issues.json --data @-</v>
      </c>
      <c r="AJ26" s="55"/>
      <c r="AK26" s="55"/>
      <c r="AL26" s="55"/>
    </row>
    <row r="27" spans="1:38" s="1" customFormat="1" x14ac:dyDescent="0.25">
      <c r="A27" s="39" t="s">
        <v>391</v>
      </c>
      <c r="B27" s="7">
        <v>4044</v>
      </c>
      <c r="C27" s="24" t="s">
        <v>113</v>
      </c>
      <c r="D27" s="24" t="s">
        <v>392</v>
      </c>
      <c r="E27" s="15">
        <v>42613.226412037038</v>
      </c>
      <c r="F27" s="15">
        <v>42613.229895833334</v>
      </c>
      <c r="G27" s="7">
        <v>4</v>
      </c>
      <c r="H27" s="15" t="s">
        <v>393</v>
      </c>
      <c r="I27" s="15">
        <v>42613.254884259259</v>
      </c>
      <c r="J27" s="7">
        <v>0</v>
      </c>
      <c r="K27" s="132" t="str">
        <f t="shared" si="0"/>
        <v>4043/4044</v>
      </c>
      <c r="L27" s="24" t="str">
        <f>VLOOKUP(A27,'Trips&amp;Operators'!$C$1:$E$10000,3,FALSE)</f>
        <v>SMITH</v>
      </c>
      <c r="M27" s="6">
        <f t="shared" si="1"/>
        <v>2.4988425924675539E-2</v>
      </c>
      <c r="N27" s="7">
        <f t="shared" si="19"/>
        <v>35.983333331532776</v>
      </c>
      <c r="O27" s="7"/>
      <c r="P27" s="7"/>
      <c r="Q27" s="25"/>
      <c r="R27" s="25"/>
      <c r="S27" s="37">
        <f t="shared" si="2"/>
        <v>1</v>
      </c>
      <c r="T27" s="52" t="str">
        <f t="shared" si="3"/>
        <v>NorthBound</v>
      </c>
      <c r="U27" s="126">
        <f>IF(AG27="EC",COUNTIFS(Variables!$M$2:$M$19,IF(T27="NorthBound","&gt;=","&lt;=")&amp;Y27,Variables!$M$2:$M$19,IF(T27="NorthBound","&lt;=","&gt;=")&amp;Z27),COUNTIFS(Variables!$P$2:$P$19,IF(T27="NorthBound","&gt;=","&lt;=")&amp;Y27,Variables!$P$2:$P$19,IF(T27="NorthBound","&lt;=","&gt;=")&amp;Z27))</f>
        <v>12</v>
      </c>
      <c r="V27" s="106" t="str">
        <f t="shared" si="4"/>
        <v>https://search-rtdc-monitor-bjffxe2xuh6vdkpspy63sjmuny.us-east-1.es.amazonaws.com/_plugin/kibana/#/discover/Steve-Slow-Train-Analysis-(2080s-and-2083s)?_g=(refreshInterval:(display:Off,section:0,value:0),time:(from:'2016-08-31 04:26:02-0600',mode:absolute,to:'2016-08-31 07:07:02-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4044%22')),sort:!(Time,asc))</v>
      </c>
      <c r="W27" s="54" t="str">
        <f t="shared" si="5"/>
        <v>N</v>
      </c>
      <c r="X27" s="120">
        <f t="shared" si="21"/>
        <v>1</v>
      </c>
      <c r="Y27" s="69">
        <f t="shared" si="6"/>
        <v>7.0800000000000002E-2</v>
      </c>
      <c r="Z27" s="69">
        <f t="shared" si="7"/>
        <v>23.334900000000001</v>
      </c>
      <c r="AA27" s="69">
        <f t="shared" si="8"/>
        <v>23.264100000000003</v>
      </c>
      <c r="AB27" s="66" t="e">
        <f>VLOOKUP(A27,Enforcements!$C$7:$J$21,8,0)</f>
        <v>#N/A</v>
      </c>
      <c r="AC27" s="62" t="e">
        <f>VLOOKUP(A27,Enforcements!$C$7:$E$21,3,0)</f>
        <v>#N/A</v>
      </c>
      <c r="AD27" s="63" t="str">
        <f t="shared" si="9"/>
        <v>0115-31</v>
      </c>
      <c r="AE27" s="99" t="str">
        <f t="shared" si="10"/>
        <v>aws s3 cp s3://rtdc.mdm.uploadarchive/RTDC4044/2016-08-31/ "%USERPROFILE%\AppData\Local\Temp\OnboardLogs"\RTDC4044\2016-08-31 --recursive &amp; "%USERPROFILE%\Documents\GitHub\mrs-test-scripts\Headless Mode &amp; Sideloading\WalkAndUnGZ.bat" "%USERPROFILE%\AppData\Local\Temp\OnboardLogs"\RTDC4044\2016-08-31 &amp; aws s3 cp s3://rtdc.mdm.uploadarchive/RTDC4044/2016-09-01/ "%USERPROFILE%\AppData\Local\Temp\OnboardLogs"\RTDC4044\2016-09-01 --recursive &amp; "%USERPROFILE%\Documents\GitHub\mrs-test-scripts\Headless Mode &amp; Sideloading\WalkAndUnGZ.bat" "%USERPROFILE%\AppData\Local\Temp\OnboardLogs"\RTDC4044\2016-09-01</v>
      </c>
      <c r="AF27" s="96" t="str">
        <f t="shared" si="11"/>
        <v>"C:\Program Files (x86)\AstroGrep\AstroGrep.exe" /spath="%USERPROFILE%\AppData\Local\Temp\OnboardLogs" /stypes="*4044*20160831*" /stext=" 12:.+((SYSTEM_STATE.+slice.+state.+changed )|(ment ac)|(system.+state.+changed )|(\|lc)|(penalty)|(\[timeout)|(PRM\|1\|D)|(kpr)|(kdp))" /e /r /s</v>
      </c>
      <c r="AG27" s="1" t="str">
        <f t="shared" si="12"/>
        <v>EC</v>
      </c>
      <c r="AH27" s="100" t="str">
        <f t="shared" si="15"/>
        <v>"%USERPROFILE%\Documents\GitHub\eaglep3\Utilities\RefineRTDCRunTimes.py" --tripid 115-31 --locoid 4044 --swversion DE.1.0.7.0 --startMP 204:708 --initTime 2016-08-31T05:26:02 --startdatetime 2016-08-31T05:31:03 --delay 4 --endMP 204:233349 --enddatetime 2016-08-31T06:07:02 --enforcementcount 0 &gt;&gt;C:\Users\stu\Documents\GitHub\eaglep3-reporting\EC\2016-08-31-refined-times.txt</v>
      </c>
      <c r="AI27" s="149" t="str">
        <f t="shared" si="16"/>
        <v>echo {"issue":{"subject":"","project_id":79,"tracker_id":40,"status_id":1,"priority_id":2,"assigned_to_id":23,"start_date":"2016-08-31","description":"","custom_fields":[{"id":1,"name":"Subdivision","value":"EC"},{"id":4,"name":"Milepost","value":"23.2641"},{"id":17,"name":"Train ID","value":"115-31"},{"id":16,"name":"Locomotive ID","value":"4044"},{"id":130,"name":"Impact","value":""},{"id":150,"name":"Time of Event (Mountain Time)","value":"06:07:02"},{"id":151,"name":"Denver Issue ID","value":""},{"id":178,"name":"Operational Impact","value":"Yes"},{"id":179,"name":"Denver Segment Assigned","value":""}]}} | curl -X POST -H "Content-Type: application/json" -H "X-Redmine-API-Key: d6333d4a04012a730768444271f8ca06482dae87" https://secure.xorail.net/redmine/issues.json --data @-</v>
      </c>
      <c r="AJ27" s="55"/>
      <c r="AK27" s="55"/>
      <c r="AL27" s="55"/>
    </row>
    <row r="28" spans="1:38" s="1" customFormat="1" x14ac:dyDescent="0.25">
      <c r="A28" s="39" t="s">
        <v>394</v>
      </c>
      <c r="B28" s="7">
        <v>4043</v>
      </c>
      <c r="C28" s="24" t="s">
        <v>113</v>
      </c>
      <c r="D28" s="24" t="s">
        <v>395</v>
      </c>
      <c r="E28" s="15">
        <v>42613.257488425923</v>
      </c>
      <c r="F28" s="15">
        <v>42613.268206018518</v>
      </c>
      <c r="G28" s="7">
        <v>2</v>
      </c>
      <c r="H28" s="15" t="s">
        <v>132</v>
      </c>
      <c r="I28" s="15">
        <v>42613.294560185182</v>
      </c>
      <c r="J28" s="7">
        <v>0</v>
      </c>
      <c r="K28" s="132" t="str">
        <f t="shared" si="0"/>
        <v>4043/4044</v>
      </c>
      <c r="L28" s="24" t="str">
        <f>VLOOKUP(A28,'Trips&amp;Operators'!$C$1:$E$10000,3,FALSE)</f>
        <v>SMITH</v>
      </c>
      <c r="M28" s="6">
        <f t="shared" si="1"/>
        <v>2.6354166664532386E-2</v>
      </c>
      <c r="N28" s="7">
        <f t="shared" si="19"/>
        <v>37.949999996926636</v>
      </c>
      <c r="O28" s="7"/>
      <c r="P28" s="7"/>
      <c r="Q28" s="25"/>
      <c r="R28" s="25"/>
      <c r="S28" s="37">
        <f t="shared" si="2"/>
        <v>1</v>
      </c>
      <c r="T28" s="52" t="str">
        <f t="shared" si="3"/>
        <v>Southbound</v>
      </c>
      <c r="U28" s="126">
        <f>IF(AG28="EC",COUNTIFS(Variables!$M$2:$M$19,IF(T28="NorthBound","&gt;=","&lt;=")&amp;Y28,Variables!$M$2:$M$19,IF(T28="NorthBound","&lt;=","&gt;=")&amp;Z28),COUNTIFS(Variables!$P$2:$P$19,IF(T28="NorthBound","&gt;=","&lt;=")&amp;Y28,Variables!$P$2:$P$19,IF(T28="NorthBound","&lt;=","&gt;=")&amp;Z28))</f>
        <v>12</v>
      </c>
      <c r="V28" s="106" t="str">
        <f t="shared" si="4"/>
        <v>https://search-rtdc-monitor-bjffxe2xuh6vdkpspy63sjmuny.us-east-1.es.amazonaws.com/_plugin/kibana/#/discover/Steve-Slow-Train-Analysis-(2080s-and-2083s)?_g=(refreshInterval:(display:Off,section:0,value:0),time:(from:'2016-08-31 05:10:47-0600',mode:absolute,to:'2016-08-31 08:04:10-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4043%22')),sort:!(Time,asc))</v>
      </c>
      <c r="W28" s="54" t="str">
        <f t="shared" si="5"/>
        <v>N</v>
      </c>
      <c r="X28" s="120">
        <f t="shared" si="21"/>
        <v>1</v>
      </c>
      <c r="Y28" s="69">
        <f t="shared" si="6"/>
        <v>23.3002</v>
      </c>
      <c r="Z28" s="69">
        <f t="shared" si="7"/>
        <v>1.47E-2</v>
      </c>
      <c r="AA28" s="69">
        <f t="shared" si="8"/>
        <v>23.285499999999999</v>
      </c>
      <c r="AB28" s="66" t="e">
        <f>VLOOKUP(A28,Enforcements!$C$7:$J$21,8,0)</f>
        <v>#N/A</v>
      </c>
      <c r="AC28" s="62" t="e">
        <f>VLOOKUP(A28,Enforcements!$C$7:$E$21,3,0)</f>
        <v>#N/A</v>
      </c>
      <c r="AD28" s="63" t="str">
        <f t="shared" si="9"/>
        <v>0116-31</v>
      </c>
      <c r="AE28" s="99" t="str">
        <f t="shared" si="10"/>
        <v>aws s3 cp s3://rtdc.mdm.uploadarchive/RTDC4043/2016-08-31/ "%USERPROFILE%\AppData\Local\Temp\OnboardLogs"\RTDC4043\2016-08-31 --recursive &amp; "%USERPROFILE%\Documents\GitHub\mrs-test-scripts\Headless Mode &amp; Sideloading\WalkAndUnGZ.bat" "%USERPROFILE%\AppData\Local\Temp\OnboardLogs"\RTDC4043\2016-08-31 &amp; aws s3 cp s3://rtdc.mdm.uploadarchive/RTDC4043/2016-09-01/ "%USERPROFILE%\AppData\Local\Temp\OnboardLogs"\RTDC4043\2016-09-01 --recursive &amp; "%USERPROFILE%\Documents\GitHub\mrs-test-scripts\Headless Mode &amp; Sideloading\WalkAndUnGZ.bat" "%USERPROFILE%\AppData\Local\Temp\OnboardLogs"\RTDC4043\2016-09-01</v>
      </c>
      <c r="AF28" s="96" t="str">
        <f t="shared" si="11"/>
        <v>"C:\Program Files (x86)\AstroGrep\AstroGrep.exe" /spath="%USERPROFILE%\AppData\Local\Temp\OnboardLogs" /stypes="*4043*20160831*" /stext=" 13:.+((SYSTEM_STATE.+slice.+state.+changed )|(ment ac)|(system.+state.+changed )|(\|lc)|(penalty)|(\[timeout)|(PRM\|1\|D)|(kpr)|(kdp))" /e /r /s</v>
      </c>
      <c r="AG28" s="1" t="str">
        <f t="shared" si="12"/>
        <v>EC</v>
      </c>
      <c r="AH28" s="100" t="str">
        <f t="shared" si="15"/>
        <v>"%USERPROFILE%\Documents\GitHub\eaglep3\Utilities\RefineRTDCRunTimes.py" --tripid 116-31 --locoid 4043 --swversion DE.1.0.7.0 --startMP 204:233002 --initTime 2016-08-31T06:10:47 --startdatetime 2016-08-31T06:26:13 --delay 2 --endMP 204:147 --enddatetime 2016-08-31T07:04:10 --enforcementcount 0 &gt;&gt;C:\Users\stu\Documents\GitHub\eaglep3-reporting\EC\2016-08-31-refined-times.txt</v>
      </c>
      <c r="AI28" s="149" t="str">
        <f t="shared" si="16"/>
        <v>echo {"issue":{"subject":"","project_id":79,"tracker_id":40,"status_id":1,"priority_id":2,"assigned_to_id":23,"start_date":"2016-08-31","description":"","custom_fields":[{"id":1,"name":"Subdivision","value":"EC"},{"id":4,"name":"Milepost","value":"23.2855"},{"id":17,"name":"Train ID","value":"116-31"},{"id":16,"name":"Locomotive ID","value":"4043"},{"id":130,"name":"Impact","value":""},{"id":150,"name":"Time of Event (Mountain Time)","value":"07:04:10"},{"id":151,"name":"Denver Issue ID","value":""},{"id":178,"name":"Operational Impact","value":"Yes"},{"id":179,"name":"Denver Segment Assigned","value":""}]}} | curl -X POST -H "Content-Type: application/json" -H "X-Redmine-API-Key: d6333d4a04012a730768444271f8ca06482dae87" https://secure.xorail.net/redmine/issues.json --data @-</v>
      </c>
      <c r="AJ28" s="55"/>
      <c r="AK28" s="55"/>
      <c r="AL28" s="55"/>
    </row>
    <row r="29" spans="1:38" s="1" customFormat="1" x14ac:dyDescent="0.25">
      <c r="A29" s="39" t="s">
        <v>396</v>
      </c>
      <c r="B29" s="7">
        <v>4002</v>
      </c>
      <c r="C29" s="24" t="s">
        <v>113</v>
      </c>
      <c r="D29" s="24" t="s">
        <v>397</v>
      </c>
      <c r="E29" s="15">
        <v>42613.234398148146</v>
      </c>
      <c r="F29" s="15">
        <v>42613.239814814813</v>
      </c>
      <c r="G29" s="7">
        <v>1</v>
      </c>
      <c r="H29" s="15" t="s">
        <v>333</v>
      </c>
      <c r="I29" s="15">
        <v>42613.26457175926</v>
      </c>
      <c r="J29" s="7">
        <v>0</v>
      </c>
      <c r="K29" s="132" t="str">
        <f t="shared" si="0"/>
        <v>4001/4002</v>
      </c>
      <c r="L29" s="24" t="str">
        <f>VLOOKUP(A29,'Trips&amp;Operators'!$C$1:$E$10000,3,FALSE)</f>
        <v>ARVIDSON</v>
      </c>
      <c r="M29" s="6">
        <f t="shared" si="1"/>
        <v>2.4756944447290152E-2</v>
      </c>
      <c r="N29" s="7">
        <f t="shared" si="19"/>
        <v>35.650000004097819</v>
      </c>
      <c r="O29" s="7"/>
      <c r="P29" s="7"/>
      <c r="Q29" s="25"/>
      <c r="R29" s="25"/>
      <c r="S29" s="37">
        <f t="shared" si="2"/>
        <v>1</v>
      </c>
      <c r="T29" s="52" t="str">
        <f t="shared" si="3"/>
        <v>NorthBound</v>
      </c>
      <c r="U29" s="126">
        <f>IF(AG29="EC",COUNTIFS(Variables!$M$2:$M$19,IF(T29="NorthBound","&gt;=","&lt;=")&amp;Y29,Variables!$M$2:$M$19,IF(T29="NorthBound","&lt;=","&gt;=")&amp;Z29),COUNTIFS(Variables!$P$2:$P$19,IF(T29="NorthBound","&gt;=","&lt;=")&amp;Y29,Variables!$P$2:$P$19,IF(T29="NorthBound","&lt;=","&gt;=")&amp;Z29))</f>
        <v>12</v>
      </c>
      <c r="V29" s="106" t="str">
        <f t="shared" si="4"/>
        <v>https://search-rtdc-monitor-bjffxe2xuh6vdkpspy63sjmuny.us-east-1.es.amazonaws.com/_plugin/kibana/#/discover/Steve-Slow-Train-Analysis-(2080s-and-2083s)?_g=(refreshInterval:(display:Off,section:0,value:0),time:(from:'2016-08-31 04:37:32-0600',mode:absolute,to:'2016-08-31 07:20:59-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4002%22')),sort:!(Time,asc))</v>
      </c>
      <c r="W29" s="54" t="str">
        <f t="shared" si="5"/>
        <v>N</v>
      </c>
      <c r="X29" s="120">
        <f t="shared" si="21"/>
        <v>1</v>
      </c>
      <c r="Y29" s="69">
        <f t="shared" si="6"/>
        <v>0.04</v>
      </c>
      <c r="Z29" s="69">
        <f t="shared" si="7"/>
        <v>23.330500000000001</v>
      </c>
      <c r="AA29" s="69">
        <f t="shared" si="8"/>
        <v>23.290500000000002</v>
      </c>
      <c r="AB29" s="66" t="e">
        <f>VLOOKUP(A29,Enforcements!$C$7:$J$21,8,0)</f>
        <v>#N/A</v>
      </c>
      <c r="AC29" s="62" t="e">
        <f>VLOOKUP(A29,Enforcements!$C$7:$E$21,3,0)</f>
        <v>#N/A</v>
      </c>
      <c r="AD29" s="63" t="str">
        <f t="shared" si="9"/>
        <v>0117-31</v>
      </c>
      <c r="AE29" s="99" t="str">
        <f t="shared" si="10"/>
        <v>aws s3 cp s3://rtdc.mdm.uploadarchive/RTDC4002/2016-08-31/ "%USERPROFILE%\AppData\Local\Temp\OnboardLogs"\RTDC4002\2016-08-31 --recursive &amp; "%USERPROFILE%\Documents\GitHub\mrs-test-scripts\Headless Mode &amp; Sideloading\WalkAndUnGZ.bat" "%USERPROFILE%\AppData\Local\Temp\OnboardLogs"\RTDC4002\2016-08-31 &amp; aws s3 cp s3://rtdc.mdm.uploadarchive/RTDC4002/2016-09-01/ "%USERPROFILE%\AppData\Local\Temp\OnboardLogs"\RTDC4002\2016-09-01 --recursive &amp; "%USERPROFILE%\Documents\GitHub\mrs-test-scripts\Headless Mode &amp; Sideloading\WalkAndUnGZ.bat" "%USERPROFILE%\AppData\Local\Temp\OnboardLogs"\RTDC4002\2016-09-01</v>
      </c>
      <c r="AF29" s="96" t="str">
        <f t="shared" si="11"/>
        <v>"C:\Program Files (x86)\AstroGrep\AstroGrep.exe" /spath="%USERPROFILE%\AppData\Local\Temp\OnboardLogs" /stypes="*4002*20160831*" /stext=" 12:.+((SYSTEM_STATE.+slice.+state.+changed )|(ment ac)|(system.+state.+changed )|(\|lc)|(penalty)|(\[timeout)|(PRM\|1\|D)|(kpr)|(kdp))" /e /r /s</v>
      </c>
      <c r="AG29" s="1" t="str">
        <f t="shared" si="12"/>
        <v>EC</v>
      </c>
      <c r="AH29" s="100" t="str">
        <f t="shared" si="15"/>
        <v>"%USERPROFILE%\Documents\GitHub\eaglep3\Utilities\RefineRTDCRunTimes.py" --tripid 117-31 --locoid 4002 --swversion DE.1.0.7.0 --startMP 204:400 --initTime 2016-08-31T05:37:32 --startdatetime 2016-08-31T05:45:20 --delay 1 --endMP 204:233305 --enddatetime 2016-08-31T06:20:59 --enforcementcount 0 &gt;&gt;C:\Users\stu\Documents\GitHub\eaglep3-reporting\EC\2016-08-31-refined-times.txt</v>
      </c>
      <c r="AI29" s="149" t="str">
        <f t="shared" si="16"/>
        <v>echo {"issue":{"subject":"","project_id":79,"tracker_id":40,"status_id":1,"priority_id":2,"assigned_to_id":23,"start_date":"2016-08-31","description":"","custom_fields":[{"id":1,"name":"Subdivision","value":"EC"},{"id":4,"name":"Milepost","value":"23.2905"},{"id":17,"name":"Train ID","value":"117-31"},{"id":16,"name":"Locomotive ID","value":"4002"},{"id":130,"name":"Impact","value":""},{"id":150,"name":"Time of Event (Mountain Time)","value":"06:20:59"},{"id":151,"name":"Denver Issue ID","value":""},{"id":178,"name":"Operational Impact","value":"Yes"},{"id":179,"name":"Denver Segment Assigned","value":""}]}} | curl -X POST -H "Content-Type: application/json" -H "X-Redmine-API-Key: d6333d4a04012a730768444271f8ca06482dae87" https://secure.xorail.net/redmine/issues.json --data @-</v>
      </c>
      <c r="AJ29" s="55"/>
      <c r="AK29" s="55"/>
      <c r="AL29" s="55"/>
    </row>
    <row r="30" spans="1:38" s="1" customFormat="1" x14ac:dyDescent="0.25">
      <c r="A30" s="39" t="s">
        <v>398</v>
      </c>
      <c r="B30" s="7">
        <v>4001</v>
      </c>
      <c r="C30" s="24" t="s">
        <v>113</v>
      </c>
      <c r="D30" s="24" t="s">
        <v>246</v>
      </c>
      <c r="E30" s="15">
        <v>42613.274004629631</v>
      </c>
      <c r="F30" s="15">
        <v>42613.278680555559</v>
      </c>
      <c r="G30" s="7">
        <v>2</v>
      </c>
      <c r="H30" s="15" t="s">
        <v>399</v>
      </c>
      <c r="I30" s="15">
        <v>42613.305706018517</v>
      </c>
      <c r="J30" s="7">
        <v>0</v>
      </c>
      <c r="K30" s="132" t="str">
        <f t="shared" si="0"/>
        <v>4001/4002</v>
      </c>
      <c r="L30" s="24" t="str">
        <f>VLOOKUP(A30,'Trips&amp;Operators'!$C$1:$E$10000,3,FALSE)</f>
        <v>ARVIDSON</v>
      </c>
      <c r="M30" s="6">
        <f t="shared" si="1"/>
        <v>2.7025462957681157E-2</v>
      </c>
      <c r="N30" s="7">
        <f t="shared" si="19"/>
        <v>38.916666659060866</v>
      </c>
      <c r="O30" s="7"/>
      <c r="P30" s="7"/>
      <c r="Q30" s="25"/>
      <c r="R30" s="25"/>
      <c r="S30" s="37">
        <f t="shared" si="2"/>
        <v>1</v>
      </c>
      <c r="T30" s="52" t="str">
        <f t="shared" si="3"/>
        <v>Southbound</v>
      </c>
      <c r="U30" s="126">
        <f>IF(AG30="EC",COUNTIFS(Variables!$M$2:$M$19,IF(T30="NorthBound","&gt;=","&lt;=")&amp;Y30,Variables!$M$2:$M$19,IF(T30="NorthBound","&lt;=","&gt;=")&amp;Z30),COUNTIFS(Variables!$P$2:$P$19,IF(T30="NorthBound","&gt;=","&lt;=")&amp;Y30,Variables!$P$2:$P$19,IF(T30="NorthBound","&lt;=","&gt;=")&amp;Z30))</f>
        <v>12</v>
      </c>
      <c r="V30" s="106" t="str">
        <f t="shared" si="4"/>
        <v>https://search-rtdc-monitor-bjffxe2xuh6vdkpspy63sjmuny.us-east-1.es.amazonaws.com/_plugin/kibana/#/discover/Steve-Slow-Train-Analysis-(2080s-and-2083s)?_g=(refreshInterval:(display:Off,section:0,value:0),time:(from:'2016-08-31 05:34:34-0600',mode:absolute,to:'2016-08-31 08:20:13-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4001%22')),sort:!(Time,asc))</v>
      </c>
      <c r="W30" s="54" t="str">
        <f t="shared" si="5"/>
        <v>N</v>
      </c>
      <c r="X30" s="120">
        <f t="shared" si="21"/>
        <v>1</v>
      </c>
      <c r="Y30" s="69">
        <f t="shared" si="6"/>
        <v>23.2988</v>
      </c>
      <c r="Z30" s="69">
        <f t="shared" si="7"/>
        <v>1.83E-2</v>
      </c>
      <c r="AA30" s="69">
        <f t="shared" si="8"/>
        <v>23.2805</v>
      </c>
      <c r="AB30" s="66" t="e">
        <f>VLOOKUP(A30,Enforcements!$C$7:$J$21,8,0)</f>
        <v>#N/A</v>
      </c>
      <c r="AC30" s="62" t="e">
        <f>VLOOKUP(A30,Enforcements!$C$7:$E$21,3,0)</f>
        <v>#N/A</v>
      </c>
      <c r="AD30" s="63" t="str">
        <f t="shared" si="9"/>
        <v>0118-31</v>
      </c>
      <c r="AE30" s="99" t="str">
        <f t="shared" si="10"/>
        <v>aws s3 cp s3://rtdc.mdm.uploadarchive/RTDC4001/2016-08-31/ "%USERPROFILE%\AppData\Local\Temp\OnboardLogs"\RTDC4001\2016-08-31 --recursive &amp; "%USERPROFILE%\Documents\GitHub\mrs-test-scripts\Headless Mode &amp; Sideloading\WalkAndUnGZ.bat" "%USERPROFILE%\AppData\Local\Temp\OnboardLogs"\RTDC4001\2016-08-31 &amp; aws s3 cp s3://rtdc.mdm.uploadarchive/RTDC4001/2016-09-01/ "%USERPROFILE%\AppData\Local\Temp\OnboardLogs"\RTDC4001\2016-09-01 --recursive &amp; "%USERPROFILE%\Documents\GitHub\mrs-test-scripts\Headless Mode &amp; Sideloading\WalkAndUnGZ.bat" "%USERPROFILE%\AppData\Local\Temp\OnboardLogs"\RTDC4001\2016-09-01</v>
      </c>
      <c r="AF30" s="96" t="str">
        <f t="shared" si="11"/>
        <v>"C:\Program Files (x86)\AstroGrep\AstroGrep.exe" /spath="%USERPROFILE%\AppData\Local\Temp\OnboardLogs" /stypes="*4001*20160831*" /stext=" 13:.+((SYSTEM_STATE.+slice.+state.+changed )|(ment ac)|(system.+state.+changed )|(\|lc)|(penalty)|(\[timeout)|(PRM\|1\|D)|(kpr)|(kdp))" /e /r /s</v>
      </c>
      <c r="AG30" s="1" t="str">
        <f t="shared" si="12"/>
        <v>EC</v>
      </c>
      <c r="AH30" s="100" t="str">
        <f t="shared" si="15"/>
        <v>"%USERPROFILE%\Documents\GitHub\eaglep3\Utilities\RefineRTDCRunTimes.py" --tripid 118-31 --locoid 4001 --swversion DE.1.0.7.0 --startMP 204:232988 --initTime 2016-08-31T06:34:34 --startdatetime 2016-08-31T06:41:18 --delay 2 --endMP 204:183 --enddatetime 2016-08-31T07:20:13 --enforcementcount 0 &gt;&gt;C:\Users\stu\Documents\GitHub\eaglep3-reporting\EC\2016-08-31-refined-times.txt</v>
      </c>
      <c r="AI30" s="149" t="str">
        <f t="shared" si="16"/>
        <v>echo {"issue":{"subject":"","project_id":79,"tracker_id":40,"status_id":1,"priority_id":2,"assigned_to_id":23,"start_date":"2016-08-31","description":"","custom_fields":[{"id":1,"name":"Subdivision","value":"EC"},{"id":4,"name":"Milepost","value":"23.2805"},{"id":17,"name":"Train ID","value":"118-31"},{"id":16,"name":"Locomotive ID","value":"4001"},{"id":130,"name":"Impact","value":""},{"id":150,"name":"Time of Event (Mountain Time)","value":"07:20:13"},{"id":151,"name":"Denver Issue ID","value":""},{"id":178,"name":"Operational Impact","value":"Yes"},{"id":179,"name":"Denver Segment Assigned","value":""}]}} | curl -X POST -H "Content-Type: application/json" -H "X-Redmine-API-Key: d6333d4a04012a730768444271f8ca06482dae87" https://secure.xorail.net/redmine/issues.json --data @-</v>
      </c>
      <c r="AJ30" s="55"/>
      <c r="AK30" s="55"/>
      <c r="AL30" s="55"/>
    </row>
    <row r="31" spans="1:38" s="1" customFormat="1" x14ac:dyDescent="0.25">
      <c r="A31" s="39" t="s">
        <v>400</v>
      </c>
      <c r="B31" s="7">
        <v>4016</v>
      </c>
      <c r="C31" s="24" t="s">
        <v>113</v>
      </c>
      <c r="D31" s="24" t="s">
        <v>401</v>
      </c>
      <c r="E31" s="15">
        <v>42613.254884259259</v>
      </c>
      <c r="F31" s="15">
        <v>42613.255995370368</v>
      </c>
      <c r="G31" s="7">
        <v>1</v>
      </c>
      <c r="H31" s="15" t="s">
        <v>342</v>
      </c>
      <c r="I31" s="15">
        <v>42613.282638888886</v>
      </c>
      <c r="J31" s="7">
        <v>0</v>
      </c>
      <c r="K31" s="132" t="str">
        <f t="shared" si="0"/>
        <v>4015/4016</v>
      </c>
      <c r="L31" s="24" t="str">
        <f>VLOOKUP(A31,'Trips&amp;Operators'!$C$1:$E$10000,3,FALSE)</f>
        <v>STRICKLAND</v>
      </c>
      <c r="M31" s="6">
        <f t="shared" si="1"/>
        <v>2.6643518518540077E-2</v>
      </c>
      <c r="N31" s="7"/>
      <c r="O31" s="7"/>
      <c r="P31" s="7">
        <f>24*60*SUM($M31:$M31)</f>
        <v>38.366666666697711</v>
      </c>
      <c r="Q31" s="25"/>
      <c r="R31" s="25" t="s">
        <v>734</v>
      </c>
      <c r="S31" s="37">
        <f t="shared" si="2"/>
        <v>1</v>
      </c>
      <c r="T31" s="52" t="str">
        <f t="shared" si="3"/>
        <v>NorthBound</v>
      </c>
      <c r="U31" s="126">
        <f>IF(AG31="EC",COUNTIFS(Variables!$M$2:$M$19,IF(T31="NorthBound","&gt;=","&lt;=")&amp;Y31,Variables!$M$2:$M$19,IF(T31="NorthBound","&lt;=","&gt;=")&amp;Z31),COUNTIFS(Variables!$P$2:$P$19,IF(T31="NorthBound","&gt;=","&lt;=")&amp;Y31,Variables!$P$2:$P$19,IF(T31="NorthBound","&lt;=","&gt;=")&amp;Z31))</f>
        <v>12</v>
      </c>
      <c r="V31" s="106" t="str">
        <f t="shared" si="4"/>
        <v>https://search-rtdc-monitor-bjffxe2xuh6vdkpspy63sjmuny.us-east-1.es.amazonaws.com/_plugin/kibana/#/discover/Steve-Slow-Train-Analysis-(2080s-and-2083s)?_g=(refreshInterval:(display:Off,section:0,value:0),time:(from:'2016-08-31 05:07:02-0600',mode:absolute,to:'2016-08-31 07:47: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4016%22')),sort:!(Time,asc))</v>
      </c>
      <c r="W31" s="54" t="str">
        <f t="shared" si="5"/>
        <v>Y</v>
      </c>
      <c r="X31" s="120">
        <f t="shared" si="21"/>
        <v>1</v>
      </c>
      <c r="Y31" s="69">
        <f t="shared" si="6"/>
        <v>1.9133</v>
      </c>
      <c r="Z31" s="69">
        <f t="shared" si="7"/>
        <v>23.333400000000001</v>
      </c>
      <c r="AA31" s="69">
        <f t="shared" si="8"/>
        <v>21.420100000000001</v>
      </c>
      <c r="AB31" s="66">
        <f>VLOOKUP(A31,Enforcements!$C$7:$J$21,8,0)</f>
        <v>116838</v>
      </c>
      <c r="AC31" s="62" t="str">
        <f>VLOOKUP(A31,Enforcements!$C$7:$E$21,3,0)</f>
        <v>PERMANENT SPEED RESTRICTION</v>
      </c>
      <c r="AD31" s="63" t="str">
        <f t="shared" si="9"/>
        <v>0119-31</v>
      </c>
      <c r="AE31" s="99" t="str">
        <f t="shared" si="10"/>
        <v>aws s3 cp s3://rtdc.mdm.uploadarchive/RTDC4016/2016-08-31/ "%USERPROFILE%\AppData\Local\Temp\OnboardLogs"\RTDC4016\2016-08-31 --recursive &amp; "%USERPROFILE%\Documents\GitHub\mrs-test-scripts\Headless Mode &amp; Sideloading\WalkAndUnGZ.bat" "%USERPROFILE%\AppData\Local\Temp\OnboardLogs"\RTDC4016\2016-08-31 &amp; aws s3 cp s3://rtdc.mdm.uploadarchive/RTDC4016/2016-09-01/ "%USERPROFILE%\AppData\Local\Temp\OnboardLogs"\RTDC4016\2016-09-01 --recursive &amp; "%USERPROFILE%\Documents\GitHub\mrs-test-scripts\Headless Mode &amp; Sideloading\WalkAndUnGZ.bat" "%USERPROFILE%\AppData\Local\Temp\OnboardLogs"\RTDC4016\2016-09-01</v>
      </c>
      <c r="AF31" s="96" t="str">
        <f t="shared" si="11"/>
        <v>"C:\Program Files (x86)\AstroGrep\AstroGrep.exe" /spath="%USERPROFILE%\AppData\Local\Temp\OnboardLogs" /stypes="*4016*20160831*" /stext=" 12:.+((SYSTEM_STATE.+slice.+state.+changed )|(ment ac)|(system.+state.+changed )|(\|lc)|(penalty)|(\[timeout)|(PRM\|1\|D)|(kpr)|(kdp))" /e /r /s</v>
      </c>
      <c r="AG31" s="1" t="str">
        <f t="shared" si="12"/>
        <v>EC</v>
      </c>
      <c r="AH31" s="100" t="str">
        <f t="shared" si="15"/>
        <v>"%USERPROFILE%\Documents\GitHub\eaglep3\Utilities\RefineRTDCRunTimes.py" --tripid 119-31 --locoid 4016 --swversion DE.1.0.7.0 --startMP 204:19133 --initTime 2016-08-31T06:07:02 --startdatetime 2016-08-31T06:08:38 --delay 1 --endMP 204:233334 --enddatetime 2016-08-31T06:47:00 --enforcementcount 0 &gt;&gt;C:\Users\stu\Documents\GitHub\eaglep3-reporting\EC\2016-08-31-refined-times.txt</v>
      </c>
      <c r="AI31" s="149" t="str">
        <f t="shared" si="16"/>
        <v>echo {"issue":{"subject":"DUS 2N was STOP because 20N was also STOP. Need to clear 20N before being able to clear 2N","project_id":79,"tracker_id":40,"status_id":1,"priority_id":2,"assigned_to_id":23,"start_date":"2016-08-31","description":"CodeServer logs indicate that 20N was STOP during the timeframe that the train was cut out. This would naturally explain why 2N was also STOP. Vital logic dictates that 20N must clear before 2N is allowed to clear while XO's 1 and 9 are Normal. I would consider this a dispatcher training issue.","custom_fields":[{"id":1,"name":"Subdivision","value":"EC"},{"id":4,"name":"Milepost","value":"21.4201"},{"id":17,"name":"Train ID","value":"119-31"},{"id":16,"name":"Locomotive ID","value":"4016"},{"id":130,"name":"Impact","value":"Unexpected Cut-Out or Disengaged"},{"id":150,"name":"Time of Event (Mountain Time)","value":"06:47:00"},{"id":151,"name":"Denver Issue ID","value":""},{"id":178,"name":"Operational Impact","value":"Yes"},{"id":179,"name":"Denver Segment Assigned","value":"Signal"}]}} | curl -X POST -H "Content-Type: application/json" -H "X-Redmine-API-Key: d6333d4a04012a730768444271f8ca06482dae87" https://secure.xorail.net/redmine/issues.json --data @-</v>
      </c>
      <c r="AJ31" s="164" t="s">
        <v>735</v>
      </c>
      <c r="AK31" s="55" t="s">
        <v>201</v>
      </c>
      <c r="AL31" s="55" t="s">
        <v>200</v>
      </c>
    </row>
    <row r="32" spans="1:38" s="1" customFormat="1" x14ac:dyDescent="0.25">
      <c r="A32" s="39" t="s">
        <v>400</v>
      </c>
      <c r="B32" s="7">
        <v>4016</v>
      </c>
      <c r="C32" s="24" t="s">
        <v>113</v>
      </c>
      <c r="D32" s="24" t="s">
        <v>402</v>
      </c>
      <c r="E32" s="15">
        <v>42613.248171296298</v>
      </c>
      <c r="F32" s="15">
        <v>42613.255995370368</v>
      </c>
      <c r="G32" s="7">
        <v>1</v>
      </c>
      <c r="H32" s="15" t="s">
        <v>403</v>
      </c>
      <c r="I32" s="15">
        <v>42613.282638888886</v>
      </c>
      <c r="J32" s="7">
        <v>0</v>
      </c>
      <c r="K32" s="132" t="str">
        <f t="shared" si="0"/>
        <v>4015/4016</v>
      </c>
      <c r="L32" s="24" t="str">
        <f>VLOOKUP(A32,'Trips&amp;Operators'!$C$1:$E$10000,3,FALSE)</f>
        <v>STRICKLAND</v>
      </c>
      <c r="M32" s="6">
        <f t="shared" si="1"/>
        <v>2.6643518518540077E-2</v>
      </c>
      <c r="N32" s="7"/>
      <c r="O32" s="7"/>
      <c r="P32" s="7"/>
      <c r="Q32" s="25"/>
      <c r="R32" s="25"/>
      <c r="S32" s="37"/>
      <c r="T32" s="52" t="str">
        <f t="shared" si="3"/>
        <v>NorthBound</v>
      </c>
      <c r="U32" s="126">
        <f>IF(AG32="EC",COUNTIFS(Variables!$M$2:$M$19,IF(T32="NorthBound","&gt;=","&lt;=")&amp;Y32,Variables!$M$2:$M$19,IF(T32="NorthBound","&lt;=","&gt;=")&amp;Z32),COUNTIFS(Variables!$P$2:$P$19,IF(T32="NorthBound","&gt;=","&lt;=")&amp;Y32,Variables!$P$2:$P$19,IF(T32="NorthBound","&lt;=","&gt;=")&amp;Z32))</f>
        <v>0</v>
      </c>
      <c r="V32" s="106" t="str">
        <f t="shared" si="4"/>
        <v>https://search-rtdc-monitor-bjffxe2xuh6vdkpspy63sjmuny.us-east-1.es.amazonaws.com/_plugin/kibana/#/discover/Steve-Slow-Train-Analysis-(2080s-and-2083s)?_g=(refreshInterval:(display:Off,section:0,value:0),time:(from:'2016-08-31 04:57:22-0600',mode:absolute,to:'2016-08-31 07:47: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4016%22')),sort:!(Time,asc))</v>
      </c>
      <c r="W32" s="54" t="str">
        <f t="shared" si="5"/>
        <v>Y</v>
      </c>
      <c r="X32" s="120">
        <f t="shared" si="21"/>
        <v>0</v>
      </c>
      <c r="Y32" s="69">
        <f t="shared" si="6"/>
        <v>7.6300000000000007E-2</v>
      </c>
      <c r="Z32" s="69">
        <f t="shared" si="7"/>
        <v>0.1205</v>
      </c>
      <c r="AA32" s="69">
        <f t="shared" si="8"/>
        <v>4.4199999999999989E-2</v>
      </c>
      <c r="AB32" s="66">
        <f>VLOOKUP(A32,Enforcements!$C$7:$J$21,8,0)</f>
        <v>116838</v>
      </c>
      <c r="AC32" s="62" t="str">
        <f>VLOOKUP(A32,Enforcements!$C$7:$E$21,3,0)</f>
        <v>PERMANENT SPEED RESTRICTION</v>
      </c>
      <c r="AD32" s="63" t="str">
        <f t="shared" si="9"/>
        <v>0119-31</v>
      </c>
      <c r="AE32" s="99" t="str">
        <f t="shared" si="10"/>
        <v>aws s3 cp s3://rtdc.mdm.uploadarchive/RTDC4016/2016-08-31/ "%USERPROFILE%\AppData\Local\Temp\OnboardLogs"\RTDC4016\2016-08-31 --recursive &amp; "%USERPROFILE%\Documents\GitHub\mrs-test-scripts\Headless Mode &amp; Sideloading\WalkAndUnGZ.bat" "%USERPROFILE%\AppData\Local\Temp\OnboardLogs"\RTDC4016\2016-08-31 &amp; aws s3 cp s3://rtdc.mdm.uploadarchive/RTDC4016/2016-09-01/ "%USERPROFILE%\AppData\Local\Temp\OnboardLogs"\RTDC4016\2016-09-01 --recursive &amp; "%USERPROFILE%\Documents\GitHub\mrs-test-scripts\Headless Mode &amp; Sideloading\WalkAndUnGZ.bat" "%USERPROFILE%\AppData\Local\Temp\OnboardLogs"\RTDC4016\2016-09-01</v>
      </c>
      <c r="AF32" s="96" t="str">
        <f t="shared" si="11"/>
        <v>"C:\Program Files (x86)\AstroGrep\AstroGrep.exe" /spath="%USERPROFILE%\AppData\Local\Temp\OnboardLogs" /stypes="*4016*20160831*" /stext=" 12:.+((SYSTEM_STATE.+slice.+state.+changed )|(ment ac)|(system.+state.+changed )|(\|lc)|(penalty)|(\[timeout)|(PRM\|1\|D)|(kpr)|(kdp))" /e /r /s</v>
      </c>
      <c r="AG32" s="1" t="str">
        <f t="shared" si="12"/>
        <v>EC</v>
      </c>
      <c r="AH32" s="100" t="str">
        <f t="shared" si="15"/>
        <v>"%USERPROFILE%\Documents\GitHub\eaglep3\Utilities\RefineRTDCRunTimes.py" --tripid 119-31 --locoid 4016 --swversion DE.1.0.7.0 --startMP 204:763 --initTime 2016-08-31T05:57:22 --startdatetime 2016-08-31T06:08:38 --delay 1 --endMP 204:1205 --enddatetime 2016-08-31T06:47:00 --enforcementcount 0 &gt;&gt;C:\Users\stu\Documents\GitHub\eaglep3-reporting\EC\2016-08-31-refined-times.txt</v>
      </c>
      <c r="AI32" s="149" t="str">
        <f t="shared" si="16"/>
        <v>echo {"issue":{"subject":"","project_id":79,"tracker_id":40,"status_id":1,"priority_id":2,"assigned_to_id":23,"start_date":"2016-08-31","description":"","custom_fields":[{"id":1,"name":"Subdivision","value":"EC"},{"id":4,"name":"Milepost","value":"0.0442"},{"id":17,"name":"Train ID","value":"119-31"},{"id":16,"name":"Locomotive ID","value":"4016"},{"id":130,"name":"Impact","value":""},{"id":150,"name":"Time of Event (Mountain Time)","value":"06:47:00"},{"id":151,"name":"Denver Issue ID","value":""},{"id":178,"name":"Operational Impact","value":"Yes"},{"id":179,"name":"Denver Segment Assigned","value":""}]}} | curl -X POST -H "Content-Type: application/json" -H "X-Redmine-API-Key: d6333d4a04012a730768444271f8ca06482dae87" https://secure.xorail.net/redmine/issues.json --data @-</v>
      </c>
      <c r="AJ32" s="55"/>
      <c r="AK32" s="55"/>
      <c r="AL32" s="55"/>
    </row>
    <row r="33" spans="1:38" s="1" customFormat="1" x14ac:dyDescent="0.25">
      <c r="A33" s="39" t="s">
        <v>404</v>
      </c>
      <c r="B33" s="7">
        <v>4015</v>
      </c>
      <c r="C33" s="24" t="s">
        <v>113</v>
      </c>
      <c r="D33" s="24" t="s">
        <v>405</v>
      </c>
      <c r="E33" s="15">
        <v>42613.284166666665</v>
      </c>
      <c r="F33" s="15">
        <v>42613.289085648146</v>
      </c>
      <c r="G33" s="7">
        <v>1</v>
      </c>
      <c r="H33" s="15" t="s">
        <v>373</v>
      </c>
      <c r="I33" s="15">
        <v>42613.317546296297</v>
      </c>
      <c r="J33" s="7">
        <v>0</v>
      </c>
      <c r="K33" s="132" t="str">
        <f t="shared" si="0"/>
        <v>4015/4016</v>
      </c>
      <c r="L33" s="24" t="str">
        <f>VLOOKUP(A33,'Trips&amp;Operators'!$C$1:$E$10000,3,FALSE)</f>
        <v>STRICKLAND</v>
      </c>
      <c r="M33" s="6">
        <f t="shared" si="1"/>
        <v>2.846064815093996E-2</v>
      </c>
      <c r="N33" s="7">
        <f t="shared" ref="N33:N64" si="22">24*60*SUM($M33:$M33)</f>
        <v>40.983333337353542</v>
      </c>
      <c r="O33" s="7"/>
      <c r="P33" s="7"/>
      <c r="Q33" s="25"/>
      <c r="R33" s="25"/>
      <c r="S33" s="37">
        <f t="shared" ref="S33:S64" si="23">SUM(U33:U33)/IF(AG33="EC",12,1)</f>
        <v>1</v>
      </c>
      <c r="T33" s="52" t="str">
        <f t="shared" si="3"/>
        <v>Southbound</v>
      </c>
      <c r="U33" s="126">
        <f>IF(AG33="EC",COUNTIFS(Variables!$M$2:$M$19,IF(T33="NorthBound","&gt;=","&lt;=")&amp;Y33,Variables!$M$2:$M$19,IF(T33="NorthBound","&lt;=","&gt;=")&amp;Z33),COUNTIFS(Variables!$P$2:$P$19,IF(T33="NorthBound","&gt;=","&lt;=")&amp;Y33,Variables!$P$2:$P$19,IF(T33="NorthBound","&lt;=","&gt;=")&amp;Z33))</f>
        <v>12</v>
      </c>
      <c r="V33" s="106" t="str">
        <f t="shared" si="4"/>
        <v>https://search-rtdc-monitor-bjffxe2xuh6vdkpspy63sjmuny.us-east-1.es.amazonaws.com/_plugin/kibana/#/discover/Steve-Slow-Train-Analysis-(2080s-and-2083s)?_g=(refreshInterval:(display:Off,section:0,value:0),time:(from:'2016-08-31 05:49:12-0600',mode:absolute,to:'2016-08-31 08:37:16-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4015%22')),sort:!(Time,asc))</v>
      </c>
      <c r="W33" s="54" t="str">
        <f t="shared" si="5"/>
        <v>N</v>
      </c>
      <c r="X33" s="120">
        <f t="shared" si="21"/>
        <v>1</v>
      </c>
      <c r="Y33" s="69">
        <f t="shared" si="6"/>
        <v>23.303000000000001</v>
      </c>
      <c r="Z33" s="69">
        <f t="shared" si="7"/>
        <v>1.41E-2</v>
      </c>
      <c r="AA33" s="69">
        <f t="shared" si="8"/>
        <v>23.288900000000002</v>
      </c>
      <c r="AB33" s="66" t="e">
        <f>VLOOKUP(A33,Enforcements!$C$7:$J$21,8,0)</f>
        <v>#N/A</v>
      </c>
      <c r="AC33" s="62" t="e">
        <f>VLOOKUP(A33,Enforcements!$C$7:$E$21,3,0)</f>
        <v>#N/A</v>
      </c>
      <c r="AD33" s="63" t="str">
        <f t="shared" si="9"/>
        <v>0120-31</v>
      </c>
      <c r="AE33" s="99" t="str">
        <f t="shared" si="10"/>
        <v>aws s3 cp s3://rtdc.mdm.uploadarchive/RTDC4015/2016-08-31/ "%USERPROFILE%\AppData\Local\Temp\OnboardLogs"\RTDC4015\2016-08-31 --recursive &amp; "%USERPROFILE%\Documents\GitHub\mrs-test-scripts\Headless Mode &amp; Sideloading\WalkAndUnGZ.bat" "%USERPROFILE%\AppData\Local\Temp\OnboardLogs"\RTDC4015\2016-08-31 &amp; aws s3 cp s3://rtdc.mdm.uploadarchive/RTDC4015/2016-09-01/ "%USERPROFILE%\AppData\Local\Temp\OnboardLogs"\RTDC4015\2016-09-01 --recursive &amp; "%USERPROFILE%\Documents\GitHub\mrs-test-scripts\Headless Mode &amp; Sideloading\WalkAndUnGZ.bat" "%USERPROFILE%\AppData\Local\Temp\OnboardLogs"\RTDC4015\2016-09-01</v>
      </c>
      <c r="AF33" s="96" t="str">
        <f t="shared" si="11"/>
        <v>"C:\Program Files (x86)\AstroGrep\AstroGrep.exe" /spath="%USERPROFILE%\AppData\Local\Temp\OnboardLogs" /stypes="*4015*20160831*" /stext=" 13:.+((SYSTEM_STATE.+slice.+state.+changed )|(ment ac)|(system.+state.+changed )|(\|lc)|(penalty)|(\[timeout)|(PRM\|1\|D)|(kpr)|(kdp))" /e /r /s</v>
      </c>
      <c r="AG33" s="1" t="str">
        <f t="shared" si="12"/>
        <v>EC</v>
      </c>
      <c r="AH33" s="100" t="str">
        <f t="shared" si="15"/>
        <v>"%USERPROFILE%\Documents\GitHub\eaglep3\Utilities\RefineRTDCRunTimes.py" --tripid 120-31 --locoid 4015 --swversion DE.1.0.7.0 --startMP 204:233030 --initTime 2016-08-31T06:49:12 --startdatetime 2016-08-31T06:56:17 --delay 1 --endMP 204:141 --enddatetime 2016-08-31T07:37:16 --enforcementcount 0 &gt;&gt;C:\Users\stu\Documents\GitHub\eaglep3-reporting\EC\2016-08-31-refined-times.txt</v>
      </c>
      <c r="AI33" s="149" t="str">
        <f t="shared" si="16"/>
        <v>echo {"issue":{"subject":"","project_id":79,"tracker_id":40,"status_id":1,"priority_id":2,"assigned_to_id":23,"start_date":"2016-08-31","description":"","custom_fields":[{"id":1,"name":"Subdivision","value":"EC"},{"id":4,"name":"Milepost","value":"23.2889"},{"id":17,"name":"Train ID","value":"120-31"},{"id":16,"name":"Locomotive ID","value":"4015"},{"id":130,"name":"Impact","value":""},{"id":150,"name":"Time of Event (Mountain Time)","value":"07:37:16"},{"id":151,"name":"Denver Issue ID","value":""},{"id":178,"name":"Operational Impact","value":"Yes"},{"id":179,"name":"Denver Segment Assigned","value":""}]}} | curl -X POST -H "Content-Type: application/json" -H "X-Redmine-API-Key: d6333d4a04012a730768444271f8ca06482dae87" https://secure.xorail.net/redmine/issues.json --data @-</v>
      </c>
      <c r="AJ33" s="55"/>
      <c r="AK33" s="55"/>
      <c r="AL33" s="55"/>
    </row>
    <row r="34" spans="1:38" s="1" customFormat="1" ht="16.5" customHeight="1" x14ac:dyDescent="0.25">
      <c r="A34" s="39" t="s">
        <v>406</v>
      </c>
      <c r="B34" s="7">
        <v>4014</v>
      </c>
      <c r="C34" s="24" t="s">
        <v>113</v>
      </c>
      <c r="D34" s="24" t="s">
        <v>407</v>
      </c>
      <c r="E34" s="15">
        <v>42613.256342592591</v>
      </c>
      <c r="F34" s="15">
        <v>42613.260625000003</v>
      </c>
      <c r="G34" s="7">
        <v>1</v>
      </c>
      <c r="H34" s="15" t="s">
        <v>408</v>
      </c>
      <c r="I34" s="15">
        <v>42613.286990740744</v>
      </c>
      <c r="J34" s="7">
        <v>0</v>
      </c>
      <c r="K34" s="132" t="str">
        <f t="shared" si="0"/>
        <v>4013/4014</v>
      </c>
      <c r="L34" s="24" t="str">
        <f>VLOOKUP(A34,'Trips&amp;Operators'!$C$1:$E$10000,3,FALSE)</f>
        <v>SPECTOR</v>
      </c>
      <c r="M34" s="6">
        <f t="shared" si="1"/>
        <v>2.6365740741312038E-2</v>
      </c>
      <c r="N34" s="7">
        <f t="shared" si="22"/>
        <v>37.966666667489335</v>
      </c>
      <c r="O34" s="7"/>
      <c r="P34" s="7"/>
      <c r="Q34" s="25"/>
      <c r="R34" s="25"/>
      <c r="S34" s="37">
        <f t="shared" si="23"/>
        <v>1</v>
      </c>
      <c r="T34" s="52" t="str">
        <f t="shared" si="3"/>
        <v>NorthBound</v>
      </c>
      <c r="U34" s="126">
        <f>IF(AG34="EC",COUNTIFS(Variables!$M$2:$M$19,IF(T34="NorthBound","&gt;=","&lt;=")&amp;Y34,Variables!$M$2:$M$19,IF(T34="NorthBound","&lt;=","&gt;=")&amp;Z34),COUNTIFS(Variables!$P$2:$P$19,IF(T34="NorthBound","&gt;=","&lt;=")&amp;Y34,Variables!$P$2:$P$19,IF(T34="NorthBound","&lt;=","&gt;=")&amp;Z34))</f>
        <v>12</v>
      </c>
      <c r="V34" s="106" t="str">
        <f t="shared" si="4"/>
        <v>https://search-rtdc-monitor-bjffxe2xuh6vdkpspy63sjmuny.us-east-1.es.amazonaws.com/_plugin/kibana/#/discover/Steve-Slow-Train-Analysis-(2080s-and-2083s)?_g=(refreshInterval:(display:Off,section:0,value:0),time:(from:'2016-08-31 05:09:08-0600',mode:absolute,to:'2016-08-31 07:53:16-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4014%22')),sort:!(Time,asc))</v>
      </c>
      <c r="W34" s="54" t="str">
        <f t="shared" si="5"/>
        <v>N</v>
      </c>
      <c r="X34" s="120">
        <f t="shared" si="21"/>
        <v>1</v>
      </c>
      <c r="Y34" s="69">
        <f t="shared" si="6"/>
        <v>4.8599999999999997E-2</v>
      </c>
      <c r="Z34" s="69">
        <f t="shared" si="7"/>
        <v>23.331800000000001</v>
      </c>
      <c r="AA34" s="69">
        <f t="shared" si="8"/>
        <v>23.283200000000001</v>
      </c>
      <c r="AB34" s="66" t="e">
        <f>VLOOKUP(A34,Enforcements!$C$7:$J$21,8,0)</f>
        <v>#N/A</v>
      </c>
      <c r="AC34" s="62" t="e">
        <f>VLOOKUP(A34,Enforcements!$C$7:$E$21,3,0)</f>
        <v>#N/A</v>
      </c>
      <c r="AD34" s="63" t="str">
        <f t="shared" si="9"/>
        <v>0121-31</v>
      </c>
      <c r="AE34" s="99" t="str">
        <f t="shared" si="10"/>
        <v>aws s3 cp s3://rtdc.mdm.uploadarchive/RTDC4014/2016-08-31/ "%USERPROFILE%\AppData\Local\Temp\OnboardLogs"\RTDC4014\2016-08-31 --recursive &amp; "%USERPROFILE%\Documents\GitHub\mrs-test-scripts\Headless Mode &amp; Sideloading\WalkAndUnGZ.bat" "%USERPROFILE%\AppData\Local\Temp\OnboardLogs"\RTDC4014\2016-08-31 &amp; aws s3 cp s3://rtdc.mdm.uploadarchive/RTDC4014/2016-09-01/ "%USERPROFILE%\AppData\Local\Temp\OnboardLogs"\RTDC4014\2016-09-01 --recursive &amp; "%USERPROFILE%\Documents\GitHub\mrs-test-scripts\Headless Mode &amp; Sideloading\WalkAndUnGZ.bat" "%USERPROFILE%\AppData\Local\Temp\OnboardLogs"\RTDC4014\2016-09-01</v>
      </c>
      <c r="AF34" s="96" t="str">
        <f t="shared" si="11"/>
        <v>"C:\Program Files (x86)\AstroGrep\AstroGrep.exe" /spath="%USERPROFILE%\AppData\Local\Temp\OnboardLogs" /stypes="*4014*20160831*" /stext=" 12:.+((SYSTEM_STATE.+slice.+state.+changed )|(ment ac)|(system.+state.+changed )|(\|lc)|(penalty)|(\[timeout)|(PRM\|1\|D)|(kpr)|(kdp))" /e /r /s</v>
      </c>
      <c r="AG34" s="1" t="str">
        <f t="shared" si="12"/>
        <v>EC</v>
      </c>
      <c r="AH34" s="100" t="str">
        <f t="shared" si="15"/>
        <v>"%USERPROFILE%\Documents\GitHub\eaglep3\Utilities\RefineRTDCRunTimes.py" --tripid 121-31 --locoid 4014 --swversion DE.1.0.7.0 --startMP 204:486 --initTime 2016-08-31T06:09:08 --startdatetime 2016-08-31T06:15:18 --delay 1 --endMP 204:233318 --enddatetime 2016-08-31T06:53:16 --enforcementcount 0 &gt;&gt;C:\Users\stu\Documents\GitHub\eaglep3-reporting\EC\2016-08-31-refined-times.txt</v>
      </c>
      <c r="AI34" s="149" t="str">
        <f t="shared" si="16"/>
        <v>echo {"issue":{"subject":"","project_id":79,"tracker_id":40,"status_id":1,"priority_id":2,"assigned_to_id":23,"start_date":"2016-08-31","description":"","custom_fields":[{"id":1,"name":"Subdivision","value":"EC"},{"id":4,"name":"Milepost","value":"23.2832"},{"id":17,"name":"Train ID","value":"121-31"},{"id":16,"name":"Locomotive ID","value":"4014"},{"id":130,"name":"Impact","value":""},{"id":150,"name":"Time of Event (Mountain Time)","value":"06:53:16"},{"id":151,"name":"Denver Issue ID","value":""},{"id":178,"name":"Operational Impact","value":"Yes"},{"id":179,"name":"Denver Segment Assigned","value":""}]}} | curl -X POST -H "Content-Type: application/json" -H "X-Redmine-API-Key: d6333d4a04012a730768444271f8ca06482dae87" https://secure.xorail.net/redmine/issues.json --data @-</v>
      </c>
      <c r="AJ34" s="55"/>
      <c r="AK34" s="55"/>
      <c r="AL34" s="55"/>
    </row>
    <row r="35" spans="1:38" s="1" customFormat="1" x14ac:dyDescent="0.25">
      <c r="A35" s="39" t="s">
        <v>409</v>
      </c>
      <c r="B35" s="7">
        <v>4013</v>
      </c>
      <c r="C35" s="24" t="s">
        <v>113</v>
      </c>
      <c r="D35" s="24" t="s">
        <v>271</v>
      </c>
      <c r="E35" s="15">
        <v>42613.293923611112</v>
      </c>
      <c r="F35" s="15">
        <v>42613.299479166664</v>
      </c>
      <c r="G35" s="7">
        <v>1</v>
      </c>
      <c r="H35" s="15" t="s">
        <v>167</v>
      </c>
      <c r="I35" s="15">
        <v>42613.32603009259</v>
      </c>
      <c r="J35" s="7">
        <v>0</v>
      </c>
      <c r="K35" s="132" t="str">
        <f t="shared" si="0"/>
        <v>4013/4014</v>
      </c>
      <c r="L35" s="24" t="str">
        <f>VLOOKUP(A35,'Trips&amp;Operators'!$C$1:$E$10000,3,FALSE)</f>
        <v>SPECTOR</v>
      </c>
      <c r="M35" s="6">
        <f t="shared" si="1"/>
        <v>2.6550925926130731E-2</v>
      </c>
      <c r="N35" s="7">
        <f t="shared" si="22"/>
        <v>38.233333333628252</v>
      </c>
      <c r="O35" s="7"/>
      <c r="P35" s="7"/>
      <c r="Q35" s="25"/>
      <c r="R35" s="25"/>
      <c r="S35" s="37">
        <f t="shared" si="23"/>
        <v>1</v>
      </c>
      <c r="T35" s="52" t="str">
        <f t="shared" si="3"/>
        <v>Southbound</v>
      </c>
      <c r="U35" s="126">
        <f>IF(AG35="EC",COUNTIFS(Variables!$M$2:$M$19,IF(T35="NorthBound","&gt;=","&lt;=")&amp;Y35,Variables!$M$2:$M$19,IF(T35="NorthBound","&lt;=","&gt;=")&amp;Z35),COUNTIFS(Variables!$P$2:$P$19,IF(T35="NorthBound","&gt;=","&lt;=")&amp;Y35,Variables!$P$2:$P$19,IF(T35="NorthBound","&lt;=","&gt;=")&amp;Z35))</f>
        <v>12</v>
      </c>
      <c r="V35" s="106" t="str">
        <f t="shared" si="4"/>
        <v>https://search-rtdc-monitor-bjffxe2xuh6vdkpspy63sjmuny.us-east-1.es.amazonaws.com/_plugin/kibana/#/discover/Steve-Slow-Train-Analysis-(2080s-and-2083s)?_g=(refreshInterval:(display:Off,section:0,value:0),time:(from:'2016-08-31 06:03:15-0600',mode:absolute,to:'2016-08-31 08:49:29-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4013%22')),sort:!(Time,asc))</v>
      </c>
      <c r="W35" s="54" t="str">
        <f t="shared" si="5"/>
        <v>N</v>
      </c>
      <c r="X35" s="120">
        <f t="shared" si="21"/>
        <v>1</v>
      </c>
      <c r="Y35" s="69">
        <f t="shared" si="6"/>
        <v>23.301300000000001</v>
      </c>
      <c r="Z35" s="69">
        <f t="shared" si="7"/>
        <v>1.52E-2</v>
      </c>
      <c r="AA35" s="69">
        <f t="shared" si="8"/>
        <v>23.286100000000001</v>
      </c>
      <c r="AB35" s="66" t="e">
        <f>VLOOKUP(A35,Enforcements!$C$7:$J$21,8,0)</f>
        <v>#N/A</v>
      </c>
      <c r="AC35" s="62" t="e">
        <f>VLOOKUP(A35,Enforcements!$C$7:$E$21,3,0)</f>
        <v>#N/A</v>
      </c>
      <c r="AD35" s="63" t="str">
        <f t="shared" si="9"/>
        <v>0122-31</v>
      </c>
      <c r="AE35" s="99" t="str">
        <f t="shared" si="10"/>
        <v>aws s3 cp s3://rtdc.mdm.uploadarchive/RTDC4013/2016-08-31/ "%USERPROFILE%\AppData\Local\Temp\OnboardLogs"\RTDC4013\2016-08-31 --recursive &amp; "%USERPROFILE%\Documents\GitHub\mrs-test-scripts\Headless Mode &amp; Sideloading\WalkAndUnGZ.bat" "%USERPROFILE%\AppData\Local\Temp\OnboardLogs"\RTDC4013\2016-08-31 &amp; aws s3 cp s3://rtdc.mdm.uploadarchive/RTDC4013/2016-09-01/ "%USERPROFILE%\AppData\Local\Temp\OnboardLogs"\RTDC4013\2016-09-01 --recursive &amp; "%USERPROFILE%\Documents\GitHub\mrs-test-scripts\Headless Mode &amp; Sideloading\WalkAndUnGZ.bat" "%USERPROFILE%\AppData\Local\Temp\OnboardLogs"\RTDC4013\2016-09-01</v>
      </c>
      <c r="AF35" s="96" t="str">
        <f t="shared" si="11"/>
        <v>"C:\Program Files (x86)\AstroGrep\AstroGrep.exe" /spath="%USERPROFILE%\AppData\Local\Temp\OnboardLogs" /stypes="*4013*20160831*" /stext=" 13:.+((SYSTEM_STATE.+slice.+state.+changed )|(ment ac)|(system.+state.+changed )|(\|lc)|(penalty)|(\[timeout)|(PRM\|1\|D)|(kpr)|(kdp))" /e /r /s</v>
      </c>
      <c r="AG35" s="1" t="str">
        <f t="shared" si="12"/>
        <v>EC</v>
      </c>
      <c r="AH35" s="100" t="str">
        <f t="shared" si="15"/>
        <v>"%USERPROFILE%\Documents\GitHub\eaglep3\Utilities\RefineRTDCRunTimes.py" --tripid 122-31 --locoid 4013 --swversion DE.1.0.7.0 --startMP 204:233013 --initTime 2016-08-31T07:03:15 --startdatetime 2016-08-31T07:11:15 --delay 1 --endMP 204:152 --enddatetime 2016-08-31T07:49:29 --enforcementcount 0 &gt;&gt;C:\Users\stu\Documents\GitHub\eaglep3-reporting\EC\2016-08-31-refined-times.txt</v>
      </c>
      <c r="AI35" s="149" t="str">
        <f t="shared" si="16"/>
        <v>echo {"issue":{"subject":"","project_id":79,"tracker_id":40,"status_id":1,"priority_id":2,"assigned_to_id":23,"start_date":"2016-08-31","description":"","custom_fields":[{"id":1,"name":"Subdivision","value":"EC"},{"id":4,"name":"Milepost","value":"23.2861"},{"id":17,"name":"Train ID","value":"122-31"},{"id":16,"name":"Locomotive ID","value":"4013"},{"id":130,"name":"Impact","value":""},{"id":150,"name":"Time of Event (Mountain Time)","value":"07:49:29"},{"id":151,"name":"Denver Issue ID","value":""},{"id":178,"name":"Operational Impact","value":"Yes"},{"id":179,"name":"Denver Segment Assigned","value":""}]}} | curl -X POST -H "Content-Type: application/json" -H "X-Redmine-API-Key: d6333d4a04012a730768444271f8ca06482dae87" https://secure.xorail.net/redmine/issues.json --data @-</v>
      </c>
      <c r="AJ35" s="55"/>
      <c r="AK35" s="55"/>
      <c r="AL35" s="55"/>
    </row>
    <row r="36" spans="1:38" s="31" customFormat="1" x14ac:dyDescent="0.25">
      <c r="A36" s="39" t="s">
        <v>410</v>
      </c>
      <c r="B36" s="7">
        <v>4011</v>
      </c>
      <c r="C36" s="24" t="s">
        <v>113</v>
      </c>
      <c r="D36" s="24" t="s">
        <v>125</v>
      </c>
      <c r="E36" s="15">
        <v>42613.265381944446</v>
      </c>
      <c r="F36" s="15">
        <v>42613.271261574075</v>
      </c>
      <c r="G36" s="7">
        <v>1</v>
      </c>
      <c r="H36" s="15" t="s">
        <v>411</v>
      </c>
      <c r="I36" s="15">
        <v>42613.296099537038</v>
      </c>
      <c r="J36" s="7">
        <v>0</v>
      </c>
      <c r="K36" s="132" t="str">
        <f t="shared" si="0"/>
        <v>4011/4012</v>
      </c>
      <c r="L36" s="24" t="str">
        <f>VLOOKUP(A36,'Trips&amp;Operators'!$C$1:$E$10000,3,FALSE)</f>
        <v>KILLION</v>
      </c>
      <c r="M36" s="6">
        <f t="shared" si="1"/>
        <v>2.4837962962919846E-2</v>
      </c>
      <c r="N36" s="7">
        <f t="shared" si="22"/>
        <v>35.766666666604578</v>
      </c>
      <c r="O36" s="7"/>
      <c r="P36" s="7"/>
      <c r="Q36" s="25"/>
      <c r="R36" s="25"/>
      <c r="S36" s="37">
        <f t="shared" si="23"/>
        <v>1</v>
      </c>
      <c r="T36" s="52" t="str">
        <f t="shared" si="3"/>
        <v>NorthBound</v>
      </c>
      <c r="U36" s="126">
        <f>IF(AG36="EC",COUNTIFS(Variables!$M$2:$M$19,IF(T36="NorthBound","&gt;=","&lt;=")&amp;Y36,Variables!$M$2:$M$19,IF(T36="NorthBound","&lt;=","&gt;=")&amp;Z36),COUNTIFS(Variables!$P$2:$P$19,IF(T36="NorthBound","&gt;=","&lt;=")&amp;Y36,Variables!$P$2:$P$19,IF(T36="NorthBound","&lt;=","&gt;=")&amp;Z36))</f>
        <v>12</v>
      </c>
      <c r="V36" s="106" t="str">
        <f t="shared" si="4"/>
        <v>https://search-rtdc-monitor-bjffxe2xuh6vdkpspy63sjmuny.us-east-1.es.amazonaws.com/_plugin/kibana/#/discover/Steve-Slow-Train-Analysis-(2080s-and-2083s)?_g=(refreshInterval:(display:Off,section:0,value:0),time:(from:'2016-08-31 05:22:09-0600',mode:absolute,to:'2016-08-31 08:06:23-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4011%22')),sort:!(Time,asc))</v>
      </c>
      <c r="W36" s="54" t="str">
        <f t="shared" si="5"/>
        <v>N</v>
      </c>
      <c r="X36" s="120">
        <f t="shared" si="21"/>
        <v>1</v>
      </c>
      <c r="Y36" s="69">
        <f t="shared" si="6"/>
        <v>4.5499999999999999E-2</v>
      </c>
      <c r="Z36" s="69">
        <f t="shared" si="7"/>
        <v>23.3264</v>
      </c>
      <c r="AA36" s="69">
        <f t="shared" si="8"/>
        <v>23.280899999999999</v>
      </c>
      <c r="AB36" s="66" t="e">
        <f>VLOOKUP(A36,Enforcements!$C$7:$J$21,8,0)</f>
        <v>#N/A</v>
      </c>
      <c r="AC36" s="62" t="e">
        <f>VLOOKUP(A36,Enforcements!$C$7:$E$21,3,0)</f>
        <v>#N/A</v>
      </c>
      <c r="AD36" s="63" t="str">
        <f t="shared" si="9"/>
        <v>0123-31</v>
      </c>
      <c r="AE36" s="99" t="str">
        <f t="shared" si="10"/>
        <v>aws s3 cp s3://rtdc.mdm.uploadarchive/RTDC4011/2016-08-31/ "%USERPROFILE%\AppData\Local\Temp\OnboardLogs"\RTDC4011\2016-08-31 --recursive &amp; "%USERPROFILE%\Documents\GitHub\mrs-test-scripts\Headless Mode &amp; Sideloading\WalkAndUnGZ.bat" "%USERPROFILE%\AppData\Local\Temp\OnboardLogs"\RTDC4011\2016-08-31 &amp; aws s3 cp s3://rtdc.mdm.uploadarchive/RTDC4011/2016-09-01/ "%USERPROFILE%\AppData\Local\Temp\OnboardLogs"\RTDC4011\2016-09-01 --recursive &amp; "%USERPROFILE%\Documents\GitHub\mrs-test-scripts\Headless Mode &amp; Sideloading\WalkAndUnGZ.bat" "%USERPROFILE%\AppData\Local\Temp\OnboardLogs"\RTDC4011\2016-09-01</v>
      </c>
      <c r="AF36" s="96" t="str">
        <f t="shared" si="11"/>
        <v>"C:\Program Files (x86)\AstroGrep\AstroGrep.exe" /spath="%USERPROFILE%\AppData\Local\Temp\OnboardLogs" /stypes="*4011*20160831*" /stext=" 13:.+((SYSTEM_STATE.+slice.+state.+changed )|(ment ac)|(system.+state.+changed )|(\|lc)|(penalty)|(\[timeout)|(PRM\|1\|D)|(kpr)|(kdp))" /e /r /s</v>
      </c>
      <c r="AG36" s="1" t="str">
        <f t="shared" si="12"/>
        <v>EC</v>
      </c>
      <c r="AH36" s="100" t="str">
        <f t="shared" si="15"/>
        <v>"%USERPROFILE%\Documents\GitHub\eaglep3\Utilities\RefineRTDCRunTimes.py" --tripid 123-31 --locoid 4011 --swversion DE.1.0.7.0 --startMP 204:455 --initTime 2016-08-31T06:22:09 --startdatetime 2016-08-31T06:30:37 --delay 1 --endMP 204:233264 --enddatetime 2016-08-31T07:06:23 --enforcementcount 0 &gt;&gt;C:\Users\stu\Documents\GitHub\eaglep3-reporting\EC\2016-08-31-refined-times.txt</v>
      </c>
      <c r="AI36" s="149" t="str">
        <f t="shared" si="16"/>
        <v>echo {"issue":{"subject":"","project_id":79,"tracker_id":40,"status_id":1,"priority_id":2,"assigned_to_id":23,"start_date":"2016-08-31","description":"","custom_fields":[{"id":1,"name":"Subdivision","value":"EC"},{"id":4,"name":"Milepost","value":"23.2809"},{"id":17,"name":"Train ID","value":"123-31"},{"id":16,"name":"Locomotive ID","value":"4011"},{"id":130,"name":"Impact","value":""},{"id":150,"name":"Time of Event (Mountain Time)","value":"07:06:23"},{"id":151,"name":"Denver Issue ID","value":""},{"id":178,"name":"Operational Impact","value":"Yes"},{"id":179,"name":"Denver Segment Assigned","value":""}]}} | curl -X POST -H "Content-Type: application/json" -H "X-Redmine-API-Key: d6333d4a04012a730768444271f8ca06482dae87" https://secure.xorail.net/redmine/issues.json --data @-</v>
      </c>
      <c r="AJ36" s="55"/>
      <c r="AK36" s="55"/>
      <c r="AL36" s="55"/>
    </row>
    <row r="37" spans="1:38" s="1" customFormat="1" x14ac:dyDescent="0.25">
      <c r="A37" s="39" t="s">
        <v>412</v>
      </c>
      <c r="B37" s="7">
        <v>4012</v>
      </c>
      <c r="C37" s="24" t="s">
        <v>113</v>
      </c>
      <c r="D37" s="24" t="s">
        <v>248</v>
      </c>
      <c r="E37" s="15">
        <v>42613.30196759259</v>
      </c>
      <c r="F37" s="15">
        <v>42613.309942129628</v>
      </c>
      <c r="G37" s="7">
        <v>1</v>
      </c>
      <c r="H37" s="15" t="s">
        <v>136</v>
      </c>
      <c r="I37" s="15">
        <v>42613.338263888887</v>
      </c>
      <c r="J37" s="7">
        <v>0</v>
      </c>
      <c r="K37" s="132" t="str">
        <f t="shared" si="0"/>
        <v>4011/4012</v>
      </c>
      <c r="L37" s="24" t="str">
        <f>VLOOKUP(A37,'Trips&amp;Operators'!$C$1:$E$10000,3,FALSE)</f>
        <v>KILLION</v>
      </c>
      <c r="M37" s="6">
        <f t="shared" si="1"/>
        <v>2.8321759258687962E-2</v>
      </c>
      <c r="N37" s="7">
        <f t="shared" si="22"/>
        <v>40.783333332510665</v>
      </c>
      <c r="O37" s="7"/>
      <c r="P37" s="7"/>
      <c r="Q37" s="25"/>
      <c r="R37" s="25"/>
      <c r="S37" s="37">
        <f t="shared" si="23"/>
        <v>1</v>
      </c>
      <c r="T37" s="52" t="str">
        <f t="shared" si="3"/>
        <v>Southbound</v>
      </c>
      <c r="U37" s="126">
        <f>IF(AG37="EC",COUNTIFS(Variables!$M$2:$M$19,IF(T37="NorthBound","&gt;=","&lt;=")&amp;Y37,Variables!$M$2:$M$19,IF(T37="NorthBound","&lt;=","&gt;=")&amp;Z37),COUNTIFS(Variables!$P$2:$P$19,IF(T37="NorthBound","&gt;=","&lt;=")&amp;Y37,Variables!$P$2:$P$19,IF(T37="NorthBound","&lt;=","&gt;=")&amp;Z37))</f>
        <v>12</v>
      </c>
      <c r="V37" s="106" t="str">
        <f t="shared" si="4"/>
        <v>https://search-rtdc-monitor-bjffxe2xuh6vdkpspy63sjmuny.us-east-1.es.amazonaws.com/_plugin/kibana/#/discover/Steve-Slow-Train-Analysis-(2080s-and-2083s)?_g=(refreshInterval:(display:Off,section:0,value:0),time:(from:'2016-08-31 06:14:50-0600',mode:absolute,to:'2016-08-31 09:07:06-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4012%22')),sort:!(Time,asc))</v>
      </c>
      <c r="W37" s="54" t="str">
        <f t="shared" si="5"/>
        <v>N</v>
      </c>
      <c r="X37" s="120">
        <f t="shared" si="21"/>
        <v>1</v>
      </c>
      <c r="Y37" s="69">
        <f t="shared" si="6"/>
        <v>23.2974</v>
      </c>
      <c r="Z37" s="69">
        <f t="shared" si="7"/>
        <v>1.49E-2</v>
      </c>
      <c r="AA37" s="69">
        <f t="shared" si="8"/>
        <v>23.282499999999999</v>
      </c>
      <c r="AB37" s="66" t="e">
        <f>VLOOKUP(A37,Enforcements!$C$7:$J$21,8,0)</f>
        <v>#N/A</v>
      </c>
      <c r="AC37" s="62" t="e">
        <f>VLOOKUP(A37,Enforcements!$C$7:$E$21,3,0)</f>
        <v>#N/A</v>
      </c>
      <c r="AD37" s="63" t="str">
        <f t="shared" si="9"/>
        <v>0124-31</v>
      </c>
      <c r="AE37" s="99" t="str">
        <f t="shared" si="10"/>
        <v>aws s3 cp s3://rtdc.mdm.uploadarchive/RTDC4012/2016-08-31/ "%USERPROFILE%\AppData\Local\Temp\OnboardLogs"\RTDC4012\2016-08-31 --recursive &amp; "%USERPROFILE%\Documents\GitHub\mrs-test-scripts\Headless Mode &amp; Sideloading\WalkAndUnGZ.bat" "%USERPROFILE%\AppData\Local\Temp\OnboardLogs"\RTDC4012\2016-08-31 &amp; aws s3 cp s3://rtdc.mdm.uploadarchive/RTDC4012/2016-09-01/ "%USERPROFILE%\AppData\Local\Temp\OnboardLogs"\RTDC4012\2016-09-01 --recursive &amp; "%USERPROFILE%\Documents\GitHub\mrs-test-scripts\Headless Mode &amp; Sideloading\WalkAndUnGZ.bat" "%USERPROFILE%\AppData\Local\Temp\OnboardLogs"\RTDC4012\2016-09-01</v>
      </c>
      <c r="AF37" s="96" t="str">
        <f t="shared" si="11"/>
        <v>"C:\Program Files (x86)\AstroGrep\AstroGrep.exe" /spath="%USERPROFILE%\AppData\Local\Temp\OnboardLogs" /stypes="*4012*20160831*" /stext=" 14:.+((SYSTEM_STATE.+slice.+state.+changed )|(ment ac)|(system.+state.+changed )|(\|lc)|(penalty)|(\[timeout)|(PRM\|1\|D)|(kpr)|(kdp))" /e /r /s</v>
      </c>
      <c r="AG37" s="1" t="str">
        <f t="shared" si="12"/>
        <v>EC</v>
      </c>
      <c r="AH37" s="100" t="str">
        <f t="shared" si="15"/>
        <v>"%USERPROFILE%\Documents\GitHub\eaglep3\Utilities\RefineRTDCRunTimes.py" --tripid 124-31 --locoid 4012 --swversion DE.1.0.7.0 --startMP 204:232974 --initTime 2016-08-31T07:14:50 --startdatetime 2016-08-31T07:26:19 --delay 1 --endMP 204:149 --enddatetime 2016-08-31T08:07:06 --enforcementcount 0 &gt;&gt;C:\Users\stu\Documents\GitHub\eaglep3-reporting\EC\2016-08-31-refined-times.txt</v>
      </c>
      <c r="AI37" s="149" t="str">
        <f t="shared" si="16"/>
        <v>echo {"issue":{"subject":"","project_id":79,"tracker_id":40,"status_id":1,"priority_id":2,"assigned_to_id":23,"start_date":"2016-08-31","description":"","custom_fields":[{"id":1,"name":"Subdivision","value":"EC"},{"id":4,"name":"Milepost","value":"23.2825"},{"id":17,"name":"Train ID","value":"124-31"},{"id":16,"name":"Locomotive ID","value":"4012"},{"id":130,"name":"Impact","value":""},{"id":150,"name":"Time of Event (Mountain Time)","value":"08:07:06"},{"id":151,"name":"Denver Issue ID","value":""},{"id":178,"name":"Operational Impact","value":"Yes"},{"id":179,"name":"Denver Segment Assigned","value":""}]}} | curl -X POST -H "Content-Type: application/json" -H "X-Redmine-API-Key: d6333d4a04012a730768444271f8ca06482dae87" https://secure.xorail.net/redmine/issues.json --data @-</v>
      </c>
      <c r="AJ37" s="55"/>
      <c r="AK37" s="55"/>
      <c r="AL37" s="55"/>
    </row>
    <row r="38" spans="1:38" s="1" customFormat="1" x14ac:dyDescent="0.25">
      <c r="A38" s="39" t="s">
        <v>413</v>
      </c>
      <c r="B38" s="7">
        <v>4042</v>
      </c>
      <c r="C38" s="24" t="s">
        <v>113</v>
      </c>
      <c r="D38" s="24" t="s">
        <v>245</v>
      </c>
      <c r="E38" s="15">
        <v>42613.276412037034</v>
      </c>
      <c r="F38" s="15">
        <v>42613.281851851854</v>
      </c>
      <c r="G38" s="7">
        <v>1</v>
      </c>
      <c r="H38" s="15" t="s">
        <v>414</v>
      </c>
      <c r="I38" s="15">
        <v>42613.306319444448</v>
      </c>
      <c r="J38" s="7">
        <v>0</v>
      </c>
      <c r="K38" s="132" t="str">
        <f t="shared" si="0"/>
        <v>4041/4042</v>
      </c>
      <c r="L38" s="24" t="str">
        <f>VLOOKUP(A38,'Trips&amp;Operators'!$C$1:$E$10000,3,FALSE)</f>
        <v>ROCHA</v>
      </c>
      <c r="M38" s="6">
        <f t="shared" si="1"/>
        <v>2.4467592593282461E-2</v>
      </c>
      <c r="N38" s="7">
        <f t="shared" si="22"/>
        <v>35.233333334326744</v>
      </c>
      <c r="O38" s="7"/>
      <c r="P38" s="7"/>
      <c r="Q38" s="25"/>
      <c r="R38" s="25"/>
      <c r="S38" s="37">
        <f t="shared" si="23"/>
        <v>1</v>
      </c>
      <c r="T38" s="52" t="str">
        <f t="shared" si="3"/>
        <v>NorthBound</v>
      </c>
      <c r="U38" s="126">
        <f>IF(AG38="EC",COUNTIFS(Variables!$M$2:$M$19,IF(T38="NorthBound","&gt;=","&lt;=")&amp;Y38,Variables!$M$2:$M$19,IF(T38="NorthBound","&lt;=","&gt;=")&amp;Z38),COUNTIFS(Variables!$P$2:$P$19,IF(T38="NorthBound","&gt;=","&lt;=")&amp;Y38,Variables!$P$2:$P$19,IF(T38="NorthBound","&lt;=","&gt;=")&amp;Z38))</f>
        <v>12</v>
      </c>
      <c r="V38" s="106" t="str">
        <f t="shared" si="4"/>
        <v>https://search-rtdc-monitor-bjffxe2xuh6vdkpspy63sjmuny.us-east-1.es.amazonaws.com/_plugin/kibana/#/discover/Steve-Slow-Train-Analysis-(2080s-and-2083s)?_g=(refreshInterval:(display:Off,section:0,value:0),time:(from:'2016-08-31 05:38:02-0600',mode:absolute,to:'2016-08-31 08:21:06-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4042%22')),sort:!(Time,asc))</v>
      </c>
      <c r="W38" s="54" t="str">
        <f t="shared" si="5"/>
        <v>N</v>
      </c>
      <c r="X38" s="120">
        <f t="shared" si="21"/>
        <v>1</v>
      </c>
      <c r="Y38" s="69">
        <f t="shared" si="6"/>
        <v>4.58E-2</v>
      </c>
      <c r="Z38" s="69">
        <f t="shared" si="7"/>
        <v>23.334099999999999</v>
      </c>
      <c r="AA38" s="69">
        <f t="shared" si="8"/>
        <v>23.2883</v>
      </c>
      <c r="AB38" s="66" t="e">
        <f>VLOOKUP(A38,Enforcements!$C$7:$J$21,8,0)</f>
        <v>#N/A</v>
      </c>
      <c r="AC38" s="62" t="e">
        <f>VLOOKUP(A38,Enforcements!$C$7:$E$21,3,0)</f>
        <v>#N/A</v>
      </c>
      <c r="AD38" s="63" t="str">
        <f t="shared" si="9"/>
        <v>0125-31</v>
      </c>
      <c r="AE38" s="99" t="str">
        <f t="shared" si="10"/>
        <v>aws s3 cp s3://rtdc.mdm.uploadarchive/RTDC4042/2016-08-31/ "%USERPROFILE%\AppData\Local\Temp\OnboardLogs"\RTDC4042\2016-08-31 --recursive &amp; "%USERPROFILE%\Documents\GitHub\mrs-test-scripts\Headless Mode &amp; Sideloading\WalkAndUnGZ.bat" "%USERPROFILE%\AppData\Local\Temp\OnboardLogs"\RTDC4042\2016-08-31 &amp; aws s3 cp s3://rtdc.mdm.uploadarchive/RTDC4042/2016-09-01/ "%USERPROFILE%\AppData\Local\Temp\OnboardLogs"\RTDC4042\2016-09-01 --recursive &amp; "%USERPROFILE%\Documents\GitHub\mrs-test-scripts\Headless Mode &amp; Sideloading\WalkAndUnGZ.bat" "%USERPROFILE%\AppData\Local\Temp\OnboardLogs"\RTDC4042\2016-09-01</v>
      </c>
      <c r="AF38" s="96" t="str">
        <f t="shared" si="11"/>
        <v>"C:\Program Files (x86)\AstroGrep\AstroGrep.exe" /spath="%USERPROFILE%\AppData\Local\Temp\OnboardLogs" /stypes="*4042*20160831*" /stext=" 13:.+((SYSTEM_STATE.+slice.+state.+changed )|(ment ac)|(system.+state.+changed )|(\|lc)|(penalty)|(\[timeout)|(PRM\|1\|D)|(kpr)|(kdp))" /e /r /s</v>
      </c>
      <c r="AG38" s="1" t="str">
        <f t="shared" si="12"/>
        <v>EC</v>
      </c>
      <c r="AH38" s="100" t="str">
        <f t="shared" si="15"/>
        <v>"%USERPROFILE%\Documents\GitHub\eaglep3\Utilities\RefineRTDCRunTimes.py" --tripid 125-31 --locoid 4042 --swversion DE.1.0.7.0 --startMP 204:458 --initTime 2016-08-31T06:38:02 --startdatetime 2016-08-31T06:45:52 --delay 1 --endMP 204:233341 --enddatetime 2016-08-31T07:21:06 --enforcementcount 0 &gt;&gt;C:\Users\stu\Documents\GitHub\eaglep3-reporting\EC\2016-08-31-refined-times.txt</v>
      </c>
      <c r="AI38" s="149" t="str">
        <f t="shared" si="16"/>
        <v>echo {"issue":{"subject":"","project_id":79,"tracker_id":40,"status_id":1,"priority_id":2,"assigned_to_id":23,"start_date":"2016-08-31","description":"","custom_fields":[{"id":1,"name":"Subdivision","value":"EC"},{"id":4,"name":"Milepost","value":"23.2883"},{"id":17,"name":"Train ID","value":"125-31"},{"id":16,"name":"Locomotive ID","value":"4042"},{"id":130,"name":"Impact","value":""},{"id":150,"name":"Time of Event (Mountain Time)","value":"07:21:06"},{"id":151,"name":"Denver Issue ID","value":""},{"id":178,"name":"Operational Impact","value":"Yes"},{"id":179,"name":"Denver Segment Assigned","value":""}]}} | curl -X POST -H "Content-Type: application/json" -H "X-Redmine-API-Key: d6333d4a04012a730768444271f8ca06482dae87" https://secure.xorail.net/redmine/issues.json --data @-</v>
      </c>
      <c r="AJ38" s="55"/>
      <c r="AK38" s="55"/>
      <c r="AL38" s="55"/>
    </row>
    <row r="39" spans="1:38" s="1" customFormat="1" x14ac:dyDescent="0.25">
      <c r="A39" s="39" t="s">
        <v>415</v>
      </c>
      <c r="B39" s="7">
        <v>4041</v>
      </c>
      <c r="C39" s="24" t="s">
        <v>113</v>
      </c>
      <c r="D39" s="24" t="s">
        <v>416</v>
      </c>
      <c r="E39" s="15">
        <v>42613.317187499997</v>
      </c>
      <c r="F39" s="15">
        <v>42613.320428240739</v>
      </c>
      <c r="G39" s="7">
        <v>1</v>
      </c>
      <c r="H39" s="15" t="s">
        <v>132</v>
      </c>
      <c r="I39" s="15">
        <v>42613.34747685185</v>
      </c>
      <c r="J39" s="7">
        <v>0</v>
      </c>
      <c r="K39" s="132" t="str">
        <f t="shared" si="0"/>
        <v>4041/4042</v>
      </c>
      <c r="L39" s="24" t="str">
        <f>VLOOKUP(A39,'Trips&amp;Operators'!$C$1:$E$10000,3,FALSE)</f>
        <v>ROCHA</v>
      </c>
      <c r="M39" s="6">
        <f t="shared" si="1"/>
        <v>2.7048611111240461E-2</v>
      </c>
      <c r="N39" s="7">
        <f t="shared" si="22"/>
        <v>38.950000000186265</v>
      </c>
      <c r="O39" s="7"/>
      <c r="P39" s="7"/>
      <c r="Q39" s="25"/>
      <c r="R39" s="25"/>
      <c r="S39" s="37">
        <f t="shared" si="23"/>
        <v>1</v>
      </c>
      <c r="T39" s="52" t="str">
        <f t="shared" si="3"/>
        <v>Southbound</v>
      </c>
      <c r="U39" s="126">
        <f>IF(AG39="EC",COUNTIFS(Variables!$M$2:$M$19,IF(T39="NorthBound","&gt;=","&lt;=")&amp;Y39,Variables!$M$2:$M$19,IF(T39="NorthBound","&lt;=","&gt;=")&amp;Z39),COUNTIFS(Variables!$P$2:$P$19,IF(T39="NorthBound","&gt;=","&lt;=")&amp;Y39,Variables!$P$2:$P$19,IF(T39="NorthBound","&lt;=","&gt;=")&amp;Z39))</f>
        <v>12</v>
      </c>
      <c r="V39" s="106" t="str">
        <f t="shared" si="4"/>
        <v>https://search-rtdc-monitor-bjffxe2xuh6vdkpspy63sjmuny.us-east-1.es.amazonaws.com/_plugin/kibana/#/discover/Steve-Slow-Train-Analysis-(2080s-and-2083s)?_g=(refreshInterval:(display:Off,section:0,value:0),time:(from:'2016-08-31 06:36:45-0600',mode:absolute,to:'2016-08-31 09:20:22-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4041%22')),sort:!(Time,asc))</v>
      </c>
      <c r="W39" s="54" t="str">
        <f t="shared" si="5"/>
        <v>N</v>
      </c>
      <c r="X39" s="120">
        <f t="shared" si="21"/>
        <v>1</v>
      </c>
      <c r="Y39" s="69">
        <f t="shared" si="6"/>
        <v>23.295500000000001</v>
      </c>
      <c r="Z39" s="69">
        <f t="shared" si="7"/>
        <v>1.47E-2</v>
      </c>
      <c r="AA39" s="69">
        <f t="shared" si="8"/>
        <v>23.280799999999999</v>
      </c>
      <c r="AB39" s="66" t="e">
        <f>VLOOKUP(A39,Enforcements!$C$7:$J$21,8,0)</f>
        <v>#N/A</v>
      </c>
      <c r="AC39" s="62" t="e">
        <f>VLOOKUP(A39,Enforcements!$C$7:$E$21,3,0)</f>
        <v>#N/A</v>
      </c>
      <c r="AD39" s="63" t="str">
        <f t="shared" si="9"/>
        <v>0126-31</v>
      </c>
      <c r="AE39" s="99" t="str">
        <f t="shared" si="10"/>
        <v>aws s3 cp s3://rtdc.mdm.uploadarchive/RTDC4041/2016-08-31/ "%USERPROFILE%\AppData\Local\Temp\OnboardLogs"\RTDC4041\2016-08-31 --recursive &amp; "%USERPROFILE%\Documents\GitHub\mrs-test-scripts\Headless Mode &amp; Sideloading\WalkAndUnGZ.bat" "%USERPROFILE%\AppData\Local\Temp\OnboardLogs"\RTDC4041\2016-08-31 &amp; aws s3 cp s3://rtdc.mdm.uploadarchive/RTDC4041/2016-09-01/ "%USERPROFILE%\AppData\Local\Temp\OnboardLogs"\RTDC4041\2016-09-01 --recursive &amp; "%USERPROFILE%\Documents\GitHub\mrs-test-scripts\Headless Mode &amp; Sideloading\WalkAndUnGZ.bat" "%USERPROFILE%\AppData\Local\Temp\OnboardLogs"\RTDC4041\2016-09-01</v>
      </c>
      <c r="AF39" s="96" t="str">
        <f t="shared" si="11"/>
        <v>"C:\Program Files (x86)\AstroGrep\AstroGrep.exe" /spath="%USERPROFILE%\AppData\Local\Temp\OnboardLogs" /stypes="*4041*20160831*" /stext=" 14:.+((SYSTEM_STATE.+slice.+state.+changed )|(ment ac)|(system.+state.+changed )|(\|lc)|(penalty)|(\[timeout)|(PRM\|1\|D)|(kpr)|(kdp))" /e /r /s</v>
      </c>
      <c r="AG39" s="1" t="str">
        <f t="shared" si="12"/>
        <v>EC</v>
      </c>
      <c r="AH39" s="100" t="str">
        <f t="shared" si="15"/>
        <v>"%USERPROFILE%\Documents\GitHub\eaglep3\Utilities\RefineRTDCRunTimes.py" --tripid 126-31 --locoid 4041 --swversion DE.1.0.7.0 --startMP 204:232955 --initTime 2016-08-31T07:36:45 --startdatetime 2016-08-31T07:41:25 --delay 1 --endMP 204:147 --enddatetime 2016-08-31T08:20:22 --enforcementcount 0 &gt;&gt;C:\Users\stu\Documents\GitHub\eaglep3-reporting\EC\2016-08-31-refined-times.txt</v>
      </c>
      <c r="AI39" s="149" t="str">
        <f t="shared" si="16"/>
        <v>echo {"issue":{"subject":"","project_id":79,"tracker_id":40,"status_id":1,"priority_id":2,"assigned_to_id":23,"start_date":"2016-08-31","description":"","custom_fields":[{"id":1,"name":"Subdivision","value":"EC"},{"id":4,"name":"Milepost","value":"23.2808"},{"id":17,"name":"Train ID","value":"126-31"},{"id":16,"name":"Locomotive ID","value":"4041"},{"id":130,"name":"Impact","value":""},{"id":150,"name":"Time of Event (Mountain Time)","value":"08:20:22"},{"id":151,"name":"Denver Issue ID","value":""},{"id":178,"name":"Operational Impact","value":"Yes"},{"id":179,"name":"Denver Segment Assigned","value":""}]}} | curl -X POST -H "Content-Type: application/json" -H "X-Redmine-API-Key: d6333d4a04012a730768444271f8ca06482dae87" https://secure.xorail.net/redmine/issues.json --data @-</v>
      </c>
      <c r="AJ39" s="55"/>
      <c r="AK39" s="55"/>
      <c r="AL39" s="55"/>
    </row>
    <row r="40" spans="1:38" s="1" customFormat="1" x14ac:dyDescent="0.25">
      <c r="A40" s="39" t="s">
        <v>417</v>
      </c>
      <c r="B40" s="7">
        <v>4029</v>
      </c>
      <c r="C40" s="24" t="s">
        <v>113</v>
      </c>
      <c r="D40" s="24" t="s">
        <v>150</v>
      </c>
      <c r="E40" s="15">
        <v>42613.289282407408</v>
      </c>
      <c r="F40" s="15">
        <v>42613.292048611111</v>
      </c>
      <c r="G40" s="7">
        <v>1</v>
      </c>
      <c r="H40" s="15" t="s">
        <v>284</v>
      </c>
      <c r="I40" s="15">
        <v>42613.317719907405</v>
      </c>
      <c r="J40" s="7">
        <v>0</v>
      </c>
      <c r="K40" s="132" t="str">
        <f t="shared" si="0"/>
        <v>4029/4030</v>
      </c>
      <c r="L40" s="24" t="str">
        <f>VLOOKUP(A40,'Trips&amp;Operators'!$C$1:$E$10000,3,FALSE)</f>
        <v>MAELZER</v>
      </c>
      <c r="M40" s="6">
        <f t="shared" si="1"/>
        <v>2.5671296294603962E-2</v>
      </c>
      <c r="N40" s="7">
        <f t="shared" si="22"/>
        <v>36.966666664229706</v>
      </c>
      <c r="O40" s="7"/>
      <c r="P40" s="7"/>
      <c r="Q40" s="25"/>
      <c r="R40" s="25"/>
      <c r="S40" s="37">
        <f t="shared" si="23"/>
        <v>1</v>
      </c>
      <c r="T40" s="52" t="str">
        <f t="shared" si="3"/>
        <v>NorthBound</v>
      </c>
      <c r="U40" s="126">
        <f>IF(AG40="EC",COUNTIFS(Variables!$M$2:$M$19,IF(T40="NorthBound","&gt;=","&lt;=")&amp;Y40,Variables!$M$2:$M$19,IF(T40="NorthBound","&lt;=","&gt;=")&amp;Z40),COUNTIFS(Variables!$P$2:$P$19,IF(T40="NorthBound","&gt;=","&lt;=")&amp;Y40,Variables!$P$2:$P$19,IF(T40="NorthBound","&lt;=","&gt;=")&amp;Z40))</f>
        <v>12</v>
      </c>
      <c r="V40" s="106" t="str">
        <f t="shared" si="4"/>
        <v>https://search-rtdc-monitor-bjffxe2xuh6vdkpspy63sjmuny.us-east-1.es.amazonaws.com/_plugin/kibana/#/discover/Steve-Slow-Train-Analysis-(2080s-and-2083s)?_g=(refreshInterval:(display:Off,section:0,value:0),time:(from:'2016-08-31 05:56:34-0600',mode:absolute,to:'2016-08-31 08:37:31-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4029%22')),sort:!(Time,asc))</v>
      </c>
      <c r="W40" s="54" t="str">
        <f t="shared" si="5"/>
        <v>N</v>
      </c>
      <c r="X40" s="120">
        <f t="shared" si="21"/>
        <v>1</v>
      </c>
      <c r="Y40" s="69">
        <f t="shared" si="6"/>
        <v>4.5100000000000001E-2</v>
      </c>
      <c r="Z40" s="69">
        <f t="shared" si="7"/>
        <v>23.331399999999999</v>
      </c>
      <c r="AA40" s="69">
        <f t="shared" si="8"/>
        <v>23.286299999999997</v>
      </c>
      <c r="AB40" s="66" t="e">
        <f>VLOOKUP(A40,Enforcements!$C$7:$J$21,8,0)</f>
        <v>#N/A</v>
      </c>
      <c r="AC40" s="62" t="e">
        <f>VLOOKUP(A40,Enforcements!$C$7:$E$21,3,0)</f>
        <v>#N/A</v>
      </c>
      <c r="AD40" s="63" t="str">
        <f t="shared" si="9"/>
        <v>0127-31</v>
      </c>
      <c r="AE40" s="99" t="str">
        <f t="shared" si="10"/>
        <v>aws s3 cp s3://rtdc.mdm.uploadarchive/RTDC4029/2016-08-31/ "%USERPROFILE%\AppData\Local\Temp\OnboardLogs"\RTDC4029\2016-08-31 --recursive &amp; "%USERPROFILE%\Documents\GitHub\mrs-test-scripts\Headless Mode &amp; Sideloading\WalkAndUnGZ.bat" "%USERPROFILE%\AppData\Local\Temp\OnboardLogs"\RTDC4029\2016-08-31 &amp; aws s3 cp s3://rtdc.mdm.uploadarchive/RTDC4029/2016-09-01/ "%USERPROFILE%\AppData\Local\Temp\OnboardLogs"\RTDC4029\2016-09-01 --recursive &amp; "%USERPROFILE%\Documents\GitHub\mrs-test-scripts\Headless Mode &amp; Sideloading\WalkAndUnGZ.bat" "%USERPROFILE%\AppData\Local\Temp\OnboardLogs"\RTDC4029\2016-09-01</v>
      </c>
      <c r="AF40" s="96" t="str">
        <f t="shared" si="11"/>
        <v>"C:\Program Files (x86)\AstroGrep\AstroGrep.exe" /spath="%USERPROFILE%\AppData\Local\Temp\OnboardLogs" /stypes="*4029*20160831*" /stext=" 13:.+((SYSTEM_STATE.+slice.+state.+changed )|(ment ac)|(system.+state.+changed )|(\|lc)|(penalty)|(\[timeout)|(PRM\|1\|D)|(kpr)|(kdp))" /e /r /s</v>
      </c>
      <c r="AG40" s="1" t="str">
        <f t="shared" si="12"/>
        <v>EC</v>
      </c>
      <c r="AH40" s="100" t="str">
        <f t="shared" si="15"/>
        <v>"%USERPROFILE%\Documents\GitHub\eaglep3\Utilities\RefineRTDCRunTimes.py" --tripid 127-31 --locoid 4029 --swversion DE.1.0.7.0 --startMP 204:451 --initTime 2016-08-31T06:56:34 --startdatetime 2016-08-31T07:00:33 --delay 1 --endMP 204:233314 --enddatetime 2016-08-31T07:37:31 --enforcementcount 0 &gt;&gt;C:\Users\stu\Documents\GitHub\eaglep3-reporting\EC\2016-08-31-refined-times.txt</v>
      </c>
      <c r="AI40" s="149" t="str">
        <f t="shared" si="16"/>
        <v>echo {"issue":{"subject":"","project_id":79,"tracker_id":40,"status_id":1,"priority_id":2,"assigned_to_id":23,"start_date":"2016-08-31","description":"","custom_fields":[{"id":1,"name":"Subdivision","value":"EC"},{"id":4,"name":"Milepost","value":"23.2863"},{"id":17,"name":"Train ID","value":"127-31"},{"id":16,"name":"Locomotive ID","value":"4029"},{"id":130,"name":"Impact","value":""},{"id":150,"name":"Time of Event (Mountain Time)","value":"07:37:31"},{"id":151,"name":"Denver Issue ID","value":""},{"id":178,"name":"Operational Impact","value":"Yes"},{"id":179,"name":"Denver Segment Assigned","value":""}]}} | curl -X POST -H "Content-Type: application/json" -H "X-Redmine-API-Key: d6333d4a04012a730768444271f8ca06482dae87" https://secure.xorail.net/redmine/issues.json --data @-</v>
      </c>
      <c r="AJ40" s="55"/>
      <c r="AK40" s="55"/>
      <c r="AL40" s="55"/>
    </row>
    <row r="41" spans="1:38" s="1" customFormat="1" x14ac:dyDescent="0.25">
      <c r="A41" s="39" t="s">
        <v>418</v>
      </c>
      <c r="B41" s="7">
        <v>4030</v>
      </c>
      <c r="C41" s="24" t="s">
        <v>113</v>
      </c>
      <c r="D41" s="24" t="s">
        <v>134</v>
      </c>
      <c r="E41" s="15">
        <v>42613.322997685187</v>
      </c>
      <c r="F41" s="15">
        <v>42613.330995370372</v>
      </c>
      <c r="G41" s="7">
        <v>1</v>
      </c>
      <c r="H41" s="15" t="s">
        <v>385</v>
      </c>
      <c r="I41" s="15">
        <v>42613.358946759261</v>
      </c>
      <c r="J41" s="7">
        <v>0</v>
      </c>
      <c r="K41" s="132" t="str">
        <f t="shared" si="0"/>
        <v>4029/4030</v>
      </c>
      <c r="L41" s="24" t="str">
        <f>VLOOKUP(A41,'Trips&amp;Operators'!$C$1:$E$10000,3,FALSE)</f>
        <v>MAELZER</v>
      </c>
      <c r="M41" s="6">
        <f t="shared" si="1"/>
        <v>2.7951388889050577E-2</v>
      </c>
      <c r="N41" s="7">
        <f t="shared" si="22"/>
        <v>40.250000000232831</v>
      </c>
      <c r="O41" s="7"/>
      <c r="P41" s="7"/>
      <c r="Q41" s="25"/>
      <c r="R41" s="25"/>
      <c r="S41" s="37">
        <f t="shared" si="23"/>
        <v>1</v>
      </c>
      <c r="T41" s="52" t="str">
        <f t="shared" si="3"/>
        <v>Southbound</v>
      </c>
      <c r="U41" s="126">
        <f>IF(AG41="EC",COUNTIFS(Variables!$M$2:$M$19,IF(T41="NorthBound","&gt;=","&lt;=")&amp;Y41,Variables!$M$2:$M$19,IF(T41="NorthBound","&lt;=","&gt;=")&amp;Z41),COUNTIFS(Variables!$P$2:$P$19,IF(T41="NorthBound","&gt;=","&lt;=")&amp;Y41,Variables!$P$2:$P$19,IF(T41="NorthBound","&lt;=","&gt;=")&amp;Z41))</f>
        <v>12</v>
      </c>
      <c r="V41" s="106" t="str">
        <f t="shared" si="4"/>
        <v>https://search-rtdc-monitor-bjffxe2xuh6vdkpspy63sjmuny.us-east-1.es.amazonaws.com/_plugin/kibana/#/discover/Steve-Slow-Train-Analysis-(2080s-and-2083s)?_g=(refreshInterval:(display:Off,section:0,value:0),time:(from:'2016-08-31 06:45:07-0600',mode:absolute,to:'2016-08-31 09:36:53-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4030%22')),sort:!(Time,asc))</v>
      </c>
      <c r="W41" s="54" t="str">
        <f t="shared" si="5"/>
        <v>N</v>
      </c>
      <c r="X41" s="120">
        <f t="shared" si="21"/>
        <v>1</v>
      </c>
      <c r="Y41" s="69">
        <f t="shared" si="6"/>
        <v>23.299399999999999</v>
      </c>
      <c r="Z41" s="69">
        <f t="shared" si="7"/>
        <v>1.4999999999999999E-2</v>
      </c>
      <c r="AA41" s="69">
        <f t="shared" si="8"/>
        <v>23.284399999999998</v>
      </c>
      <c r="AB41" s="66" t="e">
        <f>VLOOKUP(A41,Enforcements!$C$7:$J$21,8,0)</f>
        <v>#N/A</v>
      </c>
      <c r="AC41" s="62" t="e">
        <f>VLOOKUP(A41,Enforcements!$C$7:$E$21,3,0)</f>
        <v>#N/A</v>
      </c>
      <c r="AD41" s="63" t="str">
        <f t="shared" si="9"/>
        <v>0128-31</v>
      </c>
      <c r="AE41" s="99" t="str">
        <f t="shared" si="10"/>
        <v>aws s3 cp s3://rtdc.mdm.uploadarchive/RTDC4030/2016-08-31/ "%USERPROFILE%\AppData\Local\Temp\OnboardLogs"\RTDC4030\2016-08-31 --recursive &amp; "%USERPROFILE%\Documents\GitHub\mrs-test-scripts\Headless Mode &amp; Sideloading\WalkAndUnGZ.bat" "%USERPROFILE%\AppData\Local\Temp\OnboardLogs"\RTDC4030\2016-08-31 &amp; aws s3 cp s3://rtdc.mdm.uploadarchive/RTDC4030/2016-09-01/ "%USERPROFILE%\AppData\Local\Temp\OnboardLogs"\RTDC4030\2016-09-01 --recursive &amp; "%USERPROFILE%\Documents\GitHub\mrs-test-scripts\Headless Mode &amp; Sideloading\WalkAndUnGZ.bat" "%USERPROFILE%\AppData\Local\Temp\OnboardLogs"\RTDC4030\2016-09-01</v>
      </c>
      <c r="AF41" s="96" t="str">
        <f t="shared" si="11"/>
        <v>"C:\Program Files (x86)\AstroGrep\AstroGrep.exe" /spath="%USERPROFILE%\AppData\Local\Temp\OnboardLogs" /stypes="*4030*20160831*" /stext=" 14:.+((SYSTEM_STATE.+slice.+state.+changed )|(ment ac)|(system.+state.+changed )|(\|lc)|(penalty)|(\[timeout)|(PRM\|1\|D)|(kpr)|(kdp))" /e /r /s</v>
      </c>
      <c r="AG41" s="1" t="str">
        <f t="shared" si="12"/>
        <v>EC</v>
      </c>
      <c r="AH41" s="100" t="str">
        <f t="shared" si="15"/>
        <v>"%USERPROFILE%\Documents\GitHub\eaglep3\Utilities\RefineRTDCRunTimes.py" --tripid 128-31 --locoid 4030 --swversion DE.1.0.7.0 --startMP 204:232994 --initTime 2016-08-31T07:45:07 --startdatetime 2016-08-31T07:56:38 --delay 1 --endMP 204:150 --enddatetime 2016-08-31T08:36:53 --enforcementcount 0 &gt;&gt;C:\Users\stu\Documents\GitHub\eaglep3-reporting\EC\2016-08-31-refined-times.txt</v>
      </c>
      <c r="AI41" s="149" t="str">
        <f t="shared" si="16"/>
        <v>echo {"issue":{"subject":"","project_id":79,"tracker_id":40,"status_id":1,"priority_id":2,"assigned_to_id":23,"start_date":"2016-08-31","description":"","custom_fields":[{"id":1,"name":"Subdivision","value":"EC"},{"id":4,"name":"Milepost","value":"23.2844"},{"id":17,"name":"Train ID","value":"128-31"},{"id":16,"name":"Locomotive ID","value":"4030"},{"id":130,"name":"Impact","value":""},{"id":150,"name":"Time of Event (Mountain Time)","value":"08:36:53"},{"id":151,"name":"Denver Issue ID","value":""},{"id":178,"name":"Operational Impact","value":"Yes"},{"id":179,"name":"Denver Segment Assigned","value":""}]}} | curl -X POST -H "Content-Type: application/json" -H "X-Redmine-API-Key: d6333d4a04012a730768444271f8ca06482dae87" https://secure.xorail.net/redmine/issues.json --data @-</v>
      </c>
      <c r="AJ41" s="55"/>
      <c r="AK41" s="55"/>
      <c r="AL41" s="55"/>
    </row>
    <row r="42" spans="1:38" s="1" customFormat="1" x14ac:dyDescent="0.25">
      <c r="A42" s="39" t="s">
        <v>419</v>
      </c>
      <c r="B42" s="7">
        <v>4044</v>
      </c>
      <c r="C42" s="24" t="s">
        <v>113</v>
      </c>
      <c r="D42" s="24" t="s">
        <v>150</v>
      </c>
      <c r="E42" s="15">
        <v>42613.296273148146</v>
      </c>
      <c r="F42" s="15">
        <v>42613.302256944444</v>
      </c>
      <c r="G42" s="7">
        <v>2</v>
      </c>
      <c r="H42" s="15" t="s">
        <v>178</v>
      </c>
      <c r="I42" s="15">
        <v>42613.328483796293</v>
      </c>
      <c r="J42" s="7">
        <v>0</v>
      </c>
      <c r="K42" s="132" t="str">
        <f t="shared" si="0"/>
        <v>4043/4044</v>
      </c>
      <c r="L42" s="24" t="str">
        <f>VLOOKUP(A42,'Trips&amp;Operators'!$C$1:$E$10000,3,FALSE)</f>
        <v>SMITH</v>
      </c>
      <c r="M42" s="6">
        <f t="shared" si="1"/>
        <v>2.622685184906004E-2</v>
      </c>
      <c r="N42" s="7">
        <f t="shared" si="22"/>
        <v>37.766666662646458</v>
      </c>
      <c r="O42" s="7"/>
      <c r="P42" s="7"/>
      <c r="Q42" s="25"/>
      <c r="R42" s="25"/>
      <c r="S42" s="37">
        <f t="shared" si="23"/>
        <v>1</v>
      </c>
      <c r="T42" s="52" t="str">
        <f t="shared" si="3"/>
        <v>NorthBound</v>
      </c>
      <c r="U42" s="126">
        <f>IF(AG42="EC",COUNTIFS(Variables!$M$2:$M$19,IF(T42="NorthBound","&gt;=","&lt;=")&amp;Y42,Variables!$M$2:$M$19,IF(T42="NorthBound","&lt;=","&gt;=")&amp;Z42),COUNTIFS(Variables!$P$2:$P$19,IF(T42="NorthBound","&gt;=","&lt;=")&amp;Y42,Variables!$P$2:$P$19,IF(T42="NorthBound","&lt;=","&gt;=")&amp;Z42))</f>
        <v>12</v>
      </c>
      <c r="V42" s="106" t="str">
        <f t="shared" si="4"/>
        <v>https://search-rtdc-monitor-bjffxe2xuh6vdkpspy63sjmuny.us-east-1.es.amazonaws.com/_plugin/kibana/#/discover/Steve-Slow-Train-Analysis-(2080s-and-2083s)?_g=(refreshInterval:(display:Off,section:0,value:0),time:(from:'2016-08-31 06:06:38-0600',mode:absolute,to:'2016-08-31 08:53:01-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4044%22')),sort:!(Time,asc))</v>
      </c>
      <c r="W42" s="54" t="str">
        <f t="shared" si="5"/>
        <v>N</v>
      </c>
      <c r="X42" s="120">
        <f t="shared" si="21"/>
        <v>1</v>
      </c>
      <c r="Y42" s="69">
        <f t="shared" si="6"/>
        <v>4.5100000000000001E-2</v>
      </c>
      <c r="Z42" s="69">
        <f t="shared" si="7"/>
        <v>23.3293</v>
      </c>
      <c r="AA42" s="69">
        <f t="shared" si="8"/>
        <v>23.284199999999998</v>
      </c>
      <c r="AB42" s="66">
        <f>VLOOKUP(A42,Enforcements!$C$7:$J$21,8,0)</f>
        <v>116838</v>
      </c>
      <c r="AC42" s="62" t="str">
        <f>VLOOKUP(A42,Enforcements!$C$7:$E$21,3,0)</f>
        <v>PERMANENT SPEED RESTRICTION</v>
      </c>
      <c r="AD42" s="63" t="str">
        <f t="shared" si="9"/>
        <v>0129-31</v>
      </c>
      <c r="AE42" s="99" t="str">
        <f t="shared" si="10"/>
        <v>aws s3 cp s3://rtdc.mdm.uploadarchive/RTDC4044/2016-08-31/ "%USERPROFILE%\AppData\Local\Temp\OnboardLogs"\RTDC4044\2016-08-31 --recursive &amp; "%USERPROFILE%\Documents\GitHub\mrs-test-scripts\Headless Mode &amp; Sideloading\WalkAndUnGZ.bat" "%USERPROFILE%\AppData\Local\Temp\OnboardLogs"\RTDC4044\2016-08-31 &amp; aws s3 cp s3://rtdc.mdm.uploadarchive/RTDC4044/2016-09-01/ "%USERPROFILE%\AppData\Local\Temp\OnboardLogs"\RTDC4044\2016-09-01 --recursive &amp; "%USERPROFILE%\Documents\GitHub\mrs-test-scripts\Headless Mode &amp; Sideloading\WalkAndUnGZ.bat" "%USERPROFILE%\AppData\Local\Temp\OnboardLogs"\RTDC4044\2016-09-01</v>
      </c>
      <c r="AF42" s="96" t="str">
        <f t="shared" si="11"/>
        <v>"C:\Program Files (x86)\AstroGrep\AstroGrep.exe" /spath="%USERPROFILE%\AppData\Local\Temp\OnboardLogs" /stypes="*4044*20160831*" /stext=" 13:.+((SYSTEM_STATE.+slice.+state.+changed )|(ment ac)|(system.+state.+changed )|(\|lc)|(penalty)|(\[timeout)|(PRM\|1\|D)|(kpr)|(kdp))" /e /r /s</v>
      </c>
      <c r="AG42" s="1" t="str">
        <f t="shared" si="12"/>
        <v>EC</v>
      </c>
      <c r="AH42" s="100" t="str">
        <f t="shared" si="15"/>
        <v>"%USERPROFILE%\Documents\GitHub\eaglep3\Utilities\RefineRTDCRunTimes.py" --tripid 129-31 --locoid 4044 --swversion DE.1.0.7.0 --startMP 204:451 --initTime 2016-08-31T07:06:38 --startdatetime 2016-08-31T07:15:15 --delay 2 --endMP 204:233293 --enddatetime 2016-08-31T07:53:01 --enforcementcount 0 &gt;&gt;C:\Users\stu\Documents\GitHub\eaglep3-reporting\EC\2016-08-31-refined-times.txt</v>
      </c>
      <c r="AI42" s="149" t="str">
        <f t="shared" si="16"/>
        <v>echo {"issue":{"subject":"","project_id":79,"tracker_id":40,"status_id":1,"priority_id":2,"assigned_to_id":23,"start_date":"2016-08-31","description":"","custom_fields":[{"id":1,"name":"Subdivision","value":"EC"},{"id":4,"name":"Milepost","value":"23.2842"},{"id":17,"name":"Train ID","value":"129-31"},{"id":16,"name":"Locomotive ID","value":"4044"},{"id":130,"name":"Impact","value":""},{"id":150,"name":"Time of Event (Mountain Time)","value":"07:53:01"},{"id":151,"name":"Denver Issue ID","value":""},{"id":178,"name":"Operational Impact","value":"Yes"},{"id":179,"name":"Denver Segment Assigned","value":""}]}} | curl -X POST -H "Content-Type: application/json" -H "X-Redmine-API-Key: d6333d4a04012a730768444271f8ca06482dae87" https://secure.xorail.net/redmine/issues.json --data @-</v>
      </c>
      <c r="AJ42" s="55"/>
      <c r="AK42" s="55"/>
      <c r="AL42" s="55"/>
    </row>
    <row r="43" spans="1:38" s="1" customFormat="1" x14ac:dyDescent="0.25">
      <c r="A43" s="39" t="s">
        <v>420</v>
      </c>
      <c r="B43" s="7">
        <v>4043</v>
      </c>
      <c r="C43" s="24" t="s">
        <v>113</v>
      </c>
      <c r="D43" s="24" t="s">
        <v>289</v>
      </c>
      <c r="E43" s="15">
        <v>42613.333807870367</v>
      </c>
      <c r="F43" s="15">
        <v>42613.341157407405</v>
      </c>
      <c r="G43" s="7">
        <v>2</v>
      </c>
      <c r="H43" s="15" t="s">
        <v>373</v>
      </c>
      <c r="I43" s="15">
        <v>42613.369976851849</v>
      </c>
      <c r="J43" s="7">
        <v>0</v>
      </c>
      <c r="K43" s="132" t="str">
        <f t="shared" si="0"/>
        <v>4043/4044</v>
      </c>
      <c r="L43" s="24" t="str">
        <f>VLOOKUP(A43,'Trips&amp;Operators'!$C$1:$E$10000,3,FALSE)</f>
        <v>SMITH</v>
      </c>
      <c r="M43" s="6">
        <f t="shared" si="1"/>
        <v>2.8819444443797693E-2</v>
      </c>
      <c r="N43" s="7">
        <f t="shared" si="22"/>
        <v>41.499999999068677</v>
      </c>
      <c r="O43" s="7"/>
      <c r="P43" s="7"/>
      <c r="Q43" s="25"/>
      <c r="R43" s="25"/>
      <c r="S43" s="37">
        <f t="shared" si="23"/>
        <v>1</v>
      </c>
      <c r="T43" s="52" t="str">
        <f t="shared" si="3"/>
        <v>Southbound</v>
      </c>
      <c r="U43" s="126">
        <f>IF(AG43="EC",COUNTIFS(Variables!$M$2:$M$19,IF(T43="NorthBound","&gt;=","&lt;=")&amp;Y43,Variables!$M$2:$M$19,IF(T43="NorthBound","&lt;=","&gt;=")&amp;Z43),COUNTIFS(Variables!$P$2:$P$19,IF(T43="NorthBound","&gt;=","&lt;=")&amp;Y43,Variables!$P$2:$P$19,IF(T43="NorthBound","&lt;=","&gt;=")&amp;Z43))</f>
        <v>12</v>
      </c>
      <c r="V43" s="106" t="str">
        <f t="shared" si="4"/>
        <v>https://search-rtdc-monitor-bjffxe2xuh6vdkpspy63sjmuny.us-east-1.es.amazonaws.com/_plugin/kibana/#/discover/Steve-Slow-Train-Analysis-(2080s-and-2083s)?_g=(refreshInterval:(display:Off,section:0,value:0),time:(from:'2016-08-31 07:00:41-0600',mode:absolute,to:'2016-08-31 09:52:46-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4043%22')),sort:!(Time,asc))</v>
      </c>
      <c r="W43" s="54" t="str">
        <f t="shared" si="5"/>
        <v>N</v>
      </c>
      <c r="X43" s="120">
        <f t="shared" si="21"/>
        <v>1</v>
      </c>
      <c r="Y43" s="69">
        <f t="shared" si="6"/>
        <v>23.296500000000002</v>
      </c>
      <c r="Z43" s="69">
        <f t="shared" si="7"/>
        <v>1.41E-2</v>
      </c>
      <c r="AA43" s="69">
        <f t="shared" si="8"/>
        <v>23.282400000000003</v>
      </c>
      <c r="AB43" s="66" t="e">
        <f>VLOOKUP(A43,Enforcements!$C$7:$J$21,8,0)</f>
        <v>#N/A</v>
      </c>
      <c r="AC43" s="62" t="e">
        <f>VLOOKUP(A43,Enforcements!$C$7:$E$21,3,0)</f>
        <v>#N/A</v>
      </c>
      <c r="AD43" s="63" t="str">
        <f t="shared" si="9"/>
        <v>0130-31</v>
      </c>
      <c r="AE43" s="99" t="str">
        <f t="shared" si="10"/>
        <v>aws s3 cp s3://rtdc.mdm.uploadarchive/RTDC4043/2016-08-31/ "%USERPROFILE%\AppData\Local\Temp\OnboardLogs"\RTDC4043\2016-08-31 --recursive &amp; "%USERPROFILE%\Documents\GitHub\mrs-test-scripts\Headless Mode &amp; Sideloading\WalkAndUnGZ.bat" "%USERPROFILE%\AppData\Local\Temp\OnboardLogs"\RTDC4043\2016-08-31 &amp; aws s3 cp s3://rtdc.mdm.uploadarchive/RTDC4043/2016-09-01/ "%USERPROFILE%\AppData\Local\Temp\OnboardLogs"\RTDC4043\2016-09-01 --recursive &amp; "%USERPROFILE%\Documents\GitHub\mrs-test-scripts\Headless Mode &amp; Sideloading\WalkAndUnGZ.bat" "%USERPROFILE%\AppData\Local\Temp\OnboardLogs"\RTDC4043\2016-09-01</v>
      </c>
      <c r="AF43" s="96" t="str">
        <f t="shared" si="11"/>
        <v>"C:\Program Files (x86)\AstroGrep\AstroGrep.exe" /spath="%USERPROFILE%\AppData\Local\Temp\OnboardLogs" /stypes="*4043*20160831*" /stext=" 14:.+((SYSTEM_STATE.+slice.+state.+changed )|(ment ac)|(system.+state.+changed )|(\|lc)|(penalty)|(\[timeout)|(PRM\|1\|D)|(kpr)|(kdp))" /e /r /s</v>
      </c>
      <c r="AG43" s="1" t="str">
        <f t="shared" si="12"/>
        <v>EC</v>
      </c>
      <c r="AH43" s="100" t="str">
        <f t="shared" si="15"/>
        <v>"%USERPROFILE%\Documents\GitHub\eaglep3\Utilities\RefineRTDCRunTimes.py" --tripid 130-31 --locoid 4043 --swversion DE.1.0.7.0 --startMP 204:232965 --initTime 2016-08-31T08:00:41 --startdatetime 2016-08-31T08:11:16 --delay 2 --endMP 204:141 --enddatetime 2016-08-31T08:52:46 --enforcementcount 0 &gt;&gt;C:\Users\stu\Documents\GitHub\eaglep3-reporting\EC\2016-08-31-refined-times.txt</v>
      </c>
      <c r="AI43" s="149" t="str">
        <f t="shared" si="16"/>
        <v>echo {"issue":{"subject":"","project_id":79,"tracker_id":40,"status_id":1,"priority_id":2,"assigned_to_id":23,"start_date":"2016-08-31","description":"","custom_fields":[{"id":1,"name":"Subdivision","value":"EC"},{"id":4,"name":"Milepost","value":"23.2824"},{"id":17,"name":"Train ID","value":"130-31"},{"id":16,"name":"Locomotive ID","value":"4043"},{"id":130,"name":"Impact","value":""},{"id":150,"name":"Time of Event (Mountain Time)","value":"08:52:46"},{"id":151,"name":"Denver Issue ID","value":""},{"id":178,"name":"Operational Impact","value":"Yes"},{"id":179,"name":"Denver Segment Assigned","value":""}]}} | curl -X POST -H "Content-Type: application/json" -H "X-Redmine-API-Key: d6333d4a04012a730768444271f8ca06482dae87" https://secure.xorail.net/redmine/issues.json --data @-</v>
      </c>
      <c r="AJ43" s="55"/>
      <c r="AK43" s="55"/>
      <c r="AL43" s="55"/>
    </row>
    <row r="44" spans="1:38" s="1" customFormat="1" x14ac:dyDescent="0.25">
      <c r="A44" s="39" t="s">
        <v>421</v>
      </c>
      <c r="B44" s="7">
        <v>4002</v>
      </c>
      <c r="C44" s="24" t="s">
        <v>113</v>
      </c>
      <c r="D44" s="24" t="s">
        <v>422</v>
      </c>
      <c r="E44" s="15">
        <v>42613.307766203703</v>
      </c>
      <c r="F44" s="15">
        <v>42613.312673611108</v>
      </c>
      <c r="G44" s="7">
        <v>1</v>
      </c>
      <c r="H44" s="15" t="s">
        <v>296</v>
      </c>
      <c r="I44" s="15">
        <v>42613.339317129627</v>
      </c>
      <c r="J44" s="7">
        <v>0</v>
      </c>
      <c r="K44" s="132" t="str">
        <f t="shared" si="0"/>
        <v>4001/4002</v>
      </c>
      <c r="L44" s="24" t="str">
        <f>VLOOKUP(A44,'Trips&amp;Operators'!$C$1:$E$10000,3,FALSE)</f>
        <v>ARVIDSON</v>
      </c>
      <c r="M44" s="6">
        <f t="shared" si="1"/>
        <v>2.6643518518540077E-2</v>
      </c>
      <c r="N44" s="7">
        <f t="shared" si="22"/>
        <v>38.366666666697711</v>
      </c>
      <c r="O44" s="7"/>
      <c r="P44" s="7"/>
      <c r="Q44" s="25"/>
      <c r="R44" s="25"/>
      <c r="S44" s="37">
        <f t="shared" si="23"/>
        <v>1</v>
      </c>
      <c r="T44" s="52" t="str">
        <f t="shared" si="3"/>
        <v>NorthBound</v>
      </c>
      <c r="U44" s="126">
        <f>IF(AG44="EC",COUNTIFS(Variables!$M$2:$M$19,IF(T44="NorthBound","&gt;=","&lt;=")&amp;Y44,Variables!$M$2:$M$19,IF(T44="NorthBound","&lt;=","&gt;=")&amp;Z44),COUNTIFS(Variables!$P$2:$P$19,IF(T44="NorthBound","&gt;=","&lt;=")&amp;Y44,Variables!$P$2:$P$19,IF(T44="NorthBound","&lt;=","&gt;=")&amp;Z44))</f>
        <v>12</v>
      </c>
      <c r="V44" s="106" t="str">
        <f t="shared" si="4"/>
        <v>https://search-rtdc-monitor-bjffxe2xuh6vdkpspy63sjmuny.us-east-1.es.amazonaws.com/_plugin/kibana/#/discover/Steve-Slow-Train-Analysis-(2080s-and-2083s)?_g=(refreshInterval:(display:Off,section:0,value:0),time:(from:'2016-08-31 06:23:11-0600',mode:absolute,to:'2016-08-31 09:08:37-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4002%22')),sort:!(Time,asc))</v>
      </c>
      <c r="W44" s="54" t="str">
        <f t="shared" si="5"/>
        <v>N</v>
      </c>
      <c r="X44" s="120">
        <f t="shared" si="21"/>
        <v>1</v>
      </c>
      <c r="Y44" s="69">
        <f t="shared" si="6"/>
        <v>4.9299999999999997E-2</v>
      </c>
      <c r="Z44" s="69">
        <f t="shared" si="7"/>
        <v>23.332100000000001</v>
      </c>
      <c r="AA44" s="69">
        <f t="shared" si="8"/>
        <v>23.282800000000002</v>
      </c>
      <c r="AB44" s="66" t="e">
        <f>VLOOKUP(A44,Enforcements!$C$7:$J$21,8,0)</f>
        <v>#N/A</v>
      </c>
      <c r="AC44" s="62" t="e">
        <f>VLOOKUP(A44,Enforcements!$C$7:$E$21,3,0)</f>
        <v>#N/A</v>
      </c>
      <c r="AD44" s="63" t="str">
        <f t="shared" si="9"/>
        <v>0131-31</v>
      </c>
      <c r="AE44" s="99" t="str">
        <f t="shared" si="10"/>
        <v>aws s3 cp s3://rtdc.mdm.uploadarchive/RTDC4002/2016-08-31/ "%USERPROFILE%\AppData\Local\Temp\OnboardLogs"\RTDC4002\2016-08-31 --recursive &amp; "%USERPROFILE%\Documents\GitHub\mrs-test-scripts\Headless Mode &amp; Sideloading\WalkAndUnGZ.bat" "%USERPROFILE%\AppData\Local\Temp\OnboardLogs"\RTDC4002\2016-08-31 &amp; aws s3 cp s3://rtdc.mdm.uploadarchive/RTDC4002/2016-09-01/ "%USERPROFILE%\AppData\Local\Temp\OnboardLogs"\RTDC4002\2016-09-01 --recursive &amp; "%USERPROFILE%\Documents\GitHub\mrs-test-scripts\Headless Mode &amp; Sideloading\WalkAndUnGZ.bat" "%USERPROFILE%\AppData\Local\Temp\OnboardLogs"\RTDC4002\2016-09-01</v>
      </c>
      <c r="AF44" s="96" t="str">
        <f t="shared" si="11"/>
        <v>"C:\Program Files (x86)\AstroGrep\AstroGrep.exe" /spath="%USERPROFILE%\AppData\Local\Temp\OnboardLogs" /stypes="*4002*20160831*" /stext=" 14:.+((SYSTEM_STATE.+slice.+state.+changed )|(ment ac)|(system.+state.+changed )|(\|lc)|(penalty)|(\[timeout)|(PRM\|1\|D)|(kpr)|(kdp))" /e /r /s</v>
      </c>
      <c r="AG44" s="1" t="str">
        <f t="shared" si="12"/>
        <v>EC</v>
      </c>
      <c r="AH44" s="100" t="str">
        <f t="shared" si="15"/>
        <v>"%USERPROFILE%\Documents\GitHub\eaglep3\Utilities\RefineRTDCRunTimes.py" --tripid 131-31 --locoid 4002 --swversion DE.1.0.7.0 --startMP 204:493 --initTime 2016-08-31T07:23:11 --startdatetime 2016-08-31T07:30:15 --delay 1 --endMP 204:233321 --enddatetime 2016-08-31T08:08:37 --enforcementcount 0 &gt;&gt;C:\Users\stu\Documents\GitHub\eaglep3-reporting\EC\2016-08-31-refined-times.txt</v>
      </c>
      <c r="AI44" s="149" t="str">
        <f t="shared" si="16"/>
        <v>echo {"issue":{"subject":"","project_id":79,"tracker_id":40,"status_id":1,"priority_id":2,"assigned_to_id":23,"start_date":"2016-08-31","description":"","custom_fields":[{"id":1,"name":"Subdivision","value":"EC"},{"id":4,"name":"Milepost","value":"23.2828"},{"id":17,"name":"Train ID","value":"131-31"},{"id":16,"name":"Locomotive ID","value":"4002"},{"id":130,"name":"Impact","value":""},{"id":150,"name":"Time of Event (Mountain Time)","value":"08:08:37"},{"id":151,"name":"Denver Issue ID","value":""},{"id":178,"name":"Operational Impact","value":"Yes"},{"id":179,"name":"Denver Segment Assigned","value":""}]}} | curl -X POST -H "Content-Type: application/json" -H "X-Redmine-API-Key: d6333d4a04012a730768444271f8ca06482dae87" https://secure.xorail.net/redmine/issues.json --data @-</v>
      </c>
      <c r="AJ44" s="55"/>
      <c r="AK44" s="55"/>
      <c r="AL44" s="55"/>
    </row>
    <row r="45" spans="1:38" s="1" customFormat="1" x14ac:dyDescent="0.25">
      <c r="A45" s="39" t="s">
        <v>423</v>
      </c>
      <c r="B45" s="7">
        <v>4001</v>
      </c>
      <c r="C45" s="24" t="s">
        <v>113</v>
      </c>
      <c r="D45" s="24" t="s">
        <v>295</v>
      </c>
      <c r="E45" s="15">
        <v>42613.346342592595</v>
      </c>
      <c r="F45" s="15">
        <v>42613.351597222223</v>
      </c>
      <c r="G45" s="7">
        <v>1</v>
      </c>
      <c r="H45" s="15" t="s">
        <v>177</v>
      </c>
      <c r="I45" s="15">
        <v>42613.380462962959</v>
      </c>
      <c r="J45" s="7">
        <v>0</v>
      </c>
      <c r="K45" s="132" t="str">
        <f t="shared" ref="K45:K76" si="24">IF(ISEVEN(B45),(B45-1)&amp;"/"&amp;B45,B45&amp;"/"&amp;(B45+1))</f>
        <v>4001/4002</v>
      </c>
      <c r="L45" s="24" t="str">
        <f>VLOOKUP(A45,'Trips&amp;Operators'!$C$1:$E$10000,3,FALSE)</f>
        <v>ARVIDSON</v>
      </c>
      <c r="M45" s="6">
        <f t="shared" ref="M45:M76" si="25">I45-F45</f>
        <v>2.8865740736364387E-2</v>
      </c>
      <c r="N45" s="7">
        <f t="shared" si="22"/>
        <v>41.566666660364717</v>
      </c>
      <c r="O45" s="7"/>
      <c r="P45" s="7"/>
      <c r="Q45" s="25"/>
      <c r="R45" s="25"/>
      <c r="S45" s="37">
        <f t="shared" si="23"/>
        <v>1</v>
      </c>
      <c r="T45" s="52" t="str">
        <f t="shared" ref="T45:T76" si="26">IF(ISEVEN(LEFT(AD45,4)),"Southbound","NorthBound")</f>
        <v>Southbound</v>
      </c>
      <c r="U45" s="126">
        <f>IF(AG45="EC",COUNTIFS(Variables!$M$2:$M$19,IF(T45="NorthBound","&gt;=","&lt;=")&amp;Y45,Variables!$M$2:$M$19,IF(T45="NorthBound","&lt;=","&gt;=")&amp;Z45),COUNTIFS(Variables!$P$2:$P$19,IF(T45="NorthBound","&gt;=","&lt;=")&amp;Y45,Variables!$P$2:$P$19,IF(T45="NorthBound","&lt;=","&gt;=")&amp;Z45))</f>
        <v>12</v>
      </c>
      <c r="V45" s="106" t="str">
        <f t="shared" ref="V45:V76" si="27">"https://search-rtdc-monitor-bjffxe2xuh6vdkpspy63sjmuny.us-east-1.es.amazonaws.com/_plugin/kibana/#/discover/Steve-Slow-Train-Analysis-(2080s-and-2083s)?_g=(refreshInterval:(display:Off,section:0,value:0),time:(from:'"&amp;TEXT(E45-1/24,"yyyy-MM-DD hh:mm:ss")&amp;"-0600',mode:absolute,to:'"&amp;TEXT(I45+1/24,"yyyy-MM-DD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filters:!(),index:'emp_*',interval:auto,query:"&amp;"(query_string:(analyze_wildcard:!t,query:'Message%5C%20ID:(2083%20OR%202080%20OR%201041%20OR%202003%20OR%201051)%20AND%20%22rtdc.l.rtdc."&amp;B45&amp;"%22')),sort:!(Time,asc))"</f>
        <v>https://search-rtdc-monitor-bjffxe2xuh6vdkpspy63sjmuny.us-east-1.es.amazonaws.com/_plugin/kibana/#/discover/Steve-Slow-Train-Analysis-(2080s-and-2083s)?_g=(refreshInterval:(display:Off,section:0,value:0),time:(from:'2016-08-31 07:18:44-0600',mode:absolute,to:'2016-08-31 10:07:52-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4001%22')),sort:!(Time,asc))</v>
      </c>
      <c r="W45" s="54" t="str">
        <f t="shared" ref="W45:W76" si="28">IF(AA45&lt;IF(AG45="EC",23,5.65),"Y","N")</f>
        <v>N</v>
      </c>
      <c r="X45" s="120">
        <f t="shared" si="21"/>
        <v>1</v>
      </c>
      <c r="Y45" s="69">
        <f t="shared" ref="Y45:Y76" si="29">RIGHT(D45,LEN(D45)-4)/10000</f>
        <v>23.2987</v>
      </c>
      <c r="Z45" s="69">
        <f t="shared" ref="Z45:Z76" si="30">RIGHT(H45,LEN(H45)-4)/10000</f>
        <v>1.6E-2</v>
      </c>
      <c r="AA45" s="69">
        <f t="shared" ref="AA45:AA76" si="31">ABS(Z45-Y45)</f>
        <v>23.282700000000002</v>
      </c>
      <c r="AB45" s="66" t="e">
        <f>VLOOKUP(A45,Enforcements!$C$7:$J$21,8,0)</f>
        <v>#N/A</v>
      </c>
      <c r="AC45" s="62" t="e">
        <f>VLOOKUP(A45,Enforcements!$C$7:$E$21,3,0)</f>
        <v>#N/A</v>
      </c>
      <c r="AD45" s="63" t="str">
        <f t="shared" ref="AD45:AD76" si="32">IF(LEN(A45)=6,"0"&amp;A45,A45)</f>
        <v>0132-31</v>
      </c>
      <c r="AE45" s="99" t="str">
        <f t="shared" si="10"/>
        <v>aws s3 cp s3://rtdc.mdm.uploadarchive/RTDC4001/2016-08-31/ "%USERPROFILE%\AppData\Local\Temp\OnboardLogs"\RTDC4001\2016-08-31 --recursive &amp; "%USERPROFILE%\Documents\GitHub\mrs-test-scripts\Headless Mode &amp; Sideloading\WalkAndUnGZ.bat" "%USERPROFILE%\AppData\Local\Temp\OnboardLogs"\RTDC4001\2016-08-31 &amp; aws s3 cp s3://rtdc.mdm.uploadarchive/RTDC4001/2016-09-01/ "%USERPROFILE%\AppData\Local\Temp\OnboardLogs"\RTDC4001\2016-09-01 --recursive &amp; "%USERPROFILE%\Documents\GitHub\mrs-test-scripts\Headless Mode &amp; Sideloading\WalkAndUnGZ.bat" "%USERPROFILE%\AppData\Local\Temp\OnboardLogs"\RTDC4001\2016-09-01</v>
      </c>
      <c r="AF45" s="96" t="str">
        <f t="shared" si="11"/>
        <v>"C:\Program Files (x86)\AstroGrep\AstroGrep.exe" /spath="%USERPROFILE%\AppData\Local\Temp\OnboardLogs" /stypes="*4001*20160831*" /stext=" 15:.+((SYSTEM_STATE.+slice.+state.+changed )|(ment ac)|(system.+state.+changed )|(\|lc)|(penalty)|(\[timeout)|(PRM\|1\|D)|(kpr)|(kdp))" /e /r /s</v>
      </c>
      <c r="AG45" s="1" t="str">
        <f t="shared" ref="AG45:AG76" si="33">IFERROR(IF(VALUE(LEFT(AD45,2))&lt;=2,"EC",IF(OR(VALUE(LEFT(AD45,2))=8,VALUE(LEFT(AD45,2))=18),"NW","Other")),"Other")</f>
        <v>EC</v>
      </c>
      <c r="AH45" s="100" t="str">
        <f t="shared" si="15"/>
        <v>"%USERPROFILE%\Documents\GitHub\eaglep3\Utilities\RefineRTDCRunTimes.py" --tripid 132-31 --locoid 4001 --swversion DE.1.0.7.0 --startMP 204:232987 --initTime 2016-08-31T08:18:44 --startdatetime 2016-08-31T08:26:18 --delay 1 --endMP 204:160 --enddatetime 2016-08-31T09:07:52 --enforcementcount 0 &gt;&gt;C:\Users\stu\Documents\GitHub\eaglep3-reporting\EC\2016-08-31-refined-times.txt</v>
      </c>
      <c r="AI45" s="149" t="str">
        <f t="shared" si="16"/>
        <v>echo {"issue":{"subject":"","project_id":79,"tracker_id":40,"status_id":1,"priority_id":2,"assigned_to_id":23,"start_date":"2016-08-31","description":"","custom_fields":[{"id":1,"name":"Subdivision","value":"EC"},{"id":4,"name":"Milepost","value":"23.2827"},{"id":17,"name":"Train ID","value":"132-31"},{"id":16,"name":"Locomotive ID","value":"4001"},{"id":130,"name":"Impact","value":""},{"id":150,"name":"Time of Event (Mountain Time)","value":"09:07:52"},{"id":151,"name":"Denver Issue ID","value":""},{"id":178,"name":"Operational Impact","value":"Yes"},{"id":179,"name":"Denver Segment Assigned","value":""}]}} | curl -X POST -H "Content-Type: application/json" -H "X-Redmine-API-Key: d6333d4a04012a730768444271f8ca06482dae87" https://secure.xorail.net/redmine/issues.json --data @-</v>
      </c>
      <c r="AJ45" s="55"/>
      <c r="AK45" s="55"/>
      <c r="AL45" s="55"/>
    </row>
    <row r="46" spans="1:38" s="1" customFormat="1" x14ac:dyDescent="0.25">
      <c r="A46" s="39" t="s">
        <v>424</v>
      </c>
      <c r="B46" s="7">
        <v>4016</v>
      </c>
      <c r="C46" s="24" t="s">
        <v>113</v>
      </c>
      <c r="D46" s="24" t="s">
        <v>272</v>
      </c>
      <c r="E46" s="15">
        <v>42613.319409722222</v>
      </c>
      <c r="F46" s="15">
        <v>42613.323182870372</v>
      </c>
      <c r="G46" s="7">
        <v>1</v>
      </c>
      <c r="H46" s="15" t="s">
        <v>327</v>
      </c>
      <c r="I46" s="15">
        <v>42613.349490740744</v>
      </c>
      <c r="J46" s="7">
        <v>0</v>
      </c>
      <c r="K46" s="132" t="str">
        <f t="shared" si="24"/>
        <v>4015/4016</v>
      </c>
      <c r="L46" s="24" t="str">
        <f>VLOOKUP(A46,'Trips&amp;Operators'!$C$1:$E$10000,3,FALSE)</f>
        <v>STRICKLAND</v>
      </c>
      <c r="M46" s="6">
        <f t="shared" si="25"/>
        <v>2.6307870371965691E-2</v>
      </c>
      <c r="N46" s="7">
        <f t="shared" si="22"/>
        <v>37.883333335630596</v>
      </c>
      <c r="O46" s="7"/>
      <c r="P46" s="7"/>
      <c r="Q46" s="25"/>
      <c r="R46" s="25"/>
      <c r="S46" s="37">
        <f t="shared" si="23"/>
        <v>1</v>
      </c>
      <c r="T46" s="52" t="str">
        <f t="shared" si="26"/>
        <v>NorthBound</v>
      </c>
      <c r="U46" s="126">
        <f>IF(AG46="EC",COUNTIFS(Variables!$M$2:$M$19,IF(T46="NorthBound","&gt;=","&lt;=")&amp;Y46,Variables!$M$2:$M$19,IF(T46="NorthBound","&lt;=","&gt;=")&amp;Z46),COUNTIFS(Variables!$P$2:$P$19,IF(T46="NorthBound","&gt;=","&lt;=")&amp;Y46,Variables!$P$2:$P$19,IF(T46="NorthBound","&lt;=","&gt;=")&amp;Z46))</f>
        <v>12</v>
      </c>
      <c r="V46" s="106" t="str">
        <f t="shared" si="27"/>
        <v>https://search-rtdc-monitor-bjffxe2xuh6vdkpspy63sjmuny.us-east-1.es.amazonaws.com/_plugin/kibana/#/discover/Steve-Slow-Train-Analysis-(2080s-and-2083s)?_g=(refreshInterval:(display:Off,section:0,value:0),time:(from:'2016-08-31 06:39:57-0600',mode:absolute,to:'2016-08-31 09:23:16-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4016%22')),sort:!(Time,asc))</v>
      </c>
      <c r="W46" s="54" t="str">
        <f t="shared" si="28"/>
        <v>N</v>
      </c>
      <c r="X46" s="120">
        <f t="shared" si="21"/>
        <v>1</v>
      </c>
      <c r="Y46" s="69">
        <f t="shared" si="29"/>
        <v>4.4600000000000001E-2</v>
      </c>
      <c r="Z46" s="69">
        <f t="shared" si="30"/>
        <v>23.3309</v>
      </c>
      <c r="AA46" s="69">
        <f t="shared" si="31"/>
        <v>23.286300000000001</v>
      </c>
      <c r="AB46" s="66" t="e">
        <f>VLOOKUP(A46,Enforcements!$C$7:$J$21,8,0)</f>
        <v>#N/A</v>
      </c>
      <c r="AC46" s="62" t="e">
        <f>VLOOKUP(A46,Enforcements!$C$7:$E$21,3,0)</f>
        <v>#N/A</v>
      </c>
      <c r="AD46" s="63" t="str">
        <f t="shared" si="32"/>
        <v>0133-31</v>
      </c>
      <c r="AE46" s="99" t="str">
        <f t="shared" si="10"/>
        <v>aws s3 cp s3://rtdc.mdm.uploadarchive/RTDC4016/2016-08-31/ "%USERPROFILE%\AppData\Local\Temp\OnboardLogs"\RTDC4016\2016-08-31 --recursive &amp; "%USERPROFILE%\Documents\GitHub\mrs-test-scripts\Headless Mode &amp; Sideloading\WalkAndUnGZ.bat" "%USERPROFILE%\AppData\Local\Temp\OnboardLogs"\RTDC4016\2016-08-31 &amp; aws s3 cp s3://rtdc.mdm.uploadarchive/RTDC4016/2016-09-01/ "%USERPROFILE%\AppData\Local\Temp\OnboardLogs"\RTDC4016\2016-09-01 --recursive &amp; "%USERPROFILE%\Documents\GitHub\mrs-test-scripts\Headless Mode &amp; Sideloading\WalkAndUnGZ.bat" "%USERPROFILE%\AppData\Local\Temp\OnboardLogs"\RTDC4016\2016-09-01</v>
      </c>
      <c r="AF46" s="96" t="str">
        <f t="shared" si="11"/>
        <v>"C:\Program Files (x86)\AstroGrep\AstroGrep.exe" /spath="%USERPROFILE%\AppData\Local\Temp\OnboardLogs" /stypes="*4016*20160831*" /stext=" 14:.+((SYSTEM_STATE.+slice.+state.+changed )|(ment ac)|(system.+state.+changed )|(\|lc)|(penalty)|(\[timeout)|(PRM\|1\|D)|(kpr)|(kdp))" /e /r /s</v>
      </c>
      <c r="AG46" s="1" t="str">
        <f t="shared" si="33"/>
        <v>EC</v>
      </c>
      <c r="AH46" s="100" t="str">
        <f t="shared" si="15"/>
        <v>"%USERPROFILE%\Documents\GitHub\eaglep3\Utilities\RefineRTDCRunTimes.py" --tripid 133-31 --locoid 4016 --swversion DE.1.0.7.0 --startMP 204:446 --initTime 2016-08-31T07:39:57 --startdatetime 2016-08-31T07:45:23 --delay 1 --endMP 204:233309 --enddatetime 2016-08-31T08:23:16 --enforcementcount 0 &gt;&gt;C:\Users\stu\Documents\GitHub\eaglep3-reporting\EC\2016-08-31-refined-times.txt</v>
      </c>
      <c r="AI46" s="149" t="str">
        <f t="shared" si="16"/>
        <v>echo {"issue":{"subject":"","project_id":79,"tracker_id":40,"status_id":1,"priority_id":2,"assigned_to_id":23,"start_date":"2016-08-31","description":"","custom_fields":[{"id":1,"name":"Subdivision","value":"EC"},{"id":4,"name":"Milepost","value":"23.2863"},{"id":17,"name":"Train ID","value":"133-31"},{"id":16,"name":"Locomotive ID","value":"4016"},{"id":130,"name":"Impact","value":""},{"id":150,"name":"Time of Event (Mountain Time)","value":"08:23:16"},{"id":151,"name":"Denver Issue ID","value":""},{"id":178,"name":"Operational Impact","value":"Yes"},{"id":179,"name":"Denver Segment Assigned","value":""}]}} | curl -X POST -H "Content-Type: application/json" -H "X-Redmine-API-Key: d6333d4a04012a730768444271f8ca06482dae87" https://secure.xorail.net/redmine/issues.json --data @-</v>
      </c>
      <c r="AJ46" s="55"/>
      <c r="AK46" s="55"/>
      <c r="AL46" s="55"/>
    </row>
    <row r="47" spans="1:38" s="1" customFormat="1" x14ac:dyDescent="0.25">
      <c r="A47" s="39" t="s">
        <v>425</v>
      </c>
      <c r="B47" s="7">
        <v>4015</v>
      </c>
      <c r="C47" s="24" t="s">
        <v>113</v>
      </c>
      <c r="D47" s="24" t="s">
        <v>298</v>
      </c>
      <c r="E47" s="15">
        <v>42613.357106481482</v>
      </c>
      <c r="F47" s="15">
        <v>42613.362141203703</v>
      </c>
      <c r="G47" s="7">
        <v>1</v>
      </c>
      <c r="H47" s="15" t="s">
        <v>286</v>
      </c>
      <c r="I47" s="15">
        <v>42613.390659722223</v>
      </c>
      <c r="J47" s="7">
        <v>0</v>
      </c>
      <c r="K47" s="132" t="str">
        <f t="shared" si="24"/>
        <v>4015/4016</v>
      </c>
      <c r="L47" s="24" t="str">
        <f>VLOOKUP(A47,'Trips&amp;Operators'!$C$1:$E$10000,3,FALSE)</f>
        <v>STRICKLAND</v>
      </c>
      <c r="M47" s="6">
        <f t="shared" si="25"/>
        <v>2.8518518520286307E-2</v>
      </c>
      <c r="N47" s="7">
        <f t="shared" si="22"/>
        <v>41.066666669212282</v>
      </c>
      <c r="O47" s="7"/>
      <c r="P47" s="7"/>
      <c r="Q47" s="25"/>
      <c r="R47" s="25"/>
      <c r="S47" s="37">
        <f t="shared" si="23"/>
        <v>1</v>
      </c>
      <c r="T47" s="52" t="str">
        <f t="shared" si="26"/>
        <v>Southbound</v>
      </c>
      <c r="U47" s="126">
        <f>IF(AG47="EC",COUNTIFS(Variables!$M$2:$M$19,IF(T47="NorthBound","&gt;=","&lt;=")&amp;Y47,Variables!$M$2:$M$19,IF(T47="NorthBound","&lt;=","&gt;=")&amp;Z47),COUNTIFS(Variables!$P$2:$P$19,IF(T47="NorthBound","&gt;=","&lt;=")&amp;Y47,Variables!$P$2:$P$19,IF(T47="NorthBound","&lt;=","&gt;=")&amp;Z47))</f>
        <v>12</v>
      </c>
      <c r="V47" s="106" t="str">
        <f t="shared" si="27"/>
        <v>https://search-rtdc-monitor-bjffxe2xuh6vdkpspy63sjmuny.us-east-1.es.amazonaws.com/_plugin/kibana/#/discover/Steve-Slow-Train-Analysis-(2080s-and-2083s)?_g=(refreshInterval:(display:Off,section:0,value:0),time:(from:'2016-08-31 07:34:14-0600',mode:absolute,to:'2016-08-31 10:22:33-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4015%22')),sort:!(Time,asc))</v>
      </c>
      <c r="W47" s="54" t="str">
        <f t="shared" si="28"/>
        <v>N</v>
      </c>
      <c r="X47" s="120">
        <f t="shared" si="21"/>
        <v>1</v>
      </c>
      <c r="Y47" s="69">
        <f t="shared" si="29"/>
        <v>23.298200000000001</v>
      </c>
      <c r="Z47" s="69">
        <f t="shared" si="30"/>
        <v>1.6299999999999999E-2</v>
      </c>
      <c r="AA47" s="69">
        <f t="shared" si="31"/>
        <v>23.2819</v>
      </c>
      <c r="AB47" s="66" t="e">
        <f>VLOOKUP(A47,Enforcements!$C$7:$J$21,8,0)</f>
        <v>#N/A</v>
      </c>
      <c r="AC47" s="62" t="e">
        <f>VLOOKUP(A47,Enforcements!$C$7:$E$21,3,0)</f>
        <v>#N/A</v>
      </c>
      <c r="AD47" s="63" t="str">
        <f t="shared" si="32"/>
        <v>0134-31</v>
      </c>
      <c r="AE47" s="99" t="str">
        <f t="shared" si="10"/>
        <v>aws s3 cp s3://rtdc.mdm.uploadarchive/RTDC4015/2016-08-31/ "%USERPROFILE%\AppData\Local\Temp\OnboardLogs"\RTDC4015\2016-08-31 --recursive &amp; "%USERPROFILE%\Documents\GitHub\mrs-test-scripts\Headless Mode &amp; Sideloading\WalkAndUnGZ.bat" "%USERPROFILE%\AppData\Local\Temp\OnboardLogs"\RTDC4015\2016-08-31 &amp; aws s3 cp s3://rtdc.mdm.uploadarchive/RTDC4015/2016-09-01/ "%USERPROFILE%\AppData\Local\Temp\OnboardLogs"\RTDC4015\2016-09-01 --recursive &amp; "%USERPROFILE%\Documents\GitHub\mrs-test-scripts\Headless Mode &amp; Sideloading\WalkAndUnGZ.bat" "%USERPROFILE%\AppData\Local\Temp\OnboardLogs"\RTDC4015\2016-09-01</v>
      </c>
      <c r="AF47" s="96" t="str">
        <f t="shared" si="11"/>
        <v>"C:\Program Files (x86)\AstroGrep\AstroGrep.exe" /spath="%USERPROFILE%\AppData\Local\Temp\OnboardLogs" /stypes="*4015*20160831*" /stext=" 15:.+((SYSTEM_STATE.+slice.+state.+changed )|(ment ac)|(system.+state.+changed )|(\|lc)|(penalty)|(\[timeout)|(PRM\|1\|D)|(kpr)|(kdp))" /e /r /s</v>
      </c>
      <c r="AG47" s="1" t="str">
        <f t="shared" si="33"/>
        <v>EC</v>
      </c>
      <c r="AH47" s="100" t="str">
        <f t="shared" si="15"/>
        <v>"%USERPROFILE%\Documents\GitHub\eaglep3\Utilities\RefineRTDCRunTimes.py" --tripid 134-31 --locoid 4015 --swversion DE.1.0.7.0 --startMP 204:232982 --initTime 2016-08-31T08:34:14 --startdatetime 2016-08-31T08:41:29 --delay 1 --endMP 204:163 --enddatetime 2016-08-31T09:22:33 --enforcementcount 0 &gt;&gt;C:\Users\stu\Documents\GitHub\eaglep3-reporting\EC\2016-08-31-refined-times.txt</v>
      </c>
      <c r="AI47" s="149" t="str">
        <f t="shared" si="16"/>
        <v>echo {"issue":{"subject":"","project_id":79,"tracker_id":40,"status_id":1,"priority_id":2,"assigned_to_id":23,"start_date":"2016-08-31","description":"","custom_fields":[{"id":1,"name":"Subdivision","value":"EC"},{"id":4,"name":"Milepost","value":"23.2819"},{"id":17,"name":"Train ID","value":"134-31"},{"id":16,"name":"Locomotive ID","value":"4015"},{"id":130,"name":"Impact","value":""},{"id":150,"name":"Time of Event (Mountain Time)","value":"09:22:33"},{"id":151,"name":"Denver Issue ID","value":""},{"id":178,"name":"Operational Impact","value":"Yes"},{"id":179,"name":"Denver Segment Assigned","value":""}]}} | curl -X POST -H "Content-Type: application/json" -H "X-Redmine-API-Key: d6333d4a04012a730768444271f8ca06482dae87" https://secure.xorail.net/redmine/issues.json --data @-</v>
      </c>
      <c r="AJ47" s="55"/>
      <c r="AK47" s="55"/>
      <c r="AL47" s="55"/>
    </row>
    <row r="48" spans="1:38" s="1" customFormat="1" x14ac:dyDescent="0.25">
      <c r="A48" s="39" t="s">
        <v>426</v>
      </c>
      <c r="B48" s="7">
        <v>4014</v>
      </c>
      <c r="C48" s="24" t="s">
        <v>113</v>
      </c>
      <c r="D48" s="24" t="s">
        <v>140</v>
      </c>
      <c r="E48" s="15">
        <v>42613.328819444447</v>
      </c>
      <c r="F48" s="15">
        <v>42613.333981481483</v>
      </c>
      <c r="G48" s="7">
        <v>1</v>
      </c>
      <c r="H48" s="15" t="s">
        <v>427</v>
      </c>
      <c r="I48" s="15">
        <v>42613.35974537037</v>
      </c>
      <c r="J48" s="7">
        <v>0</v>
      </c>
      <c r="K48" s="132" t="str">
        <f t="shared" si="24"/>
        <v>4013/4014</v>
      </c>
      <c r="L48" s="24" t="str">
        <f>VLOOKUP(A48,'Trips&amp;Operators'!$C$1:$E$10000,3,FALSE)</f>
        <v>SPECTOR</v>
      </c>
      <c r="M48" s="6">
        <f t="shared" si="25"/>
        <v>2.5763888887013309E-2</v>
      </c>
      <c r="N48" s="7">
        <f t="shared" si="22"/>
        <v>37.099999997299165</v>
      </c>
      <c r="O48" s="7"/>
      <c r="P48" s="7"/>
      <c r="Q48" s="25"/>
      <c r="R48" s="25"/>
      <c r="S48" s="37">
        <f t="shared" si="23"/>
        <v>1</v>
      </c>
      <c r="T48" s="52" t="str">
        <f t="shared" si="26"/>
        <v>NorthBound</v>
      </c>
      <c r="U48" s="126">
        <f>IF(AG48="EC",COUNTIFS(Variables!$M$2:$M$19,IF(T48="NorthBound","&gt;=","&lt;=")&amp;Y48,Variables!$M$2:$M$19,IF(T48="NorthBound","&lt;=","&gt;=")&amp;Z48),COUNTIFS(Variables!$P$2:$P$19,IF(T48="NorthBound","&gt;=","&lt;=")&amp;Y48,Variables!$P$2:$P$19,IF(T48="NorthBound","&lt;=","&gt;=")&amp;Z48))</f>
        <v>12</v>
      </c>
      <c r="V48" s="106" t="str">
        <f t="shared" si="27"/>
        <v>https://search-rtdc-monitor-bjffxe2xuh6vdkpspy63sjmuny.us-east-1.es.amazonaws.com/_plugin/kibana/#/discover/Steve-Slow-Train-Analysis-(2080s-and-2083s)?_g=(refreshInterval:(display:Off,section:0,value:0),time:(from:'2016-08-31 06:53:30-0600',mode:absolute,to:'2016-08-31 09:38:02-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4014%22')),sort:!(Time,asc))</v>
      </c>
      <c r="W48" s="54" t="str">
        <f t="shared" si="28"/>
        <v>N</v>
      </c>
      <c r="X48" s="120">
        <f t="shared" si="21"/>
        <v>1</v>
      </c>
      <c r="Y48" s="69">
        <f t="shared" si="29"/>
        <v>4.5699999999999998E-2</v>
      </c>
      <c r="Z48" s="69">
        <f t="shared" si="30"/>
        <v>23.3306</v>
      </c>
      <c r="AA48" s="69">
        <f t="shared" si="31"/>
        <v>23.2849</v>
      </c>
      <c r="AB48" s="66" t="e">
        <f>VLOOKUP(A48,Enforcements!$C$7:$J$21,8,0)</f>
        <v>#N/A</v>
      </c>
      <c r="AC48" s="62" t="e">
        <f>VLOOKUP(A48,Enforcements!$C$7:$E$21,3,0)</f>
        <v>#N/A</v>
      </c>
      <c r="AD48" s="63" t="str">
        <f t="shared" si="32"/>
        <v>0135-31</v>
      </c>
      <c r="AE48" s="99" t="str">
        <f t="shared" si="10"/>
        <v>aws s3 cp s3://rtdc.mdm.uploadarchive/RTDC4014/2016-08-31/ "%USERPROFILE%\AppData\Local\Temp\OnboardLogs"\RTDC4014\2016-08-31 --recursive &amp; "%USERPROFILE%\Documents\GitHub\mrs-test-scripts\Headless Mode &amp; Sideloading\WalkAndUnGZ.bat" "%USERPROFILE%\AppData\Local\Temp\OnboardLogs"\RTDC4014\2016-08-31 &amp; aws s3 cp s3://rtdc.mdm.uploadarchive/RTDC4014/2016-09-01/ "%USERPROFILE%\AppData\Local\Temp\OnboardLogs"\RTDC4014\2016-09-01 --recursive &amp; "%USERPROFILE%\Documents\GitHub\mrs-test-scripts\Headless Mode &amp; Sideloading\WalkAndUnGZ.bat" "%USERPROFILE%\AppData\Local\Temp\OnboardLogs"\RTDC4014\2016-09-01</v>
      </c>
      <c r="AF48" s="96" t="str">
        <f t="shared" si="11"/>
        <v>"C:\Program Files (x86)\AstroGrep\AstroGrep.exe" /spath="%USERPROFILE%\AppData\Local\Temp\OnboardLogs" /stypes="*4014*20160831*" /stext=" 14:.+((SYSTEM_STATE.+slice.+state.+changed )|(ment ac)|(system.+state.+changed )|(\|lc)|(penalty)|(\[timeout)|(PRM\|1\|D)|(kpr)|(kdp))" /e /r /s</v>
      </c>
      <c r="AG48" s="1" t="str">
        <f t="shared" si="33"/>
        <v>EC</v>
      </c>
      <c r="AH48" s="100" t="str">
        <f t="shared" si="15"/>
        <v>"%USERPROFILE%\Documents\GitHub\eaglep3\Utilities\RefineRTDCRunTimes.py" --tripid 135-31 --locoid 4014 --swversion DE.1.0.7.0 --startMP 204:457 --initTime 2016-08-31T07:53:30 --startdatetime 2016-08-31T08:00:56 --delay 1 --endMP 204:233306 --enddatetime 2016-08-31T08:38:02 --enforcementcount 0 &gt;&gt;C:\Users\stu\Documents\GitHub\eaglep3-reporting\EC\2016-08-31-refined-times.txt</v>
      </c>
      <c r="AI48" s="149" t="str">
        <f t="shared" si="16"/>
        <v>echo {"issue":{"subject":"","project_id":79,"tracker_id":40,"status_id":1,"priority_id":2,"assigned_to_id":23,"start_date":"2016-08-31","description":"","custom_fields":[{"id":1,"name":"Subdivision","value":"EC"},{"id":4,"name":"Milepost","value":"23.2849"},{"id":17,"name":"Train ID","value":"135-31"},{"id":16,"name":"Locomotive ID","value":"4014"},{"id":130,"name":"Impact","value":""},{"id":150,"name":"Time of Event (Mountain Time)","value":"08:38:02"},{"id":151,"name":"Denver Issue ID","value":""},{"id":178,"name":"Operational Impact","value":"Yes"},{"id":179,"name":"Denver Segment Assigned","value":""}]}} | curl -X POST -H "Content-Type: application/json" -H "X-Redmine-API-Key: d6333d4a04012a730768444271f8ca06482dae87" https://secure.xorail.net/redmine/issues.json --data @-</v>
      </c>
      <c r="AJ48" s="55"/>
      <c r="AK48" s="55"/>
      <c r="AL48" s="55"/>
    </row>
    <row r="49" spans="1:38" s="1" customFormat="1" x14ac:dyDescent="0.25">
      <c r="A49" s="39" t="s">
        <v>428</v>
      </c>
      <c r="B49" s="7">
        <v>4013</v>
      </c>
      <c r="C49" s="24" t="s">
        <v>113</v>
      </c>
      <c r="D49" s="24" t="s">
        <v>429</v>
      </c>
      <c r="E49" s="15">
        <v>42613.368460648147</v>
      </c>
      <c r="F49" s="15">
        <v>42613.372395833336</v>
      </c>
      <c r="G49" s="7">
        <v>1</v>
      </c>
      <c r="H49" s="15" t="s">
        <v>167</v>
      </c>
      <c r="I49" s="15">
        <v>42613.398865740739</v>
      </c>
      <c r="J49" s="7">
        <v>0</v>
      </c>
      <c r="K49" s="132" t="str">
        <f t="shared" si="24"/>
        <v>4013/4014</v>
      </c>
      <c r="L49" s="24" t="str">
        <f>VLOOKUP(A49,'Trips&amp;Operators'!$C$1:$E$10000,3,FALSE)</f>
        <v>SPECTOR</v>
      </c>
      <c r="M49" s="6">
        <f t="shared" si="25"/>
        <v>2.6469907403225079E-2</v>
      </c>
      <c r="N49" s="7">
        <f t="shared" si="22"/>
        <v>38.116666660644114</v>
      </c>
      <c r="O49" s="7"/>
      <c r="P49" s="7"/>
      <c r="Q49" s="25"/>
      <c r="R49" s="25"/>
      <c r="S49" s="37">
        <f t="shared" si="23"/>
        <v>1</v>
      </c>
      <c r="T49" s="52" t="str">
        <f t="shared" si="26"/>
        <v>Southbound</v>
      </c>
      <c r="U49" s="126">
        <f>IF(AG49="EC",COUNTIFS(Variables!$M$2:$M$19,IF(T49="NorthBound","&gt;=","&lt;=")&amp;Y49,Variables!$M$2:$M$19,IF(T49="NorthBound","&lt;=","&gt;=")&amp;Z49),COUNTIFS(Variables!$P$2:$P$19,IF(T49="NorthBound","&gt;=","&lt;=")&amp;Y49,Variables!$P$2:$P$19,IF(T49="NorthBound","&lt;=","&gt;=")&amp;Z49))</f>
        <v>12</v>
      </c>
      <c r="V49" s="106" t="str">
        <f t="shared" si="27"/>
        <v>https://search-rtdc-monitor-bjffxe2xuh6vdkpspy63sjmuny.us-east-1.es.amazonaws.com/_plugin/kibana/#/discover/Steve-Slow-Train-Analysis-(2080s-and-2083s)?_g=(refreshInterval:(display:Off,section:0,value:0),time:(from:'2016-08-31 07:50:35-0600',mode:absolute,to:'2016-08-31 10:34:22-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4013%22')),sort:!(Time,asc))</v>
      </c>
      <c r="W49" s="54" t="str">
        <f t="shared" si="28"/>
        <v>N</v>
      </c>
      <c r="X49" s="120">
        <f t="shared" si="21"/>
        <v>1</v>
      </c>
      <c r="Y49" s="69">
        <f t="shared" si="29"/>
        <v>23.3004</v>
      </c>
      <c r="Z49" s="69">
        <f t="shared" si="30"/>
        <v>1.52E-2</v>
      </c>
      <c r="AA49" s="69">
        <f t="shared" si="31"/>
        <v>23.2852</v>
      </c>
      <c r="AB49" s="66" t="e">
        <f>VLOOKUP(A49,Enforcements!$C$7:$J$21,8,0)</f>
        <v>#N/A</v>
      </c>
      <c r="AC49" s="62" t="e">
        <f>VLOOKUP(A49,Enforcements!$C$7:$E$21,3,0)</f>
        <v>#N/A</v>
      </c>
      <c r="AD49" s="63" t="str">
        <f t="shared" si="32"/>
        <v>0136-31</v>
      </c>
      <c r="AE49" s="99" t="str">
        <f t="shared" si="10"/>
        <v>aws s3 cp s3://rtdc.mdm.uploadarchive/RTDC4013/2016-08-31/ "%USERPROFILE%\AppData\Local\Temp\OnboardLogs"\RTDC4013\2016-08-31 --recursive &amp; "%USERPROFILE%\Documents\GitHub\mrs-test-scripts\Headless Mode &amp; Sideloading\WalkAndUnGZ.bat" "%USERPROFILE%\AppData\Local\Temp\OnboardLogs"\RTDC4013\2016-08-31 &amp; aws s3 cp s3://rtdc.mdm.uploadarchive/RTDC4013/2016-09-01/ "%USERPROFILE%\AppData\Local\Temp\OnboardLogs"\RTDC4013\2016-09-01 --recursive &amp; "%USERPROFILE%\Documents\GitHub\mrs-test-scripts\Headless Mode &amp; Sideloading\WalkAndUnGZ.bat" "%USERPROFILE%\AppData\Local\Temp\OnboardLogs"\RTDC4013\2016-09-01</v>
      </c>
      <c r="AF49" s="96" t="str">
        <f t="shared" si="11"/>
        <v>"C:\Program Files (x86)\AstroGrep\AstroGrep.exe" /spath="%USERPROFILE%\AppData\Local\Temp\OnboardLogs" /stypes="*4013*20160831*" /stext=" 15:.+((SYSTEM_STATE.+slice.+state.+changed )|(ment ac)|(system.+state.+changed )|(\|lc)|(penalty)|(\[timeout)|(PRM\|1\|D)|(kpr)|(kdp))" /e /r /s</v>
      </c>
      <c r="AG49" s="1" t="str">
        <f t="shared" si="33"/>
        <v>EC</v>
      </c>
      <c r="AH49" s="100" t="str">
        <f t="shared" si="15"/>
        <v>"%USERPROFILE%\Documents\GitHub\eaglep3\Utilities\RefineRTDCRunTimes.py" --tripid 136-31 --locoid 4013 --swversion DE.1.0.7.0 --startMP 204:233004 --initTime 2016-08-31T08:50:35 --startdatetime 2016-08-31T08:56:15 --delay 1 --endMP 204:152 --enddatetime 2016-08-31T09:34:22 --enforcementcount 0 &gt;&gt;C:\Users\stu\Documents\GitHub\eaglep3-reporting\EC\2016-08-31-refined-times.txt</v>
      </c>
      <c r="AI49" s="149" t="str">
        <f t="shared" si="16"/>
        <v>echo {"issue":{"subject":"","project_id":79,"tracker_id":40,"status_id":1,"priority_id":2,"assigned_to_id":23,"start_date":"2016-08-31","description":"","custom_fields":[{"id":1,"name":"Subdivision","value":"EC"},{"id":4,"name":"Milepost","value":"23.2852"},{"id":17,"name":"Train ID","value":"136-31"},{"id":16,"name":"Locomotive ID","value":"4013"},{"id":130,"name":"Impact","value":""},{"id":150,"name":"Time of Event (Mountain Time)","value":"09:34:22"},{"id":151,"name":"Denver Issue ID","value":""},{"id":178,"name":"Operational Impact","value":"Yes"},{"id":179,"name":"Denver Segment Assigned","value":""}]}} | curl -X POST -H "Content-Type: application/json" -H "X-Redmine-API-Key: d6333d4a04012a730768444271f8ca06482dae87" https://secure.xorail.net/redmine/issues.json --data @-</v>
      </c>
      <c r="AJ49" s="55"/>
      <c r="AK49" s="55"/>
      <c r="AL49" s="55"/>
    </row>
    <row r="50" spans="1:38" s="1" customFormat="1" x14ac:dyDescent="0.25">
      <c r="A50" s="39" t="s">
        <v>430</v>
      </c>
      <c r="B50" s="7">
        <v>4011</v>
      </c>
      <c r="C50" s="24" t="s">
        <v>113</v>
      </c>
      <c r="D50" s="24" t="s">
        <v>125</v>
      </c>
      <c r="E50" s="15">
        <v>42613.341168981482</v>
      </c>
      <c r="F50" s="15">
        <v>42613.3440625</v>
      </c>
      <c r="G50" s="7">
        <v>1</v>
      </c>
      <c r="H50" s="15" t="s">
        <v>431</v>
      </c>
      <c r="I50" s="15">
        <v>42613.369305555556</v>
      </c>
      <c r="J50" s="7">
        <v>0</v>
      </c>
      <c r="K50" s="132" t="str">
        <f t="shared" si="24"/>
        <v>4011/4012</v>
      </c>
      <c r="L50" s="24" t="str">
        <f>VLOOKUP(A50,'Trips&amp;Operators'!$C$1:$E$10000,3,FALSE)</f>
        <v>KILLION</v>
      </c>
      <c r="M50" s="6">
        <f t="shared" si="25"/>
        <v>2.5243055555620231E-2</v>
      </c>
      <c r="N50" s="7">
        <f t="shared" si="22"/>
        <v>36.350000000093132</v>
      </c>
      <c r="O50" s="7"/>
      <c r="P50" s="7"/>
      <c r="Q50" s="25"/>
      <c r="R50" s="25"/>
      <c r="S50" s="37">
        <f t="shared" si="23"/>
        <v>1</v>
      </c>
      <c r="T50" s="52" t="str">
        <f t="shared" si="26"/>
        <v>NorthBound</v>
      </c>
      <c r="U50" s="126">
        <f>IF(AG50="EC",COUNTIFS(Variables!$M$2:$M$19,IF(T50="NorthBound","&gt;=","&lt;=")&amp;Y50,Variables!$M$2:$M$19,IF(T50="NorthBound","&lt;=","&gt;=")&amp;Z50),COUNTIFS(Variables!$P$2:$P$19,IF(T50="NorthBound","&gt;=","&lt;=")&amp;Y50,Variables!$P$2:$P$19,IF(T50="NorthBound","&lt;=","&gt;=")&amp;Z50))</f>
        <v>12</v>
      </c>
      <c r="V50" s="106" t="str">
        <f t="shared" si="27"/>
        <v>https://search-rtdc-monitor-bjffxe2xuh6vdkpspy63sjmuny.us-east-1.es.amazonaws.com/_plugin/kibana/#/discover/Steve-Slow-Train-Analysis-(2080s-and-2083s)?_g=(refreshInterval:(display:Off,section:0,value:0),time:(from:'2016-08-31 07:11:17-0600',mode:absolute,to:'2016-08-31 09:51:48-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4011%22')),sort:!(Time,asc))</v>
      </c>
      <c r="W50" s="54" t="str">
        <f t="shared" si="28"/>
        <v>N</v>
      </c>
      <c r="X50" s="120">
        <f t="shared" si="21"/>
        <v>1</v>
      </c>
      <c r="Y50" s="69">
        <f t="shared" si="29"/>
        <v>4.5499999999999999E-2</v>
      </c>
      <c r="Z50" s="69">
        <f t="shared" si="30"/>
        <v>23.327000000000002</v>
      </c>
      <c r="AA50" s="69">
        <f t="shared" si="31"/>
        <v>23.281500000000001</v>
      </c>
      <c r="AB50" s="66" t="e">
        <f>VLOOKUP(A50,Enforcements!$C$7:$J$21,8,0)</f>
        <v>#N/A</v>
      </c>
      <c r="AC50" s="62" t="e">
        <f>VLOOKUP(A50,Enforcements!$C$7:$E$21,3,0)</f>
        <v>#N/A</v>
      </c>
      <c r="AD50" s="63" t="str">
        <f t="shared" si="32"/>
        <v>0137-31</v>
      </c>
      <c r="AE50" s="99" t="str">
        <f t="shared" si="10"/>
        <v>aws s3 cp s3://rtdc.mdm.uploadarchive/RTDC4011/2016-08-31/ "%USERPROFILE%\AppData\Local\Temp\OnboardLogs"\RTDC4011\2016-08-31 --recursive &amp; "%USERPROFILE%\Documents\GitHub\mrs-test-scripts\Headless Mode &amp; Sideloading\WalkAndUnGZ.bat" "%USERPROFILE%\AppData\Local\Temp\OnboardLogs"\RTDC4011\2016-08-31 &amp; aws s3 cp s3://rtdc.mdm.uploadarchive/RTDC4011/2016-09-01/ "%USERPROFILE%\AppData\Local\Temp\OnboardLogs"\RTDC4011\2016-09-01 --recursive &amp; "%USERPROFILE%\Documents\GitHub\mrs-test-scripts\Headless Mode &amp; Sideloading\WalkAndUnGZ.bat" "%USERPROFILE%\AppData\Local\Temp\OnboardLogs"\RTDC4011\2016-09-01</v>
      </c>
      <c r="AF50" s="96" t="str">
        <f t="shared" si="11"/>
        <v>"C:\Program Files (x86)\AstroGrep\AstroGrep.exe" /spath="%USERPROFILE%\AppData\Local\Temp\OnboardLogs" /stypes="*4011*20160831*" /stext=" 14:.+((SYSTEM_STATE.+slice.+state.+changed )|(ment ac)|(system.+state.+changed )|(\|lc)|(penalty)|(\[timeout)|(PRM\|1\|D)|(kpr)|(kdp))" /e /r /s</v>
      </c>
      <c r="AG50" s="1" t="str">
        <f t="shared" si="33"/>
        <v>EC</v>
      </c>
      <c r="AH50" s="100" t="str">
        <f t="shared" si="15"/>
        <v>"%USERPROFILE%\Documents\GitHub\eaglep3\Utilities\RefineRTDCRunTimes.py" --tripid 137-31 --locoid 4011 --swversion DE.1.0.7.0 --startMP 204:455 --initTime 2016-08-31T08:11:17 --startdatetime 2016-08-31T08:15:27 --delay 1 --endMP 204:233270 --enddatetime 2016-08-31T08:51:48 --enforcementcount 0 &gt;&gt;C:\Users\stu\Documents\GitHub\eaglep3-reporting\EC\2016-08-31-refined-times.txt</v>
      </c>
      <c r="AI50" s="149" t="str">
        <f t="shared" si="16"/>
        <v>echo {"issue":{"subject":"","project_id":79,"tracker_id":40,"status_id":1,"priority_id":2,"assigned_to_id":23,"start_date":"2016-08-31","description":"","custom_fields":[{"id":1,"name":"Subdivision","value":"EC"},{"id":4,"name":"Milepost","value":"23.2815"},{"id":17,"name":"Train ID","value":"137-31"},{"id":16,"name":"Locomotive ID","value":"4011"},{"id":130,"name":"Impact","value":""},{"id":150,"name":"Time of Event (Mountain Time)","value":"08:51:48"},{"id":151,"name":"Denver Issue ID","value":""},{"id":178,"name":"Operational Impact","value":"Yes"},{"id":179,"name":"Denver Segment Assigned","value":""}]}} | curl -X POST -H "Content-Type: application/json" -H "X-Redmine-API-Key: d6333d4a04012a730768444271f8ca06482dae87" https://secure.xorail.net/redmine/issues.json --data @-</v>
      </c>
      <c r="AJ50" s="55"/>
      <c r="AK50" s="55"/>
      <c r="AL50" s="55"/>
    </row>
    <row r="51" spans="1:38" s="1" customFormat="1" x14ac:dyDescent="0.25">
      <c r="A51" s="39" t="s">
        <v>432</v>
      </c>
      <c r="B51" s="7">
        <v>4012</v>
      </c>
      <c r="C51" s="24" t="s">
        <v>113</v>
      </c>
      <c r="D51" s="24" t="s">
        <v>249</v>
      </c>
      <c r="E51" s="15">
        <v>42613.375254629631</v>
      </c>
      <c r="F51" s="15">
        <v>42613.382824074077</v>
      </c>
      <c r="G51" s="7">
        <v>1</v>
      </c>
      <c r="H51" s="15" t="s">
        <v>167</v>
      </c>
      <c r="I51" s="15">
        <v>42613.409722222219</v>
      </c>
      <c r="J51" s="7">
        <v>0</v>
      </c>
      <c r="K51" s="132" t="str">
        <f t="shared" si="24"/>
        <v>4011/4012</v>
      </c>
      <c r="L51" s="24" t="str">
        <f>VLOOKUP(A51,'Trips&amp;Operators'!$C$1:$E$10000,3,FALSE)</f>
        <v>KILLION</v>
      </c>
      <c r="M51" s="6">
        <f t="shared" si="25"/>
        <v>2.6898148142208811E-2</v>
      </c>
      <c r="N51" s="7">
        <f t="shared" si="22"/>
        <v>38.733333324780688</v>
      </c>
      <c r="O51" s="7"/>
      <c r="P51" s="7"/>
      <c r="Q51" s="25"/>
      <c r="R51" s="25"/>
      <c r="S51" s="37">
        <f t="shared" si="23"/>
        <v>1</v>
      </c>
      <c r="T51" s="52" t="str">
        <f t="shared" si="26"/>
        <v>Southbound</v>
      </c>
      <c r="U51" s="126">
        <f>IF(AG51="EC",COUNTIFS(Variables!$M$2:$M$19,IF(T51="NorthBound","&gt;=","&lt;=")&amp;Y51,Variables!$M$2:$M$19,IF(T51="NorthBound","&lt;=","&gt;=")&amp;Z51),COUNTIFS(Variables!$P$2:$P$19,IF(T51="NorthBound","&gt;=","&lt;=")&amp;Y51,Variables!$P$2:$P$19,IF(T51="NorthBound","&lt;=","&gt;=")&amp;Z51))</f>
        <v>12</v>
      </c>
      <c r="V51" s="106" t="str">
        <f t="shared" si="27"/>
        <v>https://search-rtdc-monitor-bjffxe2xuh6vdkpspy63sjmuny.us-east-1.es.amazonaws.com/_plugin/kibana/#/discover/Steve-Slow-Train-Analysis-(2080s-and-2083s)?_g=(refreshInterval:(display:Off,section:0,value:0),time:(from:'2016-08-31 08:00:22-0600',mode:absolute,to:'2016-08-31 10:50: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4012%22')),sort:!(Time,asc))</v>
      </c>
      <c r="W51" s="54" t="str">
        <f t="shared" si="28"/>
        <v>N</v>
      </c>
      <c r="X51" s="120">
        <f t="shared" ref="X51:X82" si="34">VALUE(LEFT(AD51,4))-VALUE(LEFT(AD50,4))</f>
        <v>1</v>
      </c>
      <c r="Y51" s="69">
        <f t="shared" si="29"/>
        <v>23.2973</v>
      </c>
      <c r="Z51" s="69">
        <f t="shared" si="30"/>
        <v>1.52E-2</v>
      </c>
      <c r="AA51" s="69">
        <f t="shared" si="31"/>
        <v>23.2821</v>
      </c>
      <c r="AB51" s="66" t="e">
        <f>VLOOKUP(A51,Enforcements!$C$7:$J$21,8,0)</f>
        <v>#N/A</v>
      </c>
      <c r="AC51" s="62" t="e">
        <f>VLOOKUP(A51,Enforcements!$C$7:$E$21,3,0)</f>
        <v>#N/A</v>
      </c>
      <c r="AD51" s="63" t="str">
        <f t="shared" si="32"/>
        <v>0138-31</v>
      </c>
      <c r="AE51" s="99" t="str">
        <f t="shared" si="10"/>
        <v>aws s3 cp s3://rtdc.mdm.uploadarchive/RTDC4012/2016-08-31/ "%USERPROFILE%\AppData\Local\Temp\OnboardLogs"\RTDC4012\2016-08-31 --recursive &amp; "%USERPROFILE%\Documents\GitHub\mrs-test-scripts\Headless Mode &amp; Sideloading\WalkAndUnGZ.bat" "%USERPROFILE%\AppData\Local\Temp\OnboardLogs"\RTDC4012\2016-08-31 &amp; aws s3 cp s3://rtdc.mdm.uploadarchive/RTDC4012/2016-09-01/ "%USERPROFILE%\AppData\Local\Temp\OnboardLogs"\RTDC4012\2016-09-01 --recursive &amp; "%USERPROFILE%\Documents\GitHub\mrs-test-scripts\Headless Mode &amp; Sideloading\WalkAndUnGZ.bat" "%USERPROFILE%\AppData\Local\Temp\OnboardLogs"\RTDC4012\2016-09-01</v>
      </c>
      <c r="AF51" s="96" t="str">
        <f t="shared" si="11"/>
        <v>"C:\Program Files (x86)\AstroGrep\AstroGrep.exe" /spath="%USERPROFILE%\AppData\Local\Temp\OnboardLogs" /stypes="*4012*20160831*" /stext=" 15:.+((SYSTEM_STATE.+slice.+state.+changed )|(ment ac)|(system.+state.+changed )|(\|lc)|(penalty)|(\[timeout)|(PRM\|1\|D)|(kpr)|(kdp))" /e /r /s</v>
      </c>
      <c r="AG51" s="1" t="str">
        <f t="shared" si="33"/>
        <v>EC</v>
      </c>
      <c r="AH51" s="100" t="str">
        <f t="shared" si="15"/>
        <v>"%USERPROFILE%\Documents\GitHub\eaglep3\Utilities\RefineRTDCRunTimes.py" --tripid 138-31 --locoid 4012 --swversion DE.1.0.7.0 --startMP 204:232973 --initTime 2016-08-31T09:00:22 --startdatetime 2016-08-31T09:11:16 --delay 1 --endMP 204:152 --enddatetime 2016-08-31T09:50:00 --enforcementcount 0 &gt;&gt;C:\Users\stu\Documents\GitHub\eaglep3-reporting\EC\2016-08-31-refined-times.txt</v>
      </c>
      <c r="AI51" s="149" t="str">
        <f t="shared" si="16"/>
        <v>echo {"issue":{"subject":"","project_id":79,"tracker_id":40,"status_id":1,"priority_id":2,"assigned_to_id":23,"start_date":"2016-08-31","description":"","custom_fields":[{"id":1,"name":"Subdivision","value":"EC"},{"id":4,"name":"Milepost","value":"23.2821"},{"id":17,"name":"Train ID","value":"138-31"},{"id":16,"name":"Locomotive ID","value":"4012"},{"id":130,"name":"Impact","value":""},{"id":150,"name":"Time of Event (Mountain Time)","value":"09:50:00"},{"id":151,"name":"Denver Issue ID","value":""},{"id":178,"name":"Operational Impact","value":"Yes"},{"id":179,"name":"Denver Segment Assigned","value":""}]}} | curl -X POST -H "Content-Type: application/json" -H "X-Redmine-API-Key: d6333d4a04012a730768444271f8ca06482dae87" https://secure.xorail.net/redmine/issues.json --data @-</v>
      </c>
      <c r="AJ51" s="55"/>
      <c r="AK51" s="55"/>
      <c r="AL51" s="55"/>
    </row>
    <row r="52" spans="1:38" s="1" customFormat="1" x14ac:dyDescent="0.25">
      <c r="A52" s="39" t="s">
        <v>433</v>
      </c>
      <c r="B52" s="7">
        <v>4042</v>
      </c>
      <c r="C52" s="24" t="s">
        <v>113</v>
      </c>
      <c r="D52" s="24" t="s">
        <v>184</v>
      </c>
      <c r="E52" s="15">
        <v>42613.350405092591</v>
      </c>
      <c r="F52" s="15">
        <v>42613.354432870372</v>
      </c>
      <c r="G52" s="7">
        <v>1</v>
      </c>
      <c r="H52" s="15" t="s">
        <v>330</v>
      </c>
      <c r="I52" s="15">
        <v>42613.379942129628</v>
      </c>
      <c r="J52" s="7">
        <v>0</v>
      </c>
      <c r="K52" s="132" t="str">
        <f t="shared" si="24"/>
        <v>4041/4042</v>
      </c>
      <c r="L52" s="24" t="str">
        <f>VLOOKUP(A52,'Trips&amp;Operators'!$C$1:$E$10000,3,FALSE)</f>
        <v>SANTIZO</v>
      </c>
      <c r="M52" s="6">
        <f t="shared" si="25"/>
        <v>2.5509259256068617E-2</v>
      </c>
      <c r="N52" s="7">
        <f t="shared" si="22"/>
        <v>36.733333328738809</v>
      </c>
      <c r="O52" s="7"/>
      <c r="P52" s="7"/>
      <c r="Q52" s="25"/>
      <c r="R52" s="25"/>
      <c r="S52" s="37">
        <f t="shared" si="23"/>
        <v>1</v>
      </c>
      <c r="T52" s="52" t="str">
        <f t="shared" si="26"/>
        <v>NorthBound</v>
      </c>
      <c r="U52" s="126">
        <f>IF(AG52="EC",COUNTIFS(Variables!$M$2:$M$19,IF(T52="NorthBound","&gt;=","&lt;=")&amp;Y52,Variables!$M$2:$M$19,IF(T52="NorthBound","&lt;=","&gt;=")&amp;Z52),COUNTIFS(Variables!$P$2:$P$19,IF(T52="NorthBound","&gt;=","&lt;=")&amp;Y52,Variables!$P$2:$P$19,IF(T52="NorthBound","&lt;=","&gt;=")&amp;Z52))</f>
        <v>12</v>
      </c>
      <c r="V52" s="106" t="str">
        <f t="shared" si="27"/>
        <v>https://search-rtdc-monitor-bjffxe2xuh6vdkpspy63sjmuny.us-east-1.es.amazonaws.com/_plugin/kibana/#/discover/Steve-Slow-Train-Analysis-(2080s-and-2083s)?_g=(refreshInterval:(display:Off,section:0,value:0),time:(from:'2016-08-31 07:24:35-0600',mode:absolute,to:'2016-08-31 10:07:07-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4042%22')),sort:!(Time,asc))</v>
      </c>
      <c r="W52" s="54" t="str">
        <f t="shared" si="28"/>
        <v>N</v>
      </c>
      <c r="X52" s="120">
        <f t="shared" si="34"/>
        <v>1</v>
      </c>
      <c r="Y52" s="69">
        <f t="shared" si="29"/>
        <v>4.6399999999999997E-2</v>
      </c>
      <c r="Z52" s="69">
        <f t="shared" si="30"/>
        <v>23.33</v>
      </c>
      <c r="AA52" s="69">
        <f t="shared" si="31"/>
        <v>23.2836</v>
      </c>
      <c r="AB52" s="66" t="e">
        <f>VLOOKUP(A52,Enforcements!$C$7:$J$21,8,0)</f>
        <v>#N/A</v>
      </c>
      <c r="AC52" s="62" t="e">
        <f>VLOOKUP(A52,Enforcements!$C$7:$E$21,3,0)</f>
        <v>#N/A</v>
      </c>
      <c r="AD52" s="63" t="str">
        <f t="shared" si="32"/>
        <v>0139-31</v>
      </c>
      <c r="AE52" s="99" t="str">
        <f t="shared" si="10"/>
        <v>aws s3 cp s3://rtdc.mdm.uploadarchive/RTDC4042/2016-08-31/ "%USERPROFILE%\AppData\Local\Temp\OnboardLogs"\RTDC4042\2016-08-31 --recursive &amp; "%USERPROFILE%\Documents\GitHub\mrs-test-scripts\Headless Mode &amp; Sideloading\WalkAndUnGZ.bat" "%USERPROFILE%\AppData\Local\Temp\OnboardLogs"\RTDC4042\2016-08-31 &amp; aws s3 cp s3://rtdc.mdm.uploadarchive/RTDC4042/2016-09-01/ "%USERPROFILE%\AppData\Local\Temp\OnboardLogs"\RTDC4042\2016-09-01 --recursive &amp; "%USERPROFILE%\Documents\GitHub\mrs-test-scripts\Headless Mode &amp; Sideloading\WalkAndUnGZ.bat" "%USERPROFILE%\AppData\Local\Temp\OnboardLogs"\RTDC4042\2016-09-01</v>
      </c>
      <c r="AF52" s="96" t="str">
        <f t="shared" si="11"/>
        <v>"C:\Program Files (x86)\AstroGrep\AstroGrep.exe" /spath="%USERPROFILE%\AppData\Local\Temp\OnboardLogs" /stypes="*4042*20160831*" /stext=" 15:.+((SYSTEM_STATE.+slice.+state.+changed )|(ment ac)|(system.+state.+changed )|(\|lc)|(penalty)|(\[timeout)|(PRM\|1\|D)|(kpr)|(kdp))" /e /r /s</v>
      </c>
      <c r="AG52" s="1" t="str">
        <f t="shared" si="33"/>
        <v>EC</v>
      </c>
      <c r="AH52" s="100" t="str">
        <f t="shared" si="15"/>
        <v>"%USERPROFILE%\Documents\GitHub\eaglep3\Utilities\RefineRTDCRunTimes.py" --tripid 139-31 --locoid 4042 --swversion DE.1.0.7.0 --startMP 204:464 --initTime 2016-08-31T08:24:35 --startdatetime 2016-08-31T08:30:23 --delay 1 --endMP 204:233300 --enddatetime 2016-08-31T09:07:07 --enforcementcount 0 &gt;&gt;C:\Users\stu\Documents\GitHub\eaglep3-reporting\EC\2016-08-31-refined-times.txt</v>
      </c>
      <c r="AI52" s="149" t="str">
        <f t="shared" si="16"/>
        <v>echo {"issue":{"subject":"","project_id":79,"tracker_id":40,"status_id":1,"priority_id":2,"assigned_to_id":23,"start_date":"2016-08-31","description":"","custom_fields":[{"id":1,"name":"Subdivision","value":"EC"},{"id":4,"name":"Milepost","value":"23.2836"},{"id":17,"name":"Train ID","value":"139-31"},{"id":16,"name":"Locomotive ID","value":"4042"},{"id":130,"name":"Impact","value":""},{"id":150,"name":"Time of Event (Mountain Time)","value":"09:07:07"},{"id":151,"name":"Denver Issue ID","value":""},{"id":178,"name":"Operational Impact","value":"Yes"},{"id":179,"name":"Denver Segment Assigned","value":""}]}} | curl -X POST -H "Content-Type: application/json" -H "X-Redmine-API-Key: d6333d4a04012a730768444271f8ca06482dae87" https://secure.xorail.net/redmine/issues.json --data @-</v>
      </c>
      <c r="AJ52" s="55"/>
      <c r="AK52" s="55"/>
      <c r="AL52" s="55"/>
    </row>
    <row r="53" spans="1:38" s="1" customFormat="1" x14ac:dyDescent="0.25">
      <c r="A53" s="39" t="s">
        <v>434</v>
      </c>
      <c r="B53" s="7">
        <v>4041</v>
      </c>
      <c r="C53" s="24" t="s">
        <v>113</v>
      </c>
      <c r="D53" s="24" t="s">
        <v>292</v>
      </c>
      <c r="E53" s="15">
        <v>42613.381423611114</v>
      </c>
      <c r="F53" s="15">
        <v>42613.39335648148</v>
      </c>
      <c r="G53" s="7">
        <v>1</v>
      </c>
      <c r="H53" s="15" t="s">
        <v>132</v>
      </c>
      <c r="I53" s="15">
        <v>42613.421215277776</v>
      </c>
      <c r="J53" s="7">
        <v>0</v>
      </c>
      <c r="K53" s="132" t="str">
        <f t="shared" si="24"/>
        <v>4041/4042</v>
      </c>
      <c r="L53" s="24" t="str">
        <f>VLOOKUP(A53,'Trips&amp;Operators'!$C$1:$E$10000,3,FALSE)</f>
        <v>SANTIZO</v>
      </c>
      <c r="M53" s="6">
        <f t="shared" si="25"/>
        <v>2.7858796296641231E-2</v>
      </c>
      <c r="N53" s="7">
        <f t="shared" si="22"/>
        <v>40.116666667163372</v>
      </c>
      <c r="O53" s="7"/>
      <c r="P53" s="7"/>
      <c r="Q53" s="25"/>
      <c r="R53" s="25"/>
      <c r="S53" s="37">
        <f t="shared" si="23"/>
        <v>1</v>
      </c>
      <c r="T53" s="52" t="str">
        <f t="shared" si="26"/>
        <v>Southbound</v>
      </c>
      <c r="U53" s="126">
        <f>IF(AG53="EC",COUNTIFS(Variables!$M$2:$M$19,IF(T53="NorthBound","&gt;=","&lt;=")&amp;Y53,Variables!$M$2:$M$19,IF(T53="NorthBound","&lt;=","&gt;=")&amp;Z53),COUNTIFS(Variables!$P$2:$P$19,IF(T53="NorthBound","&gt;=","&lt;=")&amp;Y53,Variables!$P$2:$P$19,IF(T53="NorthBound","&lt;=","&gt;=")&amp;Z53))</f>
        <v>12</v>
      </c>
      <c r="V53" s="106" t="str">
        <f t="shared" si="27"/>
        <v>https://search-rtdc-monitor-bjffxe2xuh6vdkpspy63sjmuny.us-east-1.es.amazonaws.com/_plugin/kibana/#/discover/Steve-Slow-Train-Analysis-(2080s-and-2083s)?_g=(refreshInterval:(display:Off,section:0,value:0),time:(from:'2016-08-31 08:09:15-0600',mode:absolute,to:'2016-08-31 11:06:33-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4041%22')),sort:!(Time,asc))</v>
      </c>
      <c r="W53" s="54" t="str">
        <f t="shared" si="28"/>
        <v>N</v>
      </c>
      <c r="X53" s="120">
        <f t="shared" si="34"/>
        <v>1</v>
      </c>
      <c r="Y53" s="69">
        <f t="shared" si="29"/>
        <v>23.299299999999999</v>
      </c>
      <c r="Z53" s="69">
        <f t="shared" si="30"/>
        <v>1.47E-2</v>
      </c>
      <c r="AA53" s="69">
        <f t="shared" si="31"/>
        <v>23.284599999999998</v>
      </c>
      <c r="AB53" s="66" t="e">
        <f>VLOOKUP(A53,Enforcements!$C$7:$J$21,8,0)</f>
        <v>#N/A</v>
      </c>
      <c r="AC53" s="62" t="e">
        <f>VLOOKUP(A53,Enforcements!$C$7:$E$21,3,0)</f>
        <v>#N/A</v>
      </c>
      <c r="AD53" s="63" t="str">
        <f t="shared" si="32"/>
        <v>0140-31</v>
      </c>
      <c r="AE53" s="99" t="str">
        <f t="shared" si="10"/>
        <v>aws s3 cp s3://rtdc.mdm.uploadarchive/RTDC4041/2016-08-31/ "%USERPROFILE%\AppData\Local\Temp\OnboardLogs"\RTDC4041\2016-08-31 --recursive &amp; "%USERPROFILE%\Documents\GitHub\mrs-test-scripts\Headless Mode &amp; Sideloading\WalkAndUnGZ.bat" "%USERPROFILE%\AppData\Local\Temp\OnboardLogs"\RTDC4041\2016-08-31 &amp; aws s3 cp s3://rtdc.mdm.uploadarchive/RTDC4041/2016-09-01/ "%USERPROFILE%\AppData\Local\Temp\OnboardLogs"\RTDC4041\2016-09-01 --recursive &amp; "%USERPROFILE%\Documents\GitHub\mrs-test-scripts\Headless Mode &amp; Sideloading\WalkAndUnGZ.bat" "%USERPROFILE%\AppData\Local\Temp\OnboardLogs"\RTDC4041\2016-09-01</v>
      </c>
      <c r="AF53" s="96" t="str">
        <f t="shared" si="11"/>
        <v>"C:\Program Files (x86)\AstroGrep\AstroGrep.exe" /spath="%USERPROFILE%\AppData\Local\Temp\OnboardLogs" /stypes="*4041*20160831*" /stext=" 16:.+((SYSTEM_STATE.+slice.+state.+changed )|(ment ac)|(system.+state.+changed )|(\|lc)|(penalty)|(\[timeout)|(PRM\|1\|D)|(kpr)|(kdp))" /e /r /s</v>
      </c>
      <c r="AG53" s="1" t="str">
        <f t="shared" si="33"/>
        <v>EC</v>
      </c>
      <c r="AH53" s="100" t="str">
        <f t="shared" si="15"/>
        <v>"%USERPROFILE%\Documents\GitHub\eaglep3\Utilities\RefineRTDCRunTimes.py" --tripid 140-31 --locoid 4041 --swversion DE.1.0.7.0 --startMP 204:232993 --initTime 2016-08-31T09:09:15 --startdatetime 2016-08-31T09:26:26 --delay 1 --endMP 204:147 --enddatetime 2016-08-31T10:06:33 --enforcementcount 0 &gt;&gt;C:\Users\stu\Documents\GitHub\eaglep3-reporting\EC\2016-08-31-refined-times.txt</v>
      </c>
      <c r="AI53" s="149" t="str">
        <f t="shared" si="16"/>
        <v>echo {"issue":{"subject":"","project_id":79,"tracker_id":40,"status_id":1,"priority_id":2,"assigned_to_id":23,"start_date":"2016-08-31","description":"","custom_fields":[{"id":1,"name":"Subdivision","value":"EC"},{"id":4,"name":"Milepost","value":"23.2846"},{"id":17,"name":"Train ID","value":"140-31"},{"id":16,"name":"Locomotive ID","value":"4041"},{"id":130,"name":"Impact","value":""},{"id":150,"name":"Time of Event (Mountain Time)","value":"10:06:33"},{"id":151,"name":"Denver Issue ID","value":""},{"id":178,"name":"Operational Impact","value":"Yes"},{"id":179,"name":"Denver Segment Assigned","value":""}]}} | curl -X POST -H "Content-Type: application/json" -H "X-Redmine-API-Key: d6333d4a04012a730768444271f8ca06482dae87" https://secure.xorail.net/redmine/issues.json --data @-</v>
      </c>
      <c r="AJ53" s="55"/>
      <c r="AK53" s="55"/>
      <c r="AL53" s="55"/>
    </row>
    <row r="54" spans="1:38" s="1" customFormat="1" x14ac:dyDescent="0.25">
      <c r="A54" s="39" t="s">
        <v>435</v>
      </c>
      <c r="B54" s="7">
        <v>4029</v>
      </c>
      <c r="C54" s="24" t="s">
        <v>113</v>
      </c>
      <c r="D54" s="24" t="s">
        <v>272</v>
      </c>
      <c r="E54" s="15">
        <v>42613.362858796296</v>
      </c>
      <c r="F54" s="15">
        <v>42613.364861111113</v>
      </c>
      <c r="G54" s="7">
        <v>1</v>
      </c>
      <c r="H54" s="15" t="s">
        <v>183</v>
      </c>
      <c r="I54" s="15">
        <v>42613.390208333331</v>
      </c>
      <c r="J54" s="7">
        <v>0</v>
      </c>
      <c r="K54" s="132" t="str">
        <f t="shared" si="24"/>
        <v>4029/4030</v>
      </c>
      <c r="L54" s="24" t="str">
        <f>VLOOKUP(A54,'Trips&amp;Operators'!$C$1:$E$10000,3,FALSE)</f>
        <v>MAELZER</v>
      </c>
      <c r="M54" s="6">
        <f t="shared" si="25"/>
        <v>2.5347222217533272E-2</v>
      </c>
      <c r="N54" s="7">
        <f t="shared" si="22"/>
        <v>36.499999993247911</v>
      </c>
      <c r="O54" s="7"/>
      <c r="P54" s="7"/>
      <c r="Q54" s="25"/>
      <c r="R54" s="25"/>
      <c r="S54" s="37">
        <f t="shared" si="23"/>
        <v>1</v>
      </c>
      <c r="T54" s="52" t="str">
        <f t="shared" si="26"/>
        <v>NorthBound</v>
      </c>
      <c r="U54" s="126">
        <f>IF(AG54="EC",COUNTIFS(Variables!$M$2:$M$19,IF(T54="NorthBound","&gt;=","&lt;=")&amp;Y54,Variables!$M$2:$M$19,IF(T54="NorthBound","&lt;=","&gt;=")&amp;Z54),COUNTIFS(Variables!$P$2:$P$19,IF(T54="NorthBound","&gt;=","&lt;=")&amp;Y54,Variables!$P$2:$P$19,IF(T54="NorthBound","&lt;=","&gt;=")&amp;Z54))</f>
        <v>12</v>
      </c>
      <c r="V54" s="106" t="str">
        <f t="shared" si="27"/>
        <v>https://search-rtdc-monitor-bjffxe2xuh6vdkpspy63sjmuny.us-east-1.es.amazonaws.com/_plugin/kibana/#/discover/Steve-Slow-Train-Analysis-(2080s-and-2083s)?_g=(refreshInterval:(display:Off,section:0,value:0),time:(from:'2016-08-31 07:42:31-0600',mode:absolute,to:'2016-08-31 10:21:54-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4029%22')),sort:!(Time,asc))</v>
      </c>
      <c r="W54" s="54" t="str">
        <f t="shared" si="28"/>
        <v>N</v>
      </c>
      <c r="X54" s="120">
        <f t="shared" si="34"/>
        <v>1</v>
      </c>
      <c r="Y54" s="69">
        <f t="shared" si="29"/>
        <v>4.4600000000000001E-2</v>
      </c>
      <c r="Z54" s="69">
        <f t="shared" si="30"/>
        <v>23.332000000000001</v>
      </c>
      <c r="AA54" s="69">
        <f t="shared" si="31"/>
        <v>23.287400000000002</v>
      </c>
      <c r="AB54" s="66" t="e">
        <f>VLOOKUP(A54,Enforcements!$C$7:$J$21,8,0)</f>
        <v>#N/A</v>
      </c>
      <c r="AC54" s="62" t="e">
        <f>VLOOKUP(A54,Enforcements!$C$7:$E$21,3,0)</f>
        <v>#N/A</v>
      </c>
      <c r="AD54" s="63" t="str">
        <f t="shared" si="32"/>
        <v>0141-31</v>
      </c>
      <c r="AE54" s="99" t="str">
        <f t="shared" si="10"/>
        <v>aws s3 cp s3://rtdc.mdm.uploadarchive/RTDC4029/2016-08-31/ "%USERPROFILE%\AppData\Local\Temp\OnboardLogs"\RTDC4029\2016-08-31 --recursive &amp; "%USERPROFILE%\Documents\GitHub\mrs-test-scripts\Headless Mode &amp; Sideloading\WalkAndUnGZ.bat" "%USERPROFILE%\AppData\Local\Temp\OnboardLogs"\RTDC4029\2016-08-31 &amp; aws s3 cp s3://rtdc.mdm.uploadarchive/RTDC4029/2016-09-01/ "%USERPROFILE%\AppData\Local\Temp\OnboardLogs"\RTDC4029\2016-09-01 --recursive &amp; "%USERPROFILE%\Documents\GitHub\mrs-test-scripts\Headless Mode &amp; Sideloading\WalkAndUnGZ.bat" "%USERPROFILE%\AppData\Local\Temp\OnboardLogs"\RTDC4029\2016-09-01</v>
      </c>
      <c r="AF54" s="96" t="str">
        <f t="shared" si="11"/>
        <v>"C:\Program Files (x86)\AstroGrep\AstroGrep.exe" /spath="%USERPROFILE%\AppData\Local\Temp\OnboardLogs" /stypes="*4029*20160831*" /stext=" 15:.+((SYSTEM_STATE.+slice.+state.+changed )|(ment ac)|(system.+state.+changed )|(\|lc)|(penalty)|(\[timeout)|(PRM\|1\|D)|(kpr)|(kdp))" /e /r /s</v>
      </c>
      <c r="AG54" s="1" t="str">
        <f t="shared" si="33"/>
        <v>EC</v>
      </c>
      <c r="AH54" s="100" t="str">
        <f t="shared" si="15"/>
        <v>"%USERPROFILE%\Documents\GitHub\eaglep3\Utilities\RefineRTDCRunTimes.py" --tripid 141-31 --locoid 4029 --swversion DE.1.0.7.0 --startMP 204:446 --initTime 2016-08-31T08:42:31 --startdatetime 2016-08-31T08:45:24 --delay 1 --endMP 204:233320 --enddatetime 2016-08-31T09:21:54 --enforcementcount 0 &gt;&gt;C:\Users\stu\Documents\GitHub\eaglep3-reporting\EC\2016-08-31-refined-times.txt</v>
      </c>
      <c r="AI54" s="149" t="str">
        <f t="shared" si="16"/>
        <v>echo {"issue":{"subject":"","project_id":79,"tracker_id":40,"status_id":1,"priority_id":2,"assigned_to_id":23,"start_date":"2016-08-31","description":"","custom_fields":[{"id":1,"name":"Subdivision","value":"EC"},{"id":4,"name":"Milepost","value":"23.2874"},{"id":17,"name":"Train ID","value":"141-31"},{"id":16,"name":"Locomotive ID","value":"4029"},{"id":130,"name":"Impact","value":""},{"id":150,"name":"Time of Event (Mountain Time)","value":"09:21:54"},{"id":151,"name":"Denver Issue ID","value":""},{"id":178,"name":"Operational Impact","value":"Yes"},{"id":179,"name":"Denver Segment Assigned","value":""}]}} | curl -X POST -H "Content-Type: application/json" -H "X-Redmine-API-Key: d6333d4a04012a730768444271f8ca06482dae87" https://secure.xorail.net/redmine/issues.json --data @-</v>
      </c>
      <c r="AJ54" s="55"/>
      <c r="AK54" s="55"/>
      <c r="AL54" s="55"/>
    </row>
    <row r="55" spans="1:38" s="1" customFormat="1" x14ac:dyDescent="0.25">
      <c r="A55" s="39" t="s">
        <v>436</v>
      </c>
      <c r="B55" s="7">
        <v>4030</v>
      </c>
      <c r="C55" s="24" t="s">
        <v>113</v>
      </c>
      <c r="D55" s="24" t="s">
        <v>255</v>
      </c>
      <c r="E55" s="15">
        <v>42613.396990740737</v>
      </c>
      <c r="F55" s="15">
        <v>42613.403692129628</v>
      </c>
      <c r="G55" s="7">
        <v>1</v>
      </c>
      <c r="H55" s="15" t="s">
        <v>385</v>
      </c>
      <c r="I55" s="15">
        <v>42613.430601851855</v>
      </c>
      <c r="J55" s="7">
        <v>0</v>
      </c>
      <c r="K55" s="132" t="str">
        <f t="shared" si="24"/>
        <v>4029/4030</v>
      </c>
      <c r="L55" s="24" t="str">
        <f>VLOOKUP(A55,'Trips&amp;Operators'!$C$1:$E$10000,3,FALSE)</f>
        <v>MAELZER</v>
      </c>
      <c r="M55" s="6">
        <f t="shared" si="25"/>
        <v>2.6909722226264421E-2</v>
      </c>
      <c r="N55" s="7">
        <f t="shared" si="22"/>
        <v>38.750000005820766</v>
      </c>
      <c r="O55" s="7"/>
      <c r="P55" s="7"/>
      <c r="Q55" s="25"/>
      <c r="R55" s="25"/>
      <c r="S55" s="37">
        <f t="shared" si="23"/>
        <v>1</v>
      </c>
      <c r="T55" s="52" t="str">
        <f t="shared" si="26"/>
        <v>Southbound</v>
      </c>
      <c r="U55" s="126">
        <f>IF(AG55="EC",COUNTIFS(Variables!$M$2:$M$19,IF(T55="NorthBound","&gt;=","&lt;=")&amp;Y55,Variables!$M$2:$M$19,IF(T55="NorthBound","&lt;=","&gt;=")&amp;Z55),COUNTIFS(Variables!$P$2:$P$19,IF(T55="NorthBound","&gt;=","&lt;=")&amp;Y55,Variables!$P$2:$P$19,IF(T55="NorthBound","&lt;=","&gt;=")&amp;Z55))</f>
        <v>12</v>
      </c>
      <c r="V55" s="106" t="str">
        <f t="shared" si="27"/>
        <v>https://search-rtdc-monitor-bjffxe2xuh6vdkpspy63sjmuny.us-east-1.es.amazonaws.com/_plugin/kibana/#/discover/Steve-Slow-Train-Analysis-(2080s-and-2083s)?_g=(refreshInterval:(display:Off,section:0,value:0),time:(from:'2016-08-31 08:31:40-0600',mode:absolute,to:'2016-08-31 11:20:04-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4030%22')),sort:!(Time,asc))</v>
      </c>
      <c r="W55" s="54" t="str">
        <f t="shared" si="28"/>
        <v>N</v>
      </c>
      <c r="X55" s="120">
        <f t="shared" si="34"/>
        <v>1</v>
      </c>
      <c r="Y55" s="69">
        <f t="shared" si="29"/>
        <v>23.298999999999999</v>
      </c>
      <c r="Z55" s="69">
        <f t="shared" si="30"/>
        <v>1.4999999999999999E-2</v>
      </c>
      <c r="AA55" s="69">
        <f t="shared" si="31"/>
        <v>23.283999999999999</v>
      </c>
      <c r="AB55" s="66" t="e">
        <f>VLOOKUP(A55,Enforcements!$C$7:$J$21,8,0)</f>
        <v>#N/A</v>
      </c>
      <c r="AC55" s="62" t="e">
        <f>VLOOKUP(A55,Enforcements!$C$7:$E$21,3,0)</f>
        <v>#N/A</v>
      </c>
      <c r="AD55" s="63" t="str">
        <f t="shared" si="32"/>
        <v>0142-31</v>
      </c>
      <c r="AE55" s="99" t="str">
        <f t="shared" si="10"/>
        <v>aws s3 cp s3://rtdc.mdm.uploadarchive/RTDC4030/2016-08-31/ "%USERPROFILE%\AppData\Local\Temp\OnboardLogs"\RTDC4030\2016-08-31 --recursive &amp; "%USERPROFILE%\Documents\GitHub\mrs-test-scripts\Headless Mode &amp; Sideloading\WalkAndUnGZ.bat" "%USERPROFILE%\AppData\Local\Temp\OnboardLogs"\RTDC4030\2016-08-31 &amp; aws s3 cp s3://rtdc.mdm.uploadarchive/RTDC4030/2016-09-01/ "%USERPROFILE%\AppData\Local\Temp\OnboardLogs"\RTDC4030\2016-09-01 --recursive &amp; "%USERPROFILE%\Documents\GitHub\mrs-test-scripts\Headless Mode &amp; Sideloading\WalkAndUnGZ.bat" "%USERPROFILE%\AppData\Local\Temp\OnboardLogs"\RTDC4030\2016-09-01</v>
      </c>
      <c r="AF55" s="96" t="str">
        <f t="shared" si="11"/>
        <v>"C:\Program Files (x86)\AstroGrep\AstroGrep.exe" /spath="%USERPROFILE%\AppData\Local\Temp\OnboardLogs" /stypes="*4030*20160831*" /stext=" 16:.+((SYSTEM_STATE.+slice.+state.+changed )|(ment ac)|(system.+state.+changed )|(\|lc)|(penalty)|(\[timeout)|(PRM\|1\|D)|(kpr)|(kdp))" /e /r /s</v>
      </c>
      <c r="AG55" s="1" t="str">
        <f t="shared" si="33"/>
        <v>EC</v>
      </c>
      <c r="AH55" s="100" t="str">
        <f t="shared" si="15"/>
        <v>"%USERPROFILE%\Documents\GitHub\eaglep3\Utilities\RefineRTDCRunTimes.py" --tripid 142-31 --locoid 4030 --swversion DE.1.0.7.0 --startMP 204:232990 --initTime 2016-08-31T09:31:40 --startdatetime 2016-08-31T09:41:19 --delay 1 --endMP 204:150 --enddatetime 2016-08-31T10:20:04 --enforcementcount 0 &gt;&gt;C:\Users\stu\Documents\GitHub\eaglep3-reporting\EC\2016-08-31-refined-times.txt</v>
      </c>
      <c r="AI55" s="149" t="str">
        <f t="shared" si="16"/>
        <v>echo {"issue":{"subject":"","project_id":79,"tracker_id":40,"status_id":1,"priority_id":2,"assigned_to_id":23,"start_date":"2016-08-31","description":"","custom_fields":[{"id":1,"name":"Subdivision","value":"EC"},{"id":4,"name":"Milepost","value":"23.284"},{"id":17,"name":"Train ID","value":"142-31"},{"id":16,"name":"Locomotive ID","value":"4030"},{"id":130,"name":"Impact","value":""},{"id":150,"name":"Time of Event (Mountain Time)","value":"10:20:04"},{"id":151,"name":"Denver Issue ID","value":""},{"id":178,"name":"Operational Impact","value":"Yes"},{"id":179,"name":"Denver Segment Assigned","value":""}]}} | curl -X POST -H "Content-Type: application/json" -H "X-Redmine-API-Key: d6333d4a04012a730768444271f8ca06482dae87" https://secure.xorail.net/redmine/issues.json --data @-</v>
      </c>
      <c r="AJ55" s="55"/>
      <c r="AK55" s="55"/>
      <c r="AL55" s="55"/>
    </row>
    <row r="56" spans="1:38" s="1" customFormat="1" x14ac:dyDescent="0.25">
      <c r="A56" s="39" t="s">
        <v>437</v>
      </c>
      <c r="B56" s="7">
        <v>4044</v>
      </c>
      <c r="C56" s="24" t="s">
        <v>113</v>
      </c>
      <c r="D56" s="24" t="s">
        <v>150</v>
      </c>
      <c r="E56" s="15">
        <v>42613.373333333337</v>
      </c>
      <c r="F56" s="15">
        <v>42613.375277777777</v>
      </c>
      <c r="G56" s="7">
        <v>1</v>
      </c>
      <c r="H56" s="15" t="s">
        <v>284</v>
      </c>
      <c r="I56" s="15">
        <v>42613.401319444441</v>
      </c>
      <c r="J56" s="7">
        <v>0</v>
      </c>
      <c r="K56" s="132" t="str">
        <f t="shared" si="24"/>
        <v>4043/4044</v>
      </c>
      <c r="L56" s="24" t="str">
        <f>VLOOKUP(A56,'Trips&amp;Operators'!$C$1:$E$10000,3,FALSE)</f>
        <v>SMITH</v>
      </c>
      <c r="M56" s="6">
        <f t="shared" si="25"/>
        <v>2.6041666664241347E-2</v>
      </c>
      <c r="N56" s="7">
        <f t="shared" si="22"/>
        <v>37.49999999650754</v>
      </c>
      <c r="O56" s="7"/>
      <c r="P56" s="7"/>
      <c r="Q56" s="25"/>
      <c r="R56" s="25"/>
      <c r="S56" s="37">
        <f t="shared" si="23"/>
        <v>1</v>
      </c>
      <c r="T56" s="52" t="str">
        <f t="shared" si="26"/>
        <v>NorthBound</v>
      </c>
      <c r="U56" s="126">
        <f>IF(AG56="EC",COUNTIFS(Variables!$M$2:$M$19,IF(T56="NorthBound","&gt;=","&lt;=")&amp;Y56,Variables!$M$2:$M$19,IF(T56="NorthBound","&lt;=","&gt;=")&amp;Z56),COUNTIFS(Variables!$P$2:$P$19,IF(T56="NorthBound","&gt;=","&lt;=")&amp;Y56,Variables!$P$2:$P$19,IF(T56="NorthBound","&lt;=","&gt;=")&amp;Z56))</f>
        <v>12</v>
      </c>
      <c r="V56" s="106" t="str">
        <f t="shared" si="27"/>
        <v>https://search-rtdc-monitor-bjffxe2xuh6vdkpspy63sjmuny.us-east-1.es.amazonaws.com/_plugin/kibana/#/discover/Steve-Slow-Train-Analysis-(2080s-and-2083s)?_g=(refreshInterval:(display:Off,section:0,value:0),time:(from:'2016-08-31 07:57:36-0600',mode:absolute,to:'2016-08-31 10:37:54-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4044%22')),sort:!(Time,asc))</v>
      </c>
      <c r="W56" s="54" t="str">
        <f t="shared" si="28"/>
        <v>N</v>
      </c>
      <c r="X56" s="120">
        <f t="shared" si="34"/>
        <v>1</v>
      </c>
      <c r="Y56" s="69">
        <f t="shared" si="29"/>
        <v>4.5100000000000001E-2</v>
      </c>
      <c r="Z56" s="69">
        <f t="shared" si="30"/>
        <v>23.331399999999999</v>
      </c>
      <c r="AA56" s="69">
        <f t="shared" si="31"/>
        <v>23.286299999999997</v>
      </c>
      <c r="AB56" s="66" t="e">
        <f>VLOOKUP(A56,Enforcements!$C$7:$J$21,8,0)</f>
        <v>#N/A</v>
      </c>
      <c r="AC56" s="62" t="e">
        <f>VLOOKUP(A56,Enforcements!$C$7:$E$21,3,0)</f>
        <v>#N/A</v>
      </c>
      <c r="AD56" s="63" t="str">
        <f t="shared" si="32"/>
        <v>0143-31</v>
      </c>
      <c r="AE56" s="99" t="str">
        <f t="shared" si="10"/>
        <v>aws s3 cp s3://rtdc.mdm.uploadarchive/RTDC4044/2016-08-31/ "%USERPROFILE%\AppData\Local\Temp\OnboardLogs"\RTDC4044\2016-08-31 --recursive &amp; "%USERPROFILE%\Documents\GitHub\mrs-test-scripts\Headless Mode &amp; Sideloading\WalkAndUnGZ.bat" "%USERPROFILE%\AppData\Local\Temp\OnboardLogs"\RTDC4044\2016-08-31 &amp; aws s3 cp s3://rtdc.mdm.uploadarchive/RTDC4044/2016-09-01/ "%USERPROFILE%\AppData\Local\Temp\OnboardLogs"\RTDC4044\2016-09-01 --recursive &amp; "%USERPROFILE%\Documents\GitHub\mrs-test-scripts\Headless Mode &amp; Sideloading\WalkAndUnGZ.bat" "%USERPROFILE%\AppData\Local\Temp\OnboardLogs"\RTDC4044\2016-09-01</v>
      </c>
      <c r="AF56" s="96" t="str">
        <f t="shared" si="11"/>
        <v>"C:\Program Files (x86)\AstroGrep\AstroGrep.exe" /spath="%USERPROFILE%\AppData\Local\Temp\OnboardLogs" /stypes="*4044*20160831*" /stext=" 15:.+((SYSTEM_STATE.+slice.+state.+changed )|(ment ac)|(system.+state.+changed )|(\|lc)|(penalty)|(\[timeout)|(PRM\|1\|D)|(kpr)|(kdp))" /e /r /s</v>
      </c>
      <c r="AG56" s="1" t="str">
        <f t="shared" si="33"/>
        <v>EC</v>
      </c>
      <c r="AH56" s="100" t="str">
        <f t="shared" si="15"/>
        <v>"%USERPROFILE%\Documents\GitHub\eaglep3\Utilities\RefineRTDCRunTimes.py" --tripid 143-31 --locoid 4044 --swversion DE.1.0.7.0 --startMP 204:451 --initTime 2016-08-31T08:57:36 --startdatetime 2016-08-31T09:00:24 --delay 1 --endMP 204:233314 --enddatetime 2016-08-31T09:37:54 --enforcementcount 0 &gt;&gt;C:\Users\stu\Documents\GitHub\eaglep3-reporting\EC\2016-08-31-refined-times.txt</v>
      </c>
      <c r="AI56" s="149" t="str">
        <f t="shared" si="16"/>
        <v>echo {"issue":{"subject":"","project_id":79,"tracker_id":40,"status_id":1,"priority_id":2,"assigned_to_id":23,"start_date":"2016-08-31","description":"","custom_fields":[{"id":1,"name":"Subdivision","value":"EC"},{"id":4,"name":"Milepost","value":"23.2863"},{"id":17,"name":"Train ID","value":"143-31"},{"id":16,"name":"Locomotive ID","value":"4044"},{"id":130,"name":"Impact","value":""},{"id":150,"name":"Time of Event (Mountain Time)","value":"09:37:54"},{"id":151,"name":"Denver Issue ID","value":""},{"id":178,"name":"Operational Impact","value":"Yes"},{"id":179,"name":"Denver Segment Assigned","value":""}]}} | curl -X POST -H "Content-Type: application/json" -H "X-Redmine-API-Key: d6333d4a04012a730768444271f8ca06482dae87" https://secure.xorail.net/redmine/issues.json --data @-</v>
      </c>
      <c r="AJ56" s="55"/>
      <c r="AK56" s="55"/>
      <c r="AL56" s="55"/>
    </row>
    <row r="57" spans="1:38" s="1" customFormat="1" x14ac:dyDescent="0.25">
      <c r="A57" s="39" t="s">
        <v>438</v>
      </c>
      <c r="B57" s="7">
        <v>4043</v>
      </c>
      <c r="C57" s="24" t="s">
        <v>113</v>
      </c>
      <c r="D57" s="24" t="s">
        <v>340</v>
      </c>
      <c r="E57" s="15">
        <v>42613.410162037035</v>
      </c>
      <c r="F57" s="15">
        <v>42613.414166666669</v>
      </c>
      <c r="G57" s="7">
        <v>1</v>
      </c>
      <c r="H57" s="15" t="s">
        <v>131</v>
      </c>
      <c r="I57" s="15">
        <v>42613.441203703704</v>
      </c>
      <c r="J57" s="7">
        <v>0</v>
      </c>
      <c r="K57" s="132" t="str">
        <f t="shared" si="24"/>
        <v>4043/4044</v>
      </c>
      <c r="L57" s="24" t="str">
        <f>VLOOKUP(A57,'Trips&amp;Operators'!$C$1:$E$10000,3,FALSE)</f>
        <v>SMITH</v>
      </c>
      <c r="M57" s="6">
        <f t="shared" si="25"/>
        <v>2.7037037034460809E-2</v>
      </c>
      <c r="N57" s="7">
        <f t="shared" si="22"/>
        <v>38.933333329623565</v>
      </c>
      <c r="O57" s="7"/>
      <c r="P57" s="7"/>
      <c r="Q57" s="25"/>
      <c r="R57" s="25"/>
      <c r="S57" s="37">
        <f t="shared" si="23"/>
        <v>1</v>
      </c>
      <c r="T57" s="52" t="str">
        <f t="shared" si="26"/>
        <v>Southbound</v>
      </c>
      <c r="U57" s="126">
        <f>IF(AG57="EC",COUNTIFS(Variables!$M$2:$M$19,IF(T57="NorthBound","&gt;=","&lt;=")&amp;Y57,Variables!$M$2:$M$19,IF(T57="NorthBound","&lt;=","&gt;=")&amp;Z57),COUNTIFS(Variables!$P$2:$P$19,IF(T57="NorthBound","&gt;=","&lt;=")&amp;Y57,Variables!$P$2:$P$19,IF(T57="NorthBound","&lt;=","&gt;=")&amp;Z57))</f>
        <v>12</v>
      </c>
      <c r="V57" s="106" t="str">
        <f t="shared" si="27"/>
        <v>https://search-rtdc-monitor-bjffxe2xuh6vdkpspy63sjmuny.us-east-1.es.amazonaws.com/_plugin/kibana/#/discover/Steve-Slow-Train-Analysis-(2080s-and-2083s)?_g=(refreshInterval:(display:Off,section:0,value:0),time:(from:'2016-08-31 08:50:38-0600',mode:absolute,to:'2016-08-31 11:35:20-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4043%22')),sort:!(Time,asc))</v>
      </c>
      <c r="W57" s="54" t="str">
        <f t="shared" si="28"/>
        <v>N</v>
      </c>
      <c r="X57" s="120">
        <f t="shared" si="34"/>
        <v>1</v>
      </c>
      <c r="Y57" s="69">
        <f t="shared" si="29"/>
        <v>23.300999999999998</v>
      </c>
      <c r="Z57" s="69">
        <f t="shared" si="30"/>
        <v>1.5800000000000002E-2</v>
      </c>
      <c r="AA57" s="69">
        <f t="shared" si="31"/>
        <v>23.2852</v>
      </c>
      <c r="AB57" s="66" t="e">
        <f>VLOOKUP(A57,Enforcements!$C$7:$J$21,8,0)</f>
        <v>#N/A</v>
      </c>
      <c r="AC57" s="62" t="e">
        <f>VLOOKUP(A57,Enforcements!$C$7:$E$21,3,0)</f>
        <v>#N/A</v>
      </c>
      <c r="AD57" s="63" t="str">
        <f t="shared" si="32"/>
        <v>0144-31</v>
      </c>
      <c r="AE57" s="99" t="str">
        <f t="shared" si="10"/>
        <v>aws s3 cp s3://rtdc.mdm.uploadarchive/RTDC4043/2016-08-31/ "%USERPROFILE%\AppData\Local\Temp\OnboardLogs"\RTDC4043\2016-08-31 --recursive &amp; "%USERPROFILE%\Documents\GitHub\mrs-test-scripts\Headless Mode &amp; Sideloading\WalkAndUnGZ.bat" "%USERPROFILE%\AppData\Local\Temp\OnboardLogs"\RTDC4043\2016-08-31 &amp; aws s3 cp s3://rtdc.mdm.uploadarchive/RTDC4043/2016-09-01/ "%USERPROFILE%\AppData\Local\Temp\OnboardLogs"\RTDC4043\2016-09-01 --recursive &amp; "%USERPROFILE%\Documents\GitHub\mrs-test-scripts\Headless Mode &amp; Sideloading\WalkAndUnGZ.bat" "%USERPROFILE%\AppData\Local\Temp\OnboardLogs"\RTDC4043\2016-09-01</v>
      </c>
      <c r="AF57" s="96" t="str">
        <f t="shared" si="11"/>
        <v>"C:\Program Files (x86)\AstroGrep\AstroGrep.exe" /spath="%USERPROFILE%\AppData\Local\Temp\OnboardLogs" /stypes="*4043*20160831*" /stext=" 16:.+((SYSTEM_STATE.+slice.+state.+changed )|(ment ac)|(system.+state.+changed )|(\|lc)|(penalty)|(\[timeout)|(PRM\|1\|D)|(kpr)|(kdp))" /e /r /s</v>
      </c>
      <c r="AG57" s="1" t="str">
        <f t="shared" si="33"/>
        <v>EC</v>
      </c>
      <c r="AH57" s="100" t="str">
        <f t="shared" si="15"/>
        <v>"%USERPROFILE%\Documents\GitHub\eaglep3\Utilities\RefineRTDCRunTimes.py" --tripid 144-31 --locoid 4043 --swversion DE.1.0.7.0 --startMP 204:233010 --initTime 2016-08-31T09:50:38 --startdatetime 2016-08-31T09:56:24 --delay 1 --endMP 204:158 --enddatetime 2016-08-31T10:35:20 --enforcementcount 0 &gt;&gt;C:\Users\stu\Documents\GitHub\eaglep3-reporting\EC\2016-08-31-refined-times.txt</v>
      </c>
      <c r="AI57" s="149" t="str">
        <f t="shared" si="16"/>
        <v>echo {"issue":{"subject":"","project_id":79,"tracker_id":40,"status_id":1,"priority_id":2,"assigned_to_id":23,"start_date":"2016-08-31","description":"","custom_fields":[{"id":1,"name":"Subdivision","value":"EC"},{"id":4,"name":"Milepost","value":"23.2852"},{"id":17,"name":"Train ID","value":"144-31"},{"id":16,"name":"Locomotive ID","value":"4043"},{"id":130,"name":"Impact","value":""},{"id":150,"name":"Time of Event (Mountain Time)","value":"10:35:20"},{"id":151,"name":"Denver Issue ID","value":""},{"id":178,"name":"Operational Impact","value":"Yes"},{"id":179,"name":"Denver Segment Assigned","value":""}]}} | curl -X POST -H "Content-Type: application/json" -H "X-Redmine-API-Key: d6333d4a04012a730768444271f8ca06482dae87" https://secure.xorail.net/redmine/issues.json --data @-</v>
      </c>
      <c r="AJ57" s="55"/>
      <c r="AK57" s="55"/>
      <c r="AL57" s="55"/>
    </row>
    <row r="58" spans="1:38" s="1" customFormat="1" x14ac:dyDescent="0.25">
      <c r="A58" s="39" t="s">
        <v>439</v>
      </c>
      <c r="B58" s="7">
        <v>4002</v>
      </c>
      <c r="C58" s="24" t="s">
        <v>113</v>
      </c>
      <c r="D58" s="24" t="s">
        <v>245</v>
      </c>
      <c r="E58" s="15">
        <v>42613.382870370369</v>
      </c>
      <c r="F58" s="15">
        <v>42613.385972222219</v>
      </c>
      <c r="G58" s="7">
        <v>3</v>
      </c>
      <c r="H58" s="15" t="s">
        <v>263</v>
      </c>
      <c r="I58" s="15">
        <v>42613.411539351851</v>
      </c>
      <c r="J58" s="7">
        <v>0</v>
      </c>
      <c r="K58" s="132" t="str">
        <f t="shared" si="24"/>
        <v>4001/4002</v>
      </c>
      <c r="L58" s="24" t="str">
        <f>VLOOKUP(A58,'Trips&amp;Operators'!$C$1:$E$10000,3,FALSE)</f>
        <v>ARVIDSON</v>
      </c>
      <c r="M58" s="6">
        <f t="shared" si="25"/>
        <v>2.5567129632690921E-2</v>
      </c>
      <c r="N58" s="7">
        <f t="shared" si="22"/>
        <v>36.816666671074927</v>
      </c>
      <c r="O58" s="7"/>
      <c r="P58" s="7"/>
      <c r="Q58" s="25"/>
      <c r="R58" s="25"/>
      <c r="S58" s="37">
        <f t="shared" si="23"/>
        <v>1</v>
      </c>
      <c r="T58" s="52" t="str">
        <f t="shared" si="26"/>
        <v>NorthBound</v>
      </c>
      <c r="U58" s="126">
        <f>IF(AG58="EC",COUNTIFS(Variables!$M$2:$M$19,IF(T58="NorthBound","&gt;=","&lt;=")&amp;Y58,Variables!$M$2:$M$19,IF(T58="NorthBound","&lt;=","&gt;=")&amp;Z58),COUNTIFS(Variables!$P$2:$P$19,IF(T58="NorthBound","&gt;=","&lt;=")&amp;Y58,Variables!$P$2:$P$19,IF(T58="NorthBound","&lt;=","&gt;=")&amp;Z58))</f>
        <v>12</v>
      </c>
      <c r="V58" s="106" t="str">
        <f t="shared" si="27"/>
        <v>https://search-rtdc-monitor-bjffxe2xuh6vdkpspy63sjmuny.us-east-1.es.amazonaws.com/_plugin/kibana/#/discover/Steve-Slow-Train-Analysis-(2080s-and-2083s)?_g=(refreshInterval:(display:Off,section:0,value:0),time:(from:'2016-08-31 08:11:20-0600',mode:absolute,to:'2016-08-31 10:52:37-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4002%22')),sort:!(Time,asc))</v>
      </c>
      <c r="W58" s="54" t="str">
        <f t="shared" si="28"/>
        <v>N</v>
      </c>
      <c r="X58" s="120">
        <f t="shared" si="34"/>
        <v>1</v>
      </c>
      <c r="Y58" s="69">
        <f t="shared" si="29"/>
        <v>4.58E-2</v>
      </c>
      <c r="Z58" s="69">
        <f t="shared" si="30"/>
        <v>23.328900000000001</v>
      </c>
      <c r="AA58" s="69">
        <f t="shared" si="31"/>
        <v>23.283100000000001</v>
      </c>
      <c r="AB58" s="66" t="e">
        <f>VLOOKUP(A58,Enforcements!$C$7:$J$21,8,0)</f>
        <v>#N/A</v>
      </c>
      <c r="AC58" s="62" t="e">
        <f>VLOOKUP(A58,Enforcements!$C$7:$E$21,3,0)</f>
        <v>#N/A</v>
      </c>
      <c r="AD58" s="63" t="str">
        <f t="shared" si="32"/>
        <v>0145-31</v>
      </c>
      <c r="AE58" s="99" t="str">
        <f t="shared" si="10"/>
        <v>aws s3 cp s3://rtdc.mdm.uploadarchive/RTDC4002/2016-08-31/ "%USERPROFILE%\AppData\Local\Temp\OnboardLogs"\RTDC4002\2016-08-31 --recursive &amp; "%USERPROFILE%\Documents\GitHub\mrs-test-scripts\Headless Mode &amp; Sideloading\WalkAndUnGZ.bat" "%USERPROFILE%\AppData\Local\Temp\OnboardLogs"\RTDC4002\2016-08-31 &amp; aws s3 cp s3://rtdc.mdm.uploadarchive/RTDC4002/2016-09-01/ "%USERPROFILE%\AppData\Local\Temp\OnboardLogs"\RTDC4002\2016-09-01 --recursive &amp; "%USERPROFILE%\Documents\GitHub\mrs-test-scripts\Headless Mode &amp; Sideloading\WalkAndUnGZ.bat" "%USERPROFILE%\AppData\Local\Temp\OnboardLogs"\RTDC4002\2016-09-01</v>
      </c>
      <c r="AF58" s="96" t="str">
        <f t="shared" si="11"/>
        <v>"C:\Program Files (x86)\AstroGrep\AstroGrep.exe" /spath="%USERPROFILE%\AppData\Local\Temp\OnboardLogs" /stypes="*4002*20160831*" /stext=" 15:.+((SYSTEM_STATE.+slice.+state.+changed )|(ment ac)|(system.+state.+changed )|(\|lc)|(penalty)|(\[timeout)|(PRM\|1\|D)|(kpr)|(kdp))" /e /r /s</v>
      </c>
      <c r="AG58" s="1" t="str">
        <f t="shared" si="33"/>
        <v>EC</v>
      </c>
      <c r="AH58" s="100" t="str">
        <f t="shared" si="15"/>
        <v>"%USERPROFILE%\Documents\GitHub\eaglep3\Utilities\RefineRTDCRunTimes.py" --tripid 145-31 --locoid 4002 --swversion DE.1.0.7.0 --startMP 204:458 --initTime 2016-08-31T09:11:20 --startdatetime 2016-08-31T09:15:48 --delay 3 --endMP 204:233289 --enddatetime 2016-08-31T09:52:37 --enforcementcount 0 &gt;&gt;C:\Users\stu\Documents\GitHub\eaglep3-reporting\EC\2016-08-31-refined-times.txt</v>
      </c>
      <c r="AI58" s="149" t="str">
        <f t="shared" si="16"/>
        <v>echo {"issue":{"subject":"","project_id":79,"tracker_id":40,"status_id":1,"priority_id":2,"assigned_to_id":23,"start_date":"2016-08-31","description":"","custom_fields":[{"id":1,"name":"Subdivision","value":"EC"},{"id":4,"name":"Milepost","value":"23.2831"},{"id":17,"name":"Train ID","value":"145-31"},{"id":16,"name":"Locomotive ID","value":"4002"},{"id":130,"name":"Impact","value":""},{"id":150,"name":"Time of Event (Mountain Time)","value":"09:52:37"},{"id":151,"name":"Denver Issue ID","value":""},{"id":178,"name":"Operational Impact","value":"Yes"},{"id":179,"name":"Denver Segment Assigned","value":""}]}} | curl -X POST -H "Content-Type: application/json" -H "X-Redmine-API-Key: d6333d4a04012a730768444271f8ca06482dae87" https://secure.xorail.net/redmine/issues.json --data @-</v>
      </c>
      <c r="AJ58" s="55"/>
      <c r="AK58" s="55"/>
      <c r="AL58" s="55"/>
    </row>
    <row r="59" spans="1:38" s="1" customFormat="1" x14ac:dyDescent="0.25">
      <c r="A59" s="39" t="s">
        <v>440</v>
      </c>
      <c r="B59" s="7">
        <v>4001</v>
      </c>
      <c r="C59" s="24" t="s">
        <v>113</v>
      </c>
      <c r="D59" s="24" t="s">
        <v>223</v>
      </c>
      <c r="E59" s="15">
        <v>42613.42046296296</v>
      </c>
      <c r="F59" s="15">
        <v>42613.424560185187</v>
      </c>
      <c r="G59" s="7">
        <v>1</v>
      </c>
      <c r="H59" s="15" t="s">
        <v>329</v>
      </c>
      <c r="I59" s="15">
        <v>42613.453217592592</v>
      </c>
      <c r="J59" s="7">
        <v>0</v>
      </c>
      <c r="K59" s="132" t="str">
        <f t="shared" si="24"/>
        <v>4001/4002</v>
      </c>
      <c r="L59" s="24" t="str">
        <f>VLOOKUP(A59,'Trips&amp;Operators'!$C$1:$E$10000,3,FALSE)</f>
        <v>ARVIDSON</v>
      </c>
      <c r="M59" s="6">
        <f t="shared" si="25"/>
        <v>2.8657407405262347E-2</v>
      </c>
      <c r="N59" s="7">
        <f t="shared" si="22"/>
        <v>41.26666666357778</v>
      </c>
      <c r="O59" s="7"/>
      <c r="P59" s="7"/>
      <c r="Q59" s="25"/>
      <c r="R59" s="25"/>
      <c r="S59" s="37">
        <f t="shared" si="23"/>
        <v>1</v>
      </c>
      <c r="T59" s="52" t="str">
        <f t="shared" si="26"/>
        <v>Southbound</v>
      </c>
      <c r="U59" s="126">
        <f>IF(AG59="EC",COUNTIFS(Variables!$M$2:$M$19,IF(T59="NorthBound","&gt;=","&lt;=")&amp;Y59,Variables!$M$2:$M$19,IF(T59="NorthBound","&lt;=","&gt;=")&amp;Z59),COUNTIFS(Variables!$P$2:$P$19,IF(T59="NorthBound","&gt;=","&lt;=")&amp;Y59,Variables!$P$2:$P$19,IF(T59="NorthBound","&lt;=","&gt;=")&amp;Z59))</f>
        <v>12</v>
      </c>
      <c r="V59" s="106" t="str">
        <f t="shared" si="27"/>
        <v>https://search-rtdc-monitor-bjffxe2xuh6vdkpspy63sjmuny.us-east-1.es.amazonaws.com/_plugin/kibana/#/discover/Steve-Slow-Train-Analysis-(2080s-and-2083s)?_g=(refreshInterval:(display:Off,section:0,value:0),time:(from:'2016-08-31 09:05:28-0600',mode:absolute,to:'2016-08-31 11:52:38-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4001%22')),sort:!(Time,asc))</v>
      </c>
      <c r="W59" s="54" t="str">
        <f t="shared" si="28"/>
        <v>N</v>
      </c>
      <c r="X59" s="120">
        <f t="shared" si="34"/>
        <v>1</v>
      </c>
      <c r="Y59" s="69">
        <f t="shared" si="29"/>
        <v>23.297699999999999</v>
      </c>
      <c r="Z59" s="69">
        <f t="shared" si="30"/>
        <v>1.61E-2</v>
      </c>
      <c r="AA59" s="69">
        <f t="shared" si="31"/>
        <v>23.281599999999997</v>
      </c>
      <c r="AB59" s="66" t="e">
        <f>VLOOKUP(A59,Enforcements!$C$7:$J$21,8,0)</f>
        <v>#N/A</v>
      </c>
      <c r="AC59" s="62" t="e">
        <f>VLOOKUP(A59,Enforcements!$C$7:$E$21,3,0)</f>
        <v>#N/A</v>
      </c>
      <c r="AD59" s="63" t="str">
        <f t="shared" si="32"/>
        <v>0146-31</v>
      </c>
      <c r="AE59" s="99" t="str">
        <f t="shared" si="10"/>
        <v>aws s3 cp s3://rtdc.mdm.uploadarchive/RTDC4001/2016-08-31/ "%USERPROFILE%\AppData\Local\Temp\OnboardLogs"\RTDC4001\2016-08-31 --recursive &amp; "%USERPROFILE%\Documents\GitHub\mrs-test-scripts\Headless Mode &amp; Sideloading\WalkAndUnGZ.bat" "%USERPROFILE%\AppData\Local\Temp\OnboardLogs"\RTDC4001\2016-08-31 &amp; aws s3 cp s3://rtdc.mdm.uploadarchive/RTDC4001/2016-09-01/ "%USERPROFILE%\AppData\Local\Temp\OnboardLogs"\RTDC4001\2016-09-01 --recursive &amp; "%USERPROFILE%\Documents\GitHub\mrs-test-scripts\Headless Mode &amp; Sideloading\WalkAndUnGZ.bat" "%USERPROFILE%\AppData\Local\Temp\OnboardLogs"\RTDC4001\2016-09-01</v>
      </c>
      <c r="AF59" s="96" t="str">
        <f t="shared" si="11"/>
        <v>"C:\Program Files (x86)\AstroGrep\AstroGrep.exe" /spath="%USERPROFILE%\AppData\Local\Temp\OnboardLogs" /stypes="*4001*20160831*" /stext=" 16:.+((SYSTEM_STATE.+slice.+state.+changed )|(ment ac)|(system.+state.+changed )|(\|lc)|(penalty)|(\[timeout)|(PRM\|1\|D)|(kpr)|(kdp))" /e /r /s</v>
      </c>
      <c r="AG59" s="1" t="str">
        <f t="shared" si="33"/>
        <v>EC</v>
      </c>
      <c r="AH59" s="100" t="str">
        <f t="shared" si="15"/>
        <v>"%USERPROFILE%\Documents\GitHub\eaglep3\Utilities\RefineRTDCRunTimes.py" --tripid 146-31 --locoid 4001 --swversion DE.1.0.7.0 --startMP 204:232977 --initTime 2016-08-31T10:05:28 --startdatetime 2016-08-31T10:11:22 --delay 1 --endMP 204:161 --enddatetime 2016-08-31T10:52:38 --enforcementcount 0 &gt;&gt;C:\Users\stu\Documents\GitHub\eaglep3-reporting\EC\2016-08-31-refined-times.txt</v>
      </c>
      <c r="AI59" s="149" t="str">
        <f t="shared" si="16"/>
        <v>echo {"issue":{"subject":"","project_id":79,"tracker_id":40,"status_id":1,"priority_id":2,"assigned_to_id":23,"start_date":"2016-08-31","description":"","custom_fields":[{"id":1,"name":"Subdivision","value":"EC"},{"id":4,"name":"Milepost","value":"23.2816"},{"id":17,"name":"Train ID","value":"146-31"},{"id":16,"name":"Locomotive ID","value":"4001"},{"id":130,"name":"Impact","value":""},{"id":150,"name":"Time of Event (Mountain Time)","value":"10:52:38"},{"id":151,"name":"Denver Issue ID","value":""},{"id":178,"name":"Operational Impact","value":"Yes"},{"id":179,"name":"Denver Segment Assigned","value":""}]}} | curl -X POST -H "Content-Type: application/json" -H "X-Redmine-API-Key: d6333d4a04012a730768444271f8ca06482dae87" https://secure.xorail.net/redmine/issues.json --data @-</v>
      </c>
      <c r="AJ59" s="55"/>
      <c r="AK59" s="55"/>
      <c r="AL59" s="55"/>
    </row>
    <row r="60" spans="1:38" s="1" customFormat="1" x14ac:dyDescent="0.25">
      <c r="A60" s="39" t="s">
        <v>441</v>
      </c>
      <c r="B60" s="7">
        <v>4016</v>
      </c>
      <c r="C60" s="24" t="s">
        <v>113</v>
      </c>
      <c r="D60" s="24" t="s">
        <v>180</v>
      </c>
      <c r="E60" s="15">
        <v>42613.393738425926</v>
      </c>
      <c r="F60" s="15">
        <v>42613.396377314813</v>
      </c>
      <c r="G60" s="7">
        <v>1</v>
      </c>
      <c r="H60" s="15" t="s">
        <v>322</v>
      </c>
      <c r="I60" s="15">
        <v>42613.422800925924</v>
      </c>
      <c r="J60" s="7">
        <v>0</v>
      </c>
      <c r="K60" s="132" t="str">
        <f t="shared" si="24"/>
        <v>4015/4016</v>
      </c>
      <c r="L60" s="24" t="str">
        <f>VLOOKUP(A60,'Trips&amp;Operators'!$C$1:$E$10000,3,FALSE)</f>
        <v>STRICKLAND</v>
      </c>
      <c r="M60" s="6">
        <f t="shared" si="25"/>
        <v>2.6423611110658385E-2</v>
      </c>
      <c r="N60" s="7">
        <f t="shared" si="22"/>
        <v>38.049999999348074</v>
      </c>
      <c r="O60" s="7"/>
      <c r="P60" s="7"/>
      <c r="Q60" s="25"/>
      <c r="R60" s="25"/>
      <c r="S60" s="37">
        <f t="shared" si="23"/>
        <v>1</v>
      </c>
      <c r="T60" s="52" t="str">
        <f t="shared" si="26"/>
        <v>NorthBound</v>
      </c>
      <c r="U60" s="126">
        <f>IF(AG60="EC",COUNTIFS(Variables!$M$2:$M$19,IF(T60="NorthBound","&gt;=","&lt;=")&amp;Y60,Variables!$M$2:$M$19,IF(T60="NorthBound","&lt;=","&gt;=")&amp;Z60),COUNTIFS(Variables!$P$2:$P$19,IF(T60="NorthBound","&gt;=","&lt;=")&amp;Y60,Variables!$P$2:$P$19,IF(T60="NorthBound","&lt;=","&gt;=")&amp;Z60))</f>
        <v>12</v>
      </c>
      <c r="V60" s="106" t="str">
        <f t="shared" si="27"/>
        <v>https://search-rtdc-monitor-bjffxe2xuh6vdkpspy63sjmuny.us-east-1.es.amazonaws.com/_plugin/kibana/#/discover/Steve-Slow-Train-Analysis-(2080s-and-2083s)?_g=(refreshInterval:(display:Off,section:0,value:0),time:(from:'2016-08-31 08:26:59-0600',mode:absolute,to:'2016-08-31 11:08:50-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4016%22')),sort:!(Time,asc))</v>
      </c>
      <c r="W60" s="54" t="str">
        <f t="shared" si="28"/>
        <v>N</v>
      </c>
      <c r="X60" s="120">
        <f t="shared" si="34"/>
        <v>1</v>
      </c>
      <c r="Y60" s="69">
        <f t="shared" si="29"/>
        <v>4.5999999999999999E-2</v>
      </c>
      <c r="Z60" s="69">
        <f t="shared" si="30"/>
        <v>23.331900000000001</v>
      </c>
      <c r="AA60" s="69">
        <f t="shared" si="31"/>
        <v>23.285900000000002</v>
      </c>
      <c r="AB60" s="66" t="e">
        <f>VLOOKUP(A60,Enforcements!$C$7:$J$21,8,0)</f>
        <v>#N/A</v>
      </c>
      <c r="AC60" s="62" t="e">
        <f>VLOOKUP(A60,Enforcements!$C$7:$E$21,3,0)</f>
        <v>#N/A</v>
      </c>
      <c r="AD60" s="63" t="str">
        <f t="shared" si="32"/>
        <v>0147-31</v>
      </c>
      <c r="AE60" s="99" t="str">
        <f t="shared" si="10"/>
        <v>aws s3 cp s3://rtdc.mdm.uploadarchive/RTDC4016/2016-08-31/ "%USERPROFILE%\AppData\Local\Temp\OnboardLogs"\RTDC4016\2016-08-31 --recursive &amp; "%USERPROFILE%\Documents\GitHub\mrs-test-scripts\Headless Mode &amp; Sideloading\WalkAndUnGZ.bat" "%USERPROFILE%\AppData\Local\Temp\OnboardLogs"\RTDC4016\2016-08-31 &amp; aws s3 cp s3://rtdc.mdm.uploadarchive/RTDC4016/2016-09-01/ "%USERPROFILE%\AppData\Local\Temp\OnboardLogs"\RTDC4016\2016-09-01 --recursive &amp; "%USERPROFILE%\Documents\GitHub\mrs-test-scripts\Headless Mode &amp; Sideloading\WalkAndUnGZ.bat" "%USERPROFILE%\AppData\Local\Temp\OnboardLogs"\RTDC4016\2016-09-01</v>
      </c>
      <c r="AF60" s="96" t="str">
        <f t="shared" si="11"/>
        <v>"C:\Program Files (x86)\AstroGrep\AstroGrep.exe" /spath="%USERPROFILE%\AppData\Local\Temp\OnboardLogs" /stypes="*4016*20160831*" /stext=" 16:.+((SYSTEM_STATE.+slice.+state.+changed )|(ment ac)|(system.+state.+changed )|(\|lc)|(penalty)|(\[timeout)|(PRM\|1\|D)|(kpr)|(kdp))" /e /r /s</v>
      </c>
      <c r="AG60" s="1" t="str">
        <f t="shared" si="33"/>
        <v>EC</v>
      </c>
      <c r="AH60" s="100" t="str">
        <f t="shared" si="15"/>
        <v>"%USERPROFILE%\Documents\GitHub\eaglep3\Utilities\RefineRTDCRunTimes.py" --tripid 147-31 --locoid 4016 --swversion DE.1.0.7.0 --startMP 204:460 --initTime 2016-08-31T09:26:59 --startdatetime 2016-08-31T09:30:47 --delay 1 --endMP 204:233319 --enddatetime 2016-08-31T10:08:50 --enforcementcount 0 &gt;&gt;C:\Users\stu\Documents\GitHub\eaglep3-reporting\EC\2016-08-31-refined-times.txt</v>
      </c>
      <c r="AI60" s="149" t="str">
        <f t="shared" si="16"/>
        <v>echo {"issue":{"subject":"","project_id":79,"tracker_id":40,"status_id":1,"priority_id":2,"assigned_to_id":23,"start_date":"2016-08-31","description":"","custom_fields":[{"id":1,"name":"Subdivision","value":"EC"},{"id":4,"name":"Milepost","value":"23.2859"},{"id":17,"name":"Train ID","value":"147-31"},{"id":16,"name":"Locomotive ID","value":"4016"},{"id":130,"name":"Impact","value":""},{"id":150,"name":"Time of Event (Mountain Time)","value":"10:08:50"},{"id":151,"name":"Denver Issue ID","value":""},{"id":178,"name":"Operational Impact","value":"Yes"},{"id":179,"name":"Denver Segment Assigned","value":""}]}} | curl -X POST -H "Content-Type: application/json" -H "X-Redmine-API-Key: d6333d4a04012a730768444271f8ca06482dae87" https://secure.xorail.net/redmine/issues.json --data @-</v>
      </c>
      <c r="AJ60" s="55"/>
      <c r="AK60" s="55"/>
      <c r="AL60" s="55"/>
    </row>
    <row r="61" spans="1:38" s="1" customFormat="1" x14ac:dyDescent="0.25">
      <c r="A61" s="39" t="s">
        <v>442</v>
      </c>
      <c r="B61" s="7">
        <v>4015</v>
      </c>
      <c r="C61" s="24" t="s">
        <v>113</v>
      </c>
      <c r="D61" s="24" t="s">
        <v>295</v>
      </c>
      <c r="E61" s="15">
        <v>42613.431747685187</v>
      </c>
      <c r="F61" s="15">
        <v>42613.434918981482</v>
      </c>
      <c r="G61" s="7">
        <v>1</v>
      </c>
      <c r="H61" s="15" t="s">
        <v>136</v>
      </c>
      <c r="I61" s="15">
        <v>42613.462627314817</v>
      </c>
      <c r="J61" s="7">
        <v>0</v>
      </c>
      <c r="K61" s="132" t="str">
        <f t="shared" si="24"/>
        <v>4015/4016</v>
      </c>
      <c r="L61" s="24" t="str">
        <f>VLOOKUP(A61,'Trips&amp;Operators'!$C$1:$E$10000,3,FALSE)</f>
        <v>STRICKLAND</v>
      </c>
      <c r="M61" s="6">
        <f t="shared" si="25"/>
        <v>2.7708333334885538E-2</v>
      </c>
      <c r="N61" s="7">
        <f t="shared" si="22"/>
        <v>39.900000002235174</v>
      </c>
      <c r="O61" s="7"/>
      <c r="P61" s="7"/>
      <c r="Q61" s="25"/>
      <c r="R61" s="25"/>
      <c r="S61" s="37">
        <f t="shared" si="23"/>
        <v>1</v>
      </c>
      <c r="T61" s="52" t="str">
        <f t="shared" si="26"/>
        <v>Southbound</v>
      </c>
      <c r="U61" s="126">
        <f>IF(AG61="EC",COUNTIFS(Variables!$M$2:$M$19,IF(T61="NorthBound","&gt;=","&lt;=")&amp;Y61,Variables!$M$2:$M$19,IF(T61="NorthBound","&lt;=","&gt;=")&amp;Z61),COUNTIFS(Variables!$P$2:$P$19,IF(T61="NorthBound","&gt;=","&lt;=")&amp;Y61,Variables!$P$2:$P$19,IF(T61="NorthBound","&lt;=","&gt;=")&amp;Z61))</f>
        <v>12</v>
      </c>
      <c r="V61" s="106" t="str">
        <f t="shared" si="27"/>
        <v>https://search-rtdc-monitor-bjffxe2xuh6vdkpspy63sjmuny.us-east-1.es.amazonaws.com/_plugin/kibana/#/discover/Steve-Slow-Train-Analysis-(2080s-and-2083s)?_g=(refreshInterval:(display:Off,section:0,value:0),time:(from:'2016-08-31 09:21:43-0600',mode:absolute,to:'2016-08-31 12:06:11-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4015%22')),sort:!(Time,asc))</v>
      </c>
      <c r="W61" s="54" t="str">
        <f t="shared" si="28"/>
        <v>N</v>
      </c>
      <c r="X61" s="120">
        <f t="shared" si="34"/>
        <v>1</v>
      </c>
      <c r="Y61" s="69">
        <f t="shared" si="29"/>
        <v>23.2987</v>
      </c>
      <c r="Z61" s="69">
        <f t="shared" si="30"/>
        <v>1.49E-2</v>
      </c>
      <c r="AA61" s="69">
        <f t="shared" si="31"/>
        <v>23.283799999999999</v>
      </c>
      <c r="AB61" s="66" t="e">
        <f>VLOOKUP(A61,Enforcements!$C$7:$J$21,8,0)</f>
        <v>#N/A</v>
      </c>
      <c r="AC61" s="62" t="e">
        <f>VLOOKUP(A61,Enforcements!$C$7:$E$21,3,0)</f>
        <v>#N/A</v>
      </c>
      <c r="AD61" s="63" t="str">
        <f t="shared" si="32"/>
        <v>0148-31</v>
      </c>
      <c r="AE61" s="99" t="str">
        <f t="shared" si="10"/>
        <v>aws s3 cp s3://rtdc.mdm.uploadarchive/RTDC4015/2016-08-31/ "%USERPROFILE%\AppData\Local\Temp\OnboardLogs"\RTDC4015\2016-08-31 --recursive &amp; "%USERPROFILE%\Documents\GitHub\mrs-test-scripts\Headless Mode &amp; Sideloading\WalkAndUnGZ.bat" "%USERPROFILE%\AppData\Local\Temp\OnboardLogs"\RTDC4015\2016-08-31 &amp; aws s3 cp s3://rtdc.mdm.uploadarchive/RTDC4015/2016-09-01/ "%USERPROFILE%\AppData\Local\Temp\OnboardLogs"\RTDC4015\2016-09-01 --recursive &amp; "%USERPROFILE%\Documents\GitHub\mrs-test-scripts\Headless Mode &amp; Sideloading\WalkAndUnGZ.bat" "%USERPROFILE%\AppData\Local\Temp\OnboardLogs"\RTDC4015\2016-09-01</v>
      </c>
      <c r="AF61" s="96" t="str">
        <f t="shared" si="11"/>
        <v>"C:\Program Files (x86)\AstroGrep\AstroGrep.exe" /spath="%USERPROFILE%\AppData\Local\Temp\OnboardLogs" /stypes="*4015*20160831*" /stext=" 17:.+((SYSTEM_STATE.+slice.+state.+changed )|(ment ac)|(system.+state.+changed )|(\|lc)|(penalty)|(\[timeout)|(PRM\|1\|D)|(kpr)|(kdp))" /e /r /s</v>
      </c>
      <c r="AG61" s="1" t="str">
        <f t="shared" si="33"/>
        <v>EC</v>
      </c>
      <c r="AH61" s="100" t="str">
        <f t="shared" si="15"/>
        <v>"%USERPROFILE%\Documents\GitHub\eaglep3\Utilities\RefineRTDCRunTimes.py" --tripid 148-31 --locoid 4015 --swversion DE.1.0.7.0 --startMP 204:232987 --initTime 2016-08-31T10:21:43 --startdatetime 2016-08-31T10:26:17 --delay 1 --endMP 204:149 --enddatetime 2016-08-31T11:06:11 --enforcementcount 0 &gt;&gt;C:\Users\stu\Documents\GitHub\eaglep3-reporting\EC\2016-08-31-refined-times.txt</v>
      </c>
      <c r="AI61" s="149" t="str">
        <f t="shared" si="16"/>
        <v>echo {"issue":{"subject":"","project_id":79,"tracker_id":40,"status_id":1,"priority_id":2,"assigned_to_id":23,"start_date":"2016-08-31","description":"","custom_fields":[{"id":1,"name":"Subdivision","value":"EC"},{"id":4,"name":"Milepost","value":"23.2838"},{"id":17,"name":"Train ID","value":"148-31"},{"id":16,"name":"Locomotive ID","value":"4015"},{"id":130,"name":"Impact","value":""},{"id":150,"name":"Time of Event (Mountain Time)","value":"11:06:11"},{"id":151,"name":"Denver Issue ID","value":""},{"id":178,"name":"Operational Impact","value":"Yes"},{"id":179,"name":"Denver Segment Assigned","value":""}]}} | curl -X POST -H "Content-Type: application/json" -H "X-Redmine-API-Key: d6333d4a04012a730768444271f8ca06482dae87" https://secure.xorail.net/redmine/issues.json --data @-</v>
      </c>
      <c r="AJ61" s="55"/>
      <c r="AK61" s="55"/>
      <c r="AL61" s="55"/>
    </row>
    <row r="62" spans="1:38" s="1" customFormat="1" x14ac:dyDescent="0.25">
      <c r="A62" s="39" t="s">
        <v>443</v>
      </c>
      <c r="B62" s="7">
        <v>4014</v>
      </c>
      <c r="C62" s="24" t="s">
        <v>113</v>
      </c>
      <c r="D62" s="24" t="s">
        <v>245</v>
      </c>
      <c r="E62" s="15">
        <v>42613.402442129627</v>
      </c>
      <c r="F62" s="15">
        <v>42613.406423611108</v>
      </c>
      <c r="G62" s="7">
        <v>1</v>
      </c>
      <c r="H62" s="15" t="s">
        <v>325</v>
      </c>
      <c r="I62" s="15">
        <v>42613.431979166664</v>
      </c>
      <c r="J62" s="7">
        <v>0</v>
      </c>
      <c r="K62" s="132" t="str">
        <f t="shared" si="24"/>
        <v>4013/4014</v>
      </c>
      <c r="L62" s="24" t="str">
        <f>VLOOKUP(A62,'Trips&amp;Operators'!$C$1:$E$10000,3,FALSE)</f>
        <v>SPECTOR</v>
      </c>
      <c r="M62" s="6">
        <f t="shared" si="25"/>
        <v>2.5555555555911269E-2</v>
      </c>
      <c r="N62" s="7">
        <f t="shared" si="22"/>
        <v>36.800000000512227</v>
      </c>
      <c r="O62" s="7"/>
      <c r="P62" s="7"/>
      <c r="Q62" s="25"/>
      <c r="R62" s="25"/>
      <c r="S62" s="37">
        <f t="shared" si="23"/>
        <v>1</v>
      </c>
      <c r="T62" s="52" t="str">
        <f t="shared" si="26"/>
        <v>NorthBound</v>
      </c>
      <c r="U62" s="126">
        <f>IF(AG62="EC",COUNTIFS(Variables!$M$2:$M$19,IF(T62="NorthBound","&gt;=","&lt;=")&amp;Y62,Variables!$M$2:$M$19,IF(T62="NorthBound","&lt;=","&gt;=")&amp;Z62),COUNTIFS(Variables!$P$2:$P$19,IF(T62="NorthBound","&gt;=","&lt;=")&amp;Y62,Variables!$P$2:$P$19,IF(T62="NorthBound","&lt;=","&gt;=")&amp;Z62))</f>
        <v>12</v>
      </c>
      <c r="V62" s="106" t="str">
        <f t="shared" si="27"/>
        <v>https://search-rtdc-monitor-bjffxe2xuh6vdkpspy63sjmuny.us-east-1.es.amazonaws.com/_plugin/kibana/#/discover/Steve-Slow-Train-Analysis-(2080s-and-2083s)?_g=(refreshInterval:(display:Off,section:0,value:0),time:(from:'2016-08-31 08:39:31-0600',mode:absolute,to:'2016-08-31 11:22:03-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4014%22')),sort:!(Time,asc))</v>
      </c>
      <c r="W62" s="54" t="str">
        <f t="shared" si="28"/>
        <v>N</v>
      </c>
      <c r="X62" s="120">
        <f t="shared" si="34"/>
        <v>1</v>
      </c>
      <c r="Y62" s="69">
        <f t="shared" si="29"/>
        <v>4.58E-2</v>
      </c>
      <c r="Z62" s="69">
        <f t="shared" si="30"/>
        <v>23.3324</v>
      </c>
      <c r="AA62" s="69">
        <f t="shared" si="31"/>
        <v>23.2866</v>
      </c>
      <c r="AB62" s="66" t="e">
        <f>VLOOKUP(A62,Enforcements!$C$7:$J$21,8,0)</f>
        <v>#N/A</v>
      </c>
      <c r="AC62" s="62" t="e">
        <f>VLOOKUP(A62,Enforcements!$C$7:$E$21,3,0)</f>
        <v>#N/A</v>
      </c>
      <c r="AD62" s="63" t="str">
        <f t="shared" si="32"/>
        <v>0149-31</v>
      </c>
      <c r="AE62" s="99" t="str">
        <f t="shared" si="10"/>
        <v>aws s3 cp s3://rtdc.mdm.uploadarchive/RTDC4014/2016-08-31/ "%USERPROFILE%\AppData\Local\Temp\OnboardLogs"\RTDC4014\2016-08-31 --recursive &amp; "%USERPROFILE%\Documents\GitHub\mrs-test-scripts\Headless Mode &amp; Sideloading\WalkAndUnGZ.bat" "%USERPROFILE%\AppData\Local\Temp\OnboardLogs"\RTDC4014\2016-08-31 &amp; aws s3 cp s3://rtdc.mdm.uploadarchive/RTDC4014/2016-09-01/ "%USERPROFILE%\AppData\Local\Temp\OnboardLogs"\RTDC4014\2016-09-01 --recursive &amp; "%USERPROFILE%\Documents\GitHub\mrs-test-scripts\Headless Mode &amp; Sideloading\WalkAndUnGZ.bat" "%USERPROFILE%\AppData\Local\Temp\OnboardLogs"\RTDC4014\2016-09-01</v>
      </c>
      <c r="AF62" s="96" t="str">
        <f t="shared" si="11"/>
        <v>"C:\Program Files (x86)\AstroGrep\AstroGrep.exe" /spath="%USERPROFILE%\AppData\Local\Temp\OnboardLogs" /stypes="*4014*20160831*" /stext=" 16:.+((SYSTEM_STATE.+slice.+state.+changed )|(ment ac)|(system.+state.+changed )|(\|lc)|(penalty)|(\[timeout)|(PRM\|1\|D)|(kpr)|(kdp))" /e /r /s</v>
      </c>
      <c r="AG62" s="1" t="str">
        <f t="shared" si="33"/>
        <v>EC</v>
      </c>
      <c r="AH62" s="100" t="str">
        <f t="shared" si="15"/>
        <v>"%USERPROFILE%\Documents\GitHub\eaglep3\Utilities\RefineRTDCRunTimes.py" --tripid 149-31 --locoid 4014 --swversion DE.1.0.7.0 --startMP 204:458 --initTime 2016-08-31T09:39:31 --startdatetime 2016-08-31T09:45:15 --delay 1 --endMP 204:233324 --enddatetime 2016-08-31T10:22:03 --enforcementcount 0 &gt;&gt;C:\Users\stu\Documents\GitHub\eaglep3-reporting\EC\2016-08-31-refined-times.txt</v>
      </c>
      <c r="AI62" s="149" t="str">
        <f t="shared" si="16"/>
        <v>echo {"issue":{"subject":"","project_id":79,"tracker_id":40,"status_id":1,"priority_id":2,"assigned_to_id":23,"start_date":"2016-08-31","description":"","custom_fields":[{"id":1,"name":"Subdivision","value":"EC"},{"id":4,"name":"Milepost","value":"23.2866"},{"id":17,"name":"Train ID","value":"149-31"},{"id":16,"name":"Locomotive ID","value":"4014"},{"id":130,"name":"Impact","value":""},{"id":150,"name":"Time of Event (Mountain Time)","value":"10:22:03"},{"id":151,"name":"Denver Issue ID","value":""},{"id":178,"name":"Operational Impact","value":"Yes"},{"id":179,"name":"Denver Segment Assigned","value":""}]}} | curl -X POST -H "Content-Type: application/json" -H "X-Redmine-API-Key: d6333d4a04012a730768444271f8ca06482dae87" https://secure.xorail.net/redmine/issues.json --data @-</v>
      </c>
      <c r="AJ62" s="55"/>
      <c r="AK62" s="55"/>
      <c r="AL62" s="55"/>
    </row>
    <row r="63" spans="1:38" s="1" customFormat="1" x14ac:dyDescent="0.25">
      <c r="A63" s="39" t="s">
        <v>444</v>
      </c>
      <c r="B63" s="7">
        <v>4013</v>
      </c>
      <c r="C63" s="24" t="s">
        <v>113</v>
      </c>
      <c r="D63" s="24" t="s">
        <v>299</v>
      </c>
      <c r="E63" s="15">
        <v>42613.438136574077</v>
      </c>
      <c r="F63" s="15">
        <v>42613.445335648146</v>
      </c>
      <c r="G63" s="7">
        <v>1</v>
      </c>
      <c r="H63" s="15" t="s">
        <v>167</v>
      </c>
      <c r="I63" s="15">
        <v>42613.471585648149</v>
      </c>
      <c r="J63" s="7">
        <v>0</v>
      </c>
      <c r="K63" s="132" t="str">
        <f t="shared" si="24"/>
        <v>4013/4014</v>
      </c>
      <c r="L63" s="24" t="str">
        <f>VLOOKUP(A63,'Trips&amp;Operators'!$C$1:$E$10000,3,FALSE)</f>
        <v>SPECTOR</v>
      </c>
      <c r="M63" s="6">
        <f t="shared" si="25"/>
        <v>2.6250000002619345E-2</v>
      </c>
      <c r="N63" s="7">
        <f t="shared" si="22"/>
        <v>37.800000003771856</v>
      </c>
      <c r="O63" s="7"/>
      <c r="P63" s="7"/>
      <c r="Q63" s="25"/>
      <c r="R63" s="25"/>
      <c r="S63" s="37">
        <f t="shared" si="23"/>
        <v>1</v>
      </c>
      <c r="T63" s="52" t="str">
        <f t="shared" si="26"/>
        <v>Southbound</v>
      </c>
      <c r="U63" s="126">
        <f>IF(AG63="EC",COUNTIFS(Variables!$M$2:$M$19,IF(T63="NorthBound","&gt;=","&lt;=")&amp;Y63,Variables!$M$2:$M$19,IF(T63="NorthBound","&lt;=","&gt;=")&amp;Z63),COUNTIFS(Variables!$P$2:$P$19,IF(T63="NorthBound","&gt;=","&lt;=")&amp;Y63,Variables!$P$2:$P$19,IF(T63="NorthBound","&lt;=","&gt;=")&amp;Z63))</f>
        <v>12</v>
      </c>
      <c r="V63" s="106" t="str">
        <f t="shared" si="27"/>
        <v>https://search-rtdc-monitor-bjffxe2xuh6vdkpspy63sjmuny.us-east-1.es.amazonaws.com/_plugin/kibana/#/discover/Steve-Slow-Train-Analysis-(2080s-and-2083s)?_g=(refreshInterval:(display:Off,section:0,value:0),time:(from:'2016-08-31 09:30:55-0600',mode:absolute,to:'2016-08-31 12:19:05-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4013%22')),sort:!(Time,asc))</v>
      </c>
      <c r="W63" s="54" t="str">
        <f t="shared" si="28"/>
        <v>N</v>
      </c>
      <c r="X63" s="120">
        <f t="shared" si="34"/>
        <v>1</v>
      </c>
      <c r="Y63" s="69">
        <f t="shared" si="29"/>
        <v>23.3001</v>
      </c>
      <c r="Z63" s="69">
        <f t="shared" si="30"/>
        <v>1.52E-2</v>
      </c>
      <c r="AA63" s="69">
        <f t="shared" si="31"/>
        <v>23.2849</v>
      </c>
      <c r="AB63" s="66" t="e">
        <f>VLOOKUP(A63,Enforcements!$C$7:$J$21,8,0)</f>
        <v>#N/A</v>
      </c>
      <c r="AC63" s="62" t="e">
        <f>VLOOKUP(A63,Enforcements!$C$7:$E$21,3,0)</f>
        <v>#N/A</v>
      </c>
      <c r="AD63" s="63" t="str">
        <f t="shared" si="32"/>
        <v>0150-31</v>
      </c>
      <c r="AE63" s="99" t="str">
        <f t="shared" si="10"/>
        <v>aws s3 cp s3://rtdc.mdm.uploadarchive/RTDC4013/2016-08-31/ "%USERPROFILE%\AppData\Local\Temp\OnboardLogs"\RTDC4013\2016-08-31 --recursive &amp; "%USERPROFILE%\Documents\GitHub\mrs-test-scripts\Headless Mode &amp; Sideloading\WalkAndUnGZ.bat" "%USERPROFILE%\AppData\Local\Temp\OnboardLogs"\RTDC4013\2016-08-31 &amp; aws s3 cp s3://rtdc.mdm.uploadarchive/RTDC4013/2016-09-01/ "%USERPROFILE%\AppData\Local\Temp\OnboardLogs"\RTDC4013\2016-09-01 --recursive &amp; "%USERPROFILE%\Documents\GitHub\mrs-test-scripts\Headless Mode &amp; Sideloading\WalkAndUnGZ.bat" "%USERPROFILE%\AppData\Local\Temp\OnboardLogs"\RTDC4013\2016-09-01</v>
      </c>
      <c r="AF63" s="96" t="str">
        <f t="shared" si="11"/>
        <v>"C:\Program Files (x86)\AstroGrep\AstroGrep.exe" /spath="%USERPROFILE%\AppData\Local\Temp\OnboardLogs" /stypes="*4013*20160831*" /stext=" 17:.+((SYSTEM_STATE.+slice.+state.+changed )|(ment ac)|(system.+state.+changed )|(\|lc)|(penalty)|(\[timeout)|(PRM\|1\|D)|(kpr)|(kdp))" /e /r /s</v>
      </c>
      <c r="AG63" s="1" t="str">
        <f t="shared" si="33"/>
        <v>EC</v>
      </c>
      <c r="AH63" s="100" t="str">
        <f t="shared" si="15"/>
        <v>"%USERPROFILE%\Documents\GitHub\eaglep3\Utilities\RefineRTDCRunTimes.py" --tripid 150-31 --locoid 4013 --swversion DE.1.0.7.0 --startMP 204:233001 --initTime 2016-08-31T10:30:55 --startdatetime 2016-08-31T10:41:17 --delay 1 --endMP 204:152 --enddatetime 2016-08-31T11:19:05 --enforcementcount 0 &gt;&gt;C:\Users\stu\Documents\GitHub\eaglep3-reporting\EC\2016-08-31-refined-times.txt</v>
      </c>
      <c r="AI63" s="149" t="str">
        <f t="shared" si="16"/>
        <v>echo {"issue":{"subject":"","project_id":79,"tracker_id":40,"status_id":1,"priority_id":2,"assigned_to_id":23,"start_date":"2016-08-31","description":"","custom_fields":[{"id":1,"name":"Subdivision","value":"EC"},{"id":4,"name":"Milepost","value":"23.2849"},{"id":17,"name":"Train ID","value":"150-31"},{"id":16,"name":"Locomotive ID","value":"4013"},{"id":130,"name":"Impact","value":""},{"id":150,"name":"Time of Event (Mountain Time)","value":"11:19:05"},{"id":151,"name":"Denver Issue ID","value":""},{"id":178,"name":"Operational Impact","value":"Yes"},{"id":179,"name":"Denver Segment Assigned","value":""}]}} | curl -X POST -H "Content-Type: application/json" -H "X-Redmine-API-Key: d6333d4a04012a730768444271f8ca06482dae87" https://secure.xorail.net/redmine/issues.json --data @-</v>
      </c>
      <c r="AJ63" s="55"/>
      <c r="AK63" s="55"/>
      <c r="AL63" s="55"/>
    </row>
    <row r="64" spans="1:38" s="1" customFormat="1" x14ac:dyDescent="0.25">
      <c r="A64" s="39" t="s">
        <v>445</v>
      </c>
      <c r="B64" s="7">
        <v>4011</v>
      </c>
      <c r="C64" s="24" t="s">
        <v>113</v>
      </c>
      <c r="D64" s="24" t="s">
        <v>225</v>
      </c>
      <c r="E64" s="15">
        <v>42613.411365740743</v>
      </c>
      <c r="F64" s="15">
        <v>42613.416921296295</v>
      </c>
      <c r="G64" s="7">
        <v>1</v>
      </c>
      <c r="H64" s="15" t="s">
        <v>294</v>
      </c>
      <c r="I64" s="15">
        <v>42613.441874999997</v>
      </c>
      <c r="J64" s="7">
        <v>0</v>
      </c>
      <c r="K64" s="132" t="str">
        <f t="shared" si="24"/>
        <v>4011/4012</v>
      </c>
      <c r="L64" s="24" t="str">
        <f>VLOOKUP(A64,'Trips&amp;Operators'!$C$1:$E$10000,3,FALSE)</f>
        <v>KILLION</v>
      </c>
      <c r="M64" s="6">
        <f t="shared" si="25"/>
        <v>2.495370370161254E-2</v>
      </c>
      <c r="N64" s="7">
        <f t="shared" si="22"/>
        <v>35.933333330322057</v>
      </c>
      <c r="O64" s="7"/>
      <c r="P64" s="7"/>
      <c r="Q64" s="25"/>
      <c r="R64" s="25"/>
      <c r="S64" s="37">
        <f t="shared" si="23"/>
        <v>1</v>
      </c>
      <c r="T64" s="52" t="str">
        <f t="shared" si="26"/>
        <v>NorthBound</v>
      </c>
      <c r="U64" s="126">
        <f>IF(AG64="EC",COUNTIFS(Variables!$M$2:$M$19,IF(T64="NorthBound","&gt;=","&lt;=")&amp;Y64,Variables!$M$2:$M$19,IF(T64="NorthBound","&lt;=","&gt;=")&amp;Z64),COUNTIFS(Variables!$P$2:$P$19,IF(T64="NorthBound","&gt;=","&lt;=")&amp;Y64,Variables!$P$2:$P$19,IF(T64="NorthBound","&lt;=","&gt;=")&amp;Z64))</f>
        <v>12</v>
      </c>
      <c r="V64" s="106" t="str">
        <f t="shared" si="27"/>
        <v>https://search-rtdc-monitor-bjffxe2xuh6vdkpspy63sjmuny.us-east-1.es.amazonaws.com/_plugin/kibana/#/discover/Steve-Slow-Train-Analysis-(2080s-and-2083s)?_g=(refreshInterval:(display:Off,section:0,value:0),time:(from:'2016-08-31 08:52:22-0600',mode:absolute,to:'2016-08-31 11:36:18-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4011%22')),sort:!(Time,asc))</v>
      </c>
      <c r="W64" s="54" t="str">
        <f t="shared" si="28"/>
        <v>N</v>
      </c>
      <c r="X64" s="120">
        <f t="shared" si="34"/>
        <v>1</v>
      </c>
      <c r="Y64" s="69">
        <f t="shared" si="29"/>
        <v>4.3799999999999999E-2</v>
      </c>
      <c r="Z64" s="69">
        <f t="shared" si="30"/>
        <v>23.329799999999999</v>
      </c>
      <c r="AA64" s="69">
        <f t="shared" si="31"/>
        <v>23.285999999999998</v>
      </c>
      <c r="AB64" s="66" t="e">
        <f>VLOOKUP(A64,Enforcements!$C$7:$J$21,8,0)</f>
        <v>#N/A</v>
      </c>
      <c r="AC64" s="62" t="e">
        <f>VLOOKUP(A64,Enforcements!$C$7:$E$21,3,0)</f>
        <v>#N/A</v>
      </c>
      <c r="AD64" s="63" t="str">
        <f t="shared" si="32"/>
        <v>0151-31</v>
      </c>
      <c r="AE64" s="99" t="str">
        <f t="shared" si="10"/>
        <v>aws s3 cp s3://rtdc.mdm.uploadarchive/RTDC4011/2016-08-31/ "%USERPROFILE%\AppData\Local\Temp\OnboardLogs"\RTDC4011\2016-08-31 --recursive &amp; "%USERPROFILE%\Documents\GitHub\mrs-test-scripts\Headless Mode &amp; Sideloading\WalkAndUnGZ.bat" "%USERPROFILE%\AppData\Local\Temp\OnboardLogs"\RTDC4011\2016-08-31 &amp; aws s3 cp s3://rtdc.mdm.uploadarchive/RTDC4011/2016-09-01/ "%USERPROFILE%\AppData\Local\Temp\OnboardLogs"\RTDC4011\2016-09-01 --recursive &amp; "%USERPROFILE%\Documents\GitHub\mrs-test-scripts\Headless Mode &amp; Sideloading\WalkAndUnGZ.bat" "%USERPROFILE%\AppData\Local\Temp\OnboardLogs"\RTDC4011\2016-09-01</v>
      </c>
      <c r="AF64" s="96" t="str">
        <f t="shared" si="11"/>
        <v>"C:\Program Files (x86)\AstroGrep\AstroGrep.exe" /spath="%USERPROFILE%\AppData\Local\Temp\OnboardLogs" /stypes="*4011*20160831*" /stext=" 16:.+((SYSTEM_STATE.+slice.+state.+changed )|(ment ac)|(system.+state.+changed )|(\|lc)|(penalty)|(\[timeout)|(PRM\|1\|D)|(kpr)|(kdp))" /e /r /s</v>
      </c>
      <c r="AG64" s="1" t="str">
        <f t="shared" si="33"/>
        <v>EC</v>
      </c>
      <c r="AH64" s="100" t="str">
        <f t="shared" si="15"/>
        <v>"%USERPROFILE%\Documents\GitHub\eaglep3\Utilities\RefineRTDCRunTimes.py" --tripid 151-31 --locoid 4011 --swversion DE.1.0.7.0 --startMP 204:438 --initTime 2016-08-31T09:52:22 --startdatetime 2016-08-31T10:00:22 --delay 1 --endMP 204:233298 --enddatetime 2016-08-31T10:36:18 --enforcementcount 0 &gt;&gt;C:\Users\stu\Documents\GitHub\eaglep3-reporting\EC\2016-08-31-refined-times.txt</v>
      </c>
      <c r="AI64" s="149" t="str">
        <f t="shared" si="16"/>
        <v>echo {"issue":{"subject":"","project_id":79,"tracker_id":40,"status_id":1,"priority_id":2,"assigned_to_id":23,"start_date":"2016-08-31","description":"","custom_fields":[{"id":1,"name":"Subdivision","value":"EC"},{"id":4,"name":"Milepost","value":"23.286"},{"id":17,"name":"Train ID","value":"151-31"},{"id":16,"name":"Locomotive ID","value":"4011"},{"id":130,"name":"Impact","value":""},{"id":150,"name":"Time of Event (Mountain Time)","value":"10:36:18"},{"id":151,"name":"Denver Issue ID","value":""},{"id":178,"name":"Operational Impact","value":"Yes"},{"id":179,"name":"Denver Segment Assigned","value":""}]}} | curl -X POST -H "Content-Type: application/json" -H "X-Redmine-API-Key: d6333d4a04012a730768444271f8ca06482dae87" https://secure.xorail.net/redmine/issues.json --data @-</v>
      </c>
      <c r="AJ64" s="55"/>
      <c r="AK64" s="55"/>
      <c r="AL64" s="55"/>
    </row>
    <row r="65" spans="1:38" s="1" customFormat="1" x14ac:dyDescent="0.25">
      <c r="A65" s="39" t="s">
        <v>446</v>
      </c>
      <c r="B65" s="7">
        <v>4012</v>
      </c>
      <c r="C65" s="24" t="s">
        <v>113</v>
      </c>
      <c r="D65" s="24" t="s">
        <v>447</v>
      </c>
      <c r="E65" s="15">
        <v>42613.449861111112</v>
      </c>
      <c r="F65" s="15">
        <v>42613.455729166664</v>
      </c>
      <c r="G65" s="7">
        <v>1</v>
      </c>
      <c r="H65" s="15" t="s">
        <v>149</v>
      </c>
      <c r="I65" s="15">
        <v>42613.482951388891</v>
      </c>
      <c r="J65" s="7">
        <v>0</v>
      </c>
      <c r="K65" s="132" t="str">
        <f t="shared" si="24"/>
        <v>4011/4012</v>
      </c>
      <c r="L65" s="24" t="str">
        <f>VLOOKUP(A65,'Trips&amp;Operators'!$C$1:$E$10000,3,FALSE)</f>
        <v>KILLION</v>
      </c>
      <c r="M65" s="6">
        <f t="shared" si="25"/>
        <v>2.7222222226555459E-2</v>
      </c>
      <c r="N65" s="7">
        <f t="shared" ref="N65:N96" si="35">24*60*SUM($M65:$M65)</f>
        <v>39.200000006239861</v>
      </c>
      <c r="O65" s="7"/>
      <c r="P65" s="7"/>
      <c r="Q65" s="25"/>
      <c r="R65" s="25"/>
      <c r="S65" s="37">
        <f t="shared" ref="S65:S96" si="36">SUM(U65:U65)/IF(AG65="EC",12,1)</f>
        <v>1</v>
      </c>
      <c r="T65" s="52" t="str">
        <f t="shared" si="26"/>
        <v>Southbound</v>
      </c>
      <c r="U65" s="126">
        <f>IF(AG65="EC",COUNTIFS(Variables!$M$2:$M$19,IF(T65="NorthBound","&gt;=","&lt;=")&amp;Y65,Variables!$M$2:$M$19,IF(T65="NorthBound","&lt;=","&gt;=")&amp;Z65),COUNTIFS(Variables!$P$2:$P$19,IF(T65="NorthBound","&gt;=","&lt;=")&amp;Y65,Variables!$P$2:$P$19,IF(T65="NorthBound","&lt;=","&gt;=")&amp;Z65))</f>
        <v>12</v>
      </c>
      <c r="V65" s="106" t="str">
        <f t="shared" si="27"/>
        <v>https://search-rtdc-monitor-bjffxe2xuh6vdkpspy63sjmuny.us-east-1.es.amazonaws.com/_plugin/kibana/#/discover/Steve-Slow-Train-Analysis-(2080s-and-2083s)?_g=(refreshInterval:(display:Off,section:0,value:0),time:(from:'2016-08-31 09:47:48-0600',mode:absolute,to:'2016-08-31 12:35:27-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4012%22')),sort:!(Time,asc))</v>
      </c>
      <c r="W65" s="54" t="str">
        <f t="shared" si="28"/>
        <v>N</v>
      </c>
      <c r="X65" s="120">
        <f t="shared" si="34"/>
        <v>1</v>
      </c>
      <c r="Y65" s="69">
        <f t="shared" si="29"/>
        <v>23.2972</v>
      </c>
      <c r="Z65" s="69">
        <f t="shared" si="30"/>
        <v>1.5599999999999999E-2</v>
      </c>
      <c r="AA65" s="69">
        <f t="shared" si="31"/>
        <v>23.281600000000001</v>
      </c>
      <c r="AB65" s="66" t="e">
        <f>VLOOKUP(A65,Enforcements!$C$7:$J$21,8,0)</f>
        <v>#N/A</v>
      </c>
      <c r="AC65" s="62" t="e">
        <f>VLOOKUP(A65,Enforcements!$C$7:$E$21,3,0)</f>
        <v>#N/A</v>
      </c>
      <c r="AD65" s="63" t="str">
        <f t="shared" si="32"/>
        <v>0152-31</v>
      </c>
      <c r="AE65" s="99" t="str">
        <f t="shared" si="10"/>
        <v>aws s3 cp s3://rtdc.mdm.uploadarchive/RTDC4012/2016-08-31/ "%USERPROFILE%\AppData\Local\Temp\OnboardLogs"\RTDC4012\2016-08-31 --recursive &amp; "%USERPROFILE%\Documents\GitHub\mrs-test-scripts\Headless Mode &amp; Sideloading\WalkAndUnGZ.bat" "%USERPROFILE%\AppData\Local\Temp\OnboardLogs"\RTDC4012\2016-08-31 &amp; aws s3 cp s3://rtdc.mdm.uploadarchive/RTDC4012/2016-09-01/ "%USERPROFILE%\AppData\Local\Temp\OnboardLogs"\RTDC4012\2016-09-01 --recursive &amp; "%USERPROFILE%\Documents\GitHub\mrs-test-scripts\Headless Mode &amp; Sideloading\WalkAndUnGZ.bat" "%USERPROFILE%\AppData\Local\Temp\OnboardLogs"\RTDC4012\2016-09-01</v>
      </c>
      <c r="AF65" s="96" t="str">
        <f t="shared" si="11"/>
        <v>"C:\Program Files (x86)\AstroGrep\AstroGrep.exe" /spath="%USERPROFILE%\AppData\Local\Temp\OnboardLogs" /stypes="*4012*20160831*" /stext=" 17:.+((SYSTEM_STATE.+slice.+state.+changed )|(ment ac)|(system.+state.+changed )|(\|lc)|(penalty)|(\[timeout)|(PRM\|1\|D)|(kpr)|(kdp))" /e /r /s</v>
      </c>
      <c r="AG65" s="1" t="str">
        <f t="shared" si="33"/>
        <v>EC</v>
      </c>
      <c r="AH65" s="100" t="str">
        <f t="shared" si="15"/>
        <v>"%USERPROFILE%\Documents\GitHub\eaglep3\Utilities\RefineRTDCRunTimes.py" --tripid 152-31 --locoid 4012 --swversion DE.1.0.7.0 --startMP 204:232972 --initTime 2016-08-31T10:47:48 --startdatetime 2016-08-31T10:56:15 --delay 1 --endMP 204:156 --enddatetime 2016-08-31T11:35:27 --enforcementcount 0 &gt;&gt;C:\Users\stu\Documents\GitHub\eaglep3-reporting\EC\2016-08-31-refined-times.txt</v>
      </c>
      <c r="AI65" s="149" t="str">
        <f t="shared" si="16"/>
        <v>echo {"issue":{"subject":"","project_id":79,"tracker_id":40,"status_id":1,"priority_id":2,"assigned_to_id":23,"start_date":"2016-08-31","description":"","custom_fields":[{"id":1,"name":"Subdivision","value":"EC"},{"id":4,"name":"Milepost","value":"23.2816"},{"id":17,"name":"Train ID","value":"152-31"},{"id":16,"name":"Locomotive ID","value":"4012"},{"id":130,"name":"Impact","value":""},{"id":150,"name":"Time of Event (Mountain Time)","value":"11:35:27"},{"id":151,"name":"Denver Issue ID","value":""},{"id":178,"name":"Operational Impact","value":"Yes"},{"id":179,"name":"Denver Segment Assigned","value":""}]}} | curl -X POST -H "Content-Type: application/json" -H "X-Redmine-API-Key: d6333d4a04012a730768444271f8ca06482dae87" https://secure.xorail.net/redmine/issues.json --data @-</v>
      </c>
      <c r="AJ65" s="55"/>
      <c r="AK65" s="55"/>
      <c r="AL65" s="55"/>
    </row>
    <row r="66" spans="1:38" s="1" customFormat="1" x14ac:dyDescent="0.25">
      <c r="A66" s="39" t="s">
        <v>448</v>
      </c>
      <c r="B66" s="7">
        <v>4042</v>
      </c>
      <c r="C66" s="24" t="s">
        <v>113</v>
      </c>
      <c r="D66" s="24" t="s">
        <v>184</v>
      </c>
      <c r="E66" s="15">
        <v>42613.425208333334</v>
      </c>
      <c r="F66" s="15">
        <v>42613.427731481483</v>
      </c>
      <c r="G66" s="7">
        <v>1</v>
      </c>
      <c r="H66" s="15" t="s">
        <v>263</v>
      </c>
      <c r="I66" s="15">
        <v>42613.451550925929</v>
      </c>
      <c r="J66" s="7">
        <v>0</v>
      </c>
      <c r="K66" s="132" t="str">
        <f t="shared" si="24"/>
        <v>4041/4042</v>
      </c>
      <c r="L66" s="24" t="str">
        <f>VLOOKUP(A66,'Trips&amp;Operators'!$C$1:$E$10000,3,FALSE)</f>
        <v>ROCHA</v>
      </c>
      <c r="M66" s="6">
        <f t="shared" si="25"/>
        <v>2.3819444446417037E-2</v>
      </c>
      <c r="N66" s="7">
        <f t="shared" si="35"/>
        <v>34.300000002840534</v>
      </c>
      <c r="O66" s="7"/>
      <c r="P66" s="7"/>
      <c r="Q66" s="25"/>
      <c r="R66" s="25"/>
      <c r="S66" s="37">
        <f t="shared" si="36"/>
        <v>1</v>
      </c>
      <c r="T66" s="52" t="str">
        <f t="shared" si="26"/>
        <v>NorthBound</v>
      </c>
      <c r="U66" s="126">
        <f>IF(AG66="EC",COUNTIFS(Variables!$M$2:$M$19,IF(T66="NorthBound","&gt;=","&lt;=")&amp;Y66,Variables!$M$2:$M$19,IF(T66="NorthBound","&lt;=","&gt;=")&amp;Z66),COUNTIFS(Variables!$P$2:$P$19,IF(T66="NorthBound","&gt;=","&lt;=")&amp;Y66,Variables!$P$2:$P$19,IF(T66="NorthBound","&lt;=","&gt;=")&amp;Z66))</f>
        <v>12</v>
      </c>
      <c r="V66" s="106" t="str">
        <f t="shared" si="27"/>
        <v>https://search-rtdc-monitor-bjffxe2xuh6vdkpspy63sjmuny.us-east-1.es.amazonaws.com/_plugin/kibana/#/discover/Steve-Slow-Train-Analysis-(2080s-and-2083s)?_g=(refreshInterval:(display:Off,section:0,value:0),time:(from:'2016-08-31 09:12:18-0600',mode:absolute,to:'2016-08-31 11:50:14-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4042%22')),sort:!(Time,asc))</v>
      </c>
      <c r="W66" s="54" t="str">
        <f t="shared" si="28"/>
        <v>N</v>
      </c>
      <c r="X66" s="120">
        <f t="shared" si="34"/>
        <v>1</v>
      </c>
      <c r="Y66" s="69">
        <f t="shared" si="29"/>
        <v>4.6399999999999997E-2</v>
      </c>
      <c r="Z66" s="69">
        <f t="shared" si="30"/>
        <v>23.328900000000001</v>
      </c>
      <c r="AA66" s="69">
        <f t="shared" si="31"/>
        <v>23.282500000000002</v>
      </c>
      <c r="AB66" s="66" t="e">
        <f>VLOOKUP(A66,Enforcements!$C$7:$J$21,8,0)</f>
        <v>#N/A</v>
      </c>
      <c r="AC66" s="62" t="e">
        <f>VLOOKUP(A66,Enforcements!$C$7:$E$21,3,0)</f>
        <v>#N/A</v>
      </c>
      <c r="AD66" s="63" t="str">
        <f t="shared" si="32"/>
        <v>0153-31</v>
      </c>
      <c r="AE66" s="99" t="str">
        <f t="shared" si="10"/>
        <v>aws s3 cp s3://rtdc.mdm.uploadarchive/RTDC4042/2016-08-31/ "%USERPROFILE%\AppData\Local\Temp\OnboardLogs"\RTDC4042\2016-08-31 --recursive &amp; "%USERPROFILE%\Documents\GitHub\mrs-test-scripts\Headless Mode &amp; Sideloading\WalkAndUnGZ.bat" "%USERPROFILE%\AppData\Local\Temp\OnboardLogs"\RTDC4042\2016-08-31 &amp; aws s3 cp s3://rtdc.mdm.uploadarchive/RTDC4042/2016-09-01/ "%USERPROFILE%\AppData\Local\Temp\OnboardLogs"\RTDC4042\2016-09-01 --recursive &amp; "%USERPROFILE%\Documents\GitHub\mrs-test-scripts\Headless Mode &amp; Sideloading\WalkAndUnGZ.bat" "%USERPROFILE%\AppData\Local\Temp\OnboardLogs"\RTDC4042\2016-09-01</v>
      </c>
      <c r="AF66" s="96" t="str">
        <f t="shared" si="11"/>
        <v>"C:\Program Files (x86)\AstroGrep\AstroGrep.exe" /spath="%USERPROFILE%\AppData\Local\Temp\OnboardLogs" /stypes="*4042*20160831*" /stext=" 16:.+((SYSTEM_STATE.+slice.+state.+changed )|(ment ac)|(system.+state.+changed )|(\|lc)|(penalty)|(\[timeout)|(PRM\|1\|D)|(kpr)|(kdp))" /e /r /s</v>
      </c>
      <c r="AG66" s="1" t="str">
        <f t="shared" si="33"/>
        <v>EC</v>
      </c>
      <c r="AH66" s="100" t="str">
        <f t="shared" si="15"/>
        <v>"%USERPROFILE%\Documents\GitHub\eaglep3\Utilities\RefineRTDCRunTimes.py" --tripid 153-31 --locoid 4042 --swversion DE.1.0.7.0 --startMP 204:464 --initTime 2016-08-31T10:12:18 --startdatetime 2016-08-31T10:15:56 --delay 1 --endMP 204:233289 --enddatetime 2016-08-31T10:50:14 --enforcementcount 0 &gt;&gt;C:\Users\stu\Documents\GitHub\eaglep3-reporting\EC\2016-08-31-refined-times.txt</v>
      </c>
      <c r="AI66" s="149" t="str">
        <f t="shared" si="16"/>
        <v>echo {"issue":{"subject":"","project_id":79,"tracker_id":40,"status_id":1,"priority_id":2,"assigned_to_id":23,"start_date":"2016-08-31","description":"","custom_fields":[{"id":1,"name":"Subdivision","value":"EC"},{"id":4,"name":"Milepost","value":"23.2825"},{"id":17,"name":"Train ID","value":"153-31"},{"id":16,"name":"Locomotive ID","value":"4042"},{"id":130,"name":"Impact","value":""},{"id":150,"name":"Time of Event (Mountain Time)","value":"10:50:14"},{"id":151,"name":"Denver Issue ID","value":""},{"id":178,"name":"Operational Impact","value":"Yes"},{"id":179,"name":"Denver Segment Assigned","value":""}]}} | curl -X POST -H "Content-Type: application/json" -H "X-Redmine-API-Key: d6333d4a04012a730768444271f8ca06482dae87" https://secure.xorail.net/redmine/issues.json --data @-</v>
      </c>
      <c r="AJ66" s="55"/>
      <c r="AK66" s="55"/>
      <c r="AL66" s="55"/>
    </row>
    <row r="67" spans="1:38" s="1" customFormat="1" x14ac:dyDescent="0.25">
      <c r="A67" s="39" t="s">
        <v>449</v>
      </c>
      <c r="B67" s="7">
        <v>4041</v>
      </c>
      <c r="C67" s="24" t="s">
        <v>113</v>
      </c>
      <c r="D67" s="24" t="s">
        <v>223</v>
      </c>
      <c r="E67" s="15">
        <v>42613.464363425926</v>
      </c>
      <c r="F67" s="15">
        <v>42613.467523148145</v>
      </c>
      <c r="G67" s="7">
        <v>1</v>
      </c>
      <c r="H67" s="15" t="s">
        <v>341</v>
      </c>
      <c r="I67" s="15">
        <v>42613.492349537039</v>
      </c>
      <c r="J67" s="7">
        <v>0</v>
      </c>
      <c r="K67" s="132" t="str">
        <f t="shared" si="24"/>
        <v>4041/4042</v>
      </c>
      <c r="L67" s="24" t="str">
        <f>VLOOKUP(A67,'Trips&amp;Operators'!$C$1:$E$10000,3,FALSE)</f>
        <v>ROCHA</v>
      </c>
      <c r="M67" s="6">
        <f t="shared" si="25"/>
        <v>2.4826388893416151E-2</v>
      </c>
      <c r="N67" s="7">
        <f t="shared" si="35"/>
        <v>35.750000006519258</v>
      </c>
      <c r="O67" s="7"/>
      <c r="P67" s="7"/>
      <c r="Q67" s="25"/>
      <c r="R67" s="25"/>
      <c r="S67" s="37">
        <f t="shared" si="36"/>
        <v>1</v>
      </c>
      <c r="T67" s="52" t="str">
        <f t="shared" si="26"/>
        <v>Southbound</v>
      </c>
      <c r="U67" s="126">
        <f>IF(AG67="EC",COUNTIFS(Variables!$M$2:$M$19,IF(T67="NorthBound","&gt;=","&lt;=")&amp;Y67,Variables!$M$2:$M$19,IF(T67="NorthBound","&lt;=","&gt;=")&amp;Z67),COUNTIFS(Variables!$P$2:$P$19,IF(T67="NorthBound","&gt;=","&lt;=")&amp;Y67,Variables!$P$2:$P$19,IF(T67="NorthBound","&lt;=","&gt;=")&amp;Z67))</f>
        <v>12</v>
      </c>
      <c r="V67" s="106" t="str">
        <f t="shared" si="27"/>
        <v>https://search-rtdc-monitor-bjffxe2xuh6vdkpspy63sjmuny.us-east-1.es.amazonaws.com/_plugin/kibana/#/discover/Steve-Slow-Train-Analysis-(2080s-and-2083s)?_g=(refreshInterval:(display:Off,section:0,value:0),time:(from:'2016-08-31 10:08:41-0600',mode:absolute,to:'2016-08-31 12:48:59-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4041%22')),sort:!(Time,asc))</v>
      </c>
      <c r="W67" s="54" t="str">
        <f t="shared" si="28"/>
        <v>N</v>
      </c>
      <c r="X67" s="120">
        <f t="shared" si="34"/>
        <v>1</v>
      </c>
      <c r="Y67" s="69">
        <f t="shared" si="29"/>
        <v>23.297699999999999</v>
      </c>
      <c r="Z67" s="69">
        <f t="shared" si="30"/>
        <v>1.38E-2</v>
      </c>
      <c r="AA67" s="69">
        <f t="shared" si="31"/>
        <v>23.283899999999999</v>
      </c>
      <c r="AB67" s="66" t="e">
        <f>VLOOKUP(A67,Enforcements!$C$7:$J$21,8,0)</f>
        <v>#N/A</v>
      </c>
      <c r="AC67" s="62" t="e">
        <f>VLOOKUP(A67,Enforcements!$C$7:$E$21,3,0)</f>
        <v>#N/A</v>
      </c>
      <c r="AD67" s="63" t="str">
        <f t="shared" si="32"/>
        <v>0154-31</v>
      </c>
      <c r="AE67" s="99" t="str">
        <f t="shared" si="10"/>
        <v>aws s3 cp s3://rtdc.mdm.uploadarchive/RTDC4041/2016-08-31/ "%USERPROFILE%\AppData\Local\Temp\OnboardLogs"\RTDC4041\2016-08-31 --recursive &amp; "%USERPROFILE%\Documents\GitHub\mrs-test-scripts\Headless Mode &amp; Sideloading\WalkAndUnGZ.bat" "%USERPROFILE%\AppData\Local\Temp\OnboardLogs"\RTDC4041\2016-08-31 &amp; aws s3 cp s3://rtdc.mdm.uploadarchive/RTDC4041/2016-09-01/ "%USERPROFILE%\AppData\Local\Temp\OnboardLogs"\RTDC4041\2016-09-01 --recursive &amp; "%USERPROFILE%\Documents\GitHub\mrs-test-scripts\Headless Mode &amp; Sideloading\WalkAndUnGZ.bat" "%USERPROFILE%\AppData\Local\Temp\OnboardLogs"\RTDC4041\2016-09-01</v>
      </c>
      <c r="AF67" s="96" t="str">
        <f t="shared" si="11"/>
        <v>"C:\Program Files (x86)\AstroGrep\AstroGrep.exe" /spath="%USERPROFILE%\AppData\Local\Temp\OnboardLogs" /stypes="*4041*20160831*" /stext=" 17:.+((SYSTEM_STATE.+slice.+state.+changed )|(ment ac)|(system.+state.+changed )|(\|lc)|(penalty)|(\[timeout)|(PRM\|1\|D)|(kpr)|(kdp))" /e /r /s</v>
      </c>
      <c r="AG67" s="1" t="str">
        <f t="shared" si="33"/>
        <v>EC</v>
      </c>
      <c r="AH67" s="100" t="str">
        <f t="shared" si="15"/>
        <v>"%USERPROFILE%\Documents\GitHub\eaglep3\Utilities\RefineRTDCRunTimes.py" --tripid 154-31 --locoid 4041 --swversion DE.1.0.7.0 --startMP 204:232977 --initTime 2016-08-31T11:08:41 --startdatetime 2016-08-31T11:13:14 --delay 1 --endMP 204:138 --enddatetime 2016-08-31T11:48:59 --enforcementcount 0 &gt;&gt;C:\Users\stu\Documents\GitHub\eaglep3-reporting\EC\2016-08-31-refined-times.txt</v>
      </c>
      <c r="AI67" s="149" t="str">
        <f t="shared" si="16"/>
        <v>echo {"issue":{"subject":"","project_id":79,"tracker_id":40,"status_id":1,"priority_id":2,"assigned_to_id":23,"start_date":"2016-08-31","description":"","custom_fields":[{"id":1,"name":"Subdivision","value":"EC"},{"id":4,"name":"Milepost","value":"23.2839"},{"id":17,"name":"Train ID","value":"154-31"},{"id":16,"name":"Locomotive ID","value":"4041"},{"id":130,"name":"Impact","value":""},{"id":150,"name":"Time of Event (Mountain Time)","value":"11:48:59"},{"id":151,"name":"Denver Issue ID","value":""},{"id":178,"name":"Operational Impact","value":"Yes"},{"id":179,"name":"Denver Segment Assigned","value":""}]}} | curl -X POST -H "Content-Type: application/json" -H "X-Redmine-API-Key: d6333d4a04012a730768444271f8ca06482dae87" https://secure.xorail.net/redmine/issues.json --data @-</v>
      </c>
      <c r="AJ67" s="55"/>
      <c r="AK67" s="55"/>
      <c r="AL67" s="55"/>
    </row>
    <row r="68" spans="1:38" s="1" customFormat="1" x14ac:dyDescent="0.25">
      <c r="A68" s="39" t="s">
        <v>450</v>
      </c>
      <c r="B68" s="7">
        <v>4029</v>
      </c>
      <c r="C68" s="24" t="s">
        <v>113</v>
      </c>
      <c r="D68" s="24" t="s">
        <v>451</v>
      </c>
      <c r="E68" s="15">
        <v>42613.433113425926</v>
      </c>
      <c r="F68" s="15">
        <v>42613.437731481485</v>
      </c>
      <c r="G68" s="7">
        <v>1</v>
      </c>
      <c r="H68" s="15" t="s">
        <v>452</v>
      </c>
      <c r="I68" s="15">
        <v>42613.463321759256</v>
      </c>
      <c r="J68" s="7">
        <v>0</v>
      </c>
      <c r="K68" s="132" t="str">
        <f t="shared" si="24"/>
        <v>4029/4030</v>
      </c>
      <c r="L68" s="24" t="str">
        <f>VLOOKUP(A68,'Trips&amp;Operators'!$C$1:$E$10000,3,FALSE)</f>
        <v>STARKS</v>
      </c>
      <c r="M68" s="6">
        <f t="shared" si="25"/>
        <v>2.5590277771698311E-2</v>
      </c>
      <c r="N68" s="7">
        <f t="shared" si="35"/>
        <v>36.849999991245568</v>
      </c>
      <c r="O68" s="7"/>
      <c r="P68" s="7"/>
      <c r="Q68" s="25"/>
      <c r="R68" s="25"/>
      <c r="S68" s="37">
        <f t="shared" si="36"/>
        <v>1</v>
      </c>
      <c r="T68" s="52" t="str">
        <f t="shared" si="26"/>
        <v>NorthBound</v>
      </c>
      <c r="U68" s="126">
        <f>IF(AG68="EC",COUNTIFS(Variables!$M$2:$M$19,IF(T68="NorthBound","&gt;=","&lt;=")&amp;Y68,Variables!$M$2:$M$19,IF(T68="NorthBound","&lt;=","&gt;=")&amp;Z68),COUNTIFS(Variables!$P$2:$P$19,IF(T68="NorthBound","&gt;=","&lt;=")&amp;Y68,Variables!$P$2:$P$19,IF(T68="NorthBound","&lt;=","&gt;=")&amp;Z68))</f>
        <v>12</v>
      </c>
      <c r="V68" s="106" t="str">
        <f t="shared" si="27"/>
        <v>https://search-rtdc-monitor-bjffxe2xuh6vdkpspy63sjmuny.us-east-1.es.amazonaws.com/_plugin/kibana/#/discover/Steve-Slow-Train-Analysis-(2080s-and-2083s)?_g=(refreshInterval:(display:Off,section:0,value:0),time:(from:'2016-08-31 09:23:41-0600',mode:absolute,to:'2016-08-31 12:07:11-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4029%22')),sort:!(Time,asc))</v>
      </c>
      <c r="W68" s="54" t="str">
        <f t="shared" si="28"/>
        <v>N</v>
      </c>
      <c r="X68" s="120">
        <f t="shared" si="34"/>
        <v>1</v>
      </c>
      <c r="Y68" s="69">
        <f t="shared" si="29"/>
        <v>4.4400000000000002E-2</v>
      </c>
      <c r="Z68" s="69">
        <f t="shared" si="30"/>
        <v>23.327200000000001</v>
      </c>
      <c r="AA68" s="69">
        <f t="shared" si="31"/>
        <v>23.282800000000002</v>
      </c>
      <c r="AB68" s="66" t="e">
        <f>VLOOKUP(A68,Enforcements!$C$7:$J$21,8,0)</f>
        <v>#N/A</v>
      </c>
      <c r="AC68" s="62" t="e">
        <f>VLOOKUP(A68,Enforcements!$C$7:$E$21,3,0)</f>
        <v>#N/A</v>
      </c>
      <c r="AD68" s="63" t="str">
        <f t="shared" si="32"/>
        <v>0155-31</v>
      </c>
      <c r="AE68" s="99" t="str">
        <f t="shared" si="10"/>
        <v>aws s3 cp s3://rtdc.mdm.uploadarchive/RTDC4029/2016-08-31/ "%USERPROFILE%\AppData\Local\Temp\OnboardLogs"\RTDC4029\2016-08-31 --recursive &amp; "%USERPROFILE%\Documents\GitHub\mrs-test-scripts\Headless Mode &amp; Sideloading\WalkAndUnGZ.bat" "%USERPROFILE%\AppData\Local\Temp\OnboardLogs"\RTDC4029\2016-08-31 &amp; aws s3 cp s3://rtdc.mdm.uploadarchive/RTDC4029/2016-09-01/ "%USERPROFILE%\AppData\Local\Temp\OnboardLogs"\RTDC4029\2016-09-01 --recursive &amp; "%USERPROFILE%\Documents\GitHub\mrs-test-scripts\Headless Mode &amp; Sideloading\WalkAndUnGZ.bat" "%USERPROFILE%\AppData\Local\Temp\OnboardLogs"\RTDC4029\2016-09-01</v>
      </c>
      <c r="AF68" s="96" t="str">
        <f t="shared" si="11"/>
        <v>"C:\Program Files (x86)\AstroGrep\AstroGrep.exe" /spath="%USERPROFILE%\AppData\Local\Temp\OnboardLogs" /stypes="*4029*20160831*" /stext=" 17:.+((SYSTEM_STATE.+slice.+state.+changed )|(ment ac)|(system.+state.+changed )|(\|lc)|(penalty)|(\[timeout)|(PRM\|1\|D)|(kpr)|(kdp))" /e /r /s</v>
      </c>
      <c r="AG68" s="1" t="str">
        <f t="shared" si="33"/>
        <v>EC</v>
      </c>
      <c r="AH68" s="100" t="str">
        <f t="shared" si="15"/>
        <v>"%USERPROFILE%\Documents\GitHub\eaglep3\Utilities\RefineRTDCRunTimes.py" --tripid 155-31 --locoid 4029 --swversion DE.1.0.7.0 --startMP 204:444 --initTime 2016-08-31T10:23:41 --startdatetime 2016-08-31T10:30:20 --delay 1 --endMP 204:233272 --enddatetime 2016-08-31T11:07:11 --enforcementcount 0 &gt;&gt;C:\Users\stu\Documents\GitHub\eaglep3-reporting\EC\2016-08-31-refined-times.txt</v>
      </c>
      <c r="AI68" s="149" t="str">
        <f t="shared" si="16"/>
        <v>echo {"issue":{"subject":"","project_id":79,"tracker_id":40,"status_id":1,"priority_id":2,"assigned_to_id":23,"start_date":"2016-08-31","description":"","custom_fields":[{"id":1,"name":"Subdivision","value":"EC"},{"id":4,"name":"Milepost","value":"23.2828"},{"id":17,"name":"Train ID","value":"155-31"},{"id":16,"name":"Locomotive ID","value":"4029"},{"id":130,"name":"Impact","value":""},{"id":150,"name":"Time of Event (Mountain Time)","value":"11:07:11"},{"id":151,"name":"Denver Issue ID","value":""},{"id":178,"name":"Operational Impact","value":"Yes"},{"id":179,"name":"Denver Segment Assigned","value":""}]}} | curl -X POST -H "Content-Type: application/json" -H "X-Redmine-API-Key: d6333d4a04012a730768444271f8ca06482dae87" https://secure.xorail.net/redmine/issues.json --data @-</v>
      </c>
      <c r="AJ68" s="55"/>
      <c r="AK68" s="55"/>
      <c r="AL68" s="55"/>
    </row>
    <row r="69" spans="1:38" s="1" customFormat="1" x14ac:dyDescent="0.25">
      <c r="A69" s="39" t="s">
        <v>453</v>
      </c>
      <c r="B69" s="7">
        <v>4030</v>
      </c>
      <c r="C69" s="24" t="s">
        <v>113</v>
      </c>
      <c r="D69" s="24" t="s">
        <v>454</v>
      </c>
      <c r="E69" s="15">
        <v>42613.472141203703</v>
      </c>
      <c r="F69" s="15">
        <v>42613.476527777777</v>
      </c>
      <c r="G69" s="7">
        <v>1</v>
      </c>
      <c r="H69" s="15" t="s">
        <v>455</v>
      </c>
      <c r="I69" s="15">
        <v>42613.509236111109</v>
      </c>
      <c r="J69" s="7">
        <v>0</v>
      </c>
      <c r="K69" s="132" t="str">
        <f t="shared" si="24"/>
        <v>4029/4030</v>
      </c>
      <c r="L69" s="24" t="str">
        <f>VLOOKUP(A69,'Trips&amp;Operators'!$C$1:$E$10000,3,FALSE)</f>
        <v>STARKS</v>
      </c>
      <c r="M69" s="6">
        <f t="shared" si="25"/>
        <v>3.2708333332266193E-2</v>
      </c>
      <c r="N69" s="7">
        <f t="shared" si="35"/>
        <v>47.099999998463318</v>
      </c>
      <c r="O69" s="7"/>
      <c r="P69" s="7"/>
      <c r="Q69" s="25"/>
      <c r="R69" s="25"/>
      <c r="S69" s="37">
        <f t="shared" si="36"/>
        <v>1</v>
      </c>
      <c r="T69" s="52" t="str">
        <f t="shared" si="26"/>
        <v>Southbound</v>
      </c>
      <c r="U69" s="126">
        <f>IF(AG69="EC",COUNTIFS(Variables!$M$2:$M$19,IF(T69="NorthBound","&gt;=","&lt;=")&amp;Y69,Variables!$M$2:$M$19,IF(T69="NorthBound","&lt;=","&gt;=")&amp;Z69),COUNTIFS(Variables!$P$2:$P$19,IF(T69="NorthBound","&gt;=","&lt;=")&amp;Y69,Variables!$P$2:$P$19,IF(T69="NorthBound","&lt;=","&gt;=")&amp;Z69))</f>
        <v>12</v>
      </c>
      <c r="V69" s="106" t="str">
        <f t="shared" si="27"/>
        <v>https://search-rtdc-monitor-bjffxe2xuh6vdkpspy63sjmuny.us-east-1.es.amazonaws.com/_plugin/kibana/#/discover/Steve-Slow-Train-Analysis-(2080s-and-2083s)?_g=(refreshInterval:(display:Off,section:0,value:0),time:(from:'2016-08-31 10:19:53-0600',mode:absolute,to:'2016-08-31 13:13:18-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4030%22')),sort:!(Time,asc))</v>
      </c>
      <c r="W69" s="54" t="str">
        <f t="shared" si="28"/>
        <v>N</v>
      </c>
      <c r="X69" s="120">
        <f t="shared" si="34"/>
        <v>1</v>
      </c>
      <c r="Y69" s="69">
        <f t="shared" si="29"/>
        <v>23.297899999999998</v>
      </c>
      <c r="Z69" s="69">
        <f t="shared" si="30"/>
        <v>1.6500000000000001E-2</v>
      </c>
      <c r="AA69" s="69">
        <f t="shared" si="31"/>
        <v>23.281399999999998</v>
      </c>
      <c r="AB69" s="66" t="e">
        <f>VLOOKUP(A69,Enforcements!$C$7:$J$21,8,0)</f>
        <v>#N/A</v>
      </c>
      <c r="AC69" s="62" t="e">
        <f>VLOOKUP(A69,Enforcements!$C$7:$E$21,3,0)</f>
        <v>#N/A</v>
      </c>
      <c r="AD69" s="63" t="str">
        <f t="shared" si="32"/>
        <v>0156-31</v>
      </c>
      <c r="AE69" s="99" t="str">
        <f t="shared" si="10"/>
        <v>aws s3 cp s3://rtdc.mdm.uploadarchive/RTDC4030/2016-08-31/ "%USERPROFILE%\AppData\Local\Temp\OnboardLogs"\RTDC4030\2016-08-31 --recursive &amp; "%USERPROFILE%\Documents\GitHub\mrs-test-scripts\Headless Mode &amp; Sideloading\WalkAndUnGZ.bat" "%USERPROFILE%\AppData\Local\Temp\OnboardLogs"\RTDC4030\2016-08-31 &amp; aws s3 cp s3://rtdc.mdm.uploadarchive/RTDC4030/2016-09-01/ "%USERPROFILE%\AppData\Local\Temp\OnboardLogs"\RTDC4030\2016-09-01 --recursive &amp; "%USERPROFILE%\Documents\GitHub\mrs-test-scripts\Headless Mode &amp; Sideloading\WalkAndUnGZ.bat" "%USERPROFILE%\AppData\Local\Temp\OnboardLogs"\RTDC4030\2016-09-01</v>
      </c>
      <c r="AF69" s="96" t="str">
        <f t="shared" si="11"/>
        <v>"C:\Program Files (x86)\AstroGrep\AstroGrep.exe" /spath="%USERPROFILE%\AppData\Local\Temp\OnboardLogs" /stypes="*4030*20160831*" /stext=" 18:.+((SYSTEM_STATE.+slice.+state.+changed )|(ment ac)|(system.+state.+changed )|(\|lc)|(penalty)|(\[timeout)|(PRM\|1\|D)|(kpr)|(kdp))" /e /r /s</v>
      </c>
      <c r="AG69" s="1" t="str">
        <f t="shared" si="33"/>
        <v>EC</v>
      </c>
      <c r="AH69" s="100" t="str">
        <f t="shared" si="15"/>
        <v>"%USERPROFILE%\Documents\GitHub\eaglep3\Utilities\RefineRTDCRunTimes.py" --tripid 156-31 --locoid 4030 --swversion DE.1.0.7.0 --startMP 204:232979 --initTime 2016-08-31T11:19:53 --startdatetime 2016-08-31T11:26:12 --delay 1 --endMP 204:165 --enddatetime 2016-08-31T12:13:18 --enforcementcount 0 &gt;&gt;C:\Users\stu\Documents\GitHub\eaglep3-reporting\EC\2016-08-31-refined-times.txt</v>
      </c>
      <c r="AI69" s="149" t="str">
        <f t="shared" si="16"/>
        <v>echo {"issue":{"subject":"","project_id":79,"tracker_id":40,"status_id":1,"priority_id":2,"assigned_to_id":23,"start_date":"2016-08-31","description":"","custom_fields":[{"id":1,"name":"Subdivision","value":"EC"},{"id":4,"name":"Milepost","value":"23.2814"},{"id":17,"name":"Train ID","value":"156-31"},{"id":16,"name":"Locomotive ID","value":"4030"},{"id":130,"name":"Impact","value":""},{"id":150,"name":"Time of Event (Mountain Time)","value":"12:13:18"},{"id":151,"name":"Denver Issue ID","value":""},{"id":178,"name":"Operational Impact","value":"Yes"},{"id":179,"name":"Denver Segment Assigned","value":""}]}} | curl -X POST -H "Content-Type: application/json" -H "X-Redmine-API-Key: d6333d4a04012a730768444271f8ca06482dae87" https://secure.xorail.net/redmine/issues.json --data @-</v>
      </c>
      <c r="AJ69" s="55"/>
      <c r="AK69" s="55"/>
      <c r="AL69" s="55"/>
    </row>
    <row r="70" spans="1:38" s="1" customFormat="1" x14ac:dyDescent="0.25">
      <c r="A70" s="39" t="s">
        <v>456</v>
      </c>
      <c r="B70" s="7">
        <v>4044</v>
      </c>
      <c r="C70" s="24" t="s">
        <v>113</v>
      </c>
      <c r="D70" s="24" t="s">
        <v>150</v>
      </c>
      <c r="E70" s="15">
        <v>42613.442916666667</v>
      </c>
      <c r="F70" s="15">
        <v>42613.448067129626</v>
      </c>
      <c r="G70" s="7">
        <v>1</v>
      </c>
      <c r="H70" s="15" t="s">
        <v>457</v>
      </c>
      <c r="I70" s="15">
        <v>42613.473055555558</v>
      </c>
      <c r="J70" s="7">
        <v>0</v>
      </c>
      <c r="K70" s="132" t="str">
        <f t="shared" si="24"/>
        <v>4043/4044</v>
      </c>
      <c r="L70" s="24" t="str">
        <f>VLOOKUP(A70,'Trips&amp;Operators'!$C$1:$E$10000,3,FALSE)</f>
        <v>SMITH</v>
      </c>
      <c r="M70" s="6">
        <f t="shared" si="25"/>
        <v>2.4988425931951497E-2</v>
      </c>
      <c r="N70" s="7">
        <f t="shared" si="35"/>
        <v>35.983333342010155</v>
      </c>
      <c r="O70" s="7"/>
      <c r="P70" s="7"/>
      <c r="Q70" s="25"/>
      <c r="R70" s="25"/>
      <c r="S70" s="37">
        <f t="shared" si="36"/>
        <v>1</v>
      </c>
      <c r="T70" s="52" t="str">
        <f t="shared" si="26"/>
        <v>NorthBound</v>
      </c>
      <c r="U70" s="126">
        <f>IF(AG70="EC",COUNTIFS(Variables!$M$2:$M$19,IF(T70="NorthBound","&gt;=","&lt;=")&amp;Y70,Variables!$M$2:$M$19,IF(T70="NorthBound","&lt;=","&gt;=")&amp;Z70),COUNTIFS(Variables!$P$2:$P$19,IF(T70="NorthBound","&gt;=","&lt;=")&amp;Y70,Variables!$P$2:$P$19,IF(T70="NorthBound","&lt;=","&gt;=")&amp;Z70))</f>
        <v>12</v>
      </c>
      <c r="V70" s="106" t="str">
        <f t="shared" si="27"/>
        <v>https://search-rtdc-monitor-bjffxe2xuh6vdkpspy63sjmuny.us-east-1.es.amazonaws.com/_plugin/kibana/#/discover/Steve-Slow-Train-Analysis-(2080s-and-2083s)?_g=(refreshInterval:(display:Off,section:0,value:0),time:(from:'2016-08-31 09:37:48-0600',mode:absolute,to:'2016-08-31 12:21:12-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4044%22')),sort:!(Time,asc))</v>
      </c>
      <c r="W70" s="54" t="str">
        <f t="shared" si="28"/>
        <v>N</v>
      </c>
      <c r="X70" s="120">
        <f t="shared" si="34"/>
        <v>1</v>
      </c>
      <c r="Y70" s="69">
        <f t="shared" si="29"/>
        <v>4.5100000000000001E-2</v>
      </c>
      <c r="Z70" s="69">
        <f t="shared" si="30"/>
        <v>23.340800000000002</v>
      </c>
      <c r="AA70" s="69">
        <f t="shared" si="31"/>
        <v>23.2957</v>
      </c>
      <c r="AB70" s="66" t="e">
        <f>VLOOKUP(A70,Enforcements!$C$7:$J$21,8,0)</f>
        <v>#N/A</v>
      </c>
      <c r="AC70" s="62" t="e">
        <f>VLOOKUP(A70,Enforcements!$C$7:$E$21,3,0)</f>
        <v>#N/A</v>
      </c>
      <c r="AD70" s="63" t="str">
        <f t="shared" si="32"/>
        <v>0157-31</v>
      </c>
      <c r="AE70" s="99" t="str">
        <f t="shared" si="10"/>
        <v>aws s3 cp s3://rtdc.mdm.uploadarchive/RTDC4044/2016-08-31/ "%USERPROFILE%\AppData\Local\Temp\OnboardLogs"\RTDC4044\2016-08-31 --recursive &amp; "%USERPROFILE%\Documents\GitHub\mrs-test-scripts\Headless Mode &amp; Sideloading\WalkAndUnGZ.bat" "%USERPROFILE%\AppData\Local\Temp\OnboardLogs"\RTDC4044\2016-08-31 &amp; aws s3 cp s3://rtdc.mdm.uploadarchive/RTDC4044/2016-09-01/ "%USERPROFILE%\AppData\Local\Temp\OnboardLogs"\RTDC4044\2016-09-01 --recursive &amp; "%USERPROFILE%\Documents\GitHub\mrs-test-scripts\Headless Mode &amp; Sideloading\WalkAndUnGZ.bat" "%USERPROFILE%\AppData\Local\Temp\OnboardLogs"\RTDC4044\2016-09-01</v>
      </c>
      <c r="AF70" s="96" t="str">
        <f t="shared" si="11"/>
        <v>"C:\Program Files (x86)\AstroGrep\AstroGrep.exe" /spath="%USERPROFILE%\AppData\Local\Temp\OnboardLogs" /stypes="*4044*20160831*" /stext=" 17:.+((SYSTEM_STATE.+slice.+state.+changed )|(ment ac)|(system.+state.+changed )|(\|lc)|(penalty)|(\[timeout)|(PRM\|1\|D)|(kpr)|(kdp))" /e /r /s</v>
      </c>
      <c r="AG70" s="1" t="str">
        <f t="shared" si="33"/>
        <v>EC</v>
      </c>
      <c r="AH70" s="100" t="str">
        <f t="shared" si="15"/>
        <v>"%USERPROFILE%\Documents\GitHub\eaglep3\Utilities\RefineRTDCRunTimes.py" --tripid 157-31 --locoid 4044 --swversion DE.1.0.7.0 --startMP 204:451 --initTime 2016-08-31T10:37:48 --startdatetime 2016-08-31T10:45:13 --delay 1 --endMP 204:233408 --enddatetime 2016-08-31T11:21:12 --enforcementcount 0 &gt;&gt;C:\Users\stu\Documents\GitHub\eaglep3-reporting\EC\2016-08-31-refined-times.txt</v>
      </c>
      <c r="AI70" s="149" t="str">
        <f t="shared" si="16"/>
        <v>echo {"issue":{"subject":"","project_id":79,"tracker_id":40,"status_id":1,"priority_id":2,"assigned_to_id":23,"start_date":"2016-08-31","description":"","custom_fields":[{"id":1,"name":"Subdivision","value":"EC"},{"id":4,"name":"Milepost","value":"23.2957"},{"id":17,"name":"Train ID","value":"157-31"},{"id":16,"name":"Locomotive ID","value":"4044"},{"id":130,"name":"Impact","value":""},{"id":150,"name":"Time of Event (Mountain Time)","value":"11:21:12"},{"id":151,"name":"Denver Issue ID","value":""},{"id":178,"name":"Operational Impact","value":"Yes"},{"id":179,"name":"Denver Segment Assigned","value":""}]}} | curl -X POST -H "Content-Type: application/json" -H "X-Redmine-API-Key: d6333d4a04012a730768444271f8ca06482dae87" https://secure.xorail.net/redmine/issues.json --data @-</v>
      </c>
      <c r="AJ70" s="55"/>
      <c r="AK70" s="55"/>
      <c r="AL70" s="55"/>
    </row>
    <row r="71" spans="1:38" s="1" customFormat="1" x14ac:dyDescent="0.25">
      <c r="A71" s="39" t="s">
        <v>458</v>
      </c>
      <c r="B71" s="7">
        <v>4043</v>
      </c>
      <c r="C71" s="24" t="s">
        <v>113</v>
      </c>
      <c r="D71" s="24" t="s">
        <v>459</v>
      </c>
      <c r="E71" s="15">
        <v>42613.480023148149</v>
      </c>
      <c r="F71" s="15">
        <v>42613.486967592595</v>
      </c>
      <c r="G71" s="7">
        <v>1</v>
      </c>
      <c r="H71" s="15" t="s">
        <v>152</v>
      </c>
      <c r="I71" s="15">
        <v>42613.519675925927</v>
      </c>
      <c r="J71" s="7">
        <v>0</v>
      </c>
      <c r="K71" s="132" t="str">
        <f t="shared" si="24"/>
        <v>4043/4044</v>
      </c>
      <c r="L71" s="24" t="str">
        <f>VLOOKUP(A71,'Trips&amp;Operators'!$C$1:$E$10000,3,FALSE)</f>
        <v>SMITH</v>
      </c>
      <c r="M71" s="6">
        <f t="shared" si="25"/>
        <v>3.2708333332266193E-2</v>
      </c>
      <c r="N71" s="7">
        <f t="shared" si="35"/>
        <v>47.099999998463318</v>
      </c>
      <c r="O71" s="7"/>
      <c r="P71" s="7"/>
      <c r="Q71" s="25"/>
      <c r="R71" s="25"/>
      <c r="S71" s="37">
        <f t="shared" si="36"/>
        <v>1</v>
      </c>
      <c r="T71" s="52" t="str">
        <f t="shared" si="26"/>
        <v>Southbound</v>
      </c>
      <c r="U71" s="126">
        <f>IF(AG71="EC",COUNTIFS(Variables!$M$2:$M$19,IF(T71="NorthBound","&gt;=","&lt;=")&amp;Y71,Variables!$M$2:$M$19,IF(T71="NorthBound","&lt;=","&gt;=")&amp;Z71),COUNTIFS(Variables!$P$2:$P$19,IF(T71="NorthBound","&gt;=","&lt;=")&amp;Y71,Variables!$P$2:$P$19,IF(T71="NorthBound","&lt;=","&gt;=")&amp;Z71))</f>
        <v>12</v>
      </c>
      <c r="V71" s="106" t="str">
        <f t="shared" si="27"/>
        <v>https://search-rtdc-monitor-bjffxe2xuh6vdkpspy63sjmuny.us-east-1.es.amazonaws.com/_plugin/kibana/#/discover/Steve-Slow-Train-Analysis-(2080s-and-2083s)?_g=(refreshInterval:(display:Off,section:0,value:0),time:(from:'2016-08-31 10:31:14-0600',mode:absolute,to:'2016-08-31 13:28:20-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4043%22')),sort:!(Time,asc))</v>
      </c>
      <c r="W71" s="54" t="str">
        <f t="shared" si="28"/>
        <v>N</v>
      </c>
      <c r="X71" s="120">
        <f t="shared" si="34"/>
        <v>1</v>
      </c>
      <c r="Y71" s="69">
        <f t="shared" si="29"/>
        <v>23.308</v>
      </c>
      <c r="Z71" s="69">
        <f t="shared" si="30"/>
        <v>1.54E-2</v>
      </c>
      <c r="AA71" s="69">
        <f t="shared" si="31"/>
        <v>23.2926</v>
      </c>
      <c r="AB71" s="66">
        <f>VLOOKUP(A71,Enforcements!$C$7:$J$21,8,0)</f>
        <v>109135</v>
      </c>
      <c r="AC71" s="62" t="str">
        <f>VLOOKUP(A71,Enforcements!$C$7:$E$21,3,0)</f>
        <v>GRADE CROSSING</v>
      </c>
      <c r="AD71" s="63" t="str">
        <f t="shared" si="32"/>
        <v>0158-31</v>
      </c>
      <c r="AE71" s="99" t="str">
        <f t="shared" si="10"/>
        <v>aws s3 cp s3://rtdc.mdm.uploadarchive/RTDC4043/2016-08-31/ "%USERPROFILE%\AppData\Local\Temp\OnboardLogs"\RTDC4043\2016-08-31 --recursive &amp; "%USERPROFILE%\Documents\GitHub\mrs-test-scripts\Headless Mode &amp; Sideloading\WalkAndUnGZ.bat" "%USERPROFILE%\AppData\Local\Temp\OnboardLogs"\RTDC4043\2016-08-31 &amp; aws s3 cp s3://rtdc.mdm.uploadarchive/RTDC4043/2016-09-01/ "%USERPROFILE%\AppData\Local\Temp\OnboardLogs"\RTDC4043\2016-09-01 --recursive &amp; "%USERPROFILE%\Documents\GitHub\mrs-test-scripts\Headless Mode &amp; Sideloading\WalkAndUnGZ.bat" "%USERPROFILE%\AppData\Local\Temp\OnboardLogs"\RTDC4043\2016-09-01</v>
      </c>
      <c r="AF71" s="96" t="str">
        <f t="shared" si="11"/>
        <v>"C:\Program Files (x86)\AstroGrep\AstroGrep.exe" /spath="%USERPROFILE%\AppData\Local\Temp\OnboardLogs" /stypes="*4043*20160831*" /stext=" 18:.+((SYSTEM_STATE.+slice.+state.+changed )|(ment ac)|(system.+state.+changed )|(\|lc)|(penalty)|(\[timeout)|(PRM\|1\|D)|(kpr)|(kdp))" /e /r /s</v>
      </c>
      <c r="AG71" s="1" t="str">
        <f t="shared" si="33"/>
        <v>EC</v>
      </c>
      <c r="AH71" s="100" t="str">
        <f t="shared" si="15"/>
        <v>"%USERPROFILE%\Documents\GitHub\eaglep3\Utilities\RefineRTDCRunTimes.py" --tripid 158-31 --locoid 4043 --swversion DE.1.0.7.0 --startMP 204:233080 --initTime 2016-08-31T11:31:14 --startdatetime 2016-08-31T11:41:14 --delay 1 --endMP 204:154 --enddatetime 2016-08-31T12:28:20 --enforcementcount 0 &gt;&gt;C:\Users\stu\Documents\GitHub\eaglep3-reporting\EC\2016-08-31-refined-times.txt</v>
      </c>
      <c r="AI71" s="149" t="str">
        <f t="shared" si="16"/>
        <v>echo {"issue":{"subject":"","project_id":79,"tracker_id":40,"status_id":1,"priority_id":2,"assigned_to_id":23,"start_date":"2016-08-31","description":"","custom_fields":[{"id":1,"name":"Subdivision","value":"EC"},{"id":4,"name":"Milepost","value":"23.2926"},{"id":17,"name":"Train ID","value":"158-31"},{"id":16,"name":"Locomotive ID","value":"4043"},{"id":130,"name":"Impact","value":""},{"id":150,"name":"Time of Event (Mountain Time)","value":"12:28:20"},{"id":151,"name":"Denver Issue ID","value":""},{"id":178,"name":"Operational Impact","value":"Yes"},{"id":179,"name":"Denver Segment Assigned","value":""}]}} | curl -X POST -H "Content-Type: application/json" -H "X-Redmine-API-Key: d6333d4a04012a730768444271f8ca06482dae87" https://secure.xorail.net/redmine/issues.json --data @-</v>
      </c>
      <c r="AJ71" s="55"/>
      <c r="AK71" s="55"/>
      <c r="AL71" s="55"/>
    </row>
    <row r="72" spans="1:38" s="1" customFormat="1" x14ac:dyDescent="0.25">
      <c r="A72" s="39" t="s">
        <v>460</v>
      </c>
      <c r="B72" s="7">
        <v>4002</v>
      </c>
      <c r="C72" s="24" t="s">
        <v>113</v>
      </c>
      <c r="D72" s="24" t="s">
        <v>336</v>
      </c>
      <c r="E72" s="15">
        <v>42613.455254629633</v>
      </c>
      <c r="F72" s="15">
        <v>42613.458796296298</v>
      </c>
      <c r="G72" s="7">
        <v>1</v>
      </c>
      <c r="H72" s="15" t="s">
        <v>335</v>
      </c>
      <c r="I72" s="15">
        <v>42613.485231481478</v>
      </c>
      <c r="J72" s="7">
        <v>0</v>
      </c>
      <c r="K72" s="132" t="str">
        <f t="shared" si="24"/>
        <v>4001/4002</v>
      </c>
      <c r="L72" s="24" t="str">
        <f>VLOOKUP(A72,'Trips&amp;Operators'!$C$1:$E$10000,3,FALSE)</f>
        <v>ARVIDSON</v>
      </c>
      <c r="M72" s="6">
        <f t="shared" si="25"/>
        <v>2.643518518016208E-2</v>
      </c>
      <c r="N72" s="7">
        <f t="shared" si="35"/>
        <v>38.066666659433395</v>
      </c>
      <c r="O72" s="7"/>
      <c r="P72" s="7"/>
      <c r="Q72" s="25"/>
      <c r="R72" s="25"/>
      <c r="S72" s="37">
        <f t="shared" si="36"/>
        <v>1</v>
      </c>
      <c r="T72" s="52" t="str">
        <f t="shared" si="26"/>
        <v>NorthBound</v>
      </c>
      <c r="U72" s="126">
        <f>IF(AG72="EC",COUNTIFS(Variables!$M$2:$M$19,IF(T72="NorthBound","&gt;=","&lt;=")&amp;Y72,Variables!$M$2:$M$19,IF(T72="NorthBound","&lt;=","&gt;=")&amp;Z72),COUNTIFS(Variables!$P$2:$P$19,IF(T72="NorthBound","&gt;=","&lt;=")&amp;Y72,Variables!$P$2:$P$19,IF(T72="NorthBound","&lt;=","&gt;=")&amp;Z72))</f>
        <v>12</v>
      </c>
      <c r="V72" s="106" t="str">
        <f t="shared" si="27"/>
        <v>https://search-rtdc-monitor-bjffxe2xuh6vdkpspy63sjmuny.us-east-1.es.amazonaws.com/_plugin/kibana/#/discover/Steve-Slow-Train-Analysis-(2080s-and-2083s)?_g=(refreshInterval:(display:Off,section:0,value:0),time:(from:'2016-08-31 09:55:34-0600',mode:absolute,to:'2016-08-31 12:38:44-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4002%22')),sort:!(Time,asc))</v>
      </c>
      <c r="W72" s="54" t="str">
        <f t="shared" si="28"/>
        <v>N</v>
      </c>
      <c r="X72" s="120">
        <f t="shared" si="34"/>
        <v>1</v>
      </c>
      <c r="Y72" s="69">
        <f t="shared" si="29"/>
        <v>4.7800000000000002E-2</v>
      </c>
      <c r="Z72" s="69">
        <f t="shared" si="30"/>
        <v>23.331</v>
      </c>
      <c r="AA72" s="69">
        <f t="shared" si="31"/>
        <v>23.283200000000001</v>
      </c>
      <c r="AB72" s="66" t="e">
        <f>VLOOKUP(A72,Enforcements!$C$7:$J$21,8,0)</f>
        <v>#N/A</v>
      </c>
      <c r="AC72" s="62" t="e">
        <f>VLOOKUP(A72,Enforcements!$C$7:$E$21,3,0)</f>
        <v>#N/A</v>
      </c>
      <c r="AD72" s="63" t="str">
        <f t="shared" si="32"/>
        <v>0159-31</v>
      </c>
      <c r="AE72" s="99" t="str">
        <f t="shared" si="10"/>
        <v>aws s3 cp s3://rtdc.mdm.uploadarchive/RTDC4002/2016-08-31/ "%USERPROFILE%\AppData\Local\Temp\OnboardLogs"\RTDC4002\2016-08-31 --recursive &amp; "%USERPROFILE%\Documents\GitHub\mrs-test-scripts\Headless Mode &amp; Sideloading\WalkAndUnGZ.bat" "%USERPROFILE%\AppData\Local\Temp\OnboardLogs"\RTDC4002\2016-08-31 &amp; aws s3 cp s3://rtdc.mdm.uploadarchive/RTDC4002/2016-09-01/ "%USERPROFILE%\AppData\Local\Temp\OnboardLogs"\RTDC4002\2016-09-01 --recursive &amp; "%USERPROFILE%\Documents\GitHub\mrs-test-scripts\Headless Mode &amp; Sideloading\WalkAndUnGZ.bat" "%USERPROFILE%\AppData\Local\Temp\OnboardLogs"\RTDC4002\2016-09-01</v>
      </c>
      <c r="AF72" s="96" t="str">
        <f t="shared" si="11"/>
        <v>"C:\Program Files (x86)\AstroGrep\AstroGrep.exe" /spath="%USERPROFILE%\AppData\Local\Temp\OnboardLogs" /stypes="*4002*20160831*" /stext=" 17:.+((SYSTEM_STATE.+slice.+state.+changed )|(ment ac)|(system.+state.+changed )|(\|lc)|(penalty)|(\[timeout)|(PRM\|1\|D)|(kpr)|(kdp))" /e /r /s</v>
      </c>
      <c r="AG72" s="1" t="str">
        <f t="shared" si="33"/>
        <v>EC</v>
      </c>
      <c r="AH72" s="100" t="str">
        <f t="shared" si="15"/>
        <v>"%USERPROFILE%\Documents\GitHub\eaglep3\Utilities\RefineRTDCRunTimes.py" --tripid 159-31 --locoid 4002 --swversion DE.1.0.7.0 --startMP 204:478 --initTime 2016-08-31T10:55:34 --startdatetime 2016-08-31T11:00:40 --delay 1 --endMP 204:233310 --enddatetime 2016-08-31T11:38:44 --enforcementcount 0 &gt;&gt;C:\Users\stu\Documents\GitHub\eaglep3-reporting\EC\2016-08-31-refined-times.txt</v>
      </c>
      <c r="AI72" s="149" t="str">
        <f t="shared" si="16"/>
        <v>echo {"issue":{"subject":"","project_id":79,"tracker_id":40,"status_id":1,"priority_id":2,"assigned_to_id":23,"start_date":"2016-08-31","description":"","custom_fields":[{"id":1,"name":"Subdivision","value":"EC"},{"id":4,"name":"Milepost","value":"23.2832"},{"id":17,"name":"Train ID","value":"159-31"},{"id":16,"name":"Locomotive ID","value":"4002"},{"id":130,"name":"Impact","value":""},{"id":150,"name":"Time of Event (Mountain Time)","value":"11:38:44"},{"id":151,"name":"Denver Issue ID","value":""},{"id":178,"name":"Operational Impact","value":"Yes"},{"id":179,"name":"Denver Segment Assigned","value":""}]}} | curl -X POST -H "Content-Type: application/json" -H "X-Redmine-API-Key: d6333d4a04012a730768444271f8ca06482dae87" https://secure.xorail.net/redmine/issues.json --data @-</v>
      </c>
      <c r="AJ72" s="55"/>
      <c r="AK72" s="55"/>
      <c r="AL72" s="55"/>
    </row>
    <row r="73" spans="1:38" s="1" customFormat="1" x14ac:dyDescent="0.25">
      <c r="A73" s="39" t="s">
        <v>461</v>
      </c>
      <c r="B73" s="7">
        <v>4001</v>
      </c>
      <c r="C73" s="24" t="s">
        <v>113</v>
      </c>
      <c r="D73" s="24" t="s">
        <v>462</v>
      </c>
      <c r="E73" s="15">
        <v>42613.48945601852</v>
      </c>
      <c r="F73" s="15">
        <v>42613.497395833336</v>
      </c>
      <c r="G73" s="7">
        <v>1</v>
      </c>
      <c r="H73" s="15" t="s">
        <v>174</v>
      </c>
      <c r="I73" s="15">
        <v>42613.529444444444</v>
      </c>
      <c r="J73" s="7">
        <v>0</v>
      </c>
      <c r="K73" s="132" t="str">
        <f t="shared" si="24"/>
        <v>4001/4002</v>
      </c>
      <c r="L73" s="24" t="str">
        <f>VLOOKUP(A73,'Trips&amp;Operators'!$C$1:$E$10000,3,FALSE)</f>
        <v>ROBINSON</v>
      </c>
      <c r="M73" s="6">
        <f t="shared" si="25"/>
        <v>3.2048611108621117E-2</v>
      </c>
      <c r="N73" s="7">
        <f t="shared" si="35"/>
        <v>46.149999996414408</v>
      </c>
      <c r="O73" s="7"/>
      <c r="P73" s="7"/>
      <c r="Q73" s="25"/>
      <c r="R73" s="25"/>
      <c r="S73" s="37">
        <f t="shared" si="36"/>
        <v>1</v>
      </c>
      <c r="T73" s="52" t="str">
        <f t="shared" si="26"/>
        <v>Southbound</v>
      </c>
      <c r="U73" s="126">
        <f>IF(AG73="EC",COUNTIFS(Variables!$M$2:$M$19,IF(T73="NorthBound","&gt;=","&lt;=")&amp;Y73,Variables!$M$2:$M$19,IF(T73="NorthBound","&lt;=","&gt;=")&amp;Z73),COUNTIFS(Variables!$P$2:$P$19,IF(T73="NorthBound","&gt;=","&lt;=")&amp;Y73,Variables!$P$2:$P$19,IF(T73="NorthBound","&lt;=","&gt;=")&amp;Z73))</f>
        <v>12</v>
      </c>
      <c r="V73" s="106" t="str">
        <f t="shared" si="27"/>
        <v>https://search-rtdc-monitor-bjffxe2xuh6vdkpspy63sjmuny.us-east-1.es.amazonaws.com/_plugin/kibana/#/discover/Steve-Slow-Train-Analysis-(2080s-and-2083s)?_g=(refreshInterval:(display:Off,section:0,value:0),time:(from:'2016-08-31 10:44:49-0600',mode:absolute,to:'2016-08-31 13:42:24-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4001%22')),sort:!(Time,asc))</v>
      </c>
      <c r="W73" s="54" t="str">
        <f t="shared" si="28"/>
        <v>N</v>
      </c>
      <c r="X73" s="120">
        <f t="shared" si="34"/>
        <v>1</v>
      </c>
      <c r="Y73" s="69">
        <f t="shared" si="29"/>
        <v>23.298300000000001</v>
      </c>
      <c r="Z73" s="69">
        <f t="shared" si="30"/>
        <v>1.4500000000000001E-2</v>
      </c>
      <c r="AA73" s="69">
        <f t="shared" si="31"/>
        <v>23.283799999999999</v>
      </c>
      <c r="AB73" s="66" t="e">
        <f>VLOOKUP(A73,Enforcements!$C$7:$J$21,8,0)</f>
        <v>#N/A</v>
      </c>
      <c r="AC73" s="62" t="e">
        <f>VLOOKUP(A73,Enforcements!$C$7:$E$21,3,0)</f>
        <v>#N/A</v>
      </c>
      <c r="AD73" s="63" t="str">
        <f t="shared" si="32"/>
        <v>0160-31</v>
      </c>
      <c r="AE73" s="99" t="str">
        <f t="shared" si="10"/>
        <v>aws s3 cp s3://rtdc.mdm.uploadarchive/RTDC4001/2016-08-31/ "%USERPROFILE%\AppData\Local\Temp\OnboardLogs"\RTDC4001\2016-08-31 --recursive &amp; "%USERPROFILE%\Documents\GitHub\mrs-test-scripts\Headless Mode &amp; Sideloading\WalkAndUnGZ.bat" "%USERPROFILE%\AppData\Local\Temp\OnboardLogs"\RTDC4001\2016-08-31 &amp; aws s3 cp s3://rtdc.mdm.uploadarchive/RTDC4001/2016-09-01/ "%USERPROFILE%\AppData\Local\Temp\OnboardLogs"\RTDC4001\2016-09-01 --recursive &amp; "%USERPROFILE%\Documents\GitHub\mrs-test-scripts\Headless Mode &amp; Sideloading\WalkAndUnGZ.bat" "%USERPROFILE%\AppData\Local\Temp\OnboardLogs"\RTDC4001\2016-09-01</v>
      </c>
      <c r="AF73" s="96" t="str">
        <f t="shared" si="11"/>
        <v>"C:\Program Files (x86)\AstroGrep\AstroGrep.exe" /spath="%USERPROFILE%\AppData\Local\Temp\OnboardLogs" /stypes="*4001*20160831*" /stext=" 18:.+((SYSTEM_STATE.+slice.+state.+changed )|(ment ac)|(system.+state.+changed )|(\|lc)|(penalty)|(\[timeout)|(PRM\|1\|D)|(kpr)|(kdp))" /e /r /s</v>
      </c>
      <c r="AG73" s="1" t="str">
        <f t="shared" si="33"/>
        <v>EC</v>
      </c>
      <c r="AH73" s="100" t="str">
        <f t="shared" si="15"/>
        <v>"%USERPROFILE%\Documents\GitHub\eaglep3\Utilities\RefineRTDCRunTimes.py" --tripid 160-31 --locoid 4001 --swversion DE.1.0.7.0 --startMP 204:232983 --initTime 2016-08-31T11:44:49 --startdatetime 2016-08-31T11:56:15 --delay 1 --endMP 204:145 --enddatetime 2016-08-31T12:42:24 --enforcementcount 0 &gt;&gt;C:\Users\stu\Documents\GitHub\eaglep3-reporting\EC\2016-08-31-refined-times.txt</v>
      </c>
      <c r="AI73" s="149" t="str">
        <f t="shared" si="16"/>
        <v>echo {"issue":{"subject":"","project_id":79,"tracker_id":40,"status_id":1,"priority_id":2,"assigned_to_id":23,"start_date":"2016-08-31","description":"","custom_fields":[{"id":1,"name":"Subdivision","value":"EC"},{"id":4,"name":"Milepost","value":"23.2838"},{"id":17,"name":"Train ID","value":"160-31"},{"id":16,"name":"Locomotive ID","value":"4001"},{"id":130,"name":"Impact","value":""},{"id":150,"name":"Time of Event (Mountain Time)","value":"12:42:24"},{"id":151,"name":"Denver Issue ID","value":""},{"id":178,"name":"Operational Impact","value":"Yes"},{"id":179,"name":"Denver Segment Assigned","value":""}]}} | curl -X POST -H "Content-Type: application/json" -H "X-Redmine-API-Key: d6333d4a04012a730768444271f8ca06482dae87" https://secure.xorail.net/redmine/issues.json --data @-</v>
      </c>
      <c r="AJ73" s="55"/>
      <c r="AK73" s="55"/>
      <c r="AL73" s="55"/>
    </row>
    <row r="74" spans="1:38" s="1" customFormat="1" x14ac:dyDescent="0.25">
      <c r="A74" s="39" t="s">
        <v>463</v>
      </c>
      <c r="B74" s="7">
        <v>4016</v>
      </c>
      <c r="C74" s="24" t="s">
        <v>113</v>
      </c>
      <c r="D74" s="24" t="s">
        <v>140</v>
      </c>
      <c r="E74" s="15">
        <v>42613.464409722219</v>
      </c>
      <c r="F74" s="15">
        <v>42613.468900462962</v>
      </c>
      <c r="G74" s="7">
        <v>2</v>
      </c>
      <c r="H74" s="15" t="s">
        <v>464</v>
      </c>
      <c r="I74" s="15">
        <v>42613.498182870368</v>
      </c>
      <c r="J74" s="7">
        <v>0</v>
      </c>
      <c r="K74" s="132" t="str">
        <f t="shared" si="24"/>
        <v>4015/4016</v>
      </c>
      <c r="L74" s="24" t="str">
        <f>VLOOKUP(A74,'Trips&amp;Operators'!$C$1:$E$10000,3,FALSE)</f>
        <v>BARTLETT</v>
      </c>
      <c r="M74" s="6">
        <f t="shared" si="25"/>
        <v>2.9282407405844424E-2</v>
      </c>
      <c r="N74" s="7">
        <f t="shared" si="35"/>
        <v>42.16666666441597</v>
      </c>
      <c r="O74" s="7"/>
      <c r="P74" s="7"/>
      <c r="Q74" s="25"/>
      <c r="R74" s="25"/>
      <c r="S74" s="37">
        <f t="shared" si="36"/>
        <v>1</v>
      </c>
      <c r="T74" s="52" t="str">
        <f t="shared" si="26"/>
        <v>NorthBound</v>
      </c>
      <c r="U74" s="126">
        <f>IF(AG74="EC",COUNTIFS(Variables!$M$2:$M$19,IF(T74="NorthBound","&gt;=","&lt;=")&amp;Y74,Variables!$M$2:$M$19,IF(T74="NorthBound","&lt;=","&gt;=")&amp;Z74),COUNTIFS(Variables!$P$2:$P$19,IF(T74="NorthBound","&gt;=","&lt;=")&amp;Y74,Variables!$P$2:$P$19,IF(T74="NorthBound","&lt;=","&gt;=")&amp;Z74))</f>
        <v>12</v>
      </c>
      <c r="V74" s="106" t="str">
        <f t="shared" si="27"/>
        <v>https://search-rtdc-monitor-bjffxe2xuh6vdkpspy63sjmuny.us-east-1.es.amazonaws.com/_plugin/kibana/#/discover/Steve-Slow-Train-Analysis-(2080s-and-2083s)?_g=(refreshInterval:(display:Off,section:0,value:0),time:(from:'2016-08-31 10:08:45-0600',mode:absolute,to:'2016-08-31 12:57:23-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4016%22')),sort:!(Time,asc))</v>
      </c>
      <c r="W74" s="54" t="str">
        <f t="shared" si="28"/>
        <v>N</v>
      </c>
      <c r="X74" s="120">
        <f t="shared" si="34"/>
        <v>1</v>
      </c>
      <c r="Y74" s="69">
        <f t="shared" si="29"/>
        <v>4.5699999999999998E-2</v>
      </c>
      <c r="Z74" s="69">
        <f t="shared" si="30"/>
        <v>23.335999999999999</v>
      </c>
      <c r="AA74" s="69">
        <f t="shared" si="31"/>
        <v>23.290299999999998</v>
      </c>
      <c r="AB74" s="66" t="e">
        <f>VLOOKUP(A74,Enforcements!$C$7:$J$21,8,0)</f>
        <v>#N/A</v>
      </c>
      <c r="AC74" s="62" t="e">
        <f>VLOOKUP(A74,Enforcements!$C$7:$E$21,3,0)</f>
        <v>#N/A</v>
      </c>
      <c r="AD74" s="63" t="str">
        <f t="shared" si="32"/>
        <v>0161-31</v>
      </c>
      <c r="AE74" s="99" t="str">
        <f t="shared" si="10"/>
        <v>aws s3 cp s3://rtdc.mdm.uploadarchive/RTDC4016/2016-08-31/ "%USERPROFILE%\AppData\Local\Temp\OnboardLogs"\RTDC4016\2016-08-31 --recursive &amp; "%USERPROFILE%\Documents\GitHub\mrs-test-scripts\Headless Mode &amp; Sideloading\WalkAndUnGZ.bat" "%USERPROFILE%\AppData\Local\Temp\OnboardLogs"\RTDC4016\2016-08-31 &amp; aws s3 cp s3://rtdc.mdm.uploadarchive/RTDC4016/2016-09-01/ "%USERPROFILE%\AppData\Local\Temp\OnboardLogs"\RTDC4016\2016-09-01 --recursive &amp; "%USERPROFILE%\Documents\GitHub\mrs-test-scripts\Headless Mode &amp; Sideloading\WalkAndUnGZ.bat" "%USERPROFILE%\AppData\Local\Temp\OnboardLogs"\RTDC4016\2016-09-01</v>
      </c>
      <c r="AF74" s="96" t="str">
        <f t="shared" si="11"/>
        <v>"C:\Program Files (x86)\AstroGrep\AstroGrep.exe" /spath="%USERPROFILE%\AppData\Local\Temp\OnboardLogs" /stypes="*4016*20160831*" /stext=" 17:.+((SYSTEM_STATE.+slice.+state.+changed )|(ment ac)|(system.+state.+changed )|(\|lc)|(penalty)|(\[timeout)|(PRM\|1\|D)|(kpr)|(kdp))" /e /r /s</v>
      </c>
      <c r="AG74" s="1" t="str">
        <f t="shared" si="33"/>
        <v>EC</v>
      </c>
      <c r="AH74" s="100" t="str">
        <f t="shared" si="15"/>
        <v>"%USERPROFILE%\Documents\GitHub\eaglep3\Utilities\RefineRTDCRunTimes.py" --tripid 161-31 --locoid 4016 --swversion DE.1.0.7.0 --startMP 204:457 --initTime 2016-08-31T11:08:45 --startdatetime 2016-08-31T11:15:13 --delay 2 --endMP 204:233360 --enddatetime 2016-08-31T11:57:23 --enforcementcount 0 &gt;&gt;C:\Users\stu\Documents\GitHub\eaglep3-reporting\EC\2016-08-31-refined-times.txt</v>
      </c>
      <c r="AI74" s="149" t="str">
        <f t="shared" si="16"/>
        <v>echo {"issue":{"subject":"","project_id":79,"tracker_id":40,"status_id":1,"priority_id":2,"assigned_to_id":23,"start_date":"2016-08-31","description":"","custom_fields":[{"id":1,"name":"Subdivision","value":"EC"},{"id":4,"name":"Milepost","value":"23.2903"},{"id":17,"name":"Train ID","value":"161-31"},{"id":16,"name":"Locomotive ID","value":"4016"},{"id":130,"name":"Impact","value":""},{"id":150,"name":"Time of Event (Mountain Time)","value":"11:57:23"},{"id":151,"name":"Denver Issue ID","value":""},{"id":178,"name":"Operational Impact","value":"Yes"},{"id":179,"name":"Denver Segment Assigned","value":""}]}} | curl -X POST -H "Content-Type: application/json" -H "X-Redmine-API-Key: d6333d4a04012a730768444271f8ca06482dae87" https://secure.xorail.net/redmine/issues.json --data @-</v>
      </c>
      <c r="AJ74" s="55"/>
      <c r="AK74" s="55"/>
      <c r="AL74" s="55"/>
    </row>
    <row r="75" spans="1:38" s="1" customFormat="1" x14ac:dyDescent="0.25">
      <c r="A75" s="39" t="s">
        <v>465</v>
      </c>
      <c r="B75" s="7">
        <v>4015</v>
      </c>
      <c r="C75" s="24" t="s">
        <v>113</v>
      </c>
      <c r="D75" s="24" t="s">
        <v>466</v>
      </c>
      <c r="E75" s="15">
        <v>42613.500173611108</v>
      </c>
      <c r="F75" s="15">
        <v>42613.507881944446</v>
      </c>
      <c r="G75" s="7">
        <v>1</v>
      </c>
      <c r="H75" s="15" t="s">
        <v>467</v>
      </c>
      <c r="I75" s="15">
        <v>42613.538078703707</v>
      </c>
      <c r="J75" s="7">
        <v>0</v>
      </c>
      <c r="K75" s="132" t="str">
        <f t="shared" si="24"/>
        <v>4015/4016</v>
      </c>
      <c r="L75" s="24" t="str">
        <f>VLOOKUP(A75,'Trips&amp;Operators'!$C$1:$E$10000,3,FALSE)</f>
        <v>BARTLETT</v>
      </c>
      <c r="M75" s="6">
        <f t="shared" si="25"/>
        <v>3.0196759260434192E-2</v>
      </c>
      <c r="N75" s="7">
        <f t="shared" si="35"/>
        <v>43.483333335025236</v>
      </c>
      <c r="O75" s="7"/>
      <c r="P75" s="7"/>
      <c r="Q75" s="25"/>
      <c r="R75" s="25"/>
      <c r="S75" s="37">
        <f t="shared" si="36"/>
        <v>1</v>
      </c>
      <c r="T75" s="52" t="str">
        <f t="shared" si="26"/>
        <v>Southbound</v>
      </c>
      <c r="U75" s="126">
        <f>IF(AG75="EC",COUNTIFS(Variables!$M$2:$M$19,IF(T75="NorthBound","&gt;=","&lt;=")&amp;Y75,Variables!$M$2:$M$19,IF(T75="NorthBound","&lt;=","&gt;=")&amp;Z75),COUNTIFS(Variables!$P$2:$P$19,IF(T75="NorthBound","&gt;=","&lt;=")&amp;Y75,Variables!$P$2:$P$19,IF(T75="NorthBound","&lt;=","&gt;=")&amp;Z75))</f>
        <v>12</v>
      </c>
      <c r="V75" s="106" t="str">
        <f t="shared" si="27"/>
        <v>https://search-rtdc-monitor-bjffxe2xuh6vdkpspy63sjmuny.us-east-1.es.amazonaws.com/_plugin/kibana/#/discover/Steve-Slow-Train-Analysis-(2080s-and-2083s)?_g=(refreshInterval:(display:Off,section:0,value:0),time:(from:'2016-08-31 11:00:15-0600',mode:absolute,to:'2016-08-31 13:54:50-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4015%22')),sort:!(Time,asc))</v>
      </c>
      <c r="W75" s="54" t="str">
        <f t="shared" si="28"/>
        <v>N</v>
      </c>
      <c r="X75" s="120">
        <f t="shared" si="34"/>
        <v>1</v>
      </c>
      <c r="Y75" s="69">
        <f t="shared" si="29"/>
        <v>23.306899999999999</v>
      </c>
      <c r="Z75" s="69">
        <f t="shared" si="30"/>
        <v>2.1399999999999999E-2</v>
      </c>
      <c r="AA75" s="69">
        <f t="shared" si="31"/>
        <v>23.285499999999999</v>
      </c>
      <c r="AB75" s="66" t="e">
        <f>VLOOKUP(A75,Enforcements!$C$7:$J$21,8,0)</f>
        <v>#N/A</v>
      </c>
      <c r="AC75" s="62" t="e">
        <f>VLOOKUP(A75,Enforcements!$C$7:$E$21,3,0)</f>
        <v>#N/A</v>
      </c>
      <c r="AD75" s="63" t="str">
        <f t="shared" si="32"/>
        <v>0162-31</v>
      </c>
      <c r="AE75" s="99" t="str">
        <f t="shared" si="10"/>
        <v>aws s3 cp s3://rtdc.mdm.uploadarchive/RTDC4015/2016-08-31/ "%USERPROFILE%\AppData\Local\Temp\OnboardLogs"\RTDC4015\2016-08-31 --recursive &amp; "%USERPROFILE%\Documents\GitHub\mrs-test-scripts\Headless Mode &amp; Sideloading\WalkAndUnGZ.bat" "%USERPROFILE%\AppData\Local\Temp\OnboardLogs"\RTDC4015\2016-08-31 &amp; aws s3 cp s3://rtdc.mdm.uploadarchive/RTDC4015/2016-09-01/ "%USERPROFILE%\AppData\Local\Temp\OnboardLogs"\RTDC4015\2016-09-01 --recursive &amp; "%USERPROFILE%\Documents\GitHub\mrs-test-scripts\Headless Mode &amp; Sideloading\WalkAndUnGZ.bat" "%USERPROFILE%\AppData\Local\Temp\OnboardLogs"\RTDC4015\2016-09-01</v>
      </c>
      <c r="AF75" s="96" t="str">
        <f t="shared" si="11"/>
        <v>"C:\Program Files (x86)\AstroGrep\AstroGrep.exe" /spath="%USERPROFILE%\AppData\Local\Temp\OnboardLogs" /stypes="*4015*20160831*" /stext=" 18:.+((SYSTEM_STATE.+slice.+state.+changed )|(ment ac)|(system.+state.+changed )|(\|lc)|(penalty)|(\[timeout)|(PRM\|1\|D)|(kpr)|(kdp))" /e /r /s</v>
      </c>
      <c r="AG75" s="1" t="str">
        <f t="shared" si="33"/>
        <v>EC</v>
      </c>
      <c r="AH75" s="100" t="str">
        <f t="shared" si="15"/>
        <v>"%USERPROFILE%\Documents\GitHub\eaglep3\Utilities\RefineRTDCRunTimes.py" --tripid 162-31 --locoid 4015 --swversion DE.1.0.7.0 --startMP 204:233069 --initTime 2016-08-31T12:00:15 --startdatetime 2016-08-31T12:11:21 --delay 1 --endMP 204:214 --enddatetime 2016-08-31T12:54:50 --enforcementcount 0 &gt;&gt;C:\Users\stu\Documents\GitHub\eaglep3-reporting\EC\2016-08-31-refined-times.txt</v>
      </c>
      <c r="AI75" s="149" t="str">
        <f t="shared" si="16"/>
        <v>echo {"issue":{"subject":"","project_id":79,"tracker_id":40,"status_id":1,"priority_id":2,"assigned_to_id":23,"start_date":"2016-08-31","description":"","custom_fields":[{"id":1,"name":"Subdivision","value":"EC"},{"id":4,"name":"Milepost","value":"23.2855"},{"id":17,"name":"Train ID","value":"162-31"},{"id":16,"name":"Locomotive ID","value":"4015"},{"id":130,"name":"Impact","value":""},{"id":150,"name":"Time of Event (Mountain Time)","value":"12:54:50"},{"id":151,"name":"Denver Issue ID","value":""},{"id":178,"name":"Operational Impact","value":"Yes"},{"id":179,"name":"Denver Segment Assigned","value":""}]}} | curl -X POST -H "Content-Type: application/json" -H "X-Redmine-API-Key: d6333d4a04012a730768444271f8ca06482dae87" https://secure.xorail.net/redmine/issues.json --data @-</v>
      </c>
      <c r="AJ75" s="55"/>
      <c r="AK75" s="55"/>
      <c r="AL75" s="55"/>
    </row>
    <row r="76" spans="1:38" s="1" customFormat="1" x14ac:dyDescent="0.25">
      <c r="A76" s="39" t="s">
        <v>468</v>
      </c>
      <c r="B76" s="7">
        <v>4014</v>
      </c>
      <c r="C76" s="24" t="s">
        <v>113</v>
      </c>
      <c r="D76" s="24" t="s">
        <v>140</v>
      </c>
      <c r="E76" s="15">
        <v>42613.474085648151</v>
      </c>
      <c r="F76" s="15">
        <v>42613.479386574072</v>
      </c>
      <c r="G76" s="7">
        <v>2</v>
      </c>
      <c r="H76" s="15" t="s">
        <v>328</v>
      </c>
      <c r="I76" s="15">
        <v>42613.512060185189</v>
      </c>
      <c r="J76" s="7">
        <v>0</v>
      </c>
      <c r="K76" s="132" t="str">
        <f t="shared" si="24"/>
        <v>4013/4014</v>
      </c>
      <c r="L76" s="24" t="str">
        <f>VLOOKUP(A76,'Trips&amp;Operators'!$C$1:$E$10000,3,FALSE)</f>
        <v>MAHAN</v>
      </c>
      <c r="M76" s="6">
        <f t="shared" si="25"/>
        <v>3.2673611116479151E-2</v>
      </c>
      <c r="N76" s="7">
        <f t="shared" si="35"/>
        <v>47.050000007729977</v>
      </c>
      <c r="O76" s="7"/>
      <c r="P76" s="7"/>
      <c r="Q76" s="25"/>
      <c r="R76" s="25"/>
      <c r="S76" s="37">
        <f t="shared" si="36"/>
        <v>1</v>
      </c>
      <c r="T76" s="52" t="str">
        <f t="shared" si="26"/>
        <v>NorthBound</v>
      </c>
      <c r="U76" s="126">
        <f>IF(AG76="EC",COUNTIFS(Variables!$M$2:$M$19,IF(T76="NorthBound","&gt;=","&lt;=")&amp;Y76,Variables!$M$2:$M$19,IF(T76="NorthBound","&lt;=","&gt;=")&amp;Z76),COUNTIFS(Variables!$P$2:$P$19,IF(T76="NorthBound","&gt;=","&lt;=")&amp;Y76,Variables!$P$2:$P$19,IF(T76="NorthBound","&lt;=","&gt;=")&amp;Z76))</f>
        <v>12</v>
      </c>
      <c r="V76" s="106" t="str">
        <f t="shared" si="27"/>
        <v>https://search-rtdc-monitor-bjffxe2xuh6vdkpspy63sjmuny.us-east-1.es.amazonaws.com/_plugin/kibana/#/discover/Steve-Slow-Train-Analysis-(2080s-and-2083s)?_g=(refreshInterval:(display:Off,section:0,value:0),time:(from:'2016-08-31 10:22:41-0600',mode:absolute,to:'2016-08-31 13:17:22-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4014%22')),sort:!(Time,asc))</v>
      </c>
      <c r="W76" s="54" t="str">
        <f t="shared" si="28"/>
        <v>N</v>
      </c>
      <c r="X76" s="120">
        <f t="shared" si="34"/>
        <v>1</v>
      </c>
      <c r="Y76" s="69">
        <f t="shared" si="29"/>
        <v>4.5699999999999998E-2</v>
      </c>
      <c r="Z76" s="69">
        <f t="shared" si="30"/>
        <v>23.328299999999999</v>
      </c>
      <c r="AA76" s="69">
        <f t="shared" si="31"/>
        <v>23.282599999999999</v>
      </c>
      <c r="AB76" s="66" t="e">
        <f>VLOOKUP(A76,Enforcements!$C$7:$J$21,8,0)</f>
        <v>#N/A</v>
      </c>
      <c r="AC76" s="62" t="e">
        <f>VLOOKUP(A76,Enforcements!$C$7:$E$21,3,0)</f>
        <v>#N/A</v>
      </c>
      <c r="AD76" s="63" t="str">
        <f t="shared" si="32"/>
        <v>0163-31</v>
      </c>
      <c r="AE76" s="99" t="str">
        <f t="shared" si="10"/>
        <v>aws s3 cp s3://rtdc.mdm.uploadarchive/RTDC4014/2016-08-31/ "%USERPROFILE%\AppData\Local\Temp\OnboardLogs"\RTDC4014\2016-08-31 --recursive &amp; "%USERPROFILE%\Documents\GitHub\mrs-test-scripts\Headless Mode &amp; Sideloading\WalkAndUnGZ.bat" "%USERPROFILE%\AppData\Local\Temp\OnboardLogs"\RTDC4014\2016-08-31 &amp; aws s3 cp s3://rtdc.mdm.uploadarchive/RTDC4014/2016-09-01/ "%USERPROFILE%\AppData\Local\Temp\OnboardLogs"\RTDC4014\2016-09-01 --recursive &amp; "%USERPROFILE%\Documents\GitHub\mrs-test-scripts\Headless Mode &amp; Sideloading\WalkAndUnGZ.bat" "%USERPROFILE%\AppData\Local\Temp\OnboardLogs"\RTDC4014\2016-09-01</v>
      </c>
      <c r="AF76" s="96" t="str">
        <f t="shared" si="11"/>
        <v>"C:\Program Files (x86)\AstroGrep\AstroGrep.exe" /spath="%USERPROFILE%\AppData\Local\Temp\OnboardLogs" /stypes="*4014*20160831*" /stext=" 18:.+((SYSTEM_STATE.+slice.+state.+changed )|(ment ac)|(system.+state.+changed )|(\|lc)|(penalty)|(\[timeout)|(PRM\|1\|D)|(kpr)|(kdp))" /e /r /s</v>
      </c>
      <c r="AG76" s="1" t="str">
        <f t="shared" si="33"/>
        <v>EC</v>
      </c>
      <c r="AH76" s="100" t="str">
        <f t="shared" si="15"/>
        <v>"%USERPROFILE%\Documents\GitHub\eaglep3\Utilities\RefineRTDCRunTimes.py" --tripid 163-31 --locoid 4014 --swversion DE.1.0.7.0 --startMP 204:457 --initTime 2016-08-31T11:22:41 --startdatetime 2016-08-31T11:30:19 --delay 2 --endMP 204:233283 --enddatetime 2016-08-31T12:17:22 --enforcementcount 0 &gt;&gt;C:\Users\stu\Documents\GitHub\eaglep3-reporting\EC\2016-08-31-refined-times.txt</v>
      </c>
      <c r="AI76" s="149" t="str">
        <f t="shared" si="16"/>
        <v>echo {"issue":{"subject":"","project_id":79,"tracker_id":40,"status_id":1,"priority_id":2,"assigned_to_id":23,"start_date":"2016-08-31","description":"","custom_fields":[{"id":1,"name":"Subdivision","value":"EC"},{"id":4,"name":"Milepost","value":"23.2826"},{"id":17,"name":"Train ID","value":"163-31"},{"id":16,"name":"Locomotive ID","value":"4014"},{"id":130,"name":"Impact","value":""},{"id":150,"name":"Time of Event (Mountain Time)","value":"12:17:22"},{"id":151,"name":"Denver Issue ID","value":""},{"id":178,"name":"Operational Impact","value":"Yes"},{"id":179,"name":"Denver Segment Assigned","value":""}]}} | curl -X POST -H "Content-Type: application/json" -H "X-Redmine-API-Key: d6333d4a04012a730768444271f8ca06482dae87" https://secure.xorail.net/redmine/issues.json --data @-</v>
      </c>
      <c r="AJ76" s="55"/>
      <c r="AK76" s="55"/>
      <c r="AL76" s="55"/>
    </row>
    <row r="77" spans="1:38" s="1" customFormat="1" x14ac:dyDescent="0.25">
      <c r="A77" s="39" t="s">
        <v>469</v>
      </c>
      <c r="B77" s="7">
        <v>4013</v>
      </c>
      <c r="C77" s="24" t="s">
        <v>113</v>
      </c>
      <c r="D77" s="24" t="s">
        <v>264</v>
      </c>
      <c r="E77" s="15">
        <v>42613.515590277777</v>
      </c>
      <c r="F77" s="15">
        <v>42613.518935185188</v>
      </c>
      <c r="G77" s="7">
        <v>1</v>
      </c>
      <c r="H77" s="15" t="s">
        <v>285</v>
      </c>
      <c r="I77" s="15">
        <v>42613.553784722222</v>
      </c>
      <c r="J77" s="7">
        <v>0</v>
      </c>
      <c r="K77" s="132" t="str">
        <f t="shared" ref="K77:K107" si="37">IF(ISEVEN(B77),(B77-1)&amp;"/"&amp;B77,B77&amp;"/"&amp;(B77+1))</f>
        <v>4013/4014</v>
      </c>
      <c r="L77" s="24" t="str">
        <f>VLOOKUP(A77,'Trips&amp;Operators'!$C$1:$E$10000,3,FALSE)</f>
        <v>MAHAN</v>
      </c>
      <c r="M77" s="6">
        <f t="shared" ref="M77:M107" si="38">I77-F77</f>
        <v>3.4849537034460809E-2</v>
      </c>
      <c r="N77" s="7">
        <f t="shared" si="35"/>
        <v>50.183333329623565</v>
      </c>
      <c r="O77" s="7"/>
      <c r="P77" s="7"/>
      <c r="Q77" s="25"/>
      <c r="R77" s="25"/>
      <c r="S77" s="37">
        <f t="shared" si="36"/>
        <v>1</v>
      </c>
      <c r="T77" s="52" t="str">
        <f t="shared" ref="T77:T107" si="39">IF(ISEVEN(LEFT(AD77,4)),"Southbound","NorthBound")</f>
        <v>Southbound</v>
      </c>
      <c r="U77" s="126">
        <f>IF(AG77="EC",COUNTIFS(Variables!$M$2:$M$19,IF(T77="NorthBound","&gt;=","&lt;=")&amp;Y77,Variables!$M$2:$M$19,IF(T77="NorthBound","&lt;=","&gt;=")&amp;Z77),COUNTIFS(Variables!$P$2:$P$19,IF(T77="NorthBound","&gt;=","&lt;=")&amp;Y77,Variables!$P$2:$P$19,IF(T77="NorthBound","&lt;=","&gt;=")&amp;Z77))</f>
        <v>12</v>
      </c>
      <c r="V77" s="106" t="str">
        <f t="shared" ref="V77:V107" si="40">"https://search-rtdc-monitor-bjffxe2xuh6vdkpspy63sjmuny.us-east-1.es.amazonaws.com/_plugin/kibana/#/discover/Steve-Slow-Train-Analysis-(2080s-and-2083s)?_g=(refreshInterval:(display:Off,section:0,value:0),time:(from:'"&amp;TEXT(E77-1/24,"yyyy-MM-DD hh:mm:ss")&amp;"-0600',mode:absolute,to:'"&amp;TEXT(I77+1/24,"yyyy-MM-DD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filters:!(),index:'emp_*',interval:auto,query:"&amp;"(query_string:(analyze_wildcard:!t,query:'Message%5C%20ID:(2083%20OR%202080%20OR%201041%20OR%202003%20OR%201051)%20AND%20%22rtdc.l.rtdc."&amp;B77&amp;"%22')),sort:!(Time,asc))"</f>
        <v>https://search-rtdc-monitor-bjffxe2xuh6vdkpspy63sjmuny.us-east-1.es.amazonaws.com/_plugin/kibana/#/discover/Steve-Slow-Train-Analysis-(2080s-and-2083s)?_g=(refreshInterval:(display:Off,section:0,value:0),time:(from:'2016-08-31 11:22:27-0600',mode:absolute,to:'2016-08-31 14:17:27-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4013%22')),sort:!(Time,asc))</v>
      </c>
      <c r="W77" s="54" t="str">
        <f t="shared" ref="W77:W107" si="41">IF(AA77&lt;IF(AG77="EC",23,5.65),"Y","N")</f>
        <v>N</v>
      </c>
      <c r="X77" s="120">
        <f t="shared" si="34"/>
        <v>1</v>
      </c>
      <c r="Y77" s="69">
        <f t="shared" ref="Y77:Y107" si="42">RIGHT(D77,LEN(D77)-4)/10000</f>
        <v>23.297599999999999</v>
      </c>
      <c r="Z77" s="69">
        <f t="shared" ref="Z77:Z107" si="43">RIGHT(H77,LEN(H77)-4)/10000</f>
        <v>1.3599999999999999E-2</v>
      </c>
      <c r="AA77" s="69">
        <f t="shared" ref="AA77:AA107" si="44">ABS(Z77-Y77)</f>
        <v>23.283999999999999</v>
      </c>
      <c r="AB77" s="66" t="e">
        <f>VLOOKUP(A77,Enforcements!$C$7:$J$21,8,0)</f>
        <v>#N/A</v>
      </c>
      <c r="AC77" s="62" t="e">
        <f>VLOOKUP(A77,Enforcements!$C$7:$E$21,3,0)</f>
        <v>#N/A</v>
      </c>
      <c r="AD77" s="63" t="str">
        <f t="shared" ref="AD77:AD107" si="45">IF(LEN(A77)=6,"0"&amp;A77,A77)</f>
        <v>0164-31</v>
      </c>
      <c r="AE77" s="99" t="str">
        <f t="shared" ref="AE77:AE138" si="46">"aws s3 cp "&amp;s3_bucket&amp;"/RTDC"&amp;B77&amp;"/"&amp;TEXT(F77,"YYYY-MM-DD")&amp;"/ "&amp;search_path&amp;"\RTDC"&amp;B77&amp;"\"&amp;TEXT(F77,"YYYY-MM-DD")&amp;" --recursive &amp; """&amp;walkandungz&amp;""" "&amp;search_path&amp;"\RTDC"&amp;B77&amp;"\"&amp;TEXT(F77,"YYYY-MM-DD")
&amp;" &amp; "&amp;"aws s3 cp "&amp;s3_bucket&amp;"/RTDC"&amp;B77&amp;"/"&amp;TEXT(F77+1,"YYYY-MM-DD")&amp;"/ "&amp;search_path&amp;"\RTDC"&amp;B77&amp;"\"&amp;TEXT(F77+1,"YYYY-MM-DD")&amp;" --recursive &amp; """&amp;walkandungz&amp;""" "&amp;search_path&amp;"\RTDC"&amp;B77&amp;"\"&amp;TEXT(F77+1,"YYYY-MM-DD")</f>
        <v>aws s3 cp s3://rtdc.mdm.uploadarchive/RTDC4013/2016-08-31/ "%USERPROFILE%\AppData\Local\Temp\OnboardLogs"\RTDC4013\2016-08-31 --recursive &amp; "%USERPROFILE%\Documents\GitHub\mrs-test-scripts\Headless Mode &amp; Sideloading\WalkAndUnGZ.bat" "%USERPROFILE%\AppData\Local\Temp\OnboardLogs"\RTDC4013\2016-08-31 &amp; aws s3 cp s3://rtdc.mdm.uploadarchive/RTDC4013/2016-09-01/ "%USERPROFILE%\AppData\Local\Temp\OnboardLogs"\RTDC4013\2016-09-01 --recursive &amp; "%USERPROFILE%\Documents\GitHub\mrs-test-scripts\Headless Mode &amp; Sideloading\WalkAndUnGZ.bat" "%USERPROFILE%\AppData\Local\Temp\OnboardLogs"\RTDC4013\2016-09-01</v>
      </c>
      <c r="AF77" s="96" t="str">
        <f t="shared" ref="AF77:AF138" si="47">astrogrep_path&amp;" /spath="&amp;search_path&amp;" /stypes=""*"&amp;B77&amp;"*"&amp;TEXT(I77-utc_offset/24,"YYYYMMDD")&amp;"*"" /stext="" "&amp;TEXT(I77-utc_offset/24,"HH")&amp;search_regexp&amp;""" /e /r /s"</f>
        <v>"C:\Program Files (x86)\AstroGrep\AstroGrep.exe" /spath="%USERPROFILE%\AppData\Local\Temp\OnboardLogs" /stypes="*4013*20160831*" /stext=" 19:.+((SYSTEM_STATE.+slice.+state.+changed )|(ment ac)|(system.+state.+changed )|(\|lc)|(penalty)|(\[timeout)|(PRM\|1\|D)|(kpr)|(kdp))" /e /r /s</v>
      </c>
      <c r="AG77" s="1" t="str">
        <f t="shared" ref="AG77:AG107" si="48">IFERROR(IF(VALUE(LEFT(AD77,2))&lt;=2,"EC",IF(OR(VALUE(LEFT(AD77,2))=8,VALUE(LEFT(AD77,2))=18),"NW","Other")),"Other")</f>
        <v>EC</v>
      </c>
      <c r="AH77" s="100" t="str">
        <f t="shared" si="15"/>
        <v>"%USERPROFILE%\Documents\GitHub\eaglep3\Utilities\RefineRTDCRunTimes.py" --tripid 164-31 --locoid 4013 --swversion DE.1.0.7.0 --startMP 204:232976 --initTime 2016-08-31T12:22:27 --startdatetime 2016-08-31T12:27:16 --delay 1 --endMP 204:136 --enddatetime 2016-08-31T13:17:27 --enforcementcount 0 &gt;&gt;C:\Users\stu\Documents\GitHub\eaglep3-reporting\EC\2016-08-31-refined-times.txt</v>
      </c>
      <c r="AI77" s="149" t="str">
        <f t="shared" si="16"/>
        <v>echo {"issue":{"subject":"","project_id":79,"tracker_id":40,"status_id":1,"priority_id":2,"assigned_to_id":23,"start_date":"2016-08-31","description":"","custom_fields":[{"id":1,"name":"Subdivision","value":"EC"},{"id":4,"name":"Milepost","value":"23.284"},{"id":17,"name":"Train ID","value":"164-31"},{"id":16,"name":"Locomotive ID","value":"4013"},{"id":130,"name":"Impact","value":""},{"id":150,"name":"Time of Event (Mountain Time)","value":"13:17:27"},{"id":151,"name":"Denver Issue ID","value":""},{"id":178,"name":"Operational Impact","value":"Yes"},{"id":179,"name":"Denver Segment Assigned","value":""}]}} | curl -X POST -H "Content-Type: application/json" -H "X-Redmine-API-Key: d6333d4a04012a730768444271f8ca06482dae87" https://secure.xorail.net/redmine/issues.json --data @-</v>
      </c>
      <c r="AJ77" s="55"/>
      <c r="AK77" s="55"/>
      <c r="AL77" s="55"/>
    </row>
    <row r="78" spans="1:38" x14ac:dyDescent="0.25">
      <c r="A78" s="39" t="s">
        <v>470</v>
      </c>
      <c r="B78" s="7">
        <v>4011</v>
      </c>
      <c r="C78" s="24" t="s">
        <v>113</v>
      </c>
      <c r="D78" s="24" t="s">
        <v>180</v>
      </c>
      <c r="E78" s="15">
        <v>42613.485856481479</v>
      </c>
      <c r="F78" s="15">
        <v>42613.489756944444</v>
      </c>
      <c r="G78" s="7">
        <v>1</v>
      </c>
      <c r="H78" s="15" t="s">
        <v>254</v>
      </c>
      <c r="I78" s="15">
        <v>42613.521134259259</v>
      </c>
      <c r="J78" s="7">
        <v>0</v>
      </c>
      <c r="K78" s="132" t="str">
        <f t="shared" si="37"/>
        <v>4011/4012</v>
      </c>
      <c r="L78" s="24" t="str">
        <f>VLOOKUP(A78,'Trips&amp;Operators'!$C$1:$E$10000,3,FALSE)</f>
        <v>ISHMAEL</v>
      </c>
      <c r="M78" s="6">
        <f t="shared" si="38"/>
        <v>3.1377314815472346E-2</v>
      </c>
      <c r="N78" s="7">
        <f t="shared" si="35"/>
        <v>45.183333334280178</v>
      </c>
      <c r="O78" s="7"/>
      <c r="P78" s="7"/>
      <c r="Q78" s="25"/>
      <c r="R78" s="25"/>
      <c r="S78" s="37">
        <f t="shared" si="36"/>
        <v>1</v>
      </c>
      <c r="T78" s="52" t="str">
        <f t="shared" si="39"/>
        <v>NorthBound</v>
      </c>
      <c r="U78" s="126">
        <f>IF(AG78="EC",COUNTIFS(Variables!$M$2:$M$19,IF(T78="NorthBound","&gt;=","&lt;=")&amp;Y78,Variables!$M$2:$M$19,IF(T78="NorthBound","&lt;=","&gt;=")&amp;Z78),COUNTIFS(Variables!$P$2:$P$19,IF(T78="NorthBound","&gt;=","&lt;=")&amp;Y78,Variables!$P$2:$P$19,IF(T78="NorthBound","&lt;=","&gt;=")&amp;Z78))</f>
        <v>12</v>
      </c>
      <c r="V78" s="106" t="str">
        <f t="shared" si="40"/>
        <v>https://search-rtdc-monitor-bjffxe2xuh6vdkpspy63sjmuny.us-east-1.es.amazonaws.com/_plugin/kibana/#/discover/Steve-Slow-Train-Analysis-(2080s-and-2083s)?_g=(refreshInterval:(display:Off,section:0,value:0),time:(from:'2016-08-31 10:39:38-0600',mode:absolute,to:'2016-08-31 13:30:26-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4011%22')),sort:!(Time,asc))</v>
      </c>
      <c r="W78" s="54" t="str">
        <f t="shared" si="41"/>
        <v>N</v>
      </c>
      <c r="X78" s="120">
        <f t="shared" si="34"/>
        <v>1</v>
      </c>
      <c r="Y78" s="69">
        <f t="shared" si="42"/>
        <v>4.5999999999999999E-2</v>
      </c>
      <c r="Z78" s="69">
        <f t="shared" si="43"/>
        <v>23.328800000000001</v>
      </c>
      <c r="AA78" s="69">
        <f t="shared" si="44"/>
        <v>23.282800000000002</v>
      </c>
      <c r="AB78" s="66" t="e">
        <f>VLOOKUP(A78,Enforcements!$C$7:$J$21,8,0)</f>
        <v>#N/A</v>
      </c>
      <c r="AC78" s="62" t="e">
        <f>VLOOKUP(A78,Enforcements!$C$7:$E$21,3,0)</f>
        <v>#N/A</v>
      </c>
      <c r="AD78" s="63" t="str">
        <f t="shared" si="45"/>
        <v>0165-31</v>
      </c>
      <c r="AE78" s="99" t="str">
        <f t="shared" si="46"/>
        <v>aws s3 cp s3://rtdc.mdm.uploadarchive/RTDC4011/2016-08-31/ "%USERPROFILE%\AppData\Local\Temp\OnboardLogs"\RTDC4011\2016-08-31 --recursive &amp; "%USERPROFILE%\Documents\GitHub\mrs-test-scripts\Headless Mode &amp; Sideloading\WalkAndUnGZ.bat" "%USERPROFILE%\AppData\Local\Temp\OnboardLogs"\RTDC4011\2016-08-31 &amp; aws s3 cp s3://rtdc.mdm.uploadarchive/RTDC4011/2016-09-01/ "%USERPROFILE%\AppData\Local\Temp\OnboardLogs"\RTDC4011\2016-09-01 --recursive &amp; "%USERPROFILE%\Documents\GitHub\mrs-test-scripts\Headless Mode &amp; Sideloading\WalkAndUnGZ.bat" "%USERPROFILE%\AppData\Local\Temp\OnboardLogs"\RTDC4011\2016-09-01</v>
      </c>
      <c r="AF78" s="96" t="str">
        <f t="shared" si="47"/>
        <v>"C:\Program Files (x86)\AstroGrep\AstroGrep.exe" /spath="%USERPROFILE%\AppData\Local\Temp\OnboardLogs" /stypes="*4011*20160831*" /stext=" 18:.+((SYSTEM_STATE.+slice.+state.+changed )|(ment ac)|(system.+state.+changed )|(\|lc)|(penalty)|(\[timeout)|(PRM\|1\|D)|(kpr)|(kdp))" /e /r /s</v>
      </c>
      <c r="AG78" s="1" t="str">
        <f t="shared" si="48"/>
        <v>EC</v>
      </c>
      <c r="AH78" s="100" t="str">
        <f t="shared" si="15"/>
        <v>"%USERPROFILE%\Documents\GitHub\eaglep3\Utilities\RefineRTDCRunTimes.py" --tripid 165-31 --locoid 4011 --swversion DE.1.0.7.0 --startMP 204:460 --initTime 2016-08-31T11:39:38 --startdatetime 2016-08-31T11:45:15 --delay 1 --endMP 204:233288 --enddatetime 2016-08-31T12:30:26 --enforcementcount 0 &gt;&gt;C:\Users\stu\Documents\GitHub\eaglep3-reporting\EC\2016-08-31-refined-times.txt</v>
      </c>
      <c r="AI78" s="149" t="str">
        <f t="shared" si="16"/>
        <v>echo {"issue":{"subject":"","project_id":79,"tracker_id":40,"status_id":1,"priority_id":2,"assigned_to_id":23,"start_date":"2016-08-31","description":"","custom_fields":[{"id":1,"name":"Subdivision","value":"EC"},{"id":4,"name":"Milepost","value":"23.2828"},{"id":17,"name":"Train ID","value":"165-31"},{"id":16,"name":"Locomotive ID","value":"4011"},{"id":130,"name":"Impact","value":""},{"id":150,"name":"Time of Event (Mountain Time)","value":"12:30:26"},{"id":151,"name":"Denver Issue ID","value":""},{"id":178,"name":"Operational Impact","value":"Yes"},{"id":179,"name":"Denver Segment Assigned","value":""}]}} | curl -X POST -H "Content-Type: application/json" -H "X-Redmine-API-Key: d6333d4a04012a730768444271f8ca06482dae87" https://secure.xorail.net/redmine/issues.json --data @-</v>
      </c>
      <c r="AJ78" s="55"/>
      <c r="AK78" s="55"/>
      <c r="AL78" s="55"/>
    </row>
    <row r="79" spans="1:38" s="1" customFormat="1" x14ac:dyDescent="0.25">
      <c r="A79" s="39" t="s">
        <v>471</v>
      </c>
      <c r="B79" s="7">
        <v>4012</v>
      </c>
      <c r="C79" s="24" t="s">
        <v>113</v>
      </c>
      <c r="D79" s="24" t="s">
        <v>262</v>
      </c>
      <c r="E79" s="15">
        <v>42613.523020833331</v>
      </c>
      <c r="F79" s="15">
        <v>42613.529340277775</v>
      </c>
      <c r="G79" s="7">
        <v>1</v>
      </c>
      <c r="H79" s="15" t="s">
        <v>286</v>
      </c>
      <c r="I79" s="15">
        <v>42613.561122685183</v>
      </c>
      <c r="J79" s="7">
        <v>0</v>
      </c>
      <c r="K79" s="132" t="str">
        <f t="shared" si="37"/>
        <v>4011/4012</v>
      </c>
      <c r="L79" s="24" t="str">
        <f>VLOOKUP(A79,'Trips&amp;Operators'!$C$1:$E$10000,3,FALSE)</f>
        <v>ISHMAEL</v>
      </c>
      <c r="M79" s="6">
        <f t="shared" si="38"/>
        <v>3.178240740817273E-2</v>
      </c>
      <c r="N79" s="7">
        <f t="shared" si="35"/>
        <v>45.766666667768732</v>
      </c>
      <c r="O79" s="7"/>
      <c r="P79" s="7"/>
      <c r="Q79" s="25"/>
      <c r="R79" s="25"/>
      <c r="S79" s="37">
        <f t="shared" si="36"/>
        <v>1</v>
      </c>
      <c r="T79" s="52" t="str">
        <f t="shared" si="39"/>
        <v>Southbound</v>
      </c>
      <c r="U79" s="126">
        <f>IF(AG79="EC",COUNTIFS(Variables!$M$2:$M$19,IF(T79="NorthBound","&gt;=","&lt;=")&amp;Y79,Variables!$M$2:$M$19,IF(T79="NorthBound","&lt;=","&gt;=")&amp;Z79),COUNTIFS(Variables!$P$2:$P$19,IF(T79="NorthBound","&gt;=","&lt;=")&amp;Y79,Variables!$P$2:$P$19,IF(T79="NorthBound","&lt;=","&gt;=")&amp;Z79))</f>
        <v>12</v>
      </c>
      <c r="V79" s="106" t="str">
        <f t="shared" si="40"/>
        <v>https://search-rtdc-monitor-bjffxe2xuh6vdkpspy63sjmuny.us-east-1.es.amazonaws.com/_plugin/kibana/#/discover/Steve-Slow-Train-Analysis-(2080s-and-2083s)?_g=(refreshInterval:(display:Off,section:0,value:0),time:(from:'2016-08-31 11:33:09-0600',mode:absolute,to:'2016-08-31 14:28:01-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4012%22')),sort:!(Time,asc))</v>
      </c>
      <c r="W79" s="54" t="str">
        <f t="shared" si="41"/>
        <v>N</v>
      </c>
      <c r="X79" s="120">
        <f t="shared" si="34"/>
        <v>1</v>
      </c>
      <c r="Y79" s="69">
        <f t="shared" si="42"/>
        <v>23.296099999999999</v>
      </c>
      <c r="Z79" s="69">
        <f t="shared" si="43"/>
        <v>1.6299999999999999E-2</v>
      </c>
      <c r="AA79" s="69">
        <f t="shared" si="44"/>
        <v>23.279799999999998</v>
      </c>
      <c r="AB79" s="66" t="e">
        <f>VLOOKUP(A79,Enforcements!$C$7:$J$21,8,0)</f>
        <v>#N/A</v>
      </c>
      <c r="AC79" s="62" t="e">
        <f>VLOOKUP(A79,Enforcements!$C$7:$E$21,3,0)</f>
        <v>#N/A</v>
      </c>
      <c r="AD79" s="63" t="str">
        <f t="shared" si="45"/>
        <v>0166-31</v>
      </c>
      <c r="AE79" s="99" t="str">
        <f t="shared" si="46"/>
        <v>aws s3 cp s3://rtdc.mdm.uploadarchive/RTDC4012/2016-08-31/ "%USERPROFILE%\AppData\Local\Temp\OnboardLogs"\RTDC4012\2016-08-31 --recursive &amp; "%USERPROFILE%\Documents\GitHub\mrs-test-scripts\Headless Mode &amp; Sideloading\WalkAndUnGZ.bat" "%USERPROFILE%\AppData\Local\Temp\OnboardLogs"\RTDC4012\2016-08-31 &amp; aws s3 cp s3://rtdc.mdm.uploadarchive/RTDC4012/2016-09-01/ "%USERPROFILE%\AppData\Local\Temp\OnboardLogs"\RTDC4012\2016-09-01 --recursive &amp; "%USERPROFILE%\Documents\GitHub\mrs-test-scripts\Headless Mode &amp; Sideloading\WalkAndUnGZ.bat" "%USERPROFILE%\AppData\Local\Temp\OnboardLogs"\RTDC4012\2016-09-01</v>
      </c>
      <c r="AF79" s="96" t="str">
        <f t="shared" si="47"/>
        <v>"C:\Program Files (x86)\AstroGrep\AstroGrep.exe" /spath="%USERPROFILE%\AppData\Local\Temp\OnboardLogs" /stypes="*4012*20160831*" /stext=" 19:.+((SYSTEM_STATE.+slice.+state.+changed )|(ment ac)|(system.+state.+changed )|(\|lc)|(penalty)|(\[timeout)|(PRM\|1\|D)|(kpr)|(kdp))" /e /r /s</v>
      </c>
      <c r="AG79" s="1" t="str">
        <f t="shared" si="48"/>
        <v>EC</v>
      </c>
      <c r="AH79" s="100" t="str">
        <f t="shared" ref="AH79:AH140" si="49">refinertdcruntimes&amp;" --tripid "&amp;A79&amp;" --locoid "&amp;B79&amp;" --swversion "&amp;C79&amp;" --startMP "&amp;D79&amp;" --initTime "&amp;TEXT(E79,"yyyy-mm-ddTHH:MM:SS")&amp;" --startdatetime "&amp;TEXT(F79,"yyyy-mm-ddTHH:MM:SS")&amp;" --delay "&amp;G79&amp;" --endMP "&amp;H79&amp;" --enddatetime "&amp;TEXT(I79,"yyyy-mm-ddTHH:MM:SS")&amp;" --enforcementcount "&amp;J79&amp;IF(outputrefinedruntimes," &gt;&gt;"&amp;RefinedRTDCRunTimesOutputFile,"")</f>
        <v>"%USERPROFILE%\Documents\GitHub\eaglep3\Utilities\RefineRTDCRunTimes.py" --tripid 166-31 --locoid 4012 --swversion DE.1.0.7.0 --startMP 204:232961 --initTime 2016-08-31T12:33:09 --startdatetime 2016-08-31T12:42:15 --delay 1 --endMP 204:163 --enddatetime 2016-08-31T13:28:01 --enforcementcount 0 &gt;&gt;C:\Users\stu\Documents\GitHub\eaglep3-reporting\EC\2016-08-31-refined-times.txt</v>
      </c>
      <c r="AI79" s="149" t="str">
        <f t="shared" ref="AI79:AI140" si="50">"echo {""issue"":{""subject"":"""&amp;R79&amp;""",""project_id"":79,""tracker_id"":40,""status_id"":"&amp;redmine_status&amp;",""priority_id"":"&amp;redmine_priority&amp;",""assigned_to_id"":"&amp;redmine_assignee&amp;",""start_date"":"""&amp;TEXT(I79,"YYYY-mm-dd")&amp;""",""description"":"""&amp;AJ79&amp;""",""custom_fields"":[{""id"":1,""name"":""Subdivision"",""value"":"""&amp;AG79&amp;"""},{""id"":4,""name"":""Milepost"",""value"":"""&amp;AA79&amp;"""},{""id"":17,""name"":""Train ID"",""value"":"""&amp;A79&amp;"""},{""id"":16,""name"":""Locomotive ID"",""value"":"""&amp;B79&amp;"""},{""id"":130,""name"":""Impact"",""value"":"""&amp;AK79&amp;"""},{""id"":150,""name"":""Time of Event (Mountain Time)"",""value"":"""&amp;TEXT(I79,"hh:mm:ss")&amp;"""},{""id"":151,""name"":""Denver Issue ID"",""value"":"""&amp;"""},{""id"":178,""name"":""Operational Impact"",""value"":"""&amp;redmine_op_impact&amp;"""},{""id"":179,""name"":""Denver Segment Assigned"",""value"":"""&amp;AL79&amp;"""}]}}"&amp;" | curl -X POST -H ""Content-Type: application/json"" -H ""X-Redmine-API-Key: "&amp;redm_api_key&amp;""" "&amp;redm_url&amp;" --data @-"</f>
        <v>echo {"issue":{"subject":"","project_id":79,"tracker_id":40,"status_id":1,"priority_id":2,"assigned_to_id":23,"start_date":"2016-08-31","description":"","custom_fields":[{"id":1,"name":"Subdivision","value":"EC"},{"id":4,"name":"Milepost","value":"23.2798"},{"id":17,"name":"Train ID","value":"166-31"},{"id":16,"name":"Locomotive ID","value":"4012"},{"id":130,"name":"Impact","value":""},{"id":150,"name":"Time of Event (Mountain Time)","value":"13:28:01"},{"id":151,"name":"Denver Issue ID","value":""},{"id":178,"name":"Operational Impact","value":"Yes"},{"id":179,"name":"Denver Segment Assigned","value":""}]}} | curl -X POST -H "Content-Type: application/json" -H "X-Redmine-API-Key: d6333d4a04012a730768444271f8ca06482dae87" https://secure.xorail.net/redmine/issues.json --data @-</v>
      </c>
      <c r="AJ79" s="55"/>
      <c r="AK79" s="55"/>
      <c r="AL79" s="55"/>
    </row>
    <row r="80" spans="1:38" s="1" customFormat="1" x14ac:dyDescent="0.25">
      <c r="A80" s="39" t="s">
        <v>472</v>
      </c>
      <c r="B80" s="7">
        <v>4042</v>
      </c>
      <c r="C80" s="24" t="s">
        <v>113</v>
      </c>
      <c r="D80" s="24" t="s">
        <v>184</v>
      </c>
      <c r="E80" s="15">
        <v>42613.495821759258</v>
      </c>
      <c r="F80" s="15">
        <v>42613.500335648147</v>
      </c>
      <c r="G80" s="7">
        <v>1</v>
      </c>
      <c r="H80" s="15" t="s">
        <v>473</v>
      </c>
      <c r="I80" s="15">
        <v>42613.532604166663</v>
      </c>
      <c r="J80" s="7">
        <v>0</v>
      </c>
      <c r="K80" s="132" t="str">
        <f t="shared" si="37"/>
        <v>4041/4042</v>
      </c>
      <c r="L80" s="24" t="str">
        <f>VLOOKUP(A80,'Trips&amp;Operators'!$C$1:$E$10000,3,FALSE)</f>
        <v>YOUNG</v>
      </c>
      <c r="M80" s="6">
        <f t="shared" si="38"/>
        <v>3.2268518516502809E-2</v>
      </c>
      <c r="N80" s="7">
        <f t="shared" si="35"/>
        <v>46.466666663764045</v>
      </c>
      <c r="O80" s="7"/>
      <c r="P80" s="7"/>
      <c r="Q80" s="25"/>
      <c r="R80" s="25"/>
      <c r="S80" s="37">
        <f t="shared" si="36"/>
        <v>1</v>
      </c>
      <c r="T80" s="52" t="str">
        <f t="shared" si="39"/>
        <v>NorthBound</v>
      </c>
      <c r="U80" s="126">
        <f>IF(AG80="EC",COUNTIFS(Variables!$M$2:$M$19,IF(T80="NorthBound","&gt;=","&lt;=")&amp;Y80,Variables!$M$2:$M$19,IF(T80="NorthBound","&lt;=","&gt;=")&amp;Z80),COUNTIFS(Variables!$P$2:$P$19,IF(T80="NorthBound","&gt;=","&lt;=")&amp;Y80,Variables!$P$2:$P$19,IF(T80="NorthBound","&lt;=","&gt;=")&amp;Z80))</f>
        <v>12</v>
      </c>
      <c r="V80" s="106" t="str">
        <f t="shared" si="40"/>
        <v>https://search-rtdc-monitor-bjffxe2xuh6vdkpspy63sjmuny.us-east-1.es.amazonaws.com/_plugin/kibana/#/discover/Steve-Slow-Train-Analysis-(2080s-and-2083s)?_g=(refreshInterval:(display:Off,section:0,value:0),time:(from:'2016-08-31 10:53:59-0600',mode:absolute,to:'2016-08-31 13:46:57-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4042%22')),sort:!(Time,asc))</v>
      </c>
      <c r="W80" s="54" t="str">
        <f t="shared" si="41"/>
        <v>N</v>
      </c>
      <c r="X80" s="120">
        <f t="shared" si="34"/>
        <v>1</v>
      </c>
      <c r="Y80" s="69">
        <f t="shared" si="42"/>
        <v>4.6399999999999997E-2</v>
      </c>
      <c r="Z80" s="69">
        <f t="shared" si="43"/>
        <v>23.330400000000001</v>
      </c>
      <c r="AA80" s="69">
        <f t="shared" si="44"/>
        <v>23.284000000000002</v>
      </c>
      <c r="AB80" s="66" t="e">
        <f>VLOOKUP(A80,Enforcements!$C$7:$J$21,8,0)</f>
        <v>#N/A</v>
      </c>
      <c r="AC80" s="62" t="e">
        <f>VLOOKUP(A80,Enforcements!$C$7:$E$21,3,0)</f>
        <v>#N/A</v>
      </c>
      <c r="AD80" s="63" t="str">
        <f t="shared" si="45"/>
        <v>0167-31</v>
      </c>
      <c r="AE80" s="99" t="str">
        <f t="shared" si="46"/>
        <v>aws s3 cp s3://rtdc.mdm.uploadarchive/RTDC4042/2016-08-31/ "%USERPROFILE%\AppData\Local\Temp\OnboardLogs"\RTDC4042\2016-08-31 --recursive &amp; "%USERPROFILE%\Documents\GitHub\mrs-test-scripts\Headless Mode &amp; Sideloading\WalkAndUnGZ.bat" "%USERPROFILE%\AppData\Local\Temp\OnboardLogs"\RTDC4042\2016-08-31 &amp; aws s3 cp s3://rtdc.mdm.uploadarchive/RTDC4042/2016-09-01/ "%USERPROFILE%\AppData\Local\Temp\OnboardLogs"\RTDC4042\2016-09-01 --recursive &amp; "%USERPROFILE%\Documents\GitHub\mrs-test-scripts\Headless Mode &amp; Sideloading\WalkAndUnGZ.bat" "%USERPROFILE%\AppData\Local\Temp\OnboardLogs"\RTDC4042\2016-09-01</v>
      </c>
      <c r="AF80" s="96" t="str">
        <f t="shared" si="47"/>
        <v>"C:\Program Files (x86)\AstroGrep\AstroGrep.exe" /spath="%USERPROFILE%\AppData\Local\Temp\OnboardLogs" /stypes="*4042*20160831*" /stext=" 18:.+((SYSTEM_STATE.+slice.+state.+changed )|(ment ac)|(system.+state.+changed )|(\|lc)|(penalty)|(\[timeout)|(PRM\|1\|D)|(kpr)|(kdp))" /e /r /s</v>
      </c>
      <c r="AG80" s="1" t="str">
        <f t="shared" si="48"/>
        <v>EC</v>
      </c>
      <c r="AH80" s="100" t="str">
        <f t="shared" si="49"/>
        <v>"%USERPROFILE%\Documents\GitHub\eaglep3\Utilities\RefineRTDCRunTimes.py" --tripid 167-31 --locoid 4042 --swversion DE.1.0.7.0 --startMP 204:464 --initTime 2016-08-31T11:53:59 --startdatetime 2016-08-31T12:00:29 --delay 1 --endMP 204:233304 --enddatetime 2016-08-31T12:46:57 --enforcementcount 0 &gt;&gt;C:\Users\stu\Documents\GitHub\eaglep3-reporting\EC\2016-08-31-refined-times.txt</v>
      </c>
      <c r="AI80" s="149" t="str">
        <f t="shared" si="50"/>
        <v>echo {"issue":{"subject":"","project_id":79,"tracker_id":40,"status_id":1,"priority_id":2,"assigned_to_id":23,"start_date":"2016-08-31","description":"","custom_fields":[{"id":1,"name":"Subdivision","value":"EC"},{"id":4,"name":"Milepost","value":"23.284"},{"id":17,"name":"Train ID","value":"167-31"},{"id":16,"name":"Locomotive ID","value":"4042"},{"id":130,"name":"Impact","value":""},{"id":150,"name":"Time of Event (Mountain Time)","value":"12:46:57"},{"id":151,"name":"Denver Issue ID","value":""},{"id":178,"name":"Operational Impact","value":"Yes"},{"id":179,"name":"Denver Segment Assigned","value":""}]}} | curl -X POST -H "Content-Type: application/json" -H "X-Redmine-API-Key: d6333d4a04012a730768444271f8ca06482dae87" https://secure.xorail.net/redmine/issues.json --data @-</v>
      </c>
      <c r="AJ80" s="55"/>
      <c r="AK80" s="55"/>
      <c r="AL80" s="55"/>
    </row>
    <row r="81" spans="1:38" s="1" customFormat="1" x14ac:dyDescent="0.25">
      <c r="A81" s="39" t="s">
        <v>474</v>
      </c>
      <c r="B81" s="7">
        <v>4041</v>
      </c>
      <c r="C81" s="24" t="s">
        <v>113</v>
      </c>
      <c r="D81" s="24" t="s">
        <v>475</v>
      </c>
      <c r="E81" s="15">
        <v>42613.536365740743</v>
      </c>
      <c r="F81" s="15">
        <v>42613.539259259262</v>
      </c>
      <c r="G81" s="7">
        <v>1</v>
      </c>
      <c r="H81" s="15" t="s">
        <v>476</v>
      </c>
      <c r="I81" s="15">
        <v>42613.57267361111</v>
      </c>
      <c r="J81" s="7">
        <v>0</v>
      </c>
      <c r="K81" s="132" t="str">
        <f t="shared" si="37"/>
        <v>4041/4042</v>
      </c>
      <c r="L81" s="24" t="str">
        <f>VLOOKUP(A81,'Trips&amp;Operators'!$C$1:$E$10000,3,FALSE)</f>
        <v>YOUNG</v>
      </c>
      <c r="M81" s="6">
        <f t="shared" si="38"/>
        <v>3.3414351848477963E-2</v>
      </c>
      <c r="N81" s="7">
        <f t="shared" si="35"/>
        <v>48.116666661808267</v>
      </c>
      <c r="O81" s="7"/>
      <c r="P81" s="7"/>
      <c r="Q81" s="25"/>
      <c r="R81" s="25"/>
      <c r="S81" s="37">
        <f t="shared" si="36"/>
        <v>1</v>
      </c>
      <c r="T81" s="52" t="str">
        <f t="shared" si="39"/>
        <v>Southbound</v>
      </c>
      <c r="U81" s="126">
        <f>IF(AG81="EC",COUNTIFS(Variables!$M$2:$M$19,IF(T81="NorthBound","&gt;=","&lt;=")&amp;Y81,Variables!$M$2:$M$19,IF(T81="NorthBound","&lt;=","&gt;=")&amp;Z81),COUNTIFS(Variables!$P$2:$P$19,IF(T81="NorthBound","&gt;=","&lt;=")&amp;Y81,Variables!$P$2:$P$19,IF(T81="NorthBound","&lt;=","&gt;=")&amp;Z81))</f>
        <v>12</v>
      </c>
      <c r="V81" s="106" t="str">
        <f t="shared" si="40"/>
        <v>https://search-rtdc-monitor-bjffxe2xuh6vdkpspy63sjmuny.us-east-1.es.amazonaws.com/_plugin/kibana/#/discover/Steve-Slow-Train-Analysis-(2080s-and-2083s)?_g=(refreshInterval:(display:Off,section:0,value:0),time:(from:'2016-08-31 11:52:22-0600',mode:absolute,to:'2016-08-31 14:44:39-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4041%22')),sort:!(Time,asc))</v>
      </c>
      <c r="W81" s="54" t="str">
        <f t="shared" si="41"/>
        <v>N</v>
      </c>
      <c r="X81" s="120">
        <f t="shared" si="34"/>
        <v>1</v>
      </c>
      <c r="Y81" s="69">
        <f t="shared" si="42"/>
        <v>23.301100000000002</v>
      </c>
      <c r="Z81" s="69">
        <f t="shared" si="43"/>
        <v>2.1600000000000001E-2</v>
      </c>
      <c r="AA81" s="69">
        <f t="shared" si="44"/>
        <v>23.279500000000002</v>
      </c>
      <c r="AB81" s="66" t="e">
        <f>VLOOKUP(A81,Enforcements!$C$7:$J$21,8,0)</f>
        <v>#N/A</v>
      </c>
      <c r="AC81" s="62" t="e">
        <f>VLOOKUP(A81,Enforcements!$C$7:$E$21,3,0)</f>
        <v>#N/A</v>
      </c>
      <c r="AD81" s="63" t="str">
        <f t="shared" si="45"/>
        <v>0168-31</v>
      </c>
      <c r="AE81" s="99" t="str">
        <f t="shared" si="46"/>
        <v>aws s3 cp s3://rtdc.mdm.uploadarchive/RTDC4041/2016-08-31/ "%USERPROFILE%\AppData\Local\Temp\OnboardLogs"\RTDC4041\2016-08-31 --recursive &amp; "%USERPROFILE%\Documents\GitHub\mrs-test-scripts\Headless Mode &amp; Sideloading\WalkAndUnGZ.bat" "%USERPROFILE%\AppData\Local\Temp\OnboardLogs"\RTDC4041\2016-08-31 &amp; aws s3 cp s3://rtdc.mdm.uploadarchive/RTDC4041/2016-09-01/ "%USERPROFILE%\AppData\Local\Temp\OnboardLogs"\RTDC4041\2016-09-01 --recursive &amp; "%USERPROFILE%\Documents\GitHub\mrs-test-scripts\Headless Mode &amp; Sideloading\WalkAndUnGZ.bat" "%USERPROFILE%\AppData\Local\Temp\OnboardLogs"\RTDC4041\2016-09-01</v>
      </c>
      <c r="AF81" s="96" t="str">
        <f t="shared" si="47"/>
        <v>"C:\Program Files (x86)\AstroGrep\AstroGrep.exe" /spath="%USERPROFILE%\AppData\Local\Temp\OnboardLogs" /stypes="*4041*20160831*" /stext=" 19:.+((SYSTEM_STATE.+slice.+state.+changed )|(ment ac)|(system.+state.+changed )|(\|lc)|(penalty)|(\[timeout)|(PRM\|1\|D)|(kpr)|(kdp))" /e /r /s</v>
      </c>
      <c r="AG81" s="1" t="str">
        <f t="shared" si="48"/>
        <v>EC</v>
      </c>
      <c r="AH81" s="100" t="str">
        <f t="shared" si="49"/>
        <v>"%USERPROFILE%\Documents\GitHub\eaglep3\Utilities\RefineRTDCRunTimes.py" --tripid 168-31 --locoid 4041 --swversion DE.1.0.7.0 --startMP 204:233011 --initTime 2016-08-31T12:52:22 --startdatetime 2016-08-31T12:56:32 --delay 1 --endMP 204:216 --enddatetime 2016-08-31T13:44:39 --enforcementcount 0 &gt;&gt;C:\Users\stu\Documents\GitHub\eaglep3-reporting\EC\2016-08-31-refined-times.txt</v>
      </c>
      <c r="AI81" s="149" t="str">
        <f t="shared" si="50"/>
        <v>echo {"issue":{"subject":"","project_id":79,"tracker_id":40,"status_id":1,"priority_id":2,"assigned_to_id":23,"start_date":"2016-08-31","description":"","custom_fields":[{"id":1,"name":"Subdivision","value":"EC"},{"id":4,"name":"Milepost","value":"23.2795"},{"id":17,"name":"Train ID","value":"168-31"},{"id":16,"name":"Locomotive ID","value":"4041"},{"id":130,"name":"Impact","value":""},{"id":150,"name":"Time of Event (Mountain Time)","value":"13:44:39"},{"id":151,"name":"Denver Issue ID","value":""},{"id":178,"name":"Operational Impact","value":"Yes"},{"id":179,"name":"Denver Segment Assigned","value":""}]}} | curl -X POST -H "Content-Type: application/json" -H "X-Redmine-API-Key: d6333d4a04012a730768444271f8ca06482dae87" https://secure.xorail.net/redmine/issues.json --data @-</v>
      </c>
      <c r="AJ81" s="55"/>
      <c r="AK81" s="55"/>
      <c r="AL81" s="55"/>
    </row>
    <row r="82" spans="1:38" x14ac:dyDescent="0.25">
      <c r="A82" s="39" t="s">
        <v>477</v>
      </c>
      <c r="B82" s="7">
        <v>4029</v>
      </c>
      <c r="C82" s="24" t="s">
        <v>113</v>
      </c>
      <c r="D82" s="24" t="s">
        <v>478</v>
      </c>
      <c r="E82" s="15">
        <v>42613.51090277778</v>
      </c>
      <c r="F82" s="15">
        <v>42613.513877314814</v>
      </c>
      <c r="G82" s="7">
        <v>1</v>
      </c>
      <c r="H82" s="15" t="s">
        <v>479</v>
      </c>
      <c r="I82" s="15">
        <v>42613.544212962966</v>
      </c>
      <c r="J82" s="7">
        <v>0</v>
      </c>
      <c r="K82" s="132" t="str">
        <f t="shared" si="37"/>
        <v>4029/4030</v>
      </c>
      <c r="L82" s="24" t="str">
        <f>VLOOKUP(A82,'Trips&amp;Operators'!$C$1:$E$10000,3,FALSE)</f>
        <v>BROWN</v>
      </c>
      <c r="M82" s="6">
        <f t="shared" si="38"/>
        <v>3.033564815268619E-2</v>
      </c>
      <c r="N82" s="7">
        <f t="shared" si="35"/>
        <v>43.683333339868113</v>
      </c>
      <c r="O82" s="7"/>
      <c r="P82" s="7"/>
      <c r="Q82" s="25"/>
      <c r="R82" s="25"/>
      <c r="S82" s="37">
        <f t="shared" si="36"/>
        <v>1</v>
      </c>
      <c r="T82" s="52" t="str">
        <f t="shared" si="39"/>
        <v>NorthBound</v>
      </c>
      <c r="U82" s="126">
        <f>IF(AG82="EC",COUNTIFS(Variables!$M$2:$M$19,IF(T82="NorthBound","&gt;=","&lt;=")&amp;Y82,Variables!$M$2:$M$19,IF(T82="NorthBound","&lt;=","&gt;=")&amp;Z82),COUNTIFS(Variables!$P$2:$P$19,IF(T82="NorthBound","&gt;=","&lt;=")&amp;Y82,Variables!$P$2:$P$19,IF(T82="NorthBound","&lt;=","&gt;=")&amp;Z82))</f>
        <v>12</v>
      </c>
      <c r="V82" s="106" t="str">
        <f t="shared" si="40"/>
        <v>https://search-rtdc-monitor-bjffxe2xuh6vdkpspy63sjmuny.us-east-1.es.amazonaws.com/_plugin/kibana/#/discover/Steve-Slow-Train-Analysis-(2080s-and-2083s)?_g=(refreshInterval:(display:Off,section:0,value:0),time:(from:'2016-08-31 11:15:42-0600',mode:absolute,to:'2016-08-31 14:03:40-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4029%22')),sort:!(Time,asc))</v>
      </c>
      <c r="W82" s="54" t="str">
        <f t="shared" si="41"/>
        <v>N</v>
      </c>
      <c r="X82" s="120">
        <f t="shared" si="34"/>
        <v>1</v>
      </c>
      <c r="Y82" s="69">
        <f t="shared" si="42"/>
        <v>4.6899999999999997E-2</v>
      </c>
      <c r="Z82" s="69">
        <f t="shared" si="43"/>
        <v>23.326799999999999</v>
      </c>
      <c r="AA82" s="69">
        <f t="shared" si="44"/>
        <v>23.279899999999998</v>
      </c>
      <c r="AB82" s="66" t="e">
        <f>VLOOKUP(A82,Enforcements!$C$7:$J$21,8,0)</f>
        <v>#N/A</v>
      </c>
      <c r="AC82" s="62" t="e">
        <f>VLOOKUP(A82,Enforcements!$C$7:$E$21,3,0)</f>
        <v>#N/A</v>
      </c>
      <c r="AD82" s="63" t="str">
        <f t="shared" si="45"/>
        <v>0169-31</v>
      </c>
      <c r="AE82" s="99" t="str">
        <f t="shared" si="46"/>
        <v>aws s3 cp s3://rtdc.mdm.uploadarchive/RTDC4029/2016-08-31/ "%USERPROFILE%\AppData\Local\Temp\OnboardLogs"\RTDC4029\2016-08-31 --recursive &amp; "%USERPROFILE%\Documents\GitHub\mrs-test-scripts\Headless Mode &amp; Sideloading\WalkAndUnGZ.bat" "%USERPROFILE%\AppData\Local\Temp\OnboardLogs"\RTDC4029\2016-08-31 &amp; aws s3 cp s3://rtdc.mdm.uploadarchive/RTDC4029/2016-09-01/ "%USERPROFILE%\AppData\Local\Temp\OnboardLogs"\RTDC4029\2016-09-01 --recursive &amp; "%USERPROFILE%\Documents\GitHub\mrs-test-scripts\Headless Mode &amp; Sideloading\WalkAndUnGZ.bat" "%USERPROFILE%\AppData\Local\Temp\OnboardLogs"\RTDC4029\2016-09-01</v>
      </c>
      <c r="AF82" s="96" t="str">
        <f t="shared" si="47"/>
        <v>"C:\Program Files (x86)\AstroGrep\AstroGrep.exe" /spath="%USERPROFILE%\AppData\Local\Temp\OnboardLogs" /stypes="*4029*20160831*" /stext=" 19:.+((SYSTEM_STATE.+slice.+state.+changed )|(ment ac)|(system.+state.+changed )|(\|lc)|(penalty)|(\[timeout)|(PRM\|1\|D)|(kpr)|(kdp))" /e /r /s</v>
      </c>
      <c r="AG82" s="1" t="str">
        <f t="shared" si="48"/>
        <v>EC</v>
      </c>
      <c r="AH82" s="100" t="str">
        <f t="shared" si="49"/>
        <v>"%USERPROFILE%\Documents\GitHub\eaglep3\Utilities\RefineRTDCRunTimes.py" --tripid 169-31 --locoid 4029 --swversion DE.1.0.7.0 --startMP 204:469 --initTime 2016-08-31T12:15:42 --startdatetime 2016-08-31T12:19:59 --delay 1 --endMP 204:233268 --enddatetime 2016-08-31T13:03:40 --enforcementcount 0 &gt;&gt;C:\Users\stu\Documents\GitHub\eaglep3-reporting\EC\2016-08-31-refined-times.txt</v>
      </c>
      <c r="AI82" s="149" t="str">
        <f t="shared" si="50"/>
        <v>echo {"issue":{"subject":"","project_id":79,"tracker_id":40,"status_id":1,"priority_id":2,"assigned_to_id":23,"start_date":"2016-08-31","description":"","custom_fields":[{"id":1,"name":"Subdivision","value":"EC"},{"id":4,"name":"Milepost","value":"23.2799"},{"id":17,"name":"Train ID","value":"169-31"},{"id":16,"name":"Locomotive ID","value":"4029"},{"id":130,"name":"Impact","value":""},{"id":150,"name":"Time of Event (Mountain Time)","value":"13:03:40"},{"id":151,"name":"Denver Issue ID","value":""},{"id":178,"name":"Operational Impact","value":"Yes"},{"id":179,"name":"Denver Segment Assigned","value":""}]}} | curl -X POST -H "Content-Type: application/json" -H "X-Redmine-API-Key: d6333d4a04012a730768444271f8ca06482dae87" https://secure.xorail.net/redmine/issues.json --data @-</v>
      </c>
      <c r="AJ82" s="55"/>
      <c r="AK82" s="55"/>
      <c r="AL82" s="55"/>
    </row>
    <row r="83" spans="1:38" s="23" customFormat="1" x14ac:dyDescent="0.25">
      <c r="A83" s="39" t="s">
        <v>480</v>
      </c>
      <c r="B83" s="7">
        <v>4030</v>
      </c>
      <c r="C83" s="24" t="s">
        <v>113</v>
      </c>
      <c r="D83" s="24" t="s">
        <v>481</v>
      </c>
      <c r="E83" s="15">
        <v>42613.546689814815</v>
      </c>
      <c r="F83" s="15">
        <v>42613.549780092595</v>
      </c>
      <c r="G83" s="7">
        <v>2</v>
      </c>
      <c r="H83" s="15" t="s">
        <v>482</v>
      </c>
      <c r="I83" s="15">
        <v>42613.581979166665</v>
      </c>
      <c r="J83" s="7">
        <v>0</v>
      </c>
      <c r="K83" s="132" t="str">
        <f t="shared" si="37"/>
        <v>4029/4030</v>
      </c>
      <c r="L83" s="24" t="str">
        <f>VLOOKUP(A83,'Trips&amp;Operators'!$C$1:$E$10000,3,FALSE)</f>
        <v>BROWN</v>
      </c>
      <c r="M83" s="6">
        <f t="shared" si="38"/>
        <v>3.219907407037681E-2</v>
      </c>
      <c r="N83" s="7">
        <f t="shared" si="35"/>
        <v>46.366666661342606</v>
      </c>
      <c r="O83" s="7"/>
      <c r="P83" s="7"/>
      <c r="Q83" s="25"/>
      <c r="R83" s="25"/>
      <c r="S83" s="37">
        <f t="shared" si="36"/>
        <v>1</v>
      </c>
      <c r="T83" s="52" t="str">
        <f t="shared" si="39"/>
        <v>Southbound</v>
      </c>
      <c r="U83" s="126">
        <f>IF(AG83="EC",COUNTIFS(Variables!$M$2:$M$19,IF(T83="NorthBound","&gt;=","&lt;=")&amp;Y83,Variables!$M$2:$M$19,IF(T83="NorthBound","&lt;=","&gt;=")&amp;Z83),COUNTIFS(Variables!$P$2:$P$19,IF(T83="NorthBound","&gt;=","&lt;=")&amp;Y83,Variables!$P$2:$P$19,IF(T83="NorthBound","&lt;=","&gt;=")&amp;Z83))</f>
        <v>12</v>
      </c>
      <c r="V83" s="106" t="str">
        <f t="shared" si="40"/>
        <v>https://search-rtdc-monitor-bjffxe2xuh6vdkpspy63sjmuny.us-east-1.es.amazonaws.com/_plugin/kibana/#/discover/Steve-Slow-Train-Analysis-(2080s-and-2083s)?_g=(refreshInterval:(display:Off,section:0,value:0),time:(from:'2016-08-31 12:07:14-0600',mode:absolute,to:'2016-08-31 14:58:03-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4030%22')),sort:!(Time,asc))</v>
      </c>
      <c r="W83" s="54" t="str">
        <f t="shared" si="41"/>
        <v>N</v>
      </c>
      <c r="X83" s="120">
        <f t="shared" ref="X83:X109" si="51">VALUE(LEFT(AD83,4))-VALUE(LEFT(AD82,4))</f>
        <v>1</v>
      </c>
      <c r="Y83" s="69">
        <f t="shared" si="42"/>
        <v>23.2957</v>
      </c>
      <c r="Z83" s="69">
        <f t="shared" si="43"/>
        <v>1.6899999999999998E-2</v>
      </c>
      <c r="AA83" s="69">
        <f t="shared" si="44"/>
        <v>23.2788</v>
      </c>
      <c r="AB83" s="66" t="e">
        <f>VLOOKUP(A83,Enforcements!$C$7:$J$21,8,0)</f>
        <v>#N/A</v>
      </c>
      <c r="AC83" s="62" t="e">
        <f>VLOOKUP(A83,Enforcements!$C$7:$E$21,3,0)</f>
        <v>#N/A</v>
      </c>
      <c r="AD83" s="63" t="str">
        <f t="shared" si="45"/>
        <v>0170-31</v>
      </c>
      <c r="AE83" s="99" t="str">
        <f t="shared" si="46"/>
        <v>aws s3 cp s3://rtdc.mdm.uploadarchive/RTDC4030/2016-08-31/ "%USERPROFILE%\AppData\Local\Temp\OnboardLogs"\RTDC4030\2016-08-31 --recursive &amp; "%USERPROFILE%\Documents\GitHub\mrs-test-scripts\Headless Mode &amp; Sideloading\WalkAndUnGZ.bat" "%USERPROFILE%\AppData\Local\Temp\OnboardLogs"\RTDC4030\2016-08-31 &amp; aws s3 cp s3://rtdc.mdm.uploadarchive/RTDC4030/2016-09-01/ "%USERPROFILE%\AppData\Local\Temp\OnboardLogs"\RTDC4030\2016-09-01 --recursive &amp; "%USERPROFILE%\Documents\GitHub\mrs-test-scripts\Headless Mode &amp; Sideloading\WalkAndUnGZ.bat" "%USERPROFILE%\AppData\Local\Temp\OnboardLogs"\RTDC4030\2016-09-01</v>
      </c>
      <c r="AF83" s="96" t="str">
        <f t="shared" si="47"/>
        <v>"C:\Program Files (x86)\AstroGrep\AstroGrep.exe" /spath="%USERPROFILE%\AppData\Local\Temp\OnboardLogs" /stypes="*4030*20160831*" /stext=" 19:.+((SYSTEM_STATE.+slice.+state.+changed )|(ment ac)|(system.+state.+changed )|(\|lc)|(penalty)|(\[timeout)|(PRM\|1\|D)|(kpr)|(kdp))" /e /r /s</v>
      </c>
      <c r="AG83" s="1" t="str">
        <f t="shared" si="48"/>
        <v>EC</v>
      </c>
      <c r="AH83" s="100" t="str">
        <f t="shared" si="49"/>
        <v>"%USERPROFILE%\Documents\GitHub\eaglep3\Utilities\RefineRTDCRunTimes.py" --tripid 170-31 --locoid 4030 --swversion DE.1.0.7.0 --startMP 204:232957 --initTime 2016-08-31T13:07:14 --startdatetime 2016-08-31T13:11:41 --delay 2 --endMP 204:169 --enddatetime 2016-08-31T13:58:03 --enforcementcount 0 &gt;&gt;C:\Users\stu\Documents\GitHub\eaglep3-reporting\EC\2016-08-31-refined-times.txt</v>
      </c>
      <c r="AI83" s="149" t="str">
        <f t="shared" si="50"/>
        <v>echo {"issue":{"subject":"","project_id":79,"tracker_id":40,"status_id":1,"priority_id":2,"assigned_to_id":23,"start_date":"2016-08-31","description":"","custom_fields":[{"id":1,"name":"Subdivision","value":"EC"},{"id":4,"name":"Milepost","value":"23.2788"},{"id":17,"name":"Train ID","value":"170-31"},{"id":16,"name":"Locomotive ID","value":"4030"},{"id":130,"name":"Impact","value":""},{"id":150,"name":"Time of Event (Mountain Time)","value":"13:58:03"},{"id":151,"name":"Denver Issue ID","value":""},{"id":178,"name":"Operational Impact","value":"Yes"},{"id":179,"name":"Denver Segment Assigned","value":""}]}} | curl -X POST -H "Content-Type: application/json" -H "X-Redmine-API-Key: d6333d4a04012a730768444271f8ca06482dae87" https://secure.xorail.net/redmine/issues.json --data @-</v>
      </c>
      <c r="AJ83" s="55"/>
      <c r="AK83" s="55"/>
      <c r="AL83" s="55"/>
    </row>
    <row r="84" spans="1:38" s="23" customFormat="1" x14ac:dyDescent="0.25">
      <c r="A84" s="39" t="s">
        <v>483</v>
      </c>
      <c r="B84" s="7">
        <v>4044</v>
      </c>
      <c r="C84" s="24" t="s">
        <v>113</v>
      </c>
      <c r="D84" s="24" t="s">
        <v>272</v>
      </c>
      <c r="E84" s="15">
        <v>42613.520833333336</v>
      </c>
      <c r="F84" s="15">
        <v>42613.522835648146</v>
      </c>
      <c r="G84" s="7">
        <v>1</v>
      </c>
      <c r="H84" s="15" t="s">
        <v>335</v>
      </c>
      <c r="I84" s="15">
        <v>42613.555185185185</v>
      </c>
      <c r="J84" s="7">
        <v>0</v>
      </c>
      <c r="K84" s="132" t="str">
        <f t="shared" si="37"/>
        <v>4043/4044</v>
      </c>
      <c r="L84" s="24" t="str">
        <f>VLOOKUP(A84,'Trips&amp;Operators'!$C$1:$E$10000,3,FALSE)</f>
        <v>DE LA ROSA</v>
      </c>
      <c r="M84" s="6">
        <f t="shared" si="38"/>
        <v>3.234953703940846E-2</v>
      </c>
      <c r="N84" s="7">
        <f t="shared" si="35"/>
        <v>46.583333336748183</v>
      </c>
      <c r="O84" s="7"/>
      <c r="P84" s="7"/>
      <c r="Q84" s="25"/>
      <c r="R84" s="25"/>
      <c r="S84" s="37">
        <f t="shared" si="36"/>
        <v>1</v>
      </c>
      <c r="T84" s="52" t="str">
        <f t="shared" si="39"/>
        <v>NorthBound</v>
      </c>
      <c r="U84" s="126">
        <f>IF(AG84="EC",COUNTIFS(Variables!$M$2:$M$19,IF(T84="NorthBound","&gt;=","&lt;=")&amp;Y84,Variables!$M$2:$M$19,IF(T84="NorthBound","&lt;=","&gt;=")&amp;Z84),COUNTIFS(Variables!$P$2:$P$19,IF(T84="NorthBound","&gt;=","&lt;=")&amp;Y84,Variables!$P$2:$P$19,IF(T84="NorthBound","&lt;=","&gt;=")&amp;Z84))</f>
        <v>12</v>
      </c>
      <c r="V84" s="106" t="str">
        <f t="shared" si="40"/>
        <v>https://search-rtdc-monitor-bjffxe2xuh6vdkpspy63sjmuny.us-east-1.es.amazonaws.com/_plugin/kibana/#/discover/Steve-Slow-Train-Analysis-(2080s-and-2083s)?_g=(refreshInterval:(display:Off,section:0,value:0),time:(from:'2016-08-31 11:30:00-0600',mode:absolute,to:'2016-08-31 14:19:28-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4044%22')),sort:!(Time,asc))</v>
      </c>
      <c r="W84" s="54" t="str">
        <f t="shared" si="41"/>
        <v>N</v>
      </c>
      <c r="X84" s="120">
        <f t="shared" si="51"/>
        <v>1</v>
      </c>
      <c r="Y84" s="69">
        <f t="shared" si="42"/>
        <v>4.4600000000000001E-2</v>
      </c>
      <c r="Z84" s="69">
        <f t="shared" si="43"/>
        <v>23.331</v>
      </c>
      <c r="AA84" s="69">
        <f t="shared" si="44"/>
        <v>23.2864</v>
      </c>
      <c r="AB84" s="66" t="e">
        <f>VLOOKUP(A84,Enforcements!$C$7:$J$21,8,0)</f>
        <v>#N/A</v>
      </c>
      <c r="AC84" s="62" t="e">
        <f>VLOOKUP(A84,Enforcements!$C$7:$E$21,3,0)</f>
        <v>#N/A</v>
      </c>
      <c r="AD84" s="63" t="str">
        <f t="shared" si="45"/>
        <v>0171-31</v>
      </c>
      <c r="AE84" s="99" t="str">
        <f t="shared" si="46"/>
        <v>aws s3 cp s3://rtdc.mdm.uploadarchive/RTDC4044/2016-08-31/ "%USERPROFILE%\AppData\Local\Temp\OnboardLogs"\RTDC4044\2016-08-31 --recursive &amp; "%USERPROFILE%\Documents\GitHub\mrs-test-scripts\Headless Mode &amp; Sideloading\WalkAndUnGZ.bat" "%USERPROFILE%\AppData\Local\Temp\OnboardLogs"\RTDC4044\2016-08-31 &amp; aws s3 cp s3://rtdc.mdm.uploadarchive/RTDC4044/2016-09-01/ "%USERPROFILE%\AppData\Local\Temp\OnboardLogs"\RTDC4044\2016-09-01 --recursive &amp; "%USERPROFILE%\Documents\GitHub\mrs-test-scripts\Headless Mode &amp; Sideloading\WalkAndUnGZ.bat" "%USERPROFILE%\AppData\Local\Temp\OnboardLogs"\RTDC4044\2016-09-01</v>
      </c>
      <c r="AF84" s="96" t="str">
        <f t="shared" si="47"/>
        <v>"C:\Program Files (x86)\AstroGrep\AstroGrep.exe" /spath="%USERPROFILE%\AppData\Local\Temp\OnboardLogs" /stypes="*4044*20160831*" /stext=" 19:.+((SYSTEM_STATE.+slice.+state.+changed )|(ment ac)|(system.+state.+changed )|(\|lc)|(penalty)|(\[timeout)|(PRM\|1\|D)|(kpr)|(kdp))" /e /r /s</v>
      </c>
      <c r="AG84" s="1" t="str">
        <f t="shared" si="48"/>
        <v>EC</v>
      </c>
      <c r="AH84" s="100" t="str">
        <f t="shared" si="49"/>
        <v>"%USERPROFILE%\Documents\GitHub\eaglep3\Utilities\RefineRTDCRunTimes.py" --tripid 171-31 --locoid 4044 --swversion DE.1.0.7.0 --startMP 204:446 --initTime 2016-08-31T12:30:00 --startdatetime 2016-08-31T12:32:53 --delay 1 --endMP 204:233310 --enddatetime 2016-08-31T13:19:28 --enforcementcount 0 &gt;&gt;C:\Users\stu\Documents\GitHub\eaglep3-reporting\EC\2016-08-31-refined-times.txt</v>
      </c>
      <c r="AI84" s="149" t="str">
        <f t="shared" si="50"/>
        <v>echo {"issue":{"subject":"","project_id":79,"tracker_id":40,"status_id":1,"priority_id":2,"assigned_to_id":23,"start_date":"2016-08-31","description":"","custom_fields":[{"id":1,"name":"Subdivision","value":"EC"},{"id":4,"name":"Milepost","value":"23.2864"},{"id":17,"name":"Train ID","value":"171-31"},{"id":16,"name":"Locomotive ID","value":"4044"},{"id":130,"name":"Impact","value":""},{"id":150,"name":"Time of Event (Mountain Time)","value":"13:19:28"},{"id":151,"name":"Denver Issue ID","value":""},{"id":178,"name":"Operational Impact","value":"Yes"},{"id":179,"name":"Denver Segment Assigned","value":""}]}} | curl -X POST -H "Content-Type: application/json" -H "X-Redmine-API-Key: d6333d4a04012a730768444271f8ca06482dae87" https://secure.xorail.net/redmine/issues.json --data @-</v>
      </c>
      <c r="AJ84" s="55"/>
      <c r="AK84" s="55"/>
      <c r="AL84" s="55"/>
    </row>
    <row r="85" spans="1:38" x14ac:dyDescent="0.25">
      <c r="A85" s="39" t="s">
        <v>484</v>
      </c>
      <c r="B85" s="7">
        <v>4043</v>
      </c>
      <c r="C85" s="24" t="s">
        <v>113</v>
      </c>
      <c r="D85" s="24" t="s">
        <v>292</v>
      </c>
      <c r="E85" s="15">
        <v>42613.557013888887</v>
      </c>
      <c r="F85" s="15">
        <v>42613.560324074075</v>
      </c>
      <c r="G85" s="7">
        <v>1</v>
      </c>
      <c r="H85" s="15" t="s">
        <v>167</v>
      </c>
      <c r="I85" s="15">
        <v>42613.589456018519</v>
      </c>
      <c r="J85" s="7">
        <v>0</v>
      </c>
      <c r="K85" s="132" t="str">
        <f t="shared" si="37"/>
        <v>4043/4044</v>
      </c>
      <c r="L85" s="24" t="str">
        <f>VLOOKUP(A85,'Trips&amp;Operators'!$C$1:$E$10000,3,FALSE)</f>
        <v>DE LA ROSA</v>
      </c>
      <c r="M85" s="6">
        <f t="shared" si="38"/>
        <v>2.9131944444088731E-2</v>
      </c>
      <c r="N85" s="7">
        <f t="shared" si="35"/>
        <v>41.949999999487773</v>
      </c>
      <c r="O85" s="7"/>
      <c r="P85" s="7"/>
      <c r="Q85" s="25"/>
      <c r="R85" s="25"/>
      <c r="S85" s="37">
        <f t="shared" si="36"/>
        <v>1</v>
      </c>
      <c r="T85" s="52" t="str">
        <f t="shared" si="39"/>
        <v>Southbound</v>
      </c>
      <c r="U85" s="126">
        <f>IF(AG85="EC",COUNTIFS(Variables!$M$2:$M$19,IF(T85="NorthBound","&gt;=","&lt;=")&amp;Y85,Variables!$M$2:$M$19,IF(T85="NorthBound","&lt;=","&gt;=")&amp;Z85),COUNTIFS(Variables!$P$2:$P$19,IF(T85="NorthBound","&gt;=","&lt;=")&amp;Y85,Variables!$P$2:$P$19,IF(T85="NorthBound","&lt;=","&gt;=")&amp;Z85))</f>
        <v>12</v>
      </c>
      <c r="V85" s="106" t="str">
        <f t="shared" si="40"/>
        <v>https://search-rtdc-monitor-bjffxe2xuh6vdkpspy63sjmuny.us-east-1.es.amazonaws.com/_plugin/kibana/#/discover/Steve-Slow-Train-Analysis-(2080s-and-2083s)?_g=(refreshInterval:(display:Off,section:0,value:0),time:(from:'2016-08-31 12:22:06-0600',mode:absolute,to:'2016-08-31 15:08:49-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4043%22')),sort:!(Time,asc))</v>
      </c>
      <c r="W85" s="54" t="str">
        <f t="shared" si="41"/>
        <v>N</v>
      </c>
      <c r="X85" s="120">
        <f t="shared" si="51"/>
        <v>1</v>
      </c>
      <c r="Y85" s="69">
        <f t="shared" si="42"/>
        <v>23.299299999999999</v>
      </c>
      <c r="Z85" s="69">
        <f t="shared" si="43"/>
        <v>1.52E-2</v>
      </c>
      <c r="AA85" s="69">
        <f t="shared" si="44"/>
        <v>23.284099999999999</v>
      </c>
      <c r="AB85" s="66" t="e">
        <f>VLOOKUP(A85,Enforcements!$C$7:$J$21,8,0)</f>
        <v>#N/A</v>
      </c>
      <c r="AC85" s="62" t="e">
        <f>VLOOKUP(A85,Enforcements!$C$7:$E$21,3,0)</f>
        <v>#N/A</v>
      </c>
      <c r="AD85" s="63" t="str">
        <f t="shared" si="45"/>
        <v>0172-31</v>
      </c>
      <c r="AE85" s="99" t="str">
        <f t="shared" si="46"/>
        <v>aws s3 cp s3://rtdc.mdm.uploadarchive/RTDC4043/2016-08-31/ "%USERPROFILE%\AppData\Local\Temp\OnboardLogs"\RTDC4043\2016-08-31 --recursive &amp; "%USERPROFILE%\Documents\GitHub\mrs-test-scripts\Headless Mode &amp; Sideloading\WalkAndUnGZ.bat" "%USERPROFILE%\AppData\Local\Temp\OnboardLogs"\RTDC4043\2016-08-31 &amp; aws s3 cp s3://rtdc.mdm.uploadarchive/RTDC4043/2016-09-01/ "%USERPROFILE%\AppData\Local\Temp\OnboardLogs"\RTDC4043\2016-09-01 --recursive &amp; "%USERPROFILE%\Documents\GitHub\mrs-test-scripts\Headless Mode &amp; Sideloading\WalkAndUnGZ.bat" "%USERPROFILE%\AppData\Local\Temp\OnboardLogs"\RTDC4043\2016-09-01</v>
      </c>
      <c r="AF85" s="96" t="str">
        <f t="shared" si="47"/>
        <v>"C:\Program Files (x86)\AstroGrep\AstroGrep.exe" /spath="%USERPROFILE%\AppData\Local\Temp\OnboardLogs" /stypes="*4043*20160831*" /stext=" 20:.+((SYSTEM_STATE.+slice.+state.+changed )|(ment ac)|(system.+state.+changed )|(\|lc)|(penalty)|(\[timeout)|(PRM\|1\|D)|(kpr)|(kdp))" /e /r /s</v>
      </c>
      <c r="AG85" s="1" t="str">
        <f t="shared" si="48"/>
        <v>EC</v>
      </c>
      <c r="AH85" s="100" t="str">
        <f t="shared" si="49"/>
        <v>"%USERPROFILE%\Documents\GitHub\eaglep3\Utilities\RefineRTDCRunTimes.py" --tripid 172-31 --locoid 4043 --swversion DE.1.0.7.0 --startMP 204:232993 --initTime 2016-08-31T13:22:06 --startdatetime 2016-08-31T13:26:52 --delay 1 --endMP 204:152 --enddatetime 2016-08-31T14:08:49 --enforcementcount 0 &gt;&gt;C:\Users\stu\Documents\GitHub\eaglep3-reporting\EC\2016-08-31-refined-times.txt</v>
      </c>
      <c r="AI85" s="149" t="str">
        <f t="shared" si="50"/>
        <v>echo {"issue":{"subject":"","project_id":79,"tracker_id":40,"status_id":1,"priority_id":2,"assigned_to_id":23,"start_date":"2016-08-31","description":"","custom_fields":[{"id":1,"name":"Subdivision","value":"EC"},{"id":4,"name":"Milepost","value":"23.2841"},{"id":17,"name":"Train ID","value":"172-31"},{"id":16,"name":"Locomotive ID","value":"4043"},{"id":130,"name":"Impact","value":""},{"id":150,"name":"Time of Event (Mountain Time)","value":"14:08:49"},{"id":151,"name":"Denver Issue ID","value":""},{"id":178,"name":"Operational Impact","value":"Yes"},{"id":179,"name":"Denver Segment Assigned","value":""}]}} | curl -X POST -H "Content-Type: application/json" -H "X-Redmine-API-Key: d6333d4a04012a730768444271f8ca06482dae87" https://secure.xorail.net/redmine/issues.json --data @-</v>
      </c>
      <c r="AJ85" s="55"/>
      <c r="AK85" s="55"/>
      <c r="AL85" s="55"/>
    </row>
    <row r="86" spans="1:38" s="23" customFormat="1" x14ac:dyDescent="0.25">
      <c r="A86" s="39" t="s">
        <v>485</v>
      </c>
      <c r="B86" s="7">
        <v>4002</v>
      </c>
      <c r="C86" s="24" t="s">
        <v>113</v>
      </c>
      <c r="D86" s="24" t="s">
        <v>175</v>
      </c>
      <c r="E86" s="15">
        <v>42613.530416666668</v>
      </c>
      <c r="F86" s="15">
        <v>42613.532048611109</v>
      </c>
      <c r="G86" s="7">
        <v>1</v>
      </c>
      <c r="H86" s="15" t="s">
        <v>297</v>
      </c>
      <c r="I86" s="15">
        <v>42613.558796296296</v>
      </c>
      <c r="J86" s="7">
        <v>0</v>
      </c>
      <c r="K86" s="132" t="str">
        <f t="shared" si="37"/>
        <v>4001/4002</v>
      </c>
      <c r="L86" s="24" t="str">
        <f>VLOOKUP(A86,'Trips&amp;Operators'!$C$1:$E$10000,3,FALSE)</f>
        <v>ARVIDSON</v>
      </c>
      <c r="M86" s="6">
        <f t="shared" si="38"/>
        <v>2.6747685187729076E-2</v>
      </c>
      <c r="N86" s="7">
        <f t="shared" si="35"/>
        <v>38.516666670329869</v>
      </c>
      <c r="O86" s="7"/>
      <c r="P86" s="7"/>
      <c r="Q86" s="25"/>
      <c r="R86" s="25"/>
      <c r="S86" s="37">
        <f t="shared" si="36"/>
        <v>1</v>
      </c>
      <c r="T86" s="52" t="str">
        <f t="shared" si="39"/>
        <v>NorthBound</v>
      </c>
      <c r="U86" s="126">
        <f>IF(AG86="EC",COUNTIFS(Variables!$M$2:$M$19,IF(T86="NorthBound","&gt;=","&lt;=")&amp;Y86,Variables!$M$2:$M$19,IF(T86="NorthBound","&lt;=","&gt;=")&amp;Z86),COUNTIFS(Variables!$P$2:$P$19,IF(T86="NorthBound","&gt;=","&lt;=")&amp;Y86,Variables!$P$2:$P$19,IF(T86="NorthBound","&lt;=","&gt;=")&amp;Z86))</f>
        <v>12</v>
      </c>
      <c r="V86" s="106" t="str">
        <f t="shared" si="40"/>
        <v>https://search-rtdc-monitor-bjffxe2xuh6vdkpspy63sjmuny.us-east-1.es.amazonaws.com/_plugin/kibana/#/discover/Steve-Slow-Train-Analysis-(2080s-and-2083s)?_g=(refreshInterval:(display:Off,section:0,value:0),time:(from:'2016-08-31 11:43:48-0600',mode:absolute,to:'2016-08-31 14:24:40-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4002%22')),sort:!(Time,asc))</v>
      </c>
      <c r="W86" s="54" t="str">
        <f t="shared" si="41"/>
        <v>N</v>
      </c>
      <c r="X86" s="120">
        <f t="shared" si="51"/>
        <v>1</v>
      </c>
      <c r="Y86" s="69">
        <f t="shared" si="42"/>
        <v>4.4699999999999997E-2</v>
      </c>
      <c r="Z86" s="69">
        <f t="shared" si="43"/>
        <v>23.3307</v>
      </c>
      <c r="AA86" s="69">
        <f t="shared" si="44"/>
        <v>23.286000000000001</v>
      </c>
      <c r="AB86" s="66" t="e">
        <f>VLOOKUP(A86,Enforcements!$C$7:$J$21,8,0)</f>
        <v>#N/A</v>
      </c>
      <c r="AC86" s="62" t="e">
        <f>VLOOKUP(A86,Enforcements!$C$7:$E$21,3,0)</f>
        <v>#N/A</v>
      </c>
      <c r="AD86" s="63" t="str">
        <f t="shared" si="45"/>
        <v>0173-31</v>
      </c>
      <c r="AE86" s="99" t="str">
        <f t="shared" si="46"/>
        <v>aws s3 cp s3://rtdc.mdm.uploadarchive/RTDC4002/2016-08-31/ "%USERPROFILE%\AppData\Local\Temp\OnboardLogs"\RTDC4002\2016-08-31 --recursive &amp; "%USERPROFILE%\Documents\GitHub\mrs-test-scripts\Headless Mode &amp; Sideloading\WalkAndUnGZ.bat" "%USERPROFILE%\AppData\Local\Temp\OnboardLogs"\RTDC4002\2016-08-31 &amp; aws s3 cp s3://rtdc.mdm.uploadarchive/RTDC4002/2016-09-01/ "%USERPROFILE%\AppData\Local\Temp\OnboardLogs"\RTDC4002\2016-09-01 --recursive &amp; "%USERPROFILE%\Documents\GitHub\mrs-test-scripts\Headless Mode &amp; Sideloading\WalkAndUnGZ.bat" "%USERPROFILE%\AppData\Local\Temp\OnboardLogs"\RTDC4002\2016-09-01</v>
      </c>
      <c r="AF86" s="96" t="str">
        <f t="shared" si="47"/>
        <v>"C:\Program Files (x86)\AstroGrep\AstroGrep.exe" /spath="%USERPROFILE%\AppData\Local\Temp\OnboardLogs" /stypes="*4002*20160831*" /stext=" 19:.+((SYSTEM_STATE.+slice.+state.+changed )|(ment ac)|(system.+state.+changed )|(\|lc)|(penalty)|(\[timeout)|(PRM\|1\|D)|(kpr)|(kdp))" /e /r /s</v>
      </c>
      <c r="AG86" s="1" t="str">
        <f t="shared" si="48"/>
        <v>EC</v>
      </c>
      <c r="AH86" s="100" t="str">
        <f t="shared" si="49"/>
        <v>"%USERPROFILE%\Documents\GitHub\eaglep3\Utilities\RefineRTDCRunTimes.py" --tripid 173-31 --locoid 4002 --swversion DE.1.0.7.0 --startMP 204:447 --initTime 2016-08-31T12:43:48 --startdatetime 2016-08-31T12:46:09 --delay 1 --endMP 204:233307 --enddatetime 2016-08-31T13:24:40 --enforcementcount 0 &gt;&gt;C:\Users\stu\Documents\GitHub\eaglep3-reporting\EC\2016-08-31-refined-times.txt</v>
      </c>
      <c r="AI86" s="149" t="str">
        <f t="shared" si="50"/>
        <v>echo {"issue":{"subject":"","project_id":79,"tracker_id":40,"status_id":1,"priority_id":2,"assigned_to_id":23,"start_date":"2016-08-31","description":"","custom_fields":[{"id":1,"name":"Subdivision","value":"EC"},{"id":4,"name":"Milepost","value":"23.286"},{"id":17,"name":"Train ID","value":"173-31"},{"id":16,"name":"Locomotive ID","value":"4002"},{"id":130,"name":"Impact","value":""},{"id":150,"name":"Time of Event (Mountain Time)","value":"13:24:40"},{"id":151,"name":"Denver Issue ID","value":""},{"id":178,"name":"Operational Impact","value":"Yes"},{"id":179,"name":"Denver Segment Assigned","value":""}]}} | curl -X POST -H "Content-Type: application/json" -H "X-Redmine-API-Key: d6333d4a04012a730768444271f8ca06482dae87" https://secure.xorail.net/redmine/issues.json --data @-</v>
      </c>
      <c r="AJ86" s="55"/>
      <c r="AK86" s="55"/>
      <c r="AL86" s="55"/>
    </row>
    <row r="87" spans="1:38" s="23" customFormat="1" x14ac:dyDescent="0.25">
      <c r="A87" s="39" t="s">
        <v>486</v>
      </c>
      <c r="B87" s="7">
        <v>4001</v>
      </c>
      <c r="C87" s="24" t="s">
        <v>113</v>
      </c>
      <c r="D87" s="24" t="s">
        <v>246</v>
      </c>
      <c r="E87" s="15">
        <v>42613.565358796295</v>
      </c>
      <c r="F87" s="15">
        <v>42613.570671296293</v>
      </c>
      <c r="G87" s="7">
        <v>1</v>
      </c>
      <c r="H87" s="15" t="s">
        <v>174</v>
      </c>
      <c r="I87" s="15">
        <v>42613.602071759262</v>
      </c>
      <c r="J87" s="7">
        <v>0</v>
      </c>
      <c r="K87" s="132" t="str">
        <f t="shared" si="37"/>
        <v>4001/4002</v>
      </c>
      <c r="L87" s="24" t="str">
        <f>VLOOKUP(A87,'Trips&amp;Operators'!$C$1:$E$10000,3,FALSE)</f>
        <v>ROBINSON</v>
      </c>
      <c r="M87" s="6">
        <f t="shared" si="38"/>
        <v>3.1400462969031651E-2</v>
      </c>
      <c r="N87" s="7">
        <f t="shared" si="35"/>
        <v>45.216666675405577</v>
      </c>
      <c r="O87" s="7"/>
      <c r="P87" s="7"/>
      <c r="Q87" s="25"/>
      <c r="R87" s="25"/>
      <c r="S87" s="37">
        <f t="shared" si="36"/>
        <v>1</v>
      </c>
      <c r="T87" s="52" t="str">
        <f t="shared" si="39"/>
        <v>Southbound</v>
      </c>
      <c r="U87" s="126">
        <f>IF(AG87="EC",COUNTIFS(Variables!$M$2:$M$19,IF(T87="NorthBound","&gt;=","&lt;=")&amp;Y87,Variables!$M$2:$M$19,IF(T87="NorthBound","&lt;=","&gt;=")&amp;Z87),COUNTIFS(Variables!$P$2:$P$19,IF(T87="NorthBound","&gt;=","&lt;=")&amp;Y87,Variables!$P$2:$P$19,IF(T87="NorthBound","&lt;=","&gt;=")&amp;Z87))</f>
        <v>12</v>
      </c>
      <c r="V87" s="106" t="str">
        <f t="shared" si="40"/>
        <v>https://search-rtdc-monitor-bjffxe2xuh6vdkpspy63sjmuny.us-east-1.es.amazonaws.com/_plugin/kibana/#/discover/Steve-Slow-Train-Analysis-(2080s-and-2083s)?_g=(refreshInterval:(display:Off,section:0,value:0),time:(from:'2016-08-31 12:34:07-0600',mode:absolute,to:'2016-08-31 15:26:59-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4001%22')),sort:!(Time,asc))</v>
      </c>
      <c r="W87" s="54" t="str">
        <f t="shared" si="41"/>
        <v>N</v>
      </c>
      <c r="X87" s="120">
        <f t="shared" si="51"/>
        <v>1</v>
      </c>
      <c r="Y87" s="69">
        <f t="shared" si="42"/>
        <v>23.2988</v>
      </c>
      <c r="Z87" s="69">
        <f t="shared" si="43"/>
        <v>1.4500000000000001E-2</v>
      </c>
      <c r="AA87" s="69">
        <f t="shared" si="44"/>
        <v>23.284299999999998</v>
      </c>
      <c r="AB87" s="66" t="e">
        <f>VLOOKUP(A87,Enforcements!$C$7:$J$21,8,0)</f>
        <v>#N/A</v>
      </c>
      <c r="AC87" s="62" t="e">
        <f>VLOOKUP(A87,Enforcements!$C$7:$E$21,3,0)</f>
        <v>#N/A</v>
      </c>
      <c r="AD87" s="63" t="str">
        <f t="shared" si="45"/>
        <v>0174-31</v>
      </c>
      <c r="AE87" s="99" t="str">
        <f t="shared" si="46"/>
        <v>aws s3 cp s3://rtdc.mdm.uploadarchive/RTDC4001/2016-08-31/ "%USERPROFILE%\AppData\Local\Temp\OnboardLogs"\RTDC4001\2016-08-31 --recursive &amp; "%USERPROFILE%\Documents\GitHub\mrs-test-scripts\Headless Mode &amp; Sideloading\WalkAndUnGZ.bat" "%USERPROFILE%\AppData\Local\Temp\OnboardLogs"\RTDC4001\2016-08-31 &amp; aws s3 cp s3://rtdc.mdm.uploadarchive/RTDC4001/2016-09-01/ "%USERPROFILE%\AppData\Local\Temp\OnboardLogs"\RTDC4001\2016-09-01 --recursive &amp; "%USERPROFILE%\Documents\GitHub\mrs-test-scripts\Headless Mode &amp; Sideloading\WalkAndUnGZ.bat" "%USERPROFILE%\AppData\Local\Temp\OnboardLogs"\RTDC4001\2016-09-01</v>
      </c>
      <c r="AF87" s="96" t="str">
        <f t="shared" si="47"/>
        <v>"C:\Program Files (x86)\AstroGrep\AstroGrep.exe" /spath="%USERPROFILE%\AppData\Local\Temp\OnboardLogs" /stypes="*4001*20160831*" /stext=" 20:.+((SYSTEM_STATE.+slice.+state.+changed )|(ment ac)|(system.+state.+changed )|(\|lc)|(penalty)|(\[timeout)|(PRM\|1\|D)|(kpr)|(kdp))" /e /r /s</v>
      </c>
      <c r="AG87" s="1" t="str">
        <f t="shared" si="48"/>
        <v>EC</v>
      </c>
      <c r="AH87" s="100" t="str">
        <f t="shared" si="49"/>
        <v>"%USERPROFILE%\Documents\GitHub\eaglep3\Utilities\RefineRTDCRunTimes.py" --tripid 174-31 --locoid 4001 --swversion DE.1.0.7.0 --startMP 204:232988 --initTime 2016-08-31T13:34:07 --startdatetime 2016-08-31T13:41:46 --delay 1 --endMP 204:145 --enddatetime 2016-08-31T14:26:59 --enforcementcount 0 &gt;&gt;C:\Users\stu\Documents\GitHub\eaglep3-reporting\EC\2016-08-31-refined-times.txt</v>
      </c>
      <c r="AI87" s="149" t="str">
        <f t="shared" si="50"/>
        <v>echo {"issue":{"subject":"","project_id":79,"tracker_id":40,"status_id":1,"priority_id":2,"assigned_to_id":23,"start_date":"2016-08-31","description":"","custom_fields":[{"id":1,"name":"Subdivision","value":"EC"},{"id":4,"name":"Milepost","value":"23.2843"},{"id":17,"name":"Train ID","value":"174-31"},{"id":16,"name":"Locomotive ID","value":"4001"},{"id":130,"name":"Impact","value":""},{"id":150,"name":"Time of Event (Mountain Time)","value":"14:26:59"},{"id":151,"name":"Denver Issue ID","value":""},{"id":178,"name":"Operational Impact","value":"Yes"},{"id":179,"name":"Denver Segment Assigned","value":""}]}} | curl -X POST -H "Content-Type: application/json" -H "X-Redmine-API-Key: d6333d4a04012a730768444271f8ca06482dae87" https://secure.xorail.net/redmine/issues.json --data @-</v>
      </c>
      <c r="AJ87" s="55"/>
      <c r="AK87" s="55"/>
      <c r="AL87" s="55"/>
    </row>
    <row r="88" spans="1:38" x14ac:dyDescent="0.25">
      <c r="A88" s="39" t="s">
        <v>487</v>
      </c>
      <c r="B88" s="7">
        <v>4016</v>
      </c>
      <c r="C88" s="24" t="s">
        <v>113</v>
      </c>
      <c r="D88" s="24" t="s">
        <v>343</v>
      </c>
      <c r="E88" s="15">
        <v>42613.539467592593</v>
      </c>
      <c r="F88" s="15">
        <v>42613.542280092595</v>
      </c>
      <c r="G88" s="7">
        <v>1</v>
      </c>
      <c r="H88" s="15" t="s">
        <v>296</v>
      </c>
      <c r="I88" s="15">
        <v>42613.570462962962</v>
      </c>
      <c r="J88" s="7">
        <v>0</v>
      </c>
      <c r="K88" s="132" t="str">
        <f t="shared" si="37"/>
        <v>4015/4016</v>
      </c>
      <c r="L88" s="24" t="str">
        <f>VLOOKUP(A88,'Trips&amp;Operators'!$C$1:$E$10000,3,FALSE)</f>
        <v>BARTLETT</v>
      </c>
      <c r="M88" s="6">
        <f t="shared" si="38"/>
        <v>2.8182870366435964E-2</v>
      </c>
      <c r="N88" s="7">
        <f t="shared" si="35"/>
        <v>40.583333327667788</v>
      </c>
      <c r="O88" s="7"/>
      <c r="P88" s="7"/>
      <c r="Q88" s="25"/>
      <c r="R88" s="25"/>
      <c r="S88" s="37">
        <f t="shared" si="36"/>
        <v>1</v>
      </c>
      <c r="T88" s="52" t="str">
        <f t="shared" si="39"/>
        <v>NorthBound</v>
      </c>
      <c r="U88" s="126">
        <f>IF(AG88="EC",COUNTIFS(Variables!$M$2:$M$19,IF(T88="NorthBound","&gt;=","&lt;=")&amp;Y88,Variables!$M$2:$M$19,IF(T88="NorthBound","&lt;=","&gt;=")&amp;Z88),COUNTIFS(Variables!$P$2:$P$19,IF(T88="NorthBound","&gt;=","&lt;=")&amp;Y88,Variables!$P$2:$P$19,IF(T88="NorthBound","&lt;=","&gt;=")&amp;Z88))</f>
        <v>12</v>
      </c>
      <c r="V88" s="106" t="str">
        <f t="shared" si="40"/>
        <v>https://search-rtdc-monitor-bjffxe2xuh6vdkpspy63sjmuny.us-east-1.es.amazonaws.com/_plugin/kibana/#/discover/Steve-Slow-Train-Analysis-(2080s-and-2083s)?_g=(refreshInterval:(display:Off,section:0,value:0),time:(from:'2016-08-31 11:56:50-0600',mode:absolute,to:'2016-08-31 14:41:28-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4016%22')),sort:!(Time,asc))</v>
      </c>
      <c r="W88" s="54" t="str">
        <f t="shared" si="41"/>
        <v>N</v>
      </c>
      <c r="X88" s="120">
        <f t="shared" si="51"/>
        <v>1</v>
      </c>
      <c r="Y88" s="69">
        <f t="shared" si="42"/>
        <v>5.33E-2</v>
      </c>
      <c r="Z88" s="69">
        <f t="shared" si="43"/>
        <v>23.332100000000001</v>
      </c>
      <c r="AA88" s="69">
        <f t="shared" si="44"/>
        <v>23.2788</v>
      </c>
      <c r="AB88" s="66" t="e">
        <f>VLOOKUP(A88,Enforcements!$C$7:$J$21,8,0)</f>
        <v>#N/A</v>
      </c>
      <c r="AC88" s="62" t="e">
        <f>VLOOKUP(A88,Enforcements!$C$7:$E$21,3,0)</f>
        <v>#N/A</v>
      </c>
      <c r="AD88" s="63" t="str">
        <f t="shared" si="45"/>
        <v>0175-31</v>
      </c>
      <c r="AE88" s="99" t="str">
        <f t="shared" si="46"/>
        <v>aws s3 cp s3://rtdc.mdm.uploadarchive/RTDC4016/2016-08-31/ "%USERPROFILE%\AppData\Local\Temp\OnboardLogs"\RTDC4016\2016-08-31 --recursive &amp; "%USERPROFILE%\Documents\GitHub\mrs-test-scripts\Headless Mode &amp; Sideloading\WalkAndUnGZ.bat" "%USERPROFILE%\AppData\Local\Temp\OnboardLogs"\RTDC4016\2016-08-31 &amp; aws s3 cp s3://rtdc.mdm.uploadarchive/RTDC4016/2016-09-01/ "%USERPROFILE%\AppData\Local\Temp\OnboardLogs"\RTDC4016\2016-09-01 --recursive &amp; "%USERPROFILE%\Documents\GitHub\mrs-test-scripts\Headless Mode &amp; Sideloading\WalkAndUnGZ.bat" "%USERPROFILE%\AppData\Local\Temp\OnboardLogs"\RTDC4016\2016-09-01</v>
      </c>
      <c r="AF88" s="96" t="str">
        <f t="shared" si="47"/>
        <v>"C:\Program Files (x86)\AstroGrep\AstroGrep.exe" /spath="%USERPROFILE%\AppData\Local\Temp\OnboardLogs" /stypes="*4016*20160831*" /stext=" 19:.+((SYSTEM_STATE.+slice.+state.+changed )|(ment ac)|(system.+state.+changed )|(\|lc)|(penalty)|(\[timeout)|(PRM\|1\|D)|(kpr)|(kdp))" /e /r /s</v>
      </c>
      <c r="AG88" s="1" t="str">
        <f t="shared" si="48"/>
        <v>EC</v>
      </c>
      <c r="AH88" s="100" t="str">
        <f t="shared" si="49"/>
        <v>"%USERPROFILE%\Documents\GitHub\eaglep3\Utilities\RefineRTDCRunTimes.py" --tripid 175-31 --locoid 4016 --swversion DE.1.0.7.0 --startMP 204:533 --initTime 2016-08-31T12:56:50 --startdatetime 2016-08-31T13:00:53 --delay 1 --endMP 204:233321 --enddatetime 2016-08-31T13:41:28 --enforcementcount 0 &gt;&gt;C:\Users\stu\Documents\GitHub\eaglep3-reporting\EC\2016-08-31-refined-times.txt</v>
      </c>
      <c r="AI88" s="149" t="str">
        <f t="shared" si="50"/>
        <v>echo {"issue":{"subject":"","project_id":79,"tracker_id":40,"status_id":1,"priority_id":2,"assigned_to_id":23,"start_date":"2016-08-31","description":"","custom_fields":[{"id":1,"name":"Subdivision","value":"EC"},{"id":4,"name":"Milepost","value":"23.2788"},{"id":17,"name":"Train ID","value":"175-31"},{"id":16,"name":"Locomotive ID","value":"4016"},{"id":130,"name":"Impact","value":""},{"id":150,"name":"Time of Event (Mountain Time)","value":"13:41:28"},{"id":151,"name":"Denver Issue ID","value":""},{"id":178,"name":"Operational Impact","value":"Yes"},{"id":179,"name":"Denver Segment Assigned","value":""}]}} | curl -X POST -H "Content-Type: application/json" -H "X-Redmine-API-Key: d6333d4a04012a730768444271f8ca06482dae87" https://secure.xorail.net/redmine/issues.json --data @-</v>
      </c>
      <c r="AJ88" s="55"/>
      <c r="AK88" s="55"/>
      <c r="AL88" s="55"/>
    </row>
    <row r="89" spans="1:38" x14ac:dyDescent="0.25">
      <c r="A89" s="39" t="s">
        <v>488</v>
      </c>
      <c r="B89" s="7">
        <v>4015</v>
      </c>
      <c r="C89" s="24" t="s">
        <v>113</v>
      </c>
      <c r="D89" s="24" t="s">
        <v>395</v>
      </c>
      <c r="E89" s="15">
        <v>42613.574733796297</v>
      </c>
      <c r="F89" s="15">
        <v>42613.580717592595</v>
      </c>
      <c r="G89" s="7">
        <v>1</v>
      </c>
      <c r="H89" s="15" t="s">
        <v>132</v>
      </c>
      <c r="I89" s="15">
        <v>42613.612303240741</v>
      </c>
      <c r="J89" s="7">
        <v>0</v>
      </c>
      <c r="K89" s="132" t="str">
        <f t="shared" si="37"/>
        <v>4015/4016</v>
      </c>
      <c r="L89" s="24" t="str">
        <f>VLOOKUP(A89,'Trips&amp;Operators'!$C$1:$E$10000,3,FALSE)</f>
        <v>BARTLETT</v>
      </c>
      <c r="M89" s="6">
        <f t="shared" si="38"/>
        <v>3.1585648146574385E-2</v>
      </c>
      <c r="N89" s="7">
        <f t="shared" si="35"/>
        <v>45.483333331067115</v>
      </c>
      <c r="O89" s="7"/>
      <c r="P89" s="7"/>
      <c r="Q89" s="25"/>
      <c r="R89" s="25"/>
      <c r="S89" s="37">
        <f t="shared" si="36"/>
        <v>1</v>
      </c>
      <c r="T89" s="52" t="str">
        <f t="shared" si="39"/>
        <v>Southbound</v>
      </c>
      <c r="U89" s="126">
        <f>IF(AG89="EC",COUNTIFS(Variables!$M$2:$M$19,IF(T89="NorthBound","&gt;=","&lt;=")&amp;Y89,Variables!$M$2:$M$19,IF(T89="NorthBound","&lt;=","&gt;=")&amp;Z89),COUNTIFS(Variables!$P$2:$P$19,IF(T89="NorthBound","&gt;=","&lt;=")&amp;Y89,Variables!$P$2:$P$19,IF(T89="NorthBound","&lt;=","&gt;=")&amp;Z89))</f>
        <v>12</v>
      </c>
      <c r="V89" s="106" t="str">
        <f t="shared" si="40"/>
        <v>https://search-rtdc-monitor-bjffxe2xuh6vdkpspy63sjmuny.us-east-1.es.amazonaws.com/_plugin/kibana/#/discover/Steve-Slow-Train-Analysis-(2080s-and-2083s)?_g=(refreshInterval:(display:Off,section:0,value:0),time:(from:'2016-08-31 12:47:37-0600',mode:absolute,to:'2016-08-31 15:41:43-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4015%22')),sort:!(Time,asc))</v>
      </c>
      <c r="W89" s="54" t="str">
        <f t="shared" si="41"/>
        <v>N</v>
      </c>
      <c r="X89" s="120">
        <f t="shared" si="51"/>
        <v>1</v>
      </c>
      <c r="Y89" s="69">
        <f t="shared" si="42"/>
        <v>23.3002</v>
      </c>
      <c r="Z89" s="69">
        <f t="shared" si="43"/>
        <v>1.47E-2</v>
      </c>
      <c r="AA89" s="69">
        <f t="shared" si="44"/>
        <v>23.285499999999999</v>
      </c>
      <c r="AB89" s="66" t="e">
        <f>VLOOKUP(A89,Enforcements!$C$7:$J$21,8,0)</f>
        <v>#N/A</v>
      </c>
      <c r="AC89" s="62" t="e">
        <f>VLOOKUP(A89,Enforcements!$C$7:$E$21,3,0)</f>
        <v>#N/A</v>
      </c>
      <c r="AD89" s="63" t="str">
        <f t="shared" si="45"/>
        <v>0176-31</v>
      </c>
      <c r="AE89" s="99" t="str">
        <f t="shared" si="46"/>
        <v>aws s3 cp s3://rtdc.mdm.uploadarchive/RTDC4015/2016-08-31/ "%USERPROFILE%\AppData\Local\Temp\OnboardLogs"\RTDC4015\2016-08-31 --recursive &amp; "%USERPROFILE%\Documents\GitHub\mrs-test-scripts\Headless Mode &amp; Sideloading\WalkAndUnGZ.bat" "%USERPROFILE%\AppData\Local\Temp\OnboardLogs"\RTDC4015\2016-08-31 &amp; aws s3 cp s3://rtdc.mdm.uploadarchive/RTDC4015/2016-09-01/ "%USERPROFILE%\AppData\Local\Temp\OnboardLogs"\RTDC4015\2016-09-01 --recursive &amp; "%USERPROFILE%\Documents\GitHub\mrs-test-scripts\Headless Mode &amp; Sideloading\WalkAndUnGZ.bat" "%USERPROFILE%\AppData\Local\Temp\OnboardLogs"\RTDC4015\2016-09-01</v>
      </c>
      <c r="AF89" s="96" t="str">
        <f t="shared" si="47"/>
        <v>"C:\Program Files (x86)\AstroGrep\AstroGrep.exe" /spath="%USERPROFILE%\AppData\Local\Temp\OnboardLogs" /stypes="*4015*20160831*" /stext=" 20:.+((SYSTEM_STATE.+slice.+state.+changed )|(ment ac)|(system.+state.+changed )|(\|lc)|(penalty)|(\[timeout)|(PRM\|1\|D)|(kpr)|(kdp))" /e /r /s</v>
      </c>
      <c r="AG89" s="1" t="str">
        <f t="shared" si="48"/>
        <v>EC</v>
      </c>
      <c r="AH89" s="100" t="str">
        <f t="shared" si="49"/>
        <v>"%USERPROFILE%\Documents\GitHub\eaglep3\Utilities\RefineRTDCRunTimes.py" --tripid 176-31 --locoid 4015 --swversion DE.1.0.7.0 --startMP 204:233002 --initTime 2016-08-31T13:47:37 --startdatetime 2016-08-31T13:56:14 --delay 1 --endMP 204:147 --enddatetime 2016-08-31T14:41:43 --enforcementcount 0 &gt;&gt;C:\Users\stu\Documents\GitHub\eaglep3-reporting\EC\2016-08-31-refined-times.txt</v>
      </c>
      <c r="AI89" s="149" t="str">
        <f t="shared" si="50"/>
        <v>echo {"issue":{"subject":"","project_id":79,"tracker_id":40,"status_id":1,"priority_id":2,"assigned_to_id":23,"start_date":"2016-08-31","description":"","custom_fields":[{"id":1,"name":"Subdivision","value":"EC"},{"id":4,"name":"Milepost","value":"23.2855"},{"id":17,"name":"Train ID","value":"176-31"},{"id":16,"name":"Locomotive ID","value":"4015"},{"id":130,"name":"Impact","value":""},{"id":150,"name":"Time of Event (Mountain Time)","value":"14:41:43"},{"id":151,"name":"Denver Issue ID","value":""},{"id":178,"name":"Operational Impact","value":"Yes"},{"id":179,"name":"Denver Segment Assigned","value":""}]}} | curl -X POST -H "Content-Type: application/json" -H "X-Redmine-API-Key: d6333d4a04012a730768444271f8ca06482dae87" https://secure.xorail.net/redmine/issues.json --data @-</v>
      </c>
      <c r="AJ89" s="55"/>
      <c r="AK89" s="55"/>
      <c r="AL89" s="55"/>
    </row>
    <row r="90" spans="1:38" s="23" customFormat="1" x14ac:dyDescent="0.25">
      <c r="A90" s="39" t="s">
        <v>489</v>
      </c>
      <c r="B90" s="7">
        <v>4014</v>
      </c>
      <c r="C90" s="24" t="s">
        <v>113</v>
      </c>
      <c r="D90" s="24" t="s">
        <v>268</v>
      </c>
      <c r="E90" s="15">
        <v>42613.555902777778</v>
      </c>
      <c r="F90" s="15">
        <v>42613.558194444442</v>
      </c>
      <c r="G90" s="7">
        <v>1</v>
      </c>
      <c r="H90" s="15" t="s">
        <v>284</v>
      </c>
      <c r="I90" s="15">
        <v>42613.589629629627</v>
      </c>
      <c r="J90" s="7">
        <v>0</v>
      </c>
      <c r="K90" s="132" t="str">
        <f t="shared" si="37"/>
        <v>4013/4014</v>
      </c>
      <c r="L90" s="24" t="str">
        <f>VLOOKUP(A90,'Trips&amp;Operators'!$C$1:$E$10000,3,FALSE)</f>
        <v>MAHAN</v>
      </c>
      <c r="M90" s="6">
        <f t="shared" si="38"/>
        <v>3.1435185184818693E-2</v>
      </c>
      <c r="N90" s="7">
        <f t="shared" si="35"/>
        <v>45.266666666138917</v>
      </c>
      <c r="O90" s="7"/>
      <c r="P90" s="7"/>
      <c r="Q90" s="25"/>
      <c r="R90" s="25"/>
      <c r="S90" s="37">
        <f t="shared" si="36"/>
        <v>1</v>
      </c>
      <c r="T90" s="52" t="str">
        <f t="shared" si="39"/>
        <v>NorthBound</v>
      </c>
      <c r="U90" s="126">
        <f>IF(AG90="EC",COUNTIFS(Variables!$M$2:$M$19,IF(T90="NorthBound","&gt;=","&lt;=")&amp;Y90,Variables!$M$2:$M$19,IF(T90="NorthBound","&lt;=","&gt;=")&amp;Z90),COUNTIFS(Variables!$P$2:$P$19,IF(T90="NorthBound","&gt;=","&lt;=")&amp;Y90,Variables!$P$2:$P$19,IF(T90="NorthBound","&lt;=","&gt;=")&amp;Z90))</f>
        <v>12</v>
      </c>
      <c r="V90" s="106" t="str">
        <f t="shared" si="40"/>
        <v>https://search-rtdc-monitor-bjffxe2xuh6vdkpspy63sjmuny.us-east-1.es.amazonaws.com/_plugin/kibana/#/discover/Steve-Slow-Train-Analysis-(2080s-and-2083s)?_g=(refreshInterval:(display:Off,section:0,value:0),time:(from:'2016-08-31 12:20:30-0600',mode:absolute,to:'2016-08-31 15:09:04-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4014%22')),sort:!(Time,asc))</v>
      </c>
      <c r="W90" s="54" t="str">
        <f t="shared" si="41"/>
        <v>N</v>
      </c>
      <c r="X90" s="120">
        <f t="shared" si="51"/>
        <v>1</v>
      </c>
      <c r="Y90" s="69">
        <f t="shared" si="42"/>
        <v>4.4200000000000003E-2</v>
      </c>
      <c r="Z90" s="69">
        <f t="shared" si="43"/>
        <v>23.331399999999999</v>
      </c>
      <c r="AA90" s="69">
        <f t="shared" si="44"/>
        <v>23.287199999999999</v>
      </c>
      <c r="AB90" s="66">
        <f>VLOOKUP(A90,Enforcements!$C$7:$J$21,8,0)</f>
        <v>33137</v>
      </c>
      <c r="AC90" s="62" t="str">
        <f>VLOOKUP(A90,Enforcements!$C$7:$E$21,3,0)</f>
        <v>GRADE CROSSING</v>
      </c>
      <c r="AD90" s="63" t="str">
        <f t="shared" si="45"/>
        <v>0177-31</v>
      </c>
      <c r="AE90" s="99" t="str">
        <f t="shared" si="46"/>
        <v>aws s3 cp s3://rtdc.mdm.uploadarchive/RTDC4014/2016-08-31/ "%USERPROFILE%\AppData\Local\Temp\OnboardLogs"\RTDC4014\2016-08-31 --recursive &amp; "%USERPROFILE%\Documents\GitHub\mrs-test-scripts\Headless Mode &amp; Sideloading\WalkAndUnGZ.bat" "%USERPROFILE%\AppData\Local\Temp\OnboardLogs"\RTDC4014\2016-08-31 &amp; aws s3 cp s3://rtdc.mdm.uploadarchive/RTDC4014/2016-09-01/ "%USERPROFILE%\AppData\Local\Temp\OnboardLogs"\RTDC4014\2016-09-01 --recursive &amp; "%USERPROFILE%\Documents\GitHub\mrs-test-scripts\Headless Mode &amp; Sideloading\WalkAndUnGZ.bat" "%USERPROFILE%\AppData\Local\Temp\OnboardLogs"\RTDC4014\2016-09-01</v>
      </c>
      <c r="AF90" s="96" t="str">
        <f t="shared" si="47"/>
        <v>"C:\Program Files (x86)\AstroGrep\AstroGrep.exe" /spath="%USERPROFILE%\AppData\Local\Temp\OnboardLogs" /stypes="*4014*20160831*" /stext=" 20:.+((SYSTEM_STATE.+slice.+state.+changed )|(ment ac)|(system.+state.+changed )|(\|lc)|(penalty)|(\[timeout)|(PRM\|1\|D)|(kpr)|(kdp))" /e /r /s</v>
      </c>
      <c r="AG90" s="1" t="str">
        <f t="shared" si="48"/>
        <v>EC</v>
      </c>
      <c r="AH90" s="100" t="str">
        <f t="shared" si="49"/>
        <v>"%USERPROFILE%\Documents\GitHub\eaglep3\Utilities\RefineRTDCRunTimes.py" --tripid 177-31 --locoid 4014 --swversion DE.1.0.7.0 --startMP 204:442 --initTime 2016-08-31T13:20:30 --startdatetime 2016-08-31T13:23:48 --delay 1 --endMP 204:233314 --enddatetime 2016-08-31T14:09:04 --enforcementcount 0 &gt;&gt;C:\Users\stu\Documents\GitHub\eaglep3-reporting\EC\2016-08-31-refined-times.txt</v>
      </c>
      <c r="AI90" s="149" t="str">
        <f t="shared" si="50"/>
        <v>echo {"issue":{"subject":"","project_id":79,"tracker_id":40,"status_id":1,"priority_id":2,"assigned_to_id":23,"start_date":"2016-08-31","description":"","custom_fields":[{"id":1,"name":"Subdivision","value":"EC"},{"id":4,"name":"Milepost","value":"23.2872"},{"id":17,"name":"Train ID","value":"177-31"},{"id":16,"name":"Locomotive ID","value":"4014"},{"id":130,"name":"Impact","value":""},{"id":150,"name":"Time of Event (Mountain Time)","value":"14:09:04"},{"id":151,"name":"Denver Issue ID","value":""},{"id":178,"name":"Operational Impact","value":"Yes"},{"id":179,"name":"Denver Segment Assigned","value":""}]}} | curl -X POST -H "Content-Type: application/json" -H "X-Redmine-API-Key: d6333d4a04012a730768444271f8ca06482dae87" https://secure.xorail.net/redmine/issues.json --data @-</v>
      </c>
      <c r="AJ90" s="55"/>
      <c r="AK90" s="55"/>
      <c r="AL90" s="55"/>
    </row>
    <row r="91" spans="1:38" x14ac:dyDescent="0.25">
      <c r="A91" s="39" t="s">
        <v>490</v>
      </c>
      <c r="B91" s="7">
        <v>4013</v>
      </c>
      <c r="C91" s="24" t="s">
        <v>113</v>
      </c>
      <c r="D91" s="24" t="s">
        <v>288</v>
      </c>
      <c r="E91" s="15">
        <v>42613.592499999999</v>
      </c>
      <c r="F91" s="15">
        <v>42613.594641203701</v>
      </c>
      <c r="G91" s="7">
        <v>1</v>
      </c>
      <c r="H91" s="15" t="s">
        <v>385</v>
      </c>
      <c r="I91" s="15">
        <v>42613.628460648149</v>
      </c>
      <c r="J91" s="7">
        <v>0</v>
      </c>
      <c r="K91" s="132" t="str">
        <f t="shared" si="37"/>
        <v>4013/4014</v>
      </c>
      <c r="L91" s="24" t="str">
        <f>VLOOKUP(A91,'Trips&amp;Operators'!$C$1:$E$10000,3,FALSE)</f>
        <v>MAHAN</v>
      </c>
      <c r="M91" s="6">
        <f t="shared" si="38"/>
        <v>3.3819444448454306E-2</v>
      </c>
      <c r="N91" s="7">
        <f t="shared" si="35"/>
        <v>48.7000000057742</v>
      </c>
      <c r="O91" s="7"/>
      <c r="P91" s="7"/>
      <c r="Q91" s="25"/>
      <c r="R91" s="25"/>
      <c r="S91" s="37">
        <f t="shared" si="36"/>
        <v>1</v>
      </c>
      <c r="T91" s="52" t="str">
        <f t="shared" si="39"/>
        <v>Southbound</v>
      </c>
      <c r="U91" s="126">
        <f>IF(AG91="EC",COUNTIFS(Variables!$M$2:$M$19,IF(T91="NorthBound","&gt;=","&lt;=")&amp;Y91,Variables!$M$2:$M$19,IF(T91="NorthBound","&lt;=","&gt;=")&amp;Z91),COUNTIFS(Variables!$P$2:$P$19,IF(T91="NorthBound","&gt;=","&lt;=")&amp;Y91,Variables!$P$2:$P$19,IF(T91="NorthBound","&lt;=","&gt;=")&amp;Z91))</f>
        <v>12</v>
      </c>
      <c r="V91" s="106" t="str">
        <f t="shared" si="40"/>
        <v>https://search-rtdc-monitor-bjffxe2xuh6vdkpspy63sjmuny.us-east-1.es.amazonaws.com/_plugin/kibana/#/discover/Steve-Slow-Train-Analysis-(2080s-and-2083s)?_g=(refreshInterval:(display:Off,section:0,value:0),time:(from:'2016-08-31 13:13:12-0600',mode:absolute,to:'2016-08-31 16:04:59-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4013%22')),sort:!(Time,asc))</v>
      </c>
      <c r="W91" s="54" t="str">
        <f t="shared" si="41"/>
        <v>N</v>
      </c>
      <c r="X91" s="120">
        <f t="shared" si="51"/>
        <v>1</v>
      </c>
      <c r="Y91" s="69">
        <f t="shared" si="42"/>
        <v>23.297499999999999</v>
      </c>
      <c r="Z91" s="69">
        <f t="shared" si="43"/>
        <v>1.4999999999999999E-2</v>
      </c>
      <c r="AA91" s="69">
        <f t="shared" si="44"/>
        <v>23.282499999999999</v>
      </c>
      <c r="AB91" s="66">
        <f>VLOOKUP(A91,Enforcements!$C$7:$J$21,8,0)</f>
        <v>58301</v>
      </c>
      <c r="AC91" s="62" t="str">
        <f>VLOOKUP(A91,Enforcements!$C$7:$E$21,3,0)</f>
        <v>GRADE CROSSING</v>
      </c>
      <c r="AD91" s="63" t="str">
        <f t="shared" si="45"/>
        <v>0178-31</v>
      </c>
      <c r="AE91" s="99" t="str">
        <f t="shared" si="46"/>
        <v>aws s3 cp s3://rtdc.mdm.uploadarchive/RTDC4013/2016-08-31/ "%USERPROFILE%\AppData\Local\Temp\OnboardLogs"\RTDC4013\2016-08-31 --recursive &amp; "%USERPROFILE%\Documents\GitHub\mrs-test-scripts\Headless Mode &amp; Sideloading\WalkAndUnGZ.bat" "%USERPROFILE%\AppData\Local\Temp\OnboardLogs"\RTDC4013\2016-08-31 &amp; aws s3 cp s3://rtdc.mdm.uploadarchive/RTDC4013/2016-09-01/ "%USERPROFILE%\AppData\Local\Temp\OnboardLogs"\RTDC4013\2016-09-01 --recursive &amp; "%USERPROFILE%\Documents\GitHub\mrs-test-scripts\Headless Mode &amp; Sideloading\WalkAndUnGZ.bat" "%USERPROFILE%\AppData\Local\Temp\OnboardLogs"\RTDC4013\2016-09-01</v>
      </c>
      <c r="AF91" s="96" t="str">
        <f t="shared" si="47"/>
        <v>"C:\Program Files (x86)\AstroGrep\AstroGrep.exe" /spath="%USERPROFILE%\AppData\Local\Temp\OnboardLogs" /stypes="*4013*20160831*" /stext=" 21:.+((SYSTEM_STATE.+slice.+state.+changed )|(ment ac)|(system.+state.+changed )|(\|lc)|(penalty)|(\[timeout)|(PRM\|1\|D)|(kpr)|(kdp))" /e /r /s</v>
      </c>
      <c r="AG91" s="1" t="str">
        <f t="shared" si="48"/>
        <v>EC</v>
      </c>
      <c r="AH91" s="100" t="str">
        <f t="shared" si="49"/>
        <v>"%USERPROFILE%\Documents\GitHub\eaglep3\Utilities\RefineRTDCRunTimes.py" --tripid 178-31 --locoid 4013 --swversion DE.1.0.7.0 --startMP 204:232975 --initTime 2016-08-31T14:13:12 --startdatetime 2016-08-31T14:16:17 --delay 1 --endMP 204:150 --enddatetime 2016-08-31T15:04:59 --enforcementcount 0 &gt;&gt;C:\Users\stu\Documents\GitHub\eaglep3-reporting\EC\2016-08-31-refined-times.txt</v>
      </c>
      <c r="AI91" s="149" t="str">
        <f t="shared" si="50"/>
        <v>echo {"issue":{"subject":"","project_id":79,"tracker_id":40,"status_id":1,"priority_id":2,"assigned_to_id":23,"start_date":"2016-08-31","description":"","custom_fields":[{"id":1,"name":"Subdivision","value":"EC"},{"id":4,"name":"Milepost","value":"23.2825"},{"id":17,"name":"Train ID","value":"178-31"},{"id":16,"name":"Locomotive ID","value":"4013"},{"id":130,"name":"Impact","value":""},{"id":150,"name":"Time of Event (Mountain Time)","value":"15:04:59"},{"id":151,"name":"Denver Issue ID","value":""},{"id":178,"name":"Operational Impact","value":"Yes"},{"id":179,"name":"Denver Segment Assigned","value":""}]}} | curl -X POST -H "Content-Type: application/json" -H "X-Redmine-API-Key: d6333d4a04012a730768444271f8ca06482dae87" https://secure.xorail.net/redmine/issues.json --data @-</v>
      </c>
      <c r="AJ91" s="55"/>
      <c r="AK91" s="55"/>
      <c r="AL91" s="55"/>
    </row>
    <row r="92" spans="1:38" x14ac:dyDescent="0.25">
      <c r="A92" s="39" t="s">
        <v>491</v>
      </c>
      <c r="B92" s="7">
        <v>4011</v>
      </c>
      <c r="C92" s="24" t="s">
        <v>113</v>
      </c>
      <c r="D92" s="24" t="s">
        <v>331</v>
      </c>
      <c r="E92" s="15">
        <v>42613.562418981484</v>
      </c>
      <c r="F92" s="15">
        <v>42613.564444444448</v>
      </c>
      <c r="G92" s="7">
        <v>1</v>
      </c>
      <c r="H92" s="15" t="s">
        <v>323</v>
      </c>
      <c r="I92" s="15">
        <v>42613.591539351852</v>
      </c>
      <c r="J92" s="7">
        <v>0</v>
      </c>
      <c r="K92" s="132" t="str">
        <f t="shared" si="37"/>
        <v>4011/4012</v>
      </c>
      <c r="L92" s="24" t="str">
        <f>VLOOKUP(A92,'Trips&amp;Operators'!$C$1:$E$10000,3,FALSE)</f>
        <v>ISHMAEL</v>
      </c>
      <c r="M92" s="6">
        <f t="shared" si="38"/>
        <v>2.7094907403807156E-2</v>
      </c>
      <c r="N92" s="7">
        <f t="shared" si="35"/>
        <v>39.016666661482304</v>
      </c>
      <c r="O92" s="7"/>
      <c r="P92" s="7"/>
      <c r="Q92" s="25"/>
      <c r="R92" s="25"/>
      <c r="S92" s="37">
        <f t="shared" si="36"/>
        <v>1</v>
      </c>
      <c r="T92" s="52" t="str">
        <f t="shared" si="39"/>
        <v>NorthBound</v>
      </c>
      <c r="U92" s="126">
        <f>IF(AG92="EC",COUNTIFS(Variables!$M$2:$M$19,IF(T92="NorthBound","&gt;=","&lt;=")&amp;Y92,Variables!$M$2:$M$19,IF(T92="NorthBound","&lt;=","&gt;=")&amp;Z92),COUNTIFS(Variables!$P$2:$P$19,IF(T92="NorthBound","&gt;=","&lt;=")&amp;Y92,Variables!$P$2:$P$19,IF(T92="NorthBound","&lt;=","&gt;=")&amp;Z92))</f>
        <v>12</v>
      </c>
      <c r="V92" s="106" t="str">
        <f t="shared" si="40"/>
        <v>https://search-rtdc-monitor-bjffxe2xuh6vdkpspy63sjmuny.us-east-1.es.amazonaws.com/_plugin/kibana/#/discover/Steve-Slow-Train-Analysis-(2080s-and-2083s)?_g=(refreshInterval:(display:Off,section:0,value:0),time:(from:'2016-08-31 12:29:53-0600',mode:absolute,to:'2016-08-31 15:11:49-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4011%22')),sort:!(Time,asc))</v>
      </c>
      <c r="W92" s="54" t="str">
        <f t="shared" si="41"/>
        <v>N</v>
      </c>
      <c r="X92" s="120">
        <f t="shared" si="51"/>
        <v>1</v>
      </c>
      <c r="Y92" s="69">
        <f t="shared" si="42"/>
        <v>4.3999999999999997E-2</v>
      </c>
      <c r="Z92" s="69">
        <f t="shared" si="43"/>
        <v>23.330200000000001</v>
      </c>
      <c r="AA92" s="69">
        <f t="shared" si="44"/>
        <v>23.286200000000001</v>
      </c>
      <c r="AB92" s="66" t="e">
        <f>VLOOKUP(A92,Enforcements!$C$7:$J$21,8,0)</f>
        <v>#N/A</v>
      </c>
      <c r="AC92" s="62" t="e">
        <f>VLOOKUP(A92,Enforcements!$C$7:$E$21,3,0)</f>
        <v>#N/A</v>
      </c>
      <c r="AD92" s="63" t="str">
        <f t="shared" si="45"/>
        <v>0179-31</v>
      </c>
      <c r="AE92" s="99" t="str">
        <f t="shared" si="46"/>
        <v>aws s3 cp s3://rtdc.mdm.uploadarchive/RTDC4011/2016-08-31/ "%USERPROFILE%\AppData\Local\Temp\OnboardLogs"\RTDC4011\2016-08-31 --recursive &amp; "%USERPROFILE%\Documents\GitHub\mrs-test-scripts\Headless Mode &amp; Sideloading\WalkAndUnGZ.bat" "%USERPROFILE%\AppData\Local\Temp\OnboardLogs"\RTDC4011\2016-08-31 &amp; aws s3 cp s3://rtdc.mdm.uploadarchive/RTDC4011/2016-09-01/ "%USERPROFILE%\AppData\Local\Temp\OnboardLogs"\RTDC4011\2016-09-01 --recursive &amp; "%USERPROFILE%\Documents\GitHub\mrs-test-scripts\Headless Mode &amp; Sideloading\WalkAndUnGZ.bat" "%USERPROFILE%\AppData\Local\Temp\OnboardLogs"\RTDC4011\2016-09-01</v>
      </c>
      <c r="AF92" s="96" t="str">
        <f t="shared" si="47"/>
        <v>"C:\Program Files (x86)\AstroGrep\AstroGrep.exe" /spath="%USERPROFILE%\AppData\Local\Temp\OnboardLogs" /stypes="*4011*20160831*" /stext=" 20:.+((SYSTEM_STATE.+slice.+state.+changed )|(ment ac)|(system.+state.+changed )|(\|lc)|(penalty)|(\[timeout)|(PRM\|1\|D)|(kpr)|(kdp))" /e /r /s</v>
      </c>
      <c r="AG92" s="1" t="str">
        <f t="shared" si="48"/>
        <v>EC</v>
      </c>
      <c r="AH92" s="100" t="str">
        <f t="shared" si="49"/>
        <v>"%USERPROFILE%\Documents\GitHub\eaglep3\Utilities\RefineRTDCRunTimes.py" --tripid 179-31 --locoid 4011 --swversion DE.1.0.7.0 --startMP 204:440 --initTime 2016-08-31T13:29:53 --startdatetime 2016-08-31T13:32:48 --delay 1 --endMP 204:233302 --enddatetime 2016-08-31T14:11:49 --enforcementcount 0 &gt;&gt;C:\Users\stu\Documents\GitHub\eaglep3-reporting\EC\2016-08-31-refined-times.txt</v>
      </c>
      <c r="AI92" s="149" t="str">
        <f t="shared" si="50"/>
        <v>echo {"issue":{"subject":"","project_id":79,"tracker_id":40,"status_id":1,"priority_id":2,"assigned_to_id":23,"start_date":"2016-08-31","description":"","custom_fields":[{"id":1,"name":"Subdivision","value":"EC"},{"id":4,"name":"Milepost","value":"23.2862"},{"id":17,"name":"Train ID","value":"179-31"},{"id":16,"name":"Locomotive ID","value":"4011"},{"id":130,"name":"Impact","value":""},{"id":150,"name":"Time of Event (Mountain Time)","value":"14:11:49"},{"id":151,"name":"Denver Issue ID","value":""},{"id":178,"name":"Operational Impact","value":"Yes"},{"id":179,"name":"Denver Segment Assigned","value":""}]}} | curl -X POST -H "Content-Type: application/json" -H "X-Redmine-API-Key: d6333d4a04012a730768444271f8ca06482dae87" https://secure.xorail.net/redmine/issues.json --data @-</v>
      </c>
      <c r="AJ92" s="55"/>
      <c r="AK92" s="55"/>
      <c r="AL92" s="55"/>
    </row>
    <row r="93" spans="1:38" x14ac:dyDescent="0.25">
      <c r="A93" s="39" t="s">
        <v>492</v>
      </c>
      <c r="B93" s="7">
        <v>4012</v>
      </c>
      <c r="C93" s="24" t="s">
        <v>113</v>
      </c>
      <c r="D93" s="24" t="s">
        <v>292</v>
      </c>
      <c r="E93" s="15">
        <v>42613.595960648148</v>
      </c>
      <c r="F93" s="15">
        <v>42613.60193287037</v>
      </c>
      <c r="G93" s="7">
        <v>1</v>
      </c>
      <c r="H93" s="15" t="s">
        <v>493</v>
      </c>
      <c r="I93" s="15">
        <v>42613.63318287037</v>
      </c>
      <c r="J93" s="7">
        <v>0</v>
      </c>
      <c r="K93" s="132" t="str">
        <f t="shared" si="37"/>
        <v>4011/4012</v>
      </c>
      <c r="L93" s="24" t="str">
        <f>VLOOKUP(A93,'Trips&amp;Operators'!$C$1:$E$10000,3,FALSE)</f>
        <v>ISHMAEL</v>
      </c>
      <c r="M93" s="6">
        <f t="shared" si="38"/>
        <v>3.125E-2</v>
      </c>
      <c r="N93" s="7">
        <f t="shared" si="35"/>
        <v>45</v>
      </c>
      <c r="O93" s="7"/>
      <c r="P93" s="7"/>
      <c r="Q93" s="25"/>
      <c r="R93" s="25"/>
      <c r="S93" s="37">
        <f t="shared" si="36"/>
        <v>1</v>
      </c>
      <c r="T93" s="52" t="str">
        <f t="shared" si="39"/>
        <v>Southbound</v>
      </c>
      <c r="U93" s="126">
        <f>IF(AG93="EC",COUNTIFS(Variables!$M$2:$M$19,IF(T93="NorthBound","&gt;=","&lt;=")&amp;Y93,Variables!$M$2:$M$19,IF(T93="NorthBound","&lt;=","&gt;=")&amp;Z93),COUNTIFS(Variables!$P$2:$P$19,IF(T93="NorthBound","&gt;=","&lt;=")&amp;Y93,Variables!$P$2:$P$19,IF(T93="NorthBound","&lt;=","&gt;=")&amp;Z93))</f>
        <v>12</v>
      </c>
      <c r="V93" s="106" t="str">
        <f t="shared" si="40"/>
        <v>https://search-rtdc-monitor-bjffxe2xuh6vdkpspy63sjmuny.us-east-1.es.amazonaws.com/_plugin/kibana/#/discover/Steve-Slow-Train-Analysis-(2080s-and-2083s)?_g=(refreshInterval:(display:Off,section:0,value:0),time:(from:'2016-08-31 13:18:11-0600',mode:absolute,to:'2016-08-31 16:11:47-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4012%22')),sort:!(Time,asc))</v>
      </c>
      <c r="W93" s="54" t="str">
        <f t="shared" si="41"/>
        <v>N</v>
      </c>
      <c r="X93" s="120">
        <f t="shared" si="51"/>
        <v>1</v>
      </c>
      <c r="Y93" s="69">
        <f t="shared" si="42"/>
        <v>23.299299999999999</v>
      </c>
      <c r="Z93" s="69">
        <f t="shared" si="43"/>
        <v>9.01E-2</v>
      </c>
      <c r="AA93" s="69">
        <f t="shared" si="44"/>
        <v>23.209199999999999</v>
      </c>
      <c r="AB93" s="66" t="e">
        <f>VLOOKUP(A93,Enforcements!$C$7:$J$21,8,0)</f>
        <v>#N/A</v>
      </c>
      <c r="AC93" s="62" t="e">
        <f>VLOOKUP(A93,Enforcements!$C$7:$E$21,3,0)</f>
        <v>#N/A</v>
      </c>
      <c r="AD93" s="63" t="str">
        <f t="shared" si="45"/>
        <v>0180-31</v>
      </c>
      <c r="AE93" s="99" t="str">
        <f t="shared" si="46"/>
        <v>aws s3 cp s3://rtdc.mdm.uploadarchive/RTDC4012/2016-08-31/ "%USERPROFILE%\AppData\Local\Temp\OnboardLogs"\RTDC4012\2016-08-31 --recursive &amp; "%USERPROFILE%\Documents\GitHub\mrs-test-scripts\Headless Mode &amp; Sideloading\WalkAndUnGZ.bat" "%USERPROFILE%\AppData\Local\Temp\OnboardLogs"\RTDC4012\2016-08-31 &amp; aws s3 cp s3://rtdc.mdm.uploadarchive/RTDC4012/2016-09-01/ "%USERPROFILE%\AppData\Local\Temp\OnboardLogs"\RTDC4012\2016-09-01 --recursive &amp; "%USERPROFILE%\Documents\GitHub\mrs-test-scripts\Headless Mode &amp; Sideloading\WalkAndUnGZ.bat" "%USERPROFILE%\AppData\Local\Temp\OnboardLogs"\RTDC4012\2016-09-01</v>
      </c>
      <c r="AF93" s="96" t="str">
        <f t="shared" si="47"/>
        <v>"C:\Program Files (x86)\AstroGrep\AstroGrep.exe" /spath="%USERPROFILE%\AppData\Local\Temp\OnboardLogs" /stypes="*4012*20160831*" /stext=" 21:.+((SYSTEM_STATE.+slice.+state.+changed )|(ment ac)|(system.+state.+changed )|(\|lc)|(penalty)|(\[timeout)|(PRM\|1\|D)|(kpr)|(kdp))" /e /r /s</v>
      </c>
      <c r="AG93" s="1" t="str">
        <f t="shared" si="48"/>
        <v>EC</v>
      </c>
      <c r="AH93" s="100" t="str">
        <f t="shared" si="49"/>
        <v>"%USERPROFILE%\Documents\GitHub\eaglep3\Utilities\RefineRTDCRunTimes.py" --tripid 180-31 --locoid 4012 --swversion DE.1.0.7.0 --startMP 204:232993 --initTime 2016-08-31T14:18:11 --startdatetime 2016-08-31T14:26:47 --delay 1 --endMP 204:901 --enddatetime 2016-08-31T15:11:47 --enforcementcount 0 &gt;&gt;C:\Users\stu\Documents\GitHub\eaglep3-reporting\EC\2016-08-31-refined-times.txt</v>
      </c>
      <c r="AI93" s="149" t="str">
        <f t="shared" si="50"/>
        <v>echo {"issue":{"subject":"","project_id":79,"tracker_id":40,"status_id":1,"priority_id":2,"assigned_to_id":23,"start_date":"2016-08-31","description":"","custom_fields":[{"id":1,"name":"Subdivision","value":"EC"},{"id":4,"name":"Milepost","value":"23.2092"},{"id":17,"name":"Train ID","value":"180-31"},{"id":16,"name":"Locomotive ID","value":"4012"},{"id":130,"name":"Impact","value":""},{"id":150,"name":"Time of Event (Mountain Time)","value":"15:11:47"},{"id":151,"name":"Denver Issue ID","value":""},{"id":178,"name":"Operational Impact","value":"Yes"},{"id":179,"name":"Denver Segment Assigned","value":""}]}} | curl -X POST -H "Content-Type: application/json" -H "X-Redmine-API-Key: d6333d4a04012a730768444271f8ca06482dae87" https://secure.xorail.net/redmine/issues.json --data @-</v>
      </c>
      <c r="AJ93" s="55"/>
      <c r="AK93" s="55"/>
      <c r="AL93" s="55"/>
    </row>
    <row r="94" spans="1:38" x14ac:dyDescent="0.25">
      <c r="A94" s="39" t="s">
        <v>494</v>
      </c>
      <c r="B94" s="7">
        <v>4042</v>
      </c>
      <c r="C94" s="24" t="s">
        <v>113</v>
      </c>
      <c r="D94" s="24" t="s">
        <v>495</v>
      </c>
      <c r="E94" s="15">
        <v>42613.574490740742</v>
      </c>
      <c r="F94" s="15">
        <v>42613.577106481483</v>
      </c>
      <c r="G94" s="7">
        <v>1</v>
      </c>
      <c r="H94" s="15" t="s">
        <v>496</v>
      </c>
      <c r="I94" s="15">
        <v>42613.60359953704</v>
      </c>
      <c r="J94" s="7">
        <v>0</v>
      </c>
      <c r="K94" s="132" t="str">
        <f t="shared" si="37"/>
        <v>4041/4042</v>
      </c>
      <c r="L94" s="24" t="str">
        <f>VLOOKUP(A94,'Trips&amp;Operators'!$C$1:$E$10000,3,FALSE)</f>
        <v>YOUNG</v>
      </c>
      <c r="M94" s="6">
        <f t="shared" si="38"/>
        <v>2.6493055556784384E-2</v>
      </c>
      <c r="N94" s="7">
        <f t="shared" si="35"/>
        <v>38.150000001769513</v>
      </c>
      <c r="O94" s="7"/>
      <c r="P94" s="7"/>
      <c r="Q94" s="25"/>
      <c r="R94" s="25"/>
      <c r="S94" s="37">
        <f t="shared" si="36"/>
        <v>1</v>
      </c>
      <c r="T94" s="52" t="str">
        <f t="shared" si="39"/>
        <v>NorthBound</v>
      </c>
      <c r="U94" s="126">
        <f>IF(AG94="EC",COUNTIFS(Variables!$M$2:$M$19,IF(T94="NorthBound","&gt;=","&lt;=")&amp;Y94,Variables!$M$2:$M$19,IF(T94="NorthBound","&lt;=","&gt;=")&amp;Z94),COUNTIFS(Variables!$P$2:$P$19,IF(T94="NorthBound","&gt;=","&lt;=")&amp;Y94,Variables!$P$2:$P$19,IF(T94="NorthBound","&lt;=","&gt;=")&amp;Z94))</f>
        <v>12</v>
      </c>
      <c r="V94" s="106" t="str">
        <f t="shared" si="40"/>
        <v>https://search-rtdc-monitor-bjffxe2xuh6vdkpspy63sjmuny.us-east-1.es.amazonaws.com/_plugin/kibana/#/discover/Steve-Slow-Train-Analysis-(2080s-and-2083s)?_g=(refreshInterval:(display:Off,section:0,value:0),time:(from:'2016-08-31 12:47:16-0600',mode:absolute,to:'2016-08-31 15:29:11-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4042%22')),sort:!(Time,asc))</v>
      </c>
      <c r="W94" s="54" t="str">
        <f t="shared" si="41"/>
        <v>N</v>
      </c>
      <c r="X94" s="120">
        <f t="shared" si="51"/>
        <v>1</v>
      </c>
      <c r="Y94" s="69">
        <f t="shared" si="42"/>
        <v>5.5899999999999998E-2</v>
      </c>
      <c r="Z94" s="69">
        <f t="shared" si="43"/>
        <v>23.332599999999999</v>
      </c>
      <c r="AA94" s="69">
        <f t="shared" si="44"/>
        <v>23.276699999999998</v>
      </c>
      <c r="AB94" s="66" t="e">
        <f>VLOOKUP(A94,Enforcements!$C$7:$J$21,8,0)</f>
        <v>#N/A</v>
      </c>
      <c r="AC94" s="62" t="e">
        <f>VLOOKUP(A94,Enforcements!$C$7:$E$21,3,0)</f>
        <v>#N/A</v>
      </c>
      <c r="AD94" s="63" t="str">
        <f t="shared" si="45"/>
        <v>0181-31</v>
      </c>
      <c r="AE94" s="99" t="str">
        <f t="shared" si="46"/>
        <v>aws s3 cp s3://rtdc.mdm.uploadarchive/RTDC4042/2016-08-31/ "%USERPROFILE%\AppData\Local\Temp\OnboardLogs"\RTDC4042\2016-08-31 --recursive &amp; "%USERPROFILE%\Documents\GitHub\mrs-test-scripts\Headless Mode &amp; Sideloading\WalkAndUnGZ.bat" "%USERPROFILE%\AppData\Local\Temp\OnboardLogs"\RTDC4042\2016-08-31 &amp; aws s3 cp s3://rtdc.mdm.uploadarchive/RTDC4042/2016-09-01/ "%USERPROFILE%\AppData\Local\Temp\OnboardLogs"\RTDC4042\2016-09-01 --recursive &amp; "%USERPROFILE%\Documents\GitHub\mrs-test-scripts\Headless Mode &amp; Sideloading\WalkAndUnGZ.bat" "%USERPROFILE%\AppData\Local\Temp\OnboardLogs"\RTDC4042\2016-09-01</v>
      </c>
      <c r="AF94" s="96" t="str">
        <f t="shared" si="47"/>
        <v>"C:\Program Files (x86)\AstroGrep\AstroGrep.exe" /spath="%USERPROFILE%\AppData\Local\Temp\OnboardLogs" /stypes="*4042*20160831*" /stext=" 20:.+((SYSTEM_STATE.+slice.+state.+changed )|(ment ac)|(system.+state.+changed )|(\|lc)|(penalty)|(\[timeout)|(PRM\|1\|D)|(kpr)|(kdp))" /e /r /s</v>
      </c>
      <c r="AG94" s="1" t="str">
        <f t="shared" si="48"/>
        <v>EC</v>
      </c>
      <c r="AH94" s="100" t="str">
        <f t="shared" si="49"/>
        <v>"%USERPROFILE%\Documents\GitHub\eaglep3\Utilities\RefineRTDCRunTimes.py" --tripid 181-31 --locoid 4042 --swversion DE.1.0.7.0 --startMP 204:559 --initTime 2016-08-31T13:47:16 --startdatetime 2016-08-31T13:51:02 --delay 1 --endMP 204:233326 --enddatetime 2016-08-31T14:29:11 --enforcementcount 0 &gt;&gt;C:\Users\stu\Documents\GitHub\eaglep3-reporting\EC\2016-08-31-refined-times.txt</v>
      </c>
      <c r="AI94" s="149" t="str">
        <f t="shared" si="50"/>
        <v>echo {"issue":{"subject":"","project_id":79,"tracker_id":40,"status_id":1,"priority_id":2,"assigned_to_id":23,"start_date":"2016-08-31","description":"","custom_fields":[{"id":1,"name":"Subdivision","value":"EC"},{"id":4,"name":"Milepost","value":"23.2767"},{"id":17,"name":"Train ID","value":"181-31"},{"id":16,"name":"Locomotive ID","value":"4042"},{"id":130,"name":"Impact","value":""},{"id":150,"name":"Time of Event (Mountain Time)","value":"14:29:11"},{"id":151,"name":"Denver Issue ID","value":""},{"id":178,"name":"Operational Impact","value":"Yes"},{"id":179,"name":"Denver Segment Assigned","value":""}]}} | curl -X POST -H "Content-Type: application/json" -H "X-Redmine-API-Key: d6333d4a04012a730768444271f8ca06482dae87" https://secure.xorail.net/redmine/issues.json --data @-</v>
      </c>
      <c r="AJ94" s="55"/>
      <c r="AK94" s="55"/>
      <c r="AL94" s="55"/>
    </row>
    <row r="95" spans="1:38" x14ac:dyDescent="0.25">
      <c r="A95" s="39" t="s">
        <v>497</v>
      </c>
      <c r="B95" s="7">
        <v>4041</v>
      </c>
      <c r="C95" s="24" t="s">
        <v>113</v>
      </c>
      <c r="D95" s="24" t="s">
        <v>255</v>
      </c>
      <c r="E95" s="15">
        <v>42613.614768518521</v>
      </c>
      <c r="F95" s="15">
        <v>42613.616296296299</v>
      </c>
      <c r="G95" s="7">
        <v>1</v>
      </c>
      <c r="H95" s="15" t="s">
        <v>136</v>
      </c>
      <c r="I95" s="15">
        <v>42613.653773148151</v>
      </c>
      <c r="J95" s="7">
        <v>0</v>
      </c>
      <c r="K95" s="132" t="str">
        <f t="shared" si="37"/>
        <v>4041/4042</v>
      </c>
      <c r="L95" s="24" t="str">
        <f>VLOOKUP(A95,'Trips&amp;Operators'!$C$1:$E$10000,3,FALSE)</f>
        <v>YOUNG</v>
      </c>
      <c r="M95" s="6">
        <f t="shared" si="38"/>
        <v>3.7476851852261461E-2</v>
      </c>
      <c r="N95" s="7">
        <f t="shared" si="35"/>
        <v>53.966666667256504</v>
      </c>
      <c r="O95" s="7"/>
      <c r="P95" s="7"/>
      <c r="Q95" s="25"/>
      <c r="R95" s="25"/>
      <c r="S95" s="37">
        <f t="shared" si="36"/>
        <v>1</v>
      </c>
      <c r="T95" s="52" t="str">
        <f t="shared" si="39"/>
        <v>Southbound</v>
      </c>
      <c r="U95" s="126">
        <f>IF(AG95="EC",COUNTIFS(Variables!$M$2:$M$19,IF(T95="NorthBound","&gt;=","&lt;=")&amp;Y95,Variables!$M$2:$M$19,IF(T95="NorthBound","&lt;=","&gt;=")&amp;Z95),COUNTIFS(Variables!$P$2:$P$19,IF(T95="NorthBound","&gt;=","&lt;=")&amp;Y95,Variables!$P$2:$P$19,IF(T95="NorthBound","&lt;=","&gt;=")&amp;Z95))</f>
        <v>12</v>
      </c>
      <c r="V95" s="106" t="str">
        <f t="shared" si="40"/>
        <v>https://search-rtdc-monitor-bjffxe2xuh6vdkpspy63sjmuny.us-east-1.es.amazonaws.com/_plugin/kibana/#/discover/Steve-Slow-Train-Analysis-(2080s-and-2083s)?_g=(refreshInterval:(display:Off,section:0,value:0),time:(from:'2016-08-31 13:45:16-0600',mode:absolute,to:'2016-08-31 16:41:26-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4041%22')),sort:!(Time,asc))</v>
      </c>
      <c r="W95" s="54" t="str">
        <f t="shared" si="41"/>
        <v>N</v>
      </c>
      <c r="X95" s="120">
        <f t="shared" si="51"/>
        <v>1</v>
      </c>
      <c r="Y95" s="69">
        <f t="shared" si="42"/>
        <v>23.298999999999999</v>
      </c>
      <c r="Z95" s="69">
        <f t="shared" si="43"/>
        <v>1.49E-2</v>
      </c>
      <c r="AA95" s="69">
        <f t="shared" si="44"/>
        <v>23.284099999999999</v>
      </c>
      <c r="AB95" s="66" t="e">
        <f>VLOOKUP(A95,Enforcements!$C$7:$J$21,8,0)</f>
        <v>#N/A</v>
      </c>
      <c r="AC95" s="62" t="e">
        <f>VLOOKUP(A95,Enforcements!$C$7:$E$21,3,0)</f>
        <v>#N/A</v>
      </c>
      <c r="AD95" s="63" t="str">
        <f t="shared" si="45"/>
        <v>0182-31</v>
      </c>
      <c r="AE95" s="99" t="str">
        <f t="shared" si="46"/>
        <v>aws s3 cp s3://rtdc.mdm.uploadarchive/RTDC4041/2016-08-31/ "%USERPROFILE%\AppData\Local\Temp\OnboardLogs"\RTDC4041\2016-08-31 --recursive &amp; "%USERPROFILE%\Documents\GitHub\mrs-test-scripts\Headless Mode &amp; Sideloading\WalkAndUnGZ.bat" "%USERPROFILE%\AppData\Local\Temp\OnboardLogs"\RTDC4041\2016-08-31 &amp; aws s3 cp s3://rtdc.mdm.uploadarchive/RTDC4041/2016-09-01/ "%USERPROFILE%\AppData\Local\Temp\OnboardLogs"\RTDC4041\2016-09-01 --recursive &amp; "%USERPROFILE%\Documents\GitHub\mrs-test-scripts\Headless Mode &amp; Sideloading\WalkAndUnGZ.bat" "%USERPROFILE%\AppData\Local\Temp\OnboardLogs"\RTDC4041\2016-09-01</v>
      </c>
      <c r="AF95" s="96" t="str">
        <f t="shared" si="47"/>
        <v>"C:\Program Files (x86)\AstroGrep\AstroGrep.exe" /spath="%USERPROFILE%\AppData\Local\Temp\OnboardLogs" /stypes="*4041*20160831*" /stext=" 21:.+((SYSTEM_STATE.+slice.+state.+changed )|(ment ac)|(system.+state.+changed )|(\|lc)|(penalty)|(\[timeout)|(PRM\|1\|D)|(kpr)|(kdp))" /e /r /s</v>
      </c>
      <c r="AG95" s="1" t="str">
        <f t="shared" si="48"/>
        <v>EC</v>
      </c>
      <c r="AH95" s="100" t="str">
        <f t="shared" si="49"/>
        <v>"%USERPROFILE%\Documents\GitHub\eaglep3\Utilities\RefineRTDCRunTimes.py" --tripid 182-31 --locoid 4041 --swversion DE.1.0.7.0 --startMP 204:232990 --initTime 2016-08-31T14:45:16 --startdatetime 2016-08-31T14:47:28 --delay 1 --endMP 204:149 --enddatetime 2016-08-31T15:41:26 --enforcementcount 0 &gt;&gt;C:\Users\stu\Documents\GitHub\eaglep3-reporting\EC\2016-08-31-refined-times.txt</v>
      </c>
      <c r="AI95" s="149" t="str">
        <f t="shared" si="50"/>
        <v>echo {"issue":{"subject":"","project_id":79,"tracker_id":40,"status_id":1,"priority_id":2,"assigned_to_id":23,"start_date":"2016-08-31","description":"","custom_fields":[{"id":1,"name":"Subdivision","value":"EC"},{"id":4,"name":"Milepost","value":"23.2841"},{"id":17,"name":"Train ID","value":"182-31"},{"id":16,"name":"Locomotive ID","value":"4041"},{"id":130,"name":"Impact","value":""},{"id":150,"name":"Time of Event (Mountain Time)","value":"15:41:26"},{"id":151,"name":"Denver Issue ID","value":""},{"id":178,"name":"Operational Impact","value":"Yes"},{"id":179,"name":"Denver Segment Assigned","value":""}]}} | curl -X POST -H "Content-Type: application/json" -H "X-Redmine-API-Key: d6333d4a04012a730768444271f8ca06482dae87" https://secure.xorail.net/redmine/issues.json --data @-</v>
      </c>
      <c r="AJ95" s="55"/>
      <c r="AK95" s="55"/>
      <c r="AL95" s="55"/>
    </row>
    <row r="96" spans="1:38" x14ac:dyDescent="0.25">
      <c r="A96" s="39" t="s">
        <v>498</v>
      </c>
      <c r="B96" s="7">
        <v>4029</v>
      </c>
      <c r="C96" s="24" t="s">
        <v>113</v>
      </c>
      <c r="D96" s="24" t="s">
        <v>499</v>
      </c>
      <c r="E96" s="15">
        <v>42613.582870370374</v>
      </c>
      <c r="F96" s="15">
        <v>42613.585023148145</v>
      </c>
      <c r="G96" s="7">
        <v>1</v>
      </c>
      <c r="H96" s="15" t="s">
        <v>323</v>
      </c>
      <c r="I96" s="15">
        <v>42613.610219907408</v>
      </c>
      <c r="J96" s="7">
        <v>0</v>
      </c>
      <c r="K96" s="132" t="str">
        <f t="shared" si="37"/>
        <v>4029/4030</v>
      </c>
      <c r="L96" s="24" t="str">
        <f>VLOOKUP(A96,'Trips&amp;Operators'!$C$1:$E$10000,3,FALSE)</f>
        <v>BROWN</v>
      </c>
      <c r="M96" s="6">
        <f t="shared" si="38"/>
        <v>2.5196759263053536E-2</v>
      </c>
      <c r="N96" s="7">
        <f t="shared" si="35"/>
        <v>36.283333338797092</v>
      </c>
      <c r="O96" s="7"/>
      <c r="P96" s="7"/>
      <c r="Q96" s="25"/>
      <c r="R96" s="25"/>
      <c r="S96" s="37">
        <f t="shared" si="36"/>
        <v>1</v>
      </c>
      <c r="T96" s="52" t="str">
        <f t="shared" si="39"/>
        <v>NorthBound</v>
      </c>
      <c r="U96" s="126">
        <f>IF(AG96="EC",COUNTIFS(Variables!$M$2:$M$19,IF(T96="NorthBound","&gt;=","&lt;=")&amp;Y96,Variables!$M$2:$M$19,IF(T96="NorthBound","&lt;=","&gt;=")&amp;Z96),COUNTIFS(Variables!$P$2:$P$19,IF(T96="NorthBound","&gt;=","&lt;=")&amp;Y96,Variables!$P$2:$P$19,IF(T96="NorthBound","&lt;=","&gt;=")&amp;Z96))</f>
        <v>12</v>
      </c>
      <c r="V96" s="106" t="str">
        <f t="shared" si="40"/>
        <v>https://search-rtdc-monitor-bjffxe2xuh6vdkpspy63sjmuny.us-east-1.es.amazonaws.com/_plugin/kibana/#/discover/Steve-Slow-Train-Analysis-(2080s-and-2083s)?_g=(refreshInterval:(display:Off,section:0,value:0),time:(from:'2016-08-31 12:59:20-0600',mode:absolute,to:'2016-08-31 15:38:43-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4029%22')),sort:!(Time,asc))</v>
      </c>
      <c r="W96" s="54" t="str">
        <f t="shared" si="41"/>
        <v>N</v>
      </c>
      <c r="X96" s="120">
        <f t="shared" si="51"/>
        <v>1</v>
      </c>
      <c r="Y96" s="69">
        <f t="shared" si="42"/>
        <v>4.8399999999999999E-2</v>
      </c>
      <c r="Z96" s="69">
        <f t="shared" si="43"/>
        <v>23.330200000000001</v>
      </c>
      <c r="AA96" s="69">
        <f t="shared" si="44"/>
        <v>23.2818</v>
      </c>
      <c r="AB96" s="66" t="e">
        <f>VLOOKUP(A96,Enforcements!$C$7:$J$21,8,0)</f>
        <v>#N/A</v>
      </c>
      <c r="AC96" s="62" t="e">
        <f>VLOOKUP(A96,Enforcements!$C$7:$E$21,3,0)</f>
        <v>#N/A</v>
      </c>
      <c r="AD96" s="63" t="str">
        <f t="shared" si="45"/>
        <v>0183-31</v>
      </c>
      <c r="AE96" s="99" t="str">
        <f t="shared" si="46"/>
        <v>aws s3 cp s3://rtdc.mdm.uploadarchive/RTDC4029/2016-08-31/ "%USERPROFILE%\AppData\Local\Temp\OnboardLogs"\RTDC4029\2016-08-31 --recursive &amp; "%USERPROFILE%\Documents\GitHub\mrs-test-scripts\Headless Mode &amp; Sideloading\WalkAndUnGZ.bat" "%USERPROFILE%\AppData\Local\Temp\OnboardLogs"\RTDC4029\2016-08-31 &amp; aws s3 cp s3://rtdc.mdm.uploadarchive/RTDC4029/2016-09-01/ "%USERPROFILE%\AppData\Local\Temp\OnboardLogs"\RTDC4029\2016-09-01 --recursive &amp; "%USERPROFILE%\Documents\GitHub\mrs-test-scripts\Headless Mode &amp; Sideloading\WalkAndUnGZ.bat" "%USERPROFILE%\AppData\Local\Temp\OnboardLogs"\RTDC4029\2016-09-01</v>
      </c>
      <c r="AF96" s="96" t="str">
        <f t="shared" si="47"/>
        <v>"C:\Program Files (x86)\AstroGrep\AstroGrep.exe" /spath="%USERPROFILE%\AppData\Local\Temp\OnboardLogs" /stypes="*4029*20160831*" /stext=" 20:.+((SYSTEM_STATE.+slice.+state.+changed )|(ment ac)|(system.+state.+changed )|(\|lc)|(penalty)|(\[timeout)|(PRM\|1\|D)|(kpr)|(kdp))" /e /r /s</v>
      </c>
      <c r="AG96" s="1" t="str">
        <f t="shared" si="48"/>
        <v>EC</v>
      </c>
      <c r="AH96" s="100" t="str">
        <f t="shared" si="49"/>
        <v>"%USERPROFILE%\Documents\GitHub\eaglep3\Utilities\RefineRTDCRunTimes.py" --tripid 183-31 --locoid 4029 --swversion DE.1.0.7.0 --startMP 204:484 --initTime 2016-08-31T13:59:20 --startdatetime 2016-08-31T14:02:26 --delay 1 --endMP 204:233302 --enddatetime 2016-08-31T14:38:43 --enforcementcount 0 &gt;&gt;C:\Users\stu\Documents\GitHub\eaglep3-reporting\EC\2016-08-31-refined-times.txt</v>
      </c>
      <c r="AI96" s="149" t="str">
        <f t="shared" si="50"/>
        <v>echo {"issue":{"subject":"","project_id":79,"tracker_id":40,"status_id":1,"priority_id":2,"assigned_to_id":23,"start_date":"2016-08-31","description":"","custom_fields":[{"id":1,"name":"Subdivision","value":"EC"},{"id":4,"name":"Milepost","value":"23.2818"},{"id":17,"name":"Train ID","value":"183-31"},{"id":16,"name":"Locomotive ID","value":"4029"},{"id":130,"name":"Impact","value":""},{"id":150,"name":"Time of Event (Mountain Time)","value":"14:38:43"},{"id":151,"name":"Denver Issue ID","value":""},{"id":178,"name":"Operational Impact","value":"Yes"},{"id":179,"name":"Denver Segment Assigned","value":""}]}} | curl -X POST -H "Content-Type: application/json" -H "X-Redmine-API-Key: d6333d4a04012a730768444271f8ca06482dae87" https://secure.xorail.net/redmine/issues.json --data @-</v>
      </c>
      <c r="AJ96" s="55"/>
      <c r="AK96" s="55"/>
      <c r="AL96" s="55"/>
    </row>
    <row r="97" spans="1:38" s="23" customFormat="1" x14ac:dyDescent="0.25">
      <c r="A97" s="39" t="s">
        <v>500</v>
      </c>
      <c r="B97" s="7">
        <v>4030</v>
      </c>
      <c r="C97" s="24" t="s">
        <v>113</v>
      </c>
      <c r="D97" s="24" t="s">
        <v>462</v>
      </c>
      <c r="E97" s="15">
        <v>42613.615613425929</v>
      </c>
      <c r="F97" s="15">
        <v>42613.622534722221</v>
      </c>
      <c r="G97" s="7">
        <v>2</v>
      </c>
      <c r="H97" s="15" t="s">
        <v>354</v>
      </c>
      <c r="I97" s="15">
        <v>42613.656944444447</v>
      </c>
      <c r="J97" s="7">
        <v>0</v>
      </c>
      <c r="K97" s="132" t="str">
        <f t="shared" si="37"/>
        <v>4029/4030</v>
      </c>
      <c r="L97" s="24" t="str">
        <f>VLOOKUP(A97,'Trips&amp;Operators'!$C$1:$E$10000,3,FALSE)</f>
        <v>BROWN</v>
      </c>
      <c r="M97" s="6">
        <f t="shared" si="38"/>
        <v>3.4409722225973383E-2</v>
      </c>
      <c r="N97" s="7">
        <f t="shared" ref="N97:N107" si="52">24*60*SUM($M97:$M97)</f>
        <v>49.550000005401671</v>
      </c>
      <c r="O97" s="7"/>
      <c r="P97" s="7"/>
      <c r="Q97" s="25"/>
      <c r="R97" s="25"/>
      <c r="S97" s="37">
        <f t="shared" ref="S97:S107" si="53">SUM(U97:U97)/IF(AG97="EC",12,1)</f>
        <v>1</v>
      </c>
      <c r="T97" s="52" t="str">
        <f t="shared" si="39"/>
        <v>Southbound</v>
      </c>
      <c r="U97" s="126">
        <f>IF(AG97="EC",COUNTIFS(Variables!$M$2:$M$19,IF(T97="NorthBound","&gt;=","&lt;=")&amp;Y97,Variables!$M$2:$M$19,IF(T97="NorthBound","&lt;=","&gt;=")&amp;Z97),COUNTIFS(Variables!$P$2:$P$19,IF(T97="NorthBound","&gt;=","&lt;=")&amp;Y97,Variables!$P$2:$P$19,IF(T97="NorthBound","&lt;=","&gt;=")&amp;Z97))</f>
        <v>12</v>
      </c>
      <c r="V97" s="106" t="str">
        <f t="shared" si="40"/>
        <v>https://search-rtdc-monitor-bjffxe2xuh6vdkpspy63sjmuny.us-east-1.es.amazonaws.com/_plugin/kibana/#/discover/Steve-Slow-Train-Analysis-(2080s-and-2083s)?_g=(refreshInterval:(display:Off,section:0,value:0),time:(from:'2016-08-31 13:46:29-0600',mode:absolute,to:'2016-08-31 16:46: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4030%22')),sort:!(Time,asc))</v>
      </c>
      <c r="W97" s="54" t="str">
        <f t="shared" si="41"/>
        <v>N</v>
      </c>
      <c r="X97" s="120">
        <f t="shared" si="51"/>
        <v>1</v>
      </c>
      <c r="Y97" s="69">
        <f t="shared" si="42"/>
        <v>23.298300000000001</v>
      </c>
      <c r="Z97" s="69">
        <f t="shared" si="43"/>
        <v>4.1500000000000002E-2</v>
      </c>
      <c r="AA97" s="69">
        <f t="shared" si="44"/>
        <v>23.256800000000002</v>
      </c>
      <c r="AB97" s="66" t="e">
        <f>VLOOKUP(A97,Enforcements!$C$7:$J$21,8,0)</f>
        <v>#N/A</v>
      </c>
      <c r="AC97" s="62" t="e">
        <f>VLOOKUP(A97,Enforcements!$C$7:$E$21,3,0)</f>
        <v>#N/A</v>
      </c>
      <c r="AD97" s="63" t="str">
        <f t="shared" si="45"/>
        <v>0184-31</v>
      </c>
      <c r="AE97" s="99" t="str">
        <f t="shared" si="46"/>
        <v>aws s3 cp s3://rtdc.mdm.uploadarchive/RTDC4030/2016-08-31/ "%USERPROFILE%\AppData\Local\Temp\OnboardLogs"\RTDC4030\2016-08-31 --recursive &amp; "%USERPROFILE%\Documents\GitHub\mrs-test-scripts\Headless Mode &amp; Sideloading\WalkAndUnGZ.bat" "%USERPROFILE%\AppData\Local\Temp\OnboardLogs"\RTDC4030\2016-08-31 &amp; aws s3 cp s3://rtdc.mdm.uploadarchive/RTDC4030/2016-09-01/ "%USERPROFILE%\AppData\Local\Temp\OnboardLogs"\RTDC4030\2016-09-01 --recursive &amp; "%USERPROFILE%\Documents\GitHub\mrs-test-scripts\Headless Mode &amp; Sideloading\WalkAndUnGZ.bat" "%USERPROFILE%\AppData\Local\Temp\OnboardLogs"\RTDC4030\2016-09-01</v>
      </c>
      <c r="AF97" s="96" t="str">
        <f t="shared" si="47"/>
        <v>"C:\Program Files (x86)\AstroGrep\AstroGrep.exe" /spath="%USERPROFILE%\AppData\Local\Temp\OnboardLogs" /stypes="*4030*20160831*" /stext=" 21:.+((SYSTEM_STATE.+slice.+state.+changed )|(ment ac)|(system.+state.+changed )|(\|lc)|(penalty)|(\[timeout)|(PRM\|1\|D)|(kpr)|(kdp))" /e /r /s</v>
      </c>
      <c r="AG97" s="1" t="str">
        <f t="shared" si="48"/>
        <v>EC</v>
      </c>
      <c r="AH97" s="100" t="str">
        <f t="shared" si="49"/>
        <v>"%USERPROFILE%\Documents\GitHub\eaglep3\Utilities\RefineRTDCRunTimes.py" --tripid 184-31 --locoid 4030 --swversion DE.1.0.7.0 --startMP 204:232983 --initTime 2016-08-31T14:46:29 --startdatetime 2016-08-31T14:56:27 --delay 2 --endMP 204:415 --enddatetime 2016-08-31T15:46:00 --enforcementcount 0 &gt;&gt;C:\Users\stu\Documents\GitHub\eaglep3-reporting\EC\2016-08-31-refined-times.txt</v>
      </c>
      <c r="AI97" s="149" t="str">
        <f t="shared" si="50"/>
        <v>echo {"issue":{"subject":"","project_id":79,"tracker_id":40,"status_id":1,"priority_id":2,"assigned_to_id":23,"start_date":"2016-08-31","description":"","custom_fields":[{"id":1,"name":"Subdivision","value":"EC"},{"id":4,"name":"Milepost","value":"23.2568"},{"id":17,"name":"Train ID","value":"184-31"},{"id":16,"name":"Locomotive ID","value":"4030"},{"id":130,"name":"Impact","value":""},{"id":150,"name":"Time of Event (Mountain Time)","value":"15:46:00"},{"id":151,"name":"Denver Issue ID","value":""},{"id":178,"name":"Operational Impact","value":"Yes"},{"id":179,"name":"Denver Segment Assigned","value":""}]}} | curl -X POST -H "Content-Type: application/json" -H "X-Redmine-API-Key: d6333d4a04012a730768444271f8ca06482dae87" https://secure.xorail.net/redmine/issues.json --data @-</v>
      </c>
      <c r="AJ97" s="55"/>
      <c r="AK97" s="55"/>
      <c r="AL97" s="55"/>
    </row>
    <row r="98" spans="1:38" s="23" customFormat="1" x14ac:dyDescent="0.25">
      <c r="A98" s="39" t="s">
        <v>501</v>
      </c>
      <c r="B98" s="7">
        <v>4044</v>
      </c>
      <c r="C98" s="24" t="s">
        <v>113</v>
      </c>
      <c r="D98" s="24" t="s">
        <v>245</v>
      </c>
      <c r="E98" s="15">
        <v>42613.590949074074</v>
      </c>
      <c r="F98" s="15">
        <v>42613.594050925924</v>
      </c>
      <c r="G98" s="7">
        <v>1</v>
      </c>
      <c r="H98" s="15" t="s">
        <v>290</v>
      </c>
      <c r="I98" s="15">
        <v>42613.621296296296</v>
      </c>
      <c r="J98" s="7">
        <v>0</v>
      </c>
      <c r="K98" s="132" t="str">
        <f t="shared" si="37"/>
        <v>4043/4044</v>
      </c>
      <c r="L98" s="24" t="str">
        <f>VLOOKUP(A98,'Trips&amp;Operators'!$C$1:$E$10000,3,FALSE)</f>
        <v>DE LA ROSA</v>
      </c>
      <c r="M98" s="6">
        <f t="shared" si="38"/>
        <v>2.7245370372838806E-2</v>
      </c>
      <c r="N98" s="7">
        <f t="shared" si="52"/>
        <v>39.233333336887881</v>
      </c>
      <c r="O98" s="7"/>
      <c r="P98" s="7"/>
      <c r="Q98" s="25"/>
      <c r="R98" s="25"/>
      <c r="S98" s="37">
        <f t="shared" si="53"/>
        <v>1</v>
      </c>
      <c r="T98" s="52" t="str">
        <f t="shared" si="39"/>
        <v>NorthBound</v>
      </c>
      <c r="U98" s="126">
        <f>IF(AG98="EC",COUNTIFS(Variables!$M$2:$M$19,IF(T98="NorthBound","&gt;=","&lt;=")&amp;Y98,Variables!$M$2:$M$19,IF(T98="NorthBound","&lt;=","&gt;=")&amp;Z98),COUNTIFS(Variables!$P$2:$P$19,IF(T98="NorthBound","&gt;=","&lt;=")&amp;Y98,Variables!$P$2:$P$19,IF(T98="NorthBound","&lt;=","&gt;=")&amp;Z98))</f>
        <v>12</v>
      </c>
      <c r="V98" s="106" t="str">
        <f t="shared" si="40"/>
        <v>https://search-rtdc-monitor-bjffxe2xuh6vdkpspy63sjmuny.us-east-1.es.amazonaws.com/_plugin/kibana/#/discover/Steve-Slow-Train-Analysis-(2080s-and-2083s)?_g=(refreshInterval:(display:Off,section:0,value:0),time:(from:'2016-08-31 13:10:58-0600',mode:absolute,to:'2016-08-31 15:54:40-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4044%22')),sort:!(Time,asc))</v>
      </c>
      <c r="W98" s="54" t="str">
        <f t="shared" si="41"/>
        <v>N</v>
      </c>
      <c r="X98" s="120">
        <f t="shared" si="51"/>
        <v>1</v>
      </c>
      <c r="Y98" s="69">
        <f t="shared" si="42"/>
        <v>4.58E-2</v>
      </c>
      <c r="Z98" s="69">
        <f t="shared" si="43"/>
        <v>23.330300000000001</v>
      </c>
      <c r="AA98" s="69">
        <f t="shared" si="44"/>
        <v>23.284500000000001</v>
      </c>
      <c r="AB98" s="66" t="e">
        <f>VLOOKUP(A98,Enforcements!$C$7:$J$21,8,0)</f>
        <v>#N/A</v>
      </c>
      <c r="AC98" s="62" t="e">
        <f>VLOOKUP(A98,Enforcements!$C$7:$E$21,3,0)</f>
        <v>#N/A</v>
      </c>
      <c r="AD98" s="63" t="str">
        <f t="shared" si="45"/>
        <v>0185-31</v>
      </c>
      <c r="AE98" s="99" t="str">
        <f t="shared" si="46"/>
        <v>aws s3 cp s3://rtdc.mdm.uploadarchive/RTDC4044/2016-08-31/ "%USERPROFILE%\AppData\Local\Temp\OnboardLogs"\RTDC4044\2016-08-31 --recursive &amp; "%USERPROFILE%\Documents\GitHub\mrs-test-scripts\Headless Mode &amp; Sideloading\WalkAndUnGZ.bat" "%USERPROFILE%\AppData\Local\Temp\OnboardLogs"\RTDC4044\2016-08-31 &amp; aws s3 cp s3://rtdc.mdm.uploadarchive/RTDC4044/2016-09-01/ "%USERPROFILE%\AppData\Local\Temp\OnboardLogs"\RTDC4044\2016-09-01 --recursive &amp; "%USERPROFILE%\Documents\GitHub\mrs-test-scripts\Headless Mode &amp; Sideloading\WalkAndUnGZ.bat" "%USERPROFILE%\AppData\Local\Temp\OnboardLogs"\RTDC4044\2016-09-01</v>
      </c>
      <c r="AF98" s="96" t="str">
        <f t="shared" si="47"/>
        <v>"C:\Program Files (x86)\AstroGrep\AstroGrep.exe" /spath="%USERPROFILE%\AppData\Local\Temp\OnboardLogs" /stypes="*4044*20160831*" /stext=" 20:.+((SYSTEM_STATE.+slice.+state.+changed )|(ment ac)|(system.+state.+changed )|(\|lc)|(penalty)|(\[timeout)|(PRM\|1\|D)|(kpr)|(kdp))" /e /r /s</v>
      </c>
      <c r="AG98" s="1" t="str">
        <f t="shared" si="48"/>
        <v>EC</v>
      </c>
      <c r="AH98" s="100" t="str">
        <f t="shared" si="49"/>
        <v>"%USERPROFILE%\Documents\GitHub\eaglep3\Utilities\RefineRTDCRunTimes.py" --tripid 185-31 --locoid 4044 --swversion DE.1.0.7.0 --startMP 204:458 --initTime 2016-08-31T14:10:58 --startdatetime 2016-08-31T14:15:26 --delay 1 --endMP 204:233303 --enddatetime 2016-08-31T14:54:40 --enforcementcount 0 &gt;&gt;C:\Users\stu\Documents\GitHub\eaglep3-reporting\EC\2016-08-31-refined-times.txt</v>
      </c>
      <c r="AI98" s="149" t="str">
        <f t="shared" si="50"/>
        <v>echo {"issue":{"subject":"","project_id":79,"tracker_id":40,"status_id":1,"priority_id":2,"assigned_to_id":23,"start_date":"2016-08-31","description":"","custom_fields":[{"id":1,"name":"Subdivision","value":"EC"},{"id":4,"name":"Milepost","value":"23.2845"},{"id":17,"name":"Train ID","value":"185-31"},{"id":16,"name":"Locomotive ID","value":"4044"},{"id":130,"name":"Impact","value":""},{"id":150,"name":"Time of Event (Mountain Time)","value":"14:54:40"},{"id":151,"name":"Denver Issue ID","value":""},{"id":178,"name":"Operational Impact","value":"Yes"},{"id":179,"name":"Denver Segment Assigned","value":""}]}} | curl -X POST -H "Content-Type: application/json" -H "X-Redmine-API-Key: d6333d4a04012a730768444271f8ca06482dae87" https://secure.xorail.net/redmine/issues.json --data @-</v>
      </c>
      <c r="AJ98" s="55"/>
      <c r="AK98" s="55"/>
      <c r="AL98" s="55"/>
    </row>
    <row r="99" spans="1:38" s="23" customFormat="1" x14ac:dyDescent="0.25">
      <c r="A99" s="39" t="s">
        <v>502</v>
      </c>
      <c r="B99" s="7">
        <v>4043</v>
      </c>
      <c r="C99" s="24" t="s">
        <v>113</v>
      </c>
      <c r="D99" s="24" t="s">
        <v>249</v>
      </c>
      <c r="E99" s="15">
        <v>42613.628101851849</v>
      </c>
      <c r="F99" s="15">
        <v>42613.633194444446</v>
      </c>
      <c r="G99" s="7">
        <v>1</v>
      </c>
      <c r="H99" s="15" t="s">
        <v>503</v>
      </c>
      <c r="I99" s="15">
        <v>42613.661770833336</v>
      </c>
      <c r="J99" s="7">
        <v>0</v>
      </c>
      <c r="K99" s="132" t="str">
        <f t="shared" si="37"/>
        <v>4043/4044</v>
      </c>
      <c r="L99" s="24" t="str">
        <f>VLOOKUP(A99,'Trips&amp;Operators'!$C$1:$E$10000,3,FALSE)</f>
        <v>DE LA ROSA</v>
      </c>
      <c r="M99" s="6">
        <f t="shared" si="38"/>
        <v>2.8576388889632653E-2</v>
      </c>
      <c r="N99" s="7">
        <f t="shared" si="52"/>
        <v>41.150000001071021</v>
      </c>
      <c r="O99" s="7"/>
      <c r="P99" s="7"/>
      <c r="Q99" s="25"/>
      <c r="R99" s="25"/>
      <c r="S99" s="37">
        <f t="shared" si="53"/>
        <v>1</v>
      </c>
      <c r="T99" s="52" t="str">
        <f t="shared" si="39"/>
        <v>Southbound</v>
      </c>
      <c r="U99" s="126">
        <f>IF(AG99="EC",COUNTIFS(Variables!$M$2:$M$19,IF(T99="NorthBound","&gt;=","&lt;=")&amp;Y99,Variables!$M$2:$M$19,IF(T99="NorthBound","&lt;=","&gt;=")&amp;Z99),COUNTIFS(Variables!$P$2:$P$19,IF(T99="NorthBound","&gt;=","&lt;=")&amp;Y99,Variables!$P$2:$P$19,IF(T99="NorthBound","&lt;=","&gt;=")&amp;Z99))</f>
        <v>12</v>
      </c>
      <c r="V99" s="106" t="str">
        <f t="shared" si="40"/>
        <v>https://search-rtdc-monitor-bjffxe2xuh6vdkpspy63sjmuny.us-east-1.es.amazonaws.com/_plugin/kibana/#/discover/Steve-Slow-Train-Analysis-(2080s-and-2083s)?_g=(refreshInterval:(display:Off,section:0,value:0),time:(from:'2016-08-31 14:04:28-0600',mode:absolute,to:'2016-08-31 16:52:57-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4043%22')),sort:!(Time,asc))</v>
      </c>
      <c r="W99" s="54" t="str">
        <f t="shared" si="41"/>
        <v>N</v>
      </c>
      <c r="X99" s="120">
        <f t="shared" si="51"/>
        <v>1</v>
      </c>
      <c r="Y99" s="69">
        <f t="shared" si="42"/>
        <v>23.2973</v>
      </c>
      <c r="Z99" s="69">
        <f t="shared" si="43"/>
        <v>0.1232</v>
      </c>
      <c r="AA99" s="69">
        <f t="shared" si="44"/>
        <v>23.174099999999999</v>
      </c>
      <c r="AB99" s="66" t="e">
        <f>VLOOKUP(A99,Enforcements!$C$7:$J$21,8,0)</f>
        <v>#N/A</v>
      </c>
      <c r="AC99" s="62" t="e">
        <f>VLOOKUP(A99,Enforcements!$C$7:$E$21,3,0)</f>
        <v>#N/A</v>
      </c>
      <c r="AD99" s="63" t="str">
        <f t="shared" si="45"/>
        <v>0186-31</v>
      </c>
      <c r="AE99" s="99" t="str">
        <f t="shared" si="46"/>
        <v>aws s3 cp s3://rtdc.mdm.uploadarchive/RTDC4043/2016-08-31/ "%USERPROFILE%\AppData\Local\Temp\OnboardLogs"\RTDC4043\2016-08-31 --recursive &amp; "%USERPROFILE%\Documents\GitHub\mrs-test-scripts\Headless Mode &amp; Sideloading\WalkAndUnGZ.bat" "%USERPROFILE%\AppData\Local\Temp\OnboardLogs"\RTDC4043\2016-08-31 &amp; aws s3 cp s3://rtdc.mdm.uploadarchive/RTDC4043/2016-09-01/ "%USERPROFILE%\AppData\Local\Temp\OnboardLogs"\RTDC4043\2016-09-01 --recursive &amp; "%USERPROFILE%\Documents\GitHub\mrs-test-scripts\Headless Mode &amp; Sideloading\WalkAndUnGZ.bat" "%USERPROFILE%\AppData\Local\Temp\OnboardLogs"\RTDC4043\2016-09-01</v>
      </c>
      <c r="AF99" s="96" t="str">
        <f t="shared" si="47"/>
        <v>"C:\Program Files (x86)\AstroGrep\AstroGrep.exe" /spath="%USERPROFILE%\AppData\Local\Temp\OnboardLogs" /stypes="*4043*20160831*" /stext=" 21:.+((SYSTEM_STATE.+slice.+state.+changed )|(ment ac)|(system.+state.+changed )|(\|lc)|(penalty)|(\[timeout)|(PRM\|1\|D)|(kpr)|(kdp))" /e /r /s</v>
      </c>
      <c r="AG99" s="1" t="str">
        <f t="shared" si="48"/>
        <v>EC</v>
      </c>
      <c r="AH99" s="100" t="str">
        <f t="shared" si="49"/>
        <v>"%USERPROFILE%\Documents\GitHub\eaglep3\Utilities\RefineRTDCRunTimes.py" --tripid 186-31 --locoid 4043 --swversion DE.1.0.7.0 --startMP 204:232973 --initTime 2016-08-31T15:04:28 --startdatetime 2016-08-31T15:11:48 --delay 1 --endMP 204:1232 --enddatetime 2016-08-31T15:52:57 --enforcementcount 0 &gt;&gt;C:\Users\stu\Documents\GitHub\eaglep3-reporting\EC\2016-08-31-refined-times.txt</v>
      </c>
      <c r="AI99" s="149" t="str">
        <f t="shared" si="50"/>
        <v>echo {"issue":{"subject":"","project_id":79,"tracker_id":40,"status_id":1,"priority_id":2,"assigned_to_id":23,"start_date":"2016-08-31","description":"","custom_fields":[{"id":1,"name":"Subdivision","value":"EC"},{"id":4,"name":"Milepost","value":"23.1741"},{"id":17,"name":"Train ID","value":"186-31"},{"id":16,"name":"Locomotive ID","value":"4043"},{"id":130,"name":"Impact","value":""},{"id":150,"name":"Time of Event (Mountain Time)","value":"15:52:57"},{"id":151,"name":"Denver Issue ID","value":""},{"id":178,"name":"Operational Impact","value":"Yes"},{"id":179,"name":"Denver Segment Assigned","value":""}]}} | curl -X POST -H "Content-Type: application/json" -H "X-Redmine-API-Key: d6333d4a04012a730768444271f8ca06482dae87" https://secure.xorail.net/redmine/issues.json --data @-</v>
      </c>
      <c r="AJ99" s="55"/>
      <c r="AK99" s="55"/>
      <c r="AL99" s="55"/>
    </row>
    <row r="100" spans="1:38" s="23" customFormat="1" x14ac:dyDescent="0.25">
      <c r="A100" s="39" t="s">
        <v>504</v>
      </c>
      <c r="B100" s="7">
        <v>4002</v>
      </c>
      <c r="C100" s="24" t="s">
        <v>113</v>
      </c>
      <c r="D100" s="24" t="s">
        <v>175</v>
      </c>
      <c r="E100" s="15">
        <v>42613.603009259263</v>
      </c>
      <c r="F100" s="15">
        <v>42613.604490740741</v>
      </c>
      <c r="G100" s="7">
        <v>1</v>
      </c>
      <c r="H100" s="15" t="s">
        <v>323</v>
      </c>
      <c r="I100" s="15">
        <v>42613.631331018521</v>
      </c>
      <c r="J100" s="7">
        <v>0</v>
      </c>
      <c r="K100" s="132" t="str">
        <f t="shared" si="37"/>
        <v>4001/4002</v>
      </c>
      <c r="L100" s="24" t="str">
        <f>VLOOKUP(A100,'Trips&amp;Operators'!$C$1:$E$10000,3,FALSE)</f>
        <v>ARVIDSON</v>
      </c>
      <c r="M100" s="6">
        <f t="shared" si="38"/>
        <v>2.6840277780138422E-2</v>
      </c>
      <c r="N100" s="7">
        <f t="shared" si="52"/>
        <v>38.650000003399327</v>
      </c>
      <c r="O100" s="7"/>
      <c r="P100" s="7"/>
      <c r="Q100" s="25"/>
      <c r="R100" s="25"/>
      <c r="S100" s="37">
        <f t="shared" si="53"/>
        <v>1</v>
      </c>
      <c r="T100" s="52" t="str">
        <f t="shared" si="39"/>
        <v>NorthBound</v>
      </c>
      <c r="U100" s="126">
        <f>IF(AG100="EC",COUNTIFS(Variables!$M$2:$M$19,IF(T100="NorthBound","&gt;=","&lt;=")&amp;Y100,Variables!$M$2:$M$19,IF(T100="NorthBound","&lt;=","&gt;=")&amp;Z100),COUNTIFS(Variables!$P$2:$P$19,IF(T100="NorthBound","&gt;=","&lt;=")&amp;Y100,Variables!$P$2:$P$19,IF(T100="NorthBound","&lt;=","&gt;=")&amp;Z100))</f>
        <v>12</v>
      </c>
      <c r="V100" s="106" t="str">
        <f t="shared" si="40"/>
        <v>https://search-rtdc-monitor-bjffxe2xuh6vdkpspy63sjmuny.us-east-1.es.amazonaws.com/_plugin/kibana/#/discover/Steve-Slow-Train-Analysis-(2080s-and-2083s)?_g=(refreshInterval:(display:Off,section:0,value:0),time:(from:'2016-08-31 13:28:20-0600',mode:absolute,to:'2016-08-31 16:09:07-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4002%22')),sort:!(Time,asc))</v>
      </c>
      <c r="W100" s="54" t="str">
        <f t="shared" si="41"/>
        <v>N</v>
      </c>
      <c r="X100" s="120">
        <f t="shared" si="51"/>
        <v>1</v>
      </c>
      <c r="Y100" s="69">
        <f t="shared" si="42"/>
        <v>4.4699999999999997E-2</v>
      </c>
      <c r="Z100" s="69">
        <f t="shared" si="43"/>
        <v>23.330200000000001</v>
      </c>
      <c r="AA100" s="69">
        <f t="shared" si="44"/>
        <v>23.285500000000003</v>
      </c>
      <c r="AB100" s="66">
        <f>VLOOKUP(A100,Enforcements!$C$7:$J$21,8,0)</f>
        <v>230436</v>
      </c>
      <c r="AC100" s="62" t="str">
        <f>VLOOKUP(A100,Enforcements!$C$7:$E$21,3,0)</f>
        <v>PERMANENT SPEED RESTRICTION</v>
      </c>
      <c r="AD100" s="63" t="str">
        <f t="shared" si="45"/>
        <v>0187-31</v>
      </c>
      <c r="AE100" s="99" t="str">
        <f t="shared" si="46"/>
        <v>aws s3 cp s3://rtdc.mdm.uploadarchive/RTDC4002/2016-08-31/ "%USERPROFILE%\AppData\Local\Temp\OnboardLogs"\RTDC4002\2016-08-31 --recursive &amp; "%USERPROFILE%\Documents\GitHub\mrs-test-scripts\Headless Mode &amp; Sideloading\WalkAndUnGZ.bat" "%USERPROFILE%\AppData\Local\Temp\OnboardLogs"\RTDC4002\2016-08-31 &amp; aws s3 cp s3://rtdc.mdm.uploadarchive/RTDC4002/2016-09-01/ "%USERPROFILE%\AppData\Local\Temp\OnboardLogs"\RTDC4002\2016-09-01 --recursive &amp; "%USERPROFILE%\Documents\GitHub\mrs-test-scripts\Headless Mode &amp; Sideloading\WalkAndUnGZ.bat" "%USERPROFILE%\AppData\Local\Temp\OnboardLogs"\RTDC4002\2016-09-01</v>
      </c>
      <c r="AF100" s="96" t="str">
        <f t="shared" si="47"/>
        <v>"C:\Program Files (x86)\AstroGrep\AstroGrep.exe" /spath="%USERPROFILE%\AppData\Local\Temp\OnboardLogs" /stypes="*4002*20160831*" /stext=" 21:.+((SYSTEM_STATE.+slice.+state.+changed )|(ment ac)|(system.+state.+changed )|(\|lc)|(penalty)|(\[timeout)|(PRM\|1\|D)|(kpr)|(kdp))" /e /r /s</v>
      </c>
      <c r="AG100" s="1" t="str">
        <f t="shared" si="48"/>
        <v>EC</v>
      </c>
      <c r="AH100" s="100" t="str">
        <f t="shared" si="49"/>
        <v>"%USERPROFILE%\Documents\GitHub\eaglep3\Utilities\RefineRTDCRunTimes.py" --tripid 187-31 --locoid 4002 --swversion DE.1.0.7.0 --startMP 204:447 --initTime 2016-08-31T14:28:20 --startdatetime 2016-08-31T14:30:28 --delay 1 --endMP 204:233302 --enddatetime 2016-08-31T15:09:07 --enforcementcount 0 &gt;&gt;C:\Users\stu\Documents\GitHub\eaglep3-reporting\EC\2016-08-31-refined-times.txt</v>
      </c>
      <c r="AI100" s="149" t="str">
        <f t="shared" si="50"/>
        <v>echo {"issue":{"subject":"","project_id":79,"tracker_id":40,"status_id":1,"priority_id":2,"assigned_to_id":23,"start_date":"2016-08-31","description":"","custom_fields":[{"id":1,"name":"Subdivision","value":"EC"},{"id":4,"name":"Milepost","value":"23.2855"},{"id":17,"name":"Train ID","value":"187-31"},{"id":16,"name":"Locomotive ID","value":"4002"},{"id":130,"name":"Impact","value":""},{"id":150,"name":"Time of Event (Mountain Time)","value":"15:09:07"},{"id":151,"name":"Denver Issue ID","value":""},{"id":178,"name":"Operational Impact","value":"Yes"},{"id":179,"name":"Denver Segment Assigned","value":""}]}} | curl -X POST -H "Content-Type: application/json" -H "X-Redmine-API-Key: d6333d4a04012a730768444271f8ca06482dae87" https://secure.xorail.net/redmine/issues.json --data @-</v>
      </c>
      <c r="AJ100" s="55"/>
      <c r="AK100" s="55"/>
      <c r="AL100" s="55"/>
    </row>
    <row r="101" spans="1:38" x14ac:dyDescent="0.25">
      <c r="A101" s="39" t="s">
        <v>505</v>
      </c>
      <c r="B101" s="7">
        <v>4001</v>
      </c>
      <c r="C101" s="24" t="s">
        <v>113</v>
      </c>
      <c r="D101" s="24" t="s">
        <v>247</v>
      </c>
      <c r="E101" s="15">
        <v>42613.638784722221</v>
      </c>
      <c r="F101" s="15">
        <v>42613.7266087963</v>
      </c>
      <c r="G101" s="7">
        <v>1</v>
      </c>
      <c r="H101" s="15" t="s">
        <v>482</v>
      </c>
      <c r="I101" s="15">
        <v>42613.755856481483</v>
      </c>
      <c r="J101" s="7">
        <v>0</v>
      </c>
      <c r="K101" s="132" t="str">
        <f t="shared" si="37"/>
        <v>4001/4002</v>
      </c>
      <c r="L101" s="24" t="str">
        <f>VLOOKUP(A101,'Trips&amp;Operators'!$C$1:$E$10000,3,FALSE)</f>
        <v>ROBINSON</v>
      </c>
      <c r="M101" s="6">
        <f t="shared" si="38"/>
        <v>2.9247685182781424E-2</v>
      </c>
      <c r="N101" s="7">
        <f t="shared" si="52"/>
        <v>42.116666663205251</v>
      </c>
      <c r="O101" s="7"/>
      <c r="P101" s="7"/>
      <c r="Q101" s="25"/>
      <c r="R101" s="25"/>
      <c r="S101" s="37">
        <f t="shared" si="53"/>
        <v>1</v>
      </c>
      <c r="T101" s="52" t="str">
        <f t="shared" si="39"/>
        <v>Southbound</v>
      </c>
      <c r="U101" s="126">
        <f>IF(AG101="EC",COUNTIFS(Variables!$M$2:$M$19,IF(T101="NorthBound","&gt;=","&lt;=")&amp;Y101,Variables!$M$2:$M$19,IF(T101="NorthBound","&lt;=","&gt;=")&amp;Z101),COUNTIFS(Variables!$P$2:$P$19,IF(T101="NorthBound","&gt;=","&lt;=")&amp;Y101,Variables!$P$2:$P$19,IF(T101="NorthBound","&lt;=","&gt;=")&amp;Z101))</f>
        <v>12</v>
      </c>
      <c r="V101" s="106" t="str">
        <f t="shared" si="40"/>
        <v>https://search-rtdc-monitor-bjffxe2xuh6vdkpspy63sjmuny.us-east-1.es.amazonaws.com/_plugin/kibana/#/discover/Steve-Slow-Train-Analysis-(2080s-and-2083s)?_g=(refreshInterval:(display:Off,section:0,value:0),time:(from:'2016-08-31 14:19:51-0600',mode:absolute,to:'2016-08-31 19:08:26-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4001%22')),sort:!(Time,asc))</v>
      </c>
      <c r="W101" s="54" t="str">
        <f t="shared" si="41"/>
        <v>N</v>
      </c>
      <c r="X101" s="120">
        <f t="shared" si="51"/>
        <v>1</v>
      </c>
      <c r="Y101" s="69">
        <f t="shared" si="42"/>
        <v>23.298500000000001</v>
      </c>
      <c r="Z101" s="69">
        <f t="shared" si="43"/>
        <v>1.6899999999999998E-2</v>
      </c>
      <c r="AA101" s="69">
        <f t="shared" si="44"/>
        <v>23.281600000000001</v>
      </c>
      <c r="AB101" s="66">
        <f>VLOOKUP(A101,Enforcements!$C$7:$J$21,8,0)</f>
        <v>21848</v>
      </c>
      <c r="AC101" s="62" t="str">
        <f>VLOOKUP(A101,Enforcements!$C$7:$E$21,3,0)</f>
        <v>PERMANENT SPEED RESTRICTION</v>
      </c>
      <c r="AD101" s="63" t="str">
        <f t="shared" si="45"/>
        <v>0188-31</v>
      </c>
      <c r="AE101" s="99" t="str">
        <f t="shared" si="46"/>
        <v>aws s3 cp s3://rtdc.mdm.uploadarchive/RTDC4001/2016-08-31/ "%USERPROFILE%\AppData\Local\Temp\OnboardLogs"\RTDC4001\2016-08-31 --recursive &amp; "%USERPROFILE%\Documents\GitHub\mrs-test-scripts\Headless Mode &amp; Sideloading\WalkAndUnGZ.bat" "%USERPROFILE%\AppData\Local\Temp\OnboardLogs"\RTDC4001\2016-08-31 &amp; aws s3 cp s3://rtdc.mdm.uploadarchive/RTDC4001/2016-09-01/ "%USERPROFILE%\AppData\Local\Temp\OnboardLogs"\RTDC4001\2016-09-01 --recursive &amp; "%USERPROFILE%\Documents\GitHub\mrs-test-scripts\Headless Mode &amp; Sideloading\WalkAndUnGZ.bat" "%USERPROFILE%\AppData\Local\Temp\OnboardLogs"\RTDC4001\2016-09-01</v>
      </c>
      <c r="AF101" s="96" t="str">
        <f t="shared" si="47"/>
        <v>"C:\Program Files (x86)\AstroGrep\AstroGrep.exe" /spath="%USERPROFILE%\AppData\Local\Temp\OnboardLogs" /stypes="*4001*20160901*" /stext=" 00:.+((SYSTEM_STATE.+slice.+state.+changed )|(ment ac)|(system.+state.+changed )|(\|lc)|(penalty)|(\[timeout)|(PRM\|1\|D)|(kpr)|(kdp))" /e /r /s</v>
      </c>
      <c r="AG101" s="1" t="str">
        <f t="shared" si="48"/>
        <v>EC</v>
      </c>
      <c r="AH101" s="100" t="str">
        <f t="shared" si="49"/>
        <v>"%USERPROFILE%\Documents\GitHub\eaglep3\Utilities\RefineRTDCRunTimes.py" --tripid 188-31 --locoid 4001 --swversion DE.1.0.7.0 --startMP 204:232985 --initTime 2016-08-31T15:19:51 --startdatetime 2016-08-31T17:26:19 --delay 1 --endMP 204:169 --enddatetime 2016-08-31T18:08:26 --enforcementcount 0 &gt;&gt;C:\Users\stu\Documents\GitHub\eaglep3-reporting\EC\2016-08-31-refined-times.txt</v>
      </c>
      <c r="AI101" s="149" t="str">
        <f t="shared" si="50"/>
        <v>echo {"issue":{"subject":"","project_id":79,"tracker_id":40,"status_id":1,"priority_id":2,"assigned_to_id":23,"start_date":"2016-08-31","description":"","custom_fields":[{"id":1,"name":"Subdivision","value":"EC"},{"id":4,"name":"Milepost","value":"23.2816"},{"id":17,"name":"Train ID","value":"188-31"},{"id":16,"name":"Locomotive ID","value":"4001"},{"id":130,"name":"Impact","value":""},{"id":150,"name":"Time of Event (Mountain Time)","value":"18:08:26"},{"id":151,"name":"Denver Issue ID","value":""},{"id":178,"name":"Operational Impact","value":"Yes"},{"id":179,"name":"Denver Segment Assigned","value":""}]}} | curl -X POST -H "Content-Type: application/json" -H "X-Redmine-API-Key: d6333d4a04012a730768444271f8ca06482dae87" https://secure.xorail.net/redmine/issues.json --data @-</v>
      </c>
      <c r="AJ101" s="55"/>
      <c r="AK101" s="55"/>
      <c r="AL101" s="55"/>
    </row>
    <row r="102" spans="1:38" s="23" customFormat="1" x14ac:dyDescent="0.25">
      <c r="A102" s="39" t="s">
        <v>506</v>
      </c>
      <c r="B102" s="7">
        <v>4016</v>
      </c>
      <c r="C102" s="24" t="s">
        <v>113</v>
      </c>
      <c r="D102" s="24" t="s">
        <v>180</v>
      </c>
      <c r="E102" s="15">
        <v>42613.61341435185</v>
      </c>
      <c r="F102" s="15">
        <v>42613.615023148152</v>
      </c>
      <c r="G102" s="7">
        <v>1</v>
      </c>
      <c r="H102" s="15" t="s">
        <v>151</v>
      </c>
      <c r="I102" s="15">
        <v>42613.642395833333</v>
      </c>
      <c r="J102" s="7">
        <v>0</v>
      </c>
      <c r="K102" s="132" t="str">
        <f t="shared" si="37"/>
        <v>4015/4016</v>
      </c>
      <c r="L102" s="24" t="str">
        <f>VLOOKUP(A102,'Trips&amp;Operators'!$C$1:$E$10000,3,FALSE)</f>
        <v>BARTLETT</v>
      </c>
      <c r="M102" s="6">
        <f t="shared" si="38"/>
        <v>2.7372685181035195E-2</v>
      </c>
      <c r="N102" s="7">
        <f t="shared" si="52"/>
        <v>39.41666666069068</v>
      </c>
      <c r="O102" s="7"/>
      <c r="P102" s="7"/>
      <c r="Q102" s="25"/>
      <c r="R102" s="25"/>
      <c r="S102" s="37">
        <f t="shared" si="53"/>
        <v>1</v>
      </c>
      <c r="T102" s="52" t="str">
        <f t="shared" si="39"/>
        <v>NorthBound</v>
      </c>
      <c r="U102" s="126">
        <f>IF(AG102="EC",COUNTIFS(Variables!$M$2:$M$19,IF(T102="NorthBound","&gt;=","&lt;=")&amp;Y102,Variables!$M$2:$M$19,IF(T102="NorthBound","&lt;=","&gt;=")&amp;Z102),COUNTIFS(Variables!$P$2:$P$19,IF(T102="NorthBound","&gt;=","&lt;=")&amp;Y102,Variables!$P$2:$P$19,IF(T102="NorthBound","&lt;=","&gt;=")&amp;Z102))</f>
        <v>12</v>
      </c>
      <c r="V102" s="106" t="str">
        <f t="shared" si="40"/>
        <v>https://search-rtdc-monitor-bjffxe2xuh6vdkpspy63sjmuny.us-east-1.es.amazonaws.com/_plugin/kibana/#/discover/Steve-Slow-Train-Analysis-(2080s-and-2083s)?_g=(refreshInterval:(display:Off,section:0,value:0),time:(from:'2016-08-31 13:43:19-0600',mode:absolute,to:'2016-08-31 16:25:03-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4016%22')),sort:!(Time,asc))</v>
      </c>
      <c r="W102" s="54" t="str">
        <f t="shared" si="41"/>
        <v>N</v>
      </c>
      <c r="X102" s="120">
        <f t="shared" si="51"/>
        <v>1</v>
      </c>
      <c r="Y102" s="69">
        <f t="shared" si="42"/>
        <v>4.5999999999999999E-2</v>
      </c>
      <c r="Z102" s="69">
        <f t="shared" si="43"/>
        <v>23.3291</v>
      </c>
      <c r="AA102" s="69">
        <f t="shared" si="44"/>
        <v>23.283100000000001</v>
      </c>
      <c r="AB102" s="66" t="e">
        <f>VLOOKUP(A102,Enforcements!$C$7:$J$21,8,0)</f>
        <v>#N/A</v>
      </c>
      <c r="AC102" s="62" t="e">
        <f>VLOOKUP(A102,Enforcements!$C$7:$E$21,3,0)</f>
        <v>#N/A</v>
      </c>
      <c r="AD102" s="63" t="str">
        <f t="shared" si="45"/>
        <v>0189-31</v>
      </c>
      <c r="AE102" s="99" t="str">
        <f t="shared" si="46"/>
        <v>aws s3 cp s3://rtdc.mdm.uploadarchive/RTDC4016/2016-08-31/ "%USERPROFILE%\AppData\Local\Temp\OnboardLogs"\RTDC4016\2016-08-31 --recursive &amp; "%USERPROFILE%\Documents\GitHub\mrs-test-scripts\Headless Mode &amp; Sideloading\WalkAndUnGZ.bat" "%USERPROFILE%\AppData\Local\Temp\OnboardLogs"\RTDC4016\2016-08-31 &amp; aws s3 cp s3://rtdc.mdm.uploadarchive/RTDC4016/2016-09-01/ "%USERPROFILE%\AppData\Local\Temp\OnboardLogs"\RTDC4016\2016-09-01 --recursive &amp; "%USERPROFILE%\Documents\GitHub\mrs-test-scripts\Headless Mode &amp; Sideloading\WalkAndUnGZ.bat" "%USERPROFILE%\AppData\Local\Temp\OnboardLogs"\RTDC4016\2016-09-01</v>
      </c>
      <c r="AF102" s="96" t="str">
        <f t="shared" si="47"/>
        <v>"C:\Program Files (x86)\AstroGrep\AstroGrep.exe" /spath="%USERPROFILE%\AppData\Local\Temp\OnboardLogs" /stypes="*4016*20160831*" /stext=" 21:.+((SYSTEM_STATE.+slice.+state.+changed )|(ment ac)|(system.+state.+changed )|(\|lc)|(penalty)|(\[timeout)|(PRM\|1\|D)|(kpr)|(kdp))" /e /r /s</v>
      </c>
      <c r="AG102" s="1" t="str">
        <f t="shared" si="48"/>
        <v>EC</v>
      </c>
      <c r="AH102" s="100" t="str">
        <f t="shared" si="49"/>
        <v>"%USERPROFILE%\Documents\GitHub\eaglep3\Utilities\RefineRTDCRunTimes.py" --tripid 189-31 --locoid 4016 --swversion DE.1.0.7.0 --startMP 204:460 --initTime 2016-08-31T14:43:19 --startdatetime 2016-08-31T14:45:38 --delay 1 --endMP 204:233291 --enddatetime 2016-08-31T15:25:03 --enforcementcount 0 &gt;&gt;C:\Users\stu\Documents\GitHub\eaglep3-reporting\EC\2016-08-31-refined-times.txt</v>
      </c>
      <c r="AI102" s="149" t="str">
        <f t="shared" si="50"/>
        <v>echo {"issue":{"subject":"","project_id":79,"tracker_id":40,"status_id":1,"priority_id":2,"assigned_to_id":23,"start_date":"2016-08-31","description":"","custom_fields":[{"id":1,"name":"Subdivision","value":"EC"},{"id":4,"name":"Milepost","value":"23.2831"},{"id":17,"name":"Train ID","value":"189-31"},{"id":16,"name":"Locomotive ID","value":"4016"},{"id":130,"name":"Impact","value":""},{"id":150,"name":"Time of Event (Mountain Time)","value":"15:25:03"},{"id":151,"name":"Denver Issue ID","value":""},{"id":178,"name":"Operational Impact","value":"Yes"},{"id":179,"name":"Denver Segment Assigned","value":""}]}} | curl -X POST -H "Content-Type: application/json" -H "X-Redmine-API-Key: d6333d4a04012a730768444271f8ca06482dae87" https://secure.xorail.net/redmine/issues.json --data @-</v>
      </c>
      <c r="AJ102" s="55"/>
      <c r="AK102" s="55"/>
      <c r="AL102" s="55"/>
    </row>
    <row r="103" spans="1:38" x14ac:dyDescent="0.25">
      <c r="A103" s="39" t="s">
        <v>507</v>
      </c>
      <c r="B103" s="7">
        <v>4015</v>
      </c>
      <c r="C103" s="24" t="s">
        <v>113</v>
      </c>
      <c r="D103" s="24" t="s">
        <v>222</v>
      </c>
      <c r="E103" s="15">
        <v>42613.644895833335</v>
      </c>
      <c r="F103" s="15">
        <v>42613.654039351852</v>
      </c>
      <c r="G103" s="7">
        <v>1</v>
      </c>
      <c r="H103" s="15" t="s">
        <v>508</v>
      </c>
      <c r="I103" s="15">
        <v>42613.687037037038</v>
      </c>
      <c r="J103" s="7">
        <v>0</v>
      </c>
      <c r="K103" s="132" t="str">
        <f t="shared" si="37"/>
        <v>4015/4016</v>
      </c>
      <c r="L103" s="24" t="str">
        <f>VLOOKUP(A103,'Trips&amp;Operators'!$C$1:$E$10000,3,FALSE)</f>
        <v>BARTLETT</v>
      </c>
      <c r="M103" s="6">
        <f t="shared" si="38"/>
        <v>3.2997685186273884E-2</v>
      </c>
      <c r="N103" s="7">
        <f t="shared" si="52"/>
        <v>47.516666668234393</v>
      </c>
      <c r="O103" s="7"/>
      <c r="P103" s="7"/>
      <c r="Q103" s="25"/>
      <c r="R103" s="25"/>
      <c r="S103" s="37">
        <f t="shared" si="53"/>
        <v>1</v>
      </c>
      <c r="T103" s="52" t="str">
        <f t="shared" si="39"/>
        <v>Southbound</v>
      </c>
      <c r="U103" s="126">
        <f>IF(AG103="EC",COUNTIFS(Variables!$M$2:$M$19,IF(T103="NorthBound","&gt;=","&lt;=")&amp;Y103,Variables!$M$2:$M$19,IF(T103="NorthBound","&lt;=","&gt;=")&amp;Z103),COUNTIFS(Variables!$P$2:$P$19,IF(T103="NorthBound","&gt;=","&lt;=")&amp;Y103,Variables!$P$2:$P$19,IF(T103="NorthBound","&lt;=","&gt;=")&amp;Z103))</f>
        <v>12</v>
      </c>
      <c r="V103" s="106" t="str">
        <f t="shared" si="40"/>
        <v>https://search-rtdc-monitor-bjffxe2xuh6vdkpspy63sjmuny.us-east-1.es.amazonaws.com/_plugin/kibana/#/discover/Steve-Slow-Train-Analysis-(2080s-and-2083s)?_g=(refreshInterval:(display:Off,section:0,value:0),time:(from:'2016-08-31 14:28:39-0600',mode:absolute,to:'2016-08-31 17:29:20-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4015%22')),sort:!(Time,asc))</v>
      </c>
      <c r="W103" s="54" t="str">
        <f t="shared" si="41"/>
        <v>N</v>
      </c>
      <c r="X103" s="120">
        <f t="shared" si="51"/>
        <v>1</v>
      </c>
      <c r="Y103" s="69">
        <f t="shared" si="42"/>
        <v>23.297999999999998</v>
      </c>
      <c r="Z103" s="69">
        <f t="shared" si="43"/>
        <v>1.7600000000000001E-2</v>
      </c>
      <c r="AA103" s="69">
        <f t="shared" si="44"/>
        <v>23.280399999999997</v>
      </c>
      <c r="AB103" s="66" t="e">
        <f>VLOOKUP(A103,Enforcements!$C$7:$J$21,8,0)</f>
        <v>#N/A</v>
      </c>
      <c r="AC103" s="62" t="e">
        <f>VLOOKUP(A103,Enforcements!$C$7:$E$21,3,0)</f>
        <v>#N/A</v>
      </c>
      <c r="AD103" s="63" t="str">
        <f t="shared" si="45"/>
        <v>0190-31</v>
      </c>
      <c r="AE103" s="99" t="str">
        <f t="shared" si="46"/>
        <v>aws s3 cp s3://rtdc.mdm.uploadarchive/RTDC4015/2016-08-31/ "%USERPROFILE%\AppData\Local\Temp\OnboardLogs"\RTDC4015\2016-08-31 --recursive &amp; "%USERPROFILE%\Documents\GitHub\mrs-test-scripts\Headless Mode &amp; Sideloading\WalkAndUnGZ.bat" "%USERPROFILE%\AppData\Local\Temp\OnboardLogs"\RTDC4015\2016-08-31 &amp; aws s3 cp s3://rtdc.mdm.uploadarchive/RTDC4015/2016-09-01/ "%USERPROFILE%\AppData\Local\Temp\OnboardLogs"\RTDC4015\2016-09-01 --recursive &amp; "%USERPROFILE%\Documents\GitHub\mrs-test-scripts\Headless Mode &amp; Sideloading\WalkAndUnGZ.bat" "%USERPROFILE%\AppData\Local\Temp\OnboardLogs"\RTDC4015\2016-09-01</v>
      </c>
      <c r="AF103" s="96" t="str">
        <f t="shared" si="47"/>
        <v>"C:\Program Files (x86)\AstroGrep\AstroGrep.exe" /spath="%USERPROFILE%\AppData\Local\Temp\OnboardLogs" /stypes="*4015*20160831*" /stext=" 22:.+((SYSTEM_STATE.+slice.+state.+changed )|(ment ac)|(system.+state.+changed )|(\|lc)|(penalty)|(\[timeout)|(PRM\|1\|D)|(kpr)|(kdp))" /e /r /s</v>
      </c>
      <c r="AG103" s="1" t="str">
        <f t="shared" si="48"/>
        <v>EC</v>
      </c>
      <c r="AH103" s="100" t="str">
        <f t="shared" si="49"/>
        <v>"%USERPROFILE%\Documents\GitHub\eaglep3\Utilities\RefineRTDCRunTimes.py" --tripid 190-31 --locoid 4015 --swversion DE.1.0.7.0 --startMP 204:232980 --initTime 2016-08-31T15:28:39 --startdatetime 2016-08-31T15:41:49 --delay 1 --endMP 204:176 --enddatetime 2016-08-31T16:29:20 --enforcementcount 0 &gt;&gt;C:\Users\stu\Documents\GitHub\eaglep3-reporting\EC\2016-08-31-refined-times.txt</v>
      </c>
      <c r="AI103" s="149" t="str">
        <f t="shared" si="50"/>
        <v>echo {"issue":{"subject":"","project_id":79,"tracker_id":40,"status_id":1,"priority_id":2,"assigned_to_id":23,"start_date":"2016-08-31","description":"","custom_fields":[{"id":1,"name":"Subdivision","value":"EC"},{"id":4,"name":"Milepost","value":"23.2804"},{"id":17,"name":"Train ID","value":"190-31"},{"id":16,"name":"Locomotive ID","value":"4015"},{"id":130,"name":"Impact","value":""},{"id":150,"name":"Time of Event (Mountain Time)","value":"16:29:20"},{"id":151,"name":"Denver Issue ID","value":""},{"id":178,"name":"Operational Impact","value":"Yes"},{"id":179,"name":"Denver Segment Assigned","value":""}]}} | curl -X POST -H "Content-Type: application/json" -H "X-Redmine-API-Key: d6333d4a04012a730768444271f8ca06482dae87" https://secure.xorail.net/redmine/issues.json --data @-</v>
      </c>
      <c r="AJ103" s="55"/>
      <c r="AK103" s="55"/>
      <c r="AL103" s="55"/>
    </row>
    <row r="104" spans="1:38" s="23" customFormat="1" x14ac:dyDescent="0.25">
      <c r="A104" s="39" t="s">
        <v>509</v>
      </c>
      <c r="B104" s="7">
        <v>4014</v>
      </c>
      <c r="C104" s="24" t="s">
        <v>113</v>
      </c>
      <c r="D104" s="24" t="s">
        <v>478</v>
      </c>
      <c r="E104" s="15">
        <v>42613.629259259258</v>
      </c>
      <c r="F104" s="15">
        <v>42613.633379629631</v>
      </c>
      <c r="G104" s="7">
        <v>1</v>
      </c>
      <c r="H104" s="15" t="s">
        <v>510</v>
      </c>
      <c r="I104" s="15">
        <v>42613.664050925923</v>
      </c>
      <c r="J104" s="7">
        <v>0</v>
      </c>
      <c r="K104" s="132" t="str">
        <f t="shared" si="37"/>
        <v>4013/4014</v>
      </c>
      <c r="L104" s="24" t="str">
        <f>VLOOKUP(A104,'Trips&amp;Operators'!$C$1:$E$10000,3,FALSE)</f>
        <v>MAHAN</v>
      </c>
      <c r="M104" s="6">
        <f t="shared" si="38"/>
        <v>3.0671296291984618E-2</v>
      </c>
      <c r="N104" s="7">
        <f t="shared" si="52"/>
        <v>44.16666666045785</v>
      </c>
      <c r="O104" s="7"/>
      <c r="P104" s="7"/>
      <c r="Q104" s="25"/>
      <c r="R104" s="25"/>
      <c r="S104" s="37">
        <f t="shared" si="53"/>
        <v>1</v>
      </c>
      <c r="T104" s="52" t="str">
        <f t="shared" si="39"/>
        <v>NorthBound</v>
      </c>
      <c r="U104" s="126">
        <f>IF(AG104="EC",COUNTIFS(Variables!$M$2:$M$19,IF(T104="NorthBound","&gt;=","&lt;=")&amp;Y104,Variables!$M$2:$M$19,IF(T104="NorthBound","&lt;=","&gt;=")&amp;Z104),COUNTIFS(Variables!$P$2:$P$19,IF(T104="NorthBound","&gt;=","&lt;=")&amp;Y104,Variables!$P$2:$P$19,IF(T104="NorthBound","&lt;=","&gt;=")&amp;Z104))</f>
        <v>12</v>
      </c>
      <c r="V104" s="106" t="str">
        <f t="shared" si="40"/>
        <v>https://search-rtdc-monitor-bjffxe2xuh6vdkpspy63sjmuny.us-east-1.es.amazonaws.com/_plugin/kibana/#/discover/Steve-Slow-Train-Analysis-(2080s-and-2083s)?_g=(refreshInterval:(display:Off,section:0,value:0),time:(from:'2016-08-31 14:06:08-0600',mode:absolute,to:'2016-08-31 16:56:14-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4014%22')),sort:!(Time,asc))</v>
      </c>
      <c r="W104" s="54" t="str">
        <f t="shared" si="41"/>
        <v>N</v>
      </c>
      <c r="X104" s="120">
        <f t="shared" si="51"/>
        <v>1</v>
      </c>
      <c r="Y104" s="69">
        <f t="shared" si="42"/>
        <v>4.6899999999999997E-2</v>
      </c>
      <c r="Z104" s="69">
        <f t="shared" si="43"/>
        <v>23.331700000000001</v>
      </c>
      <c r="AA104" s="69">
        <f t="shared" si="44"/>
        <v>23.284800000000001</v>
      </c>
      <c r="AB104" s="66" t="e">
        <f>VLOOKUP(A104,Enforcements!$C$7:$J$21,8,0)</f>
        <v>#N/A</v>
      </c>
      <c r="AC104" s="62" t="e">
        <f>VLOOKUP(A104,Enforcements!$C$7:$E$21,3,0)</f>
        <v>#N/A</v>
      </c>
      <c r="AD104" s="63" t="str">
        <f t="shared" si="45"/>
        <v>0191-31</v>
      </c>
      <c r="AE104" s="99" t="str">
        <f t="shared" si="46"/>
        <v>aws s3 cp s3://rtdc.mdm.uploadarchive/RTDC4014/2016-08-31/ "%USERPROFILE%\AppData\Local\Temp\OnboardLogs"\RTDC4014\2016-08-31 --recursive &amp; "%USERPROFILE%\Documents\GitHub\mrs-test-scripts\Headless Mode &amp; Sideloading\WalkAndUnGZ.bat" "%USERPROFILE%\AppData\Local\Temp\OnboardLogs"\RTDC4014\2016-08-31 &amp; aws s3 cp s3://rtdc.mdm.uploadarchive/RTDC4014/2016-09-01/ "%USERPROFILE%\AppData\Local\Temp\OnboardLogs"\RTDC4014\2016-09-01 --recursive &amp; "%USERPROFILE%\Documents\GitHub\mrs-test-scripts\Headless Mode &amp; Sideloading\WalkAndUnGZ.bat" "%USERPROFILE%\AppData\Local\Temp\OnboardLogs"\RTDC4014\2016-09-01</v>
      </c>
      <c r="AF104" s="96" t="str">
        <f t="shared" si="47"/>
        <v>"C:\Program Files (x86)\AstroGrep\AstroGrep.exe" /spath="%USERPROFILE%\AppData\Local\Temp\OnboardLogs" /stypes="*4014*20160831*" /stext=" 21:.+((SYSTEM_STATE.+slice.+state.+changed )|(ment ac)|(system.+state.+changed )|(\|lc)|(penalty)|(\[timeout)|(PRM\|1\|D)|(kpr)|(kdp))" /e /r /s</v>
      </c>
      <c r="AG104" s="1" t="str">
        <f t="shared" si="48"/>
        <v>EC</v>
      </c>
      <c r="AH104" s="100" t="str">
        <f t="shared" si="49"/>
        <v>"%USERPROFILE%\Documents\GitHub\eaglep3\Utilities\RefineRTDCRunTimes.py" --tripid 191-31 --locoid 4014 --swversion DE.1.0.7.0 --startMP 204:469 --initTime 2016-08-31T15:06:08 --startdatetime 2016-08-31T15:12:04 --delay 1 --endMP 204:233317 --enddatetime 2016-08-31T15:56:14 --enforcementcount 0 &gt;&gt;C:\Users\stu\Documents\GitHub\eaglep3-reporting\EC\2016-08-31-refined-times.txt</v>
      </c>
      <c r="AI104" s="149" t="str">
        <f t="shared" si="50"/>
        <v>echo {"issue":{"subject":"","project_id":79,"tracker_id":40,"status_id":1,"priority_id":2,"assigned_to_id":23,"start_date":"2016-08-31","description":"","custom_fields":[{"id":1,"name":"Subdivision","value":"EC"},{"id":4,"name":"Milepost","value":"23.2848"},{"id":17,"name":"Train ID","value":"191-31"},{"id":16,"name":"Locomotive ID","value":"4014"},{"id":130,"name":"Impact","value":""},{"id":150,"name":"Time of Event (Mountain Time)","value":"15:56:14"},{"id":151,"name":"Denver Issue ID","value":""},{"id":178,"name":"Operational Impact","value":"Yes"},{"id":179,"name":"Denver Segment Assigned","value":""}]}} | curl -X POST -H "Content-Type: application/json" -H "X-Redmine-API-Key: d6333d4a04012a730768444271f8ca06482dae87" https://secure.xorail.net/redmine/issues.json --data @-</v>
      </c>
      <c r="AJ104" s="55"/>
      <c r="AK104" s="55"/>
      <c r="AL104" s="55"/>
    </row>
    <row r="105" spans="1:38" x14ac:dyDescent="0.25">
      <c r="A105" s="39" t="s">
        <v>511</v>
      </c>
      <c r="B105" s="7">
        <v>4013</v>
      </c>
      <c r="C105" s="24" t="s">
        <v>113</v>
      </c>
      <c r="D105" s="24" t="s">
        <v>185</v>
      </c>
      <c r="E105" s="15">
        <v>42613.667766203704</v>
      </c>
      <c r="F105" s="15">
        <v>42613.669120370374</v>
      </c>
      <c r="G105" s="7">
        <v>1</v>
      </c>
      <c r="H105" s="15" t="s">
        <v>149</v>
      </c>
      <c r="I105" s="15">
        <v>42613.699120370373</v>
      </c>
      <c r="J105" s="7">
        <v>0</v>
      </c>
      <c r="K105" s="132" t="str">
        <f t="shared" si="37"/>
        <v>4013/4014</v>
      </c>
      <c r="L105" s="24" t="str">
        <f>VLOOKUP(A105,'Trips&amp;Operators'!$C$1:$E$10000,3,FALSE)</f>
        <v>MAHAN</v>
      </c>
      <c r="M105" s="6">
        <f t="shared" si="38"/>
        <v>2.9999999998835847E-2</v>
      </c>
      <c r="N105" s="7">
        <f t="shared" si="52"/>
        <v>43.199999998323619</v>
      </c>
      <c r="O105" s="7"/>
      <c r="P105" s="7"/>
      <c r="Q105" s="25"/>
      <c r="R105" s="25"/>
      <c r="S105" s="37">
        <f t="shared" si="53"/>
        <v>1</v>
      </c>
      <c r="T105" s="52" t="str">
        <f t="shared" si="39"/>
        <v>Southbound</v>
      </c>
      <c r="U105" s="126">
        <f>IF(AG105="EC",COUNTIFS(Variables!$M$2:$M$19,IF(T105="NorthBound","&gt;=","&lt;=")&amp;Y105,Variables!$M$2:$M$19,IF(T105="NorthBound","&lt;=","&gt;=")&amp;Z105),COUNTIFS(Variables!$P$2:$P$19,IF(T105="NorthBound","&gt;=","&lt;=")&amp;Y105,Variables!$P$2:$P$19,IF(T105="NorthBound","&lt;=","&gt;=")&amp;Z105))</f>
        <v>12</v>
      </c>
      <c r="V105" s="106" t="str">
        <f t="shared" si="40"/>
        <v>https://search-rtdc-monitor-bjffxe2xuh6vdkpspy63sjmuny.us-east-1.es.amazonaws.com/_plugin/kibana/#/discover/Steve-Slow-Train-Analysis-(2080s-and-2083s)?_g=(refreshInterval:(display:Off,section:0,value:0),time:(from:'2016-08-31 15:01:35-0600',mode:absolute,to:'2016-08-31 17:46:44-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4013%22')),sort:!(Time,asc))</v>
      </c>
      <c r="W105" s="54" t="str">
        <f t="shared" si="41"/>
        <v>N</v>
      </c>
      <c r="X105" s="120">
        <f t="shared" si="51"/>
        <v>1</v>
      </c>
      <c r="Y105" s="69">
        <f t="shared" si="42"/>
        <v>23.2989</v>
      </c>
      <c r="Z105" s="69">
        <f t="shared" si="43"/>
        <v>1.5599999999999999E-2</v>
      </c>
      <c r="AA105" s="69">
        <f t="shared" si="44"/>
        <v>23.283300000000001</v>
      </c>
      <c r="AB105" s="66" t="e">
        <f>VLOOKUP(A105,Enforcements!$C$7:$J$21,8,0)</f>
        <v>#N/A</v>
      </c>
      <c r="AC105" s="62" t="e">
        <f>VLOOKUP(A105,Enforcements!$C$7:$E$21,3,0)</f>
        <v>#N/A</v>
      </c>
      <c r="AD105" s="63" t="str">
        <f t="shared" si="45"/>
        <v>0192-31</v>
      </c>
      <c r="AE105" s="99" t="str">
        <f t="shared" si="46"/>
        <v>aws s3 cp s3://rtdc.mdm.uploadarchive/RTDC4013/2016-08-31/ "%USERPROFILE%\AppData\Local\Temp\OnboardLogs"\RTDC4013\2016-08-31 --recursive &amp; "%USERPROFILE%\Documents\GitHub\mrs-test-scripts\Headless Mode &amp; Sideloading\WalkAndUnGZ.bat" "%USERPROFILE%\AppData\Local\Temp\OnboardLogs"\RTDC4013\2016-08-31 &amp; aws s3 cp s3://rtdc.mdm.uploadarchive/RTDC4013/2016-09-01/ "%USERPROFILE%\AppData\Local\Temp\OnboardLogs"\RTDC4013\2016-09-01 --recursive &amp; "%USERPROFILE%\Documents\GitHub\mrs-test-scripts\Headless Mode &amp; Sideloading\WalkAndUnGZ.bat" "%USERPROFILE%\AppData\Local\Temp\OnboardLogs"\RTDC4013\2016-09-01</v>
      </c>
      <c r="AF105" s="96" t="str">
        <f t="shared" si="47"/>
        <v>"C:\Program Files (x86)\AstroGrep\AstroGrep.exe" /spath="%USERPROFILE%\AppData\Local\Temp\OnboardLogs" /stypes="*4013*20160831*" /stext=" 22:.+((SYSTEM_STATE.+slice.+state.+changed )|(ment ac)|(system.+state.+changed )|(\|lc)|(penalty)|(\[timeout)|(PRM\|1\|D)|(kpr)|(kdp))" /e /r /s</v>
      </c>
      <c r="AG105" s="1" t="str">
        <f t="shared" si="48"/>
        <v>EC</v>
      </c>
      <c r="AH105" s="100" t="str">
        <f t="shared" si="49"/>
        <v>"%USERPROFILE%\Documents\GitHub\eaglep3\Utilities\RefineRTDCRunTimes.py" --tripid 192-31 --locoid 4013 --swversion DE.1.0.7.0 --startMP 204:232989 --initTime 2016-08-31T16:01:35 --startdatetime 2016-08-31T16:03:32 --delay 1 --endMP 204:156 --enddatetime 2016-08-31T16:46:44 --enforcementcount 0 &gt;&gt;C:\Users\stu\Documents\GitHub\eaglep3-reporting\EC\2016-08-31-refined-times.txt</v>
      </c>
      <c r="AI105" s="149" t="str">
        <f t="shared" si="50"/>
        <v>echo {"issue":{"subject":"","project_id":79,"tracker_id":40,"status_id":1,"priority_id":2,"assigned_to_id":23,"start_date":"2016-08-31","description":"","custom_fields":[{"id":1,"name":"Subdivision","value":"EC"},{"id":4,"name":"Milepost","value":"23.2833"},{"id":17,"name":"Train ID","value":"192-31"},{"id":16,"name":"Locomotive ID","value":"4013"},{"id":130,"name":"Impact","value":""},{"id":150,"name":"Time of Event (Mountain Time)","value":"16:46:44"},{"id":151,"name":"Denver Issue ID","value":""},{"id":178,"name":"Operational Impact","value":"Yes"},{"id":179,"name":"Denver Segment Assigned","value":""}]}} | curl -X POST -H "Content-Type: application/json" -H "X-Redmine-API-Key: d6333d4a04012a730768444271f8ca06482dae87" https://secure.xorail.net/redmine/issues.json --data @-</v>
      </c>
      <c r="AJ105" s="55"/>
      <c r="AK105" s="55"/>
      <c r="AL105" s="55"/>
    </row>
    <row r="106" spans="1:38" s="23" customFormat="1" x14ac:dyDescent="0.25">
      <c r="A106" s="39" t="s">
        <v>512</v>
      </c>
      <c r="B106" s="7">
        <v>4027</v>
      </c>
      <c r="C106" s="24" t="s">
        <v>113</v>
      </c>
      <c r="D106" s="24" t="s">
        <v>513</v>
      </c>
      <c r="E106" s="15">
        <v>42613.633587962962</v>
      </c>
      <c r="F106" s="15">
        <v>42613.638668981483</v>
      </c>
      <c r="G106" s="7">
        <v>5</v>
      </c>
      <c r="H106" s="15" t="s">
        <v>254</v>
      </c>
      <c r="I106" s="15">
        <v>42613.670729166668</v>
      </c>
      <c r="J106" s="7">
        <v>0</v>
      </c>
      <c r="K106" s="132" t="str">
        <f t="shared" si="37"/>
        <v>4027/4028</v>
      </c>
      <c r="L106" s="24" t="str">
        <f>VLOOKUP(A106,'Trips&amp;Operators'!$C$1:$E$10000,3,FALSE)</f>
        <v>ISHMAEL</v>
      </c>
      <c r="M106" s="6">
        <f t="shared" si="38"/>
        <v>3.2060185185400769E-2</v>
      </c>
      <c r="N106" s="7">
        <f t="shared" si="52"/>
        <v>46.166666666977108</v>
      </c>
      <c r="O106" s="7"/>
      <c r="P106" s="7"/>
      <c r="Q106" s="25"/>
      <c r="R106" s="25"/>
      <c r="S106" s="37">
        <f t="shared" si="53"/>
        <v>1</v>
      </c>
      <c r="T106" s="52" t="str">
        <f t="shared" si="39"/>
        <v>NorthBound</v>
      </c>
      <c r="U106" s="126">
        <f>IF(AG106="EC",COUNTIFS(Variables!$M$2:$M$19,IF(T106="NorthBound","&gt;=","&lt;=")&amp;Y106,Variables!$M$2:$M$19,IF(T106="NorthBound","&lt;=","&gt;=")&amp;Z106),COUNTIFS(Variables!$P$2:$P$19,IF(T106="NorthBound","&gt;=","&lt;=")&amp;Y106,Variables!$P$2:$P$19,IF(T106="NorthBound","&lt;=","&gt;=")&amp;Z106))</f>
        <v>12</v>
      </c>
      <c r="V106" s="106" t="str">
        <f t="shared" si="40"/>
        <v>https://search-rtdc-monitor-bjffxe2xuh6vdkpspy63sjmuny.us-east-1.es.amazonaws.com/_plugin/kibana/#/discover/Steve-Slow-Train-Analysis-(2080s-and-2083s)?_g=(refreshInterval:(display:Off,section:0,value:0),time:(from:'2016-08-31 14:12:22-0600',mode:absolute,to:'2016-08-31 17:05:51-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4027%22')),sort:!(Time,asc))</v>
      </c>
      <c r="W106" s="54" t="str">
        <f t="shared" si="41"/>
        <v>N</v>
      </c>
      <c r="X106" s="120">
        <f t="shared" si="51"/>
        <v>1</v>
      </c>
      <c r="Y106" s="69">
        <f t="shared" si="42"/>
        <v>7.3400000000000007E-2</v>
      </c>
      <c r="Z106" s="69">
        <f t="shared" si="43"/>
        <v>23.328800000000001</v>
      </c>
      <c r="AA106" s="69">
        <f t="shared" si="44"/>
        <v>23.255400000000002</v>
      </c>
      <c r="AB106" s="66" t="e">
        <f>VLOOKUP(A106,Enforcements!$C$7:$J$21,8,0)</f>
        <v>#N/A</v>
      </c>
      <c r="AC106" s="62" t="e">
        <f>VLOOKUP(A106,Enforcements!$C$7:$E$21,3,0)</f>
        <v>#N/A</v>
      </c>
      <c r="AD106" s="63" t="str">
        <f t="shared" si="45"/>
        <v>0193-31</v>
      </c>
      <c r="AE106" s="99" t="str">
        <f t="shared" si="46"/>
        <v>aws s3 cp s3://rtdc.mdm.uploadarchive/RTDC4027/2016-08-31/ "%USERPROFILE%\AppData\Local\Temp\OnboardLogs"\RTDC4027\2016-08-31 --recursive &amp; "%USERPROFILE%\Documents\GitHub\mrs-test-scripts\Headless Mode &amp; Sideloading\WalkAndUnGZ.bat" "%USERPROFILE%\AppData\Local\Temp\OnboardLogs"\RTDC4027\2016-08-31 &amp; aws s3 cp s3://rtdc.mdm.uploadarchive/RTDC4027/2016-09-01/ "%USERPROFILE%\AppData\Local\Temp\OnboardLogs"\RTDC4027\2016-09-01 --recursive &amp; "%USERPROFILE%\Documents\GitHub\mrs-test-scripts\Headless Mode &amp; Sideloading\WalkAndUnGZ.bat" "%USERPROFILE%\AppData\Local\Temp\OnboardLogs"\RTDC4027\2016-09-01</v>
      </c>
      <c r="AF106" s="96" t="str">
        <f t="shared" si="47"/>
        <v>"C:\Program Files (x86)\AstroGrep\AstroGrep.exe" /spath="%USERPROFILE%\AppData\Local\Temp\OnboardLogs" /stypes="*4027*20160831*" /stext=" 22:.+((SYSTEM_STATE.+slice.+state.+changed )|(ment ac)|(system.+state.+changed )|(\|lc)|(penalty)|(\[timeout)|(PRM\|1\|D)|(kpr)|(kdp))" /e /r /s</v>
      </c>
      <c r="AG106" s="1" t="str">
        <f t="shared" si="48"/>
        <v>EC</v>
      </c>
      <c r="AH106" s="100" t="str">
        <f t="shared" si="49"/>
        <v>"%USERPROFILE%\Documents\GitHub\eaglep3\Utilities\RefineRTDCRunTimes.py" --tripid 193-31 --locoid 4027 --swversion DE.1.0.7.0 --startMP 204:734 --initTime 2016-08-31T15:12:22 --startdatetime 2016-08-31T15:19:41 --delay 5 --endMP 204:233288 --enddatetime 2016-08-31T16:05:51 --enforcementcount 0 &gt;&gt;C:\Users\stu\Documents\GitHub\eaglep3-reporting\EC\2016-08-31-refined-times.txt</v>
      </c>
      <c r="AI106" s="149" t="str">
        <f t="shared" si="50"/>
        <v>echo {"issue":{"subject":"","project_id":79,"tracker_id":40,"status_id":1,"priority_id":2,"assigned_to_id":23,"start_date":"2016-08-31","description":"","custom_fields":[{"id":1,"name":"Subdivision","value":"EC"},{"id":4,"name":"Milepost","value":"23.2554"},{"id":17,"name":"Train ID","value":"193-31"},{"id":16,"name":"Locomotive ID","value":"4027"},{"id":130,"name":"Impact","value":""},{"id":150,"name":"Time of Event (Mountain Time)","value":"16:05:51"},{"id":151,"name":"Denver Issue ID","value":""},{"id":178,"name":"Operational Impact","value":"Yes"},{"id":179,"name":"Denver Segment Assigned","value":""}]}} | curl -X POST -H "Content-Type: application/json" -H "X-Redmine-API-Key: d6333d4a04012a730768444271f8ca06482dae87" https://secure.xorail.net/redmine/issues.json --data @-</v>
      </c>
      <c r="AJ106" s="55"/>
      <c r="AK106" s="55"/>
      <c r="AL106" s="55"/>
    </row>
    <row r="107" spans="1:38" s="23" customFormat="1" x14ac:dyDescent="0.25">
      <c r="A107" s="39" t="s">
        <v>514</v>
      </c>
      <c r="B107" s="7">
        <v>4028</v>
      </c>
      <c r="C107" s="24" t="s">
        <v>113</v>
      </c>
      <c r="D107" s="24" t="s">
        <v>293</v>
      </c>
      <c r="E107" s="15">
        <v>42613.671932870369</v>
      </c>
      <c r="F107" s="15">
        <v>42613.67465277778</v>
      </c>
      <c r="G107" s="7">
        <v>1</v>
      </c>
      <c r="H107" s="15" t="s">
        <v>152</v>
      </c>
      <c r="I107" s="15">
        <v>42613.706944444442</v>
      </c>
      <c r="J107" s="7">
        <v>0</v>
      </c>
      <c r="K107" s="132" t="str">
        <f t="shared" si="37"/>
        <v>4027/4028</v>
      </c>
      <c r="L107" s="24" t="str">
        <f>VLOOKUP(A107,'Trips&amp;Operators'!$C$1:$E$10000,3,FALSE)</f>
        <v>ISHMAEL</v>
      </c>
      <c r="M107" s="6">
        <f t="shared" si="38"/>
        <v>3.2291666662786156E-2</v>
      </c>
      <c r="N107" s="7">
        <f t="shared" si="52"/>
        <v>46.499999994412065</v>
      </c>
      <c r="O107" s="7"/>
      <c r="P107" s="7"/>
      <c r="Q107" s="25"/>
      <c r="R107" s="25"/>
      <c r="S107" s="37">
        <f t="shared" si="53"/>
        <v>1</v>
      </c>
      <c r="T107" s="52" t="str">
        <f t="shared" si="39"/>
        <v>Southbound</v>
      </c>
      <c r="U107" s="126">
        <f>IF(AG107="EC",COUNTIFS(Variables!$M$2:$M$19,IF(T107="NorthBound","&gt;=","&lt;=")&amp;Y107,Variables!$M$2:$M$19,IF(T107="NorthBound","&lt;=","&gt;=")&amp;Z107),COUNTIFS(Variables!$P$2:$P$19,IF(T107="NorthBound","&gt;=","&lt;=")&amp;Y107,Variables!$P$2:$P$19,IF(T107="NorthBound","&lt;=","&gt;=")&amp;Z107))</f>
        <v>12</v>
      </c>
      <c r="V107" s="106" t="str">
        <f t="shared" si="40"/>
        <v>https://search-rtdc-monitor-bjffxe2xuh6vdkpspy63sjmuny.us-east-1.es.amazonaws.com/_plugin/kibana/#/discover/Steve-Slow-Train-Analysis-(2080s-and-2083s)?_g=(refreshInterval:(display:Off,section:0,value:0),time:(from:'2016-08-31 15:07:35-0600',mode:absolute,to:'2016-08-31 17:58: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4028%22')),sort:!(Time,asc))</v>
      </c>
      <c r="W107" s="54" t="str">
        <f t="shared" si="41"/>
        <v>N</v>
      </c>
      <c r="X107" s="120">
        <f t="shared" si="51"/>
        <v>1</v>
      </c>
      <c r="Y107" s="69">
        <f t="shared" si="42"/>
        <v>23.297799999999999</v>
      </c>
      <c r="Z107" s="69">
        <f t="shared" si="43"/>
        <v>1.54E-2</v>
      </c>
      <c r="AA107" s="69">
        <f t="shared" si="44"/>
        <v>23.282399999999999</v>
      </c>
      <c r="AB107" s="66" t="e">
        <f>VLOOKUP(A107,Enforcements!$C$7:$J$21,8,0)</f>
        <v>#N/A</v>
      </c>
      <c r="AC107" s="62" t="e">
        <f>VLOOKUP(A107,Enforcements!$C$7:$E$21,3,0)</f>
        <v>#N/A</v>
      </c>
      <c r="AD107" s="63" t="str">
        <f t="shared" si="45"/>
        <v>0194-31</v>
      </c>
      <c r="AE107" s="99" t="str">
        <f t="shared" si="46"/>
        <v>aws s3 cp s3://rtdc.mdm.uploadarchive/RTDC4028/2016-08-31/ "%USERPROFILE%\AppData\Local\Temp\OnboardLogs"\RTDC4028\2016-08-31 --recursive &amp; "%USERPROFILE%\Documents\GitHub\mrs-test-scripts\Headless Mode &amp; Sideloading\WalkAndUnGZ.bat" "%USERPROFILE%\AppData\Local\Temp\OnboardLogs"\RTDC4028\2016-08-31 &amp; aws s3 cp s3://rtdc.mdm.uploadarchive/RTDC4028/2016-09-01/ "%USERPROFILE%\AppData\Local\Temp\OnboardLogs"\RTDC4028\2016-09-01 --recursive &amp; "%USERPROFILE%\Documents\GitHub\mrs-test-scripts\Headless Mode &amp; Sideloading\WalkAndUnGZ.bat" "%USERPROFILE%\AppData\Local\Temp\OnboardLogs"\RTDC4028\2016-09-01</v>
      </c>
      <c r="AF107" s="96" t="str">
        <f t="shared" si="47"/>
        <v>"C:\Program Files (x86)\AstroGrep\AstroGrep.exe" /spath="%USERPROFILE%\AppData\Local\Temp\OnboardLogs" /stypes="*4028*20160831*" /stext=" 22:.+((SYSTEM_STATE.+slice.+state.+changed )|(ment ac)|(system.+state.+changed )|(\|lc)|(penalty)|(\[timeout)|(PRM\|1\|D)|(kpr)|(kdp))" /e /r /s</v>
      </c>
      <c r="AG107" s="1" t="str">
        <f t="shared" si="48"/>
        <v>EC</v>
      </c>
      <c r="AH107" s="100" t="str">
        <f t="shared" si="49"/>
        <v>"%USERPROFILE%\Documents\GitHub\eaglep3\Utilities\RefineRTDCRunTimes.py" --tripid 194-31 --locoid 4028 --swversion DE.1.0.7.0 --startMP 204:232978 --initTime 2016-08-31T16:07:35 --startdatetime 2016-08-31T16:11:30 --delay 1 --endMP 204:154 --enddatetime 2016-08-31T16:58:00 --enforcementcount 0 &gt;&gt;C:\Users\stu\Documents\GitHub\eaglep3-reporting\EC\2016-08-31-refined-times.txt</v>
      </c>
      <c r="AI107" s="149" t="str">
        <f t="shared" si="50"/>
        <v>echo {"issue":{"subject":"","project_id":79,"tracker_id":40,"status_id":1,"priority_id":2,"assigned_to_id":23,"start_date":"2016-08-31","description":"","custom_fields":[{"id":1,"name":"Subdivision","value":"EC"},{"id":4,"name":"Milepost","value":"23.2824"},{"id":17,"name":"Train ID","value":"194-31"},{"id":16,"name":"Locomotive ID","value":"4028"},{"id":130,"name":"Impact","value":""},{"id":150,"name":"Time of Event (Mountain Time)","value":"16:58:00"},{"id":151,"name":"Denver Issue ID","value":""},{"id":178,"name":"Operational Impact","value":"Yes"},{"id":179,"name":"Denver Segment Assigned","value":""}]}} | curl -X POST -H "Content-Type: application/json" -H "X-Redmine-API-Key: d6333d4a04012a730768444271f8ca06482dae87" https://secure.xorail.net/redmine/issues.json --data @-</v>
      </c>
      <c r="AJ107" s="55"/>
      <c r="AK107" s="55"/>
      <c r="AL107" s="55"/>
    </row>
    <row r="108" spans="1:38" s="23" customFormat="1" x14ac:dyDescent="0.25">
      <c r="A108" s="39" t="s">
        <v>515</v>
      </c>
      <c r="B108" s="7">
        <v>4042</v>
      </c>
      <c r="C108" s="24" t="s">
        <v>113</v>
      </c>
      <c r="D108" s="24" t="s">
        <v>109</v>
      </c>
      <c r="E108" s="15">
        <v>42613.655324074076</v>
      </c>
      <c r="F108" s="15">
        <v>42613.656956018516</v>
      </c>
      <c r="G108" s="7">
        <v>1</v>
      </c>
      <c r="H108" s="15" t="s">
        <v>178</v>
      </c>
      <c r="I108" s="15">
        <v>42613.689456018517</v>
      </c>
      <c r="J108" s="7">
        <v>0</v>
      </c>
      <c r="K108" s="132" t="str">
        <f t="shared" ref="K108:K139" si="54">IF(ISEVEN(B108),(B108-1)&amp;"/"&amp;B108,B108&amp;"/"&amp;(B108+1))</f>
        <v>4041/4042</v>
      </c>
      <c r="L108" s="24" t="str">
        <f>VLOOKUP(A108,'Trips&amp;Operators'!$C$1:$E$10000,3,FALSE)</f>
        <v>YOUNG</v>
      </c>
      <c r="M108" s="6">
        <f t="shared" ref="M108:M139" si="55">I108-F108</f>
        <v>3.2500000001164153E-2</v>
      </c>
      <c r="N108" s="7">
        <f t="shared" ref="N108:N117" si="56">24*60*SUM($M108:$M108)</f>
        <v>46.800000001676381</v>
      </c>
      <c r="O108" s="7"/>
      <c r="P108" s="7"/>
      <c r="Q108" s="25"/>
      <c r="R108" s="25"/>
      <c r="S108" s="37">
        <f t="shared" ref="S108:S130" si="57">SUM(U108:U108)/IF(AG108="EC",12,1)</f>
        <v>1</v>
      </c>
      <c r="T108" s="52" t="str">
        <f t="shared" ref="T108:T139" si="58">IF(ISEVEN(LEFT(AD108,4)),"Southbound","NorthBound")</f>
        <v>NorthBound</v>
      </c>
      <c r="U108" s="126">
        <f>IF(AG108="EC",COUNTIFS(Variables!$M$2:$M$19,IF(T108="NorthBound","&gt;=","&lt;=")&amp;Y108,Variables!$M$2:$M$19,IF(T108="NorthBound","&lt;=","&gt;=")&amp;Z108),COUNTIFS(Variables!$P$2:$P$19,IF(T108="NorthBound","&gt;=","&lt;=")&amp;Y108,Variables!$P$2:$P$19,IF(T108="NorthBound","&lt;=","&gt;=")&amp;Z108))</f>
        <v>12</v>
      </c>
      <c r="V108" s="106" t="str">
        <f t="shared" ref="V108:V139" si="59">"https://search-rtdc-monitor-bjffxe2xuh6vdkpspy63sjmuny.us-east-1.es.amazonaws.com/_plugin/kibana/#/discover/Steve-Slow-Train-Analysis-(2080s-and-2083s)?_g=(refreshInterval:(display:Off,section:0,value:0),time:(from:'"&amp;TEXT(E108-1/24,"yyyy-MM-DD hh:mm:ss")&amp;"-0600',mode:absolute,to:'"&amp;TEXT(I108+1/24,"yyyy-MM-DD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filters:!(),index:'emp_*',interval:auto,query:"&amp;"(query_string:(analyze_wildcard:!t,query:'Message%5C%20ID:(2083%20OR%202080%20OR%201041%20OR%202003%20OR%201051)%20AND%20%22rtdc.l.rtdc."&amp;B108&amp;"%22')),sort:!(Time,asc))"</f>
        <v>https://search-rtdc-monitor-bjffxe2xuh6vdkpspy63sjmuny.us-east-1.es.amazonaws.com/_plugin/kibana/#/discover/Steve-Slow-Train-Analysis-(2080s-and-2083s)?_g=(refreshInterval:(display:Off,section:0,value:0),time:(from:'2016-08-31 14:43:40-0600',mode:absolute,to:'2016-08-31 17:32:49-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4042%22')),sort:!(Time,asc))</v>
      </c>
      <c r="W108" s="54" t="str">
        <f t="shared" ref="W108:W139" si="60">IF(AA108&lt;IF(AG108="EC",23,5.65),"Y","N")</f>
        <v>N</v>
      </c>
      <c r="X108" s="120">
        <f t="shared" si="51"/>
        <v>3</v>
      </c>
      <c r="Y108" s="69">
        <f t="shared" ref="Y108:Y139" si="61">RIGHT(D108,LEN(D108)-4)/10000</f>
        <v>4.6199999999999998E-2</v>
      </c>
      <c r="Z108" s="69">
        <f t="shared" ref="Z108:Z139" si="62">RIGHT(H108,LEN(H108)-4)/10000</f>
        <v>23.3293</v>
      </c>
      <c r="AA108" s="69">
        <f t="shared" ref="AA108:AA139" si="63">ABS(Z108-Y108)</f>
        <v>23.283100000000001</v>
      </c>
      <c r="AB108" s="66" t="e">
        <f>VLOOKUP(A108,Enforcements!$C$7:$J$21,8,0)</f>
        <v>#N/A</v>
      </c>
      <c r="AC108" s="62" t="e">
        <f>VLOOKUP(A108,Enforcements!$C$7:$E$21,3,0)</f>
        <v>#N/A</v>
      </c>
      <c r="AD108" s="63" t="str">
        <f t="shared" ref="AD108:AD139" si="64">IF(LEN(A108)=6,"0"&amp;A108,A108)</f>
        <v>0197-31</v>
      </c>
      <c r="AE108" s="99" t="str">
        <f t="shared" si="46"/>
        <v>aws s3 cp s3://rtdc.mdm.uploadarchive/RTDC4042/2016-08-31/ "%USERPROFILE%\AppData\Local\Temp\OnboardLogs"\RTDC4042\2016-08-31 --recursive &amp; "%USERPROFILE%\Documents\GitHub\mrs-test-scripts\Headless Mode &amp; Sideloading\WalkAndUnGZ.bat" "%USERPROFILE%\AppData\Local\Temp\OnboardLogs"\RTDC4042\2016-08-31 &amp; aws s3 cp s3://rtdc.mdm.uploadarchive/RTDC4042/2016-09-01/ "%USERPROFILE%\AppData\Local\Temp\OnboardLogs"\RTDC4042\2016-09-01 --recursive &amp; "%USERPROFILE%\Documents\GitHub\mrs-test-scripts\Headless Mode &amp; Sideloading\WalkAndUnGZ.bat" "%USERPROFILE%\AppData\Local\Temp\OnboardLogs"\RTDC4042\2016-09-01</v>
      </c>
      <c r="AF108" s="96" t="str">
        <f t="shared" si="47"/>
        <v>"C:\Program Files (x86)\AstroGrep\AstroGrep.exe" /spath="%USERPROFILE%\AppData\Local\Temp\OnboardLogs" /stypes="*4042*20160831*" /stext=" 22:.+((SYSTEM_STATE.+slice.+state.+changed )|(ment ac)|(system.+state.+changed )|(\|lc)|(penalty)|(\[timeout)|(PRM\|1\|D)|(kpr)|(kdp))" /e /r /s</v>
      </c>
      <c r="AG108" s="1" t="str">
        <f t="shared" ref="AG108:AG139" si="65">IFERROR(IF(VALUE(LEFT(AD108,2))&lt;=2,"EC",IF(OR(VALUE(LEFT(AD108,2))=8,VALUE(LEFT(AD108,2))=18),"NW","Other")),"Other")</f>
        <v>EC</v>
      </c>
      <c r="AH108" s="100" t="str">
        <f t="shared" si="49"/>
        <v>"%USERPROFILE%\Documents\GitHub\eaglep3\Utilities\RefineRTDCRunTimes.py" --tripid 197-31 --locoid 4042 --swversion DE.1.0.7.0 --startMP 204:462 --initTime 2016-08-31T15:43:40 --startdatetime 2016-08-31T15:46:01 --delay 1 --endMP 204:233293 --enddatetime 2016-08-31T16:32:49 --enforcementcount 0 &gt;&gt;C:\Users\stu\Documents\GitHub\eaglep3-reporting\EC\2016-08-31-refined-times.txt</v>
      </c>
      <c r="AI108" s="149" t="str">
        <f t="shared" si="50"/>
        <v>echo {"issue":{"subject":"","project_id":79,"tracker_id":40,"status_id":1,"priority_id":2,"assigned_to_id":23,"start_date":"2016-08-31","description":"","custom_fields":[{"id":1,"name":"Subdivision","value":"EC"},{"id":4,"name":"Milepost","value":"23.2831"},{"id":17,"name":"Train ID","value":"197-31"},{"id":16,"name":"Locomotive ID","value":"4042"},{"id":130,"name":"Impact","value":""},{"id":150,"name":"Time of Event (Mountain Time)","value":"16:32:49"},{"id":151,"name":"Denver Issue ID","value":""},{"id":178,"name":"Operational Impact","value":"Yes"},{"id":179,"name":"Denver Segment Assigned","value":""}]}} | curl -X POST -H "Content-Type: application/json" -H "X-Redmine-API-Key: d6333d4a04012a730768444271f8ca06482dae87" https://secure.xorail.net/redmine/issues.json --data @-</v>
      </c>
      <c r="AJ108" s="55"/>
      <c r="AK108" s="55"/>
      <c r="AL108" s="55"/>
    </row>
    <row r="109" spans="1:38" s="23" customFormat="1" x14ac:dyDescent="0.25">
      <c r="A109" s="39" t="s">
        <v>516</v>
      </c>
      <c r="B109" s="7">
        <v>4041</v>
      </c>
      <c r="C109" s="24" t="s">
        <v>113</v>
      </c>
      <c r="D109" s="24" t="s">
        <v>248</v>
      </c>
      <c r="E109" s="15">
        <v>42613.691203703704</v>
      </c>
      <c r="F109" s="15">
        <v>42613.695324074077</v>
      </c>
      <c r="G109" s="7">
        <v>1</v>
      </c>
      <c r="H109" s="15" t="s">
        <v>482</v>
      </c>
      <c r="I109" s="15">
        <v>42613.726493055554</v>
      </c>
      <c r="J109" s="7">
        <v>0</v>
      </c>
      <c r="K109" s="132" t="str">
        <f t="shared" si="54"/>
        <v>4041/4042</v>
      </c>
      <c r="L109" s="24" t="str">
        <f>VLOOKUP(A109,'Trips&amp;Operators'!$C$1:$E$10000,3,FALSE)</f>
        <v>YOUNG</v>
      </c>
      <c r="M109" s="6">
        <f t="shared" si="55"/>
        <v>3.1168981477094349E-2</v>
      </c>
      <c r="N109" s="7">
        <f t="shared" si="56"/>
        <v>44.883333327015862</v>
      </c>
      <c r="O109" s="7"/>
      <c r="P109" s="7"/>
      <c r="Q109" s="25"/>
      <c r="R109" s="25"/>
      <c r="S109" s="37">
        <f t="shared" si="57"/>
        <v>1</v>
      </c>
      <c r="T109" s="52" t="str">
        <f t="shared" si="58"/>
        <v>Southbound</v>
      </c>
      <c r="U109" s="126">
        <f>IF(AG109="EC",COUNTIFS(Variables!$M$2:$M$19,IF(T109="NorthBound","&gt;=","&lt;=")&amp;Y109,Variables!$M$2:$M$19,IF(T109="NorthBound","&lt;=","&gt;=")&amp;Z109),COUNTIFS(Variables!$P$2:$P$19,IF(T109="NorthBound","&gt;=","&lt;=")&amp;Y109,Variables!$P$2:$P$19,IF(T109="NorthBound","&lt;=","&gt;=")&amp;Z109))</f>
        <v>12</v>
      </c>
      <c r="V109" s="106" t="str">
        <f t="shared" si="59"/>
        <v>https://search-rtdc-monitor-bjffxe2xuh6vdkpspy63sjmuny.us-east-1.es.amazonaws.com/_plugin/kibana/#/discover/Steve-Slow-Train-Analysis-(2080s-and-2083s)?_g=(refreshInterval:(display:Off,section:0,value:0),time:(from:'2016-08-31 15:35:20-0600',mode:absolute,to:'2016-08-31 18:26:09-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4041%22')),sort:!(Time,asc))</v>
      </c>
      <c r="W109" s="54" t="str">
        <f t="shared" si="60"/>
        <v>N</v>
      </c>
      <c r="X109" s="120">
        <f t="shared" si="51"/>
        <v>1</v>
      </c>
      <c r="Y109" s="69">
        <f t="shared" si="61"/>
        <v>23.2974</v>
      </c>
      <c r="Z109" s="69">
        <f t="shared" si="62"/>
        <v>1.6899999999999998E-2</v>
      </c>
      <c r="AA109" s="69">
        <f t="shared" si="63"/>
        <v>23.2805</v>
      </c>
      <c r="AB109" s="66" t="e">
        <f>VLOOKUP(A109,Enforcements!$C$7:$J$21,8,0)</f>
        <v>#N/A</v>
      </c>
      <c r="AC109" s="62" t="e">
        <f>VLOOKUP(A109,Enforcements!$C$7:$E$21,3,0)</f>
        <v>#N/A</v>
      </c>
      <c r="AD109" s="63" t="str">
        <f t="shared" si="64"/>
        <v>0198-31</v>
      </c>
      <c r="AE109" s="99" t="str">
        <f t="shared" si="46"/>
        <v>aws s3 cp s3://rtdc.mdm.uploadarchive/RTDC4041/2016-08-31/ "%USERPROFILE%\AppData\Local\Temp\OnboardLogs"\RTDC4041\2016-08-31 --recursive &amp; "%USERPROFILE%\Documents\GitHub\mrs-test-scripts\Headless Mode &amp; Sideloading\WalkAndUnGZ.bat" "%USERPROFILE%\AppData\Local\Temp\OnboardLogs"\RTDC4041\2016-08-31 &amp; aws s3 cp s3://rtdc.mdm.uploadarchive/RTDC4041/2016-09-01/ "%USERPROFILE%\AppData\Local\Temp\OnboardLogs"\RTDC4041\2016-09-01 --recursive &amp; "%USERPROFILE%\Documents\GitHub\mrs-test-scripts\Headless Mode &amp; Sideloading\WalkAndUnGZ.bat" "%USERPROFILE%\AppData\Local\Temp\OnboardLogs"\RTDC4041\2016-09-01</v>
      </c>
      <c r="AF109" s="96" t="str">
        <f t="shared" si="47"/>
        <v>"C:\Program Files (x86)\AstroGrep\AstroGrep.exe" /spath="%USERPROFILE%\AppData\Local\Temp\OnboardLogs" /stypes="*4041*20160831*" /stext=" 23:.+((SYSTEM_STATE.+slice.+state.+changed )|(ment ac)|(system.+state.+changed )|(\|lc)|(penalty)|(\[timeout)|(PRM\|1\|D)|(kpr)|(kdp))" /e /r /s</v>
      </c>
      <c r="AG109" s="1" t="str">
        <f t="shared" si="65"/>
        <v>EC</v>
      </c>
      <c r="AH109" s="100" t="str">
        <f t="shared" si="49"/>
        <v>"%USERPROFILE%\Documents\GitHub\eaglep3\Utilities\RefineRTDCRunTimes.py" --tripid 198-31 --locoid 4041 --swversion DE.1.0.7.0 --startMP 204:232974 --initTime 2016-08-31T16:35:20 --startdatetime 2016-08-31T16:41:16 --delay 1 --endMP 204:169 --enddatetime 2016-08-31T17:26:09 --enforcementcount 0 &gt;&gt;C:\Users\stu\Documents\GitHub\eaglep3-reporting\EC\2016-08-31-refined-times.txt</v>
      </c>
      <c r="AI109" s="149" t="str">
        <f t="shared" si="50"/>
        <v>echo {"issue":{"subject":"","project_id":79,"tracker_id":40,"status_id":1,"priority_id":2,"assigned_to_id":23,"start_date":"2016-08-31","description":"","custom_fields":[{"id":1,"name":"Subdivision","value":"EC"},{"id":4,"name":"Milepost","value":"23.2805"},{"id":17,"name":"Train ID","value":"198-31"},{"id":16,"name":"Locomotive ID","value":"4041"},{"id":130,"name":"Impact","value":""},{"id":150,"name":"Time of Event (Mountain Time)","value":"17:26:09"},{"id":151,"name":"Denver Issue ID","value":""},{"id":178,"name":"Operational Impact","value":"Yes"},{"id":179,"name":"Denver Segment Assigned","value":""}]}} | curl -X POST -H "Content-Type: application/json" -H "X-Redmine-API-Key: d6333d4a04012a730768444271f8ca06482dae87" https://secure.xorail.net/redmine/issues.json --data @-</v>
      </c>
      <c r="AJ109" s="55"/>
      <c r="AK109" s="55"/>
      <c r="AL109" s="55"/>
    </row>
    <row r="110" spans="1:38" s="23" customFormat="1" x14ac:dyDescent="0.25">
      <c r="A110" s="39" t="s">
        <v>517</v>
      </c>
      <c r="B110" s="7">
        <v>4029</v>
      </c>
      <c r="C110" s="24" t="s">
        <v>113</v>
      </c>
      <c r="D110" s="24" t="s">
        <v>518</v>
      </c>
      <c r="E110" s="15">
        <v>42613.659629629627</v>
      </c>
      <c r="F110" s="15">
        <v>42613.667083333334</v>
      </c>
      <c r="G110" s="7">
        <v>2</v>
      </c>
      <c r="H110" s="15" t="s">
        <v>290</v>
      </c>
      <c r="I110" s="15">
        <v>42613.695636574077</v>
      </c>
      <c r="J110" s="7">
        <v>0</v>
      </c>
      <c r="K110" s="132" t="str">
        <f t="shared" si="54"/>
        <v>4029/4030</v>
      </c>
      <c r="L110" s="24" t="str">
        <f>VLOOKUP(A110,'Trips&amp;Operators'!$C$1:$E$10000,3,FALSE)</f>
        <v>BROWN</v>
      </c>
      <c r="M110" s="6">
        <f t="shared" si="55"/>
        <v>2.8553240743349306E-2</v>
      </c>
      <c r="N110" s="7">
        <f t="shared" si="56"/>
        <v>41.116666670423001</v>
      </c>
      <c r="O110" s="7"/>
      <c r="P110" s="7"/>
      <c r="Q110" s="25"/>
      <c r="R110" s="25"/>
      <c r="S110" s="37">
        <f t="shared" si="57"/>
        <v>1</v>
      </c>
      <c r="T110" s="52" t="str">
        <f t="shared" si="58"/>
        <v>NorthBound</v>
      </c>
      <c r="U110" s="126">
        <f>IF(AG110="EC",COUNTIFS(Variables!$M$2:$M$19,IF(T110="NorthBound","&gt;=","&lt;=")&amp;Y110,Variables!$M$2:$M$19,IF(T110="NorthBound","&lt;=","&gt;=")&amp;Z110),COUNTIFS(Variables!$P$2:$P$19,IF(T110="NorthBound","&gt;=","&lt;=")&amp;Y110,Variables!$P$2:$P$19,IF(T110="NorthBound","&lt;=","&gt;=")&amp;Z110))</f>
        <v>12</v>
      </c>
      <c r="V110" s="106" t="str">
        <f t="shared" si="59"/>
        <v>https://search-rtdc-monitor-bjffxe2xuh6vdkpspy63sjmuny.us-east-1.es.amazonaws.com/_plugin/kibana/#/discover/Steve-Slow-Train-Analysis-(2080s-and-2083s)?_g=(refreshInterval:(display:Off,section:0,value:0),time:(from:'2016-08-31 14:49:52-0600',mode:absolute,to:'2016-08-31 17:41:43-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4029%22')),sort:!(Time,asc))</v>
      </c>
      <c r="W110" s="54" t="str">
        <f t="shared" si="60"/>
        <v>N</v>
      </c>
      <c r="X110" s="120">
        <f t="shared" ref="X110:X115" si="66">VALUE(LEFT(AD110,4))-VALUE(LEFT(AD109,4))</f>
        <v>1</v>
      </c>
      <c r="Y110" s="69">
        <f t="shared" si="61"/>
        <v>7.6999999999999999E-2</v>
      </c>
      <c r="Z110" s="69">
        <f t="shared" si="62"/>
        <v>23.330300000000001</v>
      </c>
      <c r="AA110" s="69">
        <f t="shared" si="63"/>
        <v>23.253299999999999</v>
      </c>
      <c r="AB110" s="66" t="e">
        <f>VLOOKUP(A110,Enforcements!$C$7:$J$21,8,0)</f>
        <v>#N/A</v>
      </c>
      <c r="AC110" s="62" t="e">
        <f>VLOOKUP(A110,Enforcements!$C$7:$E$21,3,0)</f>
        <v>#N/A</v>
      </c>
      <c r="AD110" s="63" t="str">
        <f t="shared" si="64"/>
        <v>0199-31</v>
      </c>
      <c r="AE110" s="99" t="str">
        <f t="shared" si="46"/>
        <v>aws s3 cp s3://rtdc.mdm.uploadarchive/RTDC4029/2016-08-31/ "%USERPROFILE%\AppData\Local\Temp\OnboardLogs"\RTDC4029\2016-08-31 --recursive &amp; "%USERPROFILE%\Documents\GitHub\mrs-test-scripts\Headless Mode &amp; Sideloading\WalkAndUnGZ.bat" "%USERPROFILE%\AppData\Local\Temp\OnboardLogs"\RTDC4029\2016-08-31 &amp; aws s3 cp s3://rtdc.mdm.uploadarchive/RTDC4029/2016-09-01/ "%USERPROFILE%\AppData\Local\Temp\OnboardLogs"\RTDC4029\2016-09-01 --recursive &amp; "%USERPROFILE%\Documents\GitHub\mrs-test-scripts\Headless Mode &amp; Sideloading\WalkAndUnGZ.bat" "%USERPROFILE%\AppData\Local\Temp\OnboardLogs"\RTDC4029\2016-09-01</v>
      </c>
      <c r="AF110" s="96" t="str">
        <f t="shared" si="47"/>
        <v>"C:\Program Files (x86)\AstroGrep\AstroGrep.exe" /spath="%USERPROFILE%\AppData\Local\Temp\OnboardLogs" /stypes="*4029*20160831*" /stext=" 22:.+((SYSTEM_STATE.+slice.+state.+changed )|(ment ac)|(system.+state.+changed )|(\|lc)|(penalty)|(\[timeout)|(PRM\|1\|D)|(kpr)|(kdp))" /e /r /s</v>
      </c>
      <c r="AG110" s="1" t="str">
        <f t="shared" si="65"/>
        <v>EC</v>
      </c>
      <c r="AH110" s="100" t="str">
        <f t="shared" si="49"/>
        <v>"%USERPROFILE%\Documents\GitHub\eaglep3\Utilities\RefineRTDCRunTimes.py" --tripid 199-31 --locoid 4029 --swversion DE.1.0.7.0 --startMP 204:770 --initTime 2016-08-31T15:49:52 --startdatetime 2016-08-31T16:00:36 --delay 2 --endMP 204:233303 --enddatetime 2016-08-31T16:41:43 --enforcementcount 0 &gt;&gt;C:\Users\stu\Documents\GitHub\eaglep3-reporting\EC\2016-08-31-refined-times.txt</v>
      </c>
      <c r="AI110" s="149" t="str">
        <f t="shared" si="50"/>
        <v>echo {"issue":{"subject":"","project_id":79,"tracker_id":40,"status_id":1,"priority_id":2,"assigned_to_id":23,"start_date":"2016-08-31","description":"","custom_fields":[{"id":1,"name":"Subdivision","value":"EC"},{"id":4,"name":"Milepost","value":"23.2533"},{"id":17,"name":"Train ID","value":"199-31"},{"id":16,"name":"Locomotive ID","value":"4029"},{"id":130,"name":"Impact","value":""},{"id":150,"name":"Time of Event (Mountain Time)","value":"16:41:43"},{"id":151,"name":"Denver Issue ID","value":""},{"id":178,"name":"Operational Impact","value":"Yes"},{"id":179,"name":"Denver Segment Assigned","value":""}]}} | curl -X POST -H "Content-Type: application/json" -H "X-Redmine-API-Key: d6333d4a04012a730768444271f8ca06482dae87" https://secure.xorail.net/redmine/issues.json --data @-</v>
      </c>
      <c r="AJ110" s="55"/>
      <c r="AK110" s="55"/>
      <c r="AL110" s="55"/>
    </row>
    <row r="111" spans="1:38" s="23" customFormat="1" x14ac:dyDescent="0.25">
      <c r="A111" s="39" t="s">
        <v>519</v>
      </c>
      <c r="B111" s="7">
        <v>4030</v>
      </c>
      <c r="C111" s="24" t="s">
        <v>113</v>
      </c>
      <c r="D111" s="24" t="s">
        <v>244</v>
      </c>
      <c r="E111" s="15">
        <v>42613.698113425926</v>
      </c>
      <c r="F111" s="15">
        <v>42613.705752314818</v>
      </c>
      <c r="G111" s="7">
        <v>1</v>
      </c>
      <c r="H111" s="15" t="s">
        <v>167</v>
      </c>
      <c r="I111" s="15">
        <v>42613.73400462963</v>
      </c>
      <c r="J111" s="7">
        <v>0</v>
      </c>
      <c r="K111" s="132" t="str">
        <f t="shared" si="54"/>
        <v>4029/4030</v>
      </c>
      <c r="L111" s="24" t="str">
        <f>VLOOKUP(A111,'Trips&amp;Operators'!$C$1:$E$10000,3,FALSE)</f>
        <v>BROWN</v>
      </c>
      <c r="M111" s="6">
        <f t="shared" si="55"/>
        <v>2.8252314812561963E-2</v>
      </c>
      <c r="N111" s="7">
        <f t="shared" si="56"/>
        <v>40.683333330089226</v>
      </c>
      <c r="O111" s="7"/>
      <c r="P111" s="7"/>
      <c r="Q111" s="25"/>
      <c r="R111" s="25"/>
      <c r="S111" s="37">
        <f t="shared" si="57"/>
        <v>1</v>
      </c>
      <c r="T111" s="52" t="str">
        <f t="shared" si="58"/>
        <v>Southbound</v>
      </c>
      <c r="U111" s="126">
        <f>IF(AG111="EC",COUNTIFS(Variables!$M$2:$M$19,IF(T111="NorthBound","&gt;=","&lt;=")&amp;Y111,Variables!$M$2:$M$19,IF(T111="NorthBound","&lt;=","&gt;=")&amp;Z111),COUNTIFS(Variables!$P$2:$P$19,IF(T111="NorthBound","&gt;=","&lt;=")&amp;Y111,Variables!$P$2:$P$19,IF(T111="NorthBound","&lt;=","&gt;=")&amp;Z111))</f>
        <v>12</v>
      </c>
      <c r="V111" s="106" t="str">
        <f t="shared" si="59"/>
        <v>https://search-rtdc-monitor-bjffxe2xuh6vdkpspy63sjmuny.us-east-1.es.amazonaws.com/_plugin/kibana/#/discover/Steve-Slow-Train-Analysis-(2080s-and-2083s)?_g=(refreshInterval:(display:Off,section:0,value:0),time:(from:'2016-08-31 15:45:17-0600',mode:absolute,to:'2016-08-31 18:36:58-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4030%22')),sort:!(Time,asc))</v>
      </c>
      <c r="W111" s="54" t="str">
        <f t="shared" si="60"/>
        <v>N</v>
      </c>
      <c r="X111" s="120">
        <f t="shared" si="66"/>
        <v>1</v>
      </c>
      <c r="Y111" s="69">
        <f t="shared" si="61"/>
        <v>23.2971</v>
      </c>
      <c r="Z111" s="69">
        <f t="shared" si="62"/>
        <v>1.52E-2</v>
      </c>
      <c r="AA111" s="69">
        <f t="shared" si="63"/>
        <v>23.2819</v>
      </c>
      <c r="AB111" s="66" t="e">
        <f>VLOOKUP(A111,Enforcements!$C$7:$J$21,8,0)</f>
        <v>#N/A</v>
      </c>
      <c r="AC111" s="62" t="e">
        <f>VLOOKUP(A111,Enforcements!$C$7:$E$21,3,0)</f>
        <v>#N/A</v>
      </c>
      <c r="AD111" s="63" t="str">
        <f t="shared" si="64"/>
        <v>0200-31</v>
      </c>
      <c r="AE111" s="99" t="str">
        <f t="shared" si="46"/>
        <v>aws s3 cp s3://rtdc.mdm.uploadarchive/RTDC4030/2016-08-31/ "%USERPROFILE%\AppData\Local\Temp\OnboardLogs"\RTDC4030\2016-08-31 --recursive &amp; "%USERPROFILE%\Documents\GitHub\mrs-test-scripts\Headless Mode &amp; Sideloading\WalkAndUnGZ.bat" "%USERPROFILE%\AppData\Local\Temp\OnboardLogs"\RTDC4030\2016-08-31 &amp; aws s3 cp s3://rtdc.mdm.uploadarchive/RTDC4030/2016-09-01/ "%USERPROFILE%\AppData\Local\Temp\OnboardLogs"\RTDC4030\2016-09-01 --recursive &amp; "%USERPROFILE%\Documents\GitHub\mrs-test-scripts\Headless Mode &amp; Sideloading\WalkAndUnGZ.bat" "%USERPROFILE%\AppData\Local\Temp\OnboardLogs"\RTDC4030\2016-09-01</v>
      </c>
      <c r="AF111" s="96" t="str">
        <f t="shared" si="47"/>
        <v>"C:\Program Files (x86)\AstroGrep\AstroGrep.exe" /spath="%USERPROFILE%\AppData\Local\Temp\OnboardLogs" /stypes="*4030*20160831*" /stext=" 23:.+((SYSTEM_STATE.+slice.+state.+changed )|(ment ac)|(system.+state.+changed )|(\|lc)|(penalty)|(\[timeout)|(PRM\|1\|D)|(kpr)|(kdp))" /e /r /s</v>
      </c>
      <c r="AG111" s="1" t="str">
        <f t="shared" si="65"/>
        <v>EC</v>
      </c>
      <c r="AH111" s="100" t="str">
        <f t="shared" si="49"/>
        <v>"%USERPROFILE%\Documents\GitHub\eaglep3\Utilities\RefineRTDCRunTimes.py" --tripid 200-31 --locoid 4030 --swversion DE.1.0.7.0 --startMP 204:232971 --initTime 2016-08-31T16:45:17 --startdatetime 2016-08-31T16:56:17 --delay 1 --endMP 204:152 --enddatetime 2016-08-31T17:36:58 --enforcementcount 0 &gt;&gt;C:\Users\stu\Documents\GitHub\eaglep3-reporting\EC\2016-08-31-refined-times.txt</v>
      </c>
      <c r="AI111" s="149" t="str">
        <f t="shared" si="50"/>
        <v>echo {"issue":{"subject":"","project_id":79,"tracker_id":40,"status_id":1,"priority_id":2,"assigned_to_id":23,"start_date":"2016-08-31","description":"","custom_fields":[{"id":1,"name":"Subdivision","value":"EC"},{"id":4,"name":"Milepost","value":"23.2819"},{"id":17,"name":"Train ID","value":"200-31"},{"id":16,"name":"Locomotive ID","value":"4030"},{"id":130,"name":"Impact","value":""},{"id":150,"name":"Time of Event (Mountain Time)","value":"17:36:58"},{"id":151,"name":"Denver Issue ID","value":""},{"id":178,"name":"Operational Impact","value":"Yes"},{"id":179,"name":"Denver Segment Assigned","value":""}]}} | curl -X POST -H "Content-Type: application/json" -H "X-Redmine-API-Key: d6333d4a04012a730768444271f8ca06482dae87" https://secure.xorail.net/redmine/issues.json --data @-</v>
      </c>
      <c r="AJ111" s="55"/>
      <c r="AK111" s="55"/>
      <c r="AL111" s="55"/>
    </row>
    <row r="112" spans="1:38" s="23" customFormat="1" x14ac:dyDescent="0.25">
      <c r="A112" s="39" t="s">
        <v>520</v>
      </c>
      <c r="B112" s="7">
        <v>4009</v>
      </c>
      <c r="C112" s="24" t="s">
        <v>113</v>
      </c>
      <c r="D112" s="24" t="s">
        <v>521</v>
      </c>
      <c r="E112" s="15">
        <v>42613.669386574074</v>
      </c>
      <c r="F112" s="15">
        <v>42613.67765046296</v>
      </c>
      <c r="G112" s="7">
        <v>2</v>
      </c>
      <c r="H112" s="15" t="s">
        <v>151</v>
      </c>
      <c r="I112" s="15">
        <v>42613.704074074078</v>
      </c>
      <c r="J112" s="7">
        <v>0</v>
      </c>
      <c r="K112" s="132" t="str">
        <f t="shared" si="54"/>
        <v>4009/4010</v>
      </c>
      <c r="L112" s="24" t="str">
        <f>VLOOKUP(A112,'Trips&amp;Operators'!$C$1:$E$10000,3,FALSE)</f>
        <v>DE LA ROSA</v>
      </c>
      <c r="M112" s="6">
        <f t="shared" si="55"/>
        <v>2.6423611117934342E-2</v>
      </c>
      <c r="N112" s="7">
        <f t="shared" si="56"/>
        <v>38.050000009825453</v>
      </c>
      <c r="O112" s="7"/>
      <c r="P112" s="7"/>
      <c r="Q112" s="25"/>
      <c r="R112" s="25"/>
      <c r="S112" s="37">
        <f t="shared" si="57"/>
        <v>1</v>
      </c>
      <c r="T112" s="52" t="str">
        <f t="shared" si="58"/>
        <v>NorthBound</v>
      </c>
      <c r="U112" s="126">
        <f>IF(AG112="EC",COUNTIFS(Variables!$M$2:$M$19,IF(T112="NorthBound","&gt;=","&lt;=")&amp;Y112,Variables!$M$2:$M$19,IF(T112="NorthBound","&lt;=","&gt;=")&amp;Z112),COUNTIFS(Variables!$P$2:$P$19,IF(T112="NorthBound","&gt;=","&lt;=")&amp;Y112,Variables!$P$2:$P$19,IF(T112="NorthBound","&lt;=","&gt;=")&amp;Z112))</f>
        <v>12</v>
      </c>
      <c r="V112" s="106" t="str">
        <f t="shared" si="59"/>
        <v>https://search-rtdc-monitor-bjffxe2xuh6vdkpspy63sjmuny.us-east-1.es.amazonaws.com/_plugin/kibana/#/discover/Steve-Slow-Train-Analysis-(2080s-and-2083s)?_g=(refreshInterval:(display:Off,section:0,value:0),time:(from:'2016-08-31 15:03:55-0600',mode:absolute,to:'2016-08-31 17:53:52-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4009%22')),sort:!(Time,asc))</v>
      </c>
      <c r="W112" s="54" t="str">
        <f t="shared" si="60"/>
        <v>N</v>
      </c>
      <c r="X112" s="120">
        <f t="shared" si="66"/>
        <v>1</v>
      </c>
      <c r="Y112" s="69">
        <f t="shared" si="61"/>
        <v>4.1599999999999998E-2</v>
      </c>
      <c r="Z112" s="69">
        <f t="shared" si="62"/>
        <v>23.3291</v>
      </c>
      <c r="AA112" s="69">
        <f t="shared" si="63"/>
        <v>23.287500000000001</v>
      </c>
      <c r="AB112" s="66" t="e">
        <f>VLOOKUP(A112,Enforcements!$C$7:$J$21,8,0)</f>
        <v>#N/A</v>
      </c>
      <c r="AC112" s="62" t="e">
        <f>VLOOKUP(A112,Enforcements!$C$7:$E$21,3,0)</f>
        <v>#N/A</v>
      </c>
      <c r="AD112" s="63" t="str">
        <f t="shared" si="64"/>
        <v>0201-31</v>
      </c>
      <c r="AE112" s="99" t="str">
        <f t="shared" si="46"/>
        <v>aws s3 cp s3://rtdc.mdm.uploadarchive/RTDC4009/2016-08-31/ "%USERPROFILE%\AppData\Local\Temp\OnboardLogs"\RTDC4009\2016-08-31 --recursive &amp; "%USERPROFILE%\Documents\GitHub\mrs-test-scripts\Headless Mode &amp; Sideloading\WalkAndUnGZ.bat" "%USERPROFILE%\AppData\Local\Temp\OnboardLogs"\RTDC4009\2016-08-31 &amp; aws s3 cp s3://rtdc.mdm.uploadarchive/RTDC4009/2016-09-01/ "%USERPROFILE%\AppData\Local\Temp\OnboardLogs"\RTDC4009\2016-09-01 --recursive &amp; "%USERPROFILE%\Documents\GitHub\mrs-test-scripts\Headless Mode &amp; Sideloading\WalkAndUnGZ.bat" "%USERPROFILE%\AppData\Local\Temp\OnboardLogs"\RTDC4009\2016-09-01</v>
      </c>
      <c r="AF112" s="96" t="str">
        <f t="shared" si="47"/>
        <v>"C:\Program Files (x86)\AstroGrep\AstroGrep.exe" /spath="%USERPROFILE%\AppData\Local\Temp\OnboardLogs" /stypes="*4009*20160831*" /stext=" 22:.+((SYSTEM_STATE.+slice.+state.+changed )|(ment ac)|(system.+state.+changed )|(\|lc)|(penalty)|(\[timeout)|(PRM\|1\|D)|(kpr)|(kdp))" /e /r /s</v>
      </c>
      <c r="AG112" s="1" t="str">
        <f t="shared" si="65"/>
        <v>EC</v>
      </c>
      <c r="AH112" s="100" t="str">
        <f t="shared" si="49"/>
        <v>"%USERPROFILE%\Documents\GitHub\eaglep3\Utilities\RefineRTDCRunTimes.py" --tripid 201-31 --locoid 4009 --swversion DE.1.0.7.0 --startMP 204:416 --initTime 2016-08-31T16:03:55 --startdatetime 2016-08-31T16:15:49 --delay 2 --endMP 204:233291 --enddatetime 2016-08-31T16:53:52 --enforcementcount 0 &gt;&gt;C:\Users\stu\Documents\GitHub\eaglep3-reporting\EC\2016-08-31-refined-times.txt</v>
      </c>
      <c r="AI112" s="149" t="str">
        <f t="shared" si="50"/>
        <v>echo {"issue":{"subject":"","project_id":79,"tracker_id":40,"status_id":1,"priority_id":2,"assigned_to_id":23,"start_date":"2016-08-31","description":"","custom_fields":[{"id":1,"name":"Subdivision","value":"EC"},{"id":4,"name":"Milepost","value":"23.2875"},{"id":17,"name":"Train ID","value":"201-31"},{"id":16,"name":"Locomotive ID","value":"4009"},{"id":130,"name":"Impact","value":""},{"id":150,"name":"Time of Event (Mountain Time)","value":"16:53:52"},{"id":151,"name":"Denver Issue ID","value":""},{"id":178,"name":"Operational Impact","value":"Yes"},{"id":179,"name":"Denver Segment Assigned","value":""}]}} | curl -X POST -H "Content-Type: application/json" -H "X-Redmine-API-Key: d6333d4a04012a730768444271f8ca06482dae87" https://secure.xorail.net/redmine/issues.json --data @-</v>
      </c>
      <c r="AJ112" s="55"/>
      <c r="AK112" s="55"/>
      <c r="AL112" s="55"/>
    </row>
    <row r="113" spans="1:38" x14ac:dyDescent="0.25">
      <c r="A113" s="39" t="s">
        <v>522</v>
      </c>
      <c r="B113" s="7">
        <v>4010</v>
      </c>
      <c r="C113" s="24" t="s">
        <v>113</v>
      </c>
      <c r="D113" s="24" t="s">
        <v>185</v>
      </c>
      <c r="E113" s="15">
        <v>42613.711493055554</v>
      </c>
      <c r="F113" s="15">
        <v>42613.716261574074</v>
      </c>
      <c r="G113" s="7">
        <v>1</v>
      </c>
      <c r="H113" s="15" t="s">
        <v>177</v>
      </c>
      <c r="I113" s="15">
        <v>42613.744386574072</v>
      </c>
      <c r="J113" s="7">
        <v>0</v>
      </c>
      <c r="K113" s="132" t="str">
        <f t="shared" si="54"/>
        <v>4009/4010</v>
      </c>
      <c r="L113" s="24" t="str">
        <f>VLOOKUP(A113,'Trips&amp;Operators'!$C$1:$E$10000,3,FALSE)</f>
        <v>DE LA ROSA</v>
      </c>
      <c r="M113" s="6">
        <f t="shared" si="55"/>
        <v>2.8124999997089617E-2</v>
      </c>
      <c r="N113" s="7">
        <f t="shared" si="56"/>
        <v>40.499999995809048</v>
      </c>
      <c r="O113" s="7"/>
      <c r="P113" s="7"/>
      <c r="Q113" s="25"/>
      <c r="R113" s="25"/>
      <c r="S113" s="37">
        <f t="shared" si="57"/>
        <v>1</v>
      </c>
      <c r="T113" s="52" t="str">
        <f t="shared" si="58"/>
        <v>Southbound</v>
      </c>
      <c r="U113" s="126">
        <f>IF(AG113="EC",COUNTIFS(Variables!$M$2:$M$19,IF(T113="NorthBound","&gt;=","&lt;=")&amp;Y113,Variables!$M$2:$M$19,IF(T113="NorthBound","&lt;=","&gt;=")&amp;Z113),COUNTIFS(Variables!$P$2:$P$19,IF(T113="NorthBound","&gt;=","&lt;=")&amp;Y113,Variables!$P$2:$P$19,IF(T113="NorthBound","&lt;=","&gt;=")&amp;Z113))</f>
        <v>12</v>
      </c>
      <c r="V113" s="106" t="str">
        <f t="shared" si="59"/>
        <v>https://search-rtdc-monitor-bjffxe2xuh6vdkpspy63sjmuny.us-east-1.es.amazonaws.com/_plugin/kibana/#/discover/Steve-Slow-Train-Analysis-(2080s-and-2083s)?_g=(refreshInterval:(display:Off,section:0,value:0),time:(from:'2016-08-31 16:04:33-0600',mode:absolute,to:'2016-08-31 18:51:55-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4010%22')),sort:!(Time,asc))</v>
      </c>
      <c r="W113" s="54" t="str">
        <f t="shared" si="60"/>
        <v>N</v>
      </c>
      <c r="X113" s="120">
        <f t="shared" si="66"/>
        <v>1</v>
      </c>
      <c r="Y113" s="69">
        <f t="shared" si="61"/>
        <v>23.2989</v>
      </c>
      <c r="Z113" s="69">
        <f t="shared" si="62"/>
        <v>1.6E-2</v>
      </c>
      <c r="AA113" s="69">
        <f t="shared" si="63"/>
        <v>23.282900000000001</v>
      </c>
      <c r="AB113" s="66" t="e">
        <f>VLOOKUP(A113,Enforcements!$C$7:$J$21,8,0)</f>
        <v>#N/A</v>
      </c>
      <c r="AC113" s="62" t="e">
        <f>VLOOKUP(A113,Enforcements!$C$7:$E$21,3,0)</f>
        <v>#N/A</v>
      </c>
      <c r="AD113" s="63" t="str">
        <f t="shared" si="64"/>
        <v>0202-31</v>
      </c>
      <c r="AE113" s="99" t="str">
        <f t="shared" si="46"/>
        <v>aws s3 cp s3://rtdc.mdm.uploadarchive/RTDC4010/2016-08-31/ "%USERPROFILE%\AppData\Local\Temp\OnboardLogs"\RTDC4010\2016-08-31 --recursive &amp; "%USERPROFILE%\Documents\GitHub\mrs-test-scripts\Headless Mode &amp; Sideloading\WalkAndUnGZ.bat" "%USERPROFILE%\AppData\Local\Temp\OnboardLogs"\RTDC4010\2016-08-31 &amp; aws s3 cp s3://rtdc.mdm.uploadarchive/RTDC4010/2016-09-01/ "%USERPROFILE%\AppData\Local\Temp\OnboardLogs"\RTDC4010\2016-09-01 --recursive &amp; "%USERPROFILE%\Documents\GitHub\mrs-test-scripts\Headless Mode &amp; Sideloading\WalkAndUnGZ.bat" "%USERPROFILE%\AppData\Local\Temp\OnboardLogs"\RTDC4010\2016-09-01</v>
      </c>
      <c r="AF113" s="96" t="str">
        <f t="shared" si="47"/>
        <v>"C:\Program Files (x86)\AstroGrep\AstroGrep.exe" /spath="%USERPROFILE%\AppData\Local\Temp\OnboardLogs" /stypes="*4010*20160831*" /stext=" 23:.+((SYSTEM_STATE.+slice.+state.+changed )|(ment ac)|(system.+state.+changed )|(\|lc)|(penalty)|(\[timeout)|(PRM\|1\|D)|(kpr)|(kdp))" /e /r /s</v>
      </c>
      <c r="AG113" s="1" t="str">
        <f t="shared" si="65"/>
        <v>EC</v>
      </c>
      <c r="AH113" s="100" t="str">
        <f t="shared" si="49"/>
        <v>"%USERPROFILE%\Documents\GitHub\eaglep3\Utilities\RefineRTDCRunTimes.py" --tripid 202-31 --locoid 4010 --swversion DE.1.0.7.0 --startMP 204:232989 --initTime 2016-08-31T17:04:33 --startdatetime 2016-08-31T17:11:25 --delay 1 --endMP 204:160 --enddatetime 2016-08-31T17:51:55 --enforcementcount 0 &gt;&gt;C:\Users\stu\Documents\GitHub\eaglep3-reporting\EC\2016-08-31-refined-times.txt</v>
      </c>
      <c r="AI113" s="149" t="str">
        <f t="shared" si="50"/>
        <v>echo {"issue":{"subject":"","project_id":79,"tracker_id":40,"status_id":1,"priority_id":2,"assigned_to_id":23,"start_date":"2016-08-31","description":"","custom_fields":[{"id":1,"name":"Subdivision","value":"EC"},{"id":4,"name":"Milepost","value":"23.2829"},{"id":17,"name":"Train ID","value":"202-31"},{"id":16,"name":"Locomotive ID","value":"4010"},{"id":130,"name":"Impact","value":""},{"id":150,"name":"Time of Event (Mountain Time)","value":"17:51:55"},{"id":151,"name":"Denver Issue ID","value":""},{"id":178,"name":"Operational Impact","value":"Yes"},{"id":179,"name":"Denver Segment Assigned","value":""}]}} | curl -X POST -H "Content-Type: application/json" -H "X-Redmine-API-Key: d6333d4a04012a730768444271f8ca06482dae87" https://secure.xorail.net/redmine/issues.json --data @-</v>
      </c>
      <c r="AJ113" s="55"/>
      <c r="AK113" s="55"/>
      <c r="AL113" s="55"/>
    </row>
    <row r="114" spans="1:38" s="23" customFormat="1" x14ac:dyDescent="0.25">
      <c r="A114" s="39" t="s">
        <v>523</v>
      </c>
      <c r="B114" s="7">
        <v>4002</v>
      </c>
      <c r="C114" s="24" t="s">
        <v>113</v>
      </c>
      <c r="D114" s="24" t="s">
        <v>478</v>
      </c>
      <c r="E114" s="15">
        <v>42613.679166666669</v>
      </c>
      <c r="F114" s="15">
        <v>42613.687696759262</v>
      </c>
      <c r="G114" s="7">
        <v>1</v>
      </c>
      <c r="H114" s="15" t="s">
        <v>251</v>
      </c>
      <c r="I114" s="15">
        <v>42613.714166666665</v>
      </c>
      <c r="J114" s="7">
        <v>0</v>
      </c>
      <c r="K114" s="132" t="str">
        <f t="shared" si="54"/>
        <v>4001/4002</v>
      </c>
      <c r="L114" s="24" t="str">
        <f>VLOOKUP(A114,'Trips&amp;Operators'!$C$1:$E$10000,3,FALSE)</f>
        <v>ARVIDSON</v>
      </c>
      <c r="M114" s="6">
        <f t="shared" si="55"/>
        <v>2.6469907403225079E-2</v>
      </c>
      <c r="N114" s="7">
        <f t="shared" si="56"/>
        <v>38.116666660644114</v>
      </c>
      <c r="O114" s="7"/>
      <c r="P114" s="7"/>
      <c r="Q114" s="25"/>
      <c r="R114" s="25"/>
      <c r="S114" s="37">
        <f t="shared" si="57"/>
        <v>1</v>
      </c>
      <c r="T114" s="52" t="str">
        <f t="shared" si="58"/>
        <v>NorthBound</v>
      </c>
      <c r="U114" s="126">
        <f>IF(AG114="EC",COUNTIFS(Variables!$M$2:$M$19,IF(T114="NorthBound","&gt;=","&lt;=")&amp;Y114,Variables!$M$2:$M$19,IF(T114="NorthBound","&lt;=","&gt;=")&amp;Z114),COUNTIFS(Variables!$P$2:$P$19,IF(T114="NorthBound","&gt;=","&lt;=")&amp;Y114,Variables!$P$2:$P$19,IF(T114="NorthBound","&lt;=","&gt;=")&amp;Z114))</f>
        <v>12</v>
      </c>
      <c r="V114" s="106" t="str">
        <f t="shared" si="59"/>
        <v>https://search-rtdc-monitor-bjffxe2xuh6vdkpspy63sjmuny.us-east-1.es.amazonaws.com/_plugin/kibana/#/discover/Steve-Slow-Train-Analysis-(2080s-and-2083s)?_g=(refreshInterval:(display:Off,section:0,value:0),time:(from:'2016-08-31 15:18:00-0600',mode:absolute,to:'2016-08-31 18:08:24-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4002%22')),sort:!(Time,asc))</v>
      </c>
      <c r="W114" s="54" t="str">
        <f t="shared" si="60"/>
        <v>N</v>
      </c>
      <c r="X114" s="120">
        <f t="shared" si="66"/>
        <v>1</v>
      </c>
      <c r="Y114" s="69">
        <f t="shared" si="61"/>
        <v>4.6899999999999997E-2</v>
      </c>
      <c r="Z114" s="69">
        <f t="shared" si="62"/>
        <v>23.329699999999999</v>
      </c>
      <c r="AA114" s="69">
        <f t="shared" si="63"/>
        <v>23.282799999999998</v>
      </c>
      <c r="AB114" s="66" t="e">
        <f>VLOOKUP(A114,Enforcements!$C$7:$J$21,8,0)</f>
        <v>#N/A</v>
      </c>
      <c r="AC114" s="62" t="e">
        <f>VLOOKUP(A114,Enforcements!$C$7:$E$21,3,0)</f>
        <v>#N/A</v>
      </c>
      <c r="AD114" s="63" t="str">
        <f t="shared" si="64"/>
        <v>0203-31</v>
      </c>
      <c r="AE114" s="99" t="str">
        <f t="shared" si="46"/>
        <v>aws s3 cp s3://rtdc.mdm.uploadarchive/RTDC4002/2016-08-31/ "%USERPROFILE%\AppData\Local\Temp\OnboardLogs"\RTDC4002\2016-08-31 --recursive &amp; "%USERPROFILE%\Documents\GitHub\mrs-test-scripts\Headless Mode &amp; Sideloading\WalkAndUnGZ.bat" "%USERPROFILE%\AppData\Local\Temp\OnboardLogs"\RTDC4002\2016-08-31 &amp; aws s3 cp s3://rtdc.mdm.uploadarchive/RTDC4002/2016-09-01/ "%USERPROFILE%\AppData\Local\Temp\OnboardLogs"\RTDC4002\2016-09-01 --recursive &amp; "%USERPROFILE%\Documents\GitHub\mrs-test-scripts\Headless Mode &amp; Sideloading\WalkAndUnGZ.bat" "%USERPROFILE%\AppData\Local\Temp\OnboardLogs"\RTDC4002\2016-09-01</v>
      </c>
      <c r="AF114" s="96" t="str">
        <f t="shared" si="47"/>
        <v>"C:\Program Files (x86)\AstroGrep\AstroGrep.exe" /spath="%USERPROFILE%\AppData\Local\Temp\OnboardLogs" /stypes="*4002*20160831*" /stext=" 23:.+((SYSTEM_STATE.+slice.+state.+changed )|(ment ac)|(system.+state.+changed )|(\|lc)|(penalty)|(\[timeout)|(PRM\|1\|D)|(kpr)|(kdp))" /e /r /s</v>
      </c>
      <c r="AG114" s="1" t="str">
        <f t="shared" si="65"/>
        <v>EC</v>
      </c>
      <c r="AH114" s="100" t="str">
        <f t="shared" si="49"/>
        <v>"%USERPROFILE%\Documents\GitHub\eaglep3\Utilities\RefineRTDCRunTimes.py" --tripid 203-31 --locoid 4002 --swversion DE.1.0.7.0 --startMP 204:469 --initTime 2016-08-31T16:18:00 --startdatetime 2016-08-31T16:30:17 --delay 1 --endMP 204:233297 --enddatetime 2016-08-31T17:08:24 --enforcementcount 0 &gt;&gt;C:\Users\stu\Documents\GitHub\eaglep3-reporting\EC\2016-08-31-refined-times.txt</v>
      </c>
      <c r="AI114" s="149" t="str">
        <f t="shared" si="50"/>
        <v>echo {"issue":{"subject":"","project_id":79,"tracker_id":40,"status_id":1,"priority_id":2,"assigned_to_id":23,"start_date":"2016-08-31","description":"","custom_fields":[{"id":1,"name":"Subdivision","value":"EC"},{"id":4,"name":"Milepost","value":"23.2828"},{"id":17,"name":"Train ID","value":"203-31"},{"id":16,"name":"Locomotive ID","value":"4002"},{"id":130,"name":"Impact","value":""},{"id":150,"name":"Time of Event (Mountain Time)","value":"17:08:24"},{"id":151,"name":"Denver Issue ID","value":""},{"id":178,"name":"Operational Impact","value":"Yes"},{"id":179,"name":"Denver Segment Assigned","value":""}]}} | curl -X POST -H "Content-Type: application/json" -H "X-Redmine-API-Key: d6333d4a04012a730768444271f8ca06482dae87" https://secure.xorail.net/redmine/issues.json --data @-</v>
      </c>
      <c r="AJ114" s="55"/>
      <c r="AK114" s="55"/>
      <c r="AL114" s="55"/>
    </row>
    <row r="115" spans="1:38" x14ac:dyDescent="0.25">
      <c r="A115" s="39" t="s">
        <v>524</v>
      </c>
      <c r="B115" s="7">
        <v>4001</v>
      </c>
      <c r="C115" s="24" t="s">
        <v>113</v>
      </c>
      <c r="D115" s="24" t="s">
        <v>246</v>
      </c>
      <c r="E115" s="15">
        <v>42613.72016203704</v>
      </c>
      <c r="F115" s="15">
        <v>42613.7266087963</v>
      </c>
      <c r="G115" s="7">
        <v>1</v>
      </c>
      <c r="H115" s="15" t="s">
        <v>181</v>
      </c>
      <c r="I115" s="15">
        <v>42613.755856481483</v>
      </c>
      <c r="J115" s="7">
        <v>0</v>
      </c>
      <c r="K115" s="132" t="str">
        <f t="shared" si="54"/>
        <v>4001/4002</v>
      </c>
      <c r="L115" s="24" t="str">
        <f>VLOOKUP(A115,'Trips&amp;Operators'!$C$1:$E$10000,3,FALSE)</f>
        <v>ROBINSON</v>
      </c>
      <c r="M115" s="6">
        <f t="shared" si="55"/>
        <v>2.9247685182781424E-2</v>
      </c>
      <c r="N115" s="7">
        <f t="shared" si="56"/>
        <v>42.116666663205251</v>
      </c>
      <c r="O115" s="7"/>
      <c r="P115" s="7"/>
      <c r="Q115" s="25"/>
      <c r="R115" s="25"/>
      <c r="S115" s="37">
        <f t="shared" si="57"/>
        <v>1</v>
      </c>
      <c r="T115" s="52" t="str">
        <f t="shared" si="58"/>
        <v>Southbound</v>
      </c>
      <c r="U115" s="126">
        <f>IF(AG115="EC",COUNTIFS(Variables!$M$2:$M$19,IF(T115="NorthBound","&gt;=","&lt;=")&amp;Y115,Variables!$M$2:$M$19,IF(T115="NorthBound","&lt;=","&gt;=")&amp;Z115),COUNTIFS(Variables!$P$2:$P$19,IF(T115="NorthBound","&gt;=","&lt;=")&amp;Y115,Variables!$P$2:$P$19,IF(T115="NorthBound","&lt;=","&gt;=")&amp;Z115))</f>
        <v>12</v>
      </c>
      <c r="V115" s="106" t="str">
        <f t="shared" si="59"/>
        <v>https://search-rtdc-monitor-bjffxe2xuh6vdkpspy63sjmuny.us-east-1.es.amazonaws.com/_plugin/kibana/#/discover/Steve-Slow-Train-Analysis-(2080s-and-2083s)?_g=(refreshInterval:(display:Off,section:0,value:0),time:(from:'2016-08-31 16:17:02-0600',mode:absolute,to:'2016-08-31 19:08:26-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4001%22')),sort:!(Time,asc))</v>
      </c>
      <c r="W115" s="54" t="str">
        <f t="shared" si="60"/>
        <v>N</v>
      </c>
      <c r="X115" s="120">
        <f t="shared" si="66"/>
        <v>1</v>
      </c>
      <c r="Y115" s="69">
        <f t="shared" si="61"/>
        <v>23.2988</v>
      </c>
      <c r="Z115" s="69">
        <f t="shared" si="62"/>
        <v>1.3899999999999999E-2</v>
      </c>
      <c r="AA115" s="69">
        <f t="shared" si="63"/>
        <v>23.2849</v>
      </c>
      <c r="AB115" s="66" t="e">
        <f>VLOOKUP(A115,Enforcements!$C$7:$J$21,8,0)</f>
        <v>#N/A</v>
      </c>
      <c r="AC115" s="62" t="e">
        <f>VLOOKUP(A115,Enforcements!$C$7:$E$21,3,0)</f>
        <v>#N/A</v>
      </c>
      <c r="AD115" s="63" t="str">
        <f t="shared" si="64"/>
        <v>0204-31</v>
      </c>
      <c r="AE115" s="99" t="str">
        <f t="shared" si="46"/>
        <v>aws s3 cp s3://rtdc.mdm.uploadarchive/RTDC4001/2016-08-31/ "%USERPROFILE%\AppData\Local\Temp\OnboardLogs"\RTDC4001\2016-08-31 --recursive &amp; "%USERPROFILE%\Documents\GitHub\mrs-test-scripts\Headless Mode &amp; Sideloading\WalkAndUnGZ.bat" "%USERPROFILE%\AppData\Local\Temp\OnboardLogs"\RTDC4001\2016-08-31 &amp; aws s3 cp s3://rtdc.mdm.uploadarchive/RTDC4001/2016-09-01/ "%USERPROFILE%\AppData\Local\Temp\OnboardLogs"\RTDC4001\2016-09-01 --recursive &amp; "%USERPROFILE%\Documents\GitHub\mrs-test-scripts\Headless Mode &amp; Sideloading\WalkAndUnGZ.bat" "%USERPROFILE%\AppData\Local\Temp\OnboardLogs"\RTDC4001\2016-09-01</v>
      </c>
      <c r="AF115" s="96" t="str">
        <f t="shared" si="47"/>
        <v>"C:\Program Files (x86)\AstroGrep\AstroGrep.exe" /spath="%USERPROFILE%\AppData\Local\Temp\OnboardLogs" /stypes="*4001*20160901*" /stext=" 00:.+((SYSTEM_STATE.+slice.+state.+changed )|(ment ac)|(system.+state.+changed )|(\|lc)|(penalty)|(\[timeout)|(PRM\|1\|D)|(kpr)|(kdp))" /e /r /s</v>
      </c>
      <c r="AG115" s="1" t="str">
        <f t="shared" si="65"/>
        <v>EC</v>
      </c>
      <c r="AH115" s="100" t="str">
        <f t="shared" si="49"/>
        <v>"%USERPROFILE%\Documents\GitHub\eaglep3\Utilities\RefineRTDCRunTimes.py" --tripid 204-31 --locoid 4001 --swversion DE.1.0.7.0 --startMP 204:232988 --initTime 2016-08-31T17:17:02 --startdatetime 2016-08-31T17:26:19 --delay 1 --endMP 204:139 --enddatetime 2016-08-31T18:08:26 --enforcementcount 0 &gt;&gt;C:\Users\stu\Documents\GitHub\eaglep3-reporting\EC\2016-08-31-refined-times.txt</v>
      </c>
      <c r="AI115" s="149" t="str">
        <f t="shared" si="50"/>
        <v>echo {"issue":{"subject":"","project_id":79,"tracker_id":40,"status_id":1,"priority_id":2,"assigned_to_id":23,"start_date":"2016-08-31","description":"","custom_fields":[{"id":1,"name":"Subdivision","value":"EC"},{"id":4,"name":"Milepost","value":"23.2849"},{"id":17,"name":"Train ID","value":"204-31"},{"id":16,"name":"Locomotive ID","value":"4001"},{"id":130,"name":"Impact","value":""},{"id":150,"name":"Time of Event (Mountain Time)","value":"18:08:26"},{"id":151,"name":"Denver Issue ID","value":""},{"id":178,"name":"Operational Impact","value":"Yes"},{"id":179,"name":"Denver Segment Assigned","value":""}]}} | curl -X POST -H "Content-Type: application/json" -H "X-Redmine-API-Key: d6333d4a04012a730768444271f8ca06482dae87" https://secure.xorail.net/redmine/issues.json --data @-</v>
      </c>
      <c r="AJ115" s="55"/>
      <c r="AK115" s="55"/>
      <c r="AL115" s="55"/>
    </row>
    <row r="116" spans="1:38" s="23" customFormat="1" x14ac:dyDescent="0.25">
      <c r="A116" s="39" t="s">
        <v>525</v>
      </c>
      <c r="B116" s="7">
        <v>4016</v>
      </c>
      <c r="C116" s="24" t="s">
        <v>113</v>
      </c>
      <c r="D116" s="24" t="s">
        <v>339</v>
      </c>
      <c r="E116" s="15">
        <v>42613.690428240741</v>
      </c>
      <c r="F116" s="15">
        <v>42613.698298611111</v>
      </c>
      <c r="G116" s="7">
        <v>4</v>
      </c>
      <c r="H116" s="15" t="s">
        <v>526</v>
      </c>
      <c r="I116" s="15">
        <v>42613.724583333336</v>
      </c>
      <c r="J116" s="7">
        <v>0</v>
      </c>
      <c r="K116" s="132" t="str">
        <f t="shared" si="54"/>
        <v>4015/4016</v>
      </c>
      <c r="L116" s="24" t="str">
        <f>VLOOKUP(A116,'Trips&amp;Operators'!$C$1:$E$10000,3,FALSE)</f>
        <v>BARTLETT</v>
      </c>
      <c r="M116" s="6">
        <f t="shared" si="55"/>
        <v>2.6284722225682344E-2</v>
      </c>
      <c r="N116" s="7">
        <f t="shared" si="56"/>
        <v>37.850000004982576</v>
      </c>
      <c r="O116" s="7"/>
      <c r="P116" s="7"/>
      <c r="Q116" s="25"/>
      <c r="R116" s="25"/>
      <c r="S116" s="37">
        <f t="shared" si="57"/>
        <v>1</v>
      </c>
      <c r="T116" s="52" t="str">
        <f t="shared" si="58"/>
        <v>NorthBound</v>
      </c>
      <c r="U116" s="126">
        <f>IF(AG116="EC",COUNTIFS(Variables!$M$2:$M$19,IF(T116="NorthBound","&gt;=","&lt;=")&amp;Y116,Variables!$M$2:$M$19,IF(T116="NorthBound","&lt;=","&gt;=")&amp;Z116),COUNTIFS(Variables!$P$2:$P$19,IF(T116="NorthBound","&gt;=","&lt;=")&amp;Y116,Variables!$P$2:$P$19,IF(T116="NorthBound","&lt;=","&gt;=")&amp;Z116))</f>
        <v>12</v>
      </c>
      <c r="V116" s="106" t="str">
        <f t="shared" si="59"/>
        <v>https://search-rtdc-monitor-bjffxe2xuh6vdkpspy63sjmuny.us-east-1.es.amazonaws.com/_plugin/kibana/#/discover/Steve-Slow-Train-Analysis-(2080s-and-2083s)?_g=(refreshInterval:(display:Off,section:0,value:0),time:(from:'2016-08-31 15:34:13-0600',mode:absolute,to:'2016-08-31 18:23:24-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4016%22')),sort:!(Time,asc))</v>
      </c>
      <c r="W116" s="54" t="str">
        <f t="shared" si="60"/>
        <v>N</v>
      </c>
      <c r="X116" s="120">
        <f t="shared" ref="X116:X126" si="67">VALUE(LEFT(AD116,4))-VALUE(LEFT(AD115,4))</f>
        <v>1</v>
      </c>
      <c r="Y116" s="69">
        <f t="shared" si="61"/>
        <v>4.9799999999999997E-2</v>
      </c>
      <c r="Z116" s="69">
        <f t="shared" si="62"/>
        <v>23.338100000000001</v>
      </c>
      <c r="AA116" s="69">
        <f t="shared" si="63"/>
        <v>23.2883</v>
      </c>
      <c r="AB116" s="66" t="e">
        <f>VLOOKUP(A116,Enforcements!$C$7:$J$21,8,0)</f>
        <v>#N/A</v>
      </c>
      <c r="AC116" s="62" t="e">
        <f>VLOOKUP(A116,Enforcements!$C$7:$E$21,3,0)</f>
        <v>#N/A</v>
      </c>
      <c r="AD116" s="63" t="str">
        <f t="shared" si="64"/>
        <v>0205-31</v>
      </c>
      <c r="AE116" s="99" t="str">
        <f t="shared" si="46"/>
        <v>aws s3 cp s3://rtdc.mdm.uploadarchive/RTDC4016/2016-08-31/ "%USERPROFILE%\AppData\Local\Temp\OnboardLogs"\RTDC4016\2016-08-31 --recursive &amp; "%USERPROFILE%\Documents\GitHub\mrs-test-scripts\Headless Mode &amp; Sideloading\WalkAndUnGZ.bat" "%USERPROFILE%\AppData\Local\Temp\OnboardLogs"\RTDC4016\2016-08-31 &amp; aws s3 cp s3://rtdc.mdm.uploadarchive/RTDC4016/2016-09-01/ "%USERPROFILE%\AppData\Local\Temp\OnboardLogs"\RTDC4016\2016-09-01 --recursive &amp; "%USERPROFILE%\Documents\GitHub\mrs-test-scripts\Headless Mode &amp; Sideloading\WalkAndUnGZ.bat" "%USERPROFILE%\AppData\Local\Temp\OnboardLogs"\RTDC4016\2016-09-01</v>
      </c>
      <c r="AF116" s="96" t="str">
        <f t="shared" si="47"/>
        <v>"C:\Program Files (x86)\AstroGrep\AstroGrep.exe" /spath="%USERPROFILE%\AppData\Local\Temp\OnboardLogs" /stypes="*4016*20160831*" /stext=" 23:.+((SYSTEM_STATE.+slice.+state.+changed )|(ment ac)|(system.+state.+changed )|(\|lc)|(penalty)|(\[timeout)|(PRM\|1\|D)|(kpr)|(kdp))" /e /r /s</v>
      </c>
      <c r="AG116" s="1" t="str">
        <f t="shared" si="65"/>
        <v>EC</v>
      </c>
      <c r="AH116" s="100" t="str">
        <f t="shared" si="49"/>
        <v>"%USERPROFILE%\Documents\GitHub\eaglep3\Utilities\RefineRTDCRunTimes.py" --tripid 205-31 --locoid 4016 --swversion DE.1.0.7.0 --startMP 204:498 --initTime 2016-08-31T16:34:13 --startdatetime 2016-08-31T16:45:33 --delay 4 --endMP 204:233381 --enddatetime 2016-08-31T17:23:24 --enforcementcount 0 &gt;&gt;C:\Users\stu\Documents\GitHub\eaglep3-reporting\EC\2016-08-31-refined-times.txt</v>
      </c>
      <c r="AI116" s="149" t="str">
        <f t="shared" si="50"/>
        <v>echo {"issue":{"subject":"","project_id":79,"tracker_id":40,"status_id":1,"priority_id":2,"assigned_to_id":23,"start_date":"2016-08-31","description":"","custom_fields":[{"id":1,"name":"Subdivision","value":"EC"},{"id":4,"name":"Milepost","value":"23.2883"},{"id":17,"name":"Train ID","value":"205-31"},{"id":16,"name":"Locomotive ID","value":"4016"},{"id":130,"name":"Impact","value":""},{"id":150,"name":"Time of Event (Mountain Time)","value":"17:23:24"},{"id":151,"name":"Denver Issue ID","value":""},{"id":178,"name":"Operational Impact","value":"Yes"},{"id":179,"name":"Denver Segment Assigned","value":""}]}} | curl -X POST -H "Content-Type: application/json" -H "X-Redmine-API-Key: d6333d4a04012a730768444271f8ca06482dae87" https://secure.xorail.net/redmine/issues.json --data @-</v>
      </c>
      <c r="AJ116" s="55"/>
      <c r="AK116" s="55"/>
      <c r="AL116" s="55"/>
    </row>
    <row r="117" spans="1:38" x14ac:dyDescent="0.25">
      <c r="A117" s="39" t="s">
        <v>527</v>
      </c>
      <c r="B117" s="7">
        <v>4015</v>
      </c>
      <c r="C117" s="24" t="s">
        <v>113</v>
      </c>
      <c r="D117" s="24" t="s">
        <v>528</v>
      </c>
      <c r="E117" s="15">
        <v>42613.726331018515</v>
      </c>
      <c r="F117" s="15">
        <v>42613.737175925926</v>
      </c>
      <c r="G117" s="7">
        <v>1</v>
      </c>
      <c r="H117" s="15" t="s">
        <v>385</v>
      </c>
      <c r="I117" s="15">
        <v>42613.769456018519</v>
      </c>
      <c r="J117" s="7">
        <v>0</v>
      </c>
      <c r="K117" s="132" t="str">
        <f t="shared" si="54"/>
        <v>4015/4016</v>
      </c>
      <c r="L117" s="24" t="str">
        <f>VLOOKUP(A117,'Trips&amp;Operators'!$C$1:$E$10000,3,FALSE)</f>
        <v>BARTLETT</v>
      </c>
      <c r="M117" s="6">
        <f t="shared" si="55"/>
        <v>3.2280092593282461E-2</v>
      </c>
      <c r="N117" s="7">
        <f t="shared" si="56"/>
        <v>46.483333334326744</v>
      </c>
      <c r="O117" s="7"/>
      <c r="P117" s="7"/>
      <c r="Q117" s="25"/>
      <c r="R117" s="25"/>
      <c r="S117" s="37">
        <f t="shared" si="57"/>
        <v>1</v>
      </c>
      <c r="T117" s="52" t="str">
        <f t="shared" si="58"/>
        <v>Southbound</v>
      </c>
      <c r="U117" s="126">
        <f>IF(AG117="EC",COUNTIFS(Variables!$M$2:$M$19,IF(T117="NorthBound","&gt;=","&lt;=")&amp;Y117,Variables!$M$2:$M$19,IF(T117="NorthBound","&lt;=","&gt;=")&amp;Z117),COUNTIFS(Variables!$P$2:$P$19,IF(T117="NorthBound","&gt;=","&lt;=")&amp;Y117,Variables!$P$2:$P$19,IF(T117="NorthBound","&lt;=","&gt;=")&amp;Z117))</f>
        <v>12</v>
      </c>
      <c r="V117" s="106" t="str">
        <f t="shared" si="59"/>
        <v>https://search-rtdc-monitor-bjffxe2xuh6vdkpspy63sjmuny.us-east-1.es.amazonaws.com/_plugin/kibana/#/discover/Steve-Slow-Train-Analysis-(2080s-and-2083s)?_g=(refreshInterval:(display:Off,section:0,value:0),time:(from:'2016-08-31 16:25:55-0600',mode:absolute,to:'2016-08-31 19:28:01-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4015%22')),sort:!(Time,asc))</v>
      </c>
      <c r="W117" s="54" t="str">
        <f t="shared" si="60"/>
        <v>N</v>
      </c>
      <c r="X117" s="120">
        <f t="shared" si="67"/>
        <v>1</v>
      </c>
      <c r="Y117" s="69">
        <f t="shared" si="61"/>
        <v>23.3047</v>
      </c>
      <c r="Z117" s="69">
        <f t="shared" si="62"/>
        <v>1.4999999999999999E-2</v>
      </c>
      <c r="AA117" s="69">
        <f t="shared" si="63"/>
        <v>23.2897</v>
      </c>
      <c r="AB117" s="66" t="e">
        <f>VLOOKUP(A117,Enforcements!$C$7:$J$21,8,0)</f>
        <v>#N/A</v>
      </c>
      <c r="AC117" s="62" t="e">
        <f>VLOOKUP(A117,Enforcements!$C$7:$E$21,3,0)</f>
        <v>#N/A</v>
      </c>
      <c r="AD117" s="63" t="str">
        <f t="shared" si="64"/>
        <v>0206-31</v>
      </c>
      <c r="AE117" s="99" t="str">
        <f t="shared" si="46"/>
        <v>aws s3 cp s3://rtdc.mdm.uploadarchive/RTDC4015/2016-08-31/ "%USERPROFILE%\AppData\Local\Temp\OnboardLogs"\RTDC4015\2016-08-31 --recursive &amp; "%USERPROFILE%\Documents\GitHub\mrs-test-scripts\Headless Mode &amp; Sideloading\WalkAndUnGZ.bat" "%USERPROFILE%\AppData\Local\Temp\OnboardLogs"\RTDC4015\2016-08-31 &amp; aws s3 cp s3://rtdc.mdm.uploadarchive/RTDC4015/2016-09-01/ "%USERPROFILE%\AppData\Local\Temp\OnboardLogs"\RTDC4015\2016-09-01 --recursive &amp; "%USERPROFILE%\Documents\GitHub\mrs-test-scripts\Headless Mode &amp; Sideloading\WalkAndUnGZ.bat" "%USERPROFILE%\AppData\Local\Temp\OnboardLogs"\RTDC4015\2016-09-01</v>
      </c>
      <c r="AF117" s="96" t="str">
        <f t="shared" si="47"/>
        <v>"C:\Program Files (x86)\AstroGrep\AstroGrep.exe" /spath="%USERPROFILE%\AppData\Local\Temp\OnboardLogs" /stypes="*4015*20160901*" /stext=" 00:.+((SYSTEM_STATE.+slice.+state.+changed )|(ment ac)|(system.+state.+changed )|(\|lc)|(penalty)|(\[timeout)|(PRM\|1\|D)|(kpr)|(kdp))" /e /r /s</v>
      </c>
      <c r="AG117" s="1" t="str">
        <f t="shared" si="65"/>
        <v>EC</v>
      </c>
      <c r="AH117" s="100" t="str">
        <f t="shared" si="49"/>
        <v>"%USERPROFILE%\Documents\GitHub\eaglep3\Utilities\RefineRTDCRunTimes.py" --tripid 206-31 --locoid 4015 --swversion DE.1.0.7.0 --startMP 204:233047 --initTime 2016-08-31T17:25:55 --startdatetime 2016-08-31T17:41:32 --delay 1 --endMP 204:150 --enddatetime 2016-08-31T18:28:01 --enforcementcount 0 &gt;&gt;C:\Users\stu\Documents\GitHub\eaglep3-reporting\EC\2016-08-31-refined-times.txt</v>
      </c>
      <c r="AI117" s="149" t="str">
        <f t="shared" si="50"/>
        <v>echo {"issue":{"subject":"","project_id":79,"tracker_id":40,"status_id":1,"priority_id":2,"assigned_to_id":23,"start_date":"2016-08-31","description":"","custom_fields":[{"id":1,"name":"Subdivision","value":"EC"},{"id":4,"name":"Milepost","value":"23.2897"},{"id":17,"name":"Train ID","value":"206-31"},{"id":16,"name":"Locomotive ID","value":"4015"},{"id":130,"name":"Impact","value":""},{"id":150,"name":"Time of Event (Mountain Time)","value":"18:28:01"},{"id":151,"name":"Denver Issue ID","value":""},{"id":178,"name":"Operational Impact","value":"Yes"},{"id":179,"name":"Denver Segment Assigned","value":""}]}} | curl -X POST -H "Content-Type: application/json" -H "X-Redmine-API-Key: d6333d4a04012a730768444271f8ca06482dae87" https://secure.xorail.net/redmine/issues.json --data @-</v>
      </c>
      <c r="AJ117" s="55"/>
      <c r="AK117" s="55"/>
      <c r="AL117" s="55"/>
    </row>
    <row r="118" spans="1:38" s="23" customFormat="1" x14ac:dyDescent="0.25">
      <c r="A118" s="39" t="s">
        <v>529</v>
      </c>
      <c r="B118" s="7">
        <v>4014</v>
      </c>
      <c r="C118" s="24" t="s">
        <v>113</v>
      </c>
      <c r="D118" s="24" t="s">
        <v>530</v>
      </c>
      <c r="E118" s="15">
        <v>42613.716782407406</v>
      </c>
      <c r="F118" s="15">
        <v>42613.718206018515</v>
      </c>
      <c r="G118" s="7">
        <v>0</v>
      </c>
      <c r="H118" s="15" t="s">
        <v>151</v>
      </c>
      <c r="I118" s="15">
        <v>42613.743194444447</v>
      </c>
      <c r="J118" s="7">
        <v>0</v>
      </c>
      <c r="K118" s="132" t="str">
        <f t="shared" si="54"/>
        <v>4013/4014</v>
      </c>
      <c r="L118" s="24" t="str">
        <f>VLOOKUP(A118,'Trips&amp;Operators'!$C$1:$E$10000,3,FALSE)</f>
        <v>MAHAN</v>
      </c>
      <c r="M118" s="6">
        <f t="shared" si="55"/>
        <v>2.4988425931951497E-2</v>
      </c>
      <c r="N118" s="7"/>
      <c r="O118" s="7"/>
      <c r="P118" s="7">
        <f>24*60*SUM($M118:$M118)</f>
        <v>35.983333342010155</v>
      </c>
      <c r="Q118" s="25"/>
      <c r="R118" s="25" t="s">
        <v>304</v>
      </c>
      <c r="S118" s="37">
        <f t="shared" si="57"/>
        <v>1</v>
      </c>
      <c r="T118" s="52" t="str">
        <f t="shared" si="58"/>
        <v>NorthBound</v>
      </c>
      <c r="U118" s="126">
        <f>IF(AG118="EC",COUNTIFS(Variables!$M$2:$M$19,IF(T118="NorthBound","&gt;=","&lt;=")&amp;Y118,Variables!$M$2:$M$19,IF(T118="NorthBound","&lt;=","&gt;=")&amp;Z118),COUNTIFS(Variables!$P$2:$P$19,IF(T118="NorthBound","&gt;=","&lt;=")&amp;Y118,Variables!$P$2:$P$19,IF(T118="NorthBound","&lt;=","&gt;=")&amp;Z118))</f>
        <v>12</v>
      </c>
      <c r="V118" s="106" t="str">
        <f t="shared" si="59"/>
        <v>https://search-rtdc-monitor-bjffxe2xuh6vdkpspy63sjmuny.us-east-1.es.amazonaws.com/_plugin/kibana/#/discover/Steve-Slow-Train-Analysis-(2080s-and-2083s)?_g=(refreshInterval:(display:Off,section:0,value:0),time:(from:'2016-08-31 16:12:10-0600',mode:absolute,to:'2016-08-31 18:50:12-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4014%22')),sort:!(Time,asc))</v>
      </c>
      <c r="W118" s="54" t="str">
        <f t="shared" si="60"/>
        <v>Y</v>
      </c>
      <c r="X118" s="120">
        <f t="shared" si="67"/>
        <v>1</v>
      </c>
      <c r="Y118" s="69">
        <f t="shared" si="61"/>
        <v>1.9120999999999999</v>
      </c>
      <c r="Z118" s="69">
        <f t="shared" si="62"/>
        <v>23.3291</v>
      </c>
      <c r="AA118" s="69">
        <f t="shared" si="63"/>
        <v>21.417000000000002</v>
      </c>
      <c r="AB118" s="66" t="e">
        <f>VLOOKUP(A118,Enforcements!$C$7:$J$21,8,0)</f>
        <v>#N/A</v>
      </c>
      <c r="AC118" s="62" t="e">
        <f>VLOOKUP(A118,Enforcements!$C$7:$E$21,3,0)</f>
        <v>#N/A</v>
      </c>
      <c r="AD118" s="63" t="str">
        <f t="shared" si="64"/>
        <v>0207-31</v>
      </c>
      <c r="AE118" s="99" t="str">
        <f t="shared" si="46"/>
        <v>aws s3 cp s3://rtdc.mdm.uploadarchive/RTDC4014/2016-08-31/ "%USERPROFILE%\AppData\Local\Temp\OnboardLogs"\RTDC4014\2016-08-31 --recursive &amp; "%USERPROFILE%\Documents\GitHub\mrs-test-scripts\Headless Mode &amp; Sideloading\WalkAndUnGZ.bat" "%USERPROFILE%\AppData\Local\Temp\OnboardLogs"\RTDC4014\2016-08-31 &amp; aws s3 cp s3://rtdc.mdm.uploadarchive/RTDC4014/2016-09-01/ "%USERPROFILE%\AppData\Local\Temp\OnboardLogs"\RTDC4014\2016-09-01 --recursive &amp; "%USERPROFILE%\Documents\GitHub\mrs-test-scripts\Headless Mode &amp; Sideloading\WalkAndUnGZ.bat" "%USERPROFILE%\AppData\Local\Temp\OnboardLogs"\RTDC4014\2016-09-01</v>
      </c>
      <c r="AF118" s="96" t="str">
        <f t="shared" si="47"/>
        <v>"C:\Program Files (x86)\AstroGrep\AstroGrep.exe" /spath="%USERPROFILE%\AppData\Local\Temp\OnboardLogs" /stypes="*4014*20160831*" /stext=" 23:.+((SYSTEM_STATE.+slice.+state.+changed )|(ment ac)|(system.+state.+changed )|(\|lc)|(penalty)|(\[timeout)|(PRM\|1\|D)|(kpr)|(kdp))" /e /r /s</v>
      </c>
      <c r="AG118" s="1" t="str">
        <f t="shared" si="65"/>
        <v>EC</v>
      </c>
      <c r="AH118" s="100" t="str">
        <f t="shared" si="49"/>
        <v>"%USERPROFILE%\Documents\GitHub\eaglep3\Utilities\RefineRTDCRunTimes.py" --tripid 207-31 --locoid 4014 --swversion DE.1.0.7.0 --startMP 204:19121 --initTime 2016-08-31T17:12:10 --startdatetime 2016-08-31T17:14:13 --delay 0 --endMP 204:233291 --enddatetime 2016-08-31T17:50:12 --enforcementcount 0 &gt;&gt;C:\Users\stu\Documents\GitHub\eaglep3-reporting\EC\2016-08-31-refined-times.txt</v>
      </c>
      <c r="AI118" s="149" t="str">
        <f t="shared" si="50"/>
        <v>echo {"issue":{"subject":"Onboard in-route failure","project_id":79,"tracker_id":40,"status_id":1,"priority_id":2,"assigned_to_id":23,"start_date":"2016-08-31","description":"","custom_fields":[{"id":1,"name":"Subdivision","value":"EC"},{"id":4,"name":"Milepost","value":"21.417"},{"id":17,"name":"Train ID","value":"207-31"},{"id":16,"name":"Locomotive ID","value":"4014"},{"id":130,"name":"Impact","value":""},{"id":150,"name":"Time of Event (Mountain Time)","value":"17:50:12"},{"id":151,"name":"Denver Issue ID","value":""},{"id":178,"name":"Operational Impact","value":"Yes"},{"id":179,"name":"Denver Segment Assigned","value":""}]}} | curl -X POST -H "Content-Type: application/json" -H "X-Redmine-API-Key: d6333d4a04012a730768444271f8ca06482dae87" https://secure.xorail.net/redmine/issues.json --data @-</v>
      </c>
      <c r="AJ118" s="55"/>
      <c r="AK118" s="55"/>
      <c r="AL118" s="55"/>
    </row>
    <row r="119" spans="1:38" s="23" customFormat="1" x14ac:dyDescent="0.25">
      <c r="A119" s="39" t="s">
        <v>531</v>
      </c>
      <c r="B119" s="7">
        <v>4013</v>
      </c>
      <c r="C119" s="24" t="s">
        <v>113</v>
      </c>
      <c r="D119" s="24" t="s">
        <v>222</v>
      </c>
      <c r="E119" s="15">
        <v>42613.745671296296</v>
      </c>
      <c r="F119" s="15">
        <v>42613.748784722222</v>
      </c>
      <c r="G119" s="7">
        <v>1</v>
      </c>
      <c r="H119" s="15" t="s">
        <v>532</v>
      </c>
      <c r="I119" s="15">
        <v>42613.778877314813</v>
      </c>
      <c r="J119" s="7">
        <v>0</v>
      </c>
      <c r="K119" s="132" t="str">
        <f t="shared" si="54"/>
        <v>4013/4014</v>
      </c>
      <c r="L119" s="24" t="str">
        <f>VLOOKUP(A119,'Trips&amp;Operators'!$C$1:$E$10000,3,FALSE)</f>
        <v>MAHAN</v>
      </c>
      <c r="M119" s="6">
        <f t="shared" si="55"/>
        <v>3.0092592591245193E-2</v>
      </c>
      <c r="N119" s="7">
        <f>24*60*SUM($M119:$M119)</f>
        <v>43.333333331393078</v>
      </c>
      <c r="O119" s="7"/>
      <c r="P119" s="7"/>
      <c r="Q119" s="25"/>
      <c r="R119" s="25"/>
      <c r="S119" s="37">
        <f t="shared" si="57"/>
        <v>1</v>
      </c>
      <c r="T119" s="52" t="str">
        <f t="shared" si="58"/>
        <v>Southbound</v>
      </c>
      <c r="U119" s="126">
        <f>IF(AG119="EC",COUNTIFS(Variables!$M$2:$M$19,IF(T119="NorthBound","&gt;=","&lt;=")&amp;Y119,Variables!$M$2:$M$19,IF(T119="NorthBound","&lt;=","&gt;=")&amp;Z119),COUNTIFS(Variables!$P$2:$P$19,IF(T119="NorthBound","&gt;=","&lt;=")&amp;Y119,Variables!$P$2:$P$19,IF(T119="NorthBound","&lt;=","&gt;=")&amp;Z119))</f>
        <v>12</v>
      </c>
      <c r="V119" s="106" t="str">
        <f t="shared" si="59"/>
        <v>https://search-rtdc-monitor-bjffxe2xuh6vdkpspy63sjmuny.us-east-1.es.amazonaws.com/_plugin/kibana/#/discover/Steve-Slow-Train-Analysis-(2080s-and-2083s)?_g=(refreshInterval:(display:Off,section:0,value:0),time:(from:'2016-08-31 16:53:46-0600',mode:absolute,to:'2016-08-31 19:41:35-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4013%22')),sort:!(Time,asc))</v>
      </c>
      <c r="W119" s="54" t="str">
        <f t="shared" si="60"/>
        <v>N</v>
      </c>
      <c r="X119" s="120">
        <f t="shared" si="67"/>
        <v>1</v>
      </c>
      <c r="Y119" s="69">
        <f t="shared" si="61"/>
        <v>23.297999999999998</v>
      </c>
      <c r="Z119" s="69">
        <f t="shared" si="62"/>
        <v>1.7999999999999999E-2</v>
      </c>
      <c r="AA119" s="69">
        <f t="shared" si="63"/>
        <v>23.279999999999998</v>
      </c>
      <c r="AB119" s="66" t="e">
        <f>VLOOKUP(A119,Enforcements!$C$7:$J$21,8,0)</f>
        <v>#N/A</v>
      </c>
      <c r="AC119" s="62" t="e">
        <f>VLOOKUP(A119,Enforcements!$C$7:$E$21,3,0)</f>
        <v>#N/A</v>
      </c>
      <c r="AD119" s="63" t="str">
        <f t="shared" si="64"/>
        <v>0208-31</v>
      </c>
      <c r="AE119" s="99" t="str">
        <f t="shared" si="46"/>
        <v>aws s3 cp s3://rtdc.mdm.uploadarchive/RTDC4013/2016-08-31/ "%USERPROFILE%\AppData\Local\Temp\OnboardLogs"\RTDC4013\2016-08-31 --recursive &amp; "%USERPROFILE%\Documents\GitHub\mrs-test-scripts\Headless Mode &amp; Sideloading\WalkAndUnGZ.bat" "%USERPROFILE%\AppData\Local\Temp\OnboardLogs"\RTDC4013\2016-08-31 &amp; aws s3 cp s3://rtdc.mdm.uploadarchive/RTDC4013/2016-09-01/ "%USERPROFILE%\AppData\Local\Temp\OnboardLogs"\RTDC4013\2016-09-01 --recursive &amp; "%USERPROFILE%\Documents\GitHub\mrs-test-scripts\Headless Mode &amp; Sideloading\WalkAndUnGZ.bat" "%USERPROFILE%\AppData\Local\Temp\OnboardLogs"\RTDC4013\2016-09-01</v>
      </c>
      <c r="AF119" s="96" t="str">
        <f t="shared" si="47"/>
        <v>"C:\Program Files (x86)\AstroGrep\AstroGrep.exe" /spath="%USERPROFILE%\AppData\Local\Temp\OnboardLogs" /stypes="*4013*20160901*" /stext=" 00:.+((SYSTEM_STATE.+slice.+state.+changed )|(ment ac)|(system.+state.+changed )|(\|lc)|(penalty)|(\[timeout)|(PRM\|1\|D)|(kpr)|(kdp))" /e /r /s</v>
      </c>
      <c r="AG119" s="1" t="str">
        <f t="shared" si="65"/>
        <v>EC</v>
      </c>
      <c r="AH119" s="100" t="str">
        <f t="shared" si="49"/>
        <v>"%USERPROFILE%\Documents\GitHub\eaglep3\Utilities\RefineRTDCRunTimes.py" --tripid 208-31 --locoid 4013 --swversion DE.1.0.7.0 --startMP 204:232980 --initTime 2016-08-31T17:53:46 --startdatetime 2016-08-31T17:58:15 --delay 1 --endMP 204:180 --enddatetime 2016-08-31T18:41:35 --enforcementcount 0 &gt;&gt;C:\Users\stu\Documents\GitHub\eaglep3-reporting\EC\2016-08-31-refined-times.txt</v>
      </c>
      <c r="AI119" s="149" t="str">
        <f t="shared" si="50"/>
        <v>echo {"issue":{"subject":"","project_id":79,"tracker_id":40,"status_id":1,"priority_id":2,"assigned_to_id":23,"start_date":"2016-08-31","description":"","custom_fields":[{"id":1,"name":"Subdivision","value":"EC"},{"id":4,"name":"Milepost","value":"23.28"},{"id":17,"name":"Train ID","value":"208-31"},{"id":16,"name":"Locomotive ID","value":"4013"},{"id":130,"name":"Impact","value":""},{"id":150,"name":"Time of Event (Mountain Time)","value":"18:41:35"},{"id":151,"name":"Denver Issue ID","value":""},{"id":178,"name":"Operational Impact","value":"Yes"},{"id":179,"name":"Denver Segment Assigned","value":""}]}} | curl -X POST -H "Content-Type: application/json" -H "X-Redmine-API-Key: d6333d4a04012a730768444271f8ca06482dae87" https://secure.xorail.net/redmine/issues.json --data @-</v>
      </c>
      <c r="AJ119" s="55"/>
      <c r="AK119" s="55"/>
      <c r="AL119" s="55"/>
    </row>
    <row r="120" spans="1:38" x14ac:dyDescent="0.25">
      <c r="A120" s="39" t="s">
        <v>533</v>
      </c>
      <c r="B120" s="7">
        <v>4027</v>
      </c>
      <c r="C120" s="24" t="s">
        <v>113</v>
      </c>
      <c r="D120" s="24" t="s">
        <v>250</v>
      </c>
      <c r="E120" s="15">
        <v>42613.711793981478</v>
      </c>
      <c r="F120" s="15">
        <v>42613.719305555554</v>
      </c>
      <c r="G120" s="7">
        <v>6</v>
      </c>
      <c r="H120" s="15" t="s">
        <v>330</v>
      </c>
      <c r="I120" s="15">
        <v>42613.746319444443</v>
      </c>
      <c r="J120" s="7">
        <v>0</v>
      </c>
      <c r="K120" s="132" t="str">
        <f t="shared" si="54"/>
        <v>4027/4028</v>
      </c>
      <c r="L120" s="24" t="str">
        <f>VLOOKUP(A120,'Trips&amp;Operators'!$C$1:$E$10000,3,FALSE)</f>
        <v>STURGEON</v>
      </c>
      <c r="M120" s="6">
        <f t="shared" si="55"/>
        <v>2.7013888888177462E-2</v>
      </c>
      <c r="N120" s="7">
        <f>24*60*SUM($M120:$M120)</f>
        <v>38.899999998975545</v>
      </c>
      <c r="O120" s="7"/>
      <c r="P120" s="7"/>
      <c r="Q120" s="25"/>
      <c r="R120" s="25"/>
      <c r="S120" s="37">
        <f t="shared" si="57"/>
        <v>1</v>
      </c>
      <c r="T120" s="52" t="str">
        <f t="shared" si="58"/>
        <v>NorthBound</v>
      </c>
      <c r="U120" s="126">
        <f>IF(AG120="EC",COUNTIFS(Variables!$M$2:$M$19,IF(T120="NorthBound","&gt;=","&lt;=")&amp;Y120,Variables!$M$2:$M$19,IF(T120="NorthBound","&lt;=","&gt;=")&amp;Z120),COUNTIFS(Variables!$P$2:$P$19,IF(T120="NorthBound","&gt;=","&lt;=")&amp;Y120,Variables!$P$2:$P$19,IF(T120="NorthBound","&lt;=","&gt;=")&amp;Z120))</f>
        <v>12</v>
      </c>
      <c r="V120" s="106" t="str">
        <f t="shared" si="59"/>
        <v>https://search-rtdc-monitor-bjffxe2xuh6vdkpspy63sjmuny.us-east-1.es.amazonaws.com/_plugin/kibana/#/discover/Steve-Slow-Train-Analysis-(2080s-and-2083s)?_g=(refreshInterval:(display:Off,section:0,value:0),time:(from:'2016-08-31 16:04:59-0600',mode:absolute,to:'2016-08-31 18:54:42-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4027%22')),sort:!(Time,asc))</v>
      </c>
      <c r="W120" s="54" t="str">
        <f t="shared" si="60"/>
        <v>N</v>
      </c>
      <c r="X120" s="120">
        <f t="shared" si="67"/>
        <v>1</v>
      </c>
      <c r="Y120" s="69">
        <f t="shared" si="61"/>
        <v>4.6600000000000003E-2</v>
      </c>
      <c r="Z120" s="69">
        <f t="shared" si="62"/>
        <v>23.33</v>
      </c>
      <c r="AA120" s="69">
        <f t="shared" si="63"/>
        <v>23.283399999999997</v>
      </c>
      <c r="AB120" s="66" t="e">
        <f>VLOOKUP(A120,Enforcements!$C$7:$J$21,8,0)</f>
        <v>#N/A</v>
      </c>
      <c r="AC120" s="62" t="e">
        <f>VLOOKUP(A120,Enforcements!$C$7:$E$21,3,0)</f>
        <v>#N/A</v>
      </c>
      <c r="AD120" s="63" t="str">
        <f t="shared" si="64"/>
        <v>0209-31</v>
      </c>
      <c r="AE120" s="99" t="str">
        <f t="shared" si="46"/>
        <v>aws s3 cp s3://rtdc.mdm.uploadarchive/RTDC4027/2016-08-31/ "%USERPROFILE%\AppData\Local\Temp\OnboardLogs"\RTDC4027\2016-08-31 --recursive &amp; "%USERPROFILE%\Documents\GitHub\mrs-test-scripts\Headless Mode &amp; Sideloading\WalkAndUnGZ.bat" "%USERPROFILE%\AppData\Local\Temp\OnboardLogs"\RTDC4027\2016-08-31 &amp; aws s3 cp s3://rtdc.mdm.uploadarchive/RTDC4027/2016-09-01/ "%USERPROFILE%\AppData\Local\Temp\OnboardLogs"\RTDC4027\2016-09-01 --recursive &amp; "%USERPROFILE%\Documents\GitHub\mrs-test-scripts\Headless Mode &amp; Sideloading\WalkAndUnGZ.bat" "%USERPROFILE%\AppData\Local\Temp\OnboardLogs"\RTDC4027\2016-09-01</v>
      </c>
      <c r="AF120" s="96" t="str">
        <f t="shared" si="47"/>
        <v>"C:\Program Files (x86)\AstroGrep\AstroGrep.exe" /spath="%USERPROFILE%\AppData\Local\Temp\OnboardLogs" /stypes="*4027*20160831*" /stext=" 23:.+((SYSTEM_STATE.+slice.+state.+changed )|(ment ac)|(system.+state.+changed )|(\|lc)|(penalty)|(\[timeout)|(PRM\|1\|D)|(kpr)|(kdp))" /e /r /s</v>
      </c>
      <c r="AG120" s="1" t="str">
        <f t="shared" si="65"/>
        <v>EC</v>
      </c>
      <c r="AH120" s="100" t="str">
        <f t="shared" si="49"/>
        <v>"%USERPROFILE%\Documents\GitHub\eaglep3\Utilities\RefineRTDCRunTimes.py" --tripid 209-31 --locoid 4027 --swversion DE.1.0.7.0 --startMP 204:466 --initTime 2016-08-31T17:04:59 --startdatetime 2016-08-31T17:15:48 --delay 6 --endMP 204:233300 --enddatetime 2016-08-31T17:54:42 --enforcementcount 0 &gt;&gt;C:\Users\stu\Documents\GitHub\eaglep3-reporting\EC\2016-08-31-refined-times.txt</v>
      </c>
      <c r="AI120" s="149" t="str">
        <f t="shared" si="50"/>
        <v>echo {"issue":{"subject":"","project_id":79,"tracker_id":40,"status_id":1,"priority_id":2,"assigned_to_id":23,"start_date":"2016-08-31","description":"","custom_fields":[{"id":1,"name":"Subdivision","value":"EC"},{"id":4,"name":"Milepost","value":"23.2834"},{"id":17,"name":"Train ID","value":"209-31"},{"id":16,"name":"Locomotive ID","value":"4027"},{"id":130,"name":"Impact","value":""},{"id":150,"name":"Time of Event (Mountain Time)","value":"17:54:42"},{"id":151,"name":"Denver Issue ID","value":""},{"id":178,"name":"Operational Impact","value":"Yes"},{"id":179,"name":"Denver Segment Assigned","value":""}]}} | curl -X POST -H "Content-Type: application/json" -H "X-Redmine-API-Key: d6333d4a04012a730768444271f8ca06482dae87" https://secure.xorail.net/redmine/issues.json --data @-</v>
      </c>
      <c r="AJ120" s="55"/>
      <c r="AK120" s="55"/>
      <c r="AL120" s="55"/>
    </row>
    <row r="121" spans="1:38" x14ac:dyDescent="0.25">
      <c r="A121" s="39" t="s">
        <v>534</v>
      </c>
      <c r="B121" s="7">
        <v>4028</v>
      </c>
      <c r="C121" s="24" t="s">
        <v>113</v>
      </c>
      <c r="D121" s="24" t="s">
        <v>223</v>
      </c>
      <c r="E121" s="15">
        <v>42613.751331018517</v>
      </c>
      <c r="F121" s="15">
        <v>42613.757835648146</v>
      </c>
      <c r="G121" s="7">
        <v>1</v>
      </c>
      <c r="H121" s="15" t="s">
        <v>482</v>
      </c>
      <c r="I121" s="15">
        <v>42613.786585648151</v>
      </c>
      <c r="J121" s="7">
        <v>0</v>
      </c>
      <c r="K121" s="132" t="str">
        <f t="shared" si="54"/>
        <v>4027/4028</v>
      </c>
      <c r="L121" s="24" t="str">
        <f>VLOOKUP(A121,'Trips&amp;Operators'!$C$1:$E$10000,3,FALSE)</f>
        <v>STURGEON</v>
      </c>
      <c r="M121" s="6">
        <f t="shared" si="55"/>
        <v>2.8750000004947651E-2</v>
      </c>
      <c r="N121" s="7">
        <f>24*60*SUM($M121:$M121)</f>
        <v>41.400000007124618</v>
      </c>
      <c r="O121" s="7"/>
      <c r="P121" s="7"/>
      <c r="Q121" s="25"/>
      <c r="R121" s="25"/>
      <c r="S121" s="37">
        <f t="shared" si="57"/>
        <v>1</v>
      </c>
      <c r="T121" s="52" t="str">
        <f t="shared" si="58"/>
        <v>Southbound</v>
      </c>
      <c r="U121" s="126">
        <f>IF(AG121="EC",COUNTIFS(Variables!$M$2:$M$19,IF(T121="NorthBound","&gt;=","&lt;=")&amp;Y121,Variables!$M$2:$M$19,IF(T121="NorthBound","&lt;=","&gt;=")&amp;Z121),COUNTIFS(Variables!$P$2:$P$19,IF(T121="NorthBound","&gt;=","&lt;=")&amp;Y121,Variables!$P$2:$P$19,IF(T121="NorthBound","&lt;=","&gt;=")&amp;Z121))</f>
        <v>12</v>
      </c>
      <c r="V121" s="106" t="str">
        <f t="shared" si="59"/>
        <v>https://search-rtdc-monitor-bjffxe2xuh6vdkpspy63sjmuny.us-east-1.es.amazonaws.com/_plugin/kibana/#/discover/Steve-Slow-Train-Analysis-(2080s-and-2083s)?_g=(refreshInterval:(display:Off,section:0,value:0),time:(from:'2016-08-31 17:01:55-0600',mode:absolute,to:'2016-08-31 19:52:41-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4028%22')),sort:!(Time,asc))</v>
      </c>
      <c r="W121" s="54" t="str">
        <f t="shared" si="60"/>
        <v>N</v>
      </c>
      <c r="X121" s="120">
        <f t="shared" si="67"/>
        <v>1</v>
      </c>
      <c r="Y121" s="69">
        <f t="shared" si="61"/>
        <v>23.297699999999999</v>
      </c>
      <c r="Z121" s="69">
        <f t="shared" si="62"/>
        <v>1.6899999999999998E-2</v>
      </c>
      <c r="AA121" s="69">
        <f t="shared" si="63"/>
        <v>23.280799999999999</v>
      </c>
      <c r="AB121" s="66">
        <f>VLOOKUP(A121,Enforcements!$C$7:$J$21,8,0)</f>
        <v>183829</v>
      </c>
      <c r="AC121" s="62" t="str">
        <f>VLOOKUP(A121,Enforcements!$C$7:$E$21,3,0)</f>
        <v>PERMANENT SPEED RESTRICTION</v>
      </c>
      <c r="AD121" s="63" t="str">
        <f t="shared" si="64"/>
        <v>0210-31</v>
      </c>
      <c r="AE121" s="99" t="str">
        <f t="shared" si="46"/>
        <v>aws s3 cp s3://rtdc.mdm.uploadarchive/RTDC4028/2016-08-31/ "%USERPROFILE%\AppData\Local\Temp\OnboardLogs"\RTDC4028\2016-08-31 --recursive &amp; "%USERPROFILE%\Documents\GitHub\mrs-test-scripts\Headless Mode &amp; Sideloading\WalkAndUnGZ.bat" "%USERPROFILE%\AppData\Local\Temp\OnboardLogs"\RTDC4028\2016-08-31 &amp; aws s3 cp s3://rtdc.mdm.uploadarchive/RTDC4028/2016-09-01/ "%USERPROFILE%\AppData\Local\Temp\OnboardLogs"\RTDC4028\2016-09-01 --recursive &amp; "%USERPROFILE%\Documents\GitHub\mrs-test-scripts\Headless Mode &amp; Sideloading\WalkAndUnGZ.bat" "%USERPROFILE%\AppData\Local\Temp\OnboardLogs"\RTDC4028\2016-09-01</v>
      </c>
      <c r="AF121" s="96" t="str">
        <f t="shared" si="47"/>
        <v>"C:\Program Files (x86)\AstroGrep\AstroGrep.exe" /spath="%USERPROFILE%\AppData\Local\Temp\OnboardLogs" /stypes="*4028*20160901*" /stext=" 00:.+((SYSTEM_STATE.+slice.+state.+changed )|(ment ac)|(system.+state.+changed )|(\|lc)|(penalty)|(\[timeout)|(PRM\|1\|D)|(kpr)|(kdp))" /e /r /s</v>
      </c>
      <c r="AG121" s="1" t="str">
        <f t="shared" si="65"/>
        <v>EC</v>
      </c>
      <c r="AH121" s="100" t="str">
        <f t="shared" si="49"/>
        <v>"%USERPROFILE%\Documents\GitHub\eaglep3\Utilities\RefineRTDCRunTimes.py" --tripid 210-31 --locoid 4028 --swversion DE.1.0.7.0 --startMP 204:232977 --initTime 2016-08-31T18:01:55 --startdatetime 2016-08-31T18:11:17 --delay 1 --endMP 204:169 --enddatetime 2016-08-31T18:52:41 --enforcementcount 0 &gt;&gt;C:\Users\stu\Documents\GitHub\eaglep3-reporting\EC\2016-08-31-refined-times.txt</v>
      </c>
      <c r="AI121" s="149" t="str">
        <f t="shared" si="50"/>
        <v>echo {"issue":{"subject":"","project_id":79,"tracker_id":40,"status_id":1,"priority_id":2,"assigned_to_id":23,"start_date":"2016-08-31","description":"","custom_fields":[{"id":1,"name":"Subdivision","value":"EC"},{"id":4,"name":"Milepost","value":"23.2808"},{"id":17,"name":"Train ID","value":"210-31"},{"id":16,"name":"Locomotive ID","value":"4028"},{"id":130,"name":"Impact","value":""},{"id":150,"name":"Time of Event (Mountain Time)","value":"18:52:41"},{"id":151,"name":"Denver Issue ID","value":""},{"id":178,"name":"Operational Impact","value":"Yes"},{"id":179,"name":"Denver Segment Assigned","value":""}]}} | curl -X POST -H "Content-Type: application/json" -H "X-Redmine-API-Key: d6333d4a04012a730768444271f8ca06482dae87" https://secure.xorail.net/redmine/issues.json --data @-</v>
      </c>
      <c r="AJ121" s="55"/>
      <c r="AK121" s="55"/>
      <c r="AL121" s="55"/>
    </row>
    <row r="122" spans="1:38" x14ac:dyDescent="0.25">
      <c r="A122" s="39" t="s">
        <v>535</v>
      </c>
      <c r="B122" s="7">
        <v>4042</v>
      </c>
      <c r="C122" s="24" t="s">
        <v>113</v>
      </c>
      <c r="D122" s="24" t="s">
        <v>133</v>
      </c>
      <c r="E122" s="15">
        <v>42613.728541666664</v>
      </c>
      <c r="F122" s="15">
        <v>42613.730115740742</v>
      </c>
      <c r="G122" s="7">
        <v>1</v>
      </c>
      <c r="H122" s="15" t="s">
        <v>342</v>
      </c>
      <c r="I122" s="15">
        <v>42613.757754629631</v>
      </c>
      <c r="J122" s="7">
        <v>0</v>
      </c>
      <c r="K122" s="132" t="str">
        <f t="shared" si="54"/>
        <v>4041/4042</v>
      </c>
      <c r="L122" s="24" t="str">
        <f>VLOOKUP(A122,'Trips&amp;Operators'!$C$1:$E$10000,3,FALSE)</f>
        <v>YOUNG</v>
      </c>
      <c r="M122" s="6">
        <f t="shared" si="55"/>
        <v>2.7638888888759539E-2</v>
      </c>
      <c r="N122" s="7">
        <f>24*60*SUM($M122:$M122)</f>
        <v>39.799999999813735</v>
      </c>
      <c r="O122" s="7"/>
      <c r="P122" s="7"/>
      <c r="Q122" s="25"/>
      <c r="R122" s="25"/>
      <c r="S122" s="37">
        <f t="shared" si="57"/>
        <v>1</v>
      </c>
      <c r="T122" s="52" t="str">
        <f t="shared" si="58"/>
        <v>NorthBound</v>
      </c>
      <c r="U122" s="126">
        <f>IF(AG122="EC",COUNTIFS(Variables!$M$2:$M$19,IF(T122="NorthBound","&gt;=","&lt;=")&amp;Y122,Variables!$M$2:$M$19,IF(T122="NorthBound","&lt;=","&gt;=")&amp;Z122),COUNTIFS(Variables!$P$2:$P$19,IF(T122="NorthBound","&gt;=","&lt;=")&amp;Y122,Variables!$P$2:$P$19,IF(T122="NorthBound","&lt;=","&gt;=")&amp;Z122))</f>
        <v>12</v>
      </c>
      <c r="V122" s="106" t="str">
        <f t="shared" si="59"/>
        <v>https://search-rtdc-monitor-bjffxe2xuh6vdkpspy63sjmuny.us-east-1.es.amazonaws.com/_plugin/kibana/#/discover/Steve-Slow-Train-Analysis-(2080s-and-2083s)?_g=(refreshInterval:(display:Off,section:0,value:0),time:(from:'2016-08-31 16:29:06-0600',mode:absolute,to:'2016-08-31 19:11:10-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4042%22')),sort:!(Time,asc))</v>
      </c>
      <c r="W122" s="54" t="str">
        <f t="shared" si="60"/>
        <v>N</v>
      </c>
      <c r="X122" s="120">
        <f t="shared" si="67"/>
        <v>1</v>
      </c>
      <c r="Y122" s="69">
        <f t="shared" si="61"/>
        <v>4.53E-2</v>
      </c>
      <c r="Z122" s="69">
        <f t="shared" si="62"/>
        <v>23.333400000000001</v>
      </c>
      <c r="AA122" s="69">
        <f t="shared" si="63"/>
        <v>23.2881</v>
      </c>
      <c r="AB122" s="66" t="e">
        <f>VLOOKUP(A122,Enforcements!$C$7:$J$21,8,0)</f>
        <v>#N/A</v>
      </c>
      <c r="AC122" s="62" t="e">
        <f>VLOOKUP(A122,Enforcements!$C$7:$E$21,3,0)</f>
        <v>#N/A</v>
      </c>
      <c r="AD122" s="63" t="str">
        <f t="shared" si="64"/>
        <v>0211-31</v>
      </c>
      <c r="AE122" s="99" t="str">
        <f t="shared" si="46"/>
        <v>aws s3 cp s3://rtdc.mdm.uploadarchive/RTDC4042/2016-08-31/ "%USERPROFILE%\AppData\Local\Temp\OnboardLogs"\RTDC4042\2016-08-31 --recursive &amp; "%USERPROFILE%\Documents\GitHub\mrs-test-scripts\Headless Mode &amp; Sideloading\WalkAndUnGZ.bat" "%USERPROFILE%\AppData\Local\Temp\OnboardLogs"\RTDC4042\2016-08-31 &amp; aws s3 cp s3://rtdc.mdm.uploadarchive/RTDC4042/2016-09-01/ "%USERPROFILE%\AppData\Local\Temp\OnboardLogs"\RTDC4042\2016-09-01 --recursive &amp; "%USERPROFILE%\Documents\GitHub\mrs-test-scripts\Headless Mode &amp; Sideloading\WalkAndUnGZ.bat" "%USERPROFILE%\AppData\Local\Temp\OnboardLogs"\RTDC4042\2016-09-01</v>
      </c>
      <c r="AF122" s="96" t="str">
        <f t="shared" si="47"/>
        <v>"C:\Program Files (x86)\AstroGrep\AstroGrep.exe" /spath="%USERPROFILE%\AppData\Local\Temp\OnboardLogs" /stypes="*4042*20160901*" /stext=" 00:.+((SYSTEM_STATE.+slice.+state.+changed )|(ment ac)|(system.+state.+changed )|(\|lc)|(penalty)|(\[timeout)|(PRM\|1\|D)|(kpr)|(kdp))" /e /r /s</v>
      </c>
      <c r="AG122" s="1" t="str">
        <f t="shared" si="65"/>
        <v>EC</v>
      </c>
      <c r="AH122" s="100" t="str">
        <f t="shared" si="49"/>
        <v>"%USERPROFILE%\Documents\GitHub\eaglep3\Utilities\RefineRTDCRunTimes.py" --tripid 211-31 --locoid 4042 --swversion DE.1.0.7.0 --startMP 204:453 --initTime 2016-08-31T17:29:06 --startdatetime 2016-08-31T17:31:22 --delay 1 --endMP 204:233334 --enddatetime 2016-08-31T18:11:10 --enforcementcount 0 &gt;&gt;C:\Users\stu\Documents\GitHub\eaglep3-reporting\EC\2016-08-31-refined-times.txt</v>
      </c>
      <c r="AI122" s="149" t="str">
        <f t="shared" si="50"/>
        <v>echo {"issue":{"subject":"","project_id":79,"tracker_id":40,"status_id":1,"priority_id":2,"assigned_to_id":23,"start_date":"2016-08-31","description":"","custom_fields":[{"id":1,"name":"Subdivision","value":"EC"},{"id":4,"name":"Milepost","value":"23.2881"},{"id":17,"name":"Train ID","value":"211-31"},{"id":16,"name":"Locomotive ID","value":"4042"},{"id":130,"name":"Impact","value":""},{"id":150,"name":"Time of Event (Mountain Time)","value":"18:11:10"},{"id":151,"name":"Denver Issue ID","value":""},{"id":178,"name":"Operational Impact","value":"Yes"},{"id":179,"name":"Denver Segment Assigned","value":""}]}} | curl -X POST -H "Content-Type: application/json" -H "X-Redmine-API-Key: d6333d4a04012a730768444271f8ca06482dae87" https://secure.xorail.net/redmine/issues.json --data @-</v>
      </c>
      <c r="AJ122" s="55"/>
      <c r="AK122" s="55"/>
      <c r="AL122" s="55"/>
    </row>
    <row r="123" spans="1:38" s="23" customFormat="1" x14ac:dyDescent="0.25">
      <c r="A123" s="39" t="s">
        <v>731</v>
      </c>
      <c r="B123" s="7">
        <v>4041</v>
      </c>
      <c r="C123" s="24" t="s">
        <v>113</v>
      </c>
      <c r="D123" s="24" t="s">
        <v>133</v>
      </c>
      <c r="E123" s="15">
        <v>42613.728541666664</v>
      </c>
      <c r="F123" s="15">
        <v>42613.763032407405</v>
      </c>
      <c r="G123" s="7">
        <v>1</v>
      </c>
      <c r="H123" s="15" t="s">
        <v>342</v>
      </c>
      <c r="I123" s="15">
        <v>42613.780868055554</v>
      </c>
      <c r="J123" s="7">
        <v>0</v>
      </c>
      <c r="K123" s="132" t="str">
        <f t="shared" si="54"/>
        <v>4041/4042</v>
      </c>
      <c r="L123" s="24" t="str">
        <f>VLOOKUP(A123,'Trips&amp;Operators'!$C$1:$E$10000,3,FALSE)</f>
        <v>YOUNG</v>
      </c>
      <c r="M123" s="6">
        <f t="shared" si="55"/>
        <v>1.7835648148320615E-2</v>
      </c>
      <c r="N123" s="7"/>
      <c r="O123" s="7"/>
      <c r="P123" s="7">
        <f>24*60*SUM($M123:$M123)</f>
        <v>25.683333333581686</v>
      </c>
      <c r="Q123" s="25"/>
      <c r="R123" s="25" t="s">
        <v>304</v>
      </c>
      <c r="S123" s="37">
        <f t="shared" si="57"/>
        <v>0</v>
      </c>
      <c r="T123" s="52" t="str">
        <f t="shared" si="58"/>
        <v>Southbound</v>
      </c>
      <c r="U123" s="126">
        <f>IF(AG123="EC",COUNTIFS(Variables!$M$2:$M$19,IF(T123="NorthBound","&gt;=","&lt;=")&amp;Y123,Variables!$M$2:$M$19,IF(T123="NorthBound","&lt;=","&gt;=")&amp;Z123),COUNTIFS(Variables!$P$2:$P$19,IF(T123="NorthBound","&gt;=","&lt;=")&amp;Y123,Variables!$P$2:$P$19,IF(T123="NorthBound","&lt;=","&gt;=")&amp;Z123))</f>
        <v>0</v>
      </c>
      <c r="V123" s="106" t="str">
        <f t="shared" si="59"/>
        <v>https://search-rtdc-monitor-bjffxe2xuh6vdkpspy63sjmuny.us-east-1.es.amazonaws.com/_plugin/kibana/#/discover/Steve-Slow-Train-Analysis-(2080s-and-2083s)?_g=(refreshInterval:(display:Off,section:0,value:0),time:(from:'2016-08-31 16:29:06-0600',mode:absolute,to:'2016-08-31 19:44:27-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4041%22')),sort:!(Time,asc))</v>
      </c>
      <c r="W123" s="54" t="str">
        <f t="shared" si="60"/>
        <v>N</v>
      </c>
      <c r="X123" s="120">
        <f t="shared" si="67"/>
        <v>1</v>
      </c>
      <c r="Y123" s="69">
        <f t="shared" si="61"/>
        <v>4.53E-2</v>
      </c>
      <c r="Z123" s="69">
        <f t="shared" si="62"/>
        <v>23.333400000000001</v>
      </c>
      <c r="AA123" s="69">
        <f t="shared" si="63"/>
        <v>23.2881</v>
      </c>
      <c r="AB123" s="66" t="e">
        <f>VLOOKUP(A123,Enforcements!$C$7:$J$21,8,0)</f>
        <v>#N/A</v>
      </c>
      <c r="AC123" s="62" t="e">
        <f>VLOOKUP(A123,Enforcements!$C$7:$E$21,3,0)</f>
        <v>#N/A</v>
      </c>
      <c r="AD123" s="63" t="str">
        <f t="shared" si="64"/>
        <v>0212-31</v>
      </c>
      <c r="AE123" s="99" t="str">
        <f t="shared" si="46"/>
        <v>aws s3 cp s3://rtdc.mdm.uploadarchive/RTDC4041/2016-08-31/ "%USERPROFILE%\AppData\Local\Temp\OnboardLogs"\RTDC4041\2016-08-31 --recursive &amp; "%USERPROFILE%\Documents\GitHub\mrs-test-scripts\Headless Mode &amp; Sideloading\WalkAndUnGZ.bat" "%USERPROFILE%\AppData\Local\Temp\OnboardLogs"\RTDC4041\2016-08-31 &amp; aws s3 cp s3://rtdc.mdm.uploadarchive/RTDC4041/2016-09-01/ "%USERPROFILE%\AppData\Local\Temp\OnboardLogs"\RTDC4041\2016-09-01 --recursive &amp; "%USERPROFILE%\Documents\GitHub\mrs-test-scripts\Headless Mode &amp; Sideloading\WalkAndUnGZ.bat" "%USERPROFILE%\AppData\Local\Temp\OnboardLogs"\RTDC4041\2016-09-01</v>
      </c>
      <c r="AF123" s="96" t="str">
        <f t="shared" si="47"/>
        <v>"C:\Program Files (x86)\AstroGrep\AstroGrep.exe" /spath="%USERPROFILE%\AppData\Local\Temp\OnboardLogs" /stypes="*4041*20160901*" /stext=" 00:.+((SYSTEM_STATE.+slice.+state.+changed )|(ment ac)|(system.+state.+changed )|(\|lc)|(penalty)|(\[timeout)|(PRM\|1\|D)|(kpr)|(kdp))" /e /r /s</v>
      </c>
      <c r="AG123" s="1" t="str">
        <f t="shared" si="65"/>
        <v>EC</v>
      </c>
      <c r="AH123" s="100" t="str">
        <f t="shared" ref="AH123" si="68">refinertdcruntimes&amp;" --tripid "&amp;A123&amp;" --locoid "&amp;B123&amp;" --swversion "&amp;C123&amp;" --startMP "&amp;D123&amp;" --initTime "&amp;TEXT(E123,"yyyy-mm-ddTHH:MM:SS")&amp;" --startdatetime "&amp;TEXT(F123,"yyyy-mm-ddTHH:MM:SS")&amp;" --delay "&amp;G123&amp;" --endMP "&amp;H123&amp;" --enddatetime "&amp;TEXT(I123,"yyyy-mm-ddTHH:MM:SS")&amp;" --enforcementcount "&amp;J123&amp;IF(outputrefinedruntimes," &gt;&gt;"&amp;RefinedRTDCRunTimesOutputFile,"")</f>
        <v>"%USERPROFILE%\Documents\GitHub\eaglep3\Utilities\RefineRTDCRunTimes.py" --tripid 212-31 --locoid 4041 --swversion DE.1.0.7.0 --startMP 204:453 --initTime 2016-08-31T17:29:06 --startdatetime 2016-08-31T18:18:46 --delay 1 --endMP 204:233334 --enddatetime 2016-08-31T18:44:27 --enforcementcount 0 &gt;&gt;C:\Users\stu\Documents\GitHub\eaglep3-reporting\EC\2016-08-31-refined-times.txt</v>
      </c>
      <c r="AI123" s="149" t="str">
        <f t="shared" ref="AI123" si="69">"echo {""issue"":{""subject"":"""&amp;R123&amp;""",""project_id"":79,""tracker_id"":40,""status_id"":"&amp;redmine_status&amp;",""priority_id"":"&amp;redmine_priority&amp;",""assigned_to_id"":"&amp;redmine_assignee&amp;",""start_date"":"""&amp;TEXT(I123,"YYYY-mm-dd")&amp;""",""description"":"""&amp;AJ123&amp;""",""custom_fields"":[{""id"":1,""name"":""Subdivision"",""value"":"""&amp;AG123&amp;"""},{""id"":4,""name"":""Milepost"",""value"":"""&amp;AA123&amp;"""},{""id"":17,""name"":""Train ID"",""value"":"""&amp;A123&amp;"""},{""id"":16,""name"":""Locomotive ID"",""value"":"""&amp;B123&amp;"""},{""id"":130,""name"":""Impact"",""value"":"""&amp;AK123&amp;"""},{""id"":150,""name"":""Time of Event (Mountain Time)"",""value"":"""&amp;TEXT(I123,"hh:mm:ss")&amp;"""},{""id"":151,""name"":""Denver Issue ID"",""value"":"""&amp;"""},{""id"":178,""name"":""Operational Impact"",""value"":"""&amp;redmine_op_impact&amp;"""},{""id"":179,""name"":""Denver Segment Assigned"",""value"":"""&amp;AL123&amp;"""}]}}"&amp;" | curl -X POST -H ""Content-Type: application/json"" -H ""X-Redmine-API-Key: "&amp;redm_api_key&amp;""" "&amp;redm_url&amp;" --data @-"</f>
        <v>echo {"issue":{"subject":"Onboard in-route failure","project_id":79,"tracker_id":40,"status_id":1,"priority_id":2,"assigned_to_id":23,"start_date":"2016-08-31","description":"","custom_fields":[{"id":1,"name":"Subdivision","value":"EC"},{"id":4,"name":"Milepost","value":"23.2881"},{"id":17,"name":"Train ID","value":"212-31"},{"id":16,"name":"Locomotive ID","value":"4041"},{"id":130,"name":"Impact","value":""},{"id":150,"name":"Time of Event (Mountain Time)","value":"18:44:27"},{"id":151,"name":"Denver Issue ID","value":""},{"id":178,"name":"Operational Impact","value":"Yes"},{"id":179,"name":"Denver Segment Assigned","value":""}]}} | curl -X POST -H "Content-Type: application/json" -H "X-Redmine-API-Key: d6333d4a04012a730768444271f8ca06482dae87" https://secure.xorail.net/redmine/issues.json --data @-</v>
      </c>
      <c r="AJ123" s="55"/>
      <c r="AK123" s="55"/>
      <c r="AL123" s="55"/>
    </row>
    <row r="124" spans="1:38" s="23" customFormat="1" x14ac:dyDescent="0.25">
      <c r="A124" s="39" t="s">
        <v>536</v>
      </c>
      <c r="B124" s="7">
        <v>4029</v>
      </c>
      <c r="C124" s="24" t="s">
        <v>113</v>
      </c>
      <c r="D124" s="24" t="s">
        <v>180</v>
      </c>
      <c r="E124" s="15">
        <v>42613.736168981479</v>
      </c>
      <c r="F124" s="15">
        <v>42613.739733796298</v>
      </c>
      <c r="G124" s="7">
        <v>2</v>
      </c>
      <c r="H124" s="15" t="s">
        <v>335</v>
      </c>
      <c r="I124" s="15">
        <v>42613.764444444445</v>
      </c>
      <c r="J124" s="7">
        <v>0</v>
      </c>
      <c r="K124" s="132" t="str">
        <f t="shared" si="54"/>
        <v>4029/4030</v>
      </c>
      <c r="L124" s="24" t="str">
        <f>VLOOKUP(A124,'Trips&amp;Operators'!$C$1:$E$10000,3,FALSE)</f>
        <v>YANAI</v>
      </c>
      <c r="M124" s="6">
        <f t="shared" si="55"/>
        <v>2.47106481474475E-2</v>
      </c>
      <c r="N124" s="7">
        <f t="shared" ref="N124:N129" si="70">24*60*SUM($M124:$M124)</f>
        <v>35.583333332324401</v>
      </c>
      <c r="O124" s="7"/>
      <c r="P124" s="7"/>
      <c r="Q124" s="25"/>
      <c r="R124" s="25"/>
      <c r="S124" s="37">
        <f t="shared" si="57"/>
        <v>1</v>
      </c>
      <c r="T124" s="52" t="str">
        <f t="shared" si="58"/>
        <v>NorthBound</v>
      </c>
      <c r="U124" s="126">
        <f>IF(AG124="EC",COUNTIFS(Variables!$M$2:$M$19,IF(T124="NorthBound","&gt;=","&lt;=")&amp;Y124,Variables!$M$2:$M$19,IF(T124="NorthBound","&lt;=","&gt;=")&amp;Z124),COUNTIFS(Variables!$P$2:$P$19,IF(T124="NorthBound","&gt;=","&lt;=")&amp;Y124,Variables!$P$2:$P$19,IF(T124="NorthBound","&lt;=","&gt;=")&amp;Z124))</f>
        <v>12</v>
      </c>
      <c r="V124" s="106" t="str">
        <f t="shared" si="59"/>
        <v>https://search-rtdc-monitor-bjffxe2xuh6vdkpspy63sjmuny.us-east-1.es.amazonaws.com/_plugin/kibana/#/discover/Steve-Slow-Train-Analysis-(2080s-and-2083s)?_g=(refreshInterval:(display:Off,section:0,value:0),time:(from:'2016-08-31 16:40:05-0600',mode:absolute,to:'2016-08-31 19:20:48-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4029%22')),sort:!(Time,asc))</v>
      </c>
      <c r="W124" s="54" t="str">
        <f t="shared" si="60"/>
        <v>N</v>
      </c>
      <c r="X124" s="120">
        <f t="shared" si="67"/>
        <v>1</v>
      </c>
      <c r="Y124" s="69">
        <f t="shared" si="61"/>
        <v>4.5999999999999999E-2</v>
      </c>
      <c r="Z124" s="69">
        <f t="shared" si="62"/>
        <v>23.331</v>
      </c>
      <c r="AA124" s="69">
        <f t="shared" si="63"/>
        <v>23.285</v>
      </c>
      <c r="AB124" s="66" t="e">
        <f>VLOOKUP(A124,Enforcements!$C$7:$J$21,8,0)</f>
        <v>#N/A</v>
      </c>
      <c r="AC124" s="62" t="e">
        <f>VLOOKUP(A124,Enforcements!$C$7:$E$21,3,0)</f>
        <v>#N/A</v>
      </c>
      <c r="AD124" s="63" t="str">
        <f t="shared" si="64"/>
        <v>0213-31</v>
      </c>
      <c r="AE124" s="99" t="str">
        <f t="shared" si="46"/>
        <v>aws s3 cp s3://rtdc.mdm.uploadarchive/RTDC4029/2016-08-31/ "%USERPROFILE%\AppData\Local\Temp\OnboardLogs"\RTDC4029\2016-08-31 --recursive &amp; "%USERPROFILE%\Documents\GitHub\mrs-test-scripts\Headless Mode &amp; Sideloading\WalkAndUnGZ.bat" "%USERPROFILE%\AppData\Local\Temp\OnboardLogs"\RTDC4029\2016-08-31 &amp; aws s3 cp s3://rtdc.mdm.uploadarchive/RTDC4029/2016-09-01/ "%USERPROFILE%\AppData\Local\Temp\OnboardLogs"\RTDC4029\2016-09-01 --recursive &amp; "%USERPROFILE%\Documents\GitHub\mrs-test-scripts\Headless Mode &amp; Sideloading\WalkAndUnGZ.bat" "%USERPROFILE%\AppData\Local\Temp\OnboardLogs"\RTDC4029\2016-09-01</v>
      </c>
      <c r="AF124" s="96" t="str">
        <f t="shared" si="47"/>
        <v>"C:\Program Files (x86)\AstroGrep\AstroGrep.exe" /spath="%USERPROFILE%\AppData\Local\Temp\OnboardLogs" /stypes="*4029*20160901*" /stext=" 00:.+((SYSTEM_STATE.+slice.+state.+changed )|(ment ac)|(system.+state.+changed )|(\|lc)|(penalty)|(\[timeout)|(PRM\|1\|D)|(kpr)|(kdp))" /e /r /s</v>
      </c>
      <c r="AG124" s="1" t="str">
        <f t="shared" si="65"/>
        <v>EC</v>
      </c>
      <c r="AH124" s="100" t="str">
        <f t="shared" si="49"/>
        <v>"%USERPROFILE%\Documents\GitHub\eaglep3\Utilities\RefineRTDCRunTimes.py" --tripid 213-31 --locoid 4029 --swversion DE.1.0.7.0 --startMP 204:460 --initTime 2016-08-31T17:40:05 --startdatetime 2016-08-31T17:45:13 --delay 2 --endMP 204:233310 --enddatetime 2016-08-31T18:20:48 --enforcementcount 0 &gt;&gt;C:\Users\stu\Documents\GitHub\eaglep3-reporting\EC\2016-08-31-refined-times.txt</v>
      </c>
      <c r="AI124" s="149" t="str">
        <f t="shared" si="50"/>
        <v>echo {"issue":{"subject":"","project_id":79,"tracker_id":40,"status_id":1,"priority_id":2,"assigned_to_id":23,"start_date":"2016-08-31","description":"","custom_fields":[{"id":1,"name":"Subdivision","value":"EC"},{"id":4,"name":"Milepost","value":"23.285"},{"id":17,"name":"Train ID","value":"213-31"},{"id":16,"name":"Locomotive ID","value":"4029"},{"id":130,"name":"Impact","value":""},{"id":150,"name":"Time of Event (Mountain Time)","value":"18:20:48"},{"id":151,"name":"Denver Issue ID","value":""},{"id":178,"name":"Operational Impact","value":"Yes"},{"id":179,"name":"Denver Segment Assigned","value":""}]}} | curl -X POST -H "Content-Type: application/json" -H "X-Redmine-API-Key: d6333d4a04012a730768444271f8ca06482dae87" https://secure.xorail.net/redmine/issues.json --data @-</v>
      </c>
      <c r="AJ124" s="55"/>
      <c r="AK124" s="55"/>
      <c r="AL124" s="55"/>
    </row>
    <row r="125" spans="1:38" s="23" customFormat="1" x14ac:dyDescent="0.25">
      <c r="A125" s="39" t="s">
        <v>537</v>
      </c>
      <c r="B125" s="7">
        <v>4030</v>
      </c>
      <c r="C125" s="24" t="s">
        <v>113</v>
      </c>
      <c r="D125" s="24" t="s">
        <v>429</v>
      </c>
      <c r="E125" s="15">
        <v>42613.772928240738</v>
      </c>
      <c r="F125" s="15">
        <v>42613.778645833336</v>
      </c>
      <c r="G125" s="7">
        <v>1</v>
      </c>
      <c r="H125" s="15" t="s">
        <v>345</v>
      </c>
      <c r="I125" s="15">
        <v>42613.806875000002</v>
      </c>
      <c r="J125" s="7">
        <v>0</v>
      </c>
      <c r="K125" s="132" t="str">
        <f t="shared" si="54"/>
        <v>4029/4030</v>
      </c>
      <c r="L125" s="24" t="str">
        <f>VLOOKUP(A125,'Trips&amp;Operators'!$C$1:$E$10000,3,FALSE)</f>
        <v>YANAI</v>
      </c>
      <c r="M125" s="6">
        <f t="shared" si="55"/>
        <v>2.8229166666278616E-2</v>
      </c>
      <c r="N125" s="7">
        <f t="shared" si="70"/>
        <v>40.649999999441206</v>
      </c>
      <c r="O125" s="7"/>
      <c r="P125" s="7"/>
      <c r="Q125" s="25"/>
      <c r="R125" s="25"/>
      <c r="S125" s="37">
        <f t="shared" si="57"/>
        <v>1</v>
      </c>
      <c r="T125" s="52" t="str">
        <f t="shared" si="58"/>
        <v>Southbound</v>
      </c>
      <c r="U125" s="126">
        <f>IF(AG125="EC",COUNTIFS(Variables!$M$2:$M$19,IF(T125="NorthBound","&gt;=","&lt;=")&amp;Y125,Variables!$M$2:$M$19,IF(T125="NorthBound","&lt;=","&gt;=")&amp;Z125),COUNTIFS(Variables!$P$2:$P$19,IF(T125="NorthBound","&gt;=","&lt;=")&amp;Y125,Variables!$P$2:$P$19,IF(T125="NorthBound","&lt;=","&gt;=")&amp;Z125))</f>
        <v>12</v>
      </c>
      <c r="V125" s="106" t="str">
        <f t="shared" si="59"/>
        <v>https://search-rtdc-monitor-bjffxe2xuh6vdkpspy63sjmuny.us-east-1.es.amazonaws.com/_plugin/kibana/#/discover/Steve-Slow-Train-Analysis-(2080s-and-2083s)?_g=(refreshInterval:(display:Off,section:0,value:0),time:(from:'2016-08-31 17:33:01-0600',mode:absolute,to:'2016-08-31 20:21:54-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4030%22')),sort:!(Time,asc))</v>
      </c>
      <c r="W125" s="54" t="str">
        <f t="shared" si="60"/>
        <v>N</v>
      </c>
      <c r="X125" s="120">
        <f t="shared" si="67"/>
        <v>1</v>
      </c>
      <c r="Y125" s="69">
        <f t="shared" si="61"/>
        <v>23.3004</v>
      </c>
      <c r="Z125" s="69">
        <f t="shared" si="62"/>
        <v>1.72E-2</v>
      </c>
      <c r="AA125" s="69">
        <f t="shared" si="63"/>
        <v>23.283200000000001</v>
      </c>
      <c r="AB125" s="66" t="e">
        <f>VLOOKUP(A125,Enforcements!$C$7:$J$21,8,0)</f>
        <v>#N/A</v>
      </c>
      <c r="AC125" s="62" t="e">
        <f>VLOOKUP(A125,Enforcements!$C$7:$E$21,3,0)</f>
        <v>#N/A</v>
      </c>
      <c r="AD125" s="63" t="str">
        <f t="shared" si="64"/>
        <v>0214-31</v>
      </c>
      <c r="AE125" s="99" t="str">
        <f t="shared" si="46"/>
        <v>aws s3 cp s3://rtdc.mdm.uploadarchive/RTDC4030/2016-08-31/ "%USERPROFILE%\AppData\Local\Temp\OnboardLogs"\RTDC4030\2016-08-31 --recursive &amp; "%USERPROFILE%\Documents\GitHub\mrs-test-scripts\Headless Mode &amp; Sideloading\WalkAndUnGZ.bat" "%USERPROFILE%\AppData\Local\Temp\OnboardLogs"\RTDC4030\2016-08-31 &amp; aws s3 cp s3://rtdc.mdm.uploadarchive/RTDC4030/2016-09-01/ "%USERPROFILE%\AppData\Local\Temp\OnboardLogs"\RTDC4030\2016-09-01 --recursive &amp; "%USERPROFILE%\Documents\GitHub\mrs-test-scripts\Headless Mode &amp; Sideloading\WalkAndUnGZ.bat" "%USERPROFILE%\AppData\Local\Temp\OnboardLogs"\RTDC4030\2016-09-01</v>
      </c>
      <c r="AF125" s="96" t="str">
        <f t="shared" si="47"/>
        <v>"C:\Program Files (x86)\AstroGrep\AstroGrep.exe" /spath="%USERPROFILE%\AppData\Local\Temp\OnboardLogs" /stypes="*4030*20160901*" /stext=" 01:.+((SYSTEM_STATE.+slice.+state.+changed )|(ment ac)|(system.+state.+changed )|(\|lc)|(penalty)|(\[timeout)|(PRM\|1\|D)|(kpr)|(kdp))" /e /r /s</v>
      </c>
      <c r="AG125" s="1" t="str">
        <f t="shared" si="65"/>
        <v>EC</v>
      </c>
      <c r="AH125" s="100" t="str">
        <f t="shared" si="49"/>
        <v>"%USERPROFILE%\Documents\GitHub\eaglep3\Utilities\RefineRTDCRunTimes.py" --tripid 214-31 --locoid 4030 --swversion DE.1.0.7.0 --startMP 204:233004 --initTime 2016-08-31T18:33:01 --startdatetime 2016-08-31T18:41:15 --delay 1 --endMP 204:172 --enddatetime 2016-08-31T19:21:54 --enforcementcount 0 &gt;&gt;C:\Users\stu\Documents\GitHub\eaglep3-reporting\EC\2016-08-31-refined-times.txt</v>
      </c>
      <c r="AI125" s="149" t="str">
        <f t="shared" si="50"/>
        <v>echo {"issue":{"subject":"","project_id":79,"tracker_id":40,"status_id":1,"priority_id":2,"assigned_to_id":23,"start_date":"2016-08-31","description":"","custom_fields":[{"id":1,"name":"Subdivision","value":"EC"},{"id":4,"name":"Milepost","value":"23.2832"},{"id":17,"name":"Train ID","value":"214-31"},{"id":16,"name":"Locomotive ID","value":"4030"},{"id":130,"name":"Impact","value":""},{"id":150,"name":"Time of Event (Mountain Time)","value":"19:21:54"},{"id":151,"name":"Denver Issue ID","value":""},{"id":178,"name":"Operational Impact","value":"Yes"},{"id":179,"name":"Denver Segment Assigned","value":""}]}} | curl -X POST -H "Content-Type: application/json" -H "X-Redmine-API-Key: d6333d4a04012a730768444271f8ca06482dae87" https://secure.xorail.net/redmine/issues.json --data @-</v>
      </c>
      <c r="AJ125" s="55"/>
      <c r="AK125" s="55"/>
      <c r="AL125" s="55"/>
    </row>
    <row r="126" spans="1:38" s="23" customFormat="1" x14ac:dyDescent="0.25">
      <c r="A126" s="39" t="s">
        <v>538</v>
      </c>
      <c r="B126" s="7">
        <v>4009</v>
      </c>
      <c r="C126" s="24" t="s">
        <v>113</v>
      </c>
      <c r="D126" s="24" t="s">
        <v>539</v>
      </c>
      <c r="E126" s="15">
        <v>42613.746574074074</v>
      </c>
      <c r="F126" s="15">
        <v>42613.750300925924</v>
      </c>
      <c r="G126" s="7">
        <v>1</v>
      </c>
      <c r="H126" s="15" t="s">
        <v>226</v>
      </c>
      <c r="I126" s="15">
        <v>42613.776365740741</v>
      </c>
      <c r="J126" s="7">
        <v>0</v>
      </c>
      <c r="K126" s="132" t="str">
        <f t="shared" si="54"/>
        <v>4009/4010</v>
      </c>
      <c r="L126" s="24" t="str">
        <f>VLOOKUP(A126,'Trips&amp;Operators'!$C$1:$E$10000,3,FALSE)</f>
        <v>DE LA ROSA</v>
      </c>
      <c r="M126" s="6">
        <f t="shared" si="55"/>
        <v>2.6064814817800652E-2</v>
      </c>
      <c r="N126" s="7">
        <f t="shared" si="70"/>
        <v>37.533333337632939</v>
      </c>
      <c r="O126" s="7"/>
      <c r="P126" s="7"/>
      <c r="Q126" s="25"/>
      <c r="R126" s="25"/>
      <c r="S126" s="37">
        <f t="shared" si="57"/>
        <v>1</v>
      </c>
      <c r="T126" s="52" t="str">
        <f t="shared" si="58"/>
        <v>NorthBound</v>
      </c>
      <c r="U126" s="126">
        <f>IF(AG126="EC",COUNTIFS(Variables!$M$2:$M$19,IF(T126="NorthBound","&gt;=","&lt;=")&amp;Y126,Variables!$M$2:$M$19,IF(T126="NorthBound","&lt;=","&gt;=")&amp;Z126),COUNTIFS(Variables!$P$2:$P$19,IF(T126="NorthBound","&gt;=","&lt;=")&amp;Y126,Variables!$P$2:$P$19,IF(T126="NorthBound","&lt;=","&gt;=")&amp;Z126))</f>
        <v>12</v>
      </c>
      <c r="V126" s="106" t="str">
        <f t="shared" si="59"/>
        <v>https://search-rtdc-monitor-bjffxe2xuh6vdkpspy63sjmuny.us-east-1.es.amazonaws.com/_plugin/kibana/#/discover/Steve-Slow-Train-Analysis-(2080s-and-2083s)?_g=(refreshInterval:(display:Off,section:0,value:0),time:(from:'2016-08-31 16:55:04-0600',mode:absolute,to:'2016-08-31 19:37:58-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4009%22')),sort:!(Time,asc))</v>
      </c>
      <c r="W126" s="54" t="str">
        <f t="shared" si="60"/>
        <v>N</v>
      </c>
      <c r="X126" s="120">
        <f t="shared" si="67"/>
        <v>1</v>
      </c>
      <c r="Y126" s="69">
        <f t="shared" si="61"/>
        <v>4.8800000000000003E-2</v>
      </c>
      <c r="Z126" s="69">
        <f t="shared" si="62"/>
        <v>23.328199999999999</v>
      </c>
      <c r="AA126" s="69">
        <f t="shared" si="63"/>
        <v>23.279399999999999</v>
      </c>
      <c r="AB126" s="66" t="e">
        <f>VLOOKUP(A126,Enforcements!$C$7:$J$21,8,0)</f>
        <v>#N/A</v>
      </c>
      <c r="AC126" s="62" t="e">
        <f>VLOOKUP(A126,Enforcements!$C$7:$E$21,3,0)</f>
        <v>#N/A</v>
      </c>
      <c r="AD126" s="63" t="str">
        <f t="shared" si="64"/>
        <v>0215-31</v>
      </c>
      <c r="AE126" s="99" t="str">
        <f t="shared" si="46"/>
        <v>aws s3 cp s3://rtdc.mdm.uploadarchive/RTDC4009/2016-08-31/ "%USERPROFILE%\AppData\Local\Temp\OnboardLogs"\RTDC4009\2016-08-31 --recursive &amp; "%USERPROFILE%\Documents\GitHub\mrs-test-scripts\Headless Mode &amp; Sideloading\WalkAndUnGZ.bat" "%USERPROFILE%\AppData\Local\Temp\OnboardLogs"\RTDC4009\2016-08-31 &amp; aws s3 cp s3://rtdc.mdm.uploadarchive/RTDC4009/2016-09-01/ "%USERPROFILE%\AppData\Local\Temp\OnboardLogs"\RTDC4009\2016-09-01 --recursive &amp; "%USERPROFILE%\Documents\GitHub\mrs-test-scripts\Headless Mode &amp; Sideloading\WalkAndUnGZ.bat" "%USERPROFILE%\AppData\Local\Temp\OnboardLogs"\RTDC4009\2016-09-01</v>
      </c>
      <c r="AF126" s="96" t="str">
        <f t="shared" si="47"/>
        <v>"C:\Program Files (x86)\AstroGrep\AstroGrep.exe" /spath="%USERPROFILE%\AppData\Local\Temp\OnboardLogs" /stypes="*4009*20160901*" /stext=" 00:.+((SYSTEM_STATE.+slice.+state.+changed )|(ment ac)|(system.+state.+changed )|(\|lc)|(penalty)|(\[timeout)|(PRM\|1\|D)|(kpr)|(kdp))" /e /r /s</v>
      </c>
      <c r="AG126" s="1" t="str">
        <f t="shared" si="65"/>
        <v>EC</v>
      </c>
      <c r="AH126" s="100" t="str">
        <f t="shared" si="49"/>
        <v>"%USERPROFILE%\Documents\GitHub\eaglep3\Utilities\RefineRTDCRunTimes.py" --tripid 215-31 --locoid 4009 --swversion DE.1.0.7.0 --startMP 204:488 --initTime 2016-08-31T17:55:04 --startdatetime 2016-08-31T18:00:26 --delay 1 --endMP 204:233282 --enddatetime 2016-08-31T18:37:58 --enforcementcount 0 &gt;&gt;C:\Users\stu\Documents\GitHub\eaglep3-reporting\EC\2016-08-31-refined-times.txt</v>
      </c>
      <c r="AI126" s="149" t="str">
        <f t="shared" si="50"/>
        <v>echo {"issue":{"subject":"","project_id":79,"tracker_id":40,"status_id":1,"priority_id":2,"assigned_to_id":23,"start_date":"2016-08-31","description":"","custom_fields":[{"id":1,"name":"Subdivision","value":"EC"},{"id":4,"name":"Milepost","value":"23.2794"},{"id":17,"name":"Train ID","value":"215-31"},{"id":16,"name":"Locomotive ID","value":"4009"},{"id":130,"name":"Impact","value":""},{"id":150,"name":"Time of Event (Mountain Time)","value":"18:37:58"},{"id":151,"name":"Denver Issue ID","value":""},{"id":178,"name":"Operational Impact","value":"Yes"},{"id":179,"name":"Denver Segment Assigned","value":""}]}} | curl -X POST -H "Content-Type: application/json" -H "X-Redmine-API-Key: d6333d4a04012a730768444271f8ca06482dae87" https://secure.xorail.net/redmine/issues.json --data @-</v>
      </c>
      <c r="AJ126" s="55"/>
      <c r="AK126" s="55"/>
      <c r="AL126" s="55"/>
    </row>
    <row r="127" spans="1:38" s="23" customFormat="1" x14ac:dyDescent="0.25">
      <c r="A127" s="39" t="s">
        <v>540</v>
      </c>
      <c r="B127" s="7">
        <v>4010</v>
      </c>
      <c r="C127" s="24" t="s">
        <v>113</v>
      </c>
      <c r="D127" s="24" t="s">
        <v>298</v>
      </c>
      <c r="E127" s="15">
        <v>42613.785034722219</v>
      </c>
      <c r="F127" s="15">
        <v>42613.786203703705</v>
      </c>
      <c r="G127" s="7">
        <v>1</v>
      </c>
      <c r="H127" s="15" t="s">
        <v>541</v>
      </c>
      <c r="I127" s="15">
        <v>42613.818298611113</v>
      </c>
      <c r="J127" s="7">
        <v>0</v>
      </c>
      <c r="K127" s="132" t="str">
        <f t="shared" si="54"/>
        <v>4009/4010</v>
      </c>
      <c r="L127" s="24" t="str">
        <f>VLOOKUP(A127,'Trips&amp;Operators'!$C$1:$E$10000,3,FALSE)</f>
        <v>DE LA ROSA</v>
      </c>
      <c r="M127" s="6">
        <f t="shared" si="55"/>
        <v>3.2094907408463769E-2</v>
      </c>
      <c r="N127" s="7">
        <f t="shared" si="70"/>
        <v>46.216666668187827</v>
      </c>
      <c r="O127" s="7"/>
      <c r="P127" s="7"/>
      <c r="Q127" s="25"/>
      <c r="R127" s="25"/>
      <c r="S127" s="37">
        <f t="shared" si="57"/>
        <v>1</v>
      </c>
      <c r="T127" s="52" t="str">
        <f t="shared" si="58"/>
        <v>Southbound</v>
      </c>
      <c r="U127" s="126">
        <f>IF(AG127="EC",COUNTIFS(Variables!$M$2:$M$19,IF(T127="NorthBound","&gt;=","&lt;=")&amp;Y127,Variables!$M$2:$M$19,IF(T127="NorthBound","&lt;=","&gt;=")&amp;Z127),COUNTIFS(Variables!$P$2:$P$19,IF(T127="NorthBound","&gt;=","&lt;=")&amp;Y127,Variables!$P$2:$P$19,IF(T127="NorthBound","&lt;=","&gt;=")&amp;Z127))</f>
        <v>12</v>
      </c>
      <c r="V127" s="106" t="str">
        <f t="shared" si="59"/>
        <v>https://search-rtdc-monitor-bjffxe2xuh6vdkpspy63sjmuny.us-east-1.es.amazonaws.com/_plugin/kibana/#/discover/Steve-Slow-Train-Analysis-(2080s-and-2083s)?_g=(refreshInterval:(display:Off,section:0,value:0),time:(from:'2016-08-31 17:50:27-0600',mode:absolute,to:'2016-08-31 20:38:21-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4010%22')),sort:!(Time,asc))</v>
      </c>
      <c r="W127" s="54" t="str">
        <f t="shared" si="60"/>
        <v>N</v>
      </c>
      <c r="X127" s="120">
        <f t="shared" ref="X127:X143" si="71">VALUE(LEFT(AD127,4))-VALUE(LEFT(AD126,4))</f>
        <v>1</v>
      </c>
      <c r="Y127" s="69">
        <f t="shared" si="61"/>
        <v>23.298200000000001</v>
      </c>
      <c r="Z127" s="69">
        <f t="shared" si="62"/>
        <v>1.78E-2</v>
      </c>
      <c r="AA127" s="69">
        <f t="shared" si="63"/>
        <v>23.2804</v>
      </c>
      <c r="AB127" s="66" t="e">
        <f>VLOOKUP(A127,Enforcements!$C$7:$J$21,8,0)</f>
        <v>#N/A</v>
      </c>
      <c r="AC127" s="62" t="e">
        <f>VLOOKUP(A127,Enforcements!$C$7:$E$21,3,0)</f>
        <v>#N/A</v>
      </c>
      <c r="AD127" s="63" t="str">
        <f t="shared" si="64"/>
        <v>0216-31</v>
      </c>
      <c r="AE127" s="99" t="str">
        <f t="shared" si="46"/>
        <v>aws s3 cp s3://rtdc.mdm.uploadarchive/RTDC4010/2016-08-31/ "%USERPROFILE%\AppData\Local\Temp\OnboardLogs"\RTDC4010\2016-08-31 --recursive &amp; "%USERPROFILE%\Documents\GitHub\mrs-test-scripts\Headless Mode &amp; Sideloading\WalkAndUnGZ.bat" "%USERPROFILE%\AppData\Local\Temp\OnboardLogs"\RTDC4010\2016-08-31 &amp; aws s3 cp s3://rtdc.mdm.uploadarchive/RTDC4010/2016-09-01/ "%USERPROFILE%\AppData\Local\Temp\OnboardLogs"\RTDC4010\2016-09-01 --recursive &amp; "%USERPROFILE%\Documents\GitHub\mrs-test-scripts\Headless Mode &amp; Sideloading\WalkAndUnGZ.bat" "%USERPROFILE%\AppData\Local\Temp\OnboardLogs"\RTDC4010\2016-09-01</v>
      </c>
      <c r="AF127" s="96" t="str">
        <f t="shared" si="47"/>
        <v>"C:\Program Files (x86)\AstroGrep\AstroGrep.exe" /spath="%USERPROFILE%\AppData\Local\Temp\OnboardLogs" /stypes="*4010*20160901*" /stext=" 01:.+((SYSTEM_STATE.+slice.+state.+changed )|(ment ac)|(system.+state.+changed )|(\|lc)|(penalty)|(\[timeout)|(PRM\|1\|D)|(kpr)|(kdp))" /e /r /s</v>
      </c>
      <c r="AG127" s="1" t="str">
        <f t="shared" si="65"/>
        <v>EC</v>
      </c>
      <c r="AH127" s="100" t="str">
        <f t="shared" si="49"/>
        <v>"%USERPROFILE%\Documents\GitHub\eaglep3\Utilities\RefineRTDCRunTimes.py" --tripid 216-31 --locoid 4010 --swversion DE.1.0.7.0 --startMP 204:232982 --initTime 2016-08-31T18:50:27 --startdatetime 2016-08-31T18:52:08 --delay 1 --endMP 204:178 --enddatetime 2016-08-31T19:38:21 --enforcementcount 0 &gt;&gt;C:\Users\stu\Documents\GitHub\eaglep3-reporting\EC\2016-08-31-refined-times.txt</v>
      </c>
      <c r="AI127" s="149" t="str">
        <f t="shared" si="50"/>
        <v>echo {"issue":{"subject":"","project_id":79,"tracker_id":40,"status_id":1,"priority_id":2,"assigned_to_id":23,"start_date":"2016-08-31","description":"","custom_fields":[{"id":1,"name":"Subdivision","value":"EC"},{"id":4,"name":"Milepost","value":"23.2804"},{"id":17,"name":"Train ID","value":"216-31"},{"id":16,"name":"Locomotive ID","value":"4010"},{"id":130,"name":"Impact","value":""},{"id":150,"name":"Time of Event (Mountain Time)","value":"19:38:21"},{"id":151,"name":"Denver Issue ID","value":""},{"id":178,"name":"Operational Impact","value":"Yes"},{"id":179,"name":"Denver Segment Assigned","value":""}]}} | curl -X POST -H "Content-Type: application/json" -H "X-Redmine-API-Key: d6333d4a04012a730768444271f8ca06482dae87" https://secure.xorail.net/redmine/issues.json --data @-</v>
      </c>
      <c r="AJ127" s="55"/>
      <c r="AK127" s="55"/>
      <c r="AL127" s="55"/>
    </row>
    <row r="128" spans="1:38" s="23" customFormat="1" x14ac:dyDescent="0.25">
      <c r="A128" s="39" t="s">
        <v>542</v>
      </c>
      <c r="B128" s="7">
        <v>4002</v>
      </c>
      <c r="C128" s="24" t="s">
        <v>113</v>
      </c>
      <c r="D128" s="24" t="s">
        <v>125</v>
      </c>
      <c r="E128" s="15">
        <v>42613.757604166669</v>
      </c>
      <c r="F128" s="15">
        <v>42613.761759259258</v>
      </c>
      <c r="G128" s="7">
        <v>1</v>
      </c>
      <c r="H128" s="15" t="s">
        <v>326</v>
      </c>
      <c r="I128" s="15">
        <v>42613.786979166667</v>
      </c>
      <c r="J128" s="7">
        <v>0</v>
      </c>
      <c r="K128" s="132" t="str">
        <f t="shared" si="54"/>
        <v>4001/4002</v>
      </c>
      <c r="L128" s="24" t="str">
        <f>VLOOKUP(A128,'Trips&amp;Operators'!$C$1:$E$10000,3,FALSE)</f>
        <v>STAMBAUGH</v>
      </c>
      <c r="M128" s="6">
        <f t="shared" si="55"/>
        <v>2.5219907409336884E-2</v>
      </c>
      <c r="N128" s="7">
        <f t="shared" si="70"/>
        <v>36.316666669445112</v>
      </c>
      <c r="O128" s="7"/>
      <c r="P128" s="7"/>
      <c r="Q128" s="25"/>
      <c r="R128" s="25"/>
      <c r="S128" s="37">
        <f t="shared" si="57"/>
        <v>1</v>
      </c>
      <c r="T128" s="52" t="str">
        <f t="shared" si="58"/>
        <v>NorthBound</v>
      </c>
      <c r="U128" s="126">
        <f>IF(AG128="EC",COUNTIFS(Variables!$M$2:$M$19,IF(T128="NorthBound","&gt;=","&lt;=")&amp;Y128,Variables!$M$2:$M$19,IF(T128="NorthBound","&lt;=","&gt;=")&amp;Z128),COUNTIFS(Variables!$P$2:$P$19,IF(T128="NorthBound","&gt;=","&lt;=")&amp;Y128,Variables!$P$2:$P$19,IF(T128="NorthBound","&lt;=","&gt;=")&amp;Z128))</f>
        <v>12</v>
      </c>
      <c r="V128" s="106" t="str">
        <f t="shared" si="59"/>
        <v>https://search-rtdc-monitor-bjffxe2xuh6vdkpspy63sjmuny.us-east-1.es.amazonaws.com/_plugin/kibana/#/discover/Steve-Slow-Train-Analysis-(2080s-and-2083s)?_g=(refreshInterval:(display:Off,section:0,value:0),time:(from:'2016-08-31 17:10:57-0600',mode:absolute,to:'2016-08-31 19:53:15-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4002%22')),sort:!(Time,asc))</v>
      </c>
      <c r="W128" s="54" t="str">
        <f t="shared" si="60"/>
        <v>N</v>
      </c>
      <c r="X128" s="120">
        <f t="shared" si="71"/>
        <v>1</v>
      </c>
      <c r="Y128" s="69">
        <f t="shared" si="61"/>
        <v>4.5499999999999999E-2</v>
      </c>
      <c r="Z128" s="69">
        <f t="shared" si="62"/>
        <v>23.333100000000002</v>
      </c>
      <c r="AA128" s="69">
        <f t="shared" si="63"/>
        <v>23.287600000000001</v>
      </c>
      <c r="AB128" s="66" t="e">
        <f>VLOOKUP(A128,Enforcements!$C$7:$J$21,8,0)</f>
        <v>#N/A</v>
      </c>
      <c r="AC128" s="62" t="e">
        <f>VLOOKUP(A128,Enforcements!$C$7:$E$21,3,0)</f>
        <v>#N/A</v>
      </c>
      <c r="AD128" s="63" t="str">
        <f t="shared" si="64"/>
        <v>0217-31</v>
      </c>
      <c r="AE128" s="99" t="str">
        <f t="shared" si="46"/>
        <v>aws s3 cp s3://rtdc.mdm.uploadarchive/RTDC4002/2016-08-31/ "%USERPROFILE%\AppData\Local\Temp\OnboardLogs"\RTDC4002\2016-08-31 --recursive &amp; "%USERPROFILE%\Documents\GitHub\mrs-test-scripts\Headless Mode &amp; Sideloading\WalkAndUnGZ.bat" "%USERPROFILE%\AppData\Local\Temp\OnboardLogs"\RTDC4002\2016-08-31 &amp; aws s3 cp s3://rtdc.mdm.uploadarchive/RTDC4002/2016-09-01/ "%USERPROFILE%\AppData\Local\Temp\OnboardLogs"\RTDC4002\2016-09-01 --recursive &amp; "%USERPROFILE%\Documents\GitHub\mrs-test-scripts\Headless Mode &amp; Sideloading\WalkAndUnGZ.bat" "%USERPROFILE%\AppData\Local\Temp\OnboardLogs"\RTDC4002\2016-09-01</v>
      </c>
      <c r="AF128" s="96" t="str">
        <f t="shared" si="47"/>
        <v>"C:\Program Files (x86)\AstroGrep\AstroGrep.exe" /spath="%USERPROFILE%\AppData\Local\Temp\OnboardLogs" /stypes="*4002*20160901*" /stext=" 00:.+((SYSTEM_STATE.+slice.+state.+changed )|(ment ac)|(system.+state.+changed )|(\|lc)|(penalty)|(\[timeout)|(PRM\|1\|D)|(kpr)|(kdp))" /e /r /s</v>
      </c>
      <c r="AG128" s="1" t="str">
        <f t="shared" si="65"/>
        <v>EC</v>
      </c>
      <c r="AH128" s="100" t="str">
        <f t="shared" si="49"/>
        <v>"%USERPROFILE%\Documents\GitHub\eaglep3\Utilities\RefineRTDCRunTimes.py" --tripid 217-31 --locoid 4002 --swversion DE.1.0.7.0 --startMP 204:455 --initTime 2016-08-31T18:10:57 --startdatetime 2016-08-31T18:16:56 --delay 1 --endMP 204:233331 --enddatetime 2016-08-31T18:53:15 --enforcementcount 0 &gt;&gt;C:\Users\stu\Documents\GitHub\eaglep3-reporting\EC\2016-08-31-refined-times.txt</v>
      </c>
      <c r="AI128" s="149" t="str">
        <f t="shared" si="50"/>
        <v>echo {"issue":{"subject":"","project_id":79,"tracker_id":40,"status_id":1,"priority_id":2,"assigned_to_id":23,"start_date":"2016-08-31","description":"","custom_fields":[{"id":1,"name":"Subdivision","value":"EC"},{"id":4,"name":"Milepost","value":"23.2876"},{"id":17,"name":"Train ID","value":"217-31"},{"id":16,"name":"Locomotive ID","value":"4002"},{"id":130,"name":"Impact","value":""},{"id":150,"name":"Time of Event (Mountain Time)","value":"18:53:15"},{"id":151,"name":"Denver Issue ID","value":""},{"id":178,"name":"Operational Impact","value":"Yes"},{"id":179,"name":"Denver Segment Assigned","value":""}]}} | curl -X POST -H "Content-Type: application/json" -H "X-Redmine-API-Key: d6333d4a04012a730768444271f8ca06482dae87" https://secure.xorail.net/redmine/issues.json --data @-</v>
      </c>
      <c r="AJ128" s="55"/>
      <c r="AK128" s="55"/>
      <c r="AL128" s="55"/>
    </row>
    <row r="129" spans="1:38" s="23" customFormat="1" x14ac:dyDescent="0.25">
      <c r="A129" s="39" t="s">
        <v>543</v>
      </c>
      <c r="B129" s="7">
        <v>4001</v>
      </c>
      <c r="C129" s="24" t="s">
        <v>113</v>
      </c>
      <c r="D129" s="24" t="s">
        <v>544</v>
      </c>
      <c r="E129" s="15">
        <v>42613.795636574076</v>
      </c>
      <c r="F129" s="15">
        <v>42613.800254629627</v>
      </c>
      <c r="G129" s="7">
        <v>1</v>
      </c>
      <c r="H129" s="15" t="s">
        <v>174</v>
      </c>
      <c r="I129" s="15">
        <v>42613.825810185182</v>
      </c>
      <c r="J129" s="7">
        <v>0</v>
      </c>
      <c r="K129" s="132" t="str">
        <f t="shared" si="54"/>
        <v>4001/4002</v>
      </c>
      <c r="L129" s="24" t="str">
        <f>VLOOKUP(A129,'Trips&amp;Operators'!$C$1:$E$10000,3,FALSE)</f>
        <v>STAMBAUGH</v>
      </c>
      <c r="M129" s="6">
        <f t="shared" si="55"/>
        <v>2.5555555555911269E-2</v>
      </c>
      <c r="N129" s="7">
        <f t="shared" si="70"/>
        <v>36.800000000512227</v>
      </c>
      <c r="O129" s="7"/>
      <c r="P129" s="7"/>
      <c r="Q129" s="25"/>
      <c r="R129" s="25"/>
      <c r="S129" s="37">
        <f t="shared" si="57"/>
        <v>1</v>
      </c>
      <c r="T129" s="52" t="str">
        <f t="shared" si="58"/>
        <v>Southbound</v>
      </c>
      <c r="U129" s="126">
        <f>IF(AG129="EC",COUNTIFS(Variables!$M$2:$M$19,IF(T129="NorthBound","&gt;=","&lt;=")&amp;Y129,Variables!$M$2:$M$19,IF(T129="NorthBound","&lt;=","&gt;=")&amp;Z129),COUNTIFS(Variables!$P$2:$P$19,IF(T129="NorthBound","&gt;=","&lt;=")&amp;Y129,Variables!$P$2:$P$19,IF(T129="NorthBound","&lt;=","&gt;=")&amp;Z129))</f>
        <v>12</v>
      </c>
      <c r="V129" s="106" t="str">
        <f t="shared" si="59"/>
        <v>https://search-rtdc-monitor-bjffxe2xuh6vdkpspy63sjmuny.us-east-1.es.amazonaws.com/_plugin/kibana/#/discover/Steve-Slow-Train-Analysis-(2080s-and-2083s)?_g=(refreshInterval:(display:Off,section:0,value:0),time:(from:'2016-08-31 18:05:43-0600',mode:absolute,to:'2016-08-31 20:49:10-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4001%22')),sort:!(Time,asc))</v>
      </c>
      <c r="W129" s="54" t="str">
        <f t="shared" si="60"/>
        <v>N</v>
      </c>
      <c r="X129" s="120">
        <f t="shared" si="71"/>
        <v>1</v>
      </c>
      <c r="Y129" s="69">
        <f t="shared" si="61"/>
        <v>23.3019</v>
      </c>
      <c r="Z129" s="69">
        <f t="shared" si="62"/>
        <v>1.4500000000000001E-2</v>
      </c>
      <c r="AA129" s="69">
        <f t="shared" si="63"/>
        <v>23.287399999999998</v>
      </c>
      <c r="AB129" s="66" t="e">
        <f>VLOOKUP(A129,Enforcements!$C$7:$J$21,8,0)</f>
        <v>#N/A</v>
      </c>
      <c r="AC129" s="62" t="e">
        <f>VLOOKUP(A129,Enforcements!$C$7:$E$21,3,0)</f>
        <v>#N/A</v>
      </c>
      <c r="AD129" s="63" t="str">
        <f t="shared" si="64"/>
        <v>0218-31</v>
      </c>
      <c r="AE129" s="99" t="str">
        <f t="shared" si="46"/>
        <v>aws s3 cp s3://rtdc.mdm.uploadarchive/RTDC4001/2016-08-31/ "%USERPROFILE%\AppData\Local\Temp\OnboardLogs"\RTDC4001\2016-08-31 --recursive &amp; "%USERPROFILE%\Documents\GitHub\mrs-test-scripts\Headless Mode &amp; Sideloading\WalkAndUnGZ.bat" "%USERPROFILE%\AppData\Local\Temp\OnboardLogs"\RTDC4001\2016-08-31 &amp; aws s3 cp s3://rtdc.mdm.uploadarchive/RTDC4001/2016-09-01/ "%USERPROFILE%\AppData\Local\Temp\OnboardLogs"\RTDC4001\2016-09-01 --recursive &amp; "%USERPROFILE%\Documents\GitHub\mrs-test-scripts\Headless Mode &amp; Sideloading\WalkAndUnGZ.bat" "%USERPROFILE%\AppData\Local\Temp\OnboardLogs"\RTDC4001\2016-09-01</v>
      </c>
      <c r="AF129" s="96" t="str">
        <f t="shared" si="47"/>
        <v>"C:\Program Files (x86)\AstroGrep\AstroGrep.exe" /spath="%USERPROFILE%\AppData\Local\Temp\OnboardLogs" /stypes="*4001*20160901*" /stext=" 01:.+((SYSTEM_STATE.+slice.+state.+changed )|(ment ac)|(system.+state.+changed )|(\|lc)|(penalty)|(\[timeout)|(PRM\|1\|D)|(kpr)|(kdp))" /e /r /s</v>
      </c>
      <c r="AG129" s="1" t="str">
        <f t="shared" si="65"/>
        <v>EC</v>
      </c>
      <c r="AH129" s="100" t="str">
        <f t="shared" si="49"/>
        <v>"%USERPROFILE%\Documents\GitHub\eaglep3\Utilities\RefineRTDCRunTimes.py" --tripid 218-31 --locoid 4001 --swversion DE.1.0.7.0 --startMP 204:233019 --initTime 2016-08-31T19:05:43 --startdatetime 2016-08-31T19:12:22 --delay 1 --endMP 204:145 --enddatetime 2016-08-31T19:49:10 --enforcementcount 0 &gt;&gt;C:\Users\stu\Documents\GitHub\eaglep3-reporting\EC\2016-08-31-refined-times.txt</v>
      </c>
      <c r="AI129" s="149" t="str">
        <f t="shared" si="50"/>
        <v>echo {"issue":{"subject":"","project_id":79,"tracker_id":40,"status_id":1,"priority_id":2,"assigned_to_id":23,"start_date":"2016-08-31","description":"","custom_fields":[{"id":1,"name":"Subdivision","value":"EC"},{"id":4,"name":"Milepost","value":"23.2874"},{"id":17,"name":"Train ID","value":"218-31"},{"id":16,"name":"Locomotive ID","value":"4001"},{"id":130,"name":"Impact","value":""},{"id":150,"name":"Time of Event (Mountain Time)","value":"19:49:10"},{"id":151,"name":"Denver Issue ID","value":""},{"id":178,"name":"Operational Impact","value":"Yes"},{"id":179,"name":"Denver Segment Assigned","value":""}]}} | curl -X POST -H "Content-Type: application/json" -H "X-Redmine-API-Key: d6333d4a04012a730768444271f8ca06482dae87" https://secure.xorail.net/redmine/issues.json --data @-</v>
      </c>
      <c r="AJ129" s="55"/>
      <c r="AK129" s="55"/>
      <c r="AL129" s="55"/>
    </row>
    <row r="130" spans="1:38" x14ac:dyDescent="0.25">
      <c r="A130" s="39" t="s">
        <v>545</v>
      </c>
      <c r="B130" s="7">
        <v>4016</v>
      </c>
      <c r="C130" s="24" t="s">
        <v>113</v>
      </c>
      <c r="D130" s="24" t="s">
        <v>546</v>
      </c>
      <c r="E130" s="15">
        <v>42613.776747685188</v>
      </c>
      <c r="F130" s="15">
        <v>42613.778298611112</v>
      </c>
      <c r="G130" s="7">
        <v>1</v>
      </c>
      <c r="H130" s="15" t="s">
        <v>408</v>
      </c>
      <c r="I130" s="15">
        <v>42613.802245370367</v>
      </c>
      <c r="J130" s="7">
        <v>0</v>
      </c>
      <c r="K130" s="132" t="str">
        <f t="shared" si="54"/>
        <v>4015/4016</v>
      </c>
      <c r="L130" s="24" t="str">
        <f>VLOOKUP(A130,'Trips&amp;Operators'!$C$1:$E$10000,3,FALSE)</f>
        <v>COOLAHAN</v>
      </c>
      <c r="M130" s="6">
        <f t="shared" si="55"/>
        <v>2.3946759254613426E-2</v>
      </c>
      <c r="N130" s="7"/>
      <c r="O130" s="7"/>
      <c r="P130" s="7">
        <f>24*60*SUM($M130:$M130)</f>
        <v>34.483333326643333</v>
      </c>
      <c r="Q130" s="25"/>
      <c r="R130" s="25" t="s">
        <v>736</v>
      </c>
      <c r="S130" s="37">
        <f t="shared" si="57"/>
        <v>1</v>
      </c>
      <c r="T130" s="52" t="str">
        <f t="shared" si="58"/>
        <v>NorthBound</v>
      </c>
      <c r="U130" s="126">
        <f>IF(AG130="EC",COUNTIFS(Variables!$M$2:$M$19,IF(T130="NorthBound","&gt;=","&lt;=")&amp;Y130,Variables!$M$2:$M$19,IF(T130="NorthBound","&lt;=","&gt;=")&amp;Z130),COUNTIFS(Variables!$P$2:$P$19,IF(T130="NorthBound","&gt;=","&lt;=")&amp;Y130,Variables!$P$2:$P$19,IF(T130="NorthBound","&lt;=","&gt;=")&amp;Z130))</f>
        <v>12</v>
      </c>
      <c r="V130" s="106" t="str">
        <f t="shared" si="59"/>
        <v>https://search-rtdc-monitor-bjffxe2xuh6vdkpspy63sjmuny.us-east-1.es.amazonaws.com/_plugin/kibana/#/discover/Steve-Slow-Train-Analysis-(2080s-and-2083s)?_g=(refreshInterval:(display:Off,section:0,value:0),time:(from:'2016-08-31 17:38:31-0600',mode:absolute,to:'2016-08-31 20:15:14-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4016%22')),sort:!(Time,asc))</v>
      </c>
      <c r="W130" s="54" t="str">
        <f t="shared" si="60"/>
        <v>Y</v>
      </c>
      <c r="X130" s="120">
        <f t="shared" si="71"/>
        <v>1</v>
      </c>
      <c r="Y130" s="69">
        <f t="shared" si="61"/>
        <v>1.9126000000000001</v>
      </c>
      <c r="Z130" s="69">
        <f t="shared" si="62"/>
        <v>23.331800000000001</v>
      </c>
      <c r="AA130" s="69">
        <f t="shared" si="63"/>
        <v>21.4192</v>
      </c>
      <c r="AB130" s="66" t="e">
        <f>VLOOKUP(A130,Enforcements!$C$7:$J$21,8,0)</f>
        <v>#N/A</v>
      </c>
      <c r="AC130" s="62" t="e">
        <f>VLOOKUP(A130,Enforcements!$C$7:$E$21,3,0)</f>
        <v>#N/A</v>
      </c>
      <c r="AD130" s="63" t="str">
        <f t="shared" si="64"/>
        <v>0219-31</v>
      </c>
      <c r="AE130" s="99" t="str">
        <f t="shared" si="46"/>
        <v>aws s3 cp s3://rtdc.mdm.uploadarchive/RTDC4016/2016-08-31/ "%USERPROFILE%\AppData\Local\Temp\OnboardLogs"\RTDC4016\2016-08-31 --recursive &amp; "%USERPROFILE%\Documents\GitHub\mrs-test-scripts\Headless Mode &amp; Sideloading\WalkAndUnGZ.bat" "%USERPROFILE%\AppData\Local\Temp\OnboardLogs"\RTDC4016\2016-08-31 &amp; aws s3 cp s3://rtdc.mdm.uploadarchive/RTDC4016/2016-09-01/ "%USERPROFILE%\AppData\Local\Temp\OnboardLogs"\RTDC4016\2016-09-01 --recursive &amp; "%USERPROFILE%\Documents\GitHub\mrs-test-scripts\Headless Mode &amp; Sideloading\WalkAndUnGZ.bat" "%USERPROFILE%\AppData\Local\Temp\OnboardLogs"\RTDC4016\2016-09-01</v>
      </c>
      <c r="AF130" s="96" t="str">
        <f t="shared" si="47"/>
        <v>"C:\Program Files (x86)\AstroGrep\AstroGrep.exe" /spath="%USERPROFILE%\AppData\Local\Temp\OnboardLogs" /stypes="*4016*20160901*" /stext=" 01:.+((SYSTEM_STATE.+slice.+state.+changed )|(ment ac)|(system.+state.+changed )|(\|lc)|(penalty)|(\[timeout)|(PRM\|1\|D)|(kpr)|(kdp))" /e /r /s</v>
      </c>
      <c r="AG130" s="1" t="str">
        <f t="shared" si="65"/>
        <v>EC</v>
      </c>
      <c r="AH130" s="100" t="str">
        <f t="shared" si="49"/>
        <v>"%USERPROFILE%\Documents\GitHub\eaglep3\Utilities\RefineRTDCRunTimes.py" --tripid 219-31 --locoid 4016 --swversion DE.1.0.7.0 --startMP 204:19126 --initTime 2016-08-31T18:38:31 --startdatetime 2016-08-31T18:40:45 --delay 1 --endMP 204:233318 --enddatetime 2016-08-31T19:15:14 --enforcementcount 0 &gt;&gt;C:\Users\stu\Documents\GitHub\eaglep3-reporting\EC\2016-08-31-refined-times.txt</v>
      </c>
      <c r="AI130" s="149" t="str">
        <f t="shared" si="50"/>
        <v>echo {"issue":{"subject":"Went active too close to DUS 2N","project_id":79,"tracker_id":40,"status_id":1,"priority_id":2,"assigned_to_id":23,"start_date":"2016-08-31","description":"","custom_fields":[{"id":1,"name":"Subdivision","value":"EC"},{"id":4,"name":"Milepost","value":"21.4192"},{"id":17,"name":"Train ID","value":"219-31"},{"id":16,"name":"Locomotive ID","value":"4016"},{"id":130,"name":"Impact","value":""},{"id":150,"name":"Time of Event (Mountain Time)","value":"19:15:14"},{"id":151,"name":"Denver Issue ID","value":""},{"id":178,"name":"Operational Impact","value":"Yes"},{"id":179,"name":"Denver Segment Assigned","value":""}]}} | curl -X POST -H "Content-Type: application/json" -H "X-Redmine-API-Key: d6333d4a04012a730768444271f8ca06482dae87" https://secure.xorail.net/redmine/issues.json --data @-</v>
      </c>
      <c r="AJ130" s="55"/>
      <c r="AK130" s="55"/>
      <c r="AL130" s="55"/>
    </row>
    <row r="131" spans="1:38" x14ac:dyDescent="0.25">
      <c r="A131" s="39" t="s">
        <v>545</v>
      </c>
      <c r="B131" s="7">
        <v>4016</v>
      </c>
      <c r="C131" s="24" t="s">
        <v>113</v>
      </c>
      <c r="D131" s="24" t="s">
        <v>138</v>
      </c>
      <c r="E131" s="15">
        <v>42613.770937499998</v>
      </c>
      <c r="F131" s="15">
        <v>42613.778298611112</v>
      </c>
      <c r="G131" s="7">
        <v>2</v>
      </c>
      <c r="H131" s="15" t="s">
        <v>547</v>
      </c>
      <c r="I131" s="15">
        <v>42613.802245370367</v>
      </c>
      <c r="J131" s="7">
        <v>0</v>
      </c>
      <c r="K131" s="132" t="str">
        <f t="shared" si="54"/>
        <v>4015/4016</v>
      </c>
      <c r="L131" s="24" t="str">
        <f>VLOOKUP(A131,'Trips&amp;Operators'!$C$1:$E$10000,3,FALSE)</f>
        <v>COOLAHAN</v>
      </c>
      <c r="M131" s="6">
        <f t="shared" si="55"/>
        <v>2.3946759254613426E-2</v>
      </c>
      <c r="N131" s="7"/>
      <c r="O131" s="7"/>
      <c r="P131" s="7"/>
      <c r="Q131" s="25"/>
      <c r="R131" s="25"/>
      <c r="S131" s="37"/>
      <c r="T131" s="52" t="str">
        <f t="shared" si="58"/>
        <v>NorthBound</v>
      </c>
      <c r="U131" s="126">
        <f>IF(AG131="EC",COUNTIFS(Variables!$M$2:$M$19,IF(T131="NorthBound","&gt;=","&lt;=")&amp;Y131,Variables!$M$2:$M$19,IF(T131="NorthBound","&lt;=","&gt;=")&amp;Z131),COUNTIFS(Variables!$P$2:$P$19,IF(T131="NorthBound","&gt;=","&lt;=")&amp;Y131,Variables!$P$2:$P$19,IF(T131="NorthBound","&lt;=","&gt;=")&amp;Z131))</f>
        <v>0</v>
      </c>
      <c r="V131" s="106" t="str">
        <f t="shared" si="59"/>
        <v>https://search-rtdc-monitor-bjffxe2xuh6vdkpspy63sjmuny.us-east-1.es.amazonaws.com/_plugin/kibana/#/discover/Steve-Slow-Train-Analysis-(2080s-and-2083s)?_g=(refreshInterval:(display:Off,section:0,value:0),time:(from:'2016-08-31 17:30:09-0600',mode:absolute,to:'2016-08-31 20:15:14-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4016%22')),sort:!(Time,asc))</v>
      </c>
      <c r="W131" s="54" t="str">
        <f t="shared" si="60"/>
        <v>Y</v>
      </c>
      <c r="X131" s="120">
        <f t="shared" si="71"/>
        <v>0</v>
      </c>
      <c r="Y131" s="69">
        <f t="shared" si="61"/>
        <v>4.6699999999999998E-2</v>
      </c>
      <c r="Z131" s="69">
        <f t="shared" si="62"/>
        <v>0.19009999999999999</v>
      </c>
      <c r="AA131" s="69">
        <f t="shared" si="63"/>
        <v>0.1434</v>
      </c>
      <c r="AB131" s="66" t="e">
        <f>VLOOKUP(A131,Enforcements!$C$7:$J$21,8,0)</f>
        <v>#N/A</v>
      </c>
      <c r="AC131" s="62" t="e">
        <f>VLOOKUP(A131,Enforcements!$C$7:$E$21,3,0)</f>
        <v>#N/A</v>
      </c>
      <c r="AD131" s="63" t="str">
        <f t="shared" si="64"/>
        <v>0219-31</v>
      </c>
      <c r="AE131" s="99" t="str">
        <f t="shared" si="46"/>
        <v>aws s3 cp s3://rtdc.mdm.uploadarchive/RTDC4016/2016-08-31/ "%USERPROFILE%\AppData\Local\Temp\OnboardLogs"\RTDC4016\2016-08-31 --recursive &amp; "%USERPROFILE%\Documents\GitHub\mrs-test-scripts\Headless Mode &amp; Sideloading\WalkAndUnGZ.bat" "%USERPROFILE%\AppData\Local\Temp\OnboardLogs"\RTDC4016\2016-08-31 &amp; aws s3 cp s3://rtdc.mdm.uploadarchive/RTDC4016/2016-09-01/ "%USERPROFILE%\AppData\Local\Temp\OnboardLogs"\RTDC4016\2016-09-01 --recursive &amp; "%USERPROFILE%\Documents\GitHub\mrs-test-scripts\Headless Mode &amp; Sideloading\WalkAndUnGZ.bat" "%USERPROFILE%\AppData\Local\Temp\OnboardLogs"\RTDC4016\2016-09-01</v>
      </c>
      <c r="AF131" s="96" t="str">
        <f t="shared" si="47"/>
        <v>"C:\Program Files (x86)\AstroGrep\AstroGrep.exe" /spath="%USERPROFILE%\AppData\Local\Temp\OnboardLogs" /stypes="*4016*20160901*" /stext=" 01:.+((SYSTEM_STATE.+slice.+state.+changed )|(ment ac)|(system.+state.+changed )|(\|lc)|(penalty)|(\[timeout)|(PRM\|1\|D)|(kpr)|(kdp))" /e /r /s</v>
      </c>
      <c r="AG131" s="1" t="str">
        <f t="shared" si="65"/>
        <v>EC</v>
      </c>
      <c r="AH131" s="100" t="str">
        <f t="shared" si="49"/>
        <v>"%USERPROFILE%\Documents\GitHub\eaglep3\Utilities\RefineRTDCRunTimes.py" --tripid 219-31 --locoid 4016 --swversion DE.1.0.7.0 --startMP 204:467 --initTime 2016-08-31T18:30:09 --startdatetime 2016-08-31T18:40:45 --delay 2 --endMP 204:1901 --enddatetime 2016-08-31T19:15:14 --enforcementcount 0 &gt;&gt;C:\Users\stu\Documents\GitHub\eaglep3-reporting\EC\2016-08-31-refined-times.txt</v>
      </c>
      <c r="AI131" s="149" t="str">
        <f t="shared" si="50"/>
        <v>echo {"issue":{"subject":"","project_id":79,"tracker_id":40,"status_id":1,"priority_id":2,"assigned_to_id":23,"start_date":"2016-08-31","description":"","custom_fields":[{"id":1,"name":"Subdivision","value":"EC"},{"id":4,"name":"Milepost","value":"0.1434"},{"id":17,"name":"Train ID","value":"219-31"},{"id":16,"name":"Locomotive ID","value":"4016"},{"id":130,"name":"Impact","value":""},{"id":150,"name":"Time of Event (Mountain Time)","value":"19:15:14"},{"id":151,"name":"Denver Issue ID","value":""},{"id":178,"name":"Operational Impact","value":"Yes"},{"id":179,"name":"Denver Segment Assigned","value":""}]}} | curl -X POST -H "Content-Type: application/json" -H "X-Redmine-API-Key: d6333d4a04012a730768444271f8ca06482dae87" https://secure.xorail.net/redmine/issues.json --data @-</v>
      </c>
      <c r="AJ131" s="55"/>
      <c r="AK131" s="55"/>
      <c r="AL131" s="55"/>
    </row>
    <row r="132" spans="1:38" s="23" customFormat="1" x14ac:dyDescent="0.25">
      <c r="A132" s="39" t="s">
        <v>548</v>
      </c>
      <c r="B132" s="7">
        <v>4015</v>
      </c>
      <c r="C132" s="24" t="s">
        <v>113</v>
      </c>
      <c r="D132" s="24" t="s">
        <v>255</v>
      </c>
      <c r="E132" s="15">
        <v>42613.807025462964</v>
      </c>
      <c r="F132" s="15">
        <v>42613.809895833336</v>
      </c>
      <c r="G132" s="7">
        <v>1</v>
      </c>
      <c r="H132" s="15" t="s">
        <v>89</v>
      </c>
      <c r="I132" s="15">
        <v>42613.835729166669</v>
      </c>
      <c r="J132" s="7">
        <v>0</v>
      </c>
      <c r="K132" s="132" t="str">
        <f t="shared" si="54"/>
        <v>4015/4016</v>
      </c>
      <c r="L132" s="24" t="str">
        <f>VLOOKUP(A132,'Trips&amp;Operators'!$C$1:$E$10000,3,FALSE)</f>
        <v>COOLAHAN</v>
      </c>
      <c r="M132" s="6">
        <f t="shared" si="55"/>
        <v>2.5833333333139308E-2</v>
      </c>
      <c r="N132" s="7">
        <f t="shared" ref="N132:N143" si="72">24*60*SUM($M132:$M132)</f>
        <v>37.199999999720603</v>
      </c>
      <c r="O132" s="7"/>
      <c r="P132" s="7"/>
      <c r="Q132" s="25"/>
      <c r="R132" s="25"/>
      <c r="S132" s="37">
        <f t="shared" ref="S132:S163" si="73">SUM(U132:U132)/IF(AG132="EC",12,1)</f>
        <v>1</v>
      </c>
      <c r="T132" s="52" t="str">
        <f t="shared" si="58"/>
        <v>Southbound</v>
      </c>
      <c r="U132" s="126">
        <f>IF(AG132="EC",COUNTIFS(Variables!$M$2:$M$19,IF(T132="NorthBound","&gt;=","&lt;=")&amp;Y132,Variables!$M$2:$M$19,IF(T132="NorthBound","&lt;=","&gt;=")&amp;Z132),COUNTIFS(Variables!$P$2:$P$19,IF(T132="NorthBound","&gt;=","&lt;=")&amp;Y132,Variables!$P$2:$P$19,IF(T132="NorthBound","&lt;=","&gt;=")&amp;Z132))</f>
        <v>12</v>
      </c>
      <c r="V132" s="106" t="str">
        <f t="shared" si="59"/>
        <v>https://search-rtdc-monitor-bjffxe2xuh6vdkpspy63sjmuny.us-east-1.es.amazonaws.com/_plugin/kibana/#/discover/Steve-Slow-Train-Analysis-(2080s-and-2083s)?_g=(refreshInterval:(display:Off,section:0,value:0),time:(from:'2016-08-31 18:22:07-0600',mode:absolute,to:'2016-08-31 21:03:27-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4015%22')),sort:!(Time,asc))</v>
      </c>
      <c r="W132" s="54" t="str">
        <f t="shared" si="60"/>
        <v>N</v>
      </c>
      <c r="X132" s="120">
        <f t="shared" si="71"/>
        <v>1</v>
      </c>
      <c r="Y132" s="69">
        <f t="shared" si="61"/>
        <v>23.298999999999999</v>
      </c>
      <c r="Z132" s="69">
        <f t="shared" si="62"/>
        <v>1.43E-2</v>
      </c>
      <c r="AA132" s="69">
        <f t="shared" si="63"/>
        <v>23.284700000000001</v>
      </c>
      <c r="AB132" s="66" t="e">
        <f>VLOOKUP(A132,Enforcements!$C$7:$J$21,8,0)</f>
        <v>#N/A</v>
      </c>
      <c r="AC132" s="62" t="e">
        <f>VLOOKUP(A132,Enforcements!$C$7:$E$21,3,0)</f>
        <v>#N/A</v>
      </c>
      <c r="AD132" s="63" t="str">
        <f t="shared" si="64"/>
        <v>0220-31</v>
      </c>
      <c r="AE132" s="99" t="str">
        <f t="shared" si="46"/>
        <v>aws s3 cp s3://rtdc.mdm.uploadarchive/RTDC4015/2016-08-31/ "%USERPROFILE%\AppData\Local\Temp\OnboardLogs"\RTDC4015\2016-08-31 --recursive &amp; "%USERPROFILE%\Documents\GitHub\mrs-test-scripts\Headless Mode &amp; Sideloading\WalkAndUnGZ.bat" "%USERPROFILE%\AppData\Local\Temp\OnboardLogs"\RTDC4015\2016-08-31 &amp; aws s3 cp s3://rtdc.mdm.uploadarchive/RTDC4015/2016-09-01/ "%USERPROFILE%\AppData\Local\Temp\OnboardLogs"\RTDC4015\2016-09-01 --recursive &amp; "%USERPROFILE%\Documents\GitHub\mrs-test-scripts\Headless Mode &amp; Sideloading\WalkAndUnGZ.bat" "%USERPROFILE%\AppData\Local\Temp\OnboardLogs"\RTDC4015\2016-09-01</v>
      </c>
      <c r="AF132" s="96" t="str">
        <f t="shared" si="47"/>
        <v>"C:\Program Files (x86)\AstroGrep\AstroGrep.exe" /spath="%USERPROFILE%\AppData\Local\Temp\OnboardLogs" /stypes="*4015*20160901*" /stext=" 02:.+((SYSTEM_STATE.+slice.+state.+changed )|(ment ac)|(system.+state.+changed )|(\|lc)|(penalty)|(\[timeout)|(PRM\|1\|D)|(kpr)|(kdp))" /e /r /s</v>
      </c>
      <c r="AG132" s="1" t="str">
        <f t="shared" si="65"/>
        <v>EC</v>
      </c>
      <c r="AH132" s="100" t="str">
        <f t="shared" si="49"/>
        <v>"%USERPROFILE%\Documents\GitHub\eaglep3\Utilities\RefineRTDCRunTimes.py" --tripid 220-31 --locoid 4015 --swversion DE.1.0.7.0 --startMP 204:232990 --initTime 2016-08-31T19:22:07 --startdatetime 2016-08-31T19:26:15 --delay 1 --endMP 204:143 --enddatetime 2016-08-31T20:03:27 --enforcementcount 0 &gt;&gt;C:\Users\stu\Documents\GitHub\eaglep3-reporting\EC\2016-08-31-refined-times.txt</v>
      </c>
      <c r="AI132" s="149" t="str">
        <f t="shared" si="50"/>
        <v>echo {"issue":{"subject":"","project_id":79,"tracker_id":40,"status_id":1,"priority_id":2,"assigned_to_id":23,"start_date":"2016-08-31","description":"","custom_fields":[{"id":1,"name":"Subdivision","value":"EC"},{"id":4,"name":"Milepost","value":"23.2847"},{"id":17,"name":"Train ID","value":"220-31"},{"id":16,"name":"Locomotive ID","value":"4015"},{"id":130,"name":"Impact","value":""},{"id":150,"name":"Time of Event (Mountain Time)","value":"20:03:27"},{"id":151,"name":"Denver Issue ID","value":""},{"id":178,"name":"Operational Impact","value":"Yes"},{"id":179,"name":"Denver Segment Assigned","value":""}]}} | curl -X POST -H "Content-Type: application/json" -H "X-Redmine-API-Key: d6333d4a04012a730768444271f8ca06482dae87" https://secure.xorail.net/redmine/issues.json --data @-</v>
      </c>
      <c r="AJ132" s="55"/>
      <c r="AK132" s="55"/>
      <c r="AL132" s="55"/>
    </row>
    <row r="133" spans="1:38" x14ac:dyDescent="0.25">
      <c r="A133" s="39" t="s">
        <v>549</v>
      </c>
      <c r="B133" s="7">
        <v>4027</v>
      </c>
      <c r="C133" s="24" t="s">
        <v>113</v>
      </c>
      <c r="D133" s="24" t="s">
        <v>337</v>
      </c>
      <c r="E133" s="15">
        <v>42613.788414351853</v>
      </c>
      <c r="F133" s="15">
        <v>42613.792002314818</v>
      </c>
      <c r="G133" s="7">
        <v>1</v>
      </c>
      <c r="H133" s="15" t="s">
        <v>550</v>
      </c>
      <c r="I133" s="15">
        <v>42613.817870370367</v>
      </c>
      <c r="J133" s="7">
        <v>0</v>
      </c>
      <c r="K133" s="132" t="str">
        <f t="shared" si="54"/>
        <v>4027/4028</v>
      </c>
      <c r="L133" s="24" t="str">
        <f>VLOOKUP(A133,'Trips&amp;Operators'!$C$1:$E$10000,3,FALSE)</f>
        <v>STURGEON</v>
      </c>
      <c r="M133" s="6">
        <f t="shared" si="55"/>
        <v>2.586805554892635E-2</v>
      </c>
      <c r="N133" s="7">
        <f t="shared" si="72"/>
        <v>37.249999990453944</v>
      </c>
      <c r="O133" s="7"/>
      <c r="P133" s="7"/>
      <c r="Q133" s="25"/>
      <c r="R133" s="25"/>
      <c r="S133" s="37">
        <f t="shared" si="73"/>
        <v>1</v>
      </c>
      <c r="T133" s="52" t="str">
        <f t="shared" si="58"/>
        <v>NorthBound</v>
      </c>
      <c r="U133" s="126">
        <f>IF(AG133="EC",COUNTIFS(Variables!$M$2:$M$19,IF(T133="NorthBound","&gt;=","&lt;=")&amp;Y133,Variables!$M$2:$M$19,IF(T133="NorthBound","&lt;=","&gt;=")&amp;Z133),COUNTIFS(Variables!$P$2:$P$19,IF(T133="NorthBound","&gt;=","&lt;=")&amp;Y133,Variables!$P$2:$P$19,IF(T133="NorthBound","&lt;=","&gt;=")&amp;Z133))</f>
        <v>12</v>
      </c>
      <c r="V133" s="106" t="str">
        <f t="shared" si="59"/>
        <v>https://search-rtdc-monitor-bjffxe2xuh6vdkpspy63sjmuny.us-east-1.es.amazonaws.com/_plugin/kibana/#/discover/Steve-Slow-Train-Analysis-(2080s-and-2083s)?_g=(refreshInterval:(display:Off,section:0,value:0),time:(from:'2016-08-31 17:55:19-0600',mode:absolute,to:'2016-08-31 20:37:44-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4027%22')),sort:!(Time,asc))</v>
      </c>
      <c r="W133" s="54" t="str">
        <f t="shared" si="60"/>
        <v>N</v>
      </c>
      <c r="X133" s="120">
        <f t="shared" si="71"/>
        <v>1</v>
      </c>
      <c r="Y133" s="69">
        <f t="shared" si="61"/>
        <v>4.8000000000000001E-2</v>
      </c>
      <c r="Z133" s="69">
        <f t="shared" si="62"/>
        <v>23.328700000000001</v>
      </c>
      <c r="AA133" s="69">
        <f t="shared" si="63"/>
        <v>23.280700000000003</v>
      </c>
      <c r="AB133" s="66" t="e">
        <f>VLOOKUP(A133,Enforcements!$C$7:$J$21,8,0)</f>
        <v>#N/A</v>
      </c>
      <c r="AC133" s="62" t="e">
        <f>VLOOKUP(A133,Enforcements!$C$7:$E$21,3,0)</f>
        <v>#N/A</v>
      </c>
      <c r="AD133" s="63" t="str">
        <f t="shared" si="64"/>
        <v>0221-31</v>
      </c>
      <c r="AE133" s="99" t="str">
        <f t="shared" si="46"/>
        <v>aws s3 cp s3://rtdc.mdm.uploadarchive/RTDC4027/2016-08-31/ "%USERPROFILE%\AppData\Local\Temp\OnboardLogs"\RTDC4027\2016-08-31 --recursive &amp; "%USERPROFILE%\Documents\GitHub\mrs-test-scripts\Headless Mode &amp; Sideloading\WalkAndUnGZ.bat" "%USERPROFILE%\AppData\Local\Temp\OnboardLogs"\RTDC4027\2016-08-31 &amp; aws s3 cp s3://rtdc.mdm.uploadarchive/RTDC4027/2016-09-01/ "%USERPROFILE%\AppData\Local\Temp\OnboardLogs"\RTDC4027\2016-09-01 --recursive &amp; "%USERPROFILE%\Documents\GitHub\mrs-test-scripts\Headless Mode &amp; Sideloading\WalkAndUnGZ.bat" "%USERPROFILE%\AppData\Local\Temp\OnboardLogs"\RTDC4027\2016-09-01</v>
      </c>
      <c r="AF133" s="96" t="str">
        <f t="shared" si="47"/>
        <v>"C:\Program Files (x86)\AstroGrep\AstroGrep.exe" /spath="%USERPROFILE%\AppData\Local\Temp\OnboardLogs" /stypes="*4027*20160901*" /stext=" 01:.+((SYSTEM_STATE.+slice.+state.+changed )|(ment ac)|(system.+state.+changed )|(\|lc)|(penalty)|(\[timeout)|(PRM\|1\|D)|(kpr)|(kdp))" /e /r /s</v>
      </c>
      <c r="AG133" s="1" t="str">
        <f t="shared" si="65"/>
        <v>EC</v>
      </c>
      <c r="AH133" s="100" t="str">
        <f t="shared" si="49"/>
        <v>"%USERPROFILE%\Documents\GitHub\eaglep3\Utilities\RefineRTDCRunTimes.py" --tripid 221-31 --locoid 4027 --swversion DE.1.0.7.0 --startMP 204:480 --initTime 2016-08-31T18:55:19 --startdatetime 2016-08-31T19:00:29 --delay 1 --endMP 204:233287 --enddatetime 2016-08-31T19:37:44 --enforcementcount 0 &gt;&gt;C:\Users\stu\Documents\GitHub\eaglep3-reporting\EC\2016-08-31-refined-times.txt</v>
      </c>
      <c r="AI133" s="149" t="str">
        <f t="shared" si="50"/>
        <v>echo {"issue":{"subject":"","project_id":79,"tracker_id":40,"status_id":1,"priority_id":2,"assigned_to_id":23,"start_date":"2016-08-31","description":"","custom_fields":[{"id":1,"name":"Subdivision","value":"EC"},{"id":4,"name":"Milepost","value":"23.2807"},{"id":17,"name":"Train ID","value":"221-31"},{"id":16,"name":"Locomotive ID","value":"4027"},{"id":130,"name":"Impact","value":""},{"id":150,"name":"Time of Event (Mountain Time)","value":"19:37:44"},{"id":151,"name":"Denver Issue ID","value":""},{"id":178,"name":"Operational Impact","value":"Yes"},{"id":179,"name":"Denver Segment Assigned","value":""}]}} | curl -X POST -H "Content-Type: application/json" -H "X-Redmine-API-Key: d6333d4a04012a730768444271f8ca06482dae87" https://secure.xorail.net/redmine/issues.json --data @-</v>
      </c>
      <c r="AJ133" s="55"/>
      <c r="AK133" s="55"/>
      <c r="AL133" s="55"/>
    </row>
    <row r="134" spans="1:38" x14ac:dyDescent="0.25">
      <c r="A134" s="39" t="s">
        <v>551</v>
      </c>
      <c r="B134" s="7">
        <v>4028</v>
      </c>
      <c r="C134" s="24" t="s">
        <v>113</v>
      </c>
      <c r="D134" s="24" t="s">
        <v>332</v>
      </c>
      <c r="E134" s="15">
        <v>42613.821631944447</v>
      </c>
      <c r="F134" s="15">
        <v>42613.830763888887</v>
      </c>
      <c r="G134" s="7">
        <v>1</v>
      </c>
      <c r="H134" s="15" t="s">
        <v>149</v>
      </c>
      <c r="I134" s="15">
        <v>42613.857951388891</v>
      </c>
      <c r="J134" s="7">
        <v>0</v>
      </c>
      <c r="K134" s="132" t="str">
        <f t="shared" si="54"/>
        <v>4027/4028</v>
      </c>
      <c r="L134" s="24" t="str">
        <f>VLOOKUP(A134,'Trips&amp;Operators'!$C$1:$E$10000,3,FALSE)</f>
        <v>STURGEON</v>
      </c>
      <c r="M134" s="6">
        <f t="shared" si="55"/>
        <v>2.718750000349246E-2</v>
      </c>
      <c r="N134" s="7">
        <f t="shared" si="72"/>
        <v>39.150000005029142</v>
      </c>
      <c r="O134" s="7"/>
      <c r="P134" s="7"/>
      <c r="Q134" s="25"/>
      <c r="R134" s="25"/>
      <c r="S134" s="37">
        <f t="shared" si="73"/>
        <v>1</v>
      </c>
      <c r="T134" s="52" t="str">
        <f t="shared" si="58"/>
        <v>Southbound</v>
      </c>
      <c r="U134" s="126">
        <f>IF(AG134="EC",COUNTIFS(Variables!$M$2:$M$19,IF(T134="NorthBound","&gt;=","&lt;=")&amp;Y134,Variables!$M$2:$M$19,IF(T134="NorthBound","&lt;=","&gt;=")&amp;Z134),COUNTIFS(Variables!$P$2:$P$19,IF(T134="NorthBound","&gt;=","&lt;=")&amp;Y134,Variables!$P$2:$P$19,IF(T134="NorthBound","&lt;=","&gt;=")&amp;Z134))</f>
        <v>12</v>
      </c>
      <c r="V134" s="106" t="str">
        <f t="shared" si="59"/>
        <v>https://search-rtdc-monitor-bjffxe2xuh6vdkpspy63sjmuny.us-east-1.es.amazonaws.com/_plugin/kibana/#/discover/Steve-Slow-Train-Analysis-(2080s-and-2083s)?_g=(refreshInterval:(display:Off,section:0,value:0),time:(from:'2016-08-31 18:43:09-0600',mode:absolute,to:'2016-08-31 21:35:27-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4028%22')),sort:!(Time,asc))</v>
      </c>
      <c r="W134" s="54" t="str">
        <f t="shared" si="60"/>
        <v>N</v>
      </c>
      <c r="X134" s="120">
        <f t="shared" si="71"/>
        <v>1</v>
      </c>
      <c r="Y134" s="69">
        <f t="shared" si="61"/>
        <v>23.297000000000001</v>
      </c>
      <c r="Z134" s="69">
        <f t="shared" si="62"/>
        <v>1.5599999999999999E-2</v>
      </c>
      <c r="AA134" s="69">
        <f t="shared" si="63"/>
        <v>23.281400000000001</v>
      </c>
      <c r="AB134" s="66" t="e">
        <f>VLOOKUP(A134,Enforcements!$C$7:$J$21,8,0)</f>
        <v>#N/A</v>
      </c>
      <c r="AC134" s="62" t="e">
        <f>VLOOKUP(A134,Enforcements!$C$7:$E$21,3,0)</f>
        <v>#N/A</v>
      </c>
      <c r="AD134" s="63" t="str">
        <f t="shared" si="64"/>
        <v>0222-31</v>
      </c>
      <c r="AE134" s="99" t="str">
        <f t="shared" si="46"/>
        <v>aws s3 cp s3://rtdc.mdm.uploadarchive/RTDC4028/2016-08-31/ "%USERPROFILE%\AppData\Local\Temp\OnboardLogs"\RTDC4028\2016-08-31 --recursive &amp; "%USERPROFILE%\Documents\GitHub\mrs-test-scripts\Headless Mode &amp; Sideloading\WalkAndUnGZ.bat" "%USERPROFILE%\AppData\Local\Temp\OnboardLogs"\RTDC4028\2016-08-31 &amp; aws s3 cp s3://rtdc.mdm.uploadarchive/RTDC4028/2016-09-01/ "%USERPROFILE%\AppData\Local\Temp\OnboardLogs"\RTDC4028\2016-09-01 --recursive &amp; "%USERPROFILE%\Documents\GitHub\mrs-test-scripts\Headless Mode &amp; Sideloading\WalkAndUnGZ.bat" "%USERPROFILE%\AppData\Local\Temp\OnboardLogs"\RTDC4028\2016-09-01</v>
      </c>
      <c r="AF134" s="96" t="str">
        <f t="shared" si="47"/>
        <v>"C:\Program Files (x86)\AstroGrep\AstroGrep.exe" /spath="%USERPROFILE%\AppData\Local\Temp\OnboardLogs" /stypes="*4028*20160901*" /stext=" 02:.+((SYSTEM_STATE.+slice.+state.+changed )|(ment ac)|(system.+state.+changed )|(\|lc)|(penalty)|(\[timeout)|(PRM\|1\|D)|(kpr)|(kdp))" /e /r /s</v>
      </c>
      <c r="AG134" s="1" t="str">
        <f t="shared" si="65"/>
        <v>EC</v>
      </c>
      <c r="AH134" s="100" t="str">
        <f t="shared" si="49"/>
        <v>"%USERPROFILE%\Documents\GitHub\eaglep3\Utilities\RefineRTDCRunTimes.py" --tripid 222-31 --locoid 4028 --swversion DE.1.0.7.0 --startMP 204:232970 --initTime 2016-08-31T19:43:09 --startdatetime 2016-08-31T19:56:18 --delay 1 --endMP 204:156 --enddatetime 2016-08-31T20:35:27 --enforcementcount 0 &gt;&gt;C:\Users\stu\Documents\GitHub\eaglep3-reporting\EC\2016-08-31-refined-times.txt</v>
      </c>
      <c r="AI134" s="149" t="str">
        <f t="shared" si="50"/>
        <v>echo {"issue":{"subject":"","project_id":79,"tracker_id":40,"status_id":1,"priority_id":2,"assigned_to_id":23,"start_date":"2016-08-31","description":"","custom_fields":[{"id":1,"name":"Subdivision","value":"EC"},{"id":4,"name":"Milepost","value":"23.2814"},{"id":17,"name":"Train ID","value":"222-31"},{"id":16,"name":"Locomotive ID","value":"4028"},{"id":130,"name":"Impact","value":""},{"id":150,"name":"Time of Event (Mountain Time)","value":"20:35:27"},{"id":151,"name":"Denver Issue ID","value":""},{"id":178,"name":"Operational Impact","value":"Yes"},{"id":179,"name":"Denver Segment Assigned","value":""}]}} | curl -X POST -H "Content-Type: application/json" -H "X-Redmine-API-Key: d6333d4a04012a730768444271f8ca06482dae87" https://secure.xorail.net/redmine/issues.json --data @-</v>
      </c>
      <c r="AJ134" s="55"/>
      <c r="AK134" s="55"/>
      <c r="AL134" s="55"/>
    </row>
    <row r="135" spans="1:38" x14ac:dyDescent="0.25">
      <c r="A135" s="39" t="s">
        <v>552</v>
      </c>
      <c r="B135" s="7">
        <v>4029</v>
      </c>
      <c r="C135" s="24" t="s">
        <v>113</v>
      </c>
      <c r="D135" s="24" t="s">
        <v>553</v>
      </c>
      <c r="E135" s="15">
        <v>42613.808946759258</v>
      </c>
      <c r="F135" s="15">
        <v>42613.812627314815</v>
      </c>
      <c r="G135" s="7">
        <v>1</v>
      </c>
      <c r="H135" s="15" t="s">
        <v>267</v>
      </c>
      <c r="I135" s="15">
        <v>42613.836967592593</v>
      </c>
      <c r="J135" s="7">
        <v>0</v>
      </c>
      <c r="K135" s="132" t="str">
        <f t="shared" si="54"/>
        <v>4029/4030</v>
      </c>
      <c r="L135" s="24" t="str">
        <f>VLOOKUP(A135,'Trips&amp;Operators'!$C$1:$E$10000,3,FALSE)</f>
        <v>YANAI</v>
      </c>
      <c r="M135" s="6">
        <f t="shared" si="55"/>
        <v>2.4340277777810115E-2</v>
      </c>
      <c r="N135" s="7">
        <f t="shared" si="72"/>
        <v>35.050000000046566</v>
      </c>
      <c r="O135" s="7"/>
      <c r="P135" s="7"/>
      <c r="Q135" s="25"/>
      <c r="R135" s="25"/>
      <c r="S135" s="37">
        <f t="shared" si="73"/>
        <v>1</v>
      </c>
      <c r="T135" s="52" t="str">
        <f t="shared" si="58"/>
        <v>NorthBound</v>
      </c>
      <c r="U135" s="126">
        <f>IF(AG135="EC",COUNTIFS(Variables!$M$2:$M$19,IF(T135="NorthBound","&gt;=","&lt;=")&amp;Y135,Variables!$M$2:$M$19,IF(T135="NorthBound","&lt;=","&gt;=")&amp;Z135),COUNTIFS(Variables!$P$2:$P$19,IF(T135="NorthBound","&gt;=","&lt;=")&amp;Y135,Variables!$P$2:$P$19,IF(T135="NorthBound","&lt;=","&gt;=")&amp;Z135))</f>
        <v>12</v>
      </c>
      <c r="V135" s="106" t="str">
        <f t="shared" si="59"/>
        <v>https://search-rtdc-monitor-bjffxe2xuh6vdkpspy63sjmuny.us-east-1.es.amazonaws.com/_plugin/kibana/#/discover/Steve-Slow-Train-Analysis-(2080s-and-2083s)?_g=(refreshInterval:(display:Off,section:0,value:0),time:(from:'2016-08-31 18:24:53-0600',mode:absolute,to:'2016-08-31 21:05:14-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4029%22')),sort:!(Time,asc))</v>
      </c>
      <c r="W135" s="54" t="str">
        <f t="shared" si="60"/>
        <v>N</v>
      </c>
      <c r="X135" s="120">
        <f t="shared" si="71"/>
        <v>1</v>
      </c>
      <c r="Y135" s="69">
        <f t="shared" si="61"/>
        <v>4.2599999999999999E-2</v>
      </c>
      <c r="Z135" s="69">
        <f t="shared" si="62"/>
        <v>23.3308</v>
      </c>
      <c r="AA135" s="69">
        <f t="shared" si="63"/>
        <v>23.2882</v>
      </c>
      <c r="AB135" s="66" t="e">
        <f>VLOOKUP(A135,Enforcements!$C$7:$J$21,8,0)</f>
        <v>#N/A</v>
      </c>
      <c r="AC135" s="62" t="e">
        <f>VLOOKUP(A135,Enforcements!$C$7:$E$21,3,0)</f>
        <v>#N/A</v>
      </c>
      <c r="AD135" s="63" t="str">
        <f t="shared" si="64"/>
        <v>0223-31</v>
      </c>
      <c r="AE135" s="99" t="str">
        <f t="shared" si="46"/>
        <v>aws s3 cp s3://rtdc.mdm.uploadarchive/RTDC4029/2016-08-31/ "%USERPROFILE%\AppData\Local\Temp\OnboardLogs"\RTDC4029\2016-08-31 --recursive &amp; "%USERPROFILE%\Documents\GitHub\mrs-test-scripts\Headless Mode &amp; Sideloading\WalkAndUnGZ.bat" "%USERPROFILE%\AppData\Local\Temp\OnboardLogs"\RTDC4029\2016-08-31 &amp; aws s3 cp s3://rtdc.mdm.uploadarchive/RTDC4029/2016-09-01/ "%USERPROFILE%\AppData\Local\Temp\OnboardLogs"\RTDC4029\2016-09-01 --recursive &amp; "%USERPROFILE%\Documents\GitHub\mrs-test-scripts\Headless Mode &amp; Sideloading\WalkAndUnGZ.bat" "%USERPROFILE%\AppData\Local\Temp\OnboardLogs"\RTDC4029\2016-09-01</v>
      </c>
      <c r="AF135" s="96" t="str">
        <f t="shared" si="47"/>
        <v>"C:\Program Files (x86)\AstroGrep\AstroGrep.exe" /spath="%USERPROFILE%\AppData\Local\Temp\OnboardLogs" /stypes="*4029*20160901*" /stext=" 02:.+((SYSTEM_STATE.+slice.+state.+changed )|(ment ac)|(system.+state.+changed )|(\|lc)|(penalty)|(\[timeout)|(PRM\|1\|D)|(kpr)|(kdp))" /e /r /s</v>
      </c>
      <c r="AG135" s="1" t="str">
        <f t="shared" si="65"/>
        <v>EC</v>
      </c>
      <c r="AH135" s="100" t="str">
        <f t="shared" si="49"/>
        <v>"%USERPROFILE%\Documents\GitHub\eaglep3\Utilities\RefineRTDCRunTimes.py" --tripid 223-31 --locoid 4029 --swversion DE.1.0.7.0 --startMP 204:426 --initTime 2016-08-31T19:24:53 --startdatetime 2016-08-31T19:30:11 --delay 1 --endMP 204:233308 --enddatetime 2016-08-31T20:05:14 --enforcementcount 0 &gt;&gt;C:\Users\stu\Documents\GitHub\eaglep3-reporting\EC\2016-08-31-refined-times.txt</v>
      </c>
      <c r="AI135" s="149" t="str">
        <f t="shared" si="50"/>
        <v>echo {"issue":{"subject":"","project_id":79,"tracker_id":40,"status_id":1,"priority_id":2,"assigned_to_id":23,"start_date":"2016-08-31","description":"","custom_fields":[{"id":1,"name":"Subdivision","value":"EC"},{"id":4,"name":"Milepost","value":"23.2882"},{"id":17,"name":"Train ID","value":"223-31"},{"id":16,"name":"Locomotive ID","value":"4029"},{"id":130,"name":"Impact","value":""},{"id":150,"name":"Time of Event (Mountain Time)","value":"20:05:14"},{"id":151,"name":"Denver Issue ID","value":""},{"id":178,"name":"Operational Impact","value":"Yes"},{"id":179,"name":"Denver Segment Assigned","value":""}]}} | curl -X POST -H "Content-Type: application/json" -H "X-Redmine-API-Key: d6333d4a04012a730768444271f8ca06482dae87" https://secure.xorail.net/redmine/issues.json --data @-</v>
      </c>
      <c r="AJ135" s="55"/>
      <c r="AK135" s="55"/>
      <c r="AL135" s="55"/>
    </row>
    <row r="136" spans="1:38" x14ac:dyDescent="0.25">
      <c r="A136" s="39" t="s">
        <v>554</v>
      </c>
      <c r="B136" s="7">
        <v>4030</v>
      </c>
      <c r="C136" s="24" t="s">
        <v>113</v>
      </c>
      <c r="D136" s="24" t="s">
        <v>253</v>
      </c>
      <c r="E136" s="15">
        <v>42613.847337962965</v>
      </c>
      <c r="F136" s="15">
        <v>42613.851712962962</v>
      </c>
      <c r="G136" s="7">
        <v>1</v>
      </c>
      <c r="H136" s="15" t="s">
        <v>149</v>
      </c>
      <c r="I136" s="15">
        <v>42613.877430555556</v>
      </c>
      <c r="J136" s="7">
        <v>0</v>
      </c>
      <c r="K136" s="132" t="str">
        <f t="shared" si="54"/>
        <v>4029/4030</v>
      </c>
      <c r="L136" s="24" t="str">
        <f>VLOOKUP(A136,'Trips&amp;Operators'!$C$1:$E$10000,3,FALSE)</f>
        <v>YANAI</v>
      </c>
      <c r="M136" s="6">
        <f t="shared" si="55"/>
        <v>2.5717592594446614E-2</v>
      </c>
      <c r="N136" s="7">
        <f t="shared" si="72"/>
        <v>37.033333336003125</v>
      </c>
      <c r="O136" s="7"/>
      <c r="P136" s="7"/>
      <c r="Q136" s="25"/>
      <c r="R136" s="25"/>
      <c r="S136" s="37">
        <f t="shared" si="73"/>
        <v>1</v>
      </c>
      <c r="T136" s="52" t="str">
        <f t="shared" si="58"/>
        <v>Southbound</v>
      </c>
      <c r="U136" s="126">
        <f>IF(AG136="EC",COUNTIFS(Variables!$M$2:$M$19,IF(T136="NorthBound","&gt;=","&lt;=")&amp;Y136,Variables!$M$2:$M$19,IF(T136="NorthBound","&lt;=","&gt;=")&amp;Z136),COUNTIFS(Variables!$P$2:$P$19,IF(T136="NorthBound","&gt;=","&lt;=")&amp;Y136,Variables!$P$2:$P$19,IF(T136="NorthBound","&lt;=","&gt;=")&amp;Z136))</f>
        <v>12</v>
      </c>
      <c r="V136" s="106" t="str">
        <f t="shared" si="59"/>
        <v>https://search-rtdc-monitor-bjffxe2xuh6vdkpspy63sjmuny.us-east-1.es.amazonaws.com/_plugin/kibana/#/discover/Steve-Slow-Train-Analysis-(2080s-and-2083s)?_g=(refreshInterval:(display:Off,section:0,value:0),time:(from:'2016-08-31 19:20:10-0600',mode:absolute,to:'2016-08-31 22:03:30-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4030%22')),sort:!(Time,asc))</v>
      </c>
      <c r="W136" s="54" t="str">
        <f t="shared" si="60"/>
        <v>N</v>
      </c>
      <c r="X136" s="120">
        <f t="shared" si="71"/>
        <v>1</v>
      </c>
      <c r="Y136" s="69">
        <f t="shared" si="61"/>
        <v>23.298100000000002</v>
      </c>
      <c r="Z136" s="69">
        <f t="shared" si="62"/>
        <v>1.5599999999999999E-2</v>
      </c>
      <c r="AA136" s="69">
        <f t="shared" si="63"/>
        <v>23.282500000000002</v>
      </c>
      <c r="AB136" s="66" t="e">
        <f>VLOOKUP(A136,Enforcements!$C$7:$J$21,8,0)</f>
        <v>#N/A</v>
      </c>
      <c r="AC136" s="62" t="e">
        <f>VLOOKUP(A136,Enforcements!$C$7:$E$21,3,0)</f>
        <v>#N/A</v>
      </c>
      <c r="AD136" s="63" t="str">
        <f t="shared" si="64"/>
        <v>0224-31</v>
      </c>
      <c r="AE136" s="99" t="str">
        <f t="shared" si="46"/>
        <v>aws s3 cp s3://rtdc.mdm.uploadarchive/RTDC4030/2016-08-31/ "%USERPROFILE%\AppData\Local\Temp\OnboardLogs"\RTDC4030\2016-08-31 --recursive &amp; "%USERPROFILE%\Documents\GitHub\mrs-test-scripts\Headless Mode &amp; Sideloading\WalkAndUnGZ.bat" "%USERPROFILE%\AppData\Local\Temp\OnboardLogs"\RTDC4030\2016-08-31 &amp; aws s3 cp s3://rtdc.mdm.uploadarchive/RTDC4030/2016-09-01/ "%USERPROFILE%\AppData\Local\Temp\OnboardLogs"\RTDC4030\2016-09-01 --recursive &amp; "%USERPROFILE%\Documents\GitHub\mrs-test-scripts\Headless Mode &amp; Sideloading\WalkAndUnGZ.bat" "%USERPROFILE%\AppData\Local\Temp\OnboardLogs"\RTDC4030\2016-09-01</v>
      </c>
      <c r="AF136" s="96" t="str">
        <f t="shared" si="47"/>
        <v>"C:\Program Files (x86)\AstroGrep\AstroGrep.exe" /spath="%USERPROFILE%\AppData\Local\Temp\OnboardLogs" /stypes="*4030*20160901*" /stext=" 03:.+((SYSTEM_STATE.+slice.+state.+changed )|(ment ac)|(system.+state.+changed )|(\|lc)|(penalty)|(\[timeout)|(PRM\|1\|D)|(kpr)|(kdp))" /e /r /s</v>
      </c>
      <c r="AG136" s="1" t="str">
        <f t="shared" si="65"/>
        <v>EC</v>
      </c>
      <c r="AH136" s="100" t="str">
        <f t="shared" si="49"/>
        <v>"%USERPROFILE%\Documents\GitHub\eaglep3\Utilities\RefineRTDCRunTimes.py" --tripid 224-31 --locoid 4030 --swversion DE.1.0.7.0 --startMP 204:232981 --initTime 2016-08-31T20:20:10 --startdatetime 2016-08-31T20:26:28 --delay 1 --endMP 204:156 --enddatetime 2016-08-31T21:03:30 --enforcementcount 0 &gt;&gt;C:\Users\stu\Documents\GitHub\eaglep3-reporting\EC\2016-08-31-refined-times.txt</v>
      </c>
      <c r="AI136" s="149" t="str">
        <f t="shared" si="50"/>
        <v>echo {"issue":{"subject":"","project_id":79,"tracker_id":40,"status_id":1,"priority_id":2,"assigned_to_id":23,"start_date":"2016-08-31","description":"","custom_fields":[{"id":1,"name":"Subdivision","value":"EC"},{"id":4,"name":"Milepost","value":"23.2825"},{"id":17,"name":"Train ID","value":"224-31"},{"id":16,"name":"Locomotive ID","value":"4030"},{"id":130,"name":"Impact","value":""},{"id":150,"name":"Time of Event (Mountain Time)","value":"21:03:30"},{"id":151,"name":"Denver Issue ID","value":""},{"id":178,"name":"Operational Impact","value":"Yes"},{"id":179,"name":"Denver Segment Assigned","value":""}]}} | curl -X POST -H "Content-Type: application/json" -H "X-Redmine-API-Key: d6333d4a04012a730768444271f8ca06482dae87" https://secure.xorail.net/redmine/issues.json --data @-</v>
      </c>
      <c r="AJ136" s="55"/>
      <c r="AK136" s="55"/>
      <c r="AL136" s="55"/>
    </row>
    <row r="137" spans="1:38" x14ac:dyDescent="0.25">
      <c r="A137" s="39" t="s">
        <v>555</v>
      </c>
      <c r="B137" s="7">
        <v>4002</v>
      </c>
      <c r="C137" s="24" t="s">
        <v>113</v>
      </c>
      <c r="D137" s="24" t="s">
        <v>338</v>
      </c>
      <c r="E137" s="15">
        <v>42613.828796296293</v>
      </c>
      <c r="F137" s="15">
        <v>42613.833935185183</v>
      </c>
      <c r="G137" s="7">
        <v>1</v>
      </c>
      <c r="H137" s="15" t="s">
        <v>326</v>
      </c>
      <c r="I137" s="15">
        <v>42613.858576388891</v>
      </c>
      <c r="J137" s="7">
        <v>0</v>
      </c>
      <c r="K137" s="132" t="str">
        <f t="shared" si="54"/>
        <v>4001/4002</v>
      </c>
      <c r="L137" s="24" t="str">
        <f>VLOOKUP(A137,'Trips&amp;Operators'!$C$1:$E$10000,3,FALSE)</f>
        <v>STAMBAUGH</v>
      </c>
      <c r="M137" s="6">
        <f t="shared" si="55"/>
        <v>2.4641203708597459E-2</v>
      </c>
      <c r="N137" s="7">
        <f t="shared" si="72"/>
        <v>35.483333340380341</v>
      </c>
      <c r="O137" s="7"/>
      <c r="P137" s="7"/>
      <c r="Q137" s="25"/>
      <c r="R137" s="25"/>
      <c r="S137" s="37">
        <f t="shared" si="73"/>
        <v>1</v>
      </c>
      <c r="T137" s="52" t="str">
        <f t="shared" si="58"/>
        <v>NorthBound</v>
      </c>
      <c r="U137" s="126">
        <f>IF(AG137="EC",COUNTIFS(Variables!$M$2:$M$19,IF(T137="NorthBound","&gt;=","&lt;=")&amp;Y137,Variables!$M$2:$M$19,IF(T137="NorthBound","&lt;=","&gt;=")&amp;Z137),COUNTIFS(Variables!$P$2:$P$19,IF(T137="NorthBound","&gt;=","&lt;=")&amp;Y137,Variables!$P$2:$P$19,IF(T137="NorthBound","&lt;=","&gt;=")&amp;Z137))</f>
        <v>12</v>
      </c>
      <c r="V137" s="106" t="str">
        <f t="shared" si="59"/>
        <v>https://search-rtdc-monitor-bjffxe2xuh6vdkpspy63sjmuny.us-east-1.es.amazonaws.com/_plugin/kibana/#/discover/Steve-Slow-Train-Analysis-(2080s-and-2083s)?_g=(refreshInterval:(display:Off,section:0,value:0),time:(from:'2016-08-31 18:53:28-0600',mode:absolute,to:'2016-08-31 21:36:21-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4002%22')),sort:!(Time,asc))</v>
      </c>
      <c r="W137" s="54" t="str">
        <f t="shared" si="60"/>
        <v>N</v>
      </c>
      <c r="X137" s="120">
        <f t="shared" si="71"/>
        <v>1</v>
      </c>
      <c r="Y137" s="69">
        <f t="shared" si="61"/>
        <v>4.3299999999999998E-2</v>
      </c>
      <c r="Z137" s="69">
        <f t="shared" si="62"/>
        <v>23.333100000000002</v>
      </c>
      <c r="AA137" s="69">
        <f t="shared" si="63"/>
        <v>23.289800000000003</v>
      </c>
      <c r="AB137" s="66" t="e">
        <f>VLOOKUP(A137,Enforcements!$C$7:$J$21,8,0)</f>
        <v>#N/A</v>
      </c>
      <c r="AC137" s="62" t="e">
        <f>VLOOKUP(A137,Enforcements!$C$7:$E$21,3,0)</f>
        <v>#N/A</v>
      </c>
      <c r="AD137" s="63" t="str">
        <f t="shared" si="64"/>
        <v>0225-31</v>
      </c>
      <c r="AE137" s="99" t="str">
        <f t="shared" si="46"/>
        <v>aws s3 cp s3://rtdc.mdm.uploadarchive/RTDC4002/2016-08-31/ "%USERPROFILE%\AppData\Local\Temp\OnboardLogs"\RTDC4002\2016-08-31 --recursive &amp; "%USERPROFILE%\Documents\GitHub\mrs-test-scripts\Headless Mode &amp; Sideloading\WalkAndUnGZ.bat" "%USERPROFILE%\AppData\Local\Temp\OnboardLogs"\RTDC4002\2016-08-31 &amp; aws s3 cp s3://rtdc.mdm.uploadarchive/RTDC4002/2016-09-01/ "%USERPROFILE%\AppData\Local\Temp\OnboardLogs"\RTDC4002\2016-09-01 --recursive &amp; "%USERPROFILE%\Documents\GitHub\mrs-test-scripts\Headless Mode &amp; Sideloading\WalkAndUnGZ.bat" "%USERPROFILE%\AppData\Local\Temp\OnboardLogs"\RTDC4002\2016-09-01</v>
      </c>
      <c r="AF137" s="96" t="str">
        <f t="shared" si="47"/>
        <v>"C:\Program Files (x86)\AstroGrep\AstroGrep.exe" /spath="%USERPROFILE%\AppData\Local\Temp\OnboardLogs" /stypes="*4002*20160901*" /stext=" 02:.+((SYSTEM_STATE.+slice.+state.+changed )|(ment ac)|(system.+state.+changed )|(\|lc)|(penalty)|(\[timeout)|(PRM\|1\|D)|(kpr)|(kdp))" /e /r /s</v>
      </c>
      <c r="AG137" s="1" t="str">
        <f t="shared" si="65"/>
        <v>EC</v>
      </c>
      <c r="AH137" s="100" t="str">
        <f t="shared" si="49"/>
        <v>"%USERPROFILE%\Documents\GitHub\eaglep3\Utilities\RefineRTDCRunTimes.py" --tripid 225-31 --locoid 4002 --swversion DE.1.0.7.0 --startMP 204:433 --initTime 2016-08-31T19:53:28 --startdatetime 2016-08-31T20:00:52 --delay 1 --endMP 204:233331 --enddatetime 2016-08-31T20:36:21 --enforcementcount 0 &gt;&gt;C:\Users\stu\Documents\GitHub\eaglep3-reporting\EC\2016-08-31-refined-times.txt</v>
      </c>
      <c r="AI137" s="149" t="str">
        <f t="shared" si="50"/>
        <v>echo {"issue":{"subject":"","project_id":79,"tracker_id":40,"status_id":1,"priority_id":2,"assigned_to_id":23,"start_date":"2016-08-31","description":"","custom_fields":[{"id":1,"name":"Subdivision","value":"EC"},{"id":4,"name":"Milepost","value":"23.2898"},{"id":17,"name":"Train ID","value":"225-31"},{"id":16,"name":"Locomotive ID","value":"4002"},{"id":130,"name":"Impact","value":""},{"id":150,"name":"Time of Event (Mountain Time)","value":"20:36:21"},{"id":151,"name":"Denver Issue ID","value":""},{"id":178,"name":"Operational Impact","value":"Yes"},{"id":179,"name":"Denver Segment Assigned","value":""}]}} | curl -X POST -H "Content-Type: application/json" -H "X-Redmine-API-Key: d6333d4a04012a730768444271f8ca06482dae87" https://secure.xorail.net/redmine/issues.json --data @-</v>
      </c>
      <c r="AJ137" s="55"/>
      <c r="AK137" s="55"/>
      <c r="AL137" s="55"/>
    </row>
    <row r="138" spans="1:38" s="23" customFormat="1" x14ac:dyDescent="0.25">
      <c r="A138" s="39" t="s">
        <v>556</v>
      </c>
      <c r="B138" s="7">
        <v>4001</v>
      </c>
      <c r="C138" s="24" t="s">
        <v>113</v>
      </c>
      <c r="D138" s="24" t="s">
        <v>134</v>
      </c>
      <c r="E138" s="15">
        <v>42613.869270833333</v>
      </c>
      <c r="F138" s="15">
        <v>42613.872800925928</v>
      </c>
      <c r="G138" s="7">
        <v>1</v>
      </c>
      <c r="H138" s="15" t="s">
        <v>132</v>
      </c>
      <c r="I138" s="15">
        <v>42613.898472222223</v>
      </c>
      <c r="J138" s="7">
        <v>0</v>
      </c>
      <c r="K138" s="132" t="str">
        <f t="shared" si="54"/>
        <v>4001/4002</v>
      </c>
      <c r="L138" s="24" t="str">
        <f>VLOOKUP(A138,'Trips&amp;Operators'!$C$1:$E$10000,3,FALSE)</f>
        <v>STAMBAUGH</v>
      </c>
      <c r="M138" s="6">
        <f t="shared" si="55"/>
        <v>2.5671296294603962E-2</v>
      </c>
      <c r="N138" s="7">
        <f t="shared" si="72"/>
        <v>36.966666664229706</v>
      </c>
      <c r="O138" s="7"/>
      <c r="P138" s="7"/>
      <c r="Q138" s="25"/>
      <c r="R138" s="25"/>
      <c r="S138" s="37">
        <f t="shared" si="73"/>
        <v>1</v>
      </c>
      <c r="T138" s="52" t="str">
        <f t="shared" si="58"/>
        <v>Southbound</v>
      </c>
      <c r="U138" s="126">
        <f>IF(AG138="EC",COUNTIFS(Variables!$M$2:$M$19,IF(T138="NorthBound","&gt;=","&lt;=")&amp;Y138,Variables!$M$2:$M$19,IF(T138="NorthBound","&lt;=","&gt;=")&amp;Z138),COUNTIFS(Variables!$P$2:$P$19,IF(T138="NorthBound","&gt;=","&lt;=")&amp;Y138,Variables!$P$2:$P$19,IF(T138="NorthBound","&lt;=","&gt;=")&amp;Z138))</f>
        <v>12</v>
      </c>
      <c r="V138" s="106" t="str">
        <f t="shared" si="59"/>
        <v>https://search-rtdc-monitor-bjffxe2xuh6vdkpspy63sjmuny.us-east-1.es.amazonaws.com/_plugin/kibana/#/discover/Steve-Slow-Train-Analysis-(2080s-and-2083s)?_g=(refreshInterval:(display:Off,section:0,value:0),time:(from:'2016-08-31 19:51:45-0600',mode:absolute,to:'2016-08-31 22:33:48-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4001%22')),sort:!(Time,asc))</v>
      </c>
      <c r="W138" s="54" t="str">
        <f t="shared" si="60"/>
        <v>N</v>
      </c>
      <c r="X138" s="120">
        <f t="shared" si="71"/>
        <v>1</v>
      </c>
      <c r="Y138" s="69">
        <f t="shared" si="61"/>
        <v>23.299399999999999</v>
      </c>
      <c r="Z138" s="69">
        <f t="shared" si="62"/>
        <v>1.47E-2</v>
      </c>
      <c r="AA138" s="69">
        <f t="shared" si="63"/>
        <v>23.284699999999997</v>
      </c>
      <c r="AB138" s="66" t="e">
        <f>VLOOKUP(A138,Enforcements!$C$7:$J$21,8,0)</f>
        <v>#N/A</v>
      </c>
      <c r="AC138" s="62" t="e">
        <f>VLOOKUP(A138,Enforcements!$C$7:$E$21,3,0)</f>
        <v>#N/A</v>
      </c>
      <c r="AD138" s="63" t="str">
        <f t="shared" si="64"/>
        <v>0226-31</v>
      </c>
      <c r="AE138" s="99" t="str">
        <f t="shared" si="46"/>
        <v>aws s3 cp s3://rtdc.mdm.uploadarchive/RTDC4001/2016-08-31/ "%USERPROFILE%\AppData\Local\Temp\OnboardLogs"\RTDC4001\2016-08-31 --recursive &amp; "%USERPROFILE%\Documents\GitHub\mrs-test-scripts\Headless Mode &amp; Sideloading\WalkAndUnGZ.bat" "%USERPROFILE%\AppData\Local\Temp\OnboardLogs"\RTDC4001\2016-08-31 &amp; aws s3 cp s3://rtdc.mdm.uploadarchive/RTDC4001/2016-09-01/ "%USERPROFILE%\AppData\Local\Temp\OnboardLogs"\RTDC4001\2016-09-01 --recursive &amp; "%USERPROFILE%\Documents\GitHub\mrs-test-scripts\Headless Mode &amp; Sideloading\WalkAndUnGZ.bat" "%USERPROFILE%\AppData\Local\Temp\OnboardLogs"\RTDC4001\2016-09-01</v>
      </c>
      <c r="AF138" s="96" t="str">
        <f t="shared" si="47"/>
        <v>"C:\Program Files (x86)\AstroGrep\AstroGrep.exe" /spath="%USERPROFILE%\AppData\Local\Temp\OnboardLogs" /stypes="*4001*20160901*" /stext=" 03:.+((SYSTEM_STATE.+slice.+state.+changed )|(ment ac)|(system.+state.+changed )|(\|lc)|(penalty)|(\[timeout)|(PRM\|1\|D)|(kpr)|(kdp))" /e /r /s</v>
      </c>
      <c r="AG138" s="1" t="str">
        <f t="shared" si="65"/>
        <v>EC</v>
      </c>
      <c r="AH138" s="100" t="str">
        <f t="shared" si="49"/>
        <v>"%USERPROFILE%\Documents\GitHub\eaglep3\Utilities\RefineRTDCRunTimes.py" --tripid 226-31 --locoid 4001 --swversion DE.1.0.7.0 --startMP 204:232994 --initTime 2016-08-31T20:51:45 --startdatetime 2016-08-31T20:56:50 --delay 1 --endMP 204:147 --enddatetime 2016-08-31T21:33:48 --enforcementcount 0 &gt;&gt;C:\Users\stu\Documents\GitHub\eaglep3-reporting\EC\2016-08-31-refined-times.txt</v>
      </c>
      <c r="AI138" s="149" t="str">
        <f t="shared" si="50"/>
        <v>echo {"issue":{"subject":"","project_id":79,"tracker_id":40,"status_id":1,"priority_id":2,"assigned_to_id":23,"start_date":"2016-08-31","description":"","custom_fields":[{"id":1,"name":"Subdivision","value":"EC"},{"id":4,"name":"Milepost","value":"23.2847"},{"id":17,"name":"Train ID","value":"226-31"},{"id":16,"name":"Locomotive ID","value":"4001"},{"id":130,"name":"Impact","value":""},{"id":150,"name":"Time of Event (Mountain Time)","value":"21:33:48"},{"id":151,"name":"Denver Issue ID","value":""},{"id":178,"name":"Operational Impact","value":"Yes"},{"id":179,"name":"Denver Segment Assigned","value":""}]}} | curl -X POST -H "Content-Type: application/json" -H "X-Redmine-API-Key: d6333d4a04012a730768444271f8ca06482dae87" https://secure.xorail.net/redmine/issues.json --data @-</v>
      </c>
      <c r="AJ138" s="55"/>
      <c r="AK138" s="55"/>
      <c r="AL138" s="55"/>
    </row>
    <row r="139" spans="1:38" s="23" customFormat="1" x14ac:dyDescent="0.25">
      <c r="A139" s="39" t="s">
        <v>557</v>
      </c>
      <c r="B139" s="7">
        <v>4016</v>
      </c>
      <c r="C139" s="24" t="s">
        <v>113</v>
      </c>
      <c r="D139" s="24" t="s">
        <v>270</v>
      </c>
      <c r="E139" s="15">
        <v>42613.852048611108</v>
      </c>
      <c r="F139" s="15">
        <v>42613.854583333334</v>
      </c>
      <c r="G139" s="7">
        <v>2</v>
      </c>
      <c r="H139" s="15" t="s">
        <v>431</v>
      </c>
      <c r="I139" s="15">
        <v>42613.879525462966</v>
      </c>
      <c r="J139" s="7">
        <v>0</v>
      </c>
      <c r="K139" s="132" t="str">
        <f t="shared" si="54"/>
        <v>4015/4016</v>
      </c>
      <c r="L139" s="24" t="str">
        <f>VLOOKUP(A139,'Trips&amp;Operators'!$C$1:$E$10000,3,FALSE)</f>
        <v>COOLAHAN</v>
      </c>
      <c r="M139" s="6">
        <f t="shared" si="55"/>
        <v>2.4942129632108845E-2</v>
      </c>
      <c r="N139" s="7">
        <f t="shared" si="72"/>
        <v>35.916666670236737</v>
      </c>
      <c r="O139" s="7"/>
      <c r="P139" s="7"/>
      <c r="Q139" s="25"/>
      <c r="R139" s="25"/>
      <c r="S139" s="37">
        <f t="shared" si="73"/>
        <v>1</v>
      </c>
      <c r="T139" s="52" t="str">
        <f t="shared" si="58"/>
        <v>NorthBound</v>
      </c>
      <c r="U139" s="126">
        <f>IF(AG139="EC",COUNTIFS(Variables!$M$2:$M$19,IF(T139="NorthBound","&gt;=","&lt;=")&amp;Y139,Variables!$M$2:$M$19,IF(T139="NorthBound","&lt;=","&gt;=")&amp;Z139),COUNTIFS(Variables!$P$2:$P$19,IF(T139="NorthBound","&gt;=","&lt;=")&amp;Y139,Variables!$P$2:$P$19,IF(T139="NorthBound","&lt;=","&gt;=")&amp;Z139))</f>
        <v>12</v>
      </c>
      <c r="V139" s="106" t="str">
        <f t="shared" si="59"/>
        <v>https://search-rtdc-monitor-bjffxe2xuh6vdkpspy63sjmuny.us-east-1.es.amazonaws.com/_plugin/kibana/#/discover/Steve-Slow-Train-Analysis-(2080s-and-2083s)?_g=(refreshInterval:(display:Off,section:0,value:0),time:(from:'2016-08-31 19:26:57-0600',mode:absolute,to:'2016-08-31 22:06:31-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4016%22')),sort:!(Time,asc))</v>
      </c>
      <c r="W139" s="54" t="str">
        <f t="shared" si="60"/>
        <v>N</v>
      </c>
      <c r="X139" s="120">
        <f t="shared" si="71"/>
        <v>1</v>
      </c>
      <c r="Y139" s="69">
        <f t="shared" si="61"/>
        <v>4.3099999999999999E-2</v>
      </c>
      <c r="Z139" s="69">
        <f t="shared" si="62"/>
        <v>23.327000000000002</v>
      </c>
      <c r="AA139" s="69">
        <f t="shared" si="63"/>
        <v>23.283900000000003</v>
      </c>
      <c r="AB139" s="66">
        <f>VLOOKUP(A139,Enforcements!$C$7:$J$21,8,0)</f>
        <v>42779</v>
      </c>
      <c r="AC139" s="62" t="str">
        <f>VLOOKUP(A139,Enforcements!$C$7:$E$21,3,0)</f>
        <v>GRADE CROSSING</v>
      </c>
      <c r="AD139" s="63" t="str">
        <f t="shared" si="64"/>
        <v>0227-31</v>
      </c>
      <c r="AE139" s="99" t="str">
        <f t="shared" ref="AE139:AE202" si="74">"aws s3 cp "&amp;s3_bucket&amp;"/RTDC"&amp;B139&amp;"/"&amp;TEXT(F139,"YYYY-MM-DD")&amp;"/ "&amp;search_path&amp;"\RTDC"&amp;B139&amp;"\"&amp;TEXT(F139,"YYYY-MM-DD")&amp;" --recursive &amp; """&amp;walkandungz&amp;""" "&amp;search_path&amp;"\RTDC"&amp;B139&amp;"\"&amp;TEXT(F139,"YYYY-MM-DD")
&amp;" &amp; "&amp;"aws s3 cp "&amp;s3_bucket&amp;"/RTDC"&amp;B139&amp;"/"&amp;TEXT(F139+1,"YYYY-MM-DD")&amp;"/ "&amp;search_path&amp;"\RTDC"&amp;B139&amp;"\"&amp;TEXT(F139+1,"YYYY-MM-DD")&amp;" --recursive &amp; """&amp;walkandungz&amp;""" "&amp;search_path&amp;"\RTDC"&amp;B139&amp;"\"&amp;TEXT(F139+1,"YYYY-MM-DD")</f>
        <v>aws s3 cp s3://rtdc.mdm.uploadarchive/RTDC4016/2016-08-31/ "%USERPROFILE%\AppData\Local\Temp\OnboardLogs"\RTDC4016\2016-08-31 --recursive &amp; "%USERPROFILE%\Documents\GitHub\mrs-test-scripts\Headless Mode &amp; Sideloading\WalkAndUnGZ.bat" "%USERPROFILE%\AppData\Local\Temp\OnboardLogs"\RTDC4016\2016-08-31 &amp; aws s3 cp s3://rtdc.mdm.uploadarchive/RTDC4016/2016-09-01/ "%USERPROFILE%\AppData\Local\Temp\OnboardLogs"\RTDC4016\2016-09-01 --recursive &amp; "%USERPROFILE%\Documents\GitHub\mrs-test-scripts\Headless Mode &amp; Sideloading\WalkAndUnGZ.bat" "%USERPROFILE%\AppData\Local\Temp\OnboardLogs"\RTDC4016\2016-09-01</v>
      </c>
      <c r="AF139" s="96" t="str">
        <f t="shared" ref="AF139:AF202" si="75">astrogrep_path&amp;" /spath="&amp;search_path&amp;" /stypes=""*"&amp;B139&amp;"*"&amp;TEXT(I139-utc_offset/24,"YYYYMMDD")&amp;"*"" /stext="" "&amp;TEXT(I139-utc_offset/24,"HH")&amp;search_regexp&amp;""" /e /r /s"</f>
        <v>"C:\Program Files (x86)\AstroGrep\AstroGrep.exe" /spath="%USERPROFILE%\AppData\Local\Temp\OnboardLogs" /stypes="*4016*20160901*" /stext=" 03:.+((SYSTEM_STATE.+slice.+state.+changed )|(ment ac)|(system.+state.+changed )|(\|lc)|(penalty)|(\[timeout)|(PRM\|1\|D)|(kpr)|(kdp))" /e /r /s</v>
      </c>
      <c r="AG139" s="1" t="str">
        <f t="shared" si="65"/>
        <v>EC</v>
      </c>
      <c r="AH139" s="100" t="str">
        <f t="shared" si="49"/>
        <v>"%USERPROFILE%\Documents\GitHub\eaglep3\Utilities\RefineRTDCRunTimes.py" --tripid 227-31 --locoid 4016 --swversion DE.1.0.7.0 --startMP 204:431 --initTime 2016-08-31T20:26:57 --startdatetime 2016-08-31T20:30:36 --delay 2 --endMP 204:233270 --enddatetime 2016-08-31T21:06:31 --enforcementcount 0 &gt;&gt;C:\Users\stu\Documents\GitHub\eaglep3-reporting\EC\2016-08-31-refined-times.txt</v>
      </c>
      <c r="AI139" s="149" t="str">
        <f t="shared" si="50"/>
        <v>echo {"issue":{"subject":"","project_id":79,"tracker_id":40,"status_id":1,"priority_id":2,"assigned_to_id":23,"start_date":"2016-08-31","description":"","custom_fields":[{"id":1,"name":"Subdivision","value":"EC"},{"id":4,"name":"Milepost","value":"23.2839"},{"id":17,"name":"Train ID","value":"227-31"},{"id":16,"name":"Locomotive ID","value":"4016"},{"id":130,"name":"Impact","value":""},{"id":150,"name":"Time of Event (Mountain Time)","value":"21:06:31"},{"id":151,"name":"Denver Issue ID","value":""},{"id":178,"name":"Operational Impact","value":"Yes"},{"id":179,"name":"Denver Segment Assigned","value":""}]}} | curl -X POST -H "Content-Type: application/json" -H "X-Redmine-API-Key: d6333d4a04012a730768444271f8ca06482dae87" https://secure.xorail.net/redmine/issues.json --data @-</v>
      </c>
      <c r="AJ139" s="55"/>
      <c r="AK139" s="55"/>
      <c r="AL139" s="55"/>
    </row>
    <row r="140" spans="1:38" s="23" customFormat="1" x14ac:dyDescent="0.25">
      <c r="A140" s="39" t="s">
        <v>558</v>
      </c>
      <c r="B140" s="7">
        <v>4015</v>
      </c>
      <c r="C140" s="24" t="s">
        <v>113</v>
      </c>
      <c r="D140" s="24" t="s">
        <v>223</v>
      </c>
      <c r="E140" s="15">
        <v>42613.888391203705</v>
      </c>
      <c r="F140" s="15">
        <v>42613.894016203703</v>
      </c>
      <c r="G140" s="7">
        <v>1</v>
      </c>
      <c r="H140" s="15" t="s">
        <v>559</v>
      </c>
      <c r="I140" s="15">
        <v>42613.919872685183</v>
      </c>
      <c r="J140" s="7">
        <v>0</v>
      </c>
      <c r="K140" s="132" t="str">
        <f t="shared" ref="K140:K171" si="76">IF(ISEVEN(B140),(B140-1)&amp;"/"&amp;B140,B140&amp;"/"&amp;(B140+1))</f>
        <v>4015/4016</v>
      </c>
      <c r="L140" s="24" t="str">
        <f>VLOOKUP(A140,'Trips&amp;Operators'!$C$1:$E$10000,3,FALSE)</f>
        <v>COOLAHAN</v>
      </c>
      <c r="M140" s="6">
        <f t="shared" ref="M140:M171" si="77">I140-F140</f>
        <v>2.5856481479422655E-2</v>
      </c>
      <c r="N140" s="7">
        <f t="shared" si="72"/>
        <v>37.233333330368623</v>
      </c>
      <c r="O140" s="7"/>
      <c r="P140" s="7"/>
      <c r="Q140" s="25"/>
      <c r="R140" s="25"/>
      <c r="S140" s="37">
        <f t="shared" si="73"/>
        <v>1</v>
      </c>
      <c r="T140" s="52" t="str">
        <f t="shared" ref="T140:T171" si="78">IF(ISEVEN(LEFT(AD140,4)),"Southbound","NorthBound")</f>
        <v>Southbound</v>
      </c>
      <c r="U140" s="126">
        <f>IF(AG140="EC",COUNTIFS(Variables!$M$2:$M$19,IF(T140="NorthBound","&gt;=","&lt;=")&amp;Y140,Variables!$M$2:$M$19,IF(T140="NorthBound","&lt;=","&gt;=")&amp;Z140),COUNTIFS(Variables!$P$2:$P$19,IF(T140="NorthBound","&gt;=","&lt;=")&amp;Y140,Variables!$P$2:$P$19,IF(T140="NorthBound","&lt;=","&gt;=")&amp;Z140))</f>
        <v>12</v>
      </c>
      <c r="V140" s="106" t="str">
        <f t="shared" ref="V140:V171" si="79">"https://search-rtdc-monitor-bjffxe2xuh6vdkpspy63sjmuny.us-east-1.es.amazonaws.com/_plugin/kibana/#/discover/Steve-Slow-Train-Analysis-(2080s-and-2083s)?_g=(refreshInterval:(display:Off,section:0,value:0),time:(from:'"&amp;TEXT(E140-1/24,"yyyy-MM-DD hh:mm:ss")&amp;"-0600',mode:absolute,to:'"&amp;TEXT(I140+1/24,"yyyy-MM-DD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filters:!(),index:'emp_*',interval:auto,query:"&amp;"(query_string:(analyze_wildcard:!t,query:'Message%5C%20ID:(2083%20OR%202080%20OR%201041%20OR%202003%20OR%201051)%20AND%20%22rtdc.l.rtdc."&amp;B140&amp;"%22')),sort:!(Time,asc))"</f>
        <v>https://search-rtdc-monitor-bjffxe2xuh6vdkpspy63sjmuny.us-east-1.es.amazonaws.com/_plugin/kibana/#/discover/Steve-Slow-Train-Analysis-(2080s-and-2083s)?_g=(refreshInterval:(display:Off,section:0,value:0),time:(from:'2016-08-31 20:19:17-0600',mode:absolute,to:'2016-08-31 23:04:37-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4015%22')),sort:!(Time,asc))</v>
      </c>
      <c r="W140" s="54" t="str">
        <f t="shared" ref="W140:W171" si="80">IF(AA140&lt;IF(AG140="EC",23,5.65),"Y","N")</f>
        <v>N</v>
      </c>
      <c r="X140" s="120">
        <f t="shared" si="71"/>
        <v>1</v>
      </c>
      <c r="Y140" s="69">
        <f t="shared" ref="Y140:Y171" si="81">RIGHT(D140,LEN(D140)-4)/10000</f>
        <v>23.297699999999999</v>
      </c>
      <c r="Z140" s="69">
        <f t="shared" ref="Z140:Z161" si="82">RIGHT(H140,LEN(H140)-4)/10000</f>
        <v>2.5999999999999999E-2</v>
      </c>
      <c r="AA140" s="69">
        <f t="shared" ref="AA140:AA171" si="83">ABS(Z140-Y140)</f>
        <v>23.271699999999999</v>
      </c>
      <c r="AB140" s="66">
        <f>VLOOKUP(A140,Enforcements!$C$7:$J$21,8,0)</f>
        <v>63309</v>
      </c>
      <c r="AC140" s="62" t="str">
        <f>VLOOKUP(A140,Enforcements!$C$7:$E$21,3,0)</f>
        <v>GRADE CROSSING</v>
      </c>
      <c r="AD140" s="63" t="str">
        <f t="shared" ref="AD140:AD171" si="84">IF(LEN(A140)=6,"0"&amp;A140,A140)</f>
        <v>0228-31</v>
      </c>
      <c r="AE140" s="99" t="str">
        <f t="shared" si="74"/>
        <v>aws s3 cp s3://rtdc.mdm.uploadarchive/RTDC4015/2016-08-31/ "%USERPROFILE%\AppData\Local\Temp\OnboardLogs"\RTDC4015\2016-08-31 --recursive &amp; "%USERPROFILE%\Documents\GitHub\mrs-test-scripts\Headless Mode &amp; Sideloading\WalkAndUnGZ.bat" "%USERPROFILE%\AppData\Local\Temp\OnboardLogs"\RTDC4015\2016-08-31 &amp; aws s3 cp s3://rtdc.mdm.uploadarchive/RTDC4015/2016-09-01/ "%USERPROFILE%\AppData\Local\Temp\OnboardLogs"\RTDC4015\2016-09-01 --recursive &amp; "%USERPROFILE%\Documents\GitHub\mrs-test-scripts\Headless Mode &amp; Sideloading\WalkAndUnGZ.bat" "%USERPROFILE%\AppData\Local\Temp\OnboardLogs"\RTDC4015\2016-09-01</v>
      </c>
      <c r="AF140" s="96" t="str">
        <f t="shared" si="75"/>
        <v>"C:\Program Files (x86)\AstroGrep\AstroGrep.exe" /spath="%USERPROFILE%\AppData\Local\Temp\OnboardLogs" /stypes="*4015*20160901*" /stext=" 04:.+((SYSTEM_STATE.+slice.+state.+changed )|(ment ac)|(system.+state.+changed )|(\|lc)|(penalty)|(\[timeout)|(PRM\|1\|D)|(kpr)|(kdp))" /e /r /s</v>
      </c>
      <c r="AG140" s="1" t="str">
        <f t="shared" ref="AG140:AG171" si="85">IFERROR(IF(VALUE(LEFT(AD140,2))&lt;=2,"EC",IF(OR(VALUE(LEFT(AD140,2))=8,VALUE(LEFT(AD140,2))=18),"NW","Other")),"Other")</f>
        <v>EC</v>
      </c>
      <c r="AH140" s="100" t="str">
        <f t="shared" si="49"/>
        <v>"%USERPROFILE%\Documents\GitHub\eaglep3\Utilities\RefineRTDCRunTimes.py" --tripid 228-31 --locoid 4015 --swversion DE.1.0.7.0 --startMP 204:232977 --initTime 2016-08-31T21:19:17 --startdatetime 2016-08-31T21:27:23 --delay 1 --endMP 204:260 --enddatetime 2016-08-31T22:04:37 --enforcementcount 0 &gt;&gt;C:\Users\stu\Documents\GitHub\eaglep3-reporting\EC\2016-08-31-refined-times.txt</v>
      </c>
      <c r="AI140" s="149" t="str">
        <f t="shared" si="50"/>
        <v>echo {"issue":{"subject":"","project_id":79,"tracker_id":40,"status_id":1,"priority_id":2,"assigned_to_id":23,"start_date":"2016-08-31","description":"","custom_fields":[{"id":1,"name":"Subdivision","value":"EC"},{"id":4,"name":"Milepost","value":"23.2717"},{"id":17,"name":"Train ID","value":"228-31"},{"id":16,"name":"Locomotive ID","value":"4015"},{"id":130,"name":"Impact","value":""},{"id":150,"name":"Time of Event (Mountain Time)","value":"22:04:37"},{"id":151,"name":"Denver Issue ID","value":""},{"id":178,"name":"Operational Impact","value":"Yes"},{"id":179,"name":"Denver Segment Assigned","value":""}]}} | curl -X POST -H "Content-Type: application/json" -H "X-Redmine-API-Key: d6333d4a04012a730768444271f8ca06482dae87" https://secure.xorail.net/redmine/issues.json --data @-</v>
      </c>
      <c r="AJ140" s="55"/>
      <c r="AK140" s="55"/>
      <c r="AL140" s="55"/>
    </row>
    <row r="141" spans="1:38" x14ac:dyDescent="0.25">
      <c r="A141" s="39" t="s">
        <v>560</v>
      </c>
      <c r="B141" s="7">
        <v>4027</v>
      </c>
      <c r="C141" s="24" t="s">
        <v>113</v>
      </c>
      <c r="D141" s="24" t="s">
        <v>478</v>
      </c>
      <c r="E141" s="15">
        <v>42613.869317129633</v>
      </c>
      <c r="F141" s="15">
        <v>42613.875393518516</v>
      </c>
      <c r="G141" s="7">
        <v>2</v>
      </c>
      <c r="H141" s="15" t="s">
        <v>473</v>
      </c>
      <c r="I141" s="15">
        <v>42613.901064814818</v>
      </c>
      <c r="J141" s="7">
        <v>0</v>
      </c>
      <c r="K141" s="132" t="str">
        <f t="shared" si="76"/>
        <v>4027/4028</v>
      </c>
      <c r="L141" s="24" t="str">
        <f>VLOOKUP(A141,'Trips&amp;Operators'!$C$1:$E$10000,3,FALSE)</f>
        <v>STURGEON</v>
      </c>
      <c r="M141" s="6">
        <f t="shared" si="77"/>
        <v>2.567129630187992E-2</v>
      </c>
      <c r="N141" s="7">
        <f t="shared" si="72"/>
        <v>36.966666674707085</v>
      </c>
      <c r="O141" s="7"/>
      <c r="P141" s="7"/>
      <c r="Q141" s="25"/>
      <c r="R141" s="25"/>
      <c r="S141" s="37">
        <f t="shared" si="73"/>
        <v>1</v>
      </c>
      <c r="T141" s="52" t="str">
        <f t="shared" si="78"/>
        <v>NorthBound</v>
      </c>
      <c r="U141" s="126">
        <f>IF(AG141="EC",COUNTIFS(Variables!$M$2:$M$19,IF(T141="NorthBound","&gt;=","&lt;=")&amp;Y141,Variables!$M$2:$M$19,IF(T141="NorthBound","&lt;=","&gt;=")&amp;Z141),COUNTIFS(Variables!$P$2:$P$19,IF(T141="NorthBound","&gt;=","&lt;=")&amp;Y141,Variables!$P$2:$P$19,IF(T141="NorthBound","&lt;=","&gt;=")&amp;Z141))</f>
        <v>12</v>
      </c>
      <c r="V141" s="106" t="str">
        <f t="shared" si="79"/>
        <v>https://search-rtdc-monitor-bjffxe2xuh6vdkpspy63sjmuny.us-east-1.es.amazonaws.com/_plugin/kibana/#/discover/Steve-Slow-Train-Analysis-(2080s-and-2083s)?_g=(refreshInterval:(display:Off,section:0,value:0),time:(from:'2016-08-31 19:51:49-0600',mode:absolute,to:'2016-08-31 22:37:32-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4027%22')),sort:!(Time,asc))</v>
      </c>
      <c r="W141" s="54" t="str">
        <f t="shared" si="80"/>
        <v>N</v>
      </c>
      <c r="X141" s="120">
        <f t="shared" si="71"/>
        <v>1</v>
      </c>
      <c r="Y141" s="69">
        <f t="shared" si="81"/>
        <v>4.6899999999999997E-2</v>
      </c>
      <c r="Z141" s="69">
        <f t="shared" si="82"/>
        <v>23.330400000000001</v>
      </c>
      <c r="AA141" s="69">
        <f t="shared" si="83"/>
        <v>23.2835</v>
      </c>
      <c r="AB141" s="66" t="e">
        <f>VLOOKUP(A141,Enforcements!$C$7:$J$21,8,0)</f>
        <v>#N/A</v>
      </c>
      <c r="AC141" s="62" t="e">
        <f>VLOOKUP(A141,Enforcements!$C$7:$E$21,3,0)</f>
        <v>#N/A</v>
      </c>
      <c r="AD141" s="63" t="str">
        <f t="shared" si="84"/>
        <v>0229-31</v>
      </c>
      <c r="AE141" s="99" t="str">
        <f t="shared" si="74"/>
        <v>aws s3 cp s3://rtdc.mdm.uploadarchive/RTDC4027/2016-08-31/ "%USERPROFILE%\AppData\Local\Temp\OnboardLogs"\RTDC4027\2016-08-31 --recursive &amp; "%USERPROFILE%\Documents\GitHub\mrs-test-scripts\Headless Mode &amp; Sideloading\WalkAndUnGZ.bat" "%USERPROFILE%\AppData\Local\Temp\OnboardLogs"\RTDC4027\2016-08-31 &amp; aws s3 cp s3://rtdc.mdm.uploadarchive/RTDC4027/2016-09-01/ "%USERPROFILE%\AppData\Local\Temp\OnboardLogs"\RTDC4027\2016-09-01 --recursive &amp; "%USERPROFILE%\Documents\GitHub\mrs-test-scripts\Headless Mode &amp; Sideloading\WalkAndUnGZ.bat" "%USERPROFILE%\AppData\Local\Temp\OnboardLogs"\RTDC4027\2016-09-01</v>
      </c>
      <c r="AF141" s="96" t="str">
        <f t="shared" si="75"/>
        <v>"C:\Program Files (x86)\AstroGrep\AstroGrep.exe" /spath="%USERPROFILE%\AppData\Local\Temp\OnboardLogs" /stypes="*4027*20160901*" /stext=" 03:.+((SYSTEM_STATE.+slice.+state.+changed )|(ment ac)|(system.+state.+changed )|(\|lc)|(penalty)|(\[timeout)|(PRM\|1\|D)|(kpr)|(kdp))" /e /r /s</v>
      </c>
      <c r="AG141" s="1" t="str">
        <f t="shared" si="85"/>
        <v>EC</v>
      </c>
      <c r="AH141" s="100" t="str">
        <f t="shared" ref="AH141:AH202" si="86">refinertdcruntimes&amp;" --tripid "&amp;A141&amp;" --locoid "&amp;B141&amp;" --swversion "&amp;C141&amp;" --startMP "&amp;D141&amp;" --initTime "&amp;TEXT(E141,"yyyy-mm-ddTHH:MM:SS")&amp;" --startdatetime "&amp;TEXT(F141,"yyyy-mm-ddTHH:MM:SS")&amp;" --delay "&amp;G141&amp;" --endMP "&amp;H141&amp;" --enddatetime "&amp;TEXT(I141,"yyyy-mm-ddTHH:MM:SS")&amp;" --enforcementcount "&amp;J141&amp;IF(outputrefinedruntimes," &gt;&gt;"&amp;RefinedRTDCRunTimesOutputFile,"")</f>
        <v>"%USERPROFILE%\Documents\GitHub\eaglep3\Utilities\RefineRTDCRunTimes.py" --tripid 229-31 --locoid 4027 --swversion DE.1.0.7.0 --startMP 204:469 --initTime 2016-08-31T20:51:49 --startdatetime 2016-08-31T21:00:34 --delay 2 --endMP 204:233304 --enddatetime 2016-08-31T21:37:32 --enforcementcount 0 &gt;&gt;C:\Users\stu\Documents\GitHub\eaglep3-reporting\EC\2016-08-31-refined-times.txt</v>
      </c>
      <c r="AI141" s="149" t="str">
        <f t="shared" ref="AI141:AI202" si="87">"echo {""issue"":{""subject"":"""&amp;R141&amp;""",""project_id"":79,""tracker_id"":40,""status_id"":"&amp;redmine_status&amp;",""priority_id"":"&amp;redmine_priority&amp;",""assigned_to_id"":"&amp;redmine_assignee&amp;",""start_date"":"""&amp;TEXT(I141,"YYYY-mm-dd")&amp;""",""description"":"""&amp;AJ141&amp;""",""custom_fields"":[{""id"":1,""name"":""Subdivision"",""value"":"""&amp;AG141&amp;"""},{""id"":4,""name"":""Milepost"",""value"":"""&amp;AA141&amp;"""},{""id"":17,""name"":""Train ID"",""value"":"""&amp;A141&amp;"""},{""id"":16,""name"":""Locomotive ID"",""value"":"""&amp;B141&amp;"""},{""id"":130,""name"":""Impact"",""value"":"""&amp;AK141&amp;"""},{""id"":150,""name"":""Time of Event (Mountain Time)"",""value"":"""&amp;TEXT(I141,"hh:mm:ss")&amp;"""},{""id"":151,""name"":""Denver Issue ID"",""value"":"""&amp;"""},{""id"":178,""name"":""Operational Impact"",""value"":"""&amp;redmine_op_impact&amp;"""},{""id"":179,""name"":""Denver Segment Assigned"",""value"":"""&amp;AL141&amp;"""}]}}"&amp;" | curl -X POST -H ""Content-Type: application/json"" -H ""X-Redmine-API-Key: "&amp;redm_api_key&amp;""" "&amp;redm_url&amp;" --data @-"</f>
        <v>echo {"issue":{"subject":"","project_id":79,"tracker_id":40,"status_id":1,"priority_id":2,"assigned_to_id":23,"start_date":"2016-08-31","description":"","custom_fields":[{"id":1,"name":"Subdivision","value":"EC"},{"id":4,"name":"Milepost","value":"23.2835"},{"id":17,"name":"Train ID","value":"229-31"},{"id":16,"name":"Locomotive ID","value":"4027"},{"id":130,"name":"Impact","value":""},{"id":150,"name":"Time of Event (Mountain Time)","value":"21:37:32"},{"id":151,"name":"Denver Issue ID","value":""},{"id":178,"name":"Operational Impact","value":"Yes"},{"id":179,"name":"Denver Segment Assigned","value":""}]}} | curl -X POST -H "Content-Type: application/json" -H "X-Redmine-API-Key: d6333d4a04012a730768444271f8ca06482dae87" https://secure.xorail.net/redmine/issues.json --data @-</v>
      </c>
      <c r="AJ141" s="55"/>
      <c r="AK141" s="55"/>
      <c r="AL141" s="55"/>
    </row>
    <row r="142" spans="1:38" x14ac:dyDescent="0.25">
      <c r="A142" s="39" t="s">
        <v>561</v>
      </c>
      <c r="B142" s="7">
        <v>4028</v>
      </c>
      <c r="C142" s="24" t="s">
        <v>113</v>
      </c>
      <c r="D142" s="24" t="s">
        <v>462</v>
      </c>
      <c r="E142" s="15">
        <v>42613.910081018519</v>
      </c>
      <c r="F142" s="15">
        <v>42613.914120370369</v>
      </c>
      <c r="G142" s="7">
        <v>1</v>
      </c>
      <c r="H142" s="15" t="s">
        <v>167</v>
      </c>
      <c r="I142" s="15">
        <v>42613.940937500003</v>
      </c>
      <c r="J142" s="7">
        <v>0</v>
      </c>
      <c r="K142" s="132" t="str">
        <f t="shared" si="76"/>
        <v>4027/4028</v>
      </c>
      <c r="L142" s="24" t="str">
        <f>VLOOKUP(A142,'Trips&amp;Operators'!$C$1:$E$10000,3,FALSE)</f>
        <v>STURGEON</v>
      </c>
      <c r="M142" s="6">
        <f t="shared" si="77"/>
        <v>2.6817129633855075E-2</v>
      </c>
      <c r="N142" s="7">
        <f t="shared" si="72"/>
        <v>38.616666672751307</v>
      </c>
      <c r="O142" s="7"/>
      <c r="P142" s="7"/>
      <c r="Q142" s="25"/>
      <c r="R142" s="25"/>
      <c r="S142" s="37">
        <f t="shared" si="73"/>
        <v>1</v>
      </c>
      <c r="T142" s="52" t="str">
        <f t="shared" si="78"/>
        <v>Southbound</v>
      </c>
      <c r="U142" s="126">
        <f>IF(AG142="EC",COUNTIFS(Variables!$M$2:$M$19,IF(T142="NorthBound","&gt;=","&lt;=")&amp;Y142,Variables!$M$2:$M$19,IF(T142="NorthBound","&lt;=","&gt;=")&amp;Z142),COUNTIFS(Variables!$P$2:$P$19,IF(T142="NorthBound","&gt;=","&lt;=")&amp;Y142,Variables!$P$2:$P$19,IF(T142="NorthBound","&lt;=","&gt;=")&amp;Z142))</f>
        <v>12</v>
      </c>
      <c r="V142" s="106" t="str">
        <f t="shared" si="79"/>
        <v>https://search-rtdc-monitor-bjffxe2xuh6vdkpspy63sjmuny.us-east-1.es.amazonaws.com/_plugin/kibana/#/discover/Steve-Slow-Train-Analysis-(2080s-and-2083s)?_g=(refreshInterval:(display:Off,section:0,value:0),time:(from:'2016-08-31 20:50:31-0600',mode:absolute,to:'2016-08-31 23:34:57-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4028%22')),sort:!(Time,asc))</v>
      </c>
      <c r="W142" s="54" t="str">
        <f t="shared" si="80"/>
        <v>N</v>
      </c>
      <c r="X142" s="120">
        <f t="shared" si="71"/>
        <v>1</v>
      </c>
      <c r="Y142" s="69">
        <f t="shared" si="81"/>
        <v>23.298300000000001</v>
      </c>
      <c r="Z142" s="69">
        <f t="shared" si="82"/>
        <v>1.52E-2</v>
      </c>
      <c r="AA142" s="69">
        <f t="shared" si="83"/>
        <v>23.283100000000001</v>
      </c>
      <c r="AB142" s="66" t="e">
        <f>VLOOKUP(A142,Enforcements!$C$7:$J$21,8,0)</f>
        <v>#N/A</v>
      </c>
      <c r="AC142" s="62" t="e">
        <f>VLOOKUP(A142,Enforcements!$C$7:$E$21,3,0)</f>
        <v>#N/A</v>
      </c>
      <c r="AD142" s="63" t="str">
        <f t="shared" si="84"/>
        <v>0230-31</v>
      </c>
      <c r="AE142" s="99" t="str">
        <f t="shared" si="74"/>
        <v>aws s3 cp s3://rtdc.mdm.uploadarchive/RTDC4028/2016-08-31/ "%USERPROFILE%\AppData\Local\Temp\OnboardLogs"\RTDC4028\2016-08-31 --recursive &amp; "%USERPROFILE%\Documents\GitHub\mrs-test-scripts\Headless Mode &amp; Sideloading\WalkAndUnGZ.bat" "%USERPROFILE%\AppData\Local\Temp\OnboardLogs"\RTDC4028\2016-08-31 &amp; aws s3 cp s3://rtdc.mdm.uploadarchive/RTDC4028/2016-09-01/ "%USERPROFILE%\AppData\Local\Temp\OnboardLogs"\RTDC4028\2016-09-01 --recursive &amp; "%USERPROFILE%\Documents\GitHub\mrs-test-scripts\Headless Mode &amp; Sideloading\WalkAndUnGZ.bat" "%USERPROFILE%\AppData\Local\Temp\OnboardLogs"\RTDC4028\2016-09-01</v>
      </c>
      <c r="AF142" s="96" t="str">
        <f t="shared" si="75"/>
        <v>"C:\Program Files (x86)\AstroGrep\AstroGrep.exe" /spath="%USERPROFILE%\AppData\Local\Temp\OnboardLogs" /stypes="*4028*20160901*" /stext=" 04:.+((SYSTEM_STATE.+slice.+state.+changed )|(ment ac)|(system.+state.+changed )|(\|lc)|(penalty)|(\[timeout)|(PRM\|1\|D)|(kpr)|(kdp))" /e /r /s</v>
      </c>
      <c r="AG142" s="1" t="str">
        <f t="shared" si="85"/>
        <v>EC</v>
      </c>
      <c r="AH142" s="100" t="str">
        <f t="shared" si="86"/>
        <v>"%USERPROFILE%\Documents\GitHub\eaglep3\Utilities\RefineRTDCRunTimes.py" --tripid 230-31 --locoid 4028 --swversion DE.1.0.7.0 --startMP 204:232983 --initTime 2016-08-31T21:50:31 --startdatetime 2016-08-31T21:56:20 --delay 1 --endMP 204:152 --enddatetime 2016-08-31T22:34:57 --enforcementcount 0 &gt;&gt;C:\Users\stu\Documents\GitHub\eaglep3-reporting\EC\2016-08-31-refined-times.txt</v>
      </c>
      <c r="AI142" s="149" t="str">
        <f t="shared" si="87"/>
        <v>echo {"issue":{"subject":"","project_id":79,"tracker_id":40,"status_id":1,"priority_id":2,"assigned_to_id":23,"start_date":"2016-08-31","description":"","custom_fields":[{"id":1,"name":"Subdivision","value":"EC"},{"id":4,"name":"Milepost","value":"23.2831"},{"id":17,"name":"Train ID","value":"230-31"},{"id":16,"name":"Locomotive ID","value":"4028"},{"id":130,"name":"Impact","value":""},{"id":150,"name":"Time of Event (Mountain Time)","value":"22:34:57"},{"id":151,"name":"Denver Issue ID","value":""},{"id":178,"name":"Operational Impact","value":"Yes"},{"id":179,"name":"Denver Segment Assigned","value":""}]}} | curl -X POST -H "Content-Type: application/json" -H "X-Redmine-API-Key: d6333d4a04012a730768444271f8ca06482dae87" https://secure.xorail.net/redmine/issues.json --data @-</v>
      </c>
      <c r="AJ142" s="55"/>
      <c r="AK142" s="55"/>
      <c r="AL142" s="55"/>
    </row>
    <row r="143" spans="1:38" x14ac:dyDescent="0.25">
      <c r="A143" s="39" t="s">
        <v>562</v>
      </c>
      <c r="B143" s="7">
        <v>4029</v>
      </c>
      <c r="C143" s="24" t="s">
        <v>113</v>
      </c>
      <c r="D143" s="24" t="s">
        <v>563</v>
      </c>
      <c r="E143" s="15">
        <v>42613.892870370371</v>
      </c>
      <c r="F143" s="15">
        <v>42613.895983796298</v>
      </c>
      <c r="G143" s="7">
        <v>1</v>
      </c>
      <c r="H143" s="15" t="s">
        <v>330</v>
      </c>
      <c r="I143" s="15">
        <v>42613.920428240737</v>
      </c>
      <c r="J143" s="7">
        <v>0</v>
      </c>
      <c r="K143" s="132" t="str">
        <f t="shared" si="76"/>
        <v>4029/4030</v>
      </c>
      <c r="L143" s="24" t="str">
        <f>VLOOKUP(A143,'Trips&amp;Operators'!$C$1:$E$10000,3,FALSE)</f>
        <v>YANAI</v>
      </c>
      <c r="M143" s="6">
        <f t="shared" si="77"/>
        <v>2.4444444439723156E-2</v>
      </c>
      <c r="N143" s="7">
        <f t="shared" si="72"/>
        <v>35.199999993201345</v>
      </c>
      <c r="O143" s="7"/>
      <c r="P143" s="7"/>
      <c r="Q143" s="25"/>
      <c r="R143" s="25"/>
      <c r="S143" s="37">
        <f t="shared" si="73"/>
        <v>1</v>
      </c>
      <c r="T143" s="52" t="str">
        <f t="shared" si="78"/>
        <v>NorthBound</v>
      </c>
      <c r="U143" s="126">
        <f>IF(AG143="EC",COUNTIFS(Variables!$M$2:$M$19,IF(T143="NorthBound","&gt;=","&lt;=")&amp;Y143,Variables!$M$2:$M$19,IF(T143="NorthBound","&lt;=","&gt;=")&amp;Z143),COUNTIFS(Variables!$P$2:$P$19,IF(T143="NorthBound","&gt;=","&lt;=")&amp;Y143,Variables!$P$2:$P$19,IF(T143="NorthBound","&lt;=","&gt;=")&amp;Z143))</f>
        <v>12</v>
      </c>
      <c r="V143" s="106" t="str">
        <f t="shared" si="79"/>
        <v>https://search-rtdc-monitor-bjffxe2xuh6vdkpspy63sjmuny.us-east-1.es.amazonaws.com/_plugin/kibana/#/discover/Steve-Slow-Train-Analysis-(2080s-and-2083s)?_g=(refreshInterval:(display:Off,section:0,value:0),time:(from:'2016-08-31 20:25:44-0600',mode:absolute,to:'2016-08-31 23:05:25-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4029%22')),sort:!(Time,asc))</v>
      </c>
      <c r="W143" s="54" t="str">
        <f t="shared" si="80"/>
        <v>N</v>
      </c>
      <c r="X143" s="120">
        <f t="shared" si="71"/>
        <v>1</v>
      </c>
      <c r="Y143" s="69">
        <f t="shared" si="81"/>
        <v>4.2900000000000001E-2</v>
      </c>
      <c r="Z143" s="69">
        <f t="shared" si="82"/>
        <v>23.33</v>
      </c>
      <c r="AA143" s="69">
        <f t="shared" si="83"/>
        <v>23.287099999999999</v>
      </c>
      <c r="AB143" s="66" t="e">
        <f>VLOOKUP(A143,Enforcements!$C$7:$J$21,8,0)</f>
        <v>#N/A</v>
      </c>
      <c r="AC143" s="62" t="e">
        <f>VLOOKUP(A143,Enforcements!$C$7:$E$21,3,0)</f>
        <v>#N/A</v>
      </c>
      <c r="AD143" s="63" t="str">
        <f t="shared" si="84"/>
        <v>0231-31</v>
      </c>
      <c r="AE143" s="99" t="str">
        <f t="shared" si="74"/>
        <v>aws s3 cp s3://rtdc.mdm.uploadarchive/RTDC4029/2016-08-31/ "%USERPROFILE%\AppData\Local\Temp\OnboardLogs"\RTDC4029\2016-08-31 --recursive &amp; "%USERPROFILE%\Documents\GitHub\mrs-test-scripts\Headless Mode &amp; Sideloading\WalkAndUnGZ.bat" "%USERPROFILE%\AppData\Local\Temp\OnboardLogs"\RTDC4029\2016-08-31 &amp; aws s3 cp s3://rtdc.mdm.uploadarchive/RTDC4029/2016-09-01/ "%USERPROFILE%\AppData\Local\Temp\OnboardLogs"\RTDC4029\2016-09-01 --recursive &amp; "%USERPROFILE%\Documents\GitHub\mrs-test-scripts\Headless Mode &amp; Sideloading\WalkAndUnGZ.bat" "%USERPROFILE%\AppData\Local\Temp\OnboardLogs"\RTDC4029\2016-09-01</v>
      </c>
      <c r="AF143" s="96" t="str">
        <f t="shared" si="75"/>
        <v>"C:\Program Files (x86)\AstroGrep\AstroGrep.exe" /spath="%USERPROFILE%\AppData\Local\Temp\OnboardLogs" /stypes="*4029*20160901*" /stext=" 04:.+((SYSTEM_STATE.+slice.+state.+changed )|(ment ac)|(system.+state.+changed )|(\|lc)|(penalty)|(\[timeout)|(PRM\|1\|D)|(kpr)|(kdp))" /e /r /s</v>
      </c>
      <c r="AG143" s="1" t="str">
        <f t="shared" si="85"/>
        <v>EC</v>
      </c>
      <c r="AH143" s="100" t="str">
        <f t="shared" si="86"/>
        <v>"%USERPROFILE%\Documents\GitHub\eaglep3\Utilities\RefineRTDCRunTimes.py" --tripid 231-31 --locoid 4029 --swversion DE.1.0.7.0 --startMP 204:429 --initTime 2016-08-31T21:25:44 --startdatetime 2016-08-31T21:30:13 --delay 1 --endMP 204:233300 --enddatetime 2016-08-31T22:05:25 --enforcementcount 0 &gt;&gt;C:\Users\stu\Documents\GitHub\eaglep3-reporting\EC\2016-08-31-refined-times.txt</v>
      </c>
      <c r="AI143" s="149" t="str">
        <f t="shared" si="87"/>
        <v>echo {"issue":{"subject":"","project_id":79,"tracker_id":40,"status_id":1,"priority_id":2,"assigned_to_id":23,"start_date":"2016-08-31","description":"","custom_fields":[{"id":1,"name":"Subdivision","value":"EC"},{"id":4,"name":"Milepost","value":"23.2871"},{"id":17,"name":"Train ID","value":"231-31"},{"id":16,"name":"Locomotive ID","value":"4029"},{"id":130,"name":"Impact","value":""},{"id":150,"name":"Time of Event (Mountain Time)","value":"22:05:25"},{"id":151,"name":"Denver Issue ID","value":""},{"id":178,"name":"Operational Impact","value":"Yes"},{"id":179,"name":"Denver Segment Assigned","value":""}]}} | curl -X POST -H "Content-Type: application/json" -H "X-Redmine-API-Key: d6333d4a04012a730768444271f8ca06482dae87" https://secure.xorail.net/redmine/issues.json --data @-</v>
      </c>
      <c r="AJ143" s="55"/>
      <c r="AK143" s="55"/>
      <c r="AL143" s="55"/>
    </row>
    <row r="144" spans="1:38" x14ac:dyDescent="0.25">
      <c r="A144" s="39" t="s">
        <v>564</v>
      </c>
      <c r="B144" s="7">
        <v>4030</v>
      </c>
      <c r="C144" s="24" t="s">
        <v>113</v>
      </c>
      <c r="D144" s="24" t="s">
        <v>334</v>
      </c>
      <c r="E144" s="15">
        <v>42613.945428240739</v>
      </c>
      <c r="F144" s="15">
        <v>42613.946504629632</v>
      </c>
      <c r="G144" s="7">
        <v>1</v>
      </c>
      <c r="H144" s="15" t="s">
        <v>167</v>
      </c>
      <c r="I144" s="15">
        <v>42613.962187500001</v>
      </c>
      <c r="J144" s="7">
        <v>0</v>
      </c>
      <c r="K144" s="132" t="str">
        <f t="shared" si="76"/>
        <v>4029/4030</v>
      </c>
      <c r="L144" s="24" t="str">
        <f>VLOOKUP(A144,'Trips&amp;Operators'!$C$1:$E$10000,3,FALSE)</f>
        <v>YANAI</v>
      </c>
      <c r="M144" s="6">
        <f t="shared" si="77"/>
        <v>1.5682870369346347E-2</v>
      </c>
      <c r="N144" s="7"/>
      <c r="O144" s="7"/>
      <c r="P144" s="7">
        <f>24*60*SUM($M144:$M144)</f>
        <v>22.583333331858739</v>
      </c>
      <c r="Q144" s="25"/>
      <c r="R144" s="25" t="s">
        <v>304</v>
      </c>
      <c r="S144" s="37">
        <f t="shared" si="73"/>
        <v>1</v>
      </c>
      <c r="T144" s="52" t="str">
        <f t="shared" si="78"/>
        <v>Southbound</v>
      </c>
      <c r="U144" s="126">
        <f>IF(AG144="EC",COUNTIFS(Variables!$M$2:$M$19,IF(T144="NorthBound","&gt;=","&lt;=")&amp;Y144,Variables!$M$2:$M$19,IF(T144="NorthBound","&lt;=","&gt;=")&amp;Z144),COUNTIFS(Variables!$P$2:$P$19,IF(T144="NorthBound","&gt;=","&lt;=")&amp;Y144,Variables!$P$2:$P$19,IF(T144="NorthBound","&lt;=","&gt;=")&amp;Z144))</f>
        <v>12</v>
      </c>
      <c r="V144" s="106" t="str">
        <f t="shared" si="79"/>
        <v>https://search-rtdc-monitor-bjffxe2xuh6vdkpspy63sjmuny.us-east-1.es.amazonaws.com/_plugin/kibana/#/discover/Steve-Slow-Train-Analysis-(2080s-and-2083s)?_g=(refreshInterval:(display:Off,section:0,value:0),time:(from:'2016-08-31 21:41:25-0600',mode:absolute,to:'2016-09-01 00:05:33-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4030%22')),sort:!(Time,asc))</v>
      </c>
      <c r="W144" s="54" t="str">
        <f t="shared" si="80"/>
        <v>Y</v>
      </c>
      <c r="X144" s="120">
        <f t="shared" ref="X144:X150" si="88">VALUE(LEFT(AD144,4))-VALUE(LEFT(AD143,4))</f>
        <v>1</v>
      </c>
      <c r="Y144" s="69">
        <f t="shared" si="81"/>
        <v>12.7852</v>
      </c>
      <c r="Z144" s="69">
        <f t="shared" si="82"/>
        <v>1.52E-2</v>
      </c>
      <c r="AA144" s="69">
        <f t="shared" si="83"/>
        <v>12.77</v>
      </c>
      <c r="AB144" s="66" t="e">
        <f>VLOOKUP(A144,Enforcements!$C$7:$J$21,8,0)</f>
        <v>#N/A</v>
      </c>
      <c r="AC144" s="62" t="e">
        <f>VLOOKUP(A144,Enforcements!$C$7:$E$21,3,0)</f>
        <v>#N/A</v>
      </c>
      <c r="AD144" s="63" t="str">
        <f t="shared" si="84"/>
        <v>0232-31</v>
      </c>
      <c r="AE144" s="99" t="str">
        <f t="shared" si="74"/>
        <v>aws s3 cp s3://rtdc.mdm.uploadarchive/RTDC4030/2016-08-31/ "%USERPROFILE%\AppData\Local\Temp\OnboardLogs"\RTDC4030\2016-08-31 --recursive &amp; "%USERPROFILE%\Documents\GitHub\mrs-test-scripts\Headless Mode &amp; Sideloading\WalkAndUnGZ.bat" "%USERPROFILE%\AppData\Local\Temp\OnboardLogs"\RTDC4030\2016-08-31 &amp; aws s3 cp s3://rtdc.mdm.uploadarchive/RTDC4030/2016-09-01/ "%USERPROFILE%\AppData\Local\Temp\OnboardLogs"\RTDC4030\2016-09-01 --recursive &amp; "%USERPROFILE%\Documents\GitHub\mrs-test-scripts\Headless Mode &amp; Sideloading\WalkAndUnGZ.bat" "%USERPROFILE%\AppData\Local\Temp\OnboardLogs"\RTDC4030\2016-09-01</v>
      </c>
      <c r="AF144" s="96" t="str">
        <f t="shared" si="75"/>
        <v>"C:\Program Files (x86)\AstroGrep\AstroGrep.exe" /spath="%USERPROFILE%\AppData\Local\Temp\OnboardLogs" /stypes="*4030*20160901*" /stext=" 05:.+((SYSTEM_STATE.+slice.+state.+changed )|(ment ac)|(system.+state.+changed )|(\|lc)|(penalty)|(\[timeout)|(PRM\|1\|D)|(kpr)|(kdp))" /e /r /s</v>
      </c>
      <c r="AG144" s="1" t="str">
        <f t="shared" si="85"/>
        <v>EC</v>
      </c>
      <c r="AH144" s="100" t="str">
        <f t="shared" si="86"/>
        <v>"%USERPROFILE%\Documents\GitHub\eaglep3\Utilities\RefineRTDCRunTimes.py" --tripid 232-31 --locoid 4030 --swversion DE.1.0.7.0 --startMP 204:127852 --initTime 2016-08-31T22:41:25 --startdatetime 2016-08-31T22:42:58 --delay 1 --endMP 204:152 --enddatetime 2016-08-31T23:05:33 --enforcementcount 0 &gt;&gt;C:\Users\stu\Documents\GitHub\eaglep3-reporting\EC\2016-08-31-refined-times.txt</v>
      </c>
      <c r="AI144" s="149" t="str">
        <f t="shared" si="87"/>
        <v>echo {"issue":{"subject":"Onboard in-route failure","project_id":79,"tracker_id":40,"status_id":1,"priority_id":2,"assigned_to_id":23,"start_date":"2016-08-31","description":"","custom_fields":[{"id":1,"name":"Subdivision","value":"EC"},{"id":4,"name":"Milepost","value":"12.77"},{"id":17,"name":"Train ID","value":"232-31"},{"id":16,"name":"Locomotive ID","value":"4030"},{"id":130,"name":"Impact","value":""},{"id":150,"name":"Time of Event (Mountain Time)","value":"23:05:33"},{"id":151,"name":"Denver Issue ID","value":""},{"id":178,"name":"Operational Impact","value":"Yes"},{"id":179,"name":"Denver Segment Assigned","value":""}]}} | curl -X POST -H "Content-Type: application/json" -H "X-Redmine-API-Key: d6333d4a04012a730768444271f8ca06482dae87" https://secure.xorail.net/redmine/issues.json --data @-</v>
      </c>
      <c r="AJ144" s="55"/>
      <c r="AK144" s="55"/>
      <c r="AL144" s="55"/>
    </row>
    <row r="145" spans="1:38" s="23" customFormat="1" x14ac:dyDescent="0.25">
      <c r="A145" s="39" t="s">
        <v>565</v>
      </c>
      <c r="B145" s="7">
        <v>4002</v>
      </c>
      <c r="C145" s="24" t="s">
        <v>113</v>
      </c>
      <c r="D145" s="24" t="s">
        <v>337</v>
      </c>
      <c r="E145" s="15">
        <v>42613.913865740738</v>
      </c>
      <c r="F145" s="15">
        <v>42613.917361111111</v>
      </c>
      <c r="G145" s="7">
        <v>2</v>
      </c>
      <c r="H145" s="15" t="s">
        <v>290</v>
      </c>
      <c r="I145" s="15">
        <v>42613.94190972222</v>
      </c>
      <c r="J145" s="7">
        <v>0</v>
      </c>
      <c r="K145" s="132" t="str">
        <f t="shared" si="76"/>
        <v>4001/4002</v>
      </c>
      <c r="L145" s="24" t="str">
        <f>VLOOKUP(A145,'Trips&amp;Operators'!$C$1:$E$10000,3,FALSE)</f>
        <v>STAMBAUGH</v>
      </c>
      <c r="M145" s="6">
        <f t="shared" si="77"/>
        <v>2.4548611108912155E-2</v>
      </c>
      <c r="N145" s="7">
        <f t="shared" ref="N145:N161" si="89">24*60*SUM($M145:$M145)</f>
        <v>35.349999996833503</v>
      </c>
      <c r="O145" s="7"/>
      <c r="P145" s="7"/>
      <c r="Q145" s="25"/>
      <c r="R145" s="25"/>
      <c r="S145" s="37">
        <f t="shared" si="73"/>
        <v>1</v>
      </c>
      <c r="T145" s="52" t="str">
        <f t="shared" si="78"/>
        <v>NorthBound</v>
      </c>
      <c r="U145" s="126">
        <f>IF(AG145="EC",COUNTIFS(Variables!$M$2:$M$19,IF(T145="NorthBound","&gt;=","&lt;=")&amp;Y145,Variables!$M$2:$M$19,IF(T145="NorthBound","&lt;=","&gt;=")&amp;Z145),COUNTIFS(Variables!$P$2:$P$19,IF(T145="NorthBound","&gt;=","&lt;=")&amp;Y145,Variables!$P$2:$P$19,IF(T145="NorthBound","&lt;=","&gt;=")&amp;Z145))</f>
        <v>12</v>
      </c>
      <c r="V145" s="106" t="str">
        <f t="shared" si="79"/>
        <v>https://search-rtdc-monitor-bjffxe2xuh6vdkpspy63sjmuny.us-east-1.es.amazonaws.com/_plugin/kibana/#/discover/Steve-Slow-Train-Analysis-(2080s-and-2083s)?_g=(refreshInterval:(display:Off,section:0,value:0),time:(from:'2016-08-31 20:55:58-0600',mode:absolute,to:'2016-08-31 23:36:21-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4002%22')),sort:!(Time,asc))</v>
      </c>
      <c r="W145" s="54" t="str">
        <f t="shared" si="80"/>
        <v>N</v>
      </c>
      <c r="X145" s="120">
        <f t="shared" si="88"/>
        <v>1</v>
      </c>
      <c r="Y145" s="69">
        <f t="shared" si="81"/>
        <v>4.8000000000000001E-2</v>
      </c>
      <c r="Z145" s="69">
        <f t="shared" si="82"/>
        <v>23.330300000000001</v>
      </c>
      <c r="AA145" s="69">
        <f t="shared" si="83"/>
        <v>23.282300000000003</v>
      </c>
      <c r="AB145" s="66" t="e">
        <f>VLOOKUP(A145,Enforcements!$C$7:$J$21,8,0)</f>
        <v>#N/A</v>
      </c>
      <c r="AC145" s="62" t="e">
        <f>VLOOKUP(A145,Enforcements!$C$7:$E$21,3,0)</f>
        <v>#N/A</v>
      </c>
      <c r="AD145" s="63" t="str">
        <f t="shared" si="84"/>
        <v>0233-31</v>
      </c>
      <c r="AE145" s="99" t="str">
        <f t="shared" si="74"/>
        <v>aws s3 cp s3://rtdc.mdm.uploadarchive/RTDC4002/2016-08-31/ "%USERPROFILE%\AppData\Local\Temp\OnboardLogs"\RTDC4002\2016-08-31 --recursive &amp; "%USERPROFILE%\Documents\GitHub\mrs-test-scripts\Headless Mode &amp; Sideloading\WalkAndUnGZ.bat" "%USERPROFILE%\AppData\Local\Temp\OnboardLogs"\RTDC4002\2016-08-31 &amp; aws s3 cp s3://rtdc.mdm.uploadarchive/RTDC4002/2016-09-01/ "%USERPROFILE%\AppData\Local\Temp\OnboardLogs"\RTDC4002\2016-09-01 --recursive &amp; "%USERPROFILE%\Documents\GitHub\mrs-test-scripts\Headless Mode &amp; Sideloading\WalkAndUnGZ.bat" "%USERPROFILE%\AppData\Local\Temp\OnboardLogs"\RTDC4002\2016-09-01</v>
      </c>
      <c r="AF145" s="96" t="str">
        <f t="shared" si="75"/>
        <v>"C:\Program Files (x86)\AstroGrep\AstroGrep.exe" /spath="%USERPROFILE%\AppData\Local\Temp\OnboardLogs" /stypes="*4002*20160901*" /stext=" 04:.+((SYSTEM_STATE.+slice.+state.+changed )|(ment ac)|(system.+state.+changed )|(\|lc)|(penalty)|(\[timeout)|(PRM\|1\|D)|(kpr)|(kdp))" /e /r /s</v>
      </c>
      <c r="AG145" s="1" t="str">
        <f t="shared" si="85"/>
        <v>EC</v>
      </c>
      <c r="AH145" s="100" t="str">
        <f t="shared" si="86"/>
        <v>"%USERPROFILE%\Documents\GitHub\eaglep3\Utilities\RefineRTDCRunTimes.py" --tripid 233-31 --locoid 4002 --swversion DE.1.0.7.0 --startMP 204:480 --initTime 2016-08-31T21:55:58 --startdatetime 2016-08-31T22:01:00 --delay 2 --endMP 204:233303 --enddatetime 2016-08-31T22:36:21 --enforcementcount 0 &gt;&gt;C:\Users\stu\Documents\GitHub\eaglep3-reporting\EC\2016-08-31-refined-times.txt</v>
      </c>
      <c r="AI145" s="149" t="str">
        <f t="shared" si="87"/>
        <v>echo {"issue":{"subject":"","project_id":79,"tracker_id":40,"status_id":1,"priority_id":2,"assigned_to_id":23,"start_date":"2016-08-31","description":"","custom_fields":[{"id":1,"name":"Subdivision","value":"EC"},{"id":4,"name":"Milepost","value":"23.2823"},{"id":17,"name":"Train ID","value":"233-31"},{"id":16,"name":"Locomotive ID","value":"4002"},{"id":130,"name":"Impact","value":""},{"id":150,"name":"Time of Event (Mountain Time)","value":"22:36:21"},{"id":151,"name":"Denver Issue ID","value":""},{"id":178,"name":"Operational Impact","value":"Yes"},{"id":179,"name":"Denver Segment Assigned","value":""}]}} | curl -X POST -H "Content-Type: application/json" -H "X-Redmine-API-Key: d6333d4a04012a730768444271f8ca06482dae87" https://secure.xorail.net/redmine/issues.json --data @-</v>
      </c>
      <c r="AJ145" s="55"/>
      <c r="AK145" s="55"/>
      <c r="AL145" s="55"/>
    </row>
    <row r="146" spans="1:38" x14ac:dyDescent="0.25">
      <c r="A146" s="39" t="s">
        <v>566</v>
      </c>
      <c r="B146" s="7">
        <v>4001</v>
      </c>
      <c r="C146" s="24" t="s">
        <v>113</v>
      </c>
      <c r="D146" s="24" t="s">
        <v>291</v>
      </c>
      <c r="E146" s="15">
        <v>42613.953032407408</v>
      </c>
      <c r="F146" s="15">
        <v>42613.956134259257</v>
      </c>
      <c r="G146" s="7">
        <v>1</v>
      </c>
      <c r="H146" s="15" t="s">
        <v>344</v>
      </c>
      <c r="I146" s="15">
        <v>42613.982465277775</v>
      </c>
      <c r="J146" s="7">
        <v>0</v>
      </c>
      <c r="K146" s="132" t="str">
        <f t="shared" si="76"/>
        <v>4001/4002</v>
      </c>
      <c r="L146" s="24" t="str">
        <f>VLOOKUP(A146,'Trips&amp;Operators'!$C$1:$E$10000,3,FALSE)</f>
        <v>STAMBAUGH</v>
      </c>
      <c r="M146" s="6">
        <f t="shared" si="77"/>
        <v>2.6331018518249039E-2</v>
      </c>
      <c r="N146" s="7">
        <f t="shared" si="89"/>
        <v>37.916666666278616</v>
      </c>
      <c r="O146" s="7"/>
      <c r="P146" s="7"/>
      <c r="Q146" s="25"/>
      <c r="R146" s="25"/>
      <c r="S146" s="37">
        <f t="shared" si="73"/>
        <v>1</v>
      </c>
      <c r="T146" s="52" t="str">
        <f t="shared" si="78"/>
        <v>Southbound</v>
      </c>
      <c r="U146" s="126">
        <f>IF(AG146="EC",COUNTIFS(Variables!$M$2:$M$19,IF(T146="NorthBound","&gt;=","&lt;=")&amp;Y146,Variables!$M$2:$M$19,IF(T146="NorthBound","&lt;=","&gt;=")&amp;Z146),COUNTIFS(Variables!$P$2:$P$19,IF(T146="NorthBound","&gt;=","&lt;=")&amp;Y146,Variables!$P$2:$P$19,IF(T146="NorthBound","&lt;=","&gt;=")&amp;Z146))</f>
        <v>12</v>
      </c>
      <c r="V146" s="106" t="str">
        <f t="shared" si="79"/>
        <v>https://search-rtdc-monitor-bjffxe2xuh6vdkpspy63sjmuny.us-east-1.es.amazonaws.com/_plugin/kibana/#/discover/Steve-Slow-Train-Analysis-(2080s-and-2083s)?_g=(refreshInterval:(display:Off,section:0,value:0),time:(from:'2016-08-31 21:52:22-0600',mode:absolute,to:'2016-09-01 00:34:45-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4001%22')),sort:!(Time,asc))</v>
      </c>
      <c r="W146" s="54" t="str">
        <f t="shared" si="80"/>
        <v>N</v>
      </c>
      <c r="X146" s="120">
        <f t="shared" si="88"/>
        <v>1</v>
      </c>
      <c r="Y146" s="69">
        <f t="shared" si="81"/>
        <v>23.299600000000002</v>
      </c>
      <c r="Z146" s="69">
        <f t="shared" si="82"/>
        <v>1.23E-2</v>
      </c>
      <c r="AA146" s="69">
        <f t="shared" si="83"/>
        <v>23.287300000000002</v>
      </c>
      <c r="AB146" s="66" t="e">
        <f>VLOOKUP(A146,Enforcements!$C$7:$J$21,8,0)</f>
        <v>#N/A</v>
      </c>
      <c r="AC146" s="62" t="e">
        <f>VLOOKUP(A146,Enforcements!$C$7:$E$21,3,0)</f>
        <v>#N/A</v>
      </c>
      <c r="AD146" s="63" t="str">
        <f t="shared" si="84"/>
        <v>0234-31</v>
      </c>
      <c r="AE146" s="99" t="str">
        <f t="shared" si="74"/>
        <v>aws s3 cp s3://rtdc.mdm.uploadarchive/RTDC4001/2016-08-31/ "%USERPROFILE%\AppData\Local\Temp\OnboardLogs"\RTDC4001\2016-08-31 --recursive &amp; "%USERPROFILE%\Documents\GitHub\mrs-test-scripts\Headless Mode &amp; Sideloading\WalkAndUnGZ.bat" "%USERPROFILE%\AppData\Local\Temp\OnboardLogs"\RTDC4001\2016-08-31 &amp; aws s3 cp s3://rtdc.mdm.uploadarchive/RTDC4001/2016-09-01/ "%USERPROFILE%\AppData\Local\Temp\OnboardLogs"\RTDC4001\2016-09-01 --recursive &amp; "%USERPROFILE%\Documents\GitHub\mrs-test-scripts\Headless Mode &amp; Sideloading\WalkAndUnGZ.bat" "%USERPROFILE%\AppData\Local\Temp\OnboardLogs"\RTDC4001\2016-09-01</v>
      </c>
      <c r="AF146" s="96" t="str">
        <f t="shared" si="75"/>
        <v>"C:\Program Files (x86)\AstroGrep\AstroGrep.exe" /spath="%USERPROFILE%\AppData\Local\Temp\OnboardLogs" /stypes="*4001*20160901*" /stext=" 05:.+((SYSTEM_STATE.+slice.+state.+changed )|(ment ac)|(system.+state.+changed )|(\|lc)|(penalty)|(\[timeout)|(PRM\|1\|D)|(kpr)|(kdp))" /e /r /s</v>
      </c>
      <c r="AG146" s="1" t="str">
        <f t="shared" si="85"/>
        <v>EC</v>
      </c>
      <c r="AH146" s="100" t="str">
        <f t="shared" si="86"/>
        <v>"%USERPROFILE%\Documents\GitHub\eaglep3\Utilities\RefineRTDCRunTimes.py" --tripid 234-31 --locoid 4001 --swversion DE.1.0.7.0 --startMP 204:232996 --initTime 2016-08-31T22:52:22 --startdatetime 2016-08-31T22:56:50 --delay 1 --endMP 204:123 --enddatetime 2016-08-31T23:34:45 --enforcementcount 0 &gt;&gt;C:\Users\stu\Documents\GitHub\eaglep3-reporting\EC\2016-08-31-refined-times.txt</v>
      </c>
      <c r="AI146" s="149" t="str">
        <f t="shared" si="87"/>
        <v>echo {"issue":{"subject":"","project_id":79,"tracker_id":40,"status_id":1,"priority_id":2,"assigned_to_id":23,"start_date":"2016-08-31","description":"","custom_fields":[{"id":1,"name":"Subdivision","value":"EC"},{"id":4,"name":"Milepost","value":"23.2873"},{"id":17,"name":"Train ID","value":"234-31"},{"id":16,"name":"Locomotive ID","value":"4001"},{"id":130,"name":"Impact","value":""},{"id":150,"name":"Time of Event (Mountain Time)","value":"23:34:45"},{"id":151,"name":"Denver Issue ID","value":""},{"id":178,"name":"Operational Impact","value":"Yes"},{"id":179,"name":"Denver Segment Assigned","value":""}]}} | curl -X POST -H "Content-Type: application/json" -H "X-Redmine-API-Key: d6333d4a04012a730768444271f8ca06482dae87" https://secure.xorail.net/redmine/issues.json --data @-</v>
      </c>
      <c r="AJ146" s="55"/>
      <c r="AK146" s="55"/>
      <c r="AL146" s="55"/>
    </row>
    <row r="147" spans="1:38" s="23" customFormat="1" x14ac:dyDescent="0.25">
      <c r="A147" s="39" t="s">
        <v>567</v>
      </c>
      <c r="B147" s="7">
        <v>4016</v>
      </c>
      <c r="C147" s="24" t="s">
        <v>113</v>
      </c>
      <c r="D147" s="24" t="s">
        <v>568</v>
      </c>
      <c r="E147" s="15">
        <v>42613.935324074075</v>
      </c>
      <c r="F147" s="15">
        <v>42614.021099537036</v>
      </c>
      <c r="G147" s="7">
        <v>3</v>
      </c>
      <c r="H147" s="15" t="s">
        <v>290</v>
      </c>
      <c r="I147" s="15">
        <v>42614.045763888891</v>
      </c>
      <c r="J147" s="7">
        <v>0</v>
      </c>
      <c r="K147" s="132" t="str">
        <f t="shared" si="76"/>
        <v>4015/4016</v>
      </c>
      <c r="L147" s="24" t="str">
        <f>VLOOKUP(A147,'Trips&amp;Operators'!$C$1:$E$10000,3,FALSE)</f>
        <v>COOLAHAN</v>
      </c>
      <c r="M147" s="6">
        <f t="shared" si="77"/>
        <v>2.4664351854880806E-2</v>
      </c>
      <c r="N147" s="7">
        <f t="shared" si="89"/>
        <v>35.516666671028361</v>
      </c>
      <c r="O147" s="7"/>
      <c r="P147" s="7"/>
      <c r="Q147" s="25"/>
      <c r="R147" s="25"/>
      <c r="S147" s="37">
        <f t="shared" si="73"/>
        <v>1</v>
      </c>
      <c r="T147" s="52" t="str">
        <f t="shared" si="78"/>
        <v>NorthBound</v>
      </c>
      <c r="U147" s="126">
        <f>IF(AG147="EC",COUNTIFS(Variables!$M$2:$M$19,IF(T147="NorthBound","&gt;=","&lt;=")&amp;Y147,Variables!$M$2:$M$19,IF(T147="NorthBound","&lt;=","&gt;=")&amp;Z147),COUNTIFS(Variables!$P$2:$P$19,IF(T147="NorthBound","&gt;=","&lt;=")&amp;Y147,Variables!$P$2:$P$19,IF(T147="NorthBound","&lt;=","&gt;=")&amp;Z147))</f>
        <v>12</v>
      </c>
      <c r="V147" s="106" t="str">
        <f t="shared" si="79"/>
        <v>https://search-rtdc-monitor-bjffxe2xuh6vdkpspy63sjmuny.us-east-1.es.amazonaws.com/_plugin/kibana/#/discover/Steve-Slow-Train-Analysis-(2080s-and-2083s)?_g=(refreshInterval:(display:Off,section:0,value:0),time:(from:'2016-08-31 21:26:52-0600',mode:absolute,to:'2016-09-01 02:05:54-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4016%22')),sort:!(Time,asc))</v>
      </c>
      <c r="W147" s="54" t="str">
        <f t="shared" si="80"/>
        <v>N</v>
      </c>
      <c r="X147" s="120">
        <f t="shared" si="88"/>
        <v>1</v>
      </c>
      <c r="Y147" s="69">
        <f t="shared" si="81"/>
        <v>5.62E-2</v>
      </c>
      <c r="Z147" s="69">
        <f t="shared" si="82"/>
        <v>23.330300000000001</v>
      </c>
      <c r="AA147" s="69">
        <f t="shared" si="83"/>
        <v>23.274100000000001</v>
      </c>
      <c r="AB147" s="66" t="e">
        <f>VLOOKUP(A147,Enforcements!$C$7:$J$21,8,0)</f>
        <v>#N/A</v>
      </c>
      <c r="AC147" s="62" t="e">
        <f>VLOOKUP(A147,Enforcements!$C$7:$E$21,3,0)</f>
        <v>#N/A</v>
      </c>
      <c r="AD147" s="63" t="str">
        <f t="shared" si="84"/>
        <v>0235-31</v>
      </c>
      <c r="AE147" s="99" t="str">
        <f t="shared" si="74"/>
        <v>aws s3 cp s3://rtdc.mdm.uploadarchive/RTDC4016/2016-09-01/ "%USERPROFILE%\AppData\Local\Temp\OnboardLogs"\RTDC4016\2016-09-01 --recursive &amp; "%USERPROFILE%\Documents\GitHub\mrs-test-scripts\Headless Mode &amp; Sideloading\WalkAndUnGZ.bat" "%USERPROFILE%\AppData\Local\Temp\OnboardLogs"\RTDC4016\2016-09-01 &amp; aws s3 cp s3://rtdc.mdm.uploadarchive/RTDC4016/2016-09-02/ "%USERPROFILE%\AppData\Local\Temp\OnboardLogs"\RTDC4016\2016-09-02 --recursive &amp; "%USERPROFILE%\Documents\GitHub\mrs-test-scripts\Headless Mode &amp; Sideloading\WalkAndUnGZ.bat" "%USERPROFILE%\AppData\Local\Temp\OnboardLogs"\RTDC4016\2016-09-02</v>
      </c>
      <c r="AF147" s="96" t="str">
        <f t="shared" si="75"/>
        <v>"C:\Program Files (x86)\AstroGrep\AstroGrep.exe" /spath="%USERPROFILE%\AppData\Local\Temp\OnboardLogs" /stypes="*4016*20160901*" /stext=" 07:.+((SYSTEM_STATE.+slice.+state.+changed )|(ment ac)|(system.+state.+changed )|(\|lc)|(penalty)|(\[timeout)|(PRM\|1\|D)|(kpr)|(kdp))" /e /r /s</v>
      </c>
      <c r="AG147" s="1" t="str">
        <f t="shared" si="85"/>
        <v>EC</v>
      </c>
      <c r="AH147" s="100" t="str">
        <f t="shared" si="86"/>
        <v>"%USERPROFILE%\Documents\GitHub\eaglep3\Utilities\RefineRTDCRunTimes.py" --tripid 235-31 --locoid 4016 --swversion DE.1.0.7.0 --startMP 204:562 --initTime 2016-08-31T22:26:52 --startdatetime 2016-09-01T00:30:23 --delay 3 --endMP 204:233303 --enddatetime 2016-09-01T01:05:54 --enforcementcount 0 &gt;&gt;C:\Users\stu\Documents\GitHub\eaglep3-reporting\EC\2016-08-31-refined-times.txt</v>
      </c>
      <c r="AI147" s="149" t="str">
        <f t="shared" si="87"/>
        <v>echo {"issue":{"subject":"","project_id":79,"tracker_id":40,"status_id":1,"priority_id":2,"assigned_to_id":23,"start_date":"2016-09-01","description":"","custom_fields":[{"id":1,"name":"Subdivision","value":"EC"},{"id":4,"name":"Milepost","value":"23.2741"},{"id":17,"name":"Train ID","value":"235-31"},{"id":16,"name":"Locomotive ID","value":"4016"},{"id":130,"name":"Impact","value":""},{"id":150,"name":"Time of Event (Mountain Time)","value":"01:05:54"},{"id":151,"name":"Denver Issue ID","value":""},{"id":178,"name":"Operational Impact","value":"Yes"},{"id":179,"name":"Denver Segment Assigned","value":""}]}} | curl -X POST -H "Content-Type: application/json" -H "X-Redmine-API-Key: d6333d4a04012a730768444271f8ca06482dae87" https://secure.xorail.net/redmine/issues.json --data @-</v>
      </c>
      <c r="AJ147" s="55"/>
      <c r="AK147" s="55"/>
      <c r="AL147" s="55"/>
    </row>
    <row r="148" spans="1:38" x14ac:dyDescent="0.25">
      <c r="A148" s="39" t="s">
        <v>569</v>
      </c>
      <c r="B148" s="7">
        <v>4015</v>
      </c>
      <c r="C148" s="24" t="s">
        <v>113</v>
      </c>
      <c r="D148" s="24" t="s">
        <v>299</v>
      </c>
      <c r="E148" s="15">
        <v>42613.970717592594</v>
      </c>
      <c r="F148" s="15">
        <v>42613.976620370369</v>
      </c>
      <c r="G148" s="7">
        <v>2</v>
      </c>
      <c r="H148" s="15" t="s">
        <v>570</v>
      </c>
      <c r="I148" s="15">
        <v>42614.002569444441</v>
      </c>
      <c r="J148" s="7">
        <v>0</v>
      </c>
      <c r="K148" s="132" t="str">
        <f t="shared" si="76"/>
        <v>4015/4016</v>
      </c>
      <c r="L148" s="24" t="str">
        <f>VLOOKUP(A148,'Trips&amp;Operators'!$C$1:$E$10000,3,FALSE)</f>
        <v>COOLAHAN</v>
      </c>
      <c r="M148" s="6">
        <f t="shared" si="77"/>
        <v>2.5949074071832001E-2</v>
      </c>
      <c r="N148" s="7">
        <f t="shared" si="89"/>
        <v>37.366666663438082</v>
      </c>
      <c r="O148" s="7"/>
      <c r="P148" s="7"/>
      <c r="Q148" s="25"/>
      <c r="R148" s="25"/>
      <c r="S148" s="37">
        <f t="shared" si="73"/>
        <v>1</v>
      </c>
      <c r="T148" s="52" t="str">
        <f t="shared" si="78"/>
        <v>Southbound</v>
      </c>
      <c r="U148" s="126">
        <f>IF(AG148="EC",COUNTIFS(Variables!$M$2:$M$19,IF(T148="NorthBound","&gt;=","&lt;=")&amp;Y148,Variables!$M$2:$M$19,IF(T148="NorthBound","&lt;=","&gt;=")&amp;Z148),COUNTIFS(Variables!$P$2:$P$19,IF(T148="NorthBound","&gt;=","&lt;=")&amp;Y148,Variables!$P$2:$P$19,IF(T148="NorthBound","&lt;=","&gt;=")&amp;Z148))</f>
        <v>12</v>
      </c>
      <c r="V148" s="106" t="str">
        <f t="shared" si="79"/>
        <v>https://search-rtdc-monitor-bjffxe2xuh6vdkpspy63sjmuny.us-east-1.es.amazonaws.com/_plugin/kibana/#/discover/Steve-Slow-Train-Analysis-(2080s-and-2083s)?_g=(refreshInterval:(display:Off,section:0,value:0),time:(from:'2016-08-31 22:17:50-0600',mode:absolute,to:'2016-09-01 01:03:42-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4015%22')),sort:!(Time,asc))</v>
      </c>
      <c r="W148" s="54" t="str">
        <f t="shared" si="80"/>
        <v>N</v>
      </c>
      <c r="X148" s="120">
        <f t="shared" si="88"/>
        <v>1</v>
      </c>
      <c r="Y148" s="69">
        <f t="shared" si="81"/>
        <v>23.3001</v>
      </c>
      <c r="Z148" s="69">
        <f t="shared" si="82"/>
        <v>1.9099999999999999E-2</v>
      </c>
      <c r="AA148" s="69">
        <f t="shared" si="83"/>
        <v>23.280999999999999</v>
      </c>
      <c r="AB148" s="66" t="e">
        <f>VLOOKUP(A148,Enforcements!$C$7:$J$21,8,0)</f>
        <v>#N/A</v>
      </c>
      <c r="AC148" s="62" t="e">
        <f>VLOOKUP(A148,Enforcements!$C$7:$E$21,3,0)</f>
        <v>#N/A</v>
      </c>
      <c r="AD148" s="63" t="str">
        <f t="shared" si="84"/>
        <v>0236-31</v>
      </c>
      <c r="AE148" s="99" t="str">
        <f t="shared" si="74"/>
        <v>aws s3 cp s3://rtdc.mdm.uploadarchive/RTDC4015/2016-08-31/ "%USERPROFILE%\AppData\Local\Temp\OnboardLogs"\RTDC4015\2016-08-31 --recursive &amp; "%USERPROFILE%\Documents\GitHub\mrs-test-scripts\Headless Mode &amp; Sideloading\WalkAndUnGZ.bat" "%USERPROFILE%\AppData\Local\Temp\OnboardLogs"\RTDC4015\2016-08-31 &amp; aws s3 cp s3://rtdc.mdm.uploadarchive/RTDC4015/2016-09-01/ "%USERPROFILE%\AppData\Local\Temp\OnboardLogs"\RTDC4015\2016-09-01 --recursive &amp; "%USERPROFILE%\Documents\GitHub\mrs-test-scripts\Headless Mode &amp; Sideloading\WalkAndUnGZ.bat" "%USERPROFILE%\AppData\Local\Temp\OnboardLogs"\RTDC4015\2016-09-01</v>
      </c>
      <c r="AF148" s="96" t="str">
        <f t="shared" si="75"/>
        <v>"C:\Program Files (x86)\AstroGrep\AstroGrep.exe" /spath="%USERPROFILE%\AppData\Local\Temp\OnboardLogs" /stypes="*4015*20160901*" /stext=" 06:.+((SYSTEM_STATE.+slice.+state.+changed )|(ment ac)|(system.+state.+changed )|(\|lc)|(penalty)|(\[timeout)|(PRM\|1\|D)|(kpr)|(kdp))" /e /r /s</v>
      </c>
      <c r="AG148" s="1" t="str">
        <f t="shared" si="85"/>
        <v>EC</v>
      </c>
      <c r="AH148" s="100" t="str">
        <f t="shared" si="86"/>
        <v>"%USERPROFILE%\Documents\GitHub\eaglep3\Utilities\RefineRTDCRunTimes.py" --tripid 236-31 --locoid 4015 --swversion DE.1.0.7.0 --startMP 204:233001 --initTime 2016-08-31T23:17:50 --startdatetime 2016-08-31T23:26:20 --delay 2 --endMP 204:191 --enddatetime 2016-09-01T00:03:42 --enforcementcount 0 &gt;&gt;C:\Users\stu\Documents\GitHub\eaglep3-reporting\EC\2016-08-31-refined-times.txt</v>
      </c>
      <c r="AI148" s="149" t="str">
        <f t="shared" si="87"/>
        <v>echo {"issue":{"subject":"","project_id":79,"tracker_id":40,"status_id":1,"priority_id":2,"assigned_to_id":23,"start_date":"2016-09-01","description":"","custom_fields":[{"id":1,"name":"Subdivision","value":"EC"},{"id":4,"name":"Milepost","value":"23.281"},{"id":17,"name":"Train ID","value":"236-31"},{"id":16,"name":"Locomotive ID","value":"4015"},{"id":130,"name":"Impact","value":""},{"id":150,"name":"Time of Event (Mountain Time)","value":"00:03:42"},{"id":151,"name":"Denver Issue ID","value":""},{"id":178,"name":"Operational Impact","value":"Yes"},{"id":179,"name":"Denver Segment Assigned","value":""}]}} | curl -X POST -H "Content-Type: application/json" -H "X-Redmine-API-Key: d6333d4a04012a730768444271f8ca06482dae87" https://secure.xorail.net/redmine/issues.json --data @-</v>
      </c>
      <c r="AJ148" s="55"/>
      <c r="AK148" s="55"/>
      <c r="AL148" s="55"/>
    </row>
    <row r="149" spans="1:38" s="23" customFormat="1" x14ac:dyDescent="0.25">
      <c r="A149" s="39" t="s">
        <v>571</v>
      </c>
      <c r="B149" s="7">
        <v>4027</v>
      </c>
      <c r="C149" s="24" t="s">
        <v>113</v>
      </c>
      <c r="D149" s="24" t="s">
        <v>109</v>
      </c>
      <c r="E149" s="15">
        <v>42613.952175925922</v>
      </c>
      <c r="F149" s="15">
        <v>42613.958587962959</v>
      </c>
      <c r="G149" s="7">
        <v>1</v>
      </c>
      <c r="H149" s="15" t="s">
        <v>324</v>
      </c>
      <c r="I149" s="15">
        <v>42613.983252314814</v>
      </c>
      <c r="J149" s="7">
        <v>0</v>
      </c>
      <c r="K149" s="132" t="str">
        <f t="shared" si="76"/>
        <v>4027/4028</v>
      </c>
      <c r="L149" s="24" t="str">
        <f>VLOOKUP(A149,'Trips&amp;Operators'!$C$1:$E$10000,3,FALSE)</f>
        <v>STURGEON</v>
      </c>
      <c r="M149" s="6">
        <f t="shared" si="77"/>
        <v>2.4664351854880806E-2</v>
      </c>
      <c r="N149" s="7">
        <f t="shared" si="89"/>
        <v>35.516666671028361</v>
      </c>
      <c r="O149" s="7"/>
      <c r="P149" s="7"/>
      <c r="Q149" s="25"/>
      <c r="R149" s="25"/>
      <c r="S149" s="37">
        <f t="shared" si="73"/>
        <v>1</v>
      </c>
      <c r="T149" s="52" t="str">
        <f t="shared" si="78"/>
        <v>NorthBound</v>
      </c>
      <c r="U149" s="126">
        <f>IF(AG149="EC",COUNTIFS(Variables!$M$2:$M$19,IF(T149="NorthBound","&gt;=","&lt;=")&amp;Y149,Variables!$M$2:$M$19,IF(T149="NorthBound","&lt;=","&gt;=")&amp;Z149),COUNTIFS(Variables!$P$2:$P$19,IF(T149="NorthBound","&gt;=","&lt;=")&amp;Y149,Variables!$P$2:$P$19,IF(T149="NorthBound","&lt;=","&gt;=")&amp;Z149))</f>
        <v>12</v>
      </c>
      <c r="V149" s="106" t="str">
        <f t="shared" si="79"/>
        <v>https://search-rtdc-monitor-bjffxe2xuh6vdkpspy63sjmuny.us-east-1.es.amazonaws.com/_plugin/kibana/#/discover/Steve-Slow-Train-Analysis-(2080s-and-2083s)?_g=(refreshInterval:(display:Off,section:0,value:0),time:(from:'2016-08-31 21:51:08-0600',mode:absolute,to:'2016-09-01 00:35:53-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4027%22')),sort:!(Time,asc))</v>
      </c>
      <c r="W149" s="54" t="str">
        <f t="shared" si="80"/>
        <v>N</v>
      </c>
      <c r="X149" s="120">
        <f t="shared" si="88"/>
        <v>1</v>
      </c>
      <c r="Y149" s="69">
        <f t="shared" si="81"/>
        <v>4.6199999999999998E-2</v>
      </c>
      <c r="Z149" s="69">
        <f t="shared" si="82"/>
        <v>23.328600000000002</v>
      </c>
      <c r="AA149" s="69">
        <f t="shared" si="83"/>
        <v>23.282400000000003</v>
      </c>
      <c r="AB149" s="66" t="e">
        <f>VLOOKUP(A149,Enforcements!$C$7:$J$21,8,0)</f>
        <v>#N/A</v>
      </c>
      <c r="AC149" s="62" t="e">
        <f>VLOOKUP(A149,Enforcements!$C$7:$E$21,3,0)</f>
        <v>#N/A</v>
      </c>
      <c r="AD149" s="63" t="str">
        <f t="shared" si="84"/>
        <v>0237-31</v>
      </c>
      <c r="AE149" s="99" t="str">
        <f t="shared" si="74"/>
        <v>aws s3 cp s3://rtdc.mdm.uploadarchive/RTDC4027/2016-08-31/ "%USERPROFILE%\AppData\Local\Temp\OnboardLogs"\RTDC4027\2016-08-31 --recursive &amp; "%USERPROFILE%\Documents\GitHub\mrs-test-scripts\Headless Mode &amp; Sideloading\WalkAndUnGZ.bat" "%USERPROFILE%\AppData\Local\Temp\OnboardLogs"\RTDC4027\2016-08-31 &amp; aws s3 cp s3://rtdc.mdm.uploadarchive/RTDC4027/2016-09-01/ "%USERPROFILE%\AppData\Local\Temp\OnboardLogs"\RTDC4027\2016-09-01 --recursive &amp; "%USERPROFILE%\Documents\GitHub\mrs-test-scripts\Headless Mode &amp; Sideloading\WalkAndUnGZ.bat" "%USERPROFILE%\AppData\Local\Temp\OnboardLogs"\RTDC4027\2016-09-01</v>
      </c>
      <c r="AF149" s="96" t="str">
        <f t="shared" si="75"/>
        <v>"C:\Program Files (x86)\AstroGrep\AstroGrep.exe" /spath="%USERPROFILE%\AppData\Local\Temp\OnboardLogs" /stypes="*4027*20160901*" /stext=" 05:.+((SYSTEM_STATE.+slice.+state.+changed )|(ment ac)|(system.+state.+changed )|(\|lc)|(penalty)|(\[timeout)|(PRM\|1\|D)|(kpr)|(kdp))" /e /r /s</v>
      </c>
      <c r="AG149" s="1" t="str">
        <f t="shared" si="85"/>
        <v>EC</v>
      </c>
      <c r="AH149" s="100" t="str">
        <f t="shared" si="86"/>
        <v>"%USERPROFILE%\Documents\GitHub\eaglep3\Utilities\RefineRTDCRunTimes.py" --tripid 237-31 --locoid 4027 --swversion DE.1.0.7.0 --startMP 204:462 --initTime 2016-08-31T22:51:08 --startdatetime 2016-08-31T23:00:22 --delay 1 --endMP 204:233286 --enddatetime 2016-08-31T23:35:53 --enforcementcount 0 &gt;&gt;C:\Users\stu\Documents\GitHub\eaglep3-reporting\EC\2016-08-31-refined-times.txt</v>
      </c>
      <c r="AI149" s="149" t="str">
        <f t="shared" si="87"/>
        <v>echo {"issue":{"subject":"","project_id":79,"tracker_id":40,"status_id":1,"priority_id":2,"assigned_to_id":23,"start_date":"2016-08-31","description":"","custom_fields":[{"id":1,"name":"Subdivision","value":"EC"},{"id":4,"name":"Milepost","value":"23.2824"},{"id":17,"name":"Train ID","value":"237-31"},{"id":16,"name":"Locomotive ID","value":"4027"},{"id":130,"name":"Impact","value":""},{"id":150,"name":"Time of Event (Mountain Time)","value":"23:35:53"},{"id":151,"name":"Denver Issue ID","value":""},{"id":178,"name":"Operational Impact","value":"Yes"},{"id":179,"name":"Denver Segment Assigned","value":""}]}} | curl -X POST -H "Content-Type: application/json" -H "X-Redmine-API-Key: d6333d4a04012a730768444271f8ca06482dae87" https://secure.xorail.net/redmine/issues.json --data @-</v>
      </c>
      <c r="AJ149" s="55"/>
      <c r="AK149" s="55"/>
      <c r="AL149" s="55"/>
    </row>
    <row r="150" spans="1:38" x14ac:dyDescent="0.25">
      <c r="A150" s="39" t="s">
        <v>572</v>
      </c>
      <c r="B150" s="7">
        <v>4028</v>
      </c>
      <c r="C150" s="24" t="s">
        <v>113</v>
      </c>
      <c r="D150" s="24" t="s">
        <v>244</v>
      </c>
      <c r="E150" s="15">
        <v>42613.992152777777</v>
      </c>
      <c r="F150" s="15">
        <v>42613.997430555559</v>
      </c>
      <c r="G150" s="7">
        <v>1</v>
      </c>
      <c r="H150" s="15" t="s">
        <v>482</v>
      </c>
      <c r="I150" s="15">
        <v>42614.024513888886</v>
      </c>
      <c r="J150" s="7">
        <v>0</v>
      </c>
      <c r="K150" s="132" t="str">
        <f t="shared" si="76"/>
        <v>4027/4028</v>
      </c>
      <c r="L150" s="24" t="str">
        <f>VLOOKUP(A150,'Trips&amp;Operators'!$C$1:$E$10000,3,FALSE)</f>
        <v>STURGEON</v>
      </c>
      <c r="M150" s="6">
        <f t="shared" si="77"/>
        <v>2.7083333327027503E-2</v>
      </c>
      <c r="N150" s="7">
        <f t="shared" si="89"/>
        <v>38.999999990919605</v>
      </c>
      <c r="O150" s="7"/>
      <c r="P150" s="7"/>
      <c r="Q150" s="25"/>
      <c r="R150" s="25"/>
      <c r="S150" s="37">
        <f t="shared" si="73"/>
        <v>1</v>
      </c>
      <c r="T150" s="52" t="str">
        <f t="shared" si="78"/>
        <v>Southbound</v>
      </c>
      <c r="U150" s="126">
        <f>IF(AG150="EC",COUNTIFS(Variables!$M$2:$M$19,IF(T150="NorthBound","&gt;=","&lt;=")&amp;Y150,Variables!$M$2:$M$19,IF(T150="NorthBound","&lt;=","&gt;=")&amp;Z150),COUNTIFS(Variables!$P$2:$P$19,IF(T150="NorthBound","&gt;=","&lt;=")&amp;Y150,Variables!$P$2:$P$19,IF(T150="NorthBound","&lt;=","&gt;=")&amp;Z150))</f>
        <v>12</v>
      </c>
      <c r="V150" s="106" t="str">
        <f t="shared" si="79"/>
        <v>https://search-rtdc-monitor-bjffxe2xuh6vdkpspy63sjmuny.us-east-1.es.amazonaws.com/_plugin/kibana/#/discover/Steve-Slow-Train-Analysis-(2080s-and-2083s)?_g=(refreshInterval:(display:Off,section:0,value:0),time:(from:'2016-08-31 22:48:42-0600',mode:absolute,to:'2016-09-01 01:35:18-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4028%22')),sort:!(Time,asc))</v>
      </c>
      <c r="W150" s="54" t="str">
        <f t="shared" si="80"/>
        <v>N</v>
      </c>
      <c r="X150" s="120">
        <f t="shared" si="88"/>
        <v>1</v>
      </c>
      <c r="Y150" s="69">
        <f t="shared" si="81"/>
        <v>23.2971</v>
      </c>
      <c r="Z150" s="69">
        <f t="shared" si="82"/>
        <v>1.6899999999999998E-2</v>
      </c>
      <c r="AA150" s="69">
        <f t="shared" si="83"/>
        <v>23.280200000000001</v>
      </c>
      <c r="AB150" s="66" t="e">
        <f>VLOOKUP(A150,Enforcements!$C$7:$J$21,8,0)</f>
        <v>#N/A</v>
      </c>
      <c r="AC150" s="62" t="e">
        <f>VLOOKUP(A150,Enforcements!$C$7:$E$21,3,0)</f>
        <v>#N/A</v>
      </c>
      <c r="AD150" s="63" t="str">
        <f t="shared" si="84"/>
        <v>0238-31</v>
      </c>
      <c r="AE150" s="99" t="str">
        <f t="shared" si="74"/>
        <v>aws s3 cp s3://rtdc.mdm.uploadarchive/RTDC4028/2016-08-31/ "%USERPROFILE%\AppData\Local\Temp\OnboardLogs"\RTDC4028\2016-08-31 --recursive &amp; "%USERPROFILE%\Documents\GitHub\mrs-test-scripts\Headless Mode &amp; Sideloading\WalkAndUnGZ.bat" "%USERPROFILE%\AppData\Local\Temp\OnboardLogs"\RTDC4028\2016-08-31 &amp; aws s3 cp s3://rtdc.mdm.uploadarchive/RTDC4028/2016-09-01/ "%USERPROFILE%\AppData\Local\Temp\OnboardLogs"\RTDC4028\2016-09-01 --recursive &amp; "%USERPROFILE%\Documents\GitHub\mrs-test-scripts\Headless Mode &amp; Sideloading\WalkAndUnGZ.bat" "%USERPROFILE%\AppData\Local\Temp\OnboardLogs"\RTDC4028\2016-09-01</v>
      </c>
      <c r="AF150" s="96" t="str">
        <f t="shared" si="75"/>
        <v>"C:\Program Files (x86)\AstroGrep\AstroGrep.exe" /spath="%USERPROFILE%\AppData\Local\Temp\OnboardLogs" /stypes="*4028*20160901*" /stext=" 06:.+((SYSTEM_STATE.+slice.+state.+changed )|(ment ac)|(system.+state.+changed )|(\|lc)|(penalty)|(\[timeout)|(PRM\|1\|D)|(kpr)|(kdp))" /e /r /s</v>
      </c>
      <c r="AG150" s="1" t="str">
        <f t="shared" si="85"/>
        <v>EC</v>
      </c>
      <c r="AH150" s="100" t="str">
        <f t="shared" si="86"/>
        <v>"%USERPROFILE%\Documents\GitHub\eaglep3\Utilities\RefineRTDCRunTimes.py" --tripid 238-31 --locoid 4028 --swversion DE.1.0.7.0 --startMP 204:232971 --initTime 2016-08-31T23:48:42 --startdatetime 2016-08-31T23:56:18 --delay 1 --endMP 204:169 --enddatetime 2016-09-01T00:35:18 --enforcementcount 0 &gt;&gt;C:\Users\stu\Documents\GitHub\eaglep3-reporting\EC\2016-08-31-refined-times.txt</v>
      </c>
      <c r="AI150" s="149" t="str">
        <f t="shared" si="87"/>
        <v>echo {"issue":{"subject":"","project_id":79,"tracker_id":40,"status_id":1,"priority_id":2,"assigned_to_id":23,"start_date":"2016-09-01","description":"","custom_fields":[{"id":1,"name":"Subdivision","value":"EC"},{"id":4,"name":"Milepost","value":"23.2802"},{"id":17,"name":"Train ID","value":"238-31"},{"id":16,"name":"Locomotive ID","value":"4028"},{"id":130,"name":"Impact","value":""},{"id":150,"name":"Time of Event (Mountain Time)","value":"00:35:18"},{"id":151,"name":"Denver Issue ID","value":""},{"id":178,"name":"Operational Impact","value":"Yes"},{"id":179,"name":"Denver Segment Assigned","value":""}]}} | curl -X POST -H "Content-Type: application/json" -H "X-Redmine-API-Key: d6333d4a04012a730768444271f8ca06482dae87" https://secure.xorail.net/redmine/issues.json --data @-</v>
      </c>
      <c r="AJ150" s="55"/>
      <c r="AK150" s="55"/>
      <c r="AL150" s="55"/>
    </row>
    <row r="151" spans="1:38" x14ac:dyDescent="0.25">
      <c r="A151" s="39" t="s">
        <v>573</v>
      </c>
      <c r="B151" s="7">
        <v>4029</v>
      </c>
      <c r="C151" s="24" t="s">
        <v>113</v>
      </c>
      <c r="D151" s="24" t="s">
        <v>138</v>
      </c>
      <c r="E151" s="15">
        <v>42613.976041666669</v>
      </c>
      <c r="F151" s="15">
        <v>42613.979317129626</v>
      </c>
      <c r="G151" s="7">
        <v>1</v>
      </c>
      <c r="H151" s="15" t="s">
        <v>408</v>
      </c>
      <c r="I151" s="15">
        <v>42614.00409722222</v>
      </c>
      <c r="J151" s="7">
        <v>0</v>
      </c>
      <c r="K151" s="132" t="str">
        <f t="shared" si="76"/>
        <v>4029/4030</v>
      </c>
      <c r="L151" s="24" t="str">
        <f>VLOOKUP(A151,'Trips&amp;Operators'!$C$1:$E$10000,3,FALSE)</f>
        <v>YANAI</v>
      </c>
      <c r="M151" s="6">
        <f t="shared" si="77"/>
        <v>2.4780092593573499E-2</v>
      </c>
      <c r="N151" s="7">
        <f t="shared" si="89"/>
        <v>35.683333334745839</v>
      </c>
      <c r="O151" s="7"/>
      <c r="P151" s="7"/>
      <c r="Q151" s="25"/>
      <c r="R151" s="25"/>
      <c r="S151" s="37">
        <f t="shared" si="73"/>
        <v>1</v>
      </c>
      <c r="T151" s="52" t="str">
        <f t="shared" si="78"/>
        <v>NorthBound</v>
      </c>
      <c r="U151" s="126">
        <f>IF(AG151="EC",COUNTIFS(Variables!$M$2:$M$19,IF(T151="NorthBound","&gt;=","&lt;=")&amp;Y151,Variables!$M$2:$M$19,IF(T151="NorthBound","&lt;=","&gt;=")&amp;Z151),COUNTIFS(Variables!$P$2:$P$19,IF(T151="NorthBound","&gt;=","&lt;=")&amp;Y151,Variables!$P$2:$P$19,IF(T151="NorthBound","&lt;=","&gt;=")&amp;Z151))</f>
        <v>12</v>
      </c>
      <c r="V151" s="106" t="str">
        <f t="shared" si="79"/>
        <v>https://search-rtdc-monitor-bjffxe2xuh6vdkpspy63sjmuny.us-east-1.es.amazonaws.com/_plugin/kibana/#/discover/Steve-Slow-Train-Analysis-(2080s-and-2083s)?_g=(refreshInterval:(display:Off,section:0,value:0),time:(from:'2016-08-31 22:25:30-0600',mode:absolute,to:'2016-09-01 01:05:54-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4029%22')),sort:!(Time,asc))</v>
      </c>
      <c r="W151" s="54" t="str">
        <f t="shared" si="80"/>
        <v>N</v>
      </c>
      <c r="X151" s="120">
        <f t="shared" ref="X151:X182" si="90">VALUE(LEFT(AD151,4))-VALUE(LEFT(AD150,4))</f>
        <v>1</v>
      </c>
      <c r="Y151" s="69">
        <f t="shared" si="81"/>
        <v>4.6699999999999998E-2</v>
      </c>
      <c r="Z151" s="69">
        <f t="shared" si="82"/>
        <v>23.331800000000001</v>
      </c>
      <c r="AA151" s="69">
        <f t="shared" si="83"/>
        <v>23.2851</v>
      </c>
      <c r="AB151" s="66" t="e">
        <f>VLOOKUP(A151,Enforcements!$C$7:$J$21,8,0)</f>
        <v>#N/A</v>
      </c>
      <c r="AC151" s="62" t="e">
        <f>VLOOKUP(A151,Enforcements!$C$7:$E$21,3,0)</f>
        <v>#N/A</v>
      </c>
      <c r="AD151" s="63" t="str">
        <f t="shared" si="84"/>
        <v>0239-31</v>
      </c>
      <c r="AE151" s="99" t="str">
        <f t="shared" si="74"/>
        <v>aws s3 cp s3://rtdc.mdm.uploadarchive/RTDC4029/2016-08-31/ "%USERPROFILE%\AppData\Local\Temp\OnboardLogs"\RTDC4029\2016-08-31 --recursive &amp; "%USERPROFILE%\Documents\GitHub\mrs-test-scripts\Headless Mode &amp; Sideloading\WalkAndUnGZ.bat" "%USERPROFILE%\AppData\Local\Temp\OnboardLogs"\RTDC4029\2016-08-31 &amp; aws s3 cp s3://rtdc.mdm.uploadarchive/RTDC4029/2016-09-01/ "%USERPROFILE%\AppData\Local\Temp\OnboardLogs"\RTDC4029\2016-09-01 --recursive &amp; "%USERPROFILE%\Documents\GitHub\mrs-test-scripts\Headless Mode &amp; Sideloading\WalkAndUnGZ.bat" "%USERPROFILE%\AppData\Local\Temp\OnboardLogs"\RTDC4029\2016-09-01</v>
      </c>
      <c r="AF151" s="96" t="str">
        <f t="shared" si="75"/>
        <v>"C:\Program Files (x86)\AstroGrep\AstroGrep.exe" /spath="%USERPROFILE%\AppData\Local\Temp\OnboardLogs" /stypes="*4029*20160901*" /stext=" 06:.+((SYSTEM_STATE.+slice.+state.+changed )|(ment ac)|(system.+state.+changed )|(\|lc)|(penalty)|(\[timeout)|(PRM\|1\|D)|(kpr)|(kdp))" /e /r /s</v>
      </c>
      <c r="AG151" s="1" t="str">
        <f t="shared" si="85"/>
        <v>EC</v>
      </c>
      <c r="AH151" s="100" t="str">
        <f t="shared" si="86"/>
        <v>"%USERPROFILE%\Documents\GitHub\eaglep3\Utilities\RefineRTDCRunTimes.py" --tripid 239-31 --locoid 4029 --swversion DE.1.0.7.0 --startMP 204:467 --initTime 2016-08-31T23:25:30 --startdatetime 2016-08-31T23:30:13 --delay 1 --endMP 204:233318 --enddatetime 2016-09-01T00:05:54 --enforcementcount 0 &gt;&gt;C:\Users\stu\Documents\GitHub\eaglep3-reporting\EC\2016-08-31-refined-times.txt</v>
      </c>
      <c r="AI151" s="149" t="str">
        <f t="shared" si="87"/>
        <v>echo {"issue":{"subject":"","project_id":79,"tracker_id":40,"status_id":1,"priority_id":2,"assigned_to_id":23,"start_date":"2016-09-01","description":"","custom_fields":[{"id":1,"name":"Subdivision","value":"EC"},{"id":4,"name":"Milepost","value":"23.2851"},{"id":17,"name":"Train ID","value":"239-31"},{"id":16,"name":"Locomotive ID","value":"4029"},{"id":130,"name":"Impact","value":""},{"id":150,"name":"Time of Event (Mountain Time)","value":"00:05:54"},{"id":151,"name":"Denver Issue ID","value":""},{"id":178,"name":"Operational Impact","value":"Yes"},{"id":179,"name":"Denver Segment Assigned","value":""}]}} | curl -X POST -H "Content-Type: application/json" -H "X-Redmine-API-Key: d6333d4a04012a730768444271f8ca06482dae87" https://secure.xorail.net/redmine/issues.json --data @-</v>
      </c>
      <c r="AJ151" s="55"/>
      <c r="AK151" s="55"/>
      <c r="AL151" s="55"/>
    </row>
    <row r="152" spans="1:38" s="23" customFormat="1" x14ac:dyDescent="0.25">
      <c r="A152" s="39" t="s">
        <v>574</v>
      </c>
      <c r="B152" s="7">
        <v>4030</v>
      </c>
      <c r="C152" s="24" t="s">
        <v>113</v>
      </c>
      <c r="D152" s="24" t="s">
        <v>298</v>
      </c>
      <c r="E152" s="15">
        <v>42614.00540509259</v>
      </c>
      <c r="F152" s="15">
        <v>42614.006435185183</v>
      </c>
      <c r="G152" s="7">
        <v>1</v>
      </c>
      <c r="H152" s="15" t="s">
        <v>575</v>
      </c>
      <c r="I152" s="15">
        <v>42614.043287037035</v>
      </c>
      <c r="J152" s="7">
        <v>0</v>
      </c>
      <c r="K152" s="132" t="str">
        <f t="shared" si="76"/>
        <v>4029/4030</v>
      </c>
      <c r="L152" s="24" t="str">
        <f>VLOOKUP(A152,'Trips&amp;Operators'!$C$1:$E$10000,3,FALSE)</f>
        <v>YANAI</v>
      </c>
      <c r="M152" s="6">
        <f t="shared" si="77"/>
        <v>3.6851851851679385E-2</v>
      </c>
      <c r="N152" s="7">
        <f t="shared" si="89"/>
        <v>53.066666666418314</v>
      </c>
      <c r="O152" s="7"/>
      <c r="P152" s="7"/>
      <c r="Q152" s="25"/>
      <c r="R152" s="25"/>
      <c r="S152" s="37">
        <f t="shared" si="73"/>
        <v>1</v>
      </c>
      <c r="T152" s="52" t="str">
        <f t="shared" si="78"/>
        <v>Southbound</v>
      </c>
      <c r="U152" s="126">
        <f>IF(AG152="EC",COUNTIFS(Variables!$M$2:$M$19,IF(T152="NorthBound","&gt;=","&lt;=")&amp;Y152,Variables!$M$2:$M$19,IF(T152="NorthBound","&lt;=","&gt;=")&amp;Z152),COUNTIFS(Variables!$P$2:$P$19,IF(T152="NorthBound","&gt;=","&lt;=")&amp;Y152,Variables!$P$2:$P$19,IF(T152="NorthBound","&lt;=","&gt;=")&amp;Z152))</f>
        <v>12</v>
      </c>
      <c r="V152" s="106" t="str">
        <f t="shared" si="79"/>
        <v>https://search-rtdc-monitor-bjffxe2xuh6vdkpspy63sjmuny.us-east-1.es.amazonaws.com/_plugin/kibana/#/discover/Steve-Slow-Train-Analysis-(2080s-and-2083s)?_g=(refreshInterval:(display:Off,section:0,value:0),time:(from:'2016-08-31 23:07:47-0600',mode:absolute,to:'2016-09-01 02:02:20-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4030%22')),sort:!(Time,asc))</v>
      </c>
      <c r="W152" s="54" t="str">
        <f t="shared" si="80"/>
        <v>Y</v>
      </c>
      <c r="X152" s="120">
        <f t="shared" si="90"/>
        <v>1</v>
      </c>
      <c r="Y152" s="69">
        <f t="shared" si="81"/>
        <v>23.298200000000001</v>
      </c>
      <c r="Z152" s="69">
        <f t="shared" si="82"/>
        <v>0.4592</v>
      </c>
      <c r="AA152" s="69">
        <f t="shared" si="83"/>
        <v>22.839000000000002</v>
      </c>
      <c r="AB152" s="66" t="e">
        <f>VLOOKUP(A152,Enforcements!$C$7:$J$21,8,0)</f>
        <v>#N/A</v>
      </c>
      <c r="AC152" s="62" t="e">
        <f>VLOOKUP(A152,Enforcements!$C$7:$E$21,3,0)</f>
        <v>#N/A</v>
      </c>
      <c r="AD152" s="63" t="str">
        <f t="shared" si="84"/>
        <v>0240-31</v>
      </c>
      <c r="AE152" s="99" t="str">
        <f t="shared" si="74"/>
        <v>aws s3 cp s3://rtdc.mdm.uploadarchive/RTDC4030/2016-09-01/ "%USERPROFILE%\AppData\Local\Temp\OnboardLogs"\RTDC4030\2016-09-01 --recursive &amp; "%USERPROFILE%\Documents\GitHub\mrs-test-scripts\Headless Mode &amp; Sideloading\WalkAndUnGZ.bat" "%USERPROFILE%\AppData\Local\Temp\OnboardLogs"\RTDC4030\2016-09-01 &amp; aws s3 cp s3://rtdc.mdm.uploadarchive/RTDC4030/2016-09-02/ "%USERPROFILE%\AppData\Local\Temp\OnboardLogs"\RTDC4030\2016-09-02 --recursive &amp; "%USERPROFILE%\Documents\GitHub\mrs-test-scripts\Headless Mode &amp; Sideloading\WalkAndUnGZ.bat" "%USERPROFILE%\AppData\Local\Temp\OnboardLogs"\RTDC4030\2016-09-02</v>
      </c>
      <c r="AF152" s="96" t="str">
        <f t="shared" si="75"/>
        <v>"C:\Program Files (x86)\AstroGrep\AstroGrep.exe" /spath="%USERPROFILE%\AppData\Local\Temp\OnboardLogs" /stypes="*4030*20160901*" /stext=" 07:.+((SYSTEM_STATE.+slice.+state.+changed )|(ment ac)|(system.+state.+changed )|(\|lc)|(penalty)|(\[timeout)|(PRM\|1\|D)|(kpr)|(kdp))" /e /r /s</v>
      </c>
      <c r="AG152" s="1" t="str">
        <f t="shared" si="85"/>
        <v>EC</v>
      </c>
      <c r="AH152" s="100" t="str">
        <f t="shared" si="86"/>
        <v>"%USERPROFILE%\Documents\GitHub\eaglep3\Utilities\RefineRTDCRunTimes.py" --tripid 240-31 --locoid 4030 --swversion DE.1.0.7.0 --startMP 204:232982 --initTime 2016-09-01T00:07:47 --startdatetime 2016-09-01T00:09:16 --delay 1 --endMP 204:4592 --enddatetime 2016-09-01T01:02:20 --enforcementcount 0 &gt;&gt;C:\Users\stu\Documents\GitHub\eaglep3-reporting\EC\2016-08-31-refined-times.txt</v>
      </c>
      <c r="AI152" s="149" t="str">
        <f t="shared" si="87"/>
        <v>echo {"issue":{"subject":"","project_id":79,"tracker_id":40,"status_id":1,"priority_id":2,"assigned_to_id":23,"start_date":"2016-09-01","description":"","custom_fields":[{"id":1,"name":"Subdivision","value":"EC"},{"id":4,"name":"Milepost","value":"22.839"},{"id":17,"name":"Train ID","value":"240-31"},{"id":16,"name":"Locomotive ID","value":"4030"},{"id":130,"name":"Impact","value":""},{"id":150,"name":"Time of Event (Mountain Time)","value":"01:02:20"},{"id":151,"name":"Denver Issue ID","value":""},{"id":178,"name":"Operational Impact","value":"Yes"},{"id":179,"name":"Denver Segment Assigned","value":""}]}} | curl -X POST -H "Content-Type: application/json" -H "X-Redmine-API-Key: d6333d4a04012a730768444271f8ca06482dae87" https://secure.xorail.net/redmine/issues.json --data @-</v>
      </c>
      <c r="AJ152" s="55"/>
      <c r="AK152" s="55"/>
      <c r="AL152" s="55"/>
    </row>
    <row r="153" spans="1:38" x14ac:dyDescent="0.25">
      <c r="A153" s="39" t="s">
        <v>576</v>
      </c>
      <c r="B153" s="7">
        <v>4002</v>
      </c>
      <c r="C153" s="24" t="s">
        <v>113</v>
      </c>
      <c r="D153" s="24" t="s">
        <v>140</v>
      </c>
      <c r="E153" s="15">
        <v>42613.99359953704</v>
      </c>
      <c r="F153" s="15">
        <v>42614.001006944447</v>
      </c>
      <c r="G153" s="7">
        <v>1</v>
      </c>
      <c r="H153" s="15" t="s">
        <v>183</v>
      </c>
      <c r="I153" s="15">
        <v>42614.025462962964</v>
      </c>
      <c r="J153" s="7">
        <v>0</v>
      </c>
      <c r="K153" s="132" t="str">
        <f t="shared" si="76"/>
        <v>4001/4002</v>
      </c>
      <c r="L153" s="24" t="str">
        <f>VLOOKUP(A153,'Trips&amp;Operators'!$C$1:$E$10000,3,FALSE)</f>
        <v>STAMBAUGH</v>
      </c>
      <c r="M153" s="6">
        <f t="shared" si="77"/>
        <v>2.4456018516502809E-2</v>
      </c>
      <c r="N153" s="7">
        <f t="shared" si="89"/>
        <v>35.216666663764045</v>
      </c>
      <c r="O153" s="7"/>
      <c r="P153" s="7"/>
      <c r="Q153" s="25"/>
      <c r="R153" s="25"/>
      <c r="S153" s="37">
        <f t="shared" si="73"/>
        <v>1</v>
      </c>
      <c r="T153" s="52" t="str">
        <f t="shared" si="78"/>
        <v>NorthBound</v>
      </c>
      <c r="U153" s="126">
        <f>IF(AG153="EC",COUNTIFS(Variables!$M$2:$M$19,IF(T153="NorthBound","&gt;=","&lt;=")&amp;Y153,Variables!$M$2:$M$19,IF(T153="NorthBound","&lt;=","&gt;=")&amp;Z153),COUNTIFS(Variables!$P$2:$P$19,IF(T153="NorthBound","&gt;=","&lt;=")&amp;Y153,Variables!$P$2:$P$19,IF(T153="NorthBound","&lt;=","&gt;=")&amp;Z153))</f>
        <v>12</v>
      </c>
      <c r="V153" s="106" t="str">
        <f t="shared" si="79"/>
        <v>https://search-rtdc-monitor-bjffxe2xuh6vdkpspy63sjmuny.us-east-1.es.amazonaws.com/_plugin/kibana/#/discover/Steve-Slow-Train-Analysis-(2080s-and-2083s)?_g=(refreshInterval:(display:Off,section:0,value:0),time:(from:'2016-08-31 22:50:47-0600',mode:absolute,to:'2016-09-01 01:36:40-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4002%22')),sort:!(Time,asc))</v>
      </c>
      <c r="W153" s="54" t="str">
        <f t="shared" si="80"/>
        <v>N</v>
      </c>
      <c r="X153" s="120">
        <f t="shared" si="90"/>
        <v>1</v>
      </c>
      <c r="Y153" s="69">
        <f t="shared" si="81"/>
        <v>4.5699999999999998E-2</v>
      </c>
      <c r="Z153" s="69">
        <f t="shared" si="82"/>
        <v>23.332000000000001</v>
      </c>
      <c r="AA153" s="69">
        <f t="shared" si="83"/>
        <v>23.286300000000001</v>
      </c>
      <c r="AB153" s="66" t="e">
        <f>VLOOKUP(A153,Enforcements!$C$7:$J$21,8,0)</f>
        <v>#N/A</v>
      </c>
      <c r="AC153" s="62" t="e">
        <f>VLOOKUP(A153,Enforcements!$C$7:$E$21,3,0)</f>
        <v>#N/A</v>
      </c>
      <c r="AD153" s="63" t="str">
        <f t="shared" si="84"/>
        <v>0241-31</v>
      </c>
      <c r="AE153" s="99" t="str">
        <f t="shared" si="74"/>
        <v>aws s3 cp s3://rtdc.mdm.uploadarchive/RTDC4002/2016-09-01/ "%USERPROFILE%\AppData\Local\Temp\OnboardLogs"\RTDC4002\2016-09-01 --recursive &amp; "%USERPROFILE%\Documents\GitHub\mrs-test-scripts\Headless Mode &amp; Sideloading\WalkAndUnGZ.bat" "%USERPROFILE%\AppData\Local\Temp\OnboardLogs"\RTDC4002\2016-09-01 &amp; aws s3 cp s3://rtdc.mdm.uploadarchive/RTDC4002/2016-09-02/ "%USERPROFILE%\AppData\Local\Temp\OnboardLogs"\RTDC4002\2016-09-02 --recursive &amp; "%USERPROFILE%\Documents\GitHub\mrs-test-scripts\Headless Mode &amp; Sideloading\WalkAndUnGZ.bat" "%USERPROFILE%\AppData\Local\Temp\OnboardLogs"\RTDC4002\2016-09-02</v>
      </c>
      <c r="AF153" s="96" t="str">
        <f t="shared" si="75"/>
        <v>"C:\Program Files (x86)\AstroGrep\AstroGrep.exe" /spath="%USERPROFILE%\AppData\Local\Temp\OnboardLogs" /stypes="*4002*20160901*" /stext=" 06:.+((SYSTEM_STATE.+slice.+state.+changed )|(ment ac)|(system.+state.+changed )|(\|lc)|(penalty)|(\[timeout)|(PRM\|1\|D)|(kpr)|(kdp))" /e /r /s</v>
      </c>
      <c r="AG153" s="1" t="str">
        <f t="shared" si="85"/>
        <v>EC</v>
      </c>
      <c r="AH153" s="100" t="str">
        <f t="shared" si="86"/>
        <v>"%USERPROFILE%\Documents\GitHub\eaglep3\Utilities\RefineRTDCRunTimes.py" --tripid 241-31 --locoid 4002 --swversion DE.1.0.7.0 --startMP 204:457 --initTime 2016-08-31T23:50:47 --startdatetime 2016-09-01T00:01:27 --delay 1 --endMP 204:233320 --enddatetime 2016-09-01T00:36:40 --enforcementcount 0 &gt;&gt;C:\Users\stu\Documents\GitHub\eaglep3-reporting\EC\2016-08-31-refined-times.txt</v>
      </c>
      <c r="AI153" s="149" t="str">
        <f t="shared" si="87"/>
        <v>echo {"issue":{"subject":"","project_id":79,"tracker_id":40,"status_id":1,"priority_id":2,"assigned_to_id":23,"start_date":"2016-09-01","description":"","custom_fields":[{"id":1,"name":"Subdivision","value":"EC"},{"id":4,"name":"Milepost","value":"23.2863"},{"id":17,"name":"Train ID","value":"241-31"},{"id":16,"name":"Locomotive ID","value":"4002"},{"id":130,"name":"Impact","value":""},{"id":150,"name":"Time of Event (Mountain Time)","value":"00:36:40"},{"id":151,"name":"Denver Issue ID","value":""},{"id":178,"name":"Operational Impact","value":"Yes"},{"id":179,"name":"Denver Segment Assigned","value":""}]}} | curl -X POST -H "Content-Type: application/json" -H "X-Redmine-API-Key: d6333d4a04012a730768444271f8ca06482dae87" https://secure.xorail.net/redmine/issues.json --data @-</v>
      </c>
      <c r="AJ153" s="55"/>
      <c r="AK153" s="55"/>
      <c r="AL153" s="55"/>
    </row>
    <row r="154" spans="1:38" s="23" customFormat="1" x14ac:dyDescent="0.25">
      <c r="A154" s="39" t="s">
        <v>577</v>
      </c>
      <c r="B154" s="7">
        <v>4001</v>
      </c>
      <c r="C154" s="24" t="s">
        <v>113</v>
      </c>
      <c r="D154" s="24" t="s">
        <v>578</v>
      </c>
      <c r="E154" s="15">
        <v>42614.035925925928</v>
      </c>
      <c r="F154" s="15">
        <v>42614.039212962962</v>
      </c>
      <c r="G154" s="7">
        <v>2</v>
      </c>
      <c r="H154" s="15" t="s">
        <v>177</v>
      </c>
      <c r="I154" s="15">
        <v>42614.065798611111</v>
      </c>
      <c r="J154" s="7">
        <v>0</v>
      </c>
      <c r="K154" s="132" t="str">
        <f t="shared" si="76"/>
        <v>4001/4002</v>
      </c>
      <c r="L154" s="24" t="str">
        <f>VLOOKUP(A154,'Trips&amp;Operators'!$C$1:$E$10000,3,FALSE)</f>
        <v>STAMBAUGH</v>
      </c>
      <c r="M154" s="6">
        <f t="shared" si="77"/>
        <v>2.658564814919373E-2</v>
      </c>
      <c r="N154" s="7">
        <f t="shared" si="89"/>
        <v>38.283333334838971</v>
      </c>
      <c r="O154" s="7"/>
      <c r="P154" s="7"/>
      <c r="Q154" s="25"/>
      <c r="R154" s="25"/>
      <c r="S154" s="37">
        <f t="shared" si="73"/>
        <v>1</v>
      </c>
      <c r="T154" s="52" t="str">
        <f t="shared" si="78"/>
        <v>Southbound</v>
      </c>
      <c r="U154" s="126">
        <f>IF(AG154="EC",COUNTIFS(Variables!$M$2:$M$19,IF(T154="NorthBound","&gt;=","&lt;=")&amp;Y154,Variables!$M$2:$M$19,IF(T154="NorthBound","&lt;=","&gt;=")&amp;Z154),COUNTIFS(Variables!$P$2:$P$19,IF(T154="NorthBound","&gt;=","&lt;=")&amp;Y154,Variables!$P$2:$P$19,IF(T154="NorthBound","&lt;=","&gt;=")&amp;Z154))</f>
        <v>12</v>
      </c>
      <c r="V154" s="106" t="str">
        <f t="shared" si="79"/>
        <v>https://search-rtdc-monitor-bjffxe2xuh6vdkpspy63sjmuny.us-east-1.es.amazonaws.com/_plugin/kibana/#/discover/Steve-Slow-Train-Analysis-(2080s-and-2083s)?_g=(refreshInterval:(display:Off,section:0,value:0),time:(from:'2016-08-31 23:51:44-0600',mode:absolute,to:'2016-09-01 02:34:45-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4001%22')),sort:!(Time,asc))</v>
      </c>
      <c r="W154" s="54" t="str">
        <f t="shared" si="80"/>
        <v>N</v>
      </c>
      <c r="X154" s="120">
        <f t="shared" si="90"/>
        <v>1</v>
      </c>
      <c r="Y154" s="69">
        <f t="shared" si="81"/>
        <v>23.302800000000001</v>
      </c>
      <c r="Z154" s="69">
        <f t="shared" si="82"/>
        <v>1.6E-2</v>
      </c>
      <c r="AA154" s="69">
        <f t="shared" si="83"/>
        <v>23.286800000000003</v>
      </c>
      <c r="AB154" s="66">
        <f>VLOOKUP(A154,Enforcements!$C$7:$J$21,8,0)</f>
        <v>21848</v>
      </c>
      <c r="AC154" s="62" t="str">
        <f>VLOOKUP(A154,Enforcements!$C$7:$E$21,3,0)</f>
        <v>PERMANENT SPEED RESTRICTION</v>
      </c>
      <c r="AD154" s="63" t="str">
        <f t="shared" si="84"/>
        <v>0242-31</v>
      </c>
      <c r="AE154" s="99" t="str">
        <f t="shared" si="74"/>
        <v>aws s3 cp s3://rtdc.mdm.uploadarchive/RTDC4001/2016-09-01/ "%USERPROFILE%\AppData\Local\Temp\OnboardLogs"\RTDC4001\2016-09-01 --recursive &amp; "%USERPROFILE%\Documents\GitHub\mrs-test-scripts\Headless Mode &amp; Sideloading\WalkAndUnGZ.bat" "%USERPROFILE%\AppData\Local\Temp\OnboardLogs"\RTDC4001\2016-09-01 &amp; aws s3 cp s3://rtdc.mdm.uploadarchive/RTDC4001/2016-09-02/ "%USERPROFILE%\AppData\Local\Temp\OnboardLogs"\RTDC4001\2016-09-02 --recursive &amp; "%USERPROFILE%\Documents\GitHub\mrs-test-scripts\Headless Mode &amp; Sideloading\WalkAndUnGZ.bat" "%USERPROFILE%\AppData\Local\Temp\OnboardLogs"\RTDC4001\2016-09-02</v>
      </c>
      <c r="AF154" s="96" t="str">
        <f t="shared" si="75"/>
        <v>"C:\Program Files (x86)\AstroGrep\AstroGrep.exe" /spath="%USERPROFILE%\AppData\Local\Temp\OnboardLogs" /stypes="*4001*20160901*" /stext=" 07:.+((SYSTEM_STATE.+slice.+state.+changed )|(ment ac)|(system.+state.+changed )|(\|lc)|(penalty)|(\[timeout)|(PRM\|1\|D)|(kpr)|(kdp))" /e /r /s</v>
      </c>
      <c r="AG154" s="1" t="str">
        <f t="shared" si="85"/>
        <v>EC</v>
      </c>
      <c r="AH154" s="100" t="str">
        <f t="shared" si="86"/>
        <v>"%USERPROFILE%\Documents\GitHub\eaglep3\Utilities\RefineRTDCRunTimes.py" --tripid 242-31 --locoid 4001 --swversion DE.1.0.7.0 --startMP 204:233028 --initTime 2016-09-01T00:51:44 --startdatetime 2016-09-01T00:56:28 --delay 2 --endMP 204:160 --enddatetime 2016-09-01T01:34:45 --enforcementcount 0 &gt;&gt;C:\Users\stu\Documents\GitHub\eaglep3-reporting\EC\2016-08-31-refined-times.txt</v>
      </c>
      <c r="AI154" s="149" t="str">
        <f t="shared" si="87"/>
        <v>echo {"issue":{"subject":"","project_id":79,"tracker_id":40,"status_id":1,"priority_id":2,"assigned_to_id":23,"start_date":"2016-09-01","description":"","custom_fields":[{"id":1,"name":"Subdivision","value":"EC"},{"id":4,"name":"Milepost","value":"23.2868"},{"id":17,"name":"Train ID","value":"242-31"},{"id":16,"name":"Locomotive ID","value":"4001"},{"id":130,"name":"Impact","value":""},{"id":150,"name":"Time of Event (Mountain Time)","value":"01:34:45"},{"id":151,"name":"Denver Issue ID","value":""},{"id":178,"name":"Operational Impact","value":"Yes"},{"id":179,"name":"Denver Segment Assigned","value":""}]}} | curl -X POST -H "Content-Type: application/json" -H "X-Redmine-API-Key: d6333d4a04012a730768444271f8ca06482dae87" https://secure.xorail.net/redmine/issues.json --data @-</v>
      </c>
      <c r="AJ154" s="55"/>
      <c r="AK154" s="55"/>
      <c r="AL154" s="55"/>
    </row>
    <row r="155" spans="1:38" x14ac:dyDescent="0.25">
      <c r="A155" s="39" t="s">
        <v>579</v>
      </c>
      <c r="B155" s="7">
        <v>4016</v>
      </c>
      <c r="C155" s="24" t="s">
        <v>113</v>
      </c>
      <c r="D155" s="24" t="s">
        <v>580</v>
      </c>
      <c r="E155" s="15">
        <v>42614.018425925926</v>
      </c>
      <c r="F155" s="15">
        <v>42614.021099537036</v>
      </c>
      <c r="G155" s="7">
        <v>2</v>
      </c>
      <c r="H155" s="15" t="s">
        <v>290</v>
      </c>
      <c r="I155" s="15">
        <v>42614.045763888891</v>
      </c>
      <c r="J155" s="7">
        <v>0</v>
      </c>
      <c r="K155" s="132" t="str">
        <f t="shared" si="76"/>
        <v>4015/4016</v>
      </c>
      <c r="L155" s="24" t="str">
        <f>VLOOKUP(A155,'Trips&amp;Operators'!$C$1:$E$10000,3,FALSE)</f>
        <v>COOLAHAN</v>
      </c>
      <c r="M155" s="6">
        <f t="shared" si="77"/>
        <v>2.4664351854880806E-2</v>
      </c>
      <c r="N155" s="7">
        <f t="shared" si="89"/>
        <v>35.516666671028361</v>
      </c>
      <c r="O155" s="7"/>
      <c r="P155" s="7"/>
      <c r="Q155" s="25"/>
      <c r="R155" s="25"/>
      <c r="S155" s="37">
        <f t="shared" si="73"/>
        <v>1</v>
      </c>
      <c r="T155" s="52" t="str">
        <f t="shared" si="78"/>
        <v>NorthBound</v>
      </c>
      <c r="U155" s="126">
        <f>IF(AG155="EC",COUNTIFS(Variables!$M$2:$M$19,IF(T155="NorthBound","&gt;=","&lt;=")&amp;Y155,Variables!$M$2:$M$19,IF(T155="NorthBound","&lt;=","&gt;=")&amp;Z155),COUNTIFS(Variables!$P$2:$P$19,IF(T155="NorthBound","&gt;=","&lt;=")&amp;Y155,Variables!$P$2:$P$19,IF(T155="NorthBound","&lt;=","&gt;=")&amp;Z155))</f>
        <v>12</v>
      </c>
      <c r="V155" s="106" t="str">
        <f t="shared" si="79"/>
        <v>https://search-rtdc-monitor-bjffxe2xuh6vdkpspy63sjmuny.us-east-1.es.amazonaws.com/_plugin/kibana/#/discover/Steve-Slow-Train-Analysis-(2080s-and-2083s)?_g=(refreshInterval:(display:Off,section:0,value:0),time:(from:'2016-08-31 23:26:32-0600',mode:absolute,to:'2016-09-01 02:05:54-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4016%22')),sort:!(Time,asc))</v>
      </c>
      <c r="W155" s="54" t="str">
        <f t="shared" si="80"/>
        <v>N</v>
      </c>
      <c r="X155" s="120">
        <f t="shared" si="90"/>
        <v>1</v>
      </c>
      <c r="Y155" s="69">
        <f t="shared" si="81"/>
        <v>5.0799999999999998E-2</v>
      </c>
      <c r="Z155" s="69">
        <f t="shared" si="82"/>
        <v>23.330300000000001</v>
      </c>
      <c r="AA155" s="69">
        <f t="shared" si="83"/>
        <v>23.279500000000002</v>
      </c>
      <c r="AB155" s="66" t="e">
        <f>VLOOKUP(A155,Enforcements!$C$7:$J$21,8,0)</f>
        <v>#N/A</v>
      </c>
      <c r="AC155" s="62" t="e">
        <f>VLOOKUP(A155,Enforcements!$C$7:$E$21,3,0)</f>
        <v>#N/A</v>
      </c>
      <c r="AD155" s="63" t="str">
        <f t="shared" si="84"/>
        <v>0243-31</v>
      </c>
      <c r="AE155" s="99" t="str">
        <f t="shared" si="74"/>
        <v>aws s3 cp s3://rtdc.mdm.uploadarchive/RTDC4016/2016-09-01/ "%USERPROFILE%\AppData\Local\Temp\OnboardLogs"\RTDC4016\2016-09-01 --recursive &amp; "%USERPROFILE%\Documents\GitHub\mrs-test-scripts\Headless Mode &amp; Sideloading\WalkAndUnGZ.bat" "%USERPROFILE%\AppData\Local\Temp\OnboardLogs"\RTDC4016\2016-09-01 &amp; aws s3 cp s3://rtdc.mdm.uploadarchive/RTDC4016/2016-09-02/ "%USERPROFILE%\AppData\Local\Temp\OnboardLogs"\RTDC4016\2016-09-02 --recursive &amp; "%USERPROFILE%\Documents\GitHub\mrs-test-scripts\Headless Mode &amp; Sideloading\WalkAndUnGZ.bat" "%USERPROFILE%\AppData\Local\Temp\OnboardLogs"\RTDC4016\2016-09-02</v>
      </c>
      <c r="AF155" s="96" t="str">
        <f t="shared" si="75"/>
        <v>"C:\Program Files (x86)\AstroGrep\AstroGrep.exe" /spath="%USERPROFILE%\AppData\Local\Temp\OnboardLogs" /stypes="*4016*20160901*" /stext=" 07:.+((SYSTEM_STATE.+slice.+state.+changed )|(ment ac)|(system.+state.+changed )|(\|lc)|(penalty)|(\[timeout)|(PRM\|1\|D)|(kpr)|(kdp))" /e /r /s</v>
      </c>
      <c r="AG155" s="1" t="str">
        <f t="shared" si="85"/>
        <v>EC</v>
      </c>
      <c r="AH155" s="100" t="str">
        <f t="shared" si="86"/>
        <v>"%USERPROFILE%\Documents\GitHub\eaglep3\Utilities\RefineRTDCRunTimes.py" --tripid 243-31 --locoid 4016 --swversion DE.1.0.7.0 --startMP 204:508 --initTime 2016-09-01T00:26:32 --startdatetime 2016-09-01T00:30:23 --delay 2 --endMP 204:233303 --enddatetime 2016-09-01T01:05:54 --enforcementcount 0 &gt;&gt;C:\Users\stu\Documents\GitHub\eaglep3-reporting\EC\2016-08-31-refined-times.txt</v>
      </c>
      <c r="AI155" s="149" t="str">
        <f t="shared" si="87"/>
        <v>echo {"issue":{"subject":"","project_id":79,"tracker_id":40,"status_id":1,"priority_id":2,"assigned_to_id":23,"start_date":"2016-09-01","description":"","custom_fields":[{"id":1,"name":"Subdivision","value":"EC"},{"id":4,"name":"Milepost","value":"23.2795"},{"id":17,"name":"Train ID","value":"243-31"},{"id":16,"name":"Locomotive ID","value":"4016"},{"id":130,"name":"Impact","value":""},{"id":150,"name":"Time of Event (Mountain Time)","value":"01:05:54"},{"id":151,"name":"Denver Issue ID","value":""},{"id":178,"name":"Operational Impact","value":"Yes"},{"id":179,"name":"Denver Segment Assigned","value":""}]}} | curl -X POST -H "Content-Type: application/json" -H "X-Redmine-API-Key: d6333d4a04012a730768444271f8ca06482dae87" https://secure.xorail.net/redmine/issues.json --data @-</v>
      </c>
      <c r="AJ155" s="55"/>
      <c r="AK155" s="55"/>
      <c r="AL155" s="55"/>
    </row>
    <row r="156" spans="1:38" s="23" customFormat="1" x14ac:dyDescent="0.25">
      <c r="A156" s="39" t="s">
        <v>581</v>
      </c>
      <c r="B156" s="7">
        <v>4015</v>
      </c>
      <c r="C156" s="24" t="s">
        <v>113</v>
      </c>
      <c r="D156" s="24" t="s">
        <v>255</v>
      </c>
      <c r="E156" s="15">
        <v>42614.054861111108</v>
      </c>
      <c r="F156" s="15">
        <v>42614.059965277775</v>
      </c>
      <c r="G156" s="7">
        <v>1</v>
      </c>
      <c r="H156" s="15" t="s">
        <v>177</v>
      </c>
      <c r="I156" s="15">
        <v>42614.086134259262</v>
      </c>
      <c r="J156" s="7">
        <v>0</v>
      </c>
      <c r="K156" s="132" t="str">
        <f t="shared" si="76"/>
        <v>4015/4016</v>
      </c>
      <c r="L156" s="24" t="str">
        <f>VLOOKUP(A156,'Trips&amp;Operators'!$C$1:$E$10000,3,FALSE)</f>
        <v>COOLAHAN</v>
      </c>
      <c r="M156" s="6">
        <f t="shared" si="77"/>
        <v>2.6168981486989651E-2</v>
      </c>
      <c r="N156" s="7">
        <f t="shared" si="89"/>
        <v>37.683333341265097</v>
      </c>
      <c r="O156" s="7"/>
      <c r="P156" s="7"/>
      <c r="Q156" s="25"/>
      <c r="R156" s="25"/>
      <c r="S156" s="37">
        <f t="shared" si="73"/>
        <v>1</v>
      </c>
      <c r="T156" s="52" t="str">
        <f t="shared" si="78"/>
        <v>Southbound</v>
      </c>
      <c r="U156" s="126">
        <f>IF(AG156="EC",COUNTIFS(Variables!$M$2:$M$19,IF(T156="NorthBound","&gt;=","&lt;=")&amp;Y156,Variables!$M$2:$M$19,IF(T156="NorthBound","&lt;=","&gt;=")&amp;Z156),COUNTIFS(Variables!$P$2:$P$19,IF(T156="NorthBound","&gt;=","&lt;=")&amp;Y156,Variables!$P$2:$P$19,IF(T156="NorthBound","&lt;=","&gt;=")&amp;Z156))</f>
        <v>12</v>
      </c>
      <c r="V156" s="106" t="str">
        <f t="shared" si="79"/>
        <v>https://search-rtdc-monitor-bjffxe2xuh6vdkpspy63sjmuny.us-east-1.es.amazonaws.com/_plugin/kibana/#/discover/Steve-Slow-Train-Analysis-(2080s-and-2083s)?_g=(refreshInterval:(display:Off,section:0,value:0),time:(from:'2016-09-01 00:19:00-0600',mode:absolute,to:'2016-09-01 03:04:02-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4015%22')),sort:!(Time,asc))</v>
      </c>
      <c r="W156" s="54" t="str">
        <f t="shared" si="80"/>
        <v>N</v>
      </c>
      <c r="X156" s="120">
        <f t="shared" si="90"/>
        <v>1</v>
      </c>
      <c r="Y156" s="69">
        <f t="shared" si="81"/>
        <v>23.298999999999999</v>
      </c>
      <c r="Z156" s="69">
        <f t="shared" si="82"/>
        <v>1.6E-2</v>
      </c>
      <c r="AA156" s="69">
        <f t="shared" si="83"/>
        <v>23.283000000000001</v>
      </c>
      <c r="AB156" s="66" t="e">
        <f>VLOOKUP(A156,Enforcements!$C$7:$J$21,8,0)</f>
        <v>#N/A</v>
      </c>
      <c r="AC156" s="62" t="e">
        <f>VLOOKUP(A156,Enforcements!$C$7:$E$21,3,0)</f>
        <v>#N/A</v>
      </c>
      <c r="AD156" s="63" t="str">
        <f t="shared" si="84"/>
        <v>0244-31</v>
      </c>
      <c r="AE156" s="99" t="str">
        <f t="shared" si="74"/>
        <v>aws s3 cp s3://rtdc.mdm.uploadarchive/RTDC4015/2016-09-01/ "%USERPROFILE%\AppData\Local\Temp\OnboardLogs"\RTDC4015\2016-09-01 --recursive &amp; "%USERPROFILE%\Documents\GitHub\mrs-test-scripts\Headless Mode &amp; Sideloading\WalkAndUnGZ.bat" "%USERPROFILE%\AppData\Local\Temp\OnboardLogs"\RTDC4015\2016-09-01 &amp; aws s3 cp s3://rtdc.mdm.uploadarchive/RTDC4015/2016-09-02/ "%USERPROFILE%\AppData\Local\Temp\OnboardLogs"\RTDC4015\2016-09-02 --recursive &amp; "%USERPROFILE%\Documents\GitHub\mrs-test-scripts\Headless Mode &amp; Sideloading\WalkAndUnGZ.bat" "%USERPROFILE%\AppData\Local\Temp\OnboardLogs"\RTDC4015\2016-09-02</v>
      </c>
      <c r="AF156" s="96" t="str">
        <f t="shared" si="75"/>
        <v>"C:\Program Files (x86)\AstroGrep\AstroGrep.exe" /spath="%USERPROFILE%\AppData\Local\Temp\OnboardLogs" /stypes="*4015*20160901*" /stext=" 08:.+((SYSTEM_STATE.+slice.+state.+changed )|(ment ac)|(system.+state.+changed )|(\|lc)|(penalty)|(\[timeout)|(PRM\|1\|D)|(kpr)|(kdp))" /e /r /s</v>
      </c>
      <c r="AG156" s="1" t="str">
        <f t="shared" si="85"/>
        <v>EC</v>
      </c>
      <c r="AH156" s="100" t="str">
        <f t="shared" si="86"/>
        <v>"%USERPROFILE%\Documents\GitHub\eaglep3\Utilities\RefineRTDCRunTimes.py" --tripid 244-31 --locoid 4015 --swversion DE.1.0.7.0 --startMP 204:232990 --initTime 2016-09-01T01:19:00 --startdatetime 2016-09-01T01:26:21 --delay 1 --endMP 204:160 --enddatetime 2016-09-01T02:04:02 --enforcementcount 0 &gt;&gt;C:\Users\stu\Documents\GitHub\eaglep3-reporting\EC\2016-08-31-refined-times.txt</v>
      </c>
      <c r="AI156" s="149" t="str">
        <f t="shared" si="87"/>
        <v>echo {"issue":{"subject":"","project_id":79,"tracker_id":40,"status_id":1,"priority_id":2,"assigned_to_id":23,"start_date":"2016-09-01","description":"","custom_fields":[{"id":1,"name":"Subdivision","value":"EC"},{"id":4,"name":"Milepost","value":"23.283"},{"id":17,"name":"Train ID","value":"244-31"},{"id":16,"name":"Locomotive ID","value":"4015"},{"id":130,"name":"Impact","value":""},{"id":150,"name":"Time of Event (Mountain Time)","value":"02:04:02"},{"id":151,"name":"Denver Issue ID","value":""},{"id":178,"name":"Operational Impact","value":"Yes"},{"id":179,"name":"Denver Segment Assigned","value":""}]}} | curl -X POST -H "Content-Type: application/json" -H "X-Redmine-API-Key: d6333d4a04012a730768444271f8ca06482dae87" https://secure.xorail.net/redmine/issues.json --data @-</v>
      </c>
      <c r="AJ156" s="55"/>
      <c r="AK156" s="55"/>
      <c r="AL156" s="55"/>
    </row>
    <row r="157" spans="1:38" s="23" customFormat="1" x14ac:dyDescent="0.25">
      <c r="A157" s="39" t="s">
        <v>599</v>
      </c>
      <c r="B157" s="7">
        <v>4032</v>
      </c>
      <c r="C157" s="24" t="s">
        <v>113</v>
      </c>
      <c r="D157" s="24" t="s">
        <v>358</v>
      </c>
      <c r="E157" s="15">
        <v>42613.214421296296</v>
      </c>
      <c r="F157" s="15">
        <v>42613.216006944444</v>
      </c>
      <c r="G157" s="7">
        <v>1</v>
      </c>
      <c r="H157" s="15" t="s">
        <v>600</v>
      </c>
      <c r="I157" s="15">
        <v>42613.226643518516</v>
      </c>
      <c r="J157" s="7">
        <v>0</v>
      </c>
      <c r="K157" s="132" t="str">
        <f t="shared" si="76"/>
        <v>4031/4032</v>
      </c>
      <c r="L157" s="24" t="str">
        <f>VLOOKUP(A157,'Trips&amp;Operators'!$C$1:$E$10000,3,FALSE)</f>
        <v>STARKS</v>
      </c>
      <c r="M157" s="6">
        <f t="shared" si="77"/>
        <v>1.063657407212304E-2</v>
      </c>
      <c r="N157" s="7">
        <f t="shared" si="89"/>
        <v>15.316666663857177</v>
      </c>
      <c r="O157" s="7"/>
      <c r="P157" s="7"/>
      <c r="Q157" s="25"/>
      <c r="R157" s="25"/>
      <c r="S157" s="37">
        <f t="shared" si="73"/>
        <v>1</v>
      </c>
      <c r="T157" s="52" t="str">
        <f t="shared" si="78"/>
        <v>Southbound</v>
      </c>
      <c r="U157" s="126">
        <f>IF(AG157="EC",COUNTIFS(Variables!$M$2:$M$19,IF(T157="NorthBound","&gt;=","&lt;=")&amp;Y157,Variables!$M$2:$M$19,IF(T157="NorthBound","&lt;=","&gt;=")&amp;Z157),COUNTIFS(Variables!$P$2:$P$19,IF(T157="NorthBound","&gt;=","&lt;=")&amp;Y157,Variables!$P$2:$P$19,IF(T157="NorthBound","&lt;=","&gt;=")&amp;Z157))</f>
        <v>1</v>
      </c>
      <c r="V157" s="106" t="str">
        <f t="shared" si="79"/>
        <v>https://search-rtdc-monitor-bjffxe2xuh6vdkpspy63sjmuny.us-east-1.es.amazonaws.com/_plugin/kibana/#/discover/Steve-Slow-Train-Analysis-(2080s-and-2083s)?_g=(refreshInterval:(display:Off,section:0,value:0),time:(from:'2016-08-31 04:08:46-0600',mode:absolute,to:'2016-08-31 06:26:22-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4032%22')),sort:!(Time,asc))</v>
      </c>
      <c r="W157" s="54" t="str">
        <f t="shared" si="80"/>
        <v>N</v>
      </c>
      <c r="X157" s="120">
        <f t="shared" si="90"/>
        <v>556</v>
      </c>
      <c r="Y157" s="69">
        <f t="shared" si="81"/>
        <v>5.8628</v>
      </c>
      <c r="Z157" s="69">
        <f t="shared" si="82"/>
        <v>7.3800000000000004E-2</v>
      </c>
      <c r="AA157" s="69">
        <f t="shared" si="83"/>
        <v>5.7889999999999997</v>
      </c>
      <c r="AB157" s="66" t="e">
        <f>VLOOKUP(A157,Enforcements!$C$7:$J$21,8,0)</f>
        <v>#N/A</v>
      </c>
      <c r="AC157" s="62" t="e">
        <f>VLOOKUP(A157,Enforcements!$C$7:$E$21,3,0)</f>
        <v>#N/A</v>
      </c>
      <c r="AD157" s="63" t="str">
        <f t="shared" si="84"/>
        <v>0800-31</v>
      </c>
      <c r="AE157" s="99" t="str">
        <f t="shared" si="74"/>
        <v>aws s3 cp s3://rtdc.mdm.uploadarchive/RTDC4032/2016-08-31/ "%USERPROFILE%\AppData\Local\Temp\OnboardLogs"\RTDC4032\2016-08-31 --recursive &amp; "%USERPROFILE%\Documents\GitHub\mrs-test-scripts\Headless Mode &amp; Sideloading\WalkAndUnGZ.bat" "%USERPROFILE%\AppData\Local\Temp\OnboardLogs"\RTDC4032\2016-08-31 &amp; aws s3 cp s3://rtdc.mdm.uploadarchive/RTDC4032/2016-09-01/ "%USERPROFILE%\AppData\Local\Temp\OnboardLogs"\RTDC4032\2016-09-01 --recursive &amp; "%USERPROFILE%\Documents\GitHub\mrs-test-scripts\Headless Mode &amp; Sideloading\WalkAndUnGZ.bat" "%USERPROFILE%\AppData\Local\Temp\OnboardLogs"\RTDC4032\2016-09-01</v>
      </c>
      <c r="AF157" s="96" t="str">
        <f t="shared" si="75"/>
        <v>"C:\Program Files (x86)\AstroGrep\AstroGrep.exe" /spath="%USERPROFILE%\AppData\Local\Temp\OnboardLogs" /stypes="*4032*20160831*" /stext=" 11:.+((SYSTEM_STATE.+slice.+state.+changed )|(ment ac)|(system.+state.+changed )|(\|lc)|(penalty)|(\[timeout)|(PRM\|1\|D)|(kpr)|(kdp))" /e /r /s</v>
      </c>
      <c r="AG157" s="1" t="str">
        <f t="shared" si="85"/>
        <v>NW</v>
      </c>
      <c r="AH157" s="100" t="str">
        <f t="shared" si="86"/>
        <v>"%USERPROFILE%\Documents\GitHub\eaglep3\Utilities\RefineRTDCRunTimes.py" --tripid 800-31 --locoid 4032 --swversion DE.1.0.7.0 --startMP 300:58628 --initTime 2016-08-31T05:08:46 --startdatetime 2016-08-31T05:11:03 --delay 1 --endMP 204:738 --enddatetime 2016-08-31T05:26:22 --enforcementcount 0 &gt;&gt;C:\Users\stu\Documents\GitHub\eaglep3-reporting\EC\2016-08-31-refined-times.txt</v>
      </c>
      <c r="AI157" s="149" t="str">
        <f t="shared" si="87"/>
        <v>echo {"issue":{"subject":"","project_id":79,"tracker_id":40,"status_id":1,"priority_id":2,"assigned_to_id":23,"start_date":"2016-08-31","description":"","custom_fields":[{"id":1,"name":"Subdivision","value":"NW"},{"id":4,"name":"Milepost","value":"5.789"},{"id":17,"name":"Train ID","value":"800-31"},{"id":16,"name":"Locomotive ID","value":"4032"},{"id":130,"name":"Impact","value":""},{"id":150,"name":"Time of Event (Mountain Time)","value":"05:26:22"},{"id":151,"name":"Denver Issue ID","value":""},{"id":178,"name":"Operational Impact","value":"Yes"},{"id":179,"name":"Denver Segment Assigned","value":""}]}} | curl -X POST -H "Content-Type: application/json" -H "X-Redmine-API-Key: d6333d4a04012a730768444271f8ca06482dae87" https://secure.xorail.net/redmine/issues.json --data @-</v>
      </c>
      <c r="AJ157" s="55"/>
      <c r="AK157" s="55"/>
      <c r="AL157" s="55"/>
    </row>
    <row r="158" spans="1:38" x14ac:dyDescent="0.25">
      <c r="A158" s="39" t="s">
        <v>601</v>
      </c>
      <c r="B158" s="7">
        <v>4031</v>
      </c>
      <c r="C158" s="24" t="s">
        <v>113</v>
      </c>
      <c r="D158" s="24" t="s">
        <v>602</v>
      </c>
      <c r="E158" s="15">
        <v>42613.240659722222</v>
      </c>
      <c r="F158" s="15">
        <v>42613.243935185186</v>
      </c>
      <c r="G158" s="7">
        <v>2</v>
      </c>
      <c r="H158" s="15" t="s">
        <v>603</v>
      </c>
      <c r="I158" s="15">
        <v>42613.254317129627</v>
      </c>
      <c r="J158" s="7">
        <v>0</v>
      </c>
      <c r="K158" s="132" t="str">
        <f t="shared" si="76"/>
        <v>4031/4032</v>
      </c>
      <c r="L158" s="24" t="str">
        <f>VLOOKUP(A158,'Trips&amp;Operators'!$C$1:$E$10000,3,FALSE)</f>
        <v>STARKS</v>
      </c>
      <c r="M158" s="6">
        <f t="shared" si="77"/>
        <v>1.0381944441178348E-2</v>
      </c>
      <c r="N158" s="7">
        <f t="shared" si="89"/>
        <v>14.949999995296821</v>
      </c>
      <c r="O158" s="7"/>
      <c r="P158" s="7"/>
      <c r="Q158" s="25"/>
      <c r="R158" s="25"/>
      <c r="S158" s="37">
        <f t="shared" si="73"/>
        <v>1</v>
      </c>
      <c r="T158" s="52" t="str">
        <f t="shared" si="78"/>
        <v>NorthBound</v>
      </c>
      <c r="U158" s="126">
        <f>IF(AG158="EC",COUNTIFS(Variables!$M$2:$M$19,IF(T158="NorthBound","&gt;=","&lt;=")&amp;Y158,Variables!$M$2:$M$19,IF(T158="NorthBound","&lt;=","&gt;=")&amp;Z158),COUNTIFS(Variables!$P$2:$P$19,IF(T158="NorthBound","&gt;=","&lt;=")&amp;Y158,Variables!$P$2:$P$19,IF(T158="NorthBound","&lt;=","&gt;=")&amp;Z158))</f>
        <v>1</v>
      </c>
      <c r="V158" s="106" t="str">
        <f t="shared" si="79"/>
        <v>https://search-rtdc-monitor-bjffxe2xuh6vdkpspy63sjmuny.us-east-1.es.amazonaws.com/_plugin/kibana/#/discover/Steve-Slow-Train-Analysis-(2080s-and-2083s)?_g=(refreshInterval:(display:Off,section:0,value:0),time:(from:'2016-08-31 04:46:33-0600',mode:absolute,to:'2016-08-31 07:06:13-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4031%22')),sort:!(Time,asc))</v>
      </c>
      <c r="W158" s="54" t="str">
        <f t="shared" si="80"/>
        <v>N</v>
      </c>
      <c r="X158" s="120">
        <f t="shared" si="90"/>
        <v>1</v>
      </c>
      <c r="Y158" s="69">
        <f t="shared" si="81"/>
        <v>0.10340000000000001</v>
      </c>
      <c r="Z158" s="69">
        <f t="shared" si="82"/>
        <v>5.8930999999999996</v>
      </c>
      <c r="AA158" s="69">
        <f t="shared" si="83"/>
        <v>5.7896999999999998</v>
      </c>
      <c r="AB158" s="66" t="e">
        <f>VLOOKUP(A158,Enforcements!$C$7:$J$21,8,0)</f>
        <v>#N/A</v>
      </c>
      <c r="AC158" s="62" t="e">
        <f>VLOOKUP(A158,Enforcements!$C$7:$E$21,3,0)</f>
        <v>#N/A</v>
      </c>
      <c r="AD158" s="63" t="str">
        <f t="shared" si="84"/>
        <v>0801-31</v>
      </c>
      <c r="AE158" s="99" t="str">
        <f t="shared" si="74"/>
        <v>aws s3 cp s3://rtdc.mdm.uploadarchive/RTDC4031/2016-08-31/ "%USERPROFILE%\AppData\Local\Temp\OnboardLogs"\RTDC4031\2016-08-31 --recursive &amp; "%USERPROFILE%\Documents\GitHub\mrs-test-scripts\Headless Mode &amp; Sideloading\WalkAndUnGZ.bat" "%USERPROFILE%\AppData\Local\Temp\OnboardLogs"\RTDC4031\2016-08-31 &amp; aws s3 cp s3://rtdc.mdm.uploadarchive/RTDC4031/2016-09-01/ "%USERPROFILE%\AppData\Local\Temp\OnboardLogs"\RTDC4031\2016-09-01 --recursive &amp; "%USERPROFILE%\Documents\GitHub\mrs-test-scripts\Headless Mode &amp; Sideloading\WalkAndUnGZ.bat" "%USERPROFILE%\AppData\Local\Temp\OnboardLogs"\RTDC4031\2016-09-01</v>
      </c>
      <c r="AF158" s="96" t="str">
        <f t="shared" si="75"/>
        <v>"C:\Program Files (x86)\AstroGrep\AstroGrep.exe" /spath="%USERPROFILE%\AppData\Local\Temp\OnboardLogs" /stypes="*4031*20160831*" /stext=" 12:.+((SYSTEM_STATE.+slice.+state.+changed )|(ment ac)|(system.+state.+changed )|(\|lc)|(penalty)|(\[timeout)|(PRM\|1\|D)|(kpr)|(kdp))" /e /r /s</v>
      </c>
      <c r="AG158" s="1" t="str">
        <f t="shared" si="85"/>
        <v>NW</v>
      </c>
      <c r="AH158" s="100" t="str">
        <f t="shared" si="86"/>
        <v>"%USERPROFILE%\Documents\GitHub\eaglep3\Utilities\RefineRTDCRunTimes.py" --tripid 801-31 --locoid 4031 --swversion DE.1.0.7.0 --startMP 204:1034 --initTime 2016-08-31T05:46:33 --startdatetime 2016-08-31T05:51:16 --delay 2 --endMP 300:58931 --enddatetime 2016-08-31T06:06:13 --enforcementcount 0 &gt;&gt;C:\Users\stu\Documents\GitHub\eaglep3-reporting\EC\2016-08-31-refined-times.txt</v>
      </c>
      <c r="AI158" s="149" t="str">
        <f t="shared" si="87"/>
        <v>echo {"issue":{"subject":"","project_id":79,"tracker_id":40,"status_id":1,"priority_id":2,"assigned_to_id":23,"start_date":"2016-08-31","description":"","custom_fields":[{"id":1,"name":"Subdivision","value":"NW"},{"id":4,"name":"Milepost","value":"5.7897"},{"id":17,"name":"Train ID","value":"801-31"},{"id":16,"name":"Locomotive ID","value":"4031"},{"id":130,"name":"Impact","value":""},{"id":150,"name":"Time of Event (Mountain Time)","value":"06:06:13"},{"id":151,"name":"Denver Issue ID","value":""},{"id":178,"name":"Operational Impact","value":"Yes"},{"id":179,"name":"Denver Segment Assigned","value":""}]}} | curl -X POST -H "Content-Type: application/json" -H "X-Redmine-API-Key: d6333d4a04012a730768444271f8ca06482dae87" https://secure.xorail.net/redmine/issues.json --data @-</v>
      </c>
      <c r="AJ158" s="55"/>
      <c r="AK158" s="55"/>
      <c r="AL158" s="55"/>
    </row>
    <row r="159" spans="1:38" s="23" customFormat="1" x14ac:dyDescent="0.25">
      <c r="A159" s="39" t="s">
        <v>604</v>
      </c>
      <c r="B159" s="7">
        <v>4032</v>
      </c>
      <c r="C159" s="24" t="s">
        <v>113</v>
      </c>
      <c r="D159" s="24" t="s">
        <v>605</v>
      </c>
      <c r="E159" s="15">
        <v>42613.255474537036</v>
      </c>
      <c r="F159" s="15">
        <v>42613.256828703707</v>
      </c>
      <c r="G159" s="7">
        <v>1</v>
      </c>
      <c r="H159" s="15" t="s">
        <v>606</v>
      </c>
      <c r="I159" s="15">
        <v>42613.26840277778</v>
      </c>
      <c r="J159" s="7">
        <v>0</v>
      </c>
      <c r="K159" s="132" t="str">
        <f t="shared" si="76"/>
        <v>4031/4032</v>
      </c>
      <c r="L159" s="24" t="str">
        <f>VLOOKUP(A159,'Trips&amp;Operators'!$C$1:$E$10000,3,FALSE)</f>
        <v>STARKS</v>
      </c>
      <c r="M159" s="6">
        <f t="shared" si="77"/>
        <v>1.1574074072996154E-2</v>
      </c>
      <c r="N159" s="7">
        <f t="shared" si="89"/>
        <v>16.666666665114462</v>
      </c>
      <c r="O159" s="7"/>
      <c r="P159" s="7"/>
      <c r="Q159" s="25"/>
      <c r="R159" s="25"/>
      <c r="S159" s="37">
        <f t="shared" si="73"/>
        <v>1</v>
      </c>
      <c r="T159" s="52" t="str">
        <f t="shared" si="78"/>
        <v>Southbound</v>
      </c>
      <c r="U159" s="126">
        <f>IF(AG159="EC",COUNTIFS(Variables!$M$2:$M$19,IF(T159="NorthBound","&gt;=","&lt;=")&amp;Y159,Variables!$M$2:$M$19,IF(T159="NorthBound","&lt;=","&gt;=")&amp;Z159),COUNTIFS(Variables!$P$2:$P$19,IF(T159="NorthBound","&gt;=","&lt;=")&amp;Y159,Variables!$P$2:$P$19,IF(T159="NorthBound","&lt;=","&gt;=")&amp;Z159))</f>
        <v>1</v>
      </c>
      <c r="V159" s="106" t="str">
        <f t="shared" si="79"/>
        <v>https://search-rtdc-monitor-bjffxe2xuh6vdkpspy63sjmuny.us-east-1.es.amazonaws.com/_plugin/kibana/#/discover/Steve-Slow-Train-Analysis-(2080s-and-2083s)?_g=(refreshInterval:(display:Off,section:0,value:0),time:(from:'2016-08-31 05:07:53-0600',mode:absolute,to:'2016-08-31 07:26:30-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4032%22')),sort:!(Time,asc))</v>
      </c>
      <c r="W159" s="54" t="str">
        <f t="shared" si="80"/>
        <v>N</v>
      </c>
      <c r="X159" s="120">
        <f t="shared" si="90"/>
        <v>1</v>
      </c>
      <c r="Y159" s="69">
        <f t="shared" si="81"/>
        <v>5.8616999999999999</v>
      </c>
      <c r="Z159" s="69">
        <f t="shared" si="82"/>
        <v>7.3999999999999996E-2</v>
      </c>
      <c r="AA159" s="69">
        <f t="shared" si="83"/>
        <v>5.7877000000000001</v>
      </c>
      <c r="AB159" s="66" t="e">
        <f>VLOOKUP(A159,Enforcements!$C$7:$J$21,8,0)</f>
        <v>#N/A</v>
      </c>
      <c r="AC159" s="62" t="e">
        <f>VLOOKUP(A159,Enforcements!$C$7:$E$21,3,0)</f>
        <v>#N/A</v>
      </c>
      <c r="AD159" s="63" t="str">
        <f t="shared" si="84"/>
        <v>0802-31</v>
      </c>
      <c r="AE159" s="99" t="str">
        <f t="shared" si="74"/>
        <v>aws s3 cp s3://rtdc.mdm.uploadarchive/RTDC4032/2016-08-31/ "%USERPROFILE%\AppData\Local\Temp\OnboardLogs"\RTDC4032\2016-08-31 --recursive &amp; "%USERPROFILE%\Documents\GitHub\mrs-test-scripts\Headless Mode &amp; Sideloading\WalkAndUnGZ.bat" "%USERPROFILE%\AppData\Local\Temp\OnboardLogs"\RTDC4032\2016-08-31 &amp; aws s3 cp s3://rtdc.mdm.uploadarchive/RTDC4032/2016-09-01/ "%USERPROFILE%\AppData\Local\Temp\OnboardLogs"\RTDC4032\2016-09-01 --recursive &amp; "%USERPROFILE%\Documents\GitHub\mrs-test-scripts\Headless Mode &amp; Sideloading\WalkAndUnGZ.bat" "%USERPROFILE%\AppData\Local\Temp\OnboardLogs"\RTDC4032\2016-09-01</v>
      </c>
      <c r="AF159" s="96" t="str">
        <f t="shared" si="75"/>
        <v>"C:\Program Files (x86)\AstroGrep\AstroGrep.exe" /spath="%USERPROFILE%\AppData\Local\Temp\OnboardLogs" /stypes="*4032*20160831*" /stext=" 12:.+((SYSTEM_STATE.+slice.+state.+changed )|(ment ac)|(system.+state.+changed )|(\|lc)|(penalty)|(\[timeout)|(PRM\|1\|D)|(kpr)|(kdp))" /e /r /s</v>
      </c>
      <c r="AG159" s="1" t="str">
        <f t="shared" si="85"/>
        <v>NW</v>
      </c>
      <c r="AH159" s="100" t="str">
        <f t="shared" si="86"/>
        <v>"%USERPROFILE%\Documents\GitHub\eaglep3\Utilities\RefineRTDCRunTimes.py" --tripid 802-31 --locoid 4032 --swversion DE.1.0.7.0 --startMP 300:58617 --initTime 2016-08-31T06:07:53 --startdatetime 2016-08-31T06:09:50 --delay 1 --endMP 204:740 --enddatetime 2016-08-31T06:26:30 --enforcementcount 0 &gt;&gt;C:\Users\stu\Documents\GitHub\eaglep3-reporting\EC\2016-08-31-refined-times.txt</v>
      </c>
      <c r="AI159" s="149" t="str">
        <f t="shared" si="87"/>
        <v>echo {"issue":{"subject":"","project_id":79,"tracker_id":40,"status_id":1,"priority_id":2,"assigned_to_id":23,"start_date":"2016-08-31","description":"","custom_fields":[{"id":1,"name":"Subdivision","value":"NW"},{"id":4,"name":"Milepost","value":"5.7877"},{"id":17,"name":"Train ID","value":"802-31"},{"id":16,"name":"Locomotive ID","value":"4032"},{"id":130,"name":"Impact","value":""},{"id":150,"name":"Time of Event (Mountain Time)","value":"06:26:30"},{"id":151,"name":"Denver Issue ID","value":""},{"id":178,"name":"Operational Impact","value":"Yes"},{"id":179,"name":"Denver Segment Assigned","value":""}]}} | curl -X POST -H "Content-Type: application/json" -H "X-Redmine-API-Key: d6333d4a04012a730768444271f8ca06482dae87" https://secure.xorail.net/redmine/issues.json --data @-</v>
      </c>
      <c r="AJ159" s="55"/>
      <c r="AK159" s="55"/>
      <c r="AL159" s="55"/>
    </row>
    <row r="160" spans="1:38" x14ac:dyDescent="0.25">
      <c r="A160" s="39" t="s">
        <v>607</v>
      </c>
      <c r="B160" s="7">
        <v>4007</v>
      </c>
      <c r="C160" s="24" t="s">
        <v>113</v>
      </c>
      <c r="D160" s="24" t="s">
        <v>608</v>
      </c>
      <c r="E160" s="15">
        <v>42613.259259259263</v>
      </c>
      <c r="F160" s="15">
        <v>42613.264803240738</v>
      </c>
      <c r="G160" s="7">
        <v>1</v>
      </c>
      <c r="H160" s="15" t="s">
        <v>609</v>
      </c>
      <c r="I160" s="15">
        <v>42613.274027777778</v>
      </c>
      <c r="J160" s="7">
        <v>0</v>
      </c>
      <c r="K160" s="132" t="str">
        <f t="shared" si="76"/>
        <v>4007/4008</v>
      </c>
      <c r="L160" s="24" t="str">
        <f>VLOOKUP(A160,'Trips&amp;Operators'!$C$1:$E$10000,3,FALSE)</f>
        <v>GEBRETEKLE</v>
      </c>
      <c r="M160" s="6">
        <f t="shared" si="77"/>
        <v>9.2245370396994986E-3</v>
      </c>
      <c r="N160" s="7">
        <f t="shared" si="89"/>
        <v>13.283333337167278</v>
      </c>
      <c r="O160" s="7"/>
      <c r="P160" s="7"/>
      <c r="Q160" s="25"/>
      <c r="R160" s="25"/>
      <c r="S160" s="37">
        <f t="shared" si="73"/>
        <v>1</v>
      </c>
      <c r="T160" s="52" t="str">
        <f t="shared" si="78"/>
        <v>NorthBound</v>
      </c>
      <c r="U160" s="126">
        <f>IF(AG160="EC",COUNTIFS(Variables!$M$2:$M$19,IF(T160="NorthBound","&gt;=","&lt;=")&amp;Y160,Variables!$M$2:$M$19,IF(T160="NorthBound","&lt;=","&gt;=")&amp;Z160),COUNTIFS(Variables!$P$2:$P$19,IF(T160="NorthBound","&gt;=","&lt;=")&amp;Y160,Variables!$P$2:$P$19,IF(T160="NorthBound","&lt;=","&gt;=")&amp;Z160))</f>
        <v>1</v>
      </c>
      <c r="V160" s="106" t="str">
        <f t="shared" si="79"/>
        <v>https://search-rtdc-monitor-bjffxe2xuh6vdkpspy63sjmuny.us-east-1.es.amazonaws.com/_plugin/kibana/#/discover/Steve-Slow-Train-Analysis-(2080s-and-2083s)?_g=(refreshInterval:(display:Off,section:0,value:0),time:(from:'2016-08-31 05:13:20-0600',mode:absolute,to:'2016-08-31 07:34:36-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4007%22')),sort:!(Time,asc))</v>
      </c>
      <c r="W160" s="54" t="str">
        <f t="shared" si="80"/>
        <v>N</v>
      </c>
      <c r="X160" s="120">
        <f t="shared" si="90"/>
        <v>1</v>
      </c>
      <c r="Y160" s="69">
        <f t="shared" si="81"/>
        <v>9.6199999999999994E-2</v>
      </c>
      <c r="Z160" s="69">
        <f t="shared" si="82"/>
        <v>5.9005000000000001</v>
      </c>
      <c r="AA160" s="69">
        <f t="shared" si="83"/>
        <v>5.8043000000000005</v>
      </c>
      <c r="AB160" s="66" t="e">
        <f>VLOOKUP(A160,Enforcements!$C$7:$J$21,8,0)</f>
        <v>#N/A</v>
      </c>
      <c r="AC160" s="62" t="e">
        <f>VLOOKUP(A160,Enforcements!$C$7:$E$21,3,0)</f>
        <v>#N/A</v>
      </c>
      <c r="AD160" s="63" t="str">
        <f t="shared" si="84"/>
        <v>0803-31</v>
      </c>
      <c r="AE160" s="99" t="str">
        <f t="shared" si="74"/>
        <v>aws s3 cp s3://rtdc.mdm.uploadarchive/RTDC4007/2016-08-31/ "%USERPROFILE%\AppData\Local\Temp\OnboardLogs"\RTDC4007\2016-08-31 --recursive &amp; "%USERPROFILE%\Documents\GitHub\mrs-test-scripts\Headless Mode &amp; Sideloading\WalkAndUnGZ.bat" "%USERPROFILE%\AppData\Local\Temp\OnboardLogs"\RTDC4007\2016-08-31 &amp; aws s3 cp s3://rtdc.mdm.uploadarchive/RTDC4007/2016-09-01/ "%USERPROFILE%\AppData\Local\Temp\OnboardLogs"\RTDC4007\2016-09-01 --recursive &amp; "%USERPROFILE%\Documents\GitHub\mrs-test-scripts\Headless Mode &amp; Sideloading\WalkAndUnGZ.bat" "%USERPROFILE%\AppData\Local\Temp\OnboardLogs"\RTDC4007\2016-09-01</v>
      </c>
      <c r="AF160" s="96" t="str">
        <f t="shared" si="75"/>
        <v>"C:\Program Files (x86)\AstroGrep\AstroGrep.exe" /spath="%USERPROFILE%\AppData\Local\Temp\OnboardLogs" /stypes="*4007*20160831*" /stext=" 12:.+((SYSTEM_STATE.+slice.+state.+changed )|(ment ac)|(system.+state.+changed )|(\|lc)|(penalty)|(\[timeout)|(PRM\|1\|D)|(kpr)|(kdp))" /e /r /s</v>
      </c>
      <c r="AG160" s="1" t="str">
        <f t="shared" si="85"/>
        <v>NW</v>
      </c>
      <c r="AH160" s="100" t="str">
        <f t="shared" si="86"/>
        <v>"%USERPROFILE%\Documents\GitHub\eaglep3\Utilities\RefineRTDCRunTimes.py" --tripid 803-31 --locoid 4007 --swversion DE.1.0.7.0 --startMP 204:962 --initTime 2016-08-31T06:13:20 --startdatetime 2016-08-31T06:21:19 --delay 1 --endMP 300:59005 --enddatetime 2016-08-31T06:34:36 --enforcementcount 0 &gt;&gt;C:\Users\stu\Documents\GitHub\eaglep3-reporting\EC\2016-08-31-refined-times.txt</v>
      </c>
      <c r="AI160" s="149" t="str">
        <f t="shared" si="87"/>
        <v>echo {"issue":{"subject":"","project_id":79,"tracker_id":40,"status_id":1,"priority_id":2,"assigned_to_id":23,"start_date":"2016-08-31","description":"","custom_fields":[{"id":1,"name":"Subdivision","value":"NW"},{"id":4,"name":"Milepost","value":"5.8043"},{"id":17,"name":"Train ID","value":"803-31"},{"id":16,"name":"Locomotive ID","value":"4007"},{"id":130,"name":"Impact","value":""},{"id":150,"name":"Time of Event (Mountain Time)","value":"06:34:36"},{"id":151,"name":"Denver Issue ID","value":""},{"id":178,"name":"Operational Impact","value":"Yes"},{"id":179,"name":"Denver Segment Assigned","value":""}]}} | curl -X POST -H "Content-Type: application/json" -H "X-Redmine-API-Key: d6333d4a04012a730768444271f8ca06482dae87" https://secure.xorail.net/redmine/issues.json --data @-</v>
      </c>
      <c r="AJ160" s="55"/>
      <c r="AK160" s="55"/>
      <c r="AL160" s="55"/>
    </row>
    <row r="161" spans="1:38" x14ac:dyDescent="0.25">
      <c r="A161" s="39" t="s">
        <v>610</v>
      </c>
      <c r="B161" s="7">
        <v>4008</v>
      </c>
      <c r="C161" s="24" t="s">
        <v>113</v>
      </c>
      <c r="D161" s="24" t="s">
        <v>611</v>
      </c>
      <c r="E161" s="15">
        <v>42613.275277777779</v>
      </c>
      <c r="F161" s="15">
        <v>42613.277349537035</v>
      </c>
      <c r="G161" s="7">
        <v>1</v>
      </c>
      <c r="H161" s="15" t="s">
        <v>612</v>
      </c>
      <c r="I161" s="15">
        <v>42613.288726851853</v>
      </c>
      <c r="J161" s="7">
        <v>0</v>
      </c>
      <c r="K161" s="132" t="str">
        <f t="shared" si="76"/>
        <v>4007/4008</v>
      </c>
      <c r="L161" s="24" t="str">
        <f>VLOOKUP(A161,'Trips&amp;Operators'!$C$1:$E$10000,3,FALSE)</f>
        <v>GEBRETEKLE</v>
      </c>
      <c r="M161" s="6">
        <f t="shared" si="77"/>
        <v>1.1377314818673767E-2</v>
      </c>
      <c r="N161" s="7">
        <f t="shared" si="89"/>
        <v>16.383333338890225</v>
      </c>
      <c r="O161" s="7"/>
      <c r="P161" s="7"/>
      <c r="Q161" s="25"/>
      <c r="R161" s="25"/>
      <c r="S161" s="37">
        <f t="shared" si="73"/>
        <v>1</v>
      </c>
      <c r="T161" s="52" t="str">
        <f t="shared" si="78"/>
        <v>Southbound</v>
      </c>
      <c r="U161" s="126">
        <f>IF(AG161="EC",COUNTIFS(Variables!$M$2:$M$19,IF(T161="NorthBound","&gt;=","&lt;=")&amp;Y161,Variables!$M$2:$M$19,IF(T161="NorthBound","&lt;=","&gt;=")&amp;Z161),COUNTIFS(Variables!$P$2:$P$19,IF(T161="NorthBound","&gt;=","&lt;=")&amp;Y161,Variables!$P$2:$P$19,IF(T161="NorthBound","&lt;=","&gt;=")&amp;Z161))</f>
        <v>1</v>
      </c>
      <c r="V161" s="106" t="str">
        <f t="shared" si="79"/>
        <v>https://search-rtdc-monitor-bjffxe2xuh6vdkpspy63sjmuny.us-east-1.es.amazonaws.com/_plugin/kibana/#/discover/Steve-Slow-Train-Analysis-(2080s-and-2083s)?_g=(refreshInterval:(display:Off,section:0,value:0),time:(from:'2016-08-31 05:36:24-0600',mode:absolute,to:'2016-08-31 07:55:46-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4008%22')),sort:!(Time,asc))</v>
      </c>
      <c r="W161" s="54" t="str">
        <f t="shared" si="80"/>
        <v>N</v>
      </c>
      <c r="X161" s="120">
        <f t="shared" si="90"/>
        <v>1</v>
      </c>
      <c r="Y161" s="69">
        <f t="shared" si="81"/>
        <v>5.8689</v>
      </c>
      <c r="Z161" s="69">
        <f t="shared" si="82"/>
        <v>6.9099999999999995E-2</v>
      </c>
      <c r="AA161" s="69">
        <f t="shared" si="83"/>
        <v>5.7998000000000003</v>
      </c>
      <c r="AB161" s="66" t="e">
        <f>VLOOKUP(A161,Enforcements!$C$7:$J$21,8,0)</f>
        <v>#N/A</v>
      </c>
      <c r="AC161" s="62" t="e">
        <f>VLOOKUP(A161,Enforcements!$C$7:$E$21,3,0)</f>
        <v>#N/A</v>
      </c>
      <c r="AD161" s="63" t="str">
        <f t="shared" si="84"/>
        <v>0804-31</v>
      </c>
      <c r="AE161" s="99" t="str">
        <f t="shared" si="74"/>
        <v>aws s3 cp s3://rtdc.mdm.uploadarchive/RTDC4008/2016-08-31/ "%USERPROFILE%\AppData\Local\Temp\OnboardLogs"\RTDC4008\2016-08-31 --recursive &amp; "%USERPROFILE%\Documents\GitHub\mrs-test-scripts\Headless Mode &amp; Sideloading\WalkAndUnGZ.bat" "%USERPROFILE%\AppData\Local\Temp\OnboardLogs"\RTDC4008\2016-08-31 &amp; aws s3 cp s3://rtdc.mdm.uploadarchive/RTDC4008/2016-09-01/ "%USERPROFILE%\AppData\Local\Temp\OnboardLogs"\RTDC4008\2016-09-01 --recursive &amp; "%USERPROFILE%\Documents\GitHub\mrs-test-scripts\Headless Mode &amp; Sideloading\WalkAndUnGZ.bat" "%USERPROFILE%\AppData\Local\Temp\OnboardLogs"\RTDC4008\2016-09-01</v>
      </c>
      <c r="AF161" s="96" t="str">
        <f t="shared" si="75"/>
        <v>"C:\Program Files (x86)\AstroGrep\AstroGrep.exe" /spath="%USERPROFILE%\AppData\Local\Temp\OnboardLogs" /stypes="*4008*20160831*" /stext=" 12:.+((SYSTEM_STATE.+slice.+state.+changed )|(ment ac)|(system.+state.+changed )|(\|lc)|(penalty)|(\[timeout)|(PRM\|1\|D)|(kpr)|(kdp))" /e /r /s</v>
      </c>
      <c r="AG161" s="1" t="str">
        <f t="shared" si="85"/>
        <v>NW</v>
      </c>
      <c r="AH161" s="100" t="str">
        <f t="shared" si="86"/>
        <v>"%USERPROFILE%\Documents\GitHub\eaglep3\Utilities\RefineRTDCRunTimes.py" --tripid 804-31 --locoid 4008 --swversion DE.1.0.7.0 --startMP 300:58689 --initTime 2016-08-31T06:36:24 --startdatetime 2016-08-31T06:39:23 --delay 1 --endMP 204:691 --enddatetime 2016-08-31T06:55:46 --enforcementcount 0 &gt;&gt;C:\Users\stu\Documents\GitHub\eaglep3-reporting\EC\2016-08-31-refined-times.txt</v>
      </c>
      <c r="AI161" s="149" t="str">
        <f t="shared" si="87"/>
        <v>echo {"issue":{"subject":"","project_id":79,"tracker_id":40,"status_id":1,"priority_id":2,"assigned_to_id":23,"start_date":"2016-08-31","description":"","custom_fields":[{"id":1,"name":"Subdivision","value":"NW"},{"id":4,"name":"Milepost","value":"5.7998"},{"id":17,"name":"Train ID","value":"804-31"},{"id":16,"name":"Locomotive ID","value":"4008"},{"id":130,"name":"Impact","value":""},{"id":150,"name":"Time of Event (Mountain Time)","value":"06:55:46"},{"id":151,"name":"Denver Issue ID","value":""},{"id":178,"name":"Operational Impact","value":"Yes"},{"id":179,"name":"Denver Segment Assigned","value":""}]}} | curl -X POST -H "Content-Type: application/json" -H "X-Redmine-API-Key: d6333d4a04012a730768444271f8ca06482dae87" https://secure.xorail.net/redmine/issues.json --data @-</v>
      </c>
      <c r="AJ161" s="55"/>
      <c r="AK161" s="55"/>
      <c r="AL161" s="55"/>
    </row>
    <row r="162" spans="1:38" x14ac:dyDescent="0.25">
      <c r="A162" s="39" t="s">
        <v>613</v>
      </c>
      <c r="B162" s="7">
        <v>4031</v>
      </c>
      <c r="C162" s="24" t="s">
        <v>113</v>
      </c>
      <c r="D162" s="24" t="s">
        <v>265</v>
      </c>
      <c r="E162" s="15">
        <v>42613.281608796293</v>
      </c>
      <c r="F162" s="15">
        <v>42613.28564814815</v>
      </c>
      <c r="G162" s="7">
        <v>1</v>
      </c>
      <c r="H162" s="15" t="s">
        <v>614</v>
      </c>
      <c r="I162" s="15">
        <v>42613.288483796299</v>
      </c>
      <c r="J162" s="7">
        <v>0</v>
      </c>
      <c r="K162" s="132" t="str">
        <f t="shared" si="76"/>
        <v>4031/4032</v>
      </c>
      <c r="L162" s="24" t="str">
        <f>VLOOKUP(A162,'Trips&amp;Operators'!$C$1:$E$10000,3,FALSE)</f>
        <v>STARKS</v>
      </c>
      <c r="M162" s="6">
        <f t="shared" si="77"/>
        <v>2.8356481489026919E-3</v>
      </c>
      <c r="N162" s="7"/>
      <c r="O162" s="7"/>
      <c r="P162" s="7">
        <f>24*60*SUM($M162:$M162)</f>
        <v>4.0833333344198763</v>
      </c>
      <c r="Q162" s="25"/>
      <c r="R162" s="25" t="s">
        <v>737</v>
      </c>
      <c r="S162" s="37">
        <f t="shared" si="73"/>
        <v>1</v>
      </c>
      <c r="T162" s="52" t="str">
        <f t="shared" si="78"/>
        <v>NorthBound</v>
      </c>
      <c r="U162" s="126">
        <f>IF(AG162="EC",COUNTIFS(Variables!$M$2:$M$19,IF(T162="NorthBound","&gt;=","&lt;=")&amp;Y162,Variables!$M$2:$M$19,IF(T162="NorthBound","&lt;=","&gt;=")&amp;Z162),COUNTIFS(Variables!$P$2:$P$19,IF(T162="NorthBound","&gt;=","&lt;=")&amp;Y162,Variables!$P$2:$P$19,IF(T162="NorthBound","&lt;=","&gt;=")&amp;Z162))</f>
        <v>1</v>
      </c>
      <c r="V162" s="106" t="str">
        <f t="shared" si="79"/>
        <v>https://search-rtdc-monitor-bjffxe2xuh6vdkpspy63sjmuny.us-east-1.es.amazonaws.com/_plugin/kibana/#/discover/Steve-Slow-Train-Analysis-(2080s-and-2083s)?_g=(refreshInterval:(display:Off,section:0,value:0),time:(from:'2016-08-31 05:45:31-0600',mode:absolute,to:'2016-08-31 07:55:25-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4031%22')),sort:!(Time,asc))</v>
      </c>
      <c r="W162" s="54" t="str">
        <f t="shared" si="80"/>
        <v>Y</v>
      </c>
      <c r="X162" s="120">
        <f t="shared" si="90"/>
        <v>1</v>
      </c>
      <c r="Y162" s="69">
        <f t="shared" si="81"/>
        <v>0.10199999999999999</v>
      </c>
      <c r="Z162" s="69">
        <v>1.1100000000000001</v>
      </c>
      <c r="AA162" s="69">
        <f t="shared" si="83"/>
        <v>1.008</v>
      </c>
      <c r="AB162" s="66" t="e">
        <f>VLOOKUP(A162,Enforcements!$C$7:$J$21,8,0)</f>
        <v>#N/A</v>
      </c>
      <c r="AC162" s="62" t="e">
        <f>VLOOKUP(A162,Enforcements!$C$7:$E$21,3,0)</f>
        <v>#N/A</v>
      </c>
      <c r="AD162" s="63" t="str">
        <f t="shared" si="84"/>
        <v>0805-31</v>
      </c>
      <c r="AE162" s="99" t="str">
        <f t="shared" si="74"/>
        <v>aws s3 cp s3://rtdc.mdm.uploadarchive/RTDC4031/2016-08-31/ "%USERPROFILE%\AppData\Local\Temp\OnboardLogs"\RTDC4031\2016-08-31 --recursive &amp; "%USERPROFILE%\Documents\GitHub\mrs-test-scripts\Headless Mode &amp; Sideloading\WalkAndUnGZ.bat" "%USERPROFILE%\AppData\Local\Temp\OnboardLogs"\RTDC4031\2016-08-31 &amp; aws s3 cp s3://rtdc.mdm.uploadarchive/RTDC4031/2016-09-01/ "%USERPROFILE%\AppData\Local\Temp\OnboardLogs"\RTDC4031\2016-09-01 --recursive &amp; "%USERPROFILE%\Documents\GitHub\mrs-test-scripts\Headless Mode &amp; Sideloading\WalkAndUnGZ.bat" "%USERPROFILE%\AppData\Local\Temp\OnboardLogs"\RTDC4031\2016-09-01</v>
      </c>
      <c r="AF162" s="96" t="str">
        <f t="shared" si="75"/>
        <v>"C:\Program Files (x86)\AstroGrep\AstroGrep.exe" /spath="%USERPROFILE%\AppData\Local\Temp\OnboardLogs" /stypes="*4031*20160831*" /stext=" 12:.+((SYSTEM_STATE.+slice.+state.+changed )|(ment ac)|(system.+state.+changed )|(\|lc)|(penalty)|(\[timeout)|(PRM\|1\|D)|(kpr)|(kdp))" /e /r /s</v>
      </c>
      <c r="AG162" s="1" t="str">
        <f t="shared" si="85"/>
        <v>NW</v>
      </c>
      <c r="AH162" s="100" t="str">
        <f t="shared" si="86"/>
        <v>"%USERPROFILE%\Documents\GitHub\eaglep3\Utilities\RefineRTDCRunTimes.py" --tripid 805-31 --locoid 4031 --swversion DE.1.0.7.0 --startMP 204:1020 --initTime 2016-08-31T06:45:31 --startdatetime 2016-08-31T06:51:20 --delay 1 --endMP 300:58927 --enddatetime 2016-08-31T06:55:25 --enforcementcount 0 &gt;&gt;C:\Users\stu\Documents\GitHub\eaglep3-reporting\EC\2016-08-31-refined-times.txt</v>
      </c>
      <c r="AI162" s="149" t="str">
        <f t="shared" si="87"/>
        <v>echo {"issue":{"subject":"Wi-MAX outage","project_id":79,"tracker_id":40,"status_id":1,"priority_id":2,"assigned_to_id":23,"start_date":"2016-08-31","description":"","custom_fields":[{"id":1,"name":"Subdivision","value":"NW"},{"id":4,"name":"Milepost","value":"1.008"},{"id":17,"name":"Train ID","value":"805-31"},{"id":16,"name":"Locomotive ID","value":"4031"},{"id":130,"name":"Impact","value":""},{"id":150,"name":"Time of Event (Mountain Time)","value":"06:55:25"},{"id":151,"name":"Denver Issue ID","value":""},{"id":178,"name":"Operational Impact","value":"Yes"},{"id":179,"name":"Denver Segment Assigned","value":""}]}} | curl -X POST -H "Content-Type: application/json" -H "X-Redmine-API-Key: d6333d4a04012a730768444271f8ca06482dae87" https://secure.xorail.net/redmine/issues.json --data @-</v>
      </c>
      <c r="AJ162" s="55"/>
      <c r="AK162" s="55"/>
      <c r="AL162" s="55"/>
    </row>
    <row r="163" spans="1:38" x14ac:dyDescent="0.25">
      <c r="A163" s="39" t="s">
        <v>615</v>
      </c>
      <c r="B163" s="7">
        <v>4032</v>
      </c>
      <c r="C163" s="24" t="s">
        <v>113</v>
      </c>
      <c r="D163" s="24" t="s">
        <v>357</v>
      </c>
      <c r="E163" s="15">
        <v>42613.298391203702</v>
      </c>
      <c r="F163" s="15">
        <v>42613.299502314818</v>
      </c>
      <c r="G163" s="7">
        <v>1</v>
      </c>
      <c r="H163" s="15" t="s">
        <v>513</v>
      </c>
      <c r="I163" s="15">
        <v>42613.31177083333</v>
      </c>
      <c r="J163" s="7">
        <v>0</v>
      </c>
      <c r="K163" s="132" t="str">
        <f t="shared" si="76"/>
        <v>4031/4032</v>
      </c>
      <c r="L163" s="24" t="str">
        <f>VLOOKUP(A163,'Trips&amp;Operators'!$C$1:$E$10000,3,FALSE)</f>
        <v>STARKS</v>
      </c>
      <c r="M163" s="6">
        <f t="shared" si="77"/>
        <v>1.2268518512428273E-2</v>
      </c>
      <c r="N163" s="7">
        <f t="shared" ref="N163:N194" si="91">24*60*SUM($M163:$M163)</f>
        <v>17.666666657896712</v>
      </c>
      <c r="O163" s="7"/>
      <c r="P163" s="7"/>
      <c r="Q163" s="25"/>
      <c r="R163" s="25"/>
      <c r="S163" s="37">
        <f t="shared" si="73"/>
        <v>1</v>
      </c>
      <c r="T163" s="52" t="str">
        <f t="shared" si="78"/>
        <v>Southbound</v>
      </c>
      <c r="U163" s="126">
        <f>IF(AG163="EC",COUNTIFS(Variables!$M$2:$M$19,IF(T163="NorthBound","&gt;=","&lt;=")&amp;Y163,Variables!$M$2:$M$19,IF(T163="NorthBound","&lt;=","&gt;=")&amp;Z163),COUNTIFS(Variables!$P$2:$P$19,IF(T163="NorthBound","&gt;=","&lt;=")&amp;Y163,Variables!$P$2:$P$19,IF(T163="NorthBound","&lt;=","&gt;=")&amp;Z163))</f>
        <v>1</v>
      </c>
      <c r="V163" s="106" t="str">
        <f t="shared" si="79"/>
        <v>https://search-rtdc-monitor-bjffxe2xuh6vdkpspy63sjmuny.us-east-1.es.amazonaws.com/_plugin/kibana/#/discover/Steve-Slow-Train-Analysis-(2080s-and-2083s)?_g=(refreshInterval:(display:Off,section:0,value:0),time:(from:'2016-08-31 06:09:41-0600',mode:absolute,to:'2016-08-31 08:28:57-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4032%22')),sort:!(Time,asc))</v>
      </c>
      <c r="W163" s="54" t="str">
        <f t="shared" si="80"/>
        <v>N</v>
      </c>
      <c r="X163" s="120">
        <f t="shared" si="90"/>
        <v>1</v>
      </c>
      <c r="Y163" s="69">
        <f t="shared" si="81"/>
        <v>5.8613</v>
      </c>
      <c r="Z163" s="69">
        <f t="shared" ref="Z163:Z194" si="92">RIGHT(H163,LEN(H163)-4)/10000</f>
        <v>7.3400000000000007E-2</v>
      </c>
      <c r="AA163" s="69">
        <f t="shared" si="83"/>
        <v>5.7878999999999996</v>
      </c>
      <c r="AB163" s="66" t="e">
        <f>VLOOKUP(A163,Enforcements!$C$7:$J$21,8,0)</f>
        <v>#N/A</v>
      </c>
      <c r="AC163" s="62" t="e">
        <f>VLOOKUP(A163,Enforcements!$C$7:$E$21,3,0)</f>
        <v>#N/A</v>
      </c>
      <c r="AD163" s="63" t="str">
        <f t="shared" si="84"/>
        <v>0806-31</v>
      </c>
      <c r="AE163" s="99" t="str">
        <f t="shared" si="74"/>
        <v>aws s3 cp s3://rtdc.mdm.uploadarchive/RTDC4032/2016-08-31/ "%USERPROFILE%\AppData\Local\Temp\OnboardLogs"\RTDC4032\2016-08-31 --recursive &amp; "%USERPROFILE%\Documents\GitHub\mrs-test-scripts\Headless Mode &amp; Sideloading\WalkAndUnGZ.bat" "%USERPROFILE%\AppData\Local\Temp\OnboardLogs"\RTDC4032\2016-08-31 &amp; aws s3 cp s3://rtdc.mdm.uploadarchive/RTDC4032/2016-09-01/ "%USERPROFILE%\AppData\Local\Temp\OnboardLogs"\RTDC4032\2016-09-01 --recursive &amp; "%USERPROFILE%\Documents\GitHub\mrs-test-scripts\Headless Mode &amp; Sideloading\WalkAndUnGZ.bat" "%USERPROFILE%\AppData\Local\Temp\OnboardLogs"\RTDC4032\2016-09-01</v>
      </c>
      <c r="AF163" s="96" t="str">
        <f t="shared" si="75"/>
        <v>"C:\Program Files (x86)\AstroGrep\AstroGrep.exe" /spath="%USERPROFILE%\AppData\Local\Temp\OnboardLogs" /stypes="*4032*20160831*" /stext=" 13:.+((SYSTEM_STATE.+slice.+state.+changed )|(ment ac)|(system.+state.+changed )|(\|lc)|(penalty)|(\[timeout)|(PRM\|1\|D)|(kpr)|(kdp))" /e /r /s</v>
      </c>
      <c r="AG163" s="1" t="str">
        <f t="shared" si="85"/>
        <v>NW</v>
      </c>
      <c r="AH163" s="100" t="str">
        <f t="shared" si="86"/>
        <v>"%USERPROFILE%\Documents\GitHub\eaglep3\Utilities\RefineRTDCRunTimes.py" --tripid 806-31 --locoid 4032 --swversion DE.1.0.7.0 --startMP 300:58613 --initTime 2016-08-31T07:09:41 --startdatetime 2016-08-31T07:11:17 --delay 1 --endMP 204:734 --enddatetime 2016-08-31T07:28:57 --enforcementcount 0 &gt;&gt;C:\Users\stu\Documents\GitHub\eaglep3-reporting\EC\2016-08-31-refined-times.txt</v>
      </c>
      <c r="AI163" s="149" t="str">
        <f t="shared" si="87"/>
        <v>echo {"issue":{"subject":"","project_id":79,"tracker_id":40,"status_id":1,"priority_id":2,"assigned_to_id":23,"start_date":"2016-08-31","description":"","custom_fields":[{"id":1,"name":"Subdivision","value":"NW"},{"id":4,"name":"Milepost","value":"5.7879"},{"id":17,"name":"Train ID","value":"806-31"},{"id":16,"name":"Locomotive ID","value":"4032"},{"id":130,"name":"Impact","value":""},{"id":150,"name":"Time of Event (Mountain Time)","value":"07:28:57"},{"id":151,"name":"Denver Issue ID","value":""},{"id":178,"name":"Operational Impact","value":"Yes"},{"id":179,"name":"Denver Segment Assigned","value":""}]}} | curl -X POST -H "Content-Type: application/json" -H "X-Redmine-API-Key: d6333d4a04012a730768444271f8ca06482dae87" https://secure.xorail.net/redmine/issues.json --data @-</v>
      </c>
      <c r="AJ163" s="55"/>
      <c r="AK163" s="55"/>
      <c r="AL163" s="55"/>
    </row>
    <row r="164" spans="1:38" x14ac:dyDescent="0.25">
      <c r="A164" s="39" t="s">
        <v>616</v>
      </c>
      <c r="B164" s="7">
        <v>4007</v>
      </c>
      <c r="C164" s="24" t="s">
        <v>113</v>
      </c>
      <c r="D164" s="24" t="s">
        <v>364</v>
      </c>
      <c r="E164" s="15">
        <v>42613.303935185184</v>
      </c>
      <c r="F164" s="15">
        <v>42613.306550925925</v>
      </c>
      <c r="G164" s="7">
        <v>1</v>
      </c>
      <c r="H164" s="15" t="s">
        <v>359</v>
      </c>
      <c r="I164" s="15">
        <v>42613.316099537034</v>
      </c>
      <c r="J164" s="7">
        <v>0</v>
      </c>
      <c r="K164" s="132" t="str">
        <f t="shared" si="76"/>
        <v>4007/4008</v>
      </c>
      <c r="L164" s="24" t="str">
        <f>VLOOKUP(A164,'Trips&amp;Operators'!$C$1:$E$10000,3,FALSE)</f>
        <v>GEBRETEKLE</v>
      </c>
      <c r="M164" s="6">
        <f t="shared" si="77"/>
        <v>9.5486111094942316E-3</v>
      </c>
      <c r="N164" s="7">
        <f t="shared" si="91"/>
        <v>13.749999997671694</v>
      </c>
      <c r="O164" s="7"/>
      <c r="P164" s="7"/>
      <c r="Q164" s="25"/>
      <c r="R164" s="25"/>
      <c r="S164" s="37">
        <f t="shared" ref="S164:S195" si="93">SUM(U164:U164)/IF(AG164="EC",12,1)</f>
        <v>1</v>
      </c>
      <c r="T164" s="52" t="str">
        <f t="shared" si="78"/>
        <v>NorthBound</v>
      </c>
      <c r="U164" s="126">
        <f>IF(AG164="EC",COUNTIFS(Variables!$M$2:$M$19,IF(T164="NorthBound","&gt;=","&lt;=")&amp;Y164,Variables!$M$2:$M$19,IF(T164="NorthBound","&lt;=","&gt;=")&amp;Z164),COUNTIFS(Variables!$P$2:$P$19,IF(T164="NorthBound","&gt;=","&lt;=")&amp;Y164,Variables!$P$2:$P$19,IF(T164="NorthBound","&lt;=","&gt;=")&amp;Z164))</f>
        <v>1</v>
      </c>
      <c r="V164" s="106" t="str">
        <f t="shared" si="79"/>
        <v>https://search-rtdc-monitor-bjffxe2xuh6vdkpspy63sjmuny.us-east-1.es.amazonaws.com/_plugin/kibana/#/discover/Steve-Slow-Train-Analysis-(2080s-and-2083s)?_g=(refreshInterval:(display:Off,section:0,value:0),time:(from:'2016-08-31 06:17:40-0600',mode:absolute,to:'2016-08-31 08:35:11-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4007%22')),sort:!(Time,asc))</v>
      </c>
      <c r="W164" s="54" t="str">
        <f t="shared" si="80"/>
        <v>N</v>
      </c>
      <c r="X164" s="120">
        <f t="shared" si="90"/>
        <v>1</v>
      </c>
      <c r="Y164" s="69">
        <f t="shared" si="81"/>
        <v>9.7199999999999995E-2</v>
      </c>
      <c r="Z164" s="69">
        <f t="shared" si="92"/>
        <v>5.8992000000000004</v>
      </c>
      <c r="AA164" s="69">
        <f t="shared" si="83"/>
        <v>5.8020000000000005</v>
      </c>
      <c r="AB164" s="66" t="e">
        <f>VLOOKUP(A164,Enforcements!$C$7:$J$21,8,0)</f>
        <v>#N/A</v>
      </c>
      <c r="AC164" s="62" t="e">
        <f>VLOOKUP(A164,Enforcements!$C$7:$E$21,3,0)</f>
        <v>#N/A</v>
      </c>
      <c r="AD164" s="63" t="str">
        <f t="shared" si="84"/>
        <v>0807-31</v>
      </c>
      <c r="AE164" s="99" t="str">
        <f t="shared" si="74"/>
        <v>aws s3 cp s3://rtdc.mdm.uploadarchive/RTDC4007/2016-08-31/ "%USERPROFILE%\AppData\Local\Temp\OnboardLogs"\RTDC4007\2016-08-31 --recursive &amp; "%USERPROFILE%\Documents\GitHub\mrs-test-scripts\Headless Mode &amp; Sideloading\WalkAndUnGZ.bat" "%USERPROFILE%\AppData\Local\Temp\OnboardLogs"\RTDC4007\2016-08-31 &amp; aws s3 cp s3://rtdc.mdm.uploadarchive/RTDC4007/2016-09-01/ "%USERPROFILE%\AppData\Local\Temp\OnboardLogs"\RTDC4007\2016-09-01 --recursive &amp; "%USERPROFILE%\Documents\GitHub\mrs-test-scripts\Headless Mode &amp; Sideloading\WalkAndUnGZ.bat" "%USERPROFILE%\AppData\Local\Temp\OnboardLogs"\RTDC4007\2016-09-01</v>
      </c>
      <c r="AF164" s="96" t="str">
        <f t="shared" si="75"/>
        <v>"C:\Program Files (x86)\AstroGrep\AstroGrep.exe" /spath="%USERPROFILE%\AppData\Local\Temp\OnboardLogs" /stypes="*4007*20160831*" /stext=" 13:.+((SYSTEM_STATE.+slice.+state.+changed )|(ment ac)|(system.+state.+changed )|(\|lc)|(penalty)|(\[timeout)|(PRM\|1\|D)|(kpr)|(kdp))" /e /r /s</v>
      </c>
      <c r="AG164" s="1" t="str">
        <f t="shared" si="85"/>
        <v>NW</v>
      </c>
      <c r="AH164" s="100" t="str">
        <f t="shared" si="86"/>
        <v>"%USERPROFILE%\Documents\GitHub\eaglep3\Utilities\RefineRTDCRunTimes.py" --tripid 807-31 --locoid 4007 --swversion DE.1.0.7.0 --startMP 204:972 --initTime 2016-08-31T07:17:40 --startdatetime 2016-08-31T07:21:26 --delay 1 --endMP 300:58992 --enddatetime 2016-08-31T07:35:11 --enforcementcount 0 &gt;&gt;C:\Users\stu\Documents\GitHub\eaglep3-reporting\EC\2016-08-31-refined-times.txt</v>
      </c>
      <c r="AI164" s="149" t="str">
        <f t="shared" si="87"/>
        <v>echo {"issue":{"subject":"","project_id":79,"tracker_id":40,"status_id":1,"priority_id":2,"assigned_to_id":23,"start_date":"2016-08-31","description":"","custom_fields":[{"id":1,"name":"Subdivision","value":"NW"},{"id":4,"name":"Milepost","value":"5.802"},{"id":17,"name":"Train ID","value":"807-31"},{"id":16,"name":"Locomotive ID","value":"4007"},{"id":130,"name":"Impact","value":""},{"id":150,"name":"Time of Event (Mountain Time)","value":"07:35:11"},{"id":151,"name":"Denver Issue ID","value":""},{"id":178,"name":"Operational Impact","value":"Yes"},{"id":179,"name":"Denver Segment Assigned","value":""}]}} | curl -X POST -H "Content-Type: application/json" -H "X-Redmine-API-Key: d6333d4a04012a730768444271f8ca06482dae87" https://secure.xorail.net/redmine/issues.json --data @-</v>
      </c>
      <c r="AJ164" s="55"/>
      <c r="AK164" s="55"/>
      <c r="AL164" s="55"/>
    </row>
    <row r="165" spans="1:38" x14ac:dyDescent="0.25">
      <c r="A165" s="39" t="s">
        <v>617</v>
      </c>
      <c r="B165" s="7">
        <v>4008</v>
      </c>
      <c r="C165" s="24" t="s">
        <v>113</v>
      </c>
      <c r="D165" s="24" t="s">
        <v>360</v>
      </c>
      <c r="E165" s="15">
        <v>42613.317314814813</v>
      </c>
      <c r="F165" s="15">
        <v>42613.318958333337</v>
      </c>
      <c r="G165" s="7">
        <v>1</v>
      </c>
      <c r="H165" s="15" t="s">
        <v>302</v>
      </c>
      <c r="I165" s="15">
        <v>42613.330324074072</v>
      </c>
      <c r="J165" s="7">
        <v>0</v>
      </c>
      <c r="K165" s="132" t="str">
        <f t="shared" si="76"/>
        <v>4007/4008</v>
      </c>
      <c r="L165" s="24" t="str">
        <f>VLOOKUP(A165,'Trips&amp;Operators'!$C$1:$E$10000,3,FALSE)</f>
        <v>GEBRETEKLE</v>
      </c>
      <c r="M165" s="6">
        <f t="shared" si="77"/>
        <v>1.1365740734618157E-2</v>
      </c>
      <c r="N165" s="7">
        <f t="shared" si="91"/>
        <v>16.366666657850146</v>
      </c>
      <c r="O165" s="7"/>
      <c r="P165" s="7"/>
      <c r="Q165" s="25"/>
      <c r="R165" s="25"/>
      <c r="S165" s="37">
        <f t="shared" si="93"/>
        <v>1</v>
      </c>
      <c r="T165" s="52" t="str">
        <f t="shared" si="78"/>
        <v>Southbound</v>
      </c>
      <c r="U165" s="126">
        <f>IF(AG165="EC",COUNTIFS(Variables!$M$2:$M$19,IF(T165="NorthBound","&gt;=","&lt;=")&amp;Y165,Variables!$M$2:$M$19,IF(T165="NorthBound","&lt;=","&gt;=")&amp;Z165),COUNTIFS(Variables!$P$2:$P$19,IF(T165="NorthBound","&gt;=","&lt;=")&amp;Y165,Variables!$P$2:$P$19,IF(T165="NorthBound","&lt;=","&gt;=")&amp;Z165))</f>
        <v>1</v>
      </c>
      <c r="V165" s="106" t="str">
        <f t="shared" si="79"/>
        <v>https://search-rtdc-monitor-bjffxe2xuh6vdkpspy63sjmuny.us-east-1.es.amazonaws.com/_plugin/kibana/#/discover/Steve-Slow-Train-Analysis-(2080s-and-2083s)?_g=(refreshInterval:(display:Off,section:0,value:0),time:(from:'2016-08-31 06:36:56-0600',mode:absolute,to:'2016-08-31 08:55:40-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4008%22')),sort:!(Time,asc))</v>
      </c>
      <c r="W165" s="54" t="str">
        <f t="shared" si="80"/>
        <v>N</v>
      </c>
      <c r="X165" s="120">
        <f t="shared" si="90"/>
        <v>1</v>
      </c>
      <c r="Y165" s="69">
        <f t="shared" si="81"/>
        <v>5.8667999999999996</v>
      </c>
      <c r="Z165" s="69">
        <f t="shared" si="92"/>
        <v>6.9199999999999998E-2</v>
      </c>
      <c r="AA165" s="69">
        <f t="shared" si="83"/>
        <v>5.7975999999999992</v>
      </c>
      <c r="AB165" s="66" t="e">
        <f>VLOOKUP(A165,Enforcements!$C$7:$J$21,8,0)</f>
        <v>#N/A</v>
      </c>
      <c r="AC165" s="62" t="e">
        <f>VLOOKUP(A165,Enforcements!$C$7:$E$21,3,0)</f>
        <v>#N/A</v>
      </c>
      <c r="AD165" s="63" t="str">
        <f t="shared" si="84"/>
        <v>0808-31</v>
      </c>
      <c r="AE165" s="99" t="str">
        <f t="shared" si="74"/>
        <v>aws s3 cp s3://rtdc.mdm.uploadarchive/RTDC4008/2016-08-31/ "%USERPROFILE%\AppData\Local\Temp\OnboardLogs"\RTDC4008\2016-08-31 --recursive &amp; "%USERPROFILE%\Documents\GitHub\mrs-test-scripts\Headless Mode &amp; Sideloading\WalkAndUnGZ.bat" "%USERPROFILE%\AppData\Local\Temp\OnboardLogs"\RTDC4008\2016-08-31 &amp; aws s3 cp s3://rtdc.mdm.uploadarchive/RTDC4008/2016-09-01/ "%USERPROFILE%\AppData\Local\Temp\OnboardLogs"\RTDC4008\2016-09-01 --recursive &amp; "%USERPROFILE%\Documents\GitHub\mrs-test-scripts\Headless Mode &amp; Sideloading\WalkAndUnGZ.bat" "%USERPROFILE%\AppData\Local\Temp\OnboardLogs"\RTDC4008\2016-09-01</v>
      </c>
      <c r="AF165" s="96" t="str">
        <f t="shared" si="75"/>
        <v>"C:\Program Files (x86)\AstroGrep\AstroGrep.exe" /spath="%USERPROFILE%\AppData\Local\Temp\OnboardLogs" /stypes="*4008*20160831*" /stext=" 13:.+((SYSTEM_STATE.+slice.+state.+changed )|(ment ac)|(system.+state.+changed )|(\|lc)|(penalty)|(\[timeout)|(PRM\|1\|D)|(kpr)|(kdp))" /e /r /s</v>
      </c>
      <c r="AG165" s="1" t="str">
        <f t="shared" si="85"/>
        <v>NW</v>
      </c>
      <c r="AH165" s="100" t="str">
        <f t="shared" si="86"/>
        <v>"%USERPROFILE%\Documents\GitHub\eaglep3\Utilities\RefineRTDCRunTimes.py" --tripid 808-31 --locoid 4008 --swversion DE.1.0.7.0 --startMP 300:58668 --initTime 2016-08-31T07:36:56 --startdatetime 2016-08-31T07:39:18 --delay 1 --endMP 204:692 --enddatetime 2016-08-31T07:55:40 --enforcementcount 0 &gt;&gt;C:\Users\stu\Documents\GitHub\eaglep3-reporting\EC\2016-08-31-refined-times.txt</v>
      </c>
      <c r="AI165" s="149" t="str">
        <f t="shared" si="87"/>
        <v>echo {"issue":{"subject":"","project_id":79,"tracker_id":40,"status_id":1,"priority_id":2,"assigned_to_id":23,"start_date":"2016-08-31","description":"","custom_fields":[{"id":1,"name":"Subdivision","value":"NW"},{"id":4,"name":"Milepost","value":"5.7976"},{"id":17,"name":"Train ID","value":"808-31"},{"id":16,"name":"Locomotive ID","value":"4008"},{"id":130,"name":"Impact","value":""},{"id":150,"name":"Time of Event (Mountain Time)","value":"07:55:40"},{"id":151,"name":"Denver Issue ID","value":""},{"id":178,"name":"Operational Impact","value":"Yes"},{"id":179,"name":"Denver Segment Assigned","value":""}]}} | curl -X POST -H "Content-Type: application/json" -H "X-Redmine-API-Key: d6333d4a04012a730768444271f8ca06482dae87" https://secure.xorail.net/redmine/issues.json --data @-</v>
      </c>
      <c r="AJ165" s="55"/>
      <c r="AK165" s="55"/>
      <c r="AL165" s="55"/>
    </row>
    <row r="166" spans="1:38" x14ac:dyDescent="0.25">
      <c r="A166" s="39" t="s">
        <v>618</v>
      </c>
      <c r="B166" s="7">
        <v>4031</v>
      </c>
      <c r="C166" s="24" t="s">
        <v>113</v>
      </c>
      <c r="D166" s="24" t="s">
        <v>619</v>
      </c>
      <c r="E166" s="15">
        <v>42613.323958333334</v>
      </c>
      <c r="F166" s="15">
        <v>42613.327256944445</v>
      </c>
      <c r="G166" s="7">
        <v>1</v>
      </c>
      <c r="H166" s="15" t="s">
        <v>614</v>
      </c>
      <c r="I166" s="15">
        <v>42613.339131944442</v>
      </c>
      <c r="J166" s="7">
        <v>0</v>
      </c>
      <c r="K166" s="132" t="str">
        <f t="shared" si="76"/>
        <v>4031/4032</v>
      </c>
      <c r="L166" s="24" t="str">
        <f>VLOOKUP(A166,'Trips&amp;Operators'!$C$1:$E$10000,3,FALSE)</f>
        <v>STARKS</v>
      </c>
      <c r="M166" s="6">
        <f t="shared" si="77"/>
        <v>1.187499999650754E-2</v>
      </c>
      <c r="N166" s="7">
        <f t="shared" si="91"/>
        <v>17.099999994970858</v>
      </c>
      <c r="O166" s="7"/>
      <c r="P166" s="7"/>
      <c r="Q166" s="25"/>
      <c r="R166" s="25"/>
      <c r="S166" s="37">
        <f t="shared" si="93"/>
        <v>1</v>
      </c>
      <c r="T166" s="52" t="str">
        <f t="shared" si="78"/>
        <v>NorthBound</v>
      </c>
      <c r="U166" s="126">
        <f>IF(AG166="EC",COUNTIFS(Variables!$M$2:$M$19,IF(T166="NorthBound","&gt;=","&lt;=")&amp;Y166,Variables!$M$2:$M$19,IF(T166="NorthBound","&lt;=","&gt;=")&amp;Z166),COUNTIFS(Variables!$P$2:$P$19,IF(T166="NorthBound","&gt;=","&lt;=")&amp;Y166,Variables!$P$2:$P$19,IF(T166="NorthBound","&lt;=","&gt;=")&amp;Z166))</f>
        <v>1</v>
      </c>
      <c r="V166" s="106" t="str">
        <f t="shared" si="79"/>
        <v>https://search-rtdc-monitor-bjffxe2xuh6vdkpspy63sjmuny.us-east-1.es.amazonaws.com/_plugin/kibana/#/discover/Steve-Slow-Train-Analysis-(2080s-and-2083s)?_g=(refreshInterval:(display:Off,section:0,value:0),time:(from:'2016-08-31 06:46:30-0600',mode:absolute,to:'2016-08-31 09:08:21-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4031%22')),sort:!(Time,asc))</v>
      </c>
      <c r="W166" s="54" t="str">
        <f t="shared" si="80"/>
        <v>N</v>
      </c>
      <c r="X166" s="120">
        <f t="shared" si="90"/>
        <v>1</v>
      </c>
      <c r="Y166" s="69">
        <f t="shared" si="81"/>
        <v>0.1016</v>
      </c>
      <c r="Z166" s="69">
        <f t="shared" si="92"/>
        <v>5.8926999999999996</v>
      </c>
      <c r="AA166" s="69">
        <f t="shared" si="83"/>
        <v>5.7910999999999992</v>
      </c>
      <c r="AB166" s="66" t="e">
        <f>VLOOKUP(A166,Enforcements!$C$7:$J$21,8,0)</f>
        <v>#N/A</v>
      </c>
      <c r="AC166" s="62" t="e">
        <f>VLOOKUP(A166,Enforcements!$C$7:$E$21,3,0)</f>
        <v>#N/A</v>
      </c>
      <c r="AD166" s="63" t="str">
        <f t="shared" si="84"/>
        <v>0809-31</v>
      </c>
      <c r="AE166" s="99" t="str">
        <f t="shared" si="74"/>
        <v>aws s3 cp s3://rtdc.mdm.uploadarchive/RTDC4031/2016-08-31/ "%USERPROFILE%\AppData\Local\Temp\OnboardLogs"\RTDC4031\2016-08-31 --recursive &amp; "%USERPROFILE%\Documents\GitHub\mrs-test-scripts\Headless Mode &amp; Sideloading\WalkAndUnGZ.bat" "%USERPROFILE%\AppData\Local\Temp\OnboardLogs"\RTDC4031\2016-08-31 &amp; aws s3 cp s3://rtdc.mdm.uploadarchive/RTDC4031/2016-09-01/ "%USERPROFILE%\AppData\Local\Temp\OnboardLogs"\RTDC4031\2016-09-01 --recursive &amp; "%USERPROFILE%\Documents\GitHub\mrs-test-scripts\Headless Mode &amp; Sideloading\WalkAndUnGZ.bat" "%USERPROFILE%\AppData\Local\Temp\OnboardLogs"\RTDC4031\2016-09-01</v>
      </c>
      <c r="AF166" s="96" t="str">
        <f t="shared" si="75"/>
        <v>"C:\Program Files (x86)\AstroGrep\AstroGrep.exe" /spath="%USERPROFILE%\AppData\Local\Temp\OnboardLogs" /stypes="*4031*20160831*" /stext=" 14:.+((SYSTEM_STATE.+slice.+state.+changed )|(ment ac)|(system.+state.+changed )|(\|lc)|(penalty)|(\[timeout)|(PRM\|1\|D)|(kpr)|(kdp))" /e /r /s</v>
      </c>
      <c r="AG166" s="1" t="str">
        <f t="shared" si="85"/>
        <v>NW</v>
      </c>
      <c r="AH166" s="100" t="str">
        <f t="shared" si="86"/>
        <v>"%USERPROFILE%\Documents\GitHub\eaglep3\Utilities\RefineRTDCRunTimes.py" --tripid 809-31 --locoid 4031 --swversion DE.1.0.7.0 --startMP 204:1016 --initTime 2016-08-31T07:46:30 --startdatetime 2016-08-31T07:51:15 --delay 1 --endMP 300:58927 --enddatetime 2016-08-31T08:08:21 --enforcementcount 0 &gt;&gt;C:\Users\stu\Documents\GitHub\eaglep3-reporting\EC\2016-08-31-refined-times.txt</v>
      </c>
      <c r="AI166" s="149" t="str">
        <f t="shared" si="87"/>
        <v>echo {"issue":{"subject":"","project_id":79,"tracker_id":40,"status_id":1,"priority_id":2,"assigned_to_id":23,"start_date":"2016-08-31","description":"","custom_fields":[{"id":1,"name":"Subdivision","value":"NW"},{"id":4,"name":"Milepost","value":"5.7911"},{"id":17,"name":"Train ID","value":"809-31"},{"id":16,"name":"Locomotive ID","value":"4031"},{"id":130,"name":"Impact","value":""},{"id":150,"name":"Time of Event (Mountain Time)","value":"08:08:21"},{"id":151,"name":"Denver Issue ID","value":""},{"id":178,"name":"Operational Impact","value":"Yes"},{"id":179,"name":"Denver Segment Assigned","value":""}]}} | curl -X POST -H "Content-Type: application/json" -H "X-Redmine-API-Key: d6333d4a04012a730768444271f8ca06482dae87" https://secure.xorail.net/redmine/issues.json --data @-</v>
      </c>
      <c r="AJ166" s="55"/>
      <c r="AK166" s="55"/>
      <c r="AL166" s="55"/>
    </row>
    <row r="167" spans="1:38" x14ac:dyDescent="0.25">
      <c r="A167" s="39" t="s">
        <v>620</v>
      </c>
      <c r="B167" s="7">
        <v>4032</v>
      </c>
      <c r="C167" s="24" t="s">
        <v>113</v>
      </c>
      <c r="D167" s="24" t="s">
        <v>366</v>
      </c>
      <c r="E167" s="15">
        <v>42613.340381944443</v>
      </c>
      <c r="F167" s="15">
        <v>42613.341932870368</v>
      </c>
      <c r="G167" s="7">
        <v>1</v>
      </c>
      <c r="H167" s="15" t="s">
        <v>621</v>
      </c>
      <c r="I167" s="15">
        <v>42613.35224537037</v>
      </c>
      <c r="J167" s="7">
        <v>0</v>
      </c>
      <c r="K167" s="132" t="str">
        <f t="shared" si="76"/>
        <v>4031/4032</v>
      </c>
      <c r="L167" s="24" t="str">
        <f>VLOOKUP(A167,'Trips&amp;Operators'!$C$1:$E$10000,3,FALSE)</f>
        <v>STARKS</v>
      </c>
      <c r="M167" s="6">
        <f t="shared" si="77"/>
        <v>1.0312500002328306E-2</v>
      </c>
      <c r="N167" s="7">
        <f t="shared" si="91"/>
        <v>14.850000003352761</v>
      </c>
      <c r="O167" s="7"/>
      <c r="P167" s="7"/>
      <c r="Q167" s="25"/>
      <c r="R167" s="25"/>
      <c r="S167" s="37">
        <f t="shared" si="93"/>
        <v>1</v>
      </c>
      <c r="T167" s="52" t="str">
        <f t="shared" si="78"/>
        <v>Southbound</v>
      </c>
      <c r="U167" s="126">
        <f>IF(AG167="EC",COUNTIFS(Variables!$M$2:$M$19,IF(T167="NorthBound","&gt;=","&lt;=")&amp;Y167,Variables!$M$2:$M$19,IF(T167="NorthBound","&lt;=","&gt;=")&amp;Z167),COUNTIFS(Variables!$P$2:$P$19,IF(T167="NorthBound","&gt;=","&lt;=")&amp;Y167,Variables!$P$2:$P$19,IF(T167="NorthBound","&lt;=","&gt;=")&amp;Z167))</f>
        <v>1</v>
      </c>
      <c r="V167" s="106" t="str">
        <f t="shared" si="79"/>
        <v>https://search-rtdc-monitor-bjffxe2xuh6vdkpspy63sjmuny.us-east-1.es.amazonaws.com/_plugin/kibana/#/discover/Steve-Slow-Train-Analysis-(2080s-and-2083s)?_g=(refreshInterval:(display:Off,section:0,value:0),time:(from:'2016-08-31 07:10:09-0600',mode:absolute,to:'2016-08-31 09:27:14-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4032%22')),sort:!(Time,asc))</v>
      </c>
      <c r="W167" s="54" t="str">
        <f t="shared" si="80"/>
        <v>N</v>
      </c>
      <c r="X167" s="120">
        <f t="shared" si="90"/>
        <v>1</v>
      </c>
      <c r="Y167" s="69">
        <f t="shared" si="81"/>
        <v>5.86</v>
      </c>
      <c r="Z167" s="69">
        <f t="shared" si="92"/>
        <v>7.7100000000000002E-2</v>
      </c>
      <c r="AA167" s="69">
        <f t="shared" si="83"/>
        <v>5.7829000000000006</v>
      </c>
      <c r="AB167" s="66" t="e">
        <f>VLOOKUP(A167,Enforcements!$C$7:$J$21,8,0)</f>
        <v>#N/A</v>
      </c>
      <c r="AC167" s="62" t="e">
        <f>VLOOKUP(A167,Enforcements!$C$7:$E$21,3,0)</f>
        <v>#N/A</v>
      </c>
      <c r="AD167" s="63" t="str">
        <f t="shared" si="84"/>
        <v>0810-31</v>
      </c>
      <c r="AE167" s="99" t="str">
        <f t="shared" si="74"/>
        <v>aws s3 cp s3://rtdc.mdm.uploadarchive/RTDC4032/2016-08-31/ "%USERPROFILE%\AppData\Local\Temp\OnboardLogs"\RTDC4032\2016-08-31 --recursive &amp; "%USERPROFILE%\Documents\GitHub\mrs-test-scripts\Headless Mode &amp; Sideloading\WalkAndUnGZ.bat" "%USERPROFILE%\AppData\Local\Temp\OnboardLogs"\RTDC4032\2016-08-31 &amp; aws s3 cp s3://rtdc.mdm.uploadarchive/RTDC4032/2016-09-01/ "%USERPROFILE%\AppData\Local\Temp\OnboardLogs"\RTDC4032\2016-09-01 --recursive &amp; "%USERPROFILE%\Documents\GitHub\mrs-test-scripts\Headless Mode &amp; Sideloading\WalkAndUnGZ.bat" "%USERPROFILE%\AppData\Local\Temp\OnboardLogs"\RTDC4032\2016-09-01</v>
      </c>
      <c r="AF167" s="96" t="str">
        <f t="shared" si="75"/>
        <v>"C:\Program Files (x86)\AstroGrep\AstroGrep.exe" /spath="%USERPROFILE%\AppData\Local\Temp\OnboardLogs" /stypes="*4032*20160831*" /stext=" 14:.+((SYSTEM_STATE.+slice.+state.+changed )|(ment ac)|(system.+state.+changed )|(\|lc)|(penalty)|(\[timeout)|(PRM\|1\|D)|(kpr)|(kdp))" /e /r /s</v>
      </c>
      <c r="AG167" s="1" t="str">
        <f t="shared" si="85"/>
        <v>NW</v>
      </c>
      <c r="AH167" s="100" t="str">
        <f t="shared" si="86"/>
        <v>"%USERPROFILE%\Documents\GitHub\eaglep3\Utilities\RefineRTDCRunTimes.py" --tripid 810-31 --locoid 4032 --swversion DE.1.0.7.0 --startMP 300:58600 --initTime 2016-08-31T08:10:09 --startdatetime 2016-08-31T08:12:23 --delay 1 --endMP 204:771 --enddatetime 2016-08-31T08:27:14 --enforcementcount 0 &gt;&gt;C:\Users\stu\Documents\GitHub\eaglep3-reporting\EC\2016-08-31-refined-times.txt</v>
      </c>
      <c r="AI167" s="149" t="str">
        <f t="shared" si="87"/>
        <v>echo {"issue":{"subject":"","project_id":79,"tracker_id":40,"status_id":1,"priority_id":2,"assigned_to_id":23,"start_date":"2016-08-31","description":"","custom_fields":[{"id":1,"name":"Subdivision","value":"NW"},{"id":4,"name":"Milepost","value":"5.7829"},{"id":17,"name":"Train ID","value":"810-31"},{"id":16,"name":"Locomotive ID","value":"4032"},{"id":130,"name":"Impact","value":""},{"id":150,"name":"Time of Event (Mountain Time)","value":"08:27:14"},{"id":151,"name":"Denver Issue ID","value":""},{"id":178,"name":"Operational Impact","value":"Yes"},{"id":179,"name":"Denver Segment Assigned","value":""}]}} | curl -X POST -H "Content-Type: application/json" -H "X-Redmine-API-Key: d6333d4a04012a730768444271f8ca06482dae87" https://secure.xorail.net/redmine/issues.json --data @-</v>
      </c>
      <c r="AJ167" s="55"/>
      <c r="AK167" s="55"/>
      <c r="AL167" s="55"/>
    </row>
    <row r="168" spans="1:38" x14ac:dyDescent="0.25">
      <c r="A168" s="39" t="s">
        <v>622</v>
      </c>
      <c r="B168" s="7">
        <v>4007</v>
      </c>
      <c r="C168" s="24" t="s">
        <v>113</v>
      </c>
      <c r="D168" s="24" t="s">
        <v>623</v>
      </c>
      <c r="E168" s="15">
        <v>42613.345694444448</v>
      </c>
      <c r="F168" s="15">
        <v>42613.348090277781</v>
      </c>
      <c r="G168" s="7">
        <v>1</v>
      </c>
      <c r="H168" s="15" t="s">
        <v>624</v>
      </c>
      <c r="I168" s="15">
        <v>42613.357592592591</v>
      </c>
      <c r="J168" s="7">
        <v>0</v>
      </c>
      <c r="K168" s="132" t="str">
        <f t="shared" si="76"/>
        <v>4007/4008</v>
      </c>
      <c r="L168" s="24" t="str">
        <f>VLOOKUP(A168,'Trips&amp;Operators'!$C$1:$E$10000,3,FALSE)</f>
        <v>GEBRETEKLE</v>
      </c>
      <c r="M168" s="6">
        <f t="shared" si="77"/>
        <v>9.5023148096515797E-3</v>
      </c>
      <c r="N168" s="7">
        <f t="shared" si="91"/>
        <v>13.683333325898275</v>
      </c>
      <c r="O168" s="7"/>
      <c r="P168" s="7"/>
      <c r="Q168" s="25"/>
      <c r="R168" s="25"/>
      <c r="S168" s="37">
        <f t="shared" si="93"/>
        <v>1</v>
      </c>
      <c r="T168" s="52" t="str">
        <f t="shared" si="78"/>
        <v>NorthBound</v>
      </c>
      <c r="U168" s="126">
        <f>IF(AG168="EC",COUNTIFS(Variables!$M$2:$M$19,IF(T168="NorthBound","&gt;=","&lt;=")&amp;Y168,Variables!$M$2:$M$19,IF(T168="NorthBound","&lt;=","&gt;=")&amp;Z168),COUNTIFS(Variables!$P$2:$P$19,IF(T168="NorthBound","&gt;=","&lt;=")&amp;Y168,Variables!$P$2:$P$19,IF(T168="NorthBound","&lt;=","&gt;=")&amp;Z168))</f>
        <v>1</v>
      </c>
      <c r="V168" s="106" t="str">
        <f t="shared" si="79"/>
        <v>https://search-rtdc-monitor-bjffxe2xuh6vdkpspy63sjmuny.us-east-1.es.amazonaws.com/_plugin/kibana/#/discover/Steve-Slow-Train-Analysis-(2080s-and-2083s)?_g=(refreshInterval:(display:Off,section:0,value:0),time:(from:'2016-08-31 07:17:48-0600',mode:absolute,to:'2016-08-31 09:34:56-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4007%22')),sort:!(Time,asc))</v>
      </c>
      <c r="W168" s="54" t="str">
        <f t="shared" si="80"/>
        <v>N</v>
      </c>
      <c r="X168" s="120">
        <f t="shared" si="90"/>
        <v>1</v>
      </c>
      <c r="Y168" s="69">
        <f t="shared" si="81"/>
        <v>9.8500000000000004E-2</v>
      </c>
      <c r="Z168" s="69">
        <f t="shared" si="92"/>
        <v>5.8971</v>
      </c>
      <c r="AA168" s="69">
        <f t="shared" si="83"/>
        <v>5.7986000000000004</v>
      </c>
      <c r="AB168" s="66" t="e">
        <f>VLOOKUP(A168,Enforcements!$C$7:$J$21,8,0)</f>
        <v>#N/A</v>
      </c>
      <c r="AC168" s="62" t="e">
        <f>VLOOKUP(A168,Enforcements!$C$7:$E$21,3,0)</f>
        <v>#N/A</v>
      </c>
      <c r="AD168" s="63" t="str">
        <f t="shared" si="84"/>
        <v>0811-31</v>
      </c>
      <c r="AE168" s="99" t="str">
        <f t="shared" si="74"/>
        <v>aws s3 cp s3://rtdc.mdm.uploadarchive/RTDC4007/2016-08-31/ "%USERPROFILE%\AppData\Local\Temp\OnboardLogs"\RTDC4007\2016-08-31 --recursive &amp; "%USERPROFILE%\Documents\GitHub\mrs-test-scripts\Headless Mode &amp; Sideloading\WalkAndUnGZ.bat" "%USERPROFILE%\AppData\Local\Temp\OnboardLogs"\RTDC4007\2016-08-31 &amp; aws s3 cp s3://rtdc.mdm.uploadarchive/RTDC4007/2016-09-01/ "%USERPROFILE%\AppData\Local\Temp\OnboardLogs"\RTDC4007\2016-09-01 --recursive &amp; "%USERPROFILE%\Documents\GitHub\mrs-test-scripts\Headless Mode &amp; Sideloading\WalkAndUnGZ.bat" "%USERPROFILE%\AppData\Local\Temp\OnboardLogs"\RTDC4007\2016-09-01</v>
      </c>
      <c r="AF168" s="96" t="str">
        <f t="shared" si="75"/>
        <v>"C:\Program Files (x86)\AstroGrep\AstroGrep.exe" /spath="%USERPROFILE%\AppData\Local\Temp\OnboardLogs" /stypes="*4007*20160831*" /stext=" 14:.+((SYSTEM_STATE.+slice.+state.+changed )|(ment ac)|(system.+state.+changed )|(\|lc)|(penalty)|(\[timeout)|(PRM\|1\|D)|(kpr)|(kdp))" /e /r /s</v>
      </c>
      <c r="AG168" s="1" t="str">
        <f t="shared" si="85"/>
        <v>NW</v>
      </c>
      <c r="AH168" s="100" t="str">
        <f t="shared" si="86"/>
        <v>"%USERPROFILE%\Documents\GitHub\eaglep3\Utilities\RefineRTDCRunTimes.py" --tripid 811-31 --locoid 4007 --swversion DE.1.0.7.0 --startMP 204:985 --initTime 2016-08-31T08:17:48 --startdatetime 2016-08-31T08:21:15 --delay 1 --endMP 300:58971 --enddatetime 2016-08-31T08:34:56 --enforcementcount 0 &gt;&gt;C:\Users\stu\Documents\GitHub\eaglep3-reporting\EC\2016-08-31-refined-times.txt</v>
      </c>
      <c r="AI168" s="149" t="str">
        <f t="shared" si="87"/>
        <v>echo {"issue":{"subject":"","project_id":79,"tracker_id":40,"status_id":1,"priority_id":2,"assigned_to_id":23,"start_date":"2016-08-31","description":"","custom_fields":[{"id":1,"name":"Subdivision","value":"NW"},{"id":4,"name":"Milepost","value":"5.7986"},{"id":17,"name":"Train ID","value":"811-31"},{"id":16,"name":"Locomotive ID","value":"4007"},{"id":130,"name":"Impact","value":""},{"id":150,"name":"Time of Event (Mountain Time)","value":"08:34:56"},{"id":151,"name":"Denver Issue ID","value":""},{"id":178,"name":"Operational Impact","value":"Yes"},{"id":179,"name":"Denver Segment Assigned","value":""}]}} | curl -X POST -H "Content-Type: application/json" -H "X-Redmine-API-Key: d6333d4a04012a730768444271f8ca06482dae87" https://secure.xorail.net/redmine/issues.json --data @-</v>
      </c>
      <c r="AJ168" s="55"/>
      <c r="AK168" s="55"/>
      <c r="AL168" s="55"/>
    </row>
    <row r="169" spans="1:38" x14ac:dyDescent="0.25">
      <c r="A169" s="39" t="s">
        <v>625</v>
      </c>
      <c r="B169" s="7">
        <v>4008</v>
      </c>
      <c r="C169" s="24" t="s">
        <v>113</v>
      </c>
      <c r="D169" s="24" t="s">
        <v>626</v>
      </c>
      <c r="E169" s="15">
        <v>42613.358912037038</v>
      </c>
      <c r="F169" s="15">
        <v>42613.360717592594</v>
      </c>
      <c r="G169" s="7">
        <v>1</v>
      </c>
      <c r="H169" s="15" t="s">
        <v>627</v>
      </c>
      <c r="I169" s="15">
        <v>42613.371400462966</v>
      </c>
      <c r="J169" s="7">
        <v>0</v>
      </c>
      <c r="K169" s="132" t="str">
        <f t="shared" si="76"/>
        <v>4007/4008</v>
      </c>
      <c r="L169" s="24" t="str">
        <f>VLOOKUP(A169,'Trips&amp;Operators'!$C$1:$E$10000,3,FALSE)</f>
        <v>GEBRETEKLE</v>
      </c>
      <c r="M169" s="6">
        <f t="shared" si="77"/>
        <v>1.0682870371965691E-2</v>
      </c>
      <c r="N169" s="7">
        <f t="shared" si="91"/>
        <v>15.383333335630596</v>
      </c>
      <c r="O169" s="7"/>
      <c r="P169" s="7"/>
      <c r="Q169" s="25"/>
      <c r="R169" s="25"/>
      <c r="S169" s="37">
        <f t="shared" si="93"/>
        <v>1</v>
      </c>
      <c r="T169" s="52" t="str">
        <f t="shared" si="78"/>
        <v>Southbound</v>
      </c>
      <c r="U169" s="126">
        <f>IF(AG169="EC",COUNTIFS(Variables!$M$2:$M$19,IF(T169="NorthBound","&gt;=","&lt;=")&amp;Y169,Variables!$M$2:$M$19,IF(T169="NorthBound","&lt;=","&gt;=")&amp;Z169),COUNTIFS(Variables!$P$2:$P$19,IF(T169="NorthBound","&gt;=","&lt;=")&amp;Y169,Variables!$P$2:$P$19,IF(T169="NorthBound","&lt;=","&gt;=")&amp;Z169))</f>
        <v>1</v>
      </c>
      <c r="V169" s="106" t="str">
        <f t="shared" si="79"/>
        <v>https://search-rtdc-monitor-bjffxe2xuh6vdkpspy63sjmuny.us-east-1.es.amazonaws.com/_plugin/kibana/#/discover/Steve-Slow-Train-Analysis-(2080s-and-2083s)?_g=(refreshInterval:(display:Off,section:0,value:0),time:(from:'2016-08-31 07:36:50-0600',mode:absolute,to:'2016-08-31 09:54:49-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4008%22')),sort:!(Time,asc))</v>
      </c>
      <c r="W169" s="54" t="str">
        <f t="shared" si="80"/>
        <v>N</v>
      </c>
      <c r="X169" s="120">
        <f t="shared" si="90"/>
        <v>1</v>
      </c>
      <c r="Y169" s="69">
        <f t="shared" si="81"/>
        <v>5.8657000000000004</v>
      </c>
      <c r="Z169" s="69">
        <f t="shared" si="92"/>
        <v>6.8699999999999997E-2</v>
      </c>
      <c r="AA169" s="69">
        <f t="shared" si="83"/>
        <v>5.7970000000000006</v>
      </c>
      <c r="AB169" s="66" t="e">
        <f>VLOOKUP(A169,Enforcements!$C$7:$J$21,8,0)</f>
        <v>#N/A</v>
      </c>
      <c r="AC169" s="62" t="e">
        <f>VLOOKUP(A169,Enforcements!$C$7:$E$21,3,0)</f>
        <v>#N/A</v>
      </c>
      <c r="AD169" s="63" t="str">
        <f t="shared" si="84"/>
        <v>0812-31</v>
      </c>
      <c r="AE169" s="99" t="str">
        <f t="shared" si="74"/>
        <v>aws s3 cp s3://rtdc.mdm.uploadarchive/RTDC4008/2016-08-31/ "%USERPROFILE%\AppData\Local\Temp\OnboardLogs"\RTDC4008\2016-08-31 --recursive &amp; "%USERPROFILE%\Documents\GitHub\mrs-test-scripts\Headless Mode &amp; Sideloading\WalkAndUnGZ.bat" "%USERPROFILE%\AppData\Local\Temp\OnboardLogs"\RTDC4008\2016-08-31 &amp; aws s3 cp s3://rtdc.mdm.uploadarchive/RTDC4008/2016-09-01/ "%USERPROFILE%\AppData\Local\Temp\OnboardLogs"\RTDC4008\2016-09-01 --recursive &amp; "%USERPROFILE%\Documents\GitHub\mrs-test-scripts\Headless Mode &amp; Sideloading\WalkAndUnGZ.bat" "%USERPROFILE%\AppData\Local\Temp\OnboardLogs"\RTDC4008\2016-09-01</v>
      </c>
      <c r="AF169" s="96" t="str">
        <f t="shared" si="75"/>
        <v>"C:\Program Files (x86)\AstroGrep\AstroGrep.exe" /spath="%USERPROFILE%\AppData\Local\Temp\OnboardLogs" /stypes="*4008*20160831*" /stext=" 14:.+((SYSTEM_STATE.+slice.+state.+changed )|(ment ac)|(system.+state.+changed )|(\|lc)|(penalty)|(\[timeout)|(PRM\|1\|D)|(kpr)|(kdp))" /e /r /s</v>
      </c>
      <c r="AG169" s="1" t="str">
        <f t="shared" si="85"/>
        <v>NW</v>
      </c>
      <c r="AH169" s="100" t="str">
        <f t="shared" si="86"/>
        <v>"%USERPROFILE%\Documents\GitHub\eaglep3\Utilities\RefineRTDCRunTimes.py" --tripid 812-31 --locoid 4008 --swversion DE.1.0.7.0 --startMP 300:58657 --initTime 2016-08-31T08:36:50 --startdatetime 2016-08-31T08:39:26 --delay 1 --endMP 204:687 --enddatetime 2016-08-31T08:54:49 --enforcementcount 0 &gt;&gt;C:\Users\stu\Documents\GitHub\eaglep3-reporting\EC\2016-08-31-refined-times.txt</v>
      </c>
      <c r="AI169" s="149" t="str">
        <f t="shared" si="87"/>
        <v>echo {"issue":{"subject":"","project_id":79,"tracker_id":40,"status_id":1,"priority_id":2,"assigned_to_id":23,"start_date":"2016-08-31","description":"","custom_fields":[{"id":1,"name":"Subdivision","value":"NW"},{"id":4,"name":"Milepost","value":"5.797"},{"id":17,"name":"Train ID","value":"812-31"},{"id":16,"name":"Locomotive ID","value":"4008"},{"id":130,"name":"Impact","value":""},{"id":150,"name":"Time of Event (Mountain Time)","value":"08:54:49"},{"id":151,"name":"Denver Issue ID","value":""},{"id":178,"name":"Operational Impact","value":"Yes"},{"id":179,"name":"Denver Segment Assigned","value":""}]}} | curl -X POST -H "Content-Type: application/json" -H "X-Redmine-API-Key: d6333d4a04012a730768444271f8ca06482dae87" https://secure.xorail.net/redmine/issues.json --data @-</v>
      </c>
      <c r="AJ169" s="55"/>
      <c r="AK169" s="55"/>
      <c r="AL169" s="55"/>
    </row>
    <row r="170" spans="1:38" x14ac:dyDescent="0.25">
      <c r="A170" s="39" t="s">
        <v>628</v>
      </c>
      <c r="B170" s="7">
        <v>4007</v>
      </c>
      <c r="C170" s="24" t="s">
        <v>113</v>
      </c>
      <c r="D170" s="24" t="s">
        <v>363</v>
      </c>
      <c r="E170" s="15">
        <v>42613.388043981482</v>
      </c>
      <c r="F170" s="15">
        <v>42613.390497685185</v>
      </c>
      <c r="G170" s="7">
        <v>1</v>
      </c>
      <c r="H170" s="15" t="s">
        <v>629</v>
      </c>
      <c r="I170" s="15">
        <v>42613.400752314818</v>
      </c>
      <c r="J170" s="7">
        <v>0</v>
      </c>
      <c r="K170" s="132" t="str">
        <f t="shared" si="76"/>
        <v>4007/4008</v>
      </c>
      <c r="L170" s="24" t="str">
        <f>VLOOKUP(A170,'Trips&amp;Operators'!$C$1:$E$10000,3,FALSE)</f>
        <v>GEBRETEKLE</v>
      </c>
      <c r="M170" s="6">
        <f t="shared" si="77"/>
        <v>1.025462963298196E-2</v>
      </c>
      <c r="N170" s="7">
        <f t="shared" si="91"/>
        <v>14.766666671494022</v>
      </c>
      <c r="O170" s="7"/>
      <c r="P170" s="7"/>
      <c r="Q170" s="25"/>
      <c r="R170" s="25"/>
      <c r="S170" s="37">
        <f t="shared" si="93"/>
        <v>1</v>
      </c>
      <c r="T170" s="52" t="str">
        <f t="shared" si="78"/>
        <v>NorthBound</v>
      </c>
      <c r="U170" s="126">
        <f>IF(AG170="EC",COUNTIFS(Variables!$M$2:$M$19,IF(T170="NorthBound","&gt;=","&lt;=")&amp;Y170,Variables!$M$2:$M$19,IF(T170="NorthBound","&lt;=","&gt;=")&amp;Z170),COUNTIFS(Variables!$P$2:$P$19,IF(T170="NorthBound","&gt;=","&lt;=")&amp;Y170,Variables!$P$2:$P$19,IF(T170="NorthBound","&lt;=","&gt;=")&amp;Z170))</f>
        <v>1</v>
      </c>
      <c r="V170" s="106" t="str">
        <f t="shared" si="79"/>
        <v>https://search-rtdc-monitor-bjffxe2xuh6vdkpspy63sjmuny.us-east-1.es.amazonaws.com/_plugin/kibana/#/discover/Steve-Slow-Train-Analysis-(2080s-and-2083s)?_g=(refreshInterval:(display:Off,section:0,value:0),time:(from:'2016-08-31 08:18:47-0600',mode:absolute,to:'2016-08-31 10:37:05-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4007%22')),sort:!(Time,asc))</v>
      </c>
      <c r="W170" s="54" t="str">
        <f t="shared" si="80"/>
        <v>N</v>
      </c>
      <c r="X170" s="120">
        <f t="shared" si="90"/>
        <v>1</v>
      </c>
      <c r="Y170" s="69">
        <f t="shared" si="81"/>
        <v>9.7100000000000006E-2</v>
      </c>
      <c r="Z170" s="69">
        <f t="shared" si="92"/>
        <v>5.8982000000000001</v>
      </c>
      <c r="AA170" s="69">
        <f t="shared" si="83"/>
        <v>5.8010999999999999</v>
      </c>
      <c r="AB170" s="66" t="e">
        <f>VLOOKUP(A170,Enforcements!$C$7:$J$21,8,0)</f>
        <v>#N/A</v>
      </c>
      <c r="AC170" s="62" t="e">
        <f>VLOOKUP(A170,Enforcements!$C$7:$E$21,3,0)</f>
        <v>#N/A</v>
      </c>
      <c r="AD170" s="63" t="str">
        <f t="shared" si="84"/>
        <v>0813-31</v>
      </c>
      <c r="AE170" s="99" t="str">
        <f t="shared" si="74"/>
        <v>aws s3 cp s3://rtdc.mdm.uploadarchive/RTDC4007/2016-08-31/ "%USERPROFILE%\AppData\Local\Temp\OnboardLogs"\RTDC4007\2016-08-31 --recursive &amp; "%USERPROFILE%\Documents\GitHub\mrs-test-scripts\Headless Mode &amp; Sideloading\WalkAndUnGZ.bat" "%USERPROFILE%\AppData\Local\Temp\OnboardLogs"\RTDC4007\2016-08-31 &amp; aws s3 cp s3://rtdc.mdm.uploadarchive/RTDC4007/2016-09-01/ "%USERPROFILE%\AppData\Local\Temp\OnboardLogs"\RTDC4007\2016-09-01 --recursive &amp; "%USERPROFILE%\Documents\GitHub\mrs-test-scripts\Headless Mode &amp; Sideloading\WalkAndUnGZ.bat" "%USERPROFILE%\AppData\Local\Temp\OnboardLogs"\RTDC4007\2016-09-01</v>
      </c>
      <c r="AF170" s="96" t="str">
        <f t="shared" si="75"/>
        <v>"C:\Program Files (x86)\AstroGrep\AstroGrep.exe" /spath="%USERPROFILE%\AppData\Local\Temp\OnboardLogs" /stypes="*4007*20160831*" /stext=" 15:.+((SYSTEM_STATE.+slice.+state.+changed )|(ment ac)|(system.+state.+changed )|(\|lc)|(penalty)|(\[timeout)|(PRM\|1\|D)|(kpr)|(kdp))" /e /r /s</v>
      </c>
      <c r="AG170" s="1" t="str">
        <f t="shared" si="85"/>
        <v>NW</v>
      </c>
      <c r="AH170" s="100" t="str">
        <f t="shared" si="86"/>
        <v>"%USERPROFILE%\Documents\GitHub\eaglep3\Utilities\RefineRTDCRunTimes.py" --tripid 813-31 --locoid 4007 --swversion DE.1.0.7.0 --startMP 204:971 --initTime 2016-08-31T09:18:47 --startdatetime 2016-08-31T09:22:19 --delay 1 --endMP 300:58982 --enddatetime 2016-08-31T09:37:05 --enforcementcount 0 &gt;&gt;C:\Users\stu\Documents\GitHub\eaglep3-reporting\EC\2016-08-31-refined-times.txt</v>
      </c>
      <c r="AI170" s="149" t="str">
        <f t="shared" si="87"/>
        <v>echo {"issue":{"subject":"","project_id":79,"tracker_id":40,"status_id":1,"priority_id":2,"assigned_to_id":23,"start_date":"2016-08-31","description":"","custom_fields":[{"id":1,"name":"Subdivision","value":"NW"},{"id":4,"name":"Milepost","value":"5.8011"},{"id":17,"name":"Train ID","value":"813-31"},{"id":16,"name":"Locomotive ID","value":"4007"},{"id":130,"name":"Impact","value":""},{"id":150,"name":"Time of Event (Mountain Time)","value":"09:37:05"},{"id":151,"name":"Denver Issue ID","value":""},{"id":178,"name":"Operational Impact","value":"Yes"},{"id":179,"name":"Denver Segment Assigned","value":""}]}} | curl -X POST -H "Content-Type: application/json" -H "X-Redmine-API-Key: d6333d4a04012a730768444271f8ca06482dae87" https://secure.xorail.net/redmine/issues.json --data @-</v>
      </c>
      <c r="AJ170" s="55"/>
      <c r="AK170" s="55"/>
      <c r="AL170" s="55"/>
    </row>
    <row r="171" spans="1:38" x14ac:dyDescent="0.25">
      <c r="A171" s="39" t="s">
        <v>630</v>
      </c>
      <c r="B171" s="7">
        <v>4008</v>
      </c>
      <c r="C171" s="24" t="s">
        <v>113</v>
      </c>
      <c r="D171" s="24" t="s">
        <v>360</v>
      </c>
      <c r="E171" s="15">
        <v>42613.401817129627</v>
      </c>
      <c r="F171" s="15">
        <v>42613.403425925928</v>
      </c>
      <c r="G171" s="7">
        <v>1</v>
      </c>
      <c r="H171" s="15" t="s">
        <v>367</v>
      </c>
      <c r="I171" s="15">
        <v>42613.412986111114</v>
      </c>
      <c r="J171" s="7">
        <v>0</v>
      </c>
      <c r="K171" s="132" t="str">
        <f t="shared" si="76"/>
        <v>4007/4008</v>
      </c>
      <c r="L171" s="24" t="str">
        <f>VLOOKUP(A171,'Trips&amp;Operators'!$C$1:$E$10000,3,FALSE)</f>
        <v>GEBRETEKLE</v>
      </c>
      <c r="M171" s="6">
        <f t="shared" si="77"/>
        <v>9.560185186273884E-3</v>
      </c>
      <c r="N171" s="7">
        <f t="shared" si="91"/>
        <v>13.766666668234393</v>
      </c>
      <c r="O171" s="7"/>
      <c r="P171" s="7"/>
      <c r="Q171" s="25"/>
      <c r="R171" s="25"/>
      <c r="S171" s="37">
        <f t="shared" si="93"/>
        <v>1</v>
      </c>
      <c r="T171" s="52" t="str">
        <f t="shared" si="78"/>
        <v>Southbound</v>
      </c>
      <c r="U171" s="126">
        <f>IF(AG171="EC",COUNTIFS(Variables!$M$2:$M$19,IF(T171="NorthBound","&gt;=","&lt;=")&amp;Y171,Variables!$M$2:$M$19,IF(T171="NorthBound","&lt;=","&gt;=")&amp;Z171),COUNTIFS(Variables!$P$2:$P$19,IF(T171="NorthBound","&gt;=","&lt;=")&amp;Y171,Variables!$P$2:$P$19,IF(T171="NorthBound","&lt;=","&gt;=")&amp;Z171))</f>
        <v>1</v>
      </c>
      <c r="V171" s="106" t="str">
        <f t="shared" si="79"/>
        <v>https://search-rtdc-monitor-bjffxe2xuh6vdkpspy63sjmuny.us-east-1.es.amazonaws.com/_plugin/kibana/#/discover/Steve-Slow-Train-Analysis-(2080s-and-2083s)?_g=(refreshInterval:(display:Off,section:0,value:0),time:(from:'2016-08-31 08:38:37-0600',mode:absolute,to:'2016-08-31 10:54:42-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4008%22')),sort:!(Time,asc))</v>
      </c>
      <c r="W171" s="54" t="str">
        <f t="shared" si="80"/>
        <v>N</v>
      </c>
      <c r="X171" s="120">
        <f t="shared" si="90"/>
        <v>1</v>
      </c>
      <c r="Y171" s="69">
        <f t="shared" si="81"/>
        <v>5.8667999999999996</v>
      </c>
      <c r="Z171" s="69">
        <f t="shared" si="92"/>
        <v>6.9400000000000003E-2</v>
      </c>
      <c r="AA171" s="69">
        <f t="shared" si="83"/>
        <v>5.7973999999999997</v>
      </c>
      <c r="AB171" s="66" t="e">
        <f>VLOOKUP(A171,Enforcements!$C$7:$J$21,8,0)</f>
        <v>#N/A</v>
      </c>
      <c r="AC171" s="62" t="e">
        <f>VLOOKUP(A171,Enforcements!$C$7:$E$21,3,0)</f>
        <v>#N/A</v>
      </c>
      <c r="AD171" s="63" t="str">
        <f t="shared" si="84"/>
        <v>0814-31</v>
      </c>
      <c r="AE171" s="99" t="str">
        <f t="shared" si="74"/>
        <v>aws s3 cp s3://rtdc.mdm.uploadarchive/RTDC4008/2016-08-31/ "%USERPROFILE%\AppData\Local\Temp\OnboardLogs"\RTDC4008\2016-08-31 --recursive &amp; "%USERPROFILE%\Documents\GitHub\mrs-test-scripts\Headless Mode &amp; Sideloading\WalkAndUnGZ.bat" "%USERPROFILE%\AppData\Local\Temp\OnboardLogs"\RTDC4008\2016-08-31 &amp; aws s3 cp s3://rtdc.mdm.uploadarchive/RTDC4008/2016-09-01/ "%USERPROFILE%\AppData\Local\Temp\OnboardLogs"\RTDC4008\2016-09-01 --recursive &amp; "%USERPROFILE%\Documents\GitHub\mrs-test-scripts\Headless Mode &amp; Sideloading\WalkAndUnGZ.bat" "%USERPROFILE%\AppData\Local\Temp\OnboardLogs"\RTDC4008\2016-09-01</v>
      </c>
      <c r="AF171" s="96" t="str">
        <f t="shared" si="75"/>
        <v>"C:\Program Files (x86)\AstroGrep\AstroGrep.exe" /spath="%USERPROFILE%\AppData\Local\Temp\OnboardLogs" /stypes="*4008*20160831*" /stext=" 15:.+((SYSTEM_STATE.+slice.+state.+changed )|(ment ac)|(system.+state.+changed )|(\|lc)|(penalty)|(\[timeout)|(PRM\|1\|D)|(kpr)|(kdp))" /e /r /s</v>
      </c>
      <c r="AG171" s="1" t="str">
        <f t="shared" si="85"/>
        <v>NW</v>
      </c>
      <c r="AH171" s="100" t="str">
        <f t="shared" si="86"/>
        <v>"%USERPROFILE%\Documents\GitHub\eaglep3\Utilities\RefineRTDCRunTimes.py" --tripid 814-31 --locoid 4008 --swversion DE.1.0.7.0 --startMP 300:58668 --initTime 2016-08-31T09:38:37 --startdatetime 2016-08-31T09:40:56 --delay 1 --endMP 204:694 --enddatetime 2016-08-31T09:54:42 --enforcementcount 0 &gt;&gt;C:\Users\stu\Documents\GitHub\eaglep3-reporting\EC\2016-08-31-refined-times.txt</v>
      </c>
      <c r="AI171" s="149" t="str">
        <f t="shared" si="87"/>
        <v>echo {"issue":{"subject":"","project_id":79,"tracker_id":40,"status_id":1,"priority_id":2,"assigned_to_id":23,"start_date":"2016-08-31","description":"","custom_fields":[{"id":1,"name":"Subdivision","value":"NW"},{"id":4,"name":"Milepost","value":"5.7974"},{"id":17,"name":"Train ID","value":"814-31"},{"id":16,"name":"Locomotive ID","value":"4008"},{"id":130,"name":"Impact","value":""},{"id":150,"name":"Time of Event (Mountain Time)","value":"09:54:42"},{"id":151,"name":"Denver Issue ID","value":""},{"id":178,"name":"Operational Impact","value":"Yes"},{"id":179,"name":"Denver Segment Assigned","value":""}]}} | curl -X POST -H "Content-Type: application/json" -H "X-Redmine-API-Key: d6333d4a04012a730768444271f8ca06482dae87" https://secure.xorail.net/redmine/issues.json --data @-</v>
      </c>
      <c r="AJ171" s="55"/>
      <c r="AK171" s="55"/>
      <c r="AL171" s="55"/>
    </row>
    <row r="172" spans="1:38" x14ac:dyDescent="0.25">
      <c r="A172" s="39" t="s">
        <v>631</v>
      </c>
      <c r="B172" s="7">
        <v>4007</v>
      </c>
      <c r="C172" s="24" t="s">
        <v>113</v>
      </c>
      <c r="D172" s="24" t="s">
        <v>623</v>
      </c>
      <c r="E172" s="15">
        <v>42613.429293981484</v>
      </c>
      <c r="F172" s="15">
        <v>42613.43141203704</v>
      </c>
      <c r="G172" s="7">
        <v>1</v>
      </c>
      <c r="H172" s="15" t="s">
        <v>624</v>
      </c>
      <c r="I172" s="15">
        <v>42613.440625000003</v>
      </c>
      <c r="J172" s="7">
        <v>0</v>
      </c>
      <c r="K172" s="132" t="str">
        <f t="shared" ref="K172:K203" si="94">IF(ISEVEN(B172),(B172-1)&amp;"/"&amp;B172,B172&amp;"/"&amp;(B172+1))</f>
        <v>4007/4008</v>
      </c>
      <c r="L172" s="24" t="str">
        <f>VLOOKUP(A172,'Trips&amp;Operators'!$C$1:$E$10000,3,FALSE)</f>
        <v>GEBRETEKLE</v>
      </c>
      <c r="M172" s="6">
        <f t="shared" ref="M172:M203" si="95">I172-F172</f>
        <v>9.2129629629198462E-3</v>
      </c>
      <c r="N172" s="7">
        <f t="shared" si="91"/>
        <v>13.266666666604578</v>
      </c>
      <c r="O172" s="7"/>
      <c r="P172" s="7"/>
      <c r="Q172" s="25"/>
      <c r="R172" s="25"/>
      <c r="S172" s="37">
        <f t="shared" si="93"/>
        <v>1</v>
      </c>
      <c r="T172" s="52" t="str">
        <f t="shared" ref="T172:T203" si="96">IF(ISEVEN(LEFT(AD172,4)),"Southbound","NorthBound")</f>
        <v>NorthBound</v>
      </c>
      <c r="U172" s="126">
        <f>IF(AG172="EC",COUNTIFS(Variables!$M$2:$M$19,IF(T172="NorthBound","&gt;=","&lt;=")&amp;Y172,Variables!$M$2:$M$19,IF(T172="NorthBound","&lt;=","&gt;=")&amp;Z172),COUNTIFS(Variables!$P$2:$P$19,IF(T172="NorthBound","&gt;=","&lt;=")&amp;Y172,Variables!$P$2:$P$19,IF(T172="NorthBound","&lt;=","&gt;=")&amp;Z172))</f>
        <v>1</v>
      </c>
      <c r="V172" s="106" t="str">
        <f t="shared" ref="V172:V203" si="97">"https://search-rtdc-monitor-bjffxe2xuh6vdkpspy63sjmuny.us-east-1.es.amazonaws.com/_plugin/kibana/#/discover/Steve-Slow-Train-Analysis-(2080s-and-2083s)?_g=(refreshInterval:(display:Off,section:0,value:0),time:(from:'"&amp;TEXT(E172-1/24,"yyyy-MM-DD hh:mm:ss")&amp;"-0600',mode:absolute,to:'"&amp;TEXT(I172+1/24,"yyyy-MM-DD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filters:!(),index:'emp_*',interval:auto,query:"&amp;"(query_string:(analyze_wildcard:!t,query:'Message%5C%20ID:(2083%20OR%202080%20OR%201041%20OR%202003%20OR%201051)%20AND%20%22rtdc.l.rtdc."&amp;B172&amp;"%22')),sort:!(Time,asc))"</f>
        <v>https://search-rtdc-monitor-bjffxe2xuh6vdkpspy63sjmuny.us-east-1.es.amazonaws.com/_plugin/kibana/#/discover/Steve-Slow-Train-Analysis-(2080s-and-2083s)?_g=(refreshInterval:(display:Off,section:0,value:0),time:(from:'2016-08-31 09:18:11-0600',mode:absolute,to:'2016-08-31 11:34:30-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4007%22')),sort:!(Time,asc))</v>
      </c>
      <c r="W172" s="54" t="str">
        <f t="shared" ref="W172:W203" si="98">IF(AA172&lt;IF(AG172="EC",23,5.65),"Y","N")</f>
        <v>N</v>
      </c>
      <c r="X172" s="120">
        <f t="shared" si="90"/>
        <v>1</v>
      </c>
      <c r="Y172" s="69">
        <f t="shared" ref="Y172:Y203" si="99">RIGHT(D172,LEN(D172)-4)/10000</f>
        <v>9.8500000000000004E-2</v>
      </c>
      <c r="Z172" s="69">
        <f t="shared" si="92"/>
        <v>5.8971</v>
      </c>
      <c r="AA172" s="69">
        <f t="shared" ref="AA172:AA203" si="100">ABS(Z172-Y172)</f>
        <v>5.7986000000000004</v>
      </c>
      <c r="AB172" s="66" t="e">
        <f>VLOOKUP(A172,Enforcements!$C$7:$J$21,8,0)</f>
        <v>#N/A</v>
      </c>
      <c r="AC172" s="62" t="e">
        <f>VLOOKUP(A172,Enforcements!$C$7:$E$21,3,0)</f>
        <v>#N/A</v>
      </c>
      <c r="AD172" s="63" t="str">
        <f t="shared" ref="AD172:AD203" si="101">IF(LEN(A172)=6,"0"&amp;A172,A172)</f>
        <v>0815-31</v>
      </c>
      <c r="AE172" s="99" t="str">
        <f t="shared" si="74"/>
        <v>aws s3 cp s3://rtdc.mdm.uploadarchive/RTDC4007/2016-08-31/ "%USERPROFILE%\AppData\Local\Temp\OnboardLogs"\RTDC4007\2016-08-31 --recursive &amp; "%USERPROFILE%\Documents\GitHub\mrs-test-scripts\Headless Mode &amp; Sideloading\WalkAndUnGZ.bat" "%USERPROFILE%\AppData\Local\Temp\OnboardLogs"\RTDC4007\2016-08-31 &amp; aws s3 cp s3://rtdc.mdm.uploadarchive/RTDC4007/2016-09-01/ "%USERPROFILE%\AppData\Local\Temp\OnboardLogs"\RTDC4007\2016-09-01 --recursive &amp; "%USERPROFILE%\Documents\GitHub\mrs-test-scripts\Headless Mode &amp; Sideloading\WalkAndUnGZ.bat" "%USERPROFILE%\AppData\Local\Temp\OnboardLogs"\RTDC4007\2016-09-01</v>
      </c>
      <c r="AF172" s="96" t="str">
        <f t="shared" si="75"/>
        <v>"C:\Program Files (x86)\AstroGrep\AstroGrep.exe" /spath="%USERPROFILE%\AppData\Local\Temp\OnboardLogs" /stypes="*4007*20160831*" /stext=" 16:.+((SYSTEM_STATE.+slice.+state.+changed )|(ment ac)|(system.+state.+changed )|(\|lc)|(penalty)|(\[timeout)|(PRM\|1\|D)|(kpr)|(kdp))" /e /r /s</v>
      </c>
      <c r="AG172" s="1" t="str">
        <f t="shared" ref="AG172:AG203" si="102">IFERROR(IF(VALUE(LEFT(AD172,2))&lt;=2,"EC",IF(OR(VALUE(LEFT(AD172,2))=8,VALUE(LEFT(AD172,2))=18),"NW","Other")),"Other")</f>
        <v>NW</v>
      </c>
      <c r="AH172" s="100" t="str">
        <f t="shared" si="86"/>
        <v>"%USERPROFILE%\Documents\GitHub\eaglep3\Utilities\RefineRTDCRunTimes.py" --tripid 815-31 --locoid 4007 --swversion DE.1.0.7.0 --startMP 204:985 --initTime 2016-08-31T10:18:11 --startdatetime 2016-08-31T10:21:14 --delay 1 --endMP 300:58971 --enddatetime 2016-08-31T10:34:30 --enforcementcount 0 &gt;&gt;C:\Users\stu\Documents\GitHub\eaglep3-reporting\EC\2016-08-31-refined-times.txt</v>
      </c>
      <c r="AI172" s="149" t="str">
        <f t="shared" si="87"/>
        <v>echo {"issue":{"subject":"","project_id":79,"tracker_id":40,"status_id":1,"priority_id":2,"assigned_to_id":23,"start_date":"2016-08-31","description":"","custom_fields":[{"id":1,"name":"Subdivision","value":"NW"},{"id":4,"name":"Milepost","value":"5.7986"},{"id":17,"name":"Train ID","value":"815-31"},{"id":16,"name":"Locomotive ID","value":"4007"},{"id":130,"name":"Impact","value":""},{"id":150,"name":"Time of Event (Mountain Time)","value":"10:34:30"},{"id":151,"name":"Denver Issue ID","value":""},{"id":178,"name":"Operational Impact","value":"Yes"},{"id":179,"name":"Denver Segment Assigned","value":""}]}} | curl -X POST -H "Content-Type: application/json" -H "X-Redmine-API-Key: d6333d4a04012a730768444271f8ca06482dae87" https://secure.xorail.net/redmine/issues.json --data @-</v>
      </c>
      <c r="AJ172" s="55"/>
      <c r="AK172" s="55"/>
      <c r="AL172" s="55"/>
    </row>
    <row r="173" spans="1:38" x14ac:dyDescent="0.25">
      <c r="A173" s="39" t="s">
        <v>632</v>
      </c>
      <c r="B173" s="7">
        <v>4008</v>
      </c>
      <c r="C173" s="24" t="s">
        <v>113</v>
      </c>
      <c r="D173" s="24" t="s">
        <v>356</v>
      </c>
      <c r="E173" s="15">
        <v>42613.441620370373</v>
      </c>
      <c r="F173" s="15">
        <v>42613.443356481483</v>
      </c>
      <c r="G173" s="7">
        <v>1</v>
      </c>
      <c r="H173" s="15" t="s">
        <v>367</v>
      </c>
      <c r="I173" s="15">
        <v>42613.454618055555</v>
      </c>
      <c r="J173" s="7">
        <v>0</v>
      </c>
      <c r="K173" s="132" t="str">
        <f t="shared" si="94"/>
        <v>4007/4008</v>
      </c>
      <c r="L173" s="24" t="str">
        <f>VLOOKUP(A173,'Trips&amp;Operators'!$C$1:$E$10000,3,FALSE)</f>
        <v>GEBRETEKLE</v>
      </c>
      <c r="M173" s="6">
        <f t="shared" si="95"/>
        <v>1.1261574072705116E-2</v>
      </c>
      <c r="N173" s="7">
        <f t="shared" si="91"/>
        <v>16.216666664695367</v>
      </c>
      <c r="O173" s="7"/>
      <c r="P173" s="7"/>
      <c r="Q173" s="25"/>
      <c r="R173" s="25"/>
      <c r="S173" s="37">
        <f t="shared" si="93"/>
        <v>1</v>
      </c>
      <c r="T173" s="52" t="str">
        <f t="shared" si="96"/>
        <v>Southbound</v>
      </c>
      <c r="U173" s="126">
        <f>IF(AG173="EC",COUNTIFS(Variables!$M$2:$M$19,IF(T173="NorthBound","&gt;=","&lt;=")&amp;Y173,Variables!$M$2:$M$19,IF(T173="NorthBound","&lt;=","&gt;=")&amp;Z173),COUNTIFS(Variables!$P$2:$P$19,IF(T173="NorthBound","&gt;=","&lt;=")&amp;Y173,Variables!$P$2:$P$19,IF(T173="NorthBound","&lt;=","&gt;=")&amp;Z173))</f>
        <v>1</v>
      </c>
      <c r="V173" s="106" t="str">
        <f t="shared" si="97"/>
        <v>https://search-rtdc-monitor-bjffxe2xuh6vdkpspy63sjmuny.us-east-1.es.amazonaws.com/_plugin/kibana/#/discover/Steve-Slow-Train-Analysis-(2080s-and-2083s)?_g=(refreshInterval:(display:Off,section:0,value:0),time:(from:'2016-08-31 09:35:56-0600',mode:absolute,to:'2016-08-31 11:54:39-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4008%22')),sort:!(Time,asc))</v>
      </c>
      <c r="W173" s="54" t="str">
        <f t="shared" si="98"/>
        <v>N</v>
      </c>
      <c r="X173" s="120">
        <f t="shared" si="90"/>
        <v>1</v>
      </c>
      <c r="Y173" s="69">
        <f t="shared" si="99"/>
        <v>5.8644999999999996</v>
      </c>
      <c r="Z173" s="69">
        <f t="shared" si="92"/>
        <v>6.9400000000000003E-2</v>
      </c>
      <c r="AA173" s="69">
        <f t="shared" si="100"/>
        <v>5.7950999999999997</v>
      </c>
      <c r="AB173" s="66" t="e">
        <f>VLOOKUP(A173,Enforcements!$C$7:$J$21,8,0)</f>
        <v>#N/A</v>
      </c>
      <c r="AC173" s="62" t="e">
        <f>VLOOKUP(A173,Enforcements!$C$7:$E$21,3,0)</f>
        <v>#N/A</v>
      </c>
      <c r="AD173" s="63" t="str">
        <f t="shared" si="101"/>
        <v>0816-31</v>
      </c>
      <c r="AE173" s="99" t="str">
        <f t="shared" si="74"/>
        <v>aws s3 cp s3://rtdc.mdm.uploadarchive/RTDC4008/2016-08-31/ "%USERPROFILE%\AppData\Local\Temp\OnboardLogs"\RTDC4008\2016-08-31 --recursive &amp; "%USERPROFILE%\Documents\GitHub\mrs-test-scripts\Headless Mode &amp; Sideloading\WalkAndUnGZ.bat" "%USERPROFILE%\AppData\Local\Temp\OnboardLogs"\RTDC4008\2016-08-31 &amp; aws s3 cp s3://rtdc.mdm.uploadarchive/RTDC4008/2016-09-01/ "%USERPROFILE%\AppData\Local\Temp\OnboardLogs"\RTDC4008\2016-09-01 --recursive &amp; "%USERPROFILE%\Documents\GitHub\mrs-test-scripts\Headless Mode &amp; Sideloading\WalkAndUnGZ.bat" "%USERPROFILE%\AppData\Local\Temp\OnboardLogs"\RTDC4008\2016-09-01</v>
      </c>
      <c r="AF173" s="96" t="str">
        <f t="shared" si="75"/>
        <v>"C:\Program Files (x86)\AstroGrep\AstroGrep.exe" /spath="%USERPROFILE%\AppData\Local\Temp\OnboardLogs" /stypes="*4008*20160831*" /stext=" 16:.+((SYSTEM_STATE.+slice.+state.+changed )|(ment ac)|(system.+state.+changed )|(\|lc)|(penalty)|(\[timeout)|(PRM\|1\|D)|(kpr)|(kdp))" /e /r /s</v>
      </c>
      <c r="AG173" s="1" t="str">
        <f t="shared" si="102"/>
        <v>NW</v>
      </c>
      <c r="AH173" s="100" t="str">
        <f t="shared" si="86"/>
        <v>"%USERPROFILE%\Documents\GitHub\eaglep3\Utilities\RefineRTDCRunTimes.py" --tripid 816-31 --locoid 4008 --swversion DE.1.0.7.0 --startMP 300:58645 --initTime 2016-08-31T10:35:56 --startdatetime 2016-08-31T10:38:26 --delay 1 --endMP 204:694 --enddatetime 2016-08-31T10:54:39 --enforcementcount 0 &gt;&gt;C:\Users\stu\Documents\GitHub\eaglep3-reporting\EC\2016-08-31-refined-times.txt</v>
      </c>
      <c r="AI173" s="149" t="str">
        <f t="shared" si="87"/>
        <v>echo {"issue":{"subject":"","project_id":79,"tracker_id":40,"status_id":1,"priority_id":2,"assigned_to_id":23,"start_date":"2016-08-31","description":"","custom_fields":[{"id":1,"name":"Subdivision","value":"NW"},{"id":4,"name":"Milepost","value":"5.7951"},{"id":17,"name":"Train ID","value":"816-31"},{"id":16,"name":"Locomotive ID","value":"4008"},{"id":130,"name":"Impact","value":""},{"id":150,"name":"Time of Event (Mountain Time)","value":"10:54:39"},{"id":151,"name":"Denver Issue ID","value":""},{"id":178,"name":"Operational Impact","value":"Yes"},{"id":179,"name":"Denver Segment Assigned","value":""}]}} | curl -X POST -H "Content-Type: application/json" -H "X-Redmine-API-Key: d6333d4a04012a730768444271f8ca06482dae87" https://secure.xorail.net/redmine/issues.json --data @-</v>
      </c>
      <c r="AJ173" s="55"/>
      <c r="AK173" s="55"/>
      <c r="AL173" s="55"/>
    </row>
    <row r="174" spans="1:38" x14ac:dyDescent="0.25">
      <c r="A174" s="39" t="s">
        <v>633</v>
      </c>
      <c r="B174" s="7">
        <v>4007</v>
      </c>
      <c r="C174" s="24" t="s">
        <v>113</v>
      </c>
      <c r="D174" s="24" t="s">
        <v>634</v>
      </c>
      <c r="E174" s="15">
        <v>42613.469895833332</v>
      </c>
      <c r="F174" s="15">
        <v>42613.473344907405</v>
      </c>
      <c r="G174" s="7">
        <v>1</v>
      </c>
      <c r="H174" s="15" t="s">
        <v>635</v>
      </c>
      <c r="I174" s="15">
        <v>42613.483055555553</v>
      </c>
      <c r="J174" s="7">
        <v>0</v>
      </c>
      <c r="K174" s="132" t="str">
        <f t="shared" si="94"/>
        <v>4007/4008</v>
      </c>
      <c r="L174" s="24" t="str">
        <f>VLOOKUP(A174,'Trips&amp;Operators'!$C$1:$E$10000,3,FALSE)</f>
        <v>GEBRETEKLE</v>
      </c>
      <c r="M174" s="6">
        <f t="shared" si="95"/>
        <v>9.710648148029577E-3</v>
      </c>
      <c r="N174" s="7">
        <f t="shared" si="91"/>
        <v>13.983333333162591</v>
      </c>
      <c r="O174" s="7"/>
      <c r="P174" s="7"/>
      <c r="Q174" s="25"/>
      <c r="R174" s="25"/>
      <c r="S174" s="37">
        <f t="shared" si="93"/>
        <v>1</v>
      </c>
      <c r="T174" s="52" t="str">
        <f t="shared" si="96"/>
        <v>NorthBound</v>
      </c>
      <c r="U174" s="126">
        <f>IF(AG174="EC",COUNTIFS(Variables!$M$2:$M$19,IF(T174="NorthBound","&gt;=","&lt;=")&amp;Y174,Variables!$M$2:$M$19,IF(T174="NorthBound","&lt;=","&gt;=")&amp;Z174),COUNTIFS(Variables!$P$2:$P$19,IF(T174="NorthBound","&gt;=","&lt;=")&amp;Y174,Variables!$P$2:$P$19,IF(T174="NorthBound","&lt;=","&gt;=")&amp;Z174))</f>
        <v>1</v>
      </c>
      <c r="V174" s="106" t="str">
        <f t="shared" si="97"/>
        <v>https://search-rtdc-monitor-bjffxe2xuh6vdkpspy63sjmuny.us-east-1.es.amazonaws.com/_plugin/kibana/#/discover/Steve-Slow-Train-Analysis-(2080s-and-2083s)?_g=(refreshInterval:(display:Off,section:0,value:0),time:(from:'2016-08-31 10:16:39-0600',mode:absolute,to:'2016-08-31 12:35:36-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4007%22')),sort:!(Time,asc))</v>
      </c>
      <c r="W174" s="54" t="str">
        <f t="shared" si="98"/>
        <v>N</v>
      </c>
      <c r="X174" s="120">
        <f t="shared" si="90"/>
        <v>1</v>
      </c>
      <c r="Y174" s="69">
        <f t="shared" si="99"/>
        <v>9.9199999999999997E-2</v>
      </c>
      <c r="Z174" s="69">
        <f t="shared" si="92"/>
        <v>5.8979999999999997</v>
      </c>
      <c r="AA174" s="69">
        <f t="shared" si="100"/>
        <v>5.7988</v>
      </c>
      <c r="AB174" s="66" t="e">
        <f>VLOOKUP(A174,Enforcements!$C$7:$J$21,8,0)</f>
        <v>#N/A</v>
      </c>
      <c r="AC174" s="62" t="e">
        <f>VLOOKUP(A174,Enforcements!$C$7:$E$21,3,0)</f>
        <v>#N/A</v>
      </c>
      <c r="AD174" s="63" t="str">
        <f t="shared" si="101"/>
        <v>0817-31</v>
      </c>
      <c r="AE174" s="99" t="str">
        <f t="shared" si="74"/>
        <v>aws s3 cp s3://rtdc.mdm.uploadarchive/RTDC4007/2016-08-31/ "%USERPROFILE%\AppData\Local\Temp\OnboardLogs"\RTDC4007\2016-08-31 --recursive &amp; "%USERPROFILE%\Documents\GitHub\mrs-test-scripts\Headless Mode &amp; Sideloading\WalkAndUnGZ.bat" "%USERPROFILE%\AppData\Local\Temp\OnboardLogs"\RTDC4007\2016-08-31 &amp; aws s3 cp s3://rtdc.mdm.uploadarchive/RTDC4007/2016-09-01/ "%USERPROFILE%\AppData\Local\Temp\OnboardLogs"\RTDC4007\2016-09-01 --recursive &amp; "%USERPROFILE%\Documents\GitHub\mrs-test-scripts\Headless Mode &amp; Sideloading\WalkAndUnGZ.bat" "%USERPROFILE%\AppData\Local\Temp\OnboardLogs"\RTDC4007\2016-09-01</v>
      </c>
      <c r="AF174" s="96" t="str">
        <f t="shared" si="75"/>
        <v>"C:\Program Files (x86)\AstroGrep\AstroGrep.exe" /spath="%USERPROFILE%\AppData\Local\Temp\OnboardLogs" /stypes="*4007*20160831*" /stext=" 17:.+((SYSTEM_STATE.+slice.+state.+changed )|(ment ac)|(system.+state.+changed )|(\|lc)|(penalty)|(\[timeout)|(PRM\|1\|D)|(kpr)|(kdp))" /e /r /s</v>
      </c>
      <c r="AG174" s="1" t="str">
        <f t="shared" si="102"/>
        <v>NW</v>
      </c>
      <c r="AH174" s="100" t="str">
        <f t="shared" si="86"/>
        <v>"%USERPROFILE%\Documents\GitHub\eaglep3\Utilities\RefineRTDCRunTimes.py" --tripid 817-31 --locoid 4007 --swversion DE.1.0.7.0 --startMP 204:992 --initTime 2016-08-31T11:16:39 --startdatetime 2016-08-31T11:21:37 --delay 1 --endMP 300:58980 --enddatetime 2016-08-31T11:35:36 --enforcementcount 0 &gt;&gt;C:\Users\stu\Documents\GitHub\eaglep3-reporting\EC\2016-08-31-refined-times.txt</v>
      </c>
      <c r="AI174" s="149" t="str">
        <f t="shared" si="87"/>
        <v>echo {"issue":{"subject":"","project_id":79,"tracker_id":40,"status_id":1,"priority_id":2,"assigned_to_id":23,"start_date":"2016-08-31","description":"","custom_fields":[{"id":1,"name":"Subdivision","value":"NW"},{"id":4,"name":"Milepost","value":"5.7988"},{"id":17,"name":"Train ID","value":"817-31"},{"id":16,"name":"Locomotive ID","value":"4007"},{"id":130,"name":"Impact","value":""},{"id":150,"name":"Time of Event (Mountain Time)","value":"11:35:36"},{"id":151,"name":"Denver Issue ID","value":""},{"id":178,"name":"Operational Impact","value":"Yes"},{"id":179,"name":"Denver Segment Assigned","value":""}]}} | curl -X POST -H "Content-Type: application/json" -H "X-Redmine-API-Key: d6333d4a04012a730768444271f8ca06482dae87" https://secure.xorail.net/redmine/issues.json --data @-</v>
      </c>
      <c r="AJ174" s="55"/>
      <c r="AK174" s="55"/>
      <c r="AL174" s="55"/>
    </row>
    <row r="175" spans="1:38" x14ac:dyDescent="0.25">
      <c r="A175" s="39" t="s">
        <v>636</v>
      </c>
      <c r="B175" s="7">
        <v>4008</v>
      </c>
      <c r="C175" s="24" t="s">
        <v>113</v>
      </c>
      <c r="D175" s="24" t="s">
        <v>637</v>
      </c>
      <c r="E175" s="15">
        <v>42613.484375</v>
      </c>
      <c r="F175" s="15">
        <v>42613.485763888886</v>
      </c>
      <c r="G175" s="7">
        <v>1</v>
      </c>
      <c r="H175" s="15" t="s">
        <v>355</v>
      </c>
      <c r="I175" s="15">
        <v>42613.496967592589</v>
      </c>
      <c r="J175" s="7">
        <v>0</v>
      </c>
      <c r="K175" s="132" t="str">
        <f t="shared" si="94"/>
        <v>4007/4008</v>
      </c>
      <c r="L175" s="24" t="str">
        <f>VLOOKUP(A175,'Trips&amp;Operators'!$C$1:$E$10000,3,FALSE)</f>
        <v>GEBRETEKLE</v>
      </c>
      <c r="M175" s="6">
        <f t="shared" si="95"/>
        <v>1.1203703703358769E-2</v>
      </c>
      <c r="N175" s="7">
        <f t="shared" si="91"/>
        <v>16.133333332836628</v>
      </c>
      <c r="O175" s="7"/>
      <c r="P175" s="7"/>
      <c r="Q175" s="25"/>
      <c r="R175" s="25"/>
      <c r="S175" s="37">
        <f t="shared" si="93"/>
        <v>1</v>
      </c>
      <c r="T175" s="52" t="str">
        <f t="shared" si="96"/>
        <v>Southbound</v>
      </c>
      <c r="U175" s="126">
        <f>IF(AG175="EC",COUNTIFS(Variables!$M$2:$M$19,IF(T175="NorthBound","&gt;=","&lt;=")&amp;Y175,Variables!$M$2:$M$19,IF(T175="NorthBound","&lt;=","&gt;=")&amp;Z175),COUNTIFS(Variables!$P$2:$P$19,IF(T175="NorthBound","&gt;=","&lt;=")&amp;Y175,Variables!$P$2:$P$19,IF(T175="NorthBound","&lt;=","&gt;=")&amp;Z175))</f>
        <v>1</v>
      </c>
      <c r="V175" s="106" t="str">
        <f t="shared" si="97"/>
        <v>https://search-rtdc-monitor-bjffxe2xuh6vdkpspy63sjmuny.us-east-1.es.amazonaws.com/_plugin/kibana/#/discover/Steve-Slow-Train-Analysis-(2080s-and-2083s)?_g=(refreshInterval:(display:Off,section:0,value:0),time:(from:'2016-08-31 10:37:30-0600',mode:absolute,to:'2016-08-31 12:55:38-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4008%22')),sort:!(Time,asc))</v>
      </c>
      <c r="W175" s="54" t="str">
        <f t="shared" si="98"/>
        <v>N</v>
      </c>
      <c r="X175" s="120">
        <f t="shared" si="90"/>
        <v>1</v>
      </c>
      <c r="Y175" s="69">
        <f t="shared" si="99"/>
        <v>5.8663999999999996</v>
      </c>
      <c r="Z175" s="69">
        <f t="shared" si="92"/>
        <v>7.1499999999999994E-2</v>
      </c>
      <c r="AA175" s="69">
        <f t="shared" si="100"/>
        <v>5.7948999999999993</v>
      </c>
      <c r="AB175" s="66" t="e">
        <f>VLOOKUP(A175,Enforcements!$C$7:$J$21,8,0)</f>
        <v>#N/A</v>
      </c>
      <c r="AC175" s="62" t="e">
        <f>VLOOKUP(A175,Enforcements!$C$7:$E$21,3,0)</f>
        <v>#N/A</v>
      </c>
      <c r="AD175" s="63" t="str">
        <f t="shared" si="101"/>
        <v>0818-31</v>
      </c>
      <c r="AE175" s="99" t="str">
        <f t="shared" si="74"/>
        <v>aws s3 cp s3://rtdc.mdm.uploadarchive/RTDC4008/2016-08-31/ "%USERPROFILE%\AppData\Local\Temp\OnboardLogs"\RTDC4008\2016-08-31 --recursive &amp; "%USERPROFILE%\Documents\GitHub\mrs-test-scripts\Headless Mode &amp; Sideloading\WalkAndUnGZ.bat" "%USERPROFILE%\AppData\Local\Temp\OnboardLogs"\RTDC4008\2016-08-31 &amp; aws s3 cp s3://rtdc.mdm.uploadarchive/RTDC4008/2016-09-01/ "%USERPROFILE%\AppData\Local\Temp\OnboardLogs"\RTDC4008\2016-09-01 --recursive &amp; "%USERPROFILE%\Documents\GitHub\mrs-test-scripts\Headless Mode &amp; Sideloading\WalkAndUnGZ.bat" "%USERPROFILE%\AppData\Local\Temp\OnboardLogs"\RTDC4008\2016-09-01</v>
      </c>
      <c r="AF175" s="96" t="str">
        <f t="shared" si="75"/>
        <v>"C:\Program Files (x86)\AstroGrep\AstroGrep.exe" /spath="%USERPROFILE%\AppData\Local\Temp\OnboardLogs" /stypes="*4008*20160831*" /stext=" 17:.+((SYSTEM_STATE.+slice.+state.+changed )|(ment ac)|(system.+state.+changed )|(\|lc)|(penalty)|(\[timeout)|(PRM\|1\|D)|(kpr)|(kdp))" /e /r /s</v>
      </c>
      <c r="AG175" s="1" t="str">
        <f t="shared" si="102"/>
        <v>NW</v>
      </c>
      <c r="AH175" s="100" t="str">
        <f t="shared" si="86"/>
        <v>"%USERPROFILE%\Documents\GitHub\eaglep3\Utilities\RefineRTDCRunTimes.py" --tripid 818-31 --locoid 4008 --swversion DE.1.0.7.0 --startMP 300:58664 --initTime 2016-08-31T11:37:30 --startdatetime 2016-08-31T11:39:30 --delay 1 --endMP 204:715 --enddatetime 2016-08-31T11:55:38 --enforcementcount 0 &gt;&gt;C:\Users\stu\Documents\GitHub\eaglep3-reporting\EC\2016-08-31-refined-times.txt</v>
      </c>
      <c r="AI175" s="149" t="str">
        <f t="shared" si="87"/>
        <v>echo {"issue":{"subject":"","project_id":79,"tracker_id":40,"status_id":1,"priority_id":2,"assigned_to_id":23,"start_date":"2016-08-31","description":"","custom_fields":[{"id":1,"name":"Subdivision","value":"NW"},{"id":4,"name":"Milepost","value":"5.7949"},{"id":17,"name":"Train ID","value":"818-31"},{"id":16,"name":"Locomotive ID","value":"4008"},{"id":130,"name":"Impact","value":""},{"id":150,"name":"Time of Event (Mountain Time)","value":"11:55:38"},{"id":151,"name":"Denver Issue ID","value":""},{"id":178,"name":"Operational Impact","value":"Yes"},{"id":179,"name":"Denver Segment Assigned","value":""}]}} | curl -X POST -H "Content-Type: application/json" -H "X-Redmine-API-Key: d6333d4a04012a730768444271f8ca06482dae87" https://secure.xorail.net/redmine/issues.json --data @-</v>
      </c>
      <c r="AJ175" s="55"/>
      <c r="AK175" s="55"/>
      <c r="AL175" s="55"/>
    </row>
    <row r="176" spans="1:38" x14ac:dyDescent="0.25">
      <c r="A176" s="39" t="s">
        <v>638</v>
      </c>
      <c r="B176" s="7">
        <v>4007</v>
      </c>
      <c r="C176" s="24" t="s">
        <v>113</v>
      </c>
      <c r="D176" s="24" t="s">
        <v>623</v>
      </c>
      <c r="E176" s="15">
        <v>42613.512048611112</v>
      </c>
      <c r="F176" s="15">
        <v>42613.514814814815</v>
      </c>
      <c r="G176" s="7">
        <v>1</v>
      </c>
      <c r="H176" s="15" t="s">
        <v>639</v>
      </c>
      <c r="I176" s="15">
        <v>42613.524050925924</v>
      </c>
      <c r="J176" s="7">
        <v>0</v>
      </c>
      <c r="K176" s="132" t="str">
        <f t="shared" si="94"/>
        <v>4007/4008</v>
      </c>
      <c r="L176" s="24" t="str">
        <f>VLOOKUP(A176,'Trips&amp;Operators'!$C$1:$E$10000,3,FALSE)</f>
        <v>GEBRETEKLE</v>
      </c>
      <c r="M176" s="6">
        <f t="shared" si="95"/>
        <v>9.2361111092031933E-3</v>
      </c>
      <c r="N176" s="7">
        <f t="shared" si="91"/>
        <v>13.299999997252598</v>
      </c>
      <c r="O176" s="7"/>
      <c r="P176" s="7"/>
      <c r="Q176" s="25"/>
      <c r="R176" s="25"/>
      <c r="S176" s="37">
        <f t="shared" si="93"/>
        <v>1</v>
      </c>
      <c r="T176" s="52" t="str">
        <f t="shared" si="96"/>
        <v>NorthBound</v>
      </c>
      <c r="U176" s="126">
        <f>IF(AG176="EC",COUNTIFS(Variables!$M$2:$M$19,IF(T176="NorthBound","&gt;=","&lt;=")&amp;Y176,Variables!$M$2:$M$19,IF(T176="NorthBound","&lt;=","&gt;=")&amp;Z176),COUNTIFS(Variables!$P$2:$P$19,IF(T176="NorthBound","&gt;=","&lt;=")&amp;Y176,Variables!$P$2:$P$19,IF(T176="NorthBound","&lt;=","&gt;=")&amp;Z176))</f>
        <v>1</v>
      </c>
      <c r="V176" s="106" t="str">
        <f t="shared" si="97"/>
        <v>https://search-rtdc-monitor-bjffxe2xuh6vdkpspy63sjmuny.us-east-1.es.amazonaws.com/_plugin/kibana/#/discover/Steve-Slow-Train-Analysis-(2080s-and-2083s)?_g=(refreshInterval:(display:Off,section:0,value:0),time:(from:'2016-08-31 11:17:21-0600',mode:absolute,to:'2016-08-31 13:34:38-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4007%22')),sort:!(Time,asc))</v>
      </c>
      <c r="W176" s="54" t="str">
        <f t="shared" si="98"/>
        <v>N</v>
      </c>
      <c r="X176" s="120">
        <f t="shared" si="90"/>
        <v>1</v>
      </c>
      <c r="Y176" s="69">
        <f t="shared" si="99"/>
        <v>9.8500000000000004E-2</v>
      </c>
      <c r="Z176" s="69">
        <f t="shared" si="92"/>
        <v>5.8968999999999996</v>
      </c>
      <c r="AA176" s="69">
        <f t="shared" si="100"/>
        <v>5.7984</v>
      </c>
      <c r="AB176" s="66" t="e">
        <f>VLOOKUP(A176,Enforcements!$C$7:$J$21,8,0)</f>
        <v>#N/A</v>
      </c>
      <c r="AC176" s="62" t="e">
        <f>VLOOKUP(A176,Enforcements!$C$7:$E$21,3,0)</f>
        <v>#N/A</v>
      </c>
      <c r="AD176" s="63" t="str">
        <f t="shared" si="101"/>
        <v>0819-31</v>
      </c>
      <c r="AE176" s="99" t="str">
        <f t="shared" si="74"/>
        <v>aws s3 cp s3://rtdc.mdm.uploadarchive/RTDC4007/2016-08-31/ "%USERPROFILE%\AppData\Local\Temp\OnboardLogs"\RTDC4007\2016-08-31 --recursive &amp; "%USERPROFILE%\Documents\GitHub\mrs-test-scripts\Headless Mode &amp; Sideloading\WalkAndUnGZ.bat" "%USERPROFILE%\AppData\Local\Temp\OnboardLogs"\RTDC4007\2016-08-31 &amp; aws s3 cp s3://rtdc.mdm.uploadarchive/RTDC4007/2016-09-01/ "%USERPROFILE%\AppData\Local\Temp\OnboardLogs"\RTDC4007\2016-09-01 --recursive &amp; "%USERPROFILE%\Documents\GitHub\mrs-test-scripts\Headless Mode &amp; Sideloading\WalkAndUnGZ.bat" "%USERPROFILE%\AppData\Local\Temp\OnboardLogs"\RTDC4007\2016-09-01</v>
      </c>
      <c r="AF176" s="96" t="str">
        <f t="shared" si="75"/>
        <v>"C:\Program Files (x86)\AstroGrep\AstroGrep.exe" /spath="%USERPROFILE%\AppData\Local\Temp\OnboardLogs" /stypes="*4007*20160831*" /stext=" 18:.+((SYSTEM_STATE.+slice.+state.+changed )|(ment ac)|(system.+state.+changed )|(\|lc)|(penalty)|(\[timeout)|(PRM\|1\|D)|(kpr)|(kdp))" /e /r /s</v>
      </c>
      <c r="AG176" s="1" t="str">
        <f t="shared" si="102"/>
        <v>NW</v>
      </c>
      <c r="AH176" s="100" t="str">
        <f t="shared" si="86"/>
        <v>"%USERPROFILE%\Documents\GitHub\eaglep3\Utilities\RefineRTDCRunTimes.py" --tripid 819-31 --locoid 4007 --swversion DE.1.0.7.0 --startMP 204:985 --initTime 2016-08-31T12:17:21 --startdatetime 2016-08-31T12:21:20 --delay 1 --endMP 300:58969 --enddatetime 2016-08-31T12:34:38 --enforcementcount 0 &gt;&gt;C:\Users\stu\Documents\GitHub\eaglep3-reporting\EC\2016-08-31-refined-times.txt</v>
      </c>
      <c r="AI176" s="149" t="str">
        <f t="shared" si="87"/>
        <v>echo {"issue":{"subject":"","project_id":79,"tracker_id":40,"status_id":1,"priority_id":2,"assigned_to_id":23,"start_date":"2016-08-31","description":"","custom_fields":[{"id":1,"name":"Subdivision","value":"NW"},{"id":4,"name":"Milepost","value":"5.7984"},{"id":17,"name":"Train ID","value":"819-31"},{"id":16,"name":"Locomotive ID","value":"4007"},{"id":130,"name":"Impact","value":""},{"id":150,"name":"Time of Event (Mountain Time)","value":"12:34:38"},{"id":151,"name":"Denver Issue ID","value":""},{"id":178,"name":"Operational Impact","value":"Yes"},{"id":179,"name":"Denver Segment Assigned","value":""}]}} | curl -X POST -H "Content-Type: application/json" -H "X-Redmine-API-Key: d6333d4a04012a730768444271f8ca06482dae87" https://secure.xorail.net/redmine/issues.json --data @-</v>
      </c>
      <c r="AJ176" s="55"/>
      <c r="AK176" s="55"/>
      <c r="AL176" s="55"/>
    </row>
    <row r="177" spans="1:38" x14ac:dyDescent="0.25">
      <c r="A177" s="39" t="s">
        <v>640</v>
      </c>
      <c r="B177" s="7">
        <v>4008</v>
      </c>
      <c r="C177" s="24" t="s">
        <v>113</v>
      </c>
      <c r="D177" s="24" t="s">
        <v>641</v>
      </c>
      <c r="E177" s="15">
        <v>42613.525601851848</v>
      </c>
      <c r="F177" s="15">
        <v>42613.527222222219</v>
      </c>
      <c r="G177" s="7">
        <v>1</v>
      </c>
      <c r="H177" s="15" t="s">
        <v>303</v>
      </c>
      <c r="I177" s="15">
        <v>42613.537905092591</v>
      </c>
      <c r="J177" s="7">
        <v>0</v>
      </c>
      <c r="K177" s="132" t="str">
        <f t="shared" si="94"/>
        <v>4007/4008</v>
      </c>
      <c r="L177" s="24" t="str">
        <f>VLOOKUP(A177,'Trips&amp;Operators'!$C$1:$E$10000,3,FALSE)</f>
        <v>GEBRETEKLE</v>
      </c>
      <c r="M177" s="6">
        <f t="shared" si="95"/>
        <v>1.0682870371965691E-2</v>
      </c>
      <c r="N177" s="7">
        <f t="shared" si="91"/>
        <v>15.383333335630596</v>
      </c>
      <c r="O177" s="7"/>
      <c r="P177" s="7"/>
      <c r="Q177" s="25"/>
      <c r="R177" s="25"/>
      <c r="S177" s="37">
        <f t="shared" si="93"/>
        <v>1</v>
      </c>
      <c r="T177" s="52" t="str">
        <f t="shared" si="96"/>
        <v>Southbound</v>
      </c>
      <c r="U177" s="126">
        <f>IF(AG177="EC",COUNTIFS(Variables!$M$2:$M$19,IF(T177="NorthBound","&gt;=","&lt;=")&amp;Y177,Variables!$M$2:$M$19,IF(T177="NorthBound","&lt;=","&gt;=")&amp;Z177),COUNTIFS(Variables!$P$2:$P$19,IF(T177="NorthBound","&gt;=","&lt;=")&amp;Y177,Variables!$P$2:$P$19,IF(T177="NorthBound","&lt;=","&gt;=")&amp;Z177))</f>
        <v>1</v>
      </c>
      <c r="V177" s="106" t="str">
        <f t="shared" si="97"/>
        <v>https://search-rtdc-monitor-bjffxe2xuh6vdkpspy63sjmuny.us-east-1.es.amazonaws.com/_plugin/kibana/#/discover/Steve-Slow-Train-Analysis-(2080s-and-2083s)?_g=(refreshInterval:(display:Off,section:0,value:0),time:(from:'2016-08-31 11:36:52-0600',mode:absolute,to:'2016-08-31 13:54:35-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4008%22')),sort:!(Time,asc))</v>
      </c>
      <c r="W177" s="54" t="str">
        <f t="shared" si="98"/>
        <v>N</v>
      </c>
      <c r="X177" s="120">
        <f t="shared" si="90"/>
        <v>1</v>
      </c>
      <c r="Y177" s="69">
        <f t="shared" si="99"/>
        <v>5.8655999999999997</v>
      </c>
      <c r="Z177" s="69">
        <f t="shared" si="92"/>
        <v>6.7799999999999999E-2</v>
      </c>
      <c r="AA177" s="69">
        <f t="shared" si="100"/>
        <v>5.7977999999999996</v>
      </c>
      <c r="AB177" s="66" t="e">
        <f>VLOOKUP(A177,Enforcements!$C$7:$J$21,8,0)</f>
        <v>#N/A</v>
      </c>
      <c r="AC177" s="62" t="e">
        <f>VLOOKUP(A177,Enforcements!$C$7:$E$21,3,0)</f>
        <v>#N/A</v>
      </c>
      <c r="AD177" s="63" t="str">
        <f t="shared" si="101"/>
        <v>0820-31</v>
      </c>
      <c r="AE177" s="99" t="str">
        <f t="shared" si="74"/>
        <v>aws s3 cp s3://rtdc.mdm.uploadarchive/RTDC4008/2016-08-31/ "%USERPROFILE%\AppData\Local\Temp\OnboardLogs"\RTDC4008\2016-08-31 --recursive &amp; "%USERPROFILE%\Documents\GitHub\mrs-test-scripts\Headless Mode &amp; Sideloading\WalkAndUnGZ.bat" "%USERPROFILE%\AppData\Local\Temp\OnboardLogs"\RTDC4008\2016-08-31 &amp; aws s3 cp s3://rtdc.mdm.uploadarchive/RTDC4008/2016-09-01/ "%USERPROFILE%\AppData\Local\Temp\OnboardLogs"\RTDC4008\2016-09-01 --recursive &amp; "%USERPROFILE%\Documents\GitHub\mrs-test-scripts\Headless Mode &amp; Sideloading\WalkAndUnGZ.bat" "%USERPROFILE%\AppData\Local\Temp\OnboardLogs"\RTDC4008\2016-09-01</v>
      </c>
      <c r="AF177" s="96" t="str">
        <f t="shared" si="75"/>
        <v>"C:\Program Files (x86)\AstroGrep\AstroGrep.exe" /spath="%USERPROFILE%\AppData\Local\Temp\OnboardLogs" /stypes="*4008*20160831*" /stext=" 18:.+((SYSTEM_STATE.+slice.+state.+changed )|(ment ac)|(system.+state.+changed )|(\|lc)|(penalty)|(\[timeout)|(PRM\|1\|D)|(kpr)|(kdp))" /e /r /s</v>
      </c>
      <c r="AG177" s="1" t="str">
        <f t="shared" si="102"/>
        <v>NW</v>
      </c>
      <c r="AH177" s="100" t="str">
        <f t="shared" si="86"/>
        <v>"%USERPROFILE%\Documents\GitHub\eaglep3\Utilities\RefineRTDCRunTimes.py" --tripid 820-31 --locoid 4008 --swversion DE.1.0.7.0 --startMP 300:58656 --initTime 2016-08-31T12:36:52 --startdatetime 2016-08-31T12:39:12 --delay 1 --endMP 204:678 --enddatetime 2016-08-31T12:54:35 --enforcementcount 0 &gt;&gt;C:\Users\stu\Documents\GitHub\eaglep3-reporting\EC\2016-08-31-refined-times.txt</v>
      </c>
      <c r="AI177" s="149" t="str">
        <f t="shared" si="87"/>
        <v>echo {"issue":{"subject":"","project_id":79,"tracker_id":40,"status_id":1,"priority_id":2,"assigned_to_id":23,"start_date":"2016-08-31","description":"","custom_fields":[{"id":1,"name":"Subdivision","value":"NW"},{"id":4,"name":"Milepost","value":"5.7978"},{"id":17,"name":"Train ID","value":"820-31"},{"id":16,"name":"Locomotive ID","value":"4008"},{"id":130,"name":"Impact","value":""},{"id":150,"name":"Time of Event (Mountain Time)","value":"12:54:35"},{"id":151,"name":"Denver Issue ID","value":""},{"id":178,"name":"Operational Impact","value":"Yes"},{"id":179,"name":"Denver Segment Assigned","value":""}]}} | curl -X POST -H "Content-Type: application/json" -H "X-Redmine-API-Key: d6333d4a04012a730768444271f8ca06482dae87" https://secure.xorail.net/redmine/issues.json --data @-</v>
      </c>
      <c r="AJ177" s="55"/>
      <c r="AK177" s="55"/>
      <c r="AL177" s="55"/>
    </row>
    <row r="178" spans="1:38" x14ac:dyDescent="0.25">
      <c r="A178" s="39" t="s">
        <v>642</v>
      </c>
      <c r="B178" s="7">
        <v>4007</v>
      </c>
      <c r="C178" s="24" t="s">
        <v>113</v>
      </c>
      <c r="D178" s="24" t="s">
        <v>643</v>
      </c>
      <c r="E178" s="15">
        <v>42613.549907407411</v>
      </c>
      <c r="F178" s="15">
        <v>42613.556539351855</v>
      </c>
      <c r="G178" s="7">
        <v>1</v>
      </c>
      <c r="H178" s="15" t="s">
        <v>359</v>
      </c>
      <c r="I178" s="15">
        <v>42613.56653935185</v>
      </c>
      <c r="J178" s="7">
        <v>0</v>
      </c>
      <c r="K178" s="132" t="str">
        <f t="shared" si="94"/>
        <v>4007/4008</v>
      </c>
      <c r="L178" s="24" t="str">
        <f>VLOOKUP(A178,'Trips&amp;Operators'!$C$1:$E$10000,3,FALSE)</f>
        <v>MOSES</v>
      </c>
      <c r="M178" s="6">
        <f t="shared" si="95"/>
        <v>9.9999999947613105E-3</v>
      </c>
      <c r="N178" s="7">
        <f t="shared" si="91"/>
        <v>14.399999992456287</v>
      </c>
      <c r="O178" s="7"/>
      <c r="P178" s="7"/>
      <c r="Q178" s="25"/>
      <c r="R178" s="25"/>
      <c r="S178" s="37">
        <f t="shared" si="93"/>
        <v>1</v>
      </c>
      <c r="T178" s="52" t="str">
        <f t="shared" si="96"/>
        <v>NorthBound</v>
      </c>
      <c r="U178" s="126">
        <f>IF(AG178="EC",COUNTIFS(Variables!$M$2:$M$19,IF(T178="NorthBound","&gt;=","&lt;=")&amp;Y178,Variables!$M$2:$M$19,IF(T178="NorthBound","&lt;=","&gt;=")&amp;Z178),COUNTIFS(Variables!$P$2:$P$19,IF(T178="NorthBound","&gt;=","&lt;=")&amp;Y178,Variables!$P$2:$P$19,IF(T178="NorthBound","&lt;=","&gt;=")&amp;Z178))</f>
        <v>1</v>
      </c>
      <c r="V178" s="106" t="str">
        <f t="shared" si="97"/>
        <v>https://search-rtdc-monitor-bjffxe2xuh6vdkpspy63sjmuny.us-east-1.es.amazonaws.com/_plugin/kibana/#/discover/Steve-Slow-Train-Analysis-(2080s-and-2083s)?_g=(refreshInterval:(display:Off,section:0,value:0),time:(from:'2016-08-31 12:11:52-0600',mode:absolute,to:'2016-08-31 14:35:49-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4007%22')),sort:!(Time,asc))</v>
      </c>
      <c r="W178" s="54" t="str">
        <f t="shared" si="98"/>
        <v>N</v>
      </c>
      <c r="X178" s="120">
        <f t="shared" si="90"/>
        <v>1</v>
      </c>
      <c r="Y178" s="69">
        <f t="shared" si="99"/>
        <v>9.7900000000000001E-2</v>
      </c>
      <c r="Z178" s="69">
        <f t="shared" si="92"/>
        <v>5.8992000000000004</v>
      </c>
      <c r="AA178" s="69">
        <f t="shared" si="100"/>
        <v>5.8013000000000003</v>
      </c>
      <c r="AB178" s="66" t="e">
        <f>VLOOKUP(A178,Enforcements!$C$7:$J$21,8,0)</f>
        <v>#N/A</v>
      </c>
      <c r="AC178" s="62" t="e">
        <f>VLOOKUP(A178,Enforcements!$C$7:$E$21,3,0)</f>
        <v>#N/A</v>
      </c>
      <c r="AD178" s="63" t="str">
        <f t="shared" si="101"/>
        <v>0821-31</v>
      </c>
      <c r="AE178" s="99" t="str">
        <f t="shared" si="74"/>
        <v>aws s3 cp s3://rtdc.mdm.uploadarchive/RTDC4007/2016-08-31/ "%USERPROFILE%\AppData\Local\Temp\OnboardLogs"\RTDC4007\2016-08-31 --recursive &amp; "%USERPROFILE%\Documents\GitHub\mrs-test-scripts\Headless Mode &amp; Sideloading\WalkAndUnGZ.bat" "%USERPROFILE%\AppData\Local\Temp\OnboardLogs"\RTDC4007\2016-08-31 &amp; aws s3 cp s3://rtdc.mdm.uploadarchive/RTDC4007/2016-09-01/ "%USERPROFILE%\AppData\Local\Temp\OnboardLogs"\RTDC4007\2016-09-01 --recursive &amp; "%USERPROFILE%\Documents\GitHub\mrs-test-scripts\Headless Mode &amp; Sideloading\WalkAndUnGZ.bat" "%USERPROFILE%\AppData\Local\Temp\OnboardLogs"\RTDC4007\2016-09-01</v>
      </c>
      <c r="AF178" s="96" t="str">
        <f t="shared" si="75"/>
        <v>"C:\Program Files (x86)\AstroGrep\AstroGrep.exe" /spath="%USERPROFILE%\AppData\Local\Temp\OnboardLogs" /stypes="*4007*20160831*" /stext=" 19:.+((SYSTEM_STATE.+slice.+state.+changed )|(ment ac)|(system.+state.+changed )|(\|lc)|(penalty)|(\[timeout)|(PRM\|1\|D)|(kpr)|(kdp))" /e /r /s</v>
      </c>
      <c r="AG178" s="1" t="str">
        <f t="shared" si="102"/>
        <v>NW</v>
      </c>
      <c r="AH178" s="100" t="str">
        <f t="shared" si="86"/>
        <v>"%USERPROFILE%\Documents\GitHub\eaglep3\Utilities\RefineRTDCRunTimes.py" --tripid 821-31 --locoid 4007 --swversion DE.1.0.7.0 --startMP 204:979 --initTime 2016-08-31T13:11:52 --startdatetime 2016-08-31T13:21:25 --delay 1 --endMP 300:58992 --enddatetime 2016-08-31T13:35:49 --enforcementcount 0 &gt;&gt;C:\Users\stu\Documents\GitHub\eaglep3-reporting\EC\2016-08-31-refined-times.txt</v>
      </c>
      <c r="AI178" s="149" t="str">
        <f t="shared" si="87"/>
        <v>echo {"issue":{"subject":"","project_id":79,"tracker_id":40,"status_id":1,"priority_id":2,"assigned_to_id":23,"start_date":"2016-08-31","description":"","custom_fields":[{"id":1,"name":"Subdivision","value":"NW"},{"id":4,"name":"Milepost","value":"5.8013"},{"id":17,"name":"Train ID","value":"821-31"},{"id":16,"name":"Locomotive ID","value":"4007"},{"id":130,"name":"Impact","value":""},{"id":150,"name":"Time of Event (Mountain Time)","value":"13:35:49"},{"id":151,"name":"Denver Issue ID","value":""},{"id":178,"name":"Operational Impact","value":"Yes"},{"id":179,"name":"Denver Segment Assigned","value":""}]}} | curl -X POST -H "Content-Type: application/json" -H "X-Redmine-API-Key: d6333d4a04012a730768444271f8ca06482dae87" https://secure.xorail.net/redmine/issues.json --data @-</v>
      </c>
      <c r="AJ178" s="55"/>
      <c r="AK178" s="55"/>
      <c r="AL178" s="55"/>
    </row>
    <row r="179" spans="1:38" s="23" customFormat="1" x14ac:dyDescent="0.25">
      <c r="A179" s="39" t="s">
        <v>644</v>
      </c>
      <c r="B179" s="7">
        <v>4008</v>
      </c>
      <c r="C179" s="24" t="s">
        <v>113</v>
      </c>
      <c r="D179" s="24" t="s">
        <v>645</v>
      </c>
      <c r="E179" s="15">
        <v>42613.568009259259</v>
      </c>
      <c r="F179" s="15">
        <v>42613.569756944446</v>
      </c>
      <c r="G179" s="7">
        <v>1</v>
      </c>
      <c r="H179" s="15" t="s">
        <v>362</v>
      </c>
      <c r="I179" s="15">
        <v>42613.580509259256</v>
      </c>
      <c r="J179" s="7">
        <v>0</v>
      </c>
      <c r="K179" s="132" t="str">
        <f t="shared" si="94"/>
        <v>4007/4008</v>
      </c>
      <c r="L179" s="24" t="str">
        <f>VLOOKUP(A179,'Trips&amp;Operators'!$C$1:$E$10000,3,FALSE)</f>
        <v>MOSES</v>
      </c>
      <c r="M179" s="6">
        <f t="shared" si="95"/>
        <v>1.0752314810815733E-2</v>
      </c>
      <c r="N179" s="7">
        <f t="shared" si="91"/>
        <v>15.483333327574655</v>
      </c>
      <c r="O179" s="7"/>
      <c r="P179" s="7"/>
      <c r="Q179" s="25"/>
      <c r="R179" s="25"/>
      <c r="S179" s="37">
        <f t="shared" si="93"/>
        <v>1</v>
      </c>
      <c r="T179" s="52" t="str">
        <f t="shared" si="96"/>
        <v>Southbound</v>
      </c>
      <c r="U179" s="126">
        <f>IF(AG179="EC",COUNTIFS(Variables!$M$2:$M$19,IF(T179="NorthBound","&gt;=","&lt;=")&amp;Y179,Variables!$M$2:$M$19,IF(T179="NorthBound","&lt;=","&gt;=")&amp;Z179),COUNTIFS(Variables!$P$2:$P$19,IF(T179="NorthBound","&gt;=","&lt;=")&amp;Y179,Variables!$P$2:$P$19,IF(T179="NorthBound","&lt;=","&gt;=")&amp;Z179))</f>
        <v>1</v>
      </c>
      <c r="V179" s="106" t="str">
        <f t="shared" si="97"/>
        <v>https://search-rtdc-monitor-bjffxe2xuh6vdkpspy63sjmuny.us-east-1.es.amazonaws.com/_plugin/kibana/#/discover/Steve-Slow-Train-Analysis-(2080s-and-2083s)?_g=(refreshInterval:(display:Off,section:0,value:0),time:(from:'2016-08-31 12:37:56-0600',mode:absolute,to:'2016-08-31 14:55:56-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4008%22')),sort:!(Time,asc))</v>
      </c>
      <c r="W179" s="54" t="str">
        <f t="shared" si="98"/>
        <v>N</v>
      </c>
      <c r="X179" s="120">
        <f t="shared" si="90"/>
        <v>1</v>
      </c>
      <c r="Y179" s="69">
        <f t="shared" si="99"/>
        <v>5.8673999999999999</v>
      </c>
      <c r="Z179" s="69">
        <f t="shared" si="92"/>
        <v>6.3500000000000001E-2</v>
      </c>
      <c r="AA179" s="69">
        <f t="shared" si="100"/>
        <v>5.8038999999999996</v>
      </c>
      <c r="AB179" s="66" t="e">
        <f>VLOOKUP(A179,Enforcements!$C$7:$J$21,8,0)</f>
        <v>#N/A</v>
      </c>
      <c r="AC179" s="62" t="e">
        <f>VLOOKUP(A179,Enforcements!$C$7:$E$21,3,0)</f>
        <v>#N/A</v>
      </c>
      <c r="AD179" s="63" t="str">
        <f t="shared" si="101"/>
        <v>0822-31</v>
      </c>
      <c r="AE179" s="99" t="str">
        <f t="shared" si="74"/>
        <v>aws s3 cp s3://rtdc.mdm.uploadarchive/RTDC4008/2016-08-31/ "%USERPROFILE%\AppData\Local\Temp\OnboardLogs"\RTDC4008\2016-08-31 --recursive &amp; "%USERPROFILE%\Documents\GitHub\mrs-test-scripts\Headless Mode &amp; Sideloading\WalkAndUnGZ.bat" "%USERPROFILE%\AppData\Local\Temp\OnboardLogs"\RTDC4008\2016-08-31 &amp; aws s3 cp s3://rtdc.mdm.uploadarchive/RTDC4008/2016-09-01/ "%USERPROFILE%\AppData\Local\Temp\OnboardLogs"\RTDC4008\2016-09-01 --recursive &amp; "%USERPROFILE%\Documents\GitHub\mrs-test-scripts\Headless Mode &amp; Sideloading\WalkAndUnGZ.bat" "%USERPROFILE%\AppData\Local\Temp\OnboardLogs"\RTDC4008\2016-09-01</v>
      </c>
      <c r="AF179" s="96" t="str">
        <f t="shared" si="75"/>
        <v>"C:\Program Files (x86)\AstroGrep\AstroGrep.exe" /spath="%USERPROFILE%\AppData\Local\Temp\OnboardLogs" /stypes="*4008*20160831*" /stext=" 19:.+((SYSTEM_STATE.+slice.+state.+changed )|(ment ac)|(system.+state.+changed )|(\|lc)|(penalty)|(\[timeout)|(PRM\|1\|D)|(kpr)|(kdp))" /e /r /s</v>
      </c>
      <c r="AG179" s="1" t="str">
        <f t="shared" si="102"/>
        <v>NW</v>
      </c>
      <c r="AH179" s="100" t="str">
        <f t="shared" si="86"/>
        <v>"%USERPROFILE%\Documents\GitHub\eaglep3\Utilities\RefineRTDCRunTimes.py" --tripid 822-31 --locoid 4008 --swversion DE.1.0.7.0 --startMP 300:58674 --initTime 2016-08-31T13:37:56 --startdatetime 2016-08-31T13:40:27 --delay 1 --endMP 204:635 --enddatetime 2016-08-31T13:55:56 --enforcementcount 0 &gt;&gt;C:\Users\stu\Documents\GitHub\eaglep3-reporting\EC\2016-08-31-refined-times.txt</v>
      </c>
      <c r="AI179" s="149" t="str">
        <f t="shared" si="87"/>
        <v>echo {"issue":{"subject":"","project_id":79,"tracker_id":40,"status_id":1,"priority_id":2,"assigned_to_id":23,"start_date":"2016-08-31","description":"","custom_fields":[{"id":1,"name":"Subdivision","value":"NW"},{"id":4,"name":"Milepost","value":"5.8039"},{"id":17,"name":"Train ID","value":"822-31"},{"id":16,"name":"Locomotive ID","value":"4008"},{"id":130,"name":"Impact","value":""},{"id":150,"name":"Time of Event (Mountain Time)","value":"13:55:56"},{"id":151,"name":"Denver Issue ID","value":""},{"id":178,"name":"Operational Impact","value":"Yes"},{"id":179,"name":"Denver Segment Assigned","value":""}]}} | curl -X POST -H "Content-Type: application/json" -H "X-Redmine-API-Key: d6333d4a04012a730768444271f8ca06482dae87" https://secure.xorail.net/redmine/issues.json --data @-</v>
      </c>
      <c r="AJ179" s="55"/>
      <c r="AK179" s="55"/>
      <c r="AL179" s="55"/>
    </row>
    <row r="180" spans="1:38" x14ac:dyDescent="0.25">
      <c r="A180" s="39" t="s">
        <v>646</v>
      </c>
      <c r="B180" s="7">
        <v>4007</v>
      </c>
      <c r="C180" s="24" t="s">
        <v>113</v>
      </c>
      <c r="D180" s="24" t="s">
        <v>647</v>
      </c>
      <c r="E180" s="15">
        <v>42613.590439814812</v>
      </c>
      <c r="F180" s="15">
        <v>42613.598101851851</v>
      </c>
      <c r="G180" s="7">
        <v>1</v>
      </c>
      <c r="H180" s="15" t="s">
        <v>648</v>
      </c>
      <c r="I180" s="15">
        <v>42613.607789351852</v>
      </c>
      <c r="J180" s="7">
        <v>0</v>
      </c>
      <c r="K180" s="132" t="str">
        <f t="shared" si="94"/>
        <v>4007/4008</v>
      </c>
      <c r="L180" s="24" t="str">
        <f>VLOOKUP(A180,'Trips&amp;Operators'!$C$1:$E$10000,3,FALSE)</f>
        <v>MOSES</v>
      </c>
      <c r="M180" s="6">
        <f t="shared" si="95"/>
        <v>9.6875000017462298E-3</v>
      </c>
      <c r="N180" s="7">
        <f t="shared" si="91"/>
        <v>13.950000002514571</v>
      </c>
      <c r="O180" s="7"/>
      <c r="P180" s="7"/>
      <c r="Q180" s="25"/>
      <c r="R180" s="25"/>
      <c r="S180" s="37">
        <f t="shared" si="93"/>
        <v>1</v>
      </c>
      <c r="T180" s="52" t="str">
        <f t="shared" si="96"/>
        <v>NorthBound</v>
      </c>
      <c r="U180" s="126">
        <f>IF(AG180="EC",COUNTIFS(Variables!$M$2:$M$19,IF(T180="NorthBound","&gt;=","&lt;=")&amp;Y180,Variables!$M$2:$M$19,IF(T180="NorthBound","&lt;=","&gt;=")&amp;Z180),COUNTIFS(Variables!$P$2:$P$19,IF(T180="NorthBound","&gt;=","&lt;=")&amp;Y180,Variables!$P$2:$P$19,IF(T180="NorthBound","&lt;=","&gt;=")&amp;Z180))</f>
        <v>1</v>
      </c>
      <c r="V180" s="106" t="str">
        <f t="shared" si="97"/>
        <v>https://search-rtdc-monitor-bjffxe2xuh6vdkpspy63sjmuny.us-east-1.es.amazonaws.com/_plugin/kibana/#/discover/Steve-Slow-Train-Analysis-(2080s-and-2083s)?_g=(refreshInterval:(display:Off,section:0,value:0),time:(from:'2016-08-31 13:10:14-0600',mode:absolute,to:'2016-08-31 15:35:13-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4007%22')),sort:!(Time,asc))</v>
      </c>
      <c r="W180" s="54" t="str">
        <f t="shared" si="98"/>
        <v>N</v>
      </c>
      <c r="X180" s="120">
        <f t="shared" si="90"/>
        <v>1</v>
      </c>
      <c r="Y180" s="69">
        <f t="shared" si="99"/>
        <v>9.2499999999999999E-2</v>
      </c>
      <c r="Z180" s="69">
        <f t="shared" si="92"/>
        <v>5.899</v>
      </c>
      <c r="AA180" s="69">
        <f t="shared" si="100"/>
        <v>5.8064999999999998</v>
      </c>
      <c r="AB180" s="66" t="e">
        <f>VLOOKUP(A180,Enforcements!$C$7:$J$21,8,0)</f>
        <v>#N/A</v>
      </c>
      <c r="AC180" s="62" t="e">
        <f>VLOOKUP(A180,Enforcements!$C$7:$E$21,3,0)</f>
        <v>#N/A</v>
      </c>
      <c r="AD180" s="63" t="str">
        <f t="shared" si="101"/>
        <v>0823-31</v>
      </c>
      <c r="AE180" s="99" t="str">
        <f t="shared" si="74"/>
        <v>aws s3 cp s3://rtdc.mdm.uploadarchive/RTDC4007/2016-08-31/ "%USERPROFILE%\AppData\Local\Temp\OnboardLogs"\RTDC4007\2016-08-31 --recursive &amp; "%USERPROFILE%\Documents\GitHub\mrs-test-scripts\Headless Mode &amp; Sideloading\WalkAndUnGZ.bat" "%USERPROFILE%\AppData\Local\Temp\OnboardLogs"\RTDC4007\2016-08-31 &amp; aws s3 cp s3://rtdc.mdm.uploadarchive/RTDC4007/2016-09-01/ "%USERPROFILE%\AppData\Local\Temp\OnboardLogs"\RTDC4007\2016-09-01 --recursive &amp; "%USERPROFILE%\Documents\GitHub\mrs-test-scripts\Headless Mode &amp; Sideloading\WalkAndUnGZ.bat" "%USERPROFILE%\AppData\Local\Temp\OnboardLogs"\RTDC4007\2016-09-01</v>
      </c>
      <c r="AF180" s="96" t="str">
        <f t="shared" si="75"/>
        <v>"C:\Program Files (x86)\AstroGrep\AstroGrep.exe" /spath="%USERPROFILE%\AppData\Local\Temp\OnboardLogs" /stypes="*4007*20160831*" /stext=" 20:.+((SYSTEM_STATE.+slice.+state.+changed )|(ment ac)|(system.+state.+changed )|(\|lc)|(penalty)|(\[timeout)|(PRM\|1\|D)|(kpr)|(kdp))" /e /r /s</v>
      </c>
      <c r="AG180" s="1" t="str">
        <f t="shared" si="102"/>
        <v>NW</v>
      </c>
      <c r="AH180" s="100" t="str">
        <f t="shared" si="86"/>
        <v>"%USERPROFILE%\Documents\GitHub\eaglep3\Utilities\RefineRTDCRunTimes.py" --tripid 823-31 --locoid 4007 --swversion DE.1.0.7.0 --startMP 204:925 --initTime 2016-08-31T14:10:14 --startdatetime 2016-08-31T14:21:16 --delay 1 --endMP 300:58990 --enddatetime 2016-08-31T14:35:13 --enforcementcount 0 &gt;&gt;C:\Users\stu\Documents\GitHub\eaglep3-reporting\EC\2016-08-31-refined-times.txt</v>
      </c>
      <c r="AI180" s="149" t="str">
        <f t="shared" si="87"/>
        <v>echo {"issue":{"subject":"","project_id":79,"tracker_id":40,"status_id":1,"priority_id":2,"assigned_to_id":23,"start_date":"2016-08-31","description":"","custom_fields":[{"id":1,"name":"Subdivision","value":"NW"},{"id":4,"name":"Milepost","value":"5.8065"},{"id":17,"name":"Train ID","value":"823-31"},{"id":16,"name":"Locomotive ID","value":"4007"},{"id":130,"name":"Impact","value":""},{"id":150,"name":"Time of Event (Mountain Time)","value":"14:35:13"},{"id":151,"name":"Denver Issue ID","value":""},{"id":178,"name":"Operational Impact","value":"Yes"},{"id":179,"name":"Denver Segment Assigned","value":""}]}} | curl -X POST -H "Content-Type: application/json" -H "X-Redmine-API-Key: d6333d4a04012a730768444271f8ca06482dae87" https://secure.xorail.net/redmine/issues.json --data @-</v>
      </c>
      <c r="AJ180" s="55"/>
      <c r="AK180" s="55"/>
      <c r="AL180" s="55"/>
    </row>
    <row r="181" spans="1:38" s="23" customFormat="1" x14ac:dyDescent="0.25">
      <c r="A181" s="39" t="s">
        <v>649</v>
      </c>
      <c r="B181" s="7">
        <v>4008</v>
      </c>
      <c r="C181" s="24" t="s">
        <v>113</v>
      </c>
      <c r="D181" s="24" t="s">
        <v>360</v>
      </c>
      <c r="E181" s="15">
        <v>42613.609097222223</v>
      </c>
      <c r="F181" s="15">
        <v>42613.610914351855</v>
      </c>
      <c r="G181" s="7">
        <v>1</v>
      </c>
      <c r="H181" s="15" t="s">
        <v>650</v>
      </c>
      <c r="I181" s="15">
        <v>42613.621423611112</v>
      </c>
      <c r="J181" s="7">
        <v>0</v>
      </c>
      <c r="K181" s="132" t="str">
        <f t="shared" si="94"/>
        <v>4007/4008</v>
      </c>
      <c r="L181" s="24" t="str">
        <f>VLOOKUP(A181,'Trips&amp;Operators'!$C$1:$E$10000,3,FALSE)</f>
        <v>MOSES</v>
      </c>
      <c r="M181" s="6">
        <f t="shared" si="95"/>
        <v>1.0509259256650694E-2</v>
      </c>
      <c r="N181" s="7">
        <f t="shared" si="91"/>
        <v>15.133333329576999</v>
      </c>
      <c r="O181" s="7"/>
      <c r="P181" s="7"/>
      <c r="Q181" s="25"/>
      <c r="R181" s="25"/>
      <c r="S181" s="37">
        <f t="shared" si="93"/>
        <v>1</v>
      </c>
      <c r="T181" s="52" t="str">
        <f t="shared" si="96"/>
        <v>Southbound</v>
      </c>
      <c r="U181" s="126">
        <f>IF(AG181="EC",COUNTIFS(Variables!$M$2:$M$19,IF(T181="NorthBound","&gt;=","&lt;=")&amp;Y181,Variables!$M$2:$M$19,IF(T181="NorthBound","&lt;=","&gt;=")&amp;Z181),COUNTIFS(Variables!$P$2:$P$19,IF(T181="NorthBound","&gt;=","&lt;=")&amp;Y181,Variables!$P$2:$P$19,IF(T181="NorthBound","&lt;=","&gt;=")&amp;Z181))</f>
        <v>1</v>
      </c>
      <c r="V181" s="106" t="str">
        <f t="shared" si="97"/>
        <v>https://search-rtdc-monitor-bjffxe2xuh6vdkpspy63sjmuny.us-east-1.es.amazonaws.com/_plugin/kibana/#/discover/Steve-Slow-Train-Analysis-(2080s-and-2083s)?_g=(refreshInterval:(display:Off,section:0,value:0),time:(from:'2016-08-31 13:37:06-0600',mode:absolute,to:'2016-08-31 15:54:51-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4008%22')),sort:!(Time,asc))</v>
      </c>
      <c r="W181" s="54" t="str">
        <f t="shared" si="98"/>
        <v>N</v>
      </c>
      <c r="X181" s="120">
        <f t="shared" si="90"/>
        <v>1</v>
      </c>
      <c r="Y181" s="69">
        <f t="shared" si="99"/>
        <v>5.8667999999999996</v>
      </c>
      <c r="Z181" s="69">
        <f t="shared" si="92"/>
        <v>6.2899999999999998E-2</v>
      </c>
      <c r="AA181" s="69">
        <f t="shared" si="100"/>
        <v>5.8038999999999996</v>
      </c>
      <c r="AB181" s="66" t="e">
        <f>VLOOKUP(A181,Enforcements!$C$7:$J$21,8,0)</f>
        <v>#N/A</v>
      </c>
      <c r="AC181" s="62" t="e">
        <f>VLOOKUP(A181,Enforcements!$C$7:$E$21,3,0)</f>
        <v>#N/A</v>
      </c>
      <c r="AD181" s="63" t="str">
        <f t="shared" si="101"/>
        <v>0824-31</v>
      </c>
      <c r="AE181" s="99" t="str">
        <f t="shared" si="74"/>
        <v>aws s3 cp s3://rtdc.mdm.uploadarchive/RTDC4008/2016-08-31/ "%USERPROFILE%\AppData\Local\Temp\OnboardLogs"\RTDC4008\2016-08-31 --recursive &amp; "%USERPROFILE%\Documents\GitHub\mrs-test-scripts\Headless Mode &amp; Sideloading\WalkAndUnGZ.bat" "%USERPROFILE%\AppData\Local\Temp\OnboardLogs"\RTDC4008\2016-08-31 &amp; aws s3 cp s3://rtdc.mdm.uploadarchive/RTDC4008/2016-09-01/ "%USERPROFILE%\AppData\Local\Temp\OnboardLogs"\RTDC4008\2016-09-01 --recursive &amp; "%USERPROFILE%\Documents\GitHub\mrs-test-scripts\Headless Mode &amp; Sideloading\WalkAndUnGZ.bat" "%USERPROFILE%\AppData\Local\Temp\OnboardLogs"\RTDC4008\2016-09-01</v>
      </c>
      <c r="AF181" s="96" t="str">
        <f t="shared" si="75"/>
        <v>"C:\Program Files (x86)\AstroGrep\AstroGrep.exe" /spath="%USERPROFILE%\AppData\Local\Temp\OnboardLogs" /stypes="*4008*20160831*" /stext=" 20:.+((SYSTEM_STATE.+slice.+state.+changed )|(ment ac)|(system.+state.+changed )|(\|lc)|(penalty)|(\[timeout)|(PRM\|1\|D)|(kpr)|(kdp))" /e /r /s</v>
      </c>
      <c r="AG181" s="1" t="str">
        <f t="shared" si="102"/>
        <v>NW</v>
      </c>
      <c r="AH181" s="100" t="str">
        <f t="shared" si="86"/>
        <v>"%USERPROFILE%\Documents\GitHub\eaglep3\Utilities\RefineRTDCRunTimes.py" --tripid 824-31 --locoid 4008 --swversion DE.1.0.7.0 --startMP 300:58668 --initTime 2016-08-31T14:37:06 --startdatetime 2016-08-31T14:39:43 --delay 1 --endMP 204:629 --enddatetime 2016-08-31T14:54:51 --enforcementcount 0 &gt;&gt;C:\Users\stu\Documents\GitHub\eaglep3-reporting\EC\2016-08-31-refined-times.txt</v>
      </c>
      <c r="AI181" s="149" t="str">
        <f t="shared" si="87"/>
        <v>echo {"issue":{"subject":"","project_id":79,"tracker_id":40,"status_id":1,"priority_id":2,"assigned_to_id":23,"start_date":"2016-08-31","description":"","custom_fields":[{"id":1,"name":"Subdivision","value":"NW"},{"id":4,"name":"Milepost","value":"5.8039"},{"id":17,"name":"Train ID","value":"824-31"},{"id":16,"name":"Locomotive ID","value":"4008"},{"id":130,"name":"Impact","value":""},{"id":150,"name":"Time of Event (Mountain Time)","value":"14:54:51"},{"id":151,"name":"Denver Issue ID","value":""},{"id":178,"name":"Operational Impact","value":"Yes"},{"id":179,"name":"Denver Segment Assigned","value":""}]}} | curl -X POST -H "Content-Type: application/json" -H "X-Redmine-API-Key: d6333d4a04012a730768444271f8ca06482dae87" https://secure.xorail.net/redmine/issues.json --data @-</v>
      </c>
      <c r="AJ181" s="55"/>
      <c r="AK181" s="55"/>
      <c r="AL181" s="55"/>
    </row>
    <row r="182" spans="1:38" s="23" customFormat="1" x14ac:dyDescent="0.25">
      <c r="A182" s="39" t="s">
        <v>651</v>
      </c>
      <c r="B182" s="7">
        <v>4007</v>
      </c>
      <c r="C182" s="24" t="s">
        <v>113</v>
      </c>
      <c r="D182" s="24" t="s">
        <v>652</v>
      </c>
      <c r="E182" s="15">
        <v>42613.636145833334</v>
      </c>
      <c r="F182" s="15">
        <v>42613.639837962961</v>
      </c>
      <c r="G182" s="7">
        <v>1</v>
      </c>
      <c r="H182" s="15" t="s">
        <v>653</v>
      </c>
      <c r="I182" s="15">
        <v>42613.650185185186</v>
      </c>
      <c r="J182" s="7">
        <v>0</v>
      </c>
      <c r="K182" s="132" t="str">
        <f t="shared" si="94"/>
        <v>4007/4008</v>
      </c>
      <c r="L182" s="24" t="str">
        <f>VLOOKUP(A182,'Trips&amp;Operators'!$C$1:$E$10000,3,FALSE)</f>
        <v>MOSES</v>
      </c>
      <c r="M182" s="6">
        <f t="shared" si="95"/>
        <v>1.0347222225391306E-2</v>
      </c>
      <c r="N182" s="7">
        <f t="shared" si="91"/>
        <v>14.900000004563481</v>
      </c>
      <c r="O182" s="7"/>
      <c r="P182" s="7"/>
      <c r="Q182" s="25"/>
      <c r="R182" s="25"/>
      <c r="S182" s="37">
        <f t="shared" si="93"/>
        <v>1</v>
      </c>
      <c r="T182" s="52" t="str">
        <f t="shared" si="96"/>
        <v>NorthBound</v>
      </c>
      <c r="U182" s="126">
        <f>IF(AG182="EC",COUNTIFS(Variables!$M$2:$M$19,IF(T182="NorthBound","&gt;=","&lt;=")&amp;Y182,Variables!$M$2:$M$19,IF(T182="NorthBound","&lt;=","&gt;=")&amp;Z182),COUNTIFS(Variables!$P$2:$P$19,IF(T182="NorthBound","&gt;=","&lt;=")&amp;Y182,Variables!$P$2:$P$19,IF(T182="NorthBound","&lt;=","&gt;=")&amp;Z182))</f>
        <v>1</v>
      </c>
      <c r="V182" s="106" t="str">
        <f t="shared" si="97"/>
        <v>https://search-rtdc-monitor-bjffxe2xuh6vdkpspy63sjmuny.us-east-1.es.amazonaws.com/_plugin/kibana/#/discover/Steve-Slow-Train-Analysis-(2080s-and-2083s)?_g=(refreshInterval:(display:Off,section:0,value:0),time:(from:'2016-08-31 14:16:03-0600',mode:absolute,to:'2016-08-31 16:36:16-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4007%22')),sort:!(Time,asc))</v>
      </c>
      <c r="W182" s="54" t="str">
        <f t="shared" si="98"/>
        <v>N</v>
      </c>
      <c r="X182" s="120">
        <f t="shared" si="90"/>
        <v>1</v>
      </c>
      <c r="Y182" s="69">
        <f t="shared" si="99"/>
        <v>9.3899999999999997E-2</v>
      </c>
      <c r="Z182" s="69">
        <f t="shared" si="92"/>
        <v>5.9001000000000001</v>
      </c>
      <c r="AA182" s="69">
        <f t="shared" si="100"/>
        <v>5.8062000000000005</v>
      </c>
      <c r="AB182" s="66" t="e">
        <f>VLOOKUP(A182,Enforcements!$C$7:$J$21,8,0)</f>
        <v>#N/A</v>
      </c>
      <c r="AC182" s="62" t="e">
        <f>VLOOKUP(A182,Enforcements!$C$7:$E$21,3,0)</f>
        <v>#N/A</v>
      </c>
      <c r="AD182" s="63" t="str">
        <f t="shared" si="101"/>
        <v>0825-31</v>
      </c>
      <c r="AE182" s="99" t="str">
        <f t="shared" si="74"/>
        <v>aws s3 cp s3://rtdc.mdm.uploadarchive/RTDC4007/2016-08-31/ "%USERPROFILE%\AppData\Local\Temp\OnboardLogs"\RTDC4007\2016-08-31 --recursive &amp; "%USERPROFILE%\Documents\GitHub\mrs-test-scripts\Headless Mode &amp; Sideloading\WalkAndUnGZ.bat" "%USERPROFILE%\AppData\Local\Temp\OnboardLogs"\RTDC4007\2016-08-31 &amp; aws s3 cp s3://rtdc.mdm.uploadarchive/RTDC4007/2016-09-01/ "%USERPROFILE%\AppData\Local\Temp\OnboardLogs"\RTDC4007\2016-09-01 --recursive &amp; "%USERPROFILE%\Documents\GitHub\mrs-test-scripts\Headless Mode &amp; Sideloading\WalkAndUnGZ.bat" "%USERPROFILE%\AppData\Local\Temp\OnboardLogs"\RTDC4007\2016-09-01</v>
      </c>
      <c r="AF182" s="96" t="str">
        <f t="shared" si="75"/>
        <v>"C:\Program Files (x86)\AstroGrep\AstroGrep.exe" /spath="%USERPROFILE%\AppData\Local\Temp\OnboardLogs" /stypes="*4007*20160831*" /stext=" 21:.+((SYSTEM_STATE.+slice.+state.+changed )|(ment ac)|(system.+state.+changed )|(\|lc)|(penalty)|(\[timeout)|(PRM\|1\|D)|(kpr)|(kdp))" /e /r /s</v>
      </c>
      <c r="AG182" s="1" t="str">
        <f t="shared" si="102"/>
        <v>NW</v>
      </c>
      <c r="AH182" s="100" t="str">
        <f t="shared" si="86"/>
        <v>"%USERPROFILE%\Documents\GitHub\eaglep3\Utilities\RefineRTDCRunTimes.py" --tripid 825-31 --locoid 4007 --swversion DE.1.0.7.0 --startMP 204:939 --initTime 2016-08-31T15:16:03 --startdatetime 2016-08-31T15:21:22 --delay 1 --endMP 300:59001 --enddatetime 2016-08-31T15:36:16 --enforcementcount 0 &gt;&gt;C:\Users\stu\Documents\GitHub\eaglep3-reporting\EC\2016-08-31-refined-times.txt</v>
      </c>
      <c r="AI182" s="149" t="str">
        <f t="shared" si="87"/>
        <v>echo {"issue":{"subject":"","project_id":79,"tracker_id":40,"status_id":1,"priority_id":2,"assigned_to_id":23,"start_date":"2016-08-31","description":"","custom_fields":[{"id":1,"name":"Subdivision","value":"NW"},{"id":4,"name":"Milepost","value":"5.8062"},{"id":17,"name":"Train ID","value":"825-31"},{"id":16,"name":"Locomotive ID","value":"4007"},{"id":130,"name":"Impact","value":""},{"id":150,"name":"Time of Event (Mountain Time)","value":"15:36:16"},{"id":151,"name":"Denver Issue ID","value":""},{"id":178,"name":"Operational Impact","value":"Yes"},{"id":179,"name":"Denver Segment Assigned","value":""}]}} | curl -X POST -H "Content-Type: application/json" -H "X-Redmine-API-Key: d6333d4a04012a730768444271f8ca06482dae87" https://secure.xorail.net/redmine/issues.json --data @-</v>
      </c>
      <c r="AJ182" s="55"/>
      <c r="AK182" s="55"/>
      <c r="AL182" s="55"/>
    </row>
    <row r="183" spans="1:38" s="23" customFormat="1" x14ac:dyDescent="0.25">
      <c r="A183" s="39" t="s">
        <v>654</v>
      </c>
      <c r="B183" s="7">
        <v>4008</v>
      </c>
      <c r="C183" s="24" t="s">
        <v>113</v>
      </c>
      <c r="D183" s="24" t="s">
        <v>655</v>
      </c>
      <c r="E183" s="15">
        <v>42613.65152777778</v>
      </c>
      <c r="F183" s="15">
        <v>42613.652986111112</v>
      </c>
      <c r="G183" s="7">
        <v>1</v>
      </c>
      <c r="H183" s="15" t="s">
        <v>656</v>
      </c>
      <c r="I183" s="15">
        <v>42613.663923611108</v>
      </c>
      <c r="J183" s="7">
        <v>0</v>
      </c>
      <c r="K183" s="132" t="str">
        <f t="shared" si="94"/>
        <v>4007/4008</v>
      </c>
      <c r="L183" s="24" t="str">
        <f>VLOOKUP(A183,'Trips&amp;Operators'!$C$1:$E$10000,3,FALSE)</f>
        <v>MOSES</v>
      </c>
      <c r="M183" s="6">
        <f t="shared" si="95"/>
        <v>1.0937499995634425E-2</v>
      </c>
      <c r="N183" s="7">
        <f t="shared" si="91"/>
        <v>15.749999993713573</v>
      </c>
      <c r="O183" s="7"/>
      <c r="P183" s="7"/>
      <c r="Q183" s="25"/>
      <c r="R183" s="25"/>
      <c r="S183" s="37">
        <f t="shared" si="93"/>
        <v>1</v>
      </c>
      <c r="T183" s="52" t="str">
        <f t="shared" si="96"/>
        <v>Southbound</v>
      </c>
      <c r="U183" s="126">
        <f>IF(AG183="EC",COUNTIFS(Variables!$M$2:$M$19,IF(T183="NorthBound","&gt;=","&lt;=")&amp;Y183,Variables!$M$2:$M$19,IF(T183="NorthBound","&lt;=","&gt;=")&amp;Z183),COUNTIFS(Variables!$P$2:$P$19,IF(T183="NorthBound","&gt;=","&lt;=")&amp;Y183,Variables!$P$2:$P$19,IF(T183="NorthBound","&lt;=","&gt;=")&amp;Z183))</f>
        <v>1</v>
      </c>
      <c r="V183" s="106" t="str">
        <f t="shared" si="97"/>
        <v>https://search-rtdc-monitor-bjffxe2xuh6vdkpspy63sjmuny.us-east-1.es.amazonaws.com/_plugin/kibana/#/discover/Steve-Slow-Train-Analysis-(2080s-and-2083s)?_g=(refreshInterval:(display:Off,section:0,value:0),time:(from:'2016-08-31 14:38:12-0600',mode:absolute,to:'2016-08-31 16:56:03-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4008%22')),sort:!(Time,asc))</v>
      </c>
      <c r="W183" s="54" t="str">
        <f t="shared" si="98"/>
        <v>N</v>
      </c>
      <c r="X183" s="120">
        <f t="shared" ref="X183:X214" si="103">VALUE(LEFT(AD183,4))-VALUE(LEFT(AD182,4))</f>
        <v>1</v>
      </c>
      <c r="Y183" s="69">
        <f t="shared" si="99"/>
        <v>5.8685</v>
      </c>
      <c r="Z183" s="69">
        <f t="shared" si="92"/>
        <v>7.0499999999999993E-2</v>
      </c>
      <c r="AA183" s="69">
        <f t="shared" si="100"/>
        <v>5.798</v>
      </c>
      <c r="AB183" s="66" t="e">
        <f>VLOOKUP(A183,Enforcements!$C$7:$J$21,8,0)</f>
        <v>#N/A</v>
      </c>
      <c r="AC183" s="62" t="e">
        <f>VLOOKUP(A183,Enforcements!$C$7:$E$21,3,0)</f>
        <v>#N/A</v>
      </c>
      <c r="AD183" s="63" t="str">
        <f t="shared" si="101"/>
        <v>0826-31</v>
      </c>
      <c r="AE183" s="99" t="str">
        <f t="shared" si="74"/>
        <v>aws s3 cp s3://rtdc.mdm.uploadarchive/RTDC4008/2016-08-31/ "%USERPROFILE%\AppData\Local\Temp\OnboardLogs"\RTDC4008\2016-08-31 --recursive &amp; "%USERPROFILE%\Documents\GitHub\mrs-test-scripts\Headless Mode &amp; Sideloading\WalkAndUnGZ.bat" "%USERPROFILE%\AppData\Local\Temp\OnboardLogs"\RTDC4008\2016-08-31 &amp; aws s3 cp s3://rtdc.mdm.uploadarchive/RTDC4008/2016-09-01/ "%USERPROFILE%\AppData\Local\Temp\OnboardLogs"\RTDC4008\2016-09-01 --recursive &amp; "%USERPROFILE%\Documents\GitHub\mrs-test-scripts\Headless Mode &amp; Sideloading\WalkAndUnGZ.bat" "%USERPROFILE%\AppData\Local\Temp\OnboardLogs"\RTDC4008\2016-09-01</v>
      </c>
      <c r="AF183" s="96" t="str">
        <f t="shared" si="75"/>
        <v>"C:\Program Files (x86)\AstroGrep\AstroGrep.exe" /spath="%USERPROFILE%\AppData\Local\Temp\OnboardLogs" /stypes="*4008*20160831*" /stext=" 21:.+((SYSTEM_STATE.+slice.+state.+changed )|(ment ac)|(system.+state.+changed )|(\|lc)|(penalty)|(\[timeout)|(PRM\|1\|D)|(kpr)|(kdp))" /e /r /s</v>
      </c>
      <c r="AG183" s="1" t="str">
        <f t="shared" si="102"/>
        <v>NW</v>
      </c>
      <c r="AH183" s="100" t="str">
        <f t="shared" si="86"/>
        <v>"%USERPROFILE%\Documents\GitHub\eaglep3\Utilities\RefineRTDCRunTimes.py" --tripid 826-31 --locoid 4008 --swversion DE.1.0.7.0 --startMP 300:58685 --initTime 2016-08-31T15:38:12 --startdatetime 2016-08-31T15:40:18 --delay 1 --endMP 204:705 --enddatetime 2016-08-31T15:56:03 --enforcementcount 0 &gt;&gt;C:\Users\stu\Documents\GitHub\eaglep3-reporting\EC\2016-08-31-refined-times.txt</v>
      </c>
      <c r="AI183" s="149" t="str">
        <f t="shared" si="87"/>
        <v>echo {"issue":{"subject":"","project_id":79,"tracker_id":40,"status_id":1,"priority_id":2,"assigned_to_id":23,"start_date":"2016-08-31","description":"","custom_fields":[{"id":1,"name":"Subdivision","value":"NW"},{"id":4,"name":"Milepost","value":"5.798"},{"id":17,"name":"Train ID","value":"826-31"},{"id":16,"name":"Locomotive ID","value":"4008"},{"id":130,"name":"Impact","value":""},{"id":150,"name":"Time of Event (Mountain Time)","value":"15:56:03"},{"id":151,"name":"Denver Issue ID","value":""},{"id":178,"name":"Operational Impact","value":"Yes"},{"id":179,"name":"Denver Segment Assigned","value":""}]}} | curl -X POST -H "Content-Type: application/json" -H "X-Redmine-API-Key: d6333d4a04012a730768444271f8ca06482dae87" https://secure.xorail.net/redmine/issues.json --data @-</v>
      </c>
      <c r="AJ183" s="55"/>
      <c r="AK183" s="55"/>
      <c r="AL183" s="55"/>
    </row>
    <row r="184" spans="1:38" s="23" customFormat="1" x14ac:dyDescent="0.25">
      <c r="A184" s="39" t="s">
        <v>657</v>
      </c>
      <c r="B184" s="7">
        <v>4031</v>
      </c>
      <c r="C184" s="24" t="s">
        <v>113</v>
      </c>
      <c r="D184" s="24" t="s">
        <v>658</v>
      </c>
      <c r="E184" s="15">
        <v>42613.656331018516</v>
      </c>
      <c r="F184" s="15">
        <v>42613.660613425927</v>
      </c>
      <c r="G184" s="7">
        <v>1</v>
      </c>
      <c r="H184" s="15" t="s">
        <v>659</v>
      </c>
      <c r="I184" s="15">
        <v>42613.671944444446</v>
      </c>
      <c r="J184" s="7">
        <v>0</v>
      </c>
      <c r="K184" s="132" t="str">
        <f t="shared" si="94"/>
        <v>4031/4032</v>
      </c>
      <c r="L184" s="24" t="str">
        <f>VLOOKUP(A184,'Trips&amp;Operators'!$C$1:$E$10000,3,FALSE)</f>
        <v>HILLS</v>
      </c>
      <c r="M184" s="6">
        <f t="shared" si="95"/>
        <v>1.1331018518831115E-2</v>
      </c>
      <c r="N184" s="7">
        <f t="shared" si="91"/>
        <v>16.316666667116806</v>
      </c>
      <c r="O184" s="7"/>
      <c r="P184" s="7"/>
      <c r="Q184" s="25"/>
      <c r="R184" s="25"/>
      <c r="S184" s="37">
        <f t="shared" si="93"/>
        <v>1</v>
      </c>
      <c r="T184" s="52" t="str">
        <f t="shared" si="96"/>
        <v>NorthBound</v>
      </c>
      <c r="U184" s="126">
        <f>IF(AG184="EC",COUNTIFS(Variables!$M$2:$M$19,IF(T184="NorthBound","&gt;=","&lt;=")&amp;Y184,Variables!$M$2:$M$19,IF(T184="NorthBound","&lt;=","&gt;=")&amp;Z184),COUNTIFS(Variables!$P$2:$P$19,IF(T184="NorthBound","&gt;=","&lt;=")&amp;Y184,Variables!$P$2:$P$19,IF(T184="NorthBound","&lt;=","&gt;=")&amp;Z184))</f>
        <v>1</v>
      </c>
      <c r="V184" s="106" t="str">
        <f t="shared" si="97"/>
        <v>https://search-rtdc-monitor-bjffxe2xuh6vdkpspy63sjmuny.us-east-1.es.amazonaws.com/_plugin/kibana/#/discover/Steve-Slow-Train-Analysis-(2080s-and-2083s)?_g=(refreshInterval:(display:Off,section:0,value:0),time:(from:'2016-08-31 14:45:07-0600',mode:absolute,to:'2016-08-31 17:07:36-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4031%22')),sort:!(Time,asc))</v>
      </c>
      <c r="W184" s="54" t="str">
        <f t="shared" si="98"/>
        <v>N</v>
      </c>
      <c r="X184" s="120">
        <f t="shared" si="103"/>
        <v>1</v>
      </c>
      <c r="Y184" s="69">
        <f t="shared" si="99"/>
        <v>9.8799999999999999E-2</v>
      </c>
      <c r="Z184" s="69">
        <f t="shared" si="92"/>
        <v>5.8986000000000001</v>
      </c>
      <c r="AA184" s="69">
        <f t="shared" si="100"/>
        <v>5.7998000000000003</v>
      </c>
      <c r="AB184" s="66" t="e">
        <f>VLOOKUP(A184,Enforcements!$C$7:$J$21,8,0)</f>
        <v>#N/A</v>
      </c>
      <c r="AC184" s="62" t="e">
        <f>VLOOKUP(A184,Enforcements!$C$7:$E$21,3,0)</f>
        <v>#N/A</v>
      </c>
      <c r="AD184" s="63" t="str">
        <f t="shared" si="101"/>
        <v>0827-31</v>
      </c>
      <c r="AE184" s="99" t="str">
        <f t="shared" si="74"/>
        <v>aws s3 cp s3://rtdc.mdm.uploadarchive/RTDC4031/2016-08-31/ "%USERPROFILE%\AppData\Local\Temp\OnboardLogs"\RTDC4031\2016-08-31 --recursive &amp; "%USERPROFILE%\Documents\GitHub\mrs-test-scripts\Headless Mode &amp; Sideloading\WalkAndUnGZ.bat" "%USERPROFILE%\AppData\Local\Temp\OnboardLogs"\RTDC4031\2016-08-31 &amp; aws s3 cp s3://rtdc.mdm.uploadarchive/RTDC4031/2016-09-01/ "%USERPROFILE%\AppData\Local\Temp\OnboardLogs"\RTDC4031\2016-09-01 --recursive &amp; "%USERPROFILE%\Documents\GitHub\mrs-test-scripts\Headless Mode &amp; Sideloading\WalkAndUnGZ.bat" "%USERPROFILE%\AppData\Local\Temp\OnboardLogs"\RTDC4031\2016-09-01</v>
      </c>
      <c r="AF184" s="96" t="str">
        <f t="shared" si="75"/>
        <v>"C:\Program Files (x86)\AstroGrep\AstroGrep.exe" /spath="%USERPROFILE%\AppData\Local\Temp\OnboardLogs" /stypes="*4031*20160831*" /stext=" 22:.+((SYSTEM_STATE.+slice.+state.+changed )|(ment ac)|(system.+state.+changed )|(\|lc)|(penalty)|(\[timeout)|(PRM\|1\|D)|(kpr)|(kdp))" /e /r /s</v>
      </c>
      <c r="AG184" s="1" t="str">
        <f t="shared" si="102"/>
        <v>NW</v>
      </c>
      <c r="AH184" s="100" t="str">
        <f t="shared" si="86"/>
        <v>"%USERPROFILE%\Documents\GitHub\eaglep3\Utilities\RefineRTDCRunTimes.py" --tripid 827-31 --locoid 4031 --swversion DE.1.0.7.0 --startMP 204:988 --initTime 2016-08-31T15:45:07 --startdatetime 2016-08-31T15:51:17 --delay 1 --endMP 300:58986 --enddatetime 2016-08-31T16:07:36 --enforcementcount 0 &gt;&gt;C:\Users\stu\Documents\GitHub\eaglep3-reporting\EC\2016-08-31-refined-times.txt</v>
      </c>
      <c r="AI184" s="149" t="str">
        <f t="shared" si="87"/>
        <v>echo {"issue":{"subject":"","project_id":79,"tracker_id":40,"status_id":1,"priority_id":2,"assigned_to_id":23,"start_date":"2016-08-31","description":"","custom_fields":[{"id":1,"name":"Subdivision","value":"NW"},{"id":4,"name":"Milepost","value":"5.7998"},{"id":17,"name":"Train ID","value":"827-31"},{"id":16,"name":"Locomotive ID","value":"4031"},{"id":130,"name":"Impact","value":""},{"id":150,"name":"Time of Event (Mountain Time)","value":"16:07:36"},{"id":151,"name":"Denver Issue ID","value":""},{"id":178,"name":"Operational Impact","value":"Yes"},{"id":179,"name":"Denver Segment Assigned","value":""}]}} | curl -X POST -H "Content-Type: application/json" -H "X-Redmine-API-Key: d6333d4a04012a730768444271f8ca06482dae87" https://secure.xorail.net/redmine/issues.json --data @-</v>
      </c>
      <c r="AJ184" s="55"/>
      <c r="AK184" s="55"/>
      <c r="AL184" s="55"/>
    </row>
    <row r="185" spans="1:38" s="23" customFormat="1" x14ac:dyDescent="0.25">
      <c r="A185" s="39" t="s">
        <v>660</v>
      </c>
      <c r="B185" s="7">
        <v>4032</v>
      </c>
      <c r="C185" s="24" t="s">
        <v>113</v>
      </c>
      <c r="D185" s="24" t="s">
        <v>661</v>
      </c>
      <c r="E185" s="15">
        <v>42613.673125000001</v>
      </c>
      <c r="F185" s="15">
        <v>42613.674583333333</v>
      </c>
      <c r="G185" s="7">
        <v>1</v>
      </c>
      <c r="H185" s="15" t="s">
        <v>662</v>
      </c>
      <c r="I185" s="15">
        <v>42613.685115740744</v>
      </c>
      <c r="J185" s="7">
        <v>0</v>
      </c>
      <c r="K185" s="132" t="str">
        <f t="shared" si="94"/>
        <v>4031/4032</v>
      </c>
      <c r="L185" s="24" t="str">
        <f>VLOOKUP(A185,'Trips&amp;Operators'!$C$1:$E$10000,3,FALSE)</f>
        <v>HILLS</v>
      </c>
      <c r="M185" s="6">
        <f t="shared" si="95"/>
        <v>1.0532407410209998E-2</v>
      </c>
      <c r="N185" s="7">
        <f t="shared" si="91"/>
        <v>15.166666670702398</v>
      </c>
      <c r="O185" s="7"/>
      <c r="P185" s="7"/>
      <c r="Q185" s="25"/>
      <c r="R185" s="25"/>
      <c r="S185" s="37">
        <f t="shared" si="93"/>
        <v>1</v>
      </c>
      <c r="T185" s="52" t="str">
        <f t="shared" si="96"/>
        <v>Southbound</v>
      </c>
      <c r="U185" s="126">
        <f>IF(AG185="EC",COUNTIFS(Variables!$M$2:$M$19,IF(T185="NorthBound","&gt;=","&lt;=")&amp;Y185,Variables!$M$2:$M$19,IF(T185="NorthBound","&lt;=","&gt;=")&amp;Z185),COUNTIFS(Variables!$P$2:$P$19,IF(T185="NorthBound","&gt;=","&lt;=")&amp;Y185,Variables!$P$2:$P$19,IF(T185="NorthBound","&lt;=","&gt;=")&amp;Z185))</f>
        <v>1</v>
      </c>
      <c r="V185" s="106" t="str">
        <f t="shared" si="97"/>
        <v>https://search-rtdc-monitor-bjffxe2xuh6vdkpspy63sjmuny.us-east-1.es.amazonaws.com/_plugin/kibana/#/discover/Steve-Slow-Train-Analysis-(2080s-and-2083s)?_g=(refreshInterval:(display:Off,section:0,value:0),time:(from:'2016-08-31 15:09:18-0600',mode:absolute,to:'2016-08-31 17:26:34-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4032%22')),sort:!(Time,asc))</v>
      </c>
      <c r="W185" s="54" t="str">
        <f t="shared" si="98"/>
        <v>N</v>
      </c>
      <c r="X185" s="120">
        <f t="shared" si="103"/>
        <v>1</v>
      </c>
      <c r="Y185" s="69">
        <f t="shared" si="99"/>
        <v>5.867</v>
      </c>
      <c r="Z185" s="69">
        <f t="shared" si="92"/>
        <v>6.5699999999999995E-2</v>
      </c>
      <c r="AA185" s="69">
        <f t="shared" si="100"/>
        <v>5.8013000000000003</v>
      </c>
      <c r="AB185" s="66" t="e">
        <f>VLOOKUP(A185,Enforcements!$C$7:$J$21,8,0)</f>
        <v>#N/A</v>
      </c>
      <c r="AC185" s="62" t="e">
        <f>VLOOKUP(A185,Enforcements!$C$7:$E$21,3,0)</f>
        <v>#N/A</v>
      </c>
      <c r="AD185" s="63" t="str">
        <f t="shared" si="101"/>
        <v>0828-31</v>
      </c>
      <c r="AE185" s="99" t="str">
        <f t="shared" si="74"/>
        <v>aws s3 cp s3://rtdc.mdm.uploadarchive/RTDC4032/2016-08-31/ "%USERPROFILE%\AppData\Local\Temp\OnboardLogs"\RTDC4032\2016-08-31 --recursive &amp; "%USERPROFILE%\Documents\GitHub\mrs-test-scripts\Headless Mode &amp; Sideloading\WalkAndUnGZ.bat" "%USERPROFILE%\AppData\Local\Temp\OnboardLogs"\RTDC4032\2016-08-31 &amp; aws s3 cp s3://rtdc.mdm.uploadarchive/RTDC4032/2016-09-01/ "%USERPROFILE%\AppData\Local\Temp\OnboardLogs"\RTDC4032\2016-09-01 --recursive &amp; "%USERPROFILE%\Documents\GitHub\mrs-test-scripts\Headless Mode &amp; Sideloading\WalkAndUnGZ.bat" "%USERPROFILE%\AppData\Local\Temp\OnboardLogs"\RTDC4032\2016-09-01</v>
      </c>
      <c r="AF185" s="96" t="str">
        <f t="shared" si="75"/>
        <v>"C:\Program Files (x86)\AstroGrep\AstroGrep.exe" /spath="%USERPROFILE%\AppData\Local\Temp\OnboardLogs" /stypes="*4032*20160831*" /stext=" 22:.+((SYSTEM_STATE.+slice.+state.+changed )|(ment ac)|(system.+state.+changed )|(\|lc)|(penalty)|(\[timeout)|(PRM\|1\|D)|(kpr)|(kdp))" /e /r /s</v>
      </c>
      <c r="AG185" s="1" t="str">
        <f t="shared" si="102"/>
        <v>NW</v>
      </c>
      <c r="AH185" s="100" t="str">
        <f t="shared" si="86"/>
        <v>"%USERPROFILE%\Documents\GitHub\eaglep3\Utilities\RefineRTDCRunTimes.py" --tripid 828-31 --locoid 4032 --swversion DE.1.0.7.0 --startMP 300:58670 --initTime 2016-08-31T16:09:18 --startdatetime 2016-08-31T16:11:24 --delay 1 --endMP 204:657 --enddatetime 2016-08-31T16:26:34 --enforcementcount 0 &gt;&gt;C:\Users\stu\Documents\GitHub\eaglep3-reporting\EC\2016-08-31-refined-times.txt</v>
      </c>
      <c r="AI185" s="149" t="str">
        <f t="shared" si="87"/>
        <v>echo {"issue":{"subject":"","project_id":79,"tracker_id":40,"status_id":1,"priority_id":2,"assigned_to_id":23,"start_date":"2016-08-31","description":"","custom_fields":[{"id":1,"name":"Subdivision","value":"NW"},{"id":4,"name":"Milepost","value":"5.8013"},{"id":17,"name":"Train ID","value":"828-31"},{"id":16,"name":"Locomotive ID","value":"4032"},{"id":130,"name":"Impact","value":""},{"id":150,"name":"Time of Event (Mountain Time)","value":"16:26:34"},{"id":151,"name":"Denver Issue ID","value":""},{"id":178,"name":"Operational Impact","value":"Yes"},{"id":179,"name":"Denver Segment Assigned","value":""}]}} | curl -X POST -H "Content-Type: application/json" -H "X-Redmine-API-Key: d6333d4a04012a730768444271f8ca06482dae87" https://secure.xorail.net/redmine/issues.json --data @-</v>
      </c>
      <c r="AJ185" s="55"/>
      <c r="AK185" s="55"/>
      <c r="AL185" s="55"/>
    </row>
    <row r="186" spans="1:38" x14ac:dyDescent="0.25">
      <c r="A186" s="39" t="s">
        <v>663</v>
      </c>
      <c r="B186" s="7">
        <v>4007</v>
      </c>
      <c r="C186" s="24" t="s">
        <v>113</v>
      </c>
      <c r="D186" s="24" t="s">
        <v>664</v>
      </c>
      <c r="E186" s="15">
        <v>42613.676840277774</v>
      </c>
      <c r="F186" s="15">
        <v>42613.681875000002</v>
      </c>
      <c r="G186" s="7">
        <v>1</v>
      </c>
      <c r="H186" s="15" t="s">
        <v>665</v>
      </c>
      <c r="I186" s="15">
        <v>42613.691793981481</v>
      </c>
      <c r="J186" s="7">
        <v>0</v>
      </c>
      <c r="K186" s="132" t="str">
        <f t="shared" si="94"/>
        <v>4007/4008</v>
      </c>
      <c r="L186" s="24" t="str">
        <f>VLOOKUP(A186,'Trips&amp;Operators'!$C$1:$E$10000,3,FALSE)</f>
        <v>MOSES</v>
      </c>
      <c r="M186" s="6">
        <f t="shared" si="95"/>
        <v>9.9189814791316167E-3</v>
      </c>
      <c r="N186" s="7">
        <f t="shared" si="91"/>
        <v>14.283333329949528</v>
      </c>
      <c r="O186" s="7"/>
      <c r="P186" s="7"/>
      <c r="Q186" s="25"/>
      <c r="R186" s="25"/>
      <c r="S186" s="37">
        <f t="shared" si="93"/>
        <v>1</v>
      </c>
      <c r="T186" s="52" t="str">
        <f t="shared" si="96"/>
        <v>NorthBound</v>
      </c>
      <c r="U186" s="126">
        <f>IF(AG186="EC",COUNTIFS(Variables!$M$2:$M$19,IF(T186="NorthBound","&gt;=","&lt;=")&amp;Y186,Variables!$M$2:$M$19,IF(T186="NorthBound","&lt;=","&gt;=")&amp;Z186),COUNTIFS(Variables!$P$2:$P$19,IF(T186="NorthBound","&gt;=","&lt;=")&amp;Y186,Variables!$P$2:$P$19,IF(T186="NorthBound","&lt;=","&gt;=")&amp;Z186))</f>
        <v>1</v>
      </c>
      <c r="V186" s="106" t="str">
        <f t="shared" si="97"/>
        <v>https://search-rtdc-monitor-bjffxe2xuh6vdkpspy63sjmuny.us-east-1.es.amazonaws.com/_plugin/kibana/#/discover/Steve-Slow-Train-Analysis-(2080s-and-2083s)?_g=(refreshInterval:(display:Off,section:0,value:0),time:(from:'2016-08-31 15:14:39-0600',mode:absolute,to:'2016-08-31 17:36:11-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4007%22')),sort:!(Time,asc))</v>
      </c>
      <c r="W186" s="54" t="str">
        <f t="shared" si="98"/>
        <v>N</v>
      </c>
      <c r="X186" s="120">
        <f t="shared" si="103"/>
        <v>1</v>
      </c>
      <c r="Y186" s="69">
        <f t="shared" si="99"/>
        <v>9.8299999999999998E-2</v>
      </c>
      <c r="Z186" s="69">
        <f t="shared" si="92"/>
        <v>5.9006999999999996</v>
      </c>
      <c r="AA186" s="69">
        <f t="shared" si="100"/>
        <v>5.8023999999999996</v>
      </c>
      <c r="AB186" s="66" t="e">
        <f>VLOOKUP(A186,Enforcements!$C$7:$J$21,8,0)</f>
        <v>#N/A</v>
      </c>
      <c r="AC186" s="62" t="e">
        <f>VLOOKUP(A186,Enforcements!$C$7:$E$21,3,0)</f>
        <v>#N/A</v>
      </c>
      <c r="AD186" s="63" t="str">
        <f t="shared" si="101"/>
        <v>0829-31</v>
      </c>
      <c r="AE186" s="99" t="str">
        <f t="shared" si="74"/>
        <v>aws s3 cp s3://rtdc.mdm.uploadarchive/RTDC4007/2016-08-31/ "%USERPROFILE%\AppData\Local\Temp\OnboardLogs"\RTDC4007\2016-08-31 --recursive &amp; "%USERPROFILE%\Documents\GitHub\mrs-test-scripts\Headless Mode &amp; Sideloading\WalkAndUnGZ.bat" "%USERPROFILE%\AppData\Local\Temp\OnboardLogs"\RTDC4007\2016-08-31 &amp; aws s3 cp s3://rtdc.mdm.uploadarchive/RTDC4007/2016-09-01/ "%USERPROFILE%\AppData\Local\Temp\OnboardLogs"\RTDC4007\2016-09-01 --recursive &amp; "%USERPROFILE%\Documents\GitHub\mrs-test-scripts\Headless Mode &amp; Sideloading\WalkAndUnGZ.bat" "%USERPROFILE%\AppData\Local\Temp\OnboardLogs"\RTDC4007\2016-09-01</v>
      </c>
      <c r="AF186" s="96" t="str">
        <f t="shared" si="75"/>
        <v>"C:\Program Files (x86)\AstroGrep\AstroGrep.exe" /spath="%USERPROFILE%\AppData\Local\Temp\OnboardLogs" /stypes="*4007*20160831*" /stext=" 22:.+((SYSTEM_STATE.+slice.+state.+changed )|(ment ac)|(system.+state.+changed )|(\|lc)|(penalty)|(\[timeout)|(PRM\|1\|D)|(kpr)|(kdp))" /e /r /s</v>
      </c>
      <c r="AG186" s="1" t="str">
        <f t="shared" si="102"/>
        <v>NW</v>
      </c>
      <c r="AH186" s="100" t="str">
        <f t="shared" si="86"/>
        <v>"%USERPROFILE%\Documents\GitHub\eaglep3\Utilities\RefineRTDCRunTimes.py" --tripid 829-31 --locoid 4007 --swversion DE.1.0.7.0 --startMP 204:983 --initTime 2016-08-31T16:14:39 --startdatetime 2016-08-31T16:21:54 --delay 1 --endMP 300:59007 --enddatetime 2016-08-31T16:36:11 --enforcementcount 0 &gt;&gt;C:\Users\stu\Documents\GitHub\eaglep3-reporting\EC\2016-08-31-refined-times.txt</v>
      </c>
      <c r="AI186" s="149" t="str">
        <f t="shared" si="87"/>
        <v>echo {"issue":{"subject":"","project_id":79,"tracker_id":40,"status_id":1,"priority_id":2,"assigned_to_id":23,"start_date":"2016-08-31","description":"","custom_fields":[{"id":1,"name":"Subdivision","value":"NW"},{"id":4,"name":"Milepost","value":"5.8024"},{"id":17,"name":"Train ID","value":"829-31"},{"id":16,"name":"Locomotive ID","value":"4007"},{"id":130,"name":"Impact","value":""},{"id":150,"name":"Time of Event (Mountain Time)","value":"16:36:11"},{"id":151,"name":"Denver Issue ID","value":""},{"id":178,"name":"Operational Impact","value":"Yes"},{"id":179,"name":"Denver Segment Assigned","value":""}]}} | curl -X POST -H "Content-Type: application/json" -H "X-Redmine-API-Key: d6333d4a04012a730768444271f8ca06482dae87" https://secure.xorail.net/redmine/issues.json --data @-</v>
      </c>
      <c r="AJ186" s="55"/>
      <c r="AK186" s="55"/>
      <c r="AL186" s="55"/>
    </row>
    <row r="187" spans="1:38" x14ac:dyDescent="0.25">
      <c r="A187" s="39" t="s">
        <v>666</v>
      </c>
      <c r="B187" s="7">
        <v>4008</v>
      </c>
      <c r="C187" s="24" t="s">
        <v>113</v>
      </c>
      <c r="D187" s="24" t="s">
        <v>667</v>
      </c>
      <c r="E187" s="15">
        <v>42613.692939814813</v>
      </c>
      <c r="F187" s="15">
        <v>42613.694664351853</v>
      </c>
      <c r="G187" s="7">
        <v>1</v>
      </c>
      <c r="H187" s="15" t="s">
        <v>668</v>
      </c>
      <c r="I187" s="15">
        <v>42613.706134259257</v>
      </c>
      <c r="J187" s="7">
        <v>0</v>
      </c>
      <c r="K187" s="132" t="str">
        <f t="shared" si="94"/>
        <v>4007/4008</v>
      </c>
      <c r="L187" s="24" t="str">
        <f>VLOOKUP(A187,'Trips&amp;Operators'!$C$1:$E$10000,3,FALSE)</f>
        <v>MOSES</v>
      </c>
      <c r="M187" s="6">
        <f t="shared" si="95"/>
        <v>1.1469907403807156E-2</v>
      </c>
      <c r="N187" s="7">
        <f t="shared" si="91"/>
        <v>16.516666661482304</v>
      </c>
      <c r="O187" s="7"/>
      <c r="P187" s="7"/>
      <c r="Q187" s="25"/>
      <c r="R187" s="25"/>
      <c r="S187" s="37">
        <f t="shared" si="93"/>
        <v>1</v>
      </c>
      <c r="T187" s="52" t="str">
        <f t="shared" si="96"/>
        <v>Southbound</v>
      </c>
      <c r="U187" s="126">
        <f>IF(AG187="EC",COUNTIFS(Variables!$M$2:$M$19,IF(T187="NorthBound","&gt;=","&lt;=")&amp;Y187,Variables!$M$2:$M$19,IF(T187="NorthBound","&lt;=","&gt;=")&amp;Z187),COUNTIFS(Variables!$P$2:$P$19,IF(T187="NorthBound","&gt;=","&lt;=")&amp;Y187,Variables!$P$2:$P$19,IF(T187="NorthBound","&lt;=","&gt;=")&amp;Z187))</f>
        <v>1</v>
      </c>
      <c r="V187" s="106" t="str">
        <f t="shared" si="97"/>
        <v>https://search-rtdc-monitor-bjffxe2xuh6vdkpspy63sjmuny.us-east-1.es.amazonaws.com/_plugin/kibana/#/discover/Steve-Slow-Train-Analysis-(2080s-and-2083s)?_g=(refreshInterval:(display:Off,section:0,value:0),time:(from:'2016-08-31 15:37:50-0600',mode:absolute,to:'2016-08-31 17:56:50-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4008%22')),sort:!(Time,asc))</v>
      </c>
      <c r="W187" s="54" t="str">
        <f t="shared" si="98"/>
        <v>N</v>
      </c>
      <c r="X187" s="120">
        <f t="shared" si="103"/>
        <v>1</v>
      </c>
      <c r="Y187" s="69">
        <f t="shared" si="99"/>
        <v>5.8693999999999997</v>
      </c>
      <c r="Z187" s="69">
        <f t="shared" si="92"/>
        <v>6.7000000000000004E-2</v>
      </c>
      <c r="AA187" s="69">
        <f t="shared" si="100"/>
        <v>5.8023999999999996</v>
      </c>
      <c r="AB187" s="66" t="e">
        <f>VLOOKUP(A187,Enforcements!$C$7:$J$21,8,0)</f>
        <v>#N/A</v>
      </c>
      <c r="AC187" s="62" t="e">
        <f>VLOOKUP(A187,Enforcements!$C$7:$E$21,3,0)</f>
        <v>#N/A</v>
      </c>
      <c r="AD187" s="63" t="str">
        <f t="shared" si="101"/>
        <v>0830-31</v>
      </c>
      <c r="AE187" s="99" t="str">
        <f t="shared" si="74"/>
        <v>aws s3 cp s3://rtdc.mdm.uploadarchive/RTDC4008/2016-08-31/ "%USERPROFILE%\AppData\Local\Temp\OnboardLogs"\RTDC4008\2016-08-31 --recursive &amp; "%USERPROFILE%\Documents\GitHub\mrs-test-scripts\Headless Mode &amp; Sideloading\WalkAndUnGZ.bat" "%USERPROFILE%\AppData\Local\Temp\OnboardLogs"\RTDC4008\2016-08-31 &amp; aws s3 cp s3://rtdc.mdm.uploadarchive/RTDC4008/2016-09-01/ "%USERPROFILE%\AppData\Local\Temp\OnboardLogs"\RTDC4008\2016-09-01 --recursive &amp; "%USERPROFILE%\Documents\GitHub\mrs-test-scripts\Headless Mode &amp; Sideloading\WalkAndUnGZ.bat" "%USERPROFILE%\AppData\Local\Temp\OnboardLogs"\RTDC4008\2016-09-01</v>
      </c>
      <c r="AF187" s="96" t="str">
        <f t="shared" si="75"/>
        <v>"C:\Program Files (x86)\AstroGrep\AstroGrep.exe" /spath="%USERPROFILE%\AppData\Local\Temp\OnboardLogs" /stypes="*4008*20160831*" /stext=" 22:.+((SYSTEM_STATE.+slice.+state.+changed )|(ment ac)|(system.+state.+changed )|(\|lc)|(penalty)|(\[timeout)|(PRM\|1\|D)|(kpr)|(kdp))" /e /r /s</v>
      </c>
      <c r="AG187" s="1" t="str">
        <f t="shared" si="102"/>
        <v>NW</v>
      </c>
      <c r="AH187" s="100" t="str">
        <f t="shared" si="86"/>
        <v>"%USERPROFILE%\Documents\GitHub\eaglep3\Utilities\RefineRTDCRunTimes.py" --tripid 830-31 --locoid 4008 --swversion DE.1.0.7.0 --startMP 300:58694 --initTime 2016-08-31T16:37:50 --startdatetime 2016-08-31T16:40:19 --delay 1 --endMP 204:670 --enddatetime 2016-08-31T16:56:50 --enforcementcount 0 &gt;&gt;C:\Users\stu\Documents\GitHub\eaglep3-reporting\EC\2016-08-31-refined-times.txt</v>
      </c>
      <c r="AI187" s="149" t="str">
        <f t="shared" si="87"/>
        <v>echo {"issue":{"subject":"","project_id":79,"tracker_id":40,"status_id":1,"priority_id":2,"assigned_to_id":23,"start_date":"2016-08-31","description":"","custom_fields":[{"id":1,"name":"Subdivision","value":"NW"},{"id":4,"name":"Milepost","value":"5.8024"},{"id":17,"name":"Train ID","value":"830-31"},{"id":16,"name":"Locomotive ID","value":"4008"},{"id":130,"name":"Impact","value":""},{"id":150,"name":"Time of Event (Mountain Time)","value":"16:56:50"},{"id":151,"name":"Denver Issue ID","value":""},{"id":178,"name":"Operational Impact","value":"Yes"},{"id":179,"name":"Denver Segment Assigned","value":""}]}} | curl -X POST -H "Content-Type: application/json" -H "X-Redmine-API-Key: d6333d4a04012a730768444271f8ca06482dae87" https://secure.xorail.net/redmine/issues.json --data @-</v>
      </c>
      <c r="AJ187" s="55"/>
      <c r="AK187" s="55"/>
      <c r="AL187" s="55"/>
    </row>
    <row r="188" spans="1:38" s="23" customFormat="1" x14ac:dyDescent="0.25">
      <c r="A188" s="39" t="s">
        <v>669</v>
      </c>
      <c r="B188" s="7">
        <v>4031</v>
      </c>
      <c r="C188" s="24" t="s">
        <v>113</v>
      </c>
      <c r="D188" s="24" t="s">
        <v>670</v>
      </c>
      <c r="E188" s="15">
        <v>42613.690868055557</v>
      </c>
      <c r="F188" s="15">
        <v>42613.702256944445</v>
      </c>
      <c r="G188" s="7">
        <v>1</v>
      </c>
      <c r="H188" s="15" t="s">
        <v>671</v>
      </c>
      <c r="I188" s="15">
        <v>42613.712731481479</v>
      </c>
      <c r="J188" s="7">
        <v>0</v>
      </c>
      <c r="K188" s="132" t="str">
        <f t="shared" si="94"/>
        <v>4031/4032</v>
      </c>
      <c r="L188" s="24" t="str">
        <f>VLOOKUP(A188,'Trips&amp;Operators'!$C$1:$E$10000,3,FALSE)</f>
        <v>HILLS</v>
      </c>
      <c r="M188" s="6">
        <f t="shared" si="95"/>
        <v>1.0474537033587694E-2</v>
      </c>
      <c r="N188" s="7">
        <f t="shared" si="91"/>
        <v>15.08333332836628</v>
      </c>
      <c r="O188" s="7"/>
      <c r="P188" s="7"/>
      <c r="Q188" s="25"/>
      <c r="R188" s="25"/>
      <c r="S188" s="37">
        <f t="shared" si="93"/>
        <v>1</v>
      </c>
      <c r="T188" s="52" t="str">
        <f t="shared" si="96"/>
        <v>NorthBound</v>
      </c>
      <c r="U188" s="126">
        <f>IF(AG188="EC",COUNTIFS(Variables!$M$2:$M$19,IF(T188="NorthBound","&gt;=","&lt;=")&amp;Y188,Variables!$M$2:$M$19,IF(T188="NorthBound","&lt;=","&gt;=")&amp;Z188),COUNTIFS(Variables!$P$2:$P$19,IF(T188="NorthBound","&gt;=","&lt;=")&amp;Y188,Variables!$P$2:$P$19,IF(T188="NorthBound","&lt;=","&gt;=")&amp;Z188))</f>
        <v>1</v>
      </c>
      <c r="V188" s="106" t="str">
        <f t="shared" si="97"/>
        <v>https://search-rtdc-monitor-bjffxe2xuh6vdkpspy63sjmuny.us-east-1.es.amazonaws.com/_plugin/kibana/#/discover/Steve-Slow-Train-Analysis-(2080s-and-2083s)?_g=(refreshInterval:(display:Off,section:0,value:0),time:(from:'2016-08-31 15:34:51-0600',mode:absolute,to:'2016-08-31 18:06:20-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4031%22')),sort:!(Time,asc))</v>
      </c>
      <c r="W188" s="54" t="str">
        <f t="shared" si="98"/>
        <v>N</v>
      </c>
      <c r="X188" s="120">
        <f t="shared" si="103"/>
        <v>1</v>
      </c>
      <c r="Y188" s="69">
        <f t="shared" si="99"/>
        <v>9.5000000000000001E-2</v>
      </c>
      <c r="Z188" s="69">
        <f t="shared" si="92"/>
        <v>5.8958000000000004</v>
      </c>
      <c r="AA188" s="69">
        <f t="shared" si="100"/>
        <v>5.8008000000000006</v>
      </c>
      <c r="AB188" s="66" t="e">
        <f>VLOOKUP(A188,Enforcements!$C$7:$J$21,8,0)</f>
        <v>#N/A</v>
      </c>
      <c r="AC188" s="62" t="e">
        <f>VLOOKUP(A188,Enforcements!$C$7:$E$21,3,0)</f>
        <v>#N/A</v>
      </c>
      <c r="AD188" s="63" t="str">
        <f t="shared" si="101"/>
        <v>0831-31</v>
      </c>
      <c r="AE188" s="99" t="str">
        <f t="shared" si="74"/>
        <v>aws s3 cp s3://rtdc.mdm.uploadarchive/RTDC4031/2016-08-31/ "%USERPROFILE%\AppData\Local\Temp\OnboardLogs"\RTDC4031\2016-08-31 --recursive &amp; "%USERPROFILE%\Documents\GitHub\mrs-test-scripts\Headless Mode &amp; Sideloading\WalkAndUnGZ.bat" "%USERPROFILE%\AppData\Local\Temp\OnboardLogs"\RTDC4031\2016-08-31 &amp; aws s3 cp s3://rtdc.mdm.uploadarchive/RTDC4031/2016-09-01/ "%USERPROFILE%\AppData\Local\Temp\OnboardLogs"\RTDC4031\2016-09-01 --recursive &amp; "%USERPROFILE%\Documents\GitHub\mrs-test-scripts\Headless Mode &amp; Sideloading\WalkAndUnGZ.bat" "%USERPROFILE%\AppData\Local\Temp\OnboardLogs"\RTDC4031\2016-09-01</v>
      </c>
      <c r="AF188" s="96" t="str">
        <f t="shared" si="75"/>
        <v>"C:\Program Files (x86)\AstroGrep\AstroGrep.exe" /spath="%USERPROFILE%\AppData\Local\Temp\OnboardLogs" /stypes="*4031*20160831*" /stext=" 23:.+((SYSTEM_STATE.+slice.+state.+changed )|(ment ac)|(system.+state.+changed )|(\|lc)|(penalty)|(\[timeout)|(PRM\|1\|D)|(kpr)|(kdp))" /e /r /s</v>
      </c>
      <c r="AG188" s="1" t="str">
        <f t="shared" si="102"/>
        <v>NW</v>
      </c>
      <c r="AH188" s="100" t="str">
        <f t="shared" si="86"/>
        <v>"%USERPROFILE%\Documents\GitHub\eaglep3\Utilities\RefineRTDCRunTimes.py" --tripid 831-31 --locoid 4031 --swversion DE.1.0.7.0 --startMP 204:950 --initTime 2016-08-31T16:34:51 --startdatetime 2016-08-31T16:51:15 --delay 1 --endMP 300:58958 --enddatetime 2016-08-31T17:06:20 --enforcementcount 0 &gt;&gt;C:\Users\stu\Documents\GitHub\eaglep3-reporting\EC\2016-08-31-refined-times.txt</v>
      </c>
      <c r="AI188" s="149" t="str">
        <f t="shared" si="87"/>
        <v>echo {"issue":{"subject":"","project_id":79,"tracker_id":40,"status_id":1,"priority_id":2,"assigned_to_id":23,"start_date":"2016-08-31","description":"","custom_fields":[{"id":1,"name":"Subdivision","value":"NW"},{"id":4,"name":"Milepost","value":"5.8008"},{"id":17,"name":"Train ID","value":"831-31"},{"id":16,"name":"Locomotive ID","value":"4031"},{"id":130,"name":"Impact","value":""},{"id":150,"name":"Time of Event (Mountain Time)","value":"17:06:20"},{"id":151,"name":"Denver Issue ID","value":""},{"id":178,"name":"Operational Impact","value":"Yes"},{"id":179,"name":"Denver Segment Assigned","value":""}]}} | curl -X POST -H "Content-Type: application/json" -H "X-Redmine-API-Key: d6333d4a04012a730768444271f8ca06482dae87" https://secure.xorail.net/redmine/issues.json --data @-</v>
      </c>
      <c r="AJ188" s="55"/>
      <c r="AK188" s="55"/>
      <c r="AL188" s="55"/>
    </row>
    <row r="189" spans="1:38" s="23" customFormat="1" x14ac:dyDescent="0.25">
      <c r="A189" s="39" t="s">
        <v>672</v>
      </c>
      <c r="B189" s="7">
        <v>4032</v>
      </c>
      <c r="C189" s="24" t="s">
        <v>113</v>
      </c>
      <c r="D189" s="24" t="s">
        <v>673</v>
      </c>
      <c r="E189" s="15">
        <v>42613.713969907411</v>
      </c>
      <c r="F189" s="15">
        <v>42613.715902777774</v>
      </c>
      <c r="G189" s="7">
        <v>1</v>
      </c>
      <c r="H189" s="15" t="s">
        <v>367</v>
      </c>
      <c r="I189" s="15">
        <v>42613.727222222224</v>
      </c>
      <c r="J189" s="7">
        <v>0</v>
      </c>
      <c r="K189" s="132" t="str">
        <f t="shared" si="94"/>
        <v>4031/4032</v>
      </c>
      <c r="L189" s="24" t="str">
        <f>VLOOKUP(A189,'Trips&amp;Operators'!$C$1:$E$10000,3,FALSE)</f>
        <v>HILLS</v>
      </c>
      <c r="M189" s="6">
        <f t="shared" si="95"/>
        <v>1.131944444932742E-2</v>
      </c>
      <c r="N189" s="7">
        <f t="shared" si="91"/>
        <v>16.300000007031485</v>
      </c>
      <c r="O189" s="7"/>
      <c r="P189" s="7"/>
      <c r="Q189" s="25"/>
      <c r="R189" s="25"/>
      <c r="S189" s="37">
        <f t="shared" si="93"/>
        <v>1</v>
      </c>
      <c r="T189" s="52" t="str">
        <f t="shared" si="96"/>
        <v>Southbound</v>
      </c>
      <c r="U189" s="126">
        <f>IF(AG189="EC",COUNTIFS(Variables!$M$2:$M$19,IF(T189="NorthBound","&gt;=","&lt;=")&amp;Y189,Variables!$M$2:$M$19,IF(T189="NorthBound","&lt;=","&gt;=")&amp;Z189),COUNTIFS(Variables!$P$2:$P$19,IF(T189="NorthBound","&gt;=","&lt;=")&amp;Y189,Variables!$P$2:$P$19,IF(T189="NorthBound","&lt;=","&gt;=")&amp;Z189))</f>
        <v>1</v>
      </c>
      <c r="V189" s="106" t="str">
        <f t="shared" si="97"/>
        <v>https://search-rtdc-monitor-bjffxe2xuh6vdkpspy63sjmuny.us-east-1.es.amazonaws.com/_plugin/kibana/#/discover/Steve-Slow-Train-Analysis-(2080s-and-2083s)?_g=(refreshInterval:(display:Off,section:0,value:0),time:(from:'2016-08-31 16:08:07-0600',mode:absolute,to:'2016-08-31 18:27:12-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4032%22')),sort:!(Time,asc))</v>
      </c>
      <c r="W189" s="54" t="str">
        <f t="shared" si="98"/>
        <v>N</v>
      </c>
      <c r="X189" s="120">
        <f t="shared" si="103"/>
        <v>1</v>
      </c>
      <c r="Y189" s="69">
        <f t="shared" si="99"/>
        <v>5.8654999999999999</v>
      </c>
      <c r="Z189" s="69">
        <f t="shared" si="92"/>
        <v>6.9400000000000003E-2</v>
      </c>
      <c r="AA189" s="69">
        <f t="shared" si="100"/>
        <v>5.7961</v>
      </c>
      <c r="AB189" s="66" t="e">
        <f>VLOOKUP(A189,Enforcements!$C$7:$J$21,8,0)</f>
        <v>#N/A</v>
      </c>
      <c r="AC189" s="62" t="e">
        <f>VLOOKUP(A189,Enforcements!$C$7:$E$21,3,0)</f>
        <v>#N/A</v>
      </c>
      <c r="AD189" s="63" t="str">
        <f t="shared" si="101"/>
        <v>0832-31</v>
      </c>
      <c r="AE189" s="99" t="str">
        <f t="shared" si="74"/>
        <v>aws s3 cp s3://rtdc.mdm.uploadarchive/RTDC4032/2016-08-31/ "%USERPROFILE%\AppData\Local\Temp\OnboardLogs"\RTDC4032\2016-08-31 --recursive &amp; "%USERPROFILE%\Documents\GitHub\mrs-test-scripts\Headless Mode &amp; Sideloading\WalkAndUnGZ.bat" "%USERPROFILE%\AppData\Local\Temp\OnboardLogs"\RTDC4032\2016-08-31 &amp; aws s3 cp s3://rtdc.mdm.uploadarchive/RTDC4032/2016-09-01/ "%USERPROFILE%\AppData\Local\Temp\OnboardLogs"\RTDC4032\2016-09-01 --recursive &amp; "%USERPROFILE%\Documents\GitHub\mrs-test-scripts\Headless Mode &amp; Sideloading\WalkAndUnGZ.bat" "%USERPROFILE%\AppData\Local\Temp\OnboardLogs"\RTDC4032\2016-09-01</v>
      </c>
      <c r="AF189" s="96" t="str">
        <f t="shared" si="75"/>
        <v>"C:\Program Files (x86)\AstroGrep\AstroGrep.exe" /spath="%USERPROFILE%\AppData\Local\Temp\OnboardLogs" /stypes="*4032*20160831*" /stext=" 23:.+((SYSTEM_STATE.+slice.+state.+changed )|(ment ac)|(system.+state.+changed )|(\|lc)|(penalty)|(\[timeout)|(PRM\|1\|D)|(kpr)|(kdp))" /e /r /s</v>
      </c>
      <c r="AG189" s="1" t="str">
        <f t="shared" si="102"/>
        <v>NW</v>
      </c>
      <c r="AH189" s="100" t="str">
        <f t="shared" si="86"/>
        <v>"%USERPROFILE%\Documents\GitHub\eaglep3\Utilities\RefineRTDCRunTimes.py" --tripid 832-31 --locoid 4032 --swversion DE.1.0.7.0 --startMP 300:58655 --initTime 2016-08-31T17:08:07 --startdatetime 2016-08-31T17:10:54 --delay 1 --endMP 204:694 --enddatetime 2016-08-31T17:27:12 --enforcementcount 0 &gt;&gt;C:\Users\stu\Documents\GitHub\eaglep3-reporting\EC\2016-08-31-refined-times.txt</v>
      </c>
      <c r="AI189" s="149" t="str">
        <f t="shared" si="87"/>
        <v>echo {"issue":{"subject":"","project_id":79,"tracker_id":40,"status_id":1,"priority_id":2,"assigned_to_id":23,"start_date":"2016-08-31","description":"","custom_fields":[{"id":1,"name":"Subdivision","value":"NW"},{"id":4,"name":"Milepost","value":"5.7961"},{"id":17,"name":"Train ID","value":"832-31"},{"id":16,"name":"Locomotive ID","value":"4032"},{"id":130,"name":"Impact","value":""},{"id":150,"name":"Time of Event (Mountain Time)","value":"17:27:12"},{"id":151,"name":"Denver Issue ID","value":""},{"id":178,"name":"Operational Impact","value":"Yes"},{"id":179,"name":"Denver Segment Assigned","value":""}]}} | curl -X POST -H "Content-Type: application/json" -H "X-Redmine-API-Key: d6333d4a04012a730768444271f8ca06482dae87" https://secure.xorail.net/redmine/issues.json --data @-</v>
      </c>
      <c r="AJ189" s="55"/>
      <c r="AK189" s="55"/>
      <c r="AL189" s="55"/>
    </row>
    <row r="190" spans="1:38" x14ac:dyDescent="0.25">
      <c r="A190" s="39" t="s">
        <v>674</v>
      </c>
      <c r="B190" s="7">
        <v>4007</v>
      </c>
      <c r="C190" s="24" t="s">
        <v>113</v>
      </c>
      <c r="D190" s="24" t="s">
        <v>675</v>
      </c>
      <c r="E190" s="15">
        <v>42613.719236111108</v>
      </c>
      <c r="F190" s="15">
        <v>42613.723356481481</v>
      </c>
      <c r="G190" s="7">
        <v>1</v>
      </c>
      <c r="H190" s="15" t="s">
        <v>365</v>
      </c>
      <c r="I190" s="15">
        <v>42613.732870370368</v>
      </c>
      <c r="J190" s="7">
        <v>0</v>
      </c>
      <c r="K190" s="132" t="str">
        <f t="shared" si="94"/>
        <v>4007/4008</v>
      </c>
      <c r="L190" s="24" t="str">
        <f>VLOOKUP(A190,'Trips&amp;Operators'!$C$1:$E$10000,3,FALSE)</f>
        <v>MOSES</v>
      </c>
      <c r="M190" s="6">
        <f t="shared" si="95"/>
        <v>9.5138888864312321E-3</v>
      </c>
      <c r="N190" s="7">
        <f t="shared" si="91"/>
        <v>13.699999996460974</v>
      </c>
      <c r="O190" s="7"/>
      <c r="P190" s="7"/>
      <c r="Q190" s="25"/>
      <c r="R190" s="25"/>
      <c r="S190" s="37">
        <f t="shared" si="93"/>
        <v>1</v>
      </c>
      <c r="T190" s="52" t="str">
        <f t="shared" si="96"/>
        <v>NorthBound</v>
      </c>
      <c r="U190" s="126">
        <f>IF(AG190="EC",COUNTIFS(Variables!$M$2:$M$19,IF(T190="NorthBound","&gt;=","&lt;=")&amp;Y190,Variables!$M$2:$M$19,IF(T190="NorthBound","&lt;=","&gt;=")&amp;Z190),COUNTIFS(Variables!$P$2:$P$19,IF(T190="NorthBound","&gt;=","&lt;=")&amp;Y190,Variables!$P$2:$P$19,IF(T190="NorthBound","&lt;=","&gt;=")&amp;Z190))</f>
        <v>1</v>
      </c>
      <c r="V190" s="106" t="str">
        <f t="shared" si="97"/>
        <v>https://search-rtdc-monitor-bjffxe2xuh6vdkpspy63sjmuny.us-east-1.es.amazonaws.com/_plugin/kibana/#/discover/Steve-Slow-Train-Analysis-(2080s-and-2083s)?_g=(refreshInterval:(display:Off,section:0,value:0),time:(from:'2016-08-31 16:15:42-0600',mode:absolute,to:'2016-08-31 18:35:20-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4007%22')),sort:!(Time,asc))</v>
      </c>
      <c r="W190" s="54" t="str">
        <f t="shared" si="98"/>
        <v>N</v>
      </c>
      <c r="X190" s="120">
        <f t="shared" si="103"/>
        <v>1</v>
      </c>
      <c r="Y190" s="69">
        <f t="shared" si="99"/>
        <v>9.4799999999999995E-2</v>
      </c>
      <c r="Z190" s="69">
        <f t="shared" si="92"/>
        <v>5.8917999999999999</v>
      </c>
      <c r="AA190" s="69">
        <f t="shared" si="100"/>
        <v>5.7969999999999997</v>
      </c>
      <c r="AB190" s="66" t="e">
        <f>VLOOKUP(A190,Enforcements!$C$7:$J$21,8,0)</f>
        <v>#N/A</v>
      </c>
      <c r="AC190" s="62" t="e">
        <f>VLOOKUP(A190,Enforcements!$C$7:$E$21,3,0)</f>
        <v>#N/A</v>
      </c>
      <c r="AD190" s="63" t="str">
        <f t="shared" si="101"/>
        <v>0833-31</v>
      </c>
      <c r="AE190" s="99" t="str">
        <f t="shared" si="74"/>
        <v>aws s3 cp s3://rtdc.mdm.uploadarchive/RTDC4007/2016-08-31/ "%USERPROFILE%\AppData\Local\Temp\OnboardLogs"\RTDC4007\2016-08-31 --recursive &amp; "%USERPROFILE%\Documents\GitHub\mrs-test-scripts\Headless Mode &amp; Sideloading\WalkAndUnGZ.bat" "%USERPROFILE%\AppData\Local\Temp\OnboardLogs"\RTDC4007\2016-08-31 &amp; aws s3 cp s3://rtdc.mdm.uploadarchive/RTDC4007/2016-09-01/ "%USERPROFILE%\AppData\Local\Temp\OnboardLogs"\RTDC4007\2016-09-01 --recursive &amp; "%USERPROFILE%\Documents\GitHub\mrs-test-scripts\Headless Mode &amp; Sideloading\WalkAndUnGZ.bat" "%USERPROFILE%\AppData\Local\Temp\OnboardLogs"\RTDC4007\2016-09-01</v>
      </c>
      <c r="AF190" s="96" t="str">
        <f t="shared" si="75"/>
        <v>"C:\Program Files (x86)\AstroGrep\AstroGrep.exe" /spath="%USERPROFILE%\AppData\Local\Temp\OnboardLogs" /stypes="*4007*20160831*" /stext=" 23:.+((SYSTEM_STATE.+slice.+state.+changed )|(ment ac)|(system.+state.+changed )|(\|lc)|(penalty)|(\[timeout)|(PRM\|1\|D)|(kpr)|(kdp))" /e /r /s</v>
      </c>
      <c r="AG190" s="1" t="str">
        <f t="shared" si="102"/>
        <v>NW</v>
      </c>
      <c r="AH190" s="100" t="str">
        <f t="shared" si="86"/>
        <v>"%USERPROFILE%\Documents\GitHub\eaglep3\Utilities\RefineRTDCRunTimes.py" --tripid 833-31 --locoid 4007 --swversion DE.1.0.7.0 --startMP 204:948 --initTime 2016-08-31T17:15:42 --startdatetime 2016-08-31T17:21:38 --delay 1 --endMP 300:58918 --enddatetime 2016-08-31T17:35:20 --enforcementcount 0 &gt;&gt;C:\Users\stu\Documents\GitHub\eaglep3-reporting\EC\2016-08-31-refined-times.txt</v>
      </c>
      <c r="AI190" s="149" t="str">
        <f t="shared" si="87"/>
        <v>echo {"issue":{"subject":"","project_id":79,"tracker_id":40,"status_id":1,"priority_id":2,"assigned_to_id":23,"start_date":"2016-08-31","description":"","custom_fields":[{"id":1,"name":"Subdivision","value":"NW"},{"id":4,"name":"Milepost","value":"5.797"},{"id":17,"name":"Train ID","value":"833-31"},{"id":16,"name":"Locomotive ID","value":"4007"},{"id":130,"name":"Impact","value":""},{"id":150,"name":"Time of Event (Mountain Time)","value":"17:35:20"},{"id":151,"name":"Denver Issue ID","value":""},{"id":178,"name":"Operational Impact","value":"Yes"},{"id":179,"name":"Denver Segment Assigned","value":""}]}} | curl -X POST -H "Content-Type: application/json" -H "X-Redmine-API-Key: d6333d4a04012a730768444271f8ca06482dae87" https://secure.xorail.net/redmine/issues.json --data @-</v>
      </c>
      <c r="AJ190" s="55"/>
      <c r="AK190" s="55"/>
      <c r="AL190" s="55"/>
    </row>
    <row r="191" spans="1:38" x14ac:dyDescent="0.25">
      <c r="A191" s="39" t="s">
        <v>676</v>
      </c>
      <c r="B191" s="7">
        <v>4008</v>
      </c>
      <c r="C191" s="24" t="s">
        <v>113</v>
      </c>
      <c r="D191" s="24" t="s">
        <v>266</v>
      </c>
      <c r="E191" s="15">
        <v>42613.733935185184</v>
      </c>
      <c r="F191" s="15">
        <v>42613.735810185186</v>
      </c>
      <c r="G191" s="7">
        <v>1</v>
      </c>
      <c r="H191" s="15" t="s">
        <v>677</v>
      </c>
      <c r="I191" s="15">
        <v>42613.748379629629</v>
      </c>
      <c r="J191" s="7">
        <v>0</v>
      </c>
      <c r="K191" s="132" t="str">
        <f t="shared" si="94"/>
        <v>4007/4008</v>
      </c>
      <c r="L191" s="24" t="str">
        <f>VLOOKUP(A191,'Trips&amp;Operators'!$C$1:$E$10000,3,FALSE)</f>
        <v>MOSES</v>
      </c>
      <c r="M191" s="6">
        <f t="shared" si="95"/>
        <v>1.2569444443215616E-2</v>
      </c>
      <c r="N191" s="7">
        <f t="shared" si="91"/>
        <v>18.099999998230487</v>
      </c>
      <c r="O191" s="7"/>
      <c r="P191" s="7"/>
      <c r="Q191" s="25"/>
      <c r="R191" s="25"/>
      <c r="S191" s="37">
        <f t="shared" si="93"/>
        <v>1</v>
      </c>
      <c r="T191" s="52" t="str">
        <f t="shared" si="96"/>
        <v>Southbound</v>
      </c>
      <c r="U191" s="126">
        <f>IF(AG191="EC",COUNTIFS(Variables!$M$2:$M$19,IF(T191="NorthBound","&gt;=","&lt;=")&amp;Y191,Variables!$M$2:$M$19,IF(T191="NorthBound","&lt;=","&gt;=")&amp;Z191),COUNTIFS(Variables!$P$2:$P$19,IF(T191="NorthBound","&gt;=","&lt;=")&amp;Y191,Variables!$P$2:$P$19,IF(T191="NorthBound","&lt;=","&gt;=")&amp;Z191))</f>
        <v>1</v>
      </c>
      <c r="V191" s="106" t="str">
        <f t="shared" si="97"/>
        <v>https://search-rtdc-monitor-bjffxe2xuh6vdkpspy63sjmuny.us-east-1.es.amazonaws.com/_plugin/kibana/#/discover/Steve-Slow-Train-Analysis-(2080s-and-2083s)?_g=(refreshInterval:(display:Off,section:0,value:0),time:(from:'2016-08-31 16:36:52-0600',mode:absolute,to:'2016-08-31 18:57:40-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4008%22')),sort:!(Time,asc))</v>
      </c>
      <c r="W191" s="54" t="str">
        <f t="shared" si="98"/>
        <v>N</v>
      </c>
      <c r="X191" s="120">
        <f t="shared" si="103"/>
        <v>1</v>
      </c>
      <c r="Y191" s="69">
        <f t="shared" si="99"/>
        <v>5.8605999999999998</v>
      </c>
      <c r="Z191" s="69">
        <f t="shared" si="92"/>
        <v>6.3299999999999995E-2</v>
      </c>
      <c r="AA191" s="69">
        <f t="shared" si="100"/>
        <v>5.7972999999999999</v>
      </c>
      <c r="AB191" s="66" t="e">
        <f>VLOOKUP(A191,Enforcements!$C$7:$J$21,8,0)</f>
        <v>#N/A</v>
      </c>
      <c r="AC191" s="62" t="e">
        <f>VLOOKUP(A191,Enforcements!$C$7:$E$21,3,0)</f>
        <v>#N/A</v>
      </c>
      <c r="AD191" s="63" t="str">
        <f t="shared" si="101"/>
        <v>0834-31</v>
      </c>
      <c r="AE191" s="99" t="str">
        <f t="shared" si="74"/>
        <v>aws s3 cp s3://rtdc.mdm.uploadarchive/RTDC4008/2016-08-31/ "%USERPROFILE%\AppData\Local\Temp\OnboardLogs"\RTDC4008\2016-08-31 --recursive &amp; "%USERPROFILE%\Documents\GitHub\mrs-test-scripts\Headless Mode &amp; Sideloading\WalkAndUnGZ.bat" "%USERPROFILE%\AppData\Local\Temp\OnboardLogs"\RTDC4008\2016-08-31 &amp; aws s3 cp s3://rtdc.mdm.uploadarchive/RTDC4008/2016-09-01/ "%USERPROFILE%\AppData\Local\Temp\OnboardLogs"\RTDC4008\2016-09-01 --recursive &amp; "%USERPROFILE%\Documents\GitHub\mrs-test-scripts\Headless Mode &amp; Sideloading\WalkAndUnGZ.bat" "%USERPROFILE%\AppData\Local\Temp\OnboardLogs"\RTDC4008\2016-09-01</v>
      </c>
      <c r="AF191" s="96" t="str">
        <f t="shared" si="75"/>
        <v>"C:\Program Files (x86)\AstroGrep\AstroGrep.exe" /spath="%USERPROFILE%\AppData\Local\Temp\OnboardLogs" /stypes="*4008*20160831*" /stext=" 23:.+((SYSTEM_STATE.+slice.+state.+changed )|(ment ac)|(system.+state.+changed )|(\|lc)|(penalty)|(\[timeout)|(PRM\|1\|D)|(kpr)|(kdp))" /e /r /s</v>
      </c>
      <c r="AG191" s="1" t="str">
        <f t="shared" si="102"/>
        <v>NW</v>
      </c>
      <c r="AH191" s="100" t="str">
        <f t="shared" si="86"/>
        <v>"%USERPROFILE%\Documents\GitHub\eaglep3\Utilities\RefineRTDCRunTimes.py" --tripid 834-31 --locoid 4008 --swversion DE.1.0.7.0 --startMP 300:58606 --initTime 2016-08-31T17:36:52 --startdatetime 2016-08-31T17:39:34 --delay 1 --endMP 204:633 --enddatetime 2016-08-31T17:57:40 --enforcementcount 0 &gt;&gt;C:\Users\stu\Documents\GitHub\eaglep3-reporting\EC\2016-08-31-refined-times.txt</v>
      </c>
      <c r="AI191" s="149" t="str">
        <f t="shared" si="87"/>
        <v>echo {"issue":{"subject":"","project_id":79,"tracker_id":40,"status_id":1,"priority_id":2,"assigned_to_id":23,"start_date":"2016-08-31","description":"","custom_fields":[{"id":1,"name":"Subdivision","value":"NW"},{"id":4,"name":"Milepost","value":"5.7973"},{"id":17,"name":"Train ID","value":"834-31"},{"id":16,"name":"Locomotive ID","value":"4008"},{"id":130,"name":"Impact","value":""},{"id":150,"name":"Time of Event (Mountain Time)","value":"17:57:40"},{"id":151,"name":"Denver Issue ID","value":""},{"id":178,"name":"Operational Impact","value":"Yes"},{"id":179,"name":"Denver Segment Assigned","value":""}]}} | curl -X POST -H "Content-Type: application/json" -H "X-Redmine-API-Key: d6333d4a04012a730768444271f8ca06482dae87" https://secure.xorail.net/redmine/issues.json --data @-</v>
      </c>
      <c r="AJ191" s="55"/>
      <c r="AK191" s="55"/>
      <c r="AL191" s="55"/>
    </row>
    <row r="192" spans="1:38" s="23" customFormat="1" x14ac:dyDescent="0.25">
      <c r="A192" s="39" t="s">
        <v>678</v>
      </c>
      <c r="B192" s="7">
        <v>4031</v>
      </c>
      <c r="C192" s="24" t="s">
        <v>113</v>
      </c>
      <c r="D192" s="24" t="s">
        <v>664</v>
      </c>
      <c r="E192" s="15">
        <v>42613.739444444444</v>
      </c>
      <c r="F192" s="15">
        <v>42613.743993055556</v>
      </c>
      <c r="G192" s="7">
        <v>1</v>
      </c>
      <c r="H192" s="15" t="s">
        <v>635</v>
      </c>
      <c r="I192" s="15">
        <v>42613.754201388889</v>
      </c>
      <c r="J192" s="7">
        <v>0</v>
      </c>
      <c r="K192" s="132" t="str">
        <f t="shared" si="94"/>
        <v>4031/4032</v>
      </c>
      <c r="L192" s="24" t="str">
        <f>VLOOKUP(A192,'Trips&amp;Operators'!$C$1:$E$10000,3,FALSE)</f>
        <v>HILLS</v>
      </c>
      <c r="M192" s="6">
        <f t="shared" si="95"/>
        <v>1.0208333333139308E-2</v>
      </c>
      <c r="N192" s="7">
        <f t="shared" si="91"/>
        <v>14.699999999720603</v>
      </c>
      <c r="O192" s="7"/>
      <c r="P192" s="7"/>
      <c r="Q192" s="25"/>
      <c r="R192" s="25"/>
      <c r="S192" s="37">
        <f t="shared" si="93"/>
        <v>1</v>
      </c>
      <c r="T192" s="52" t="str">
        <f t="shared" si="96"/>
        <v>NorthBound</v>
      </c>
      <c r="U192" s="126">
        <f>IF(AG192="EC",COUNTIFS(Variables!$M$2:$M$19,IF(T192="NorthBound","&gt;=","&lt;=")&amp;Y192,Variables!$M$2:$M$19,IF(T192="NorthBound","&lt;=","&gt;=")&amp;Z192),COUNTIFS(Variables!$P$2:$P$19,IF(T192="NorthBound","&gt;=","&lt;=")&amp;Y192,Variables!$P$2:$P$19,IF(T192="NorthBound","&lt;=","&gt;=")&amp;Z192))</f>
        <v>1</v>
      </c>
      <c r="V192" s="106" t="str">
        <f t="shared" si="97"/>
        <v>https://search-rtdc-monitor-bjffxe2xuh6vdkpspy63sjmuny.us-east-1.es.amazonaws.com/_plugin/kibana/#/discover/Steve-Slow-Train-Analysis-(2080s-and-2083s)?_g=(refreshInterval:(display:Off,section:0,value:0),time:(from:'2016-08-31 16:44:48-0600',mode:absolute,to:'2016-08-31 19:06:03-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4031%22')),sort:!(Time,asc))</v>
      </c>
      <c r="W192" s="54" t="str">
        <f t="shared" si="98"/>
        <v>N</v>
      </c>
      <c r="X192" s="120">
        <f t="shared" si="103"/>
        <v>1</v>
      </c>
      <c r="Y192" s="69">
        <f t="shared" si="99"/>
        <v>9.8299999999999998E-2</v>
      </c>
      <c r="Z192" s="69">
        <f t="shared" si="92"/>
        <v>5.8979999999999997</v>
      </c>
      <c r="AA192" s="69">
        <f t="shared" si="100"/>
        <v>5.7996999999999996</v>
      </c>
      <c r="AB192" s="66" t="e">
        <f>VLOOKUP(A192,Enforcements!$C$7:$J$21,8,0)</f>
        <v>#N/A</v>
      </c>
      <c r="AC192" s="62" t="e">
        <f>VLOOKUP(A192,Enforcements!$C$7:$E$21,3,0)</f>
        <v>#N/A</v>
      </c>
      <c r="AD192" s="63" t="str">
        <f t="shared" si="101"/>
        <v>0835-31</v>
      </c>
      <c r="AE192" s="99" t="str">
        <f t="shared" si="74"/>
        <v>aws s3 cp s3://rtdc.mdm.uploadarchive/RTDC4031/2016-08-31/ "%USERPROFILE%\AppData\Local\Temp\OnboardLogs"\RTDC4031\2016-08-31 --recursive &amp; "%USERPROFILE%\Documents\GitHub\mrs-test-scripts\Headless Mode &amp; Sideloading\WalkAndUnGZ.bat" "%USERPROFILE%\AppData\Local\Temp\OnboardLogs"\RTDC4031\2016-08-31 &amp; aws s3 cp s3://rtdc.mdm.uploadarchive/RTDC4031/2016-09-01/ "%USERPROFILE%\AppData\Local\Temp\OnboardLogs"\RTDC4031\2016-09-01 --recursive &amp; "%USERPROFILE%\Documents\GitHub\mrs-test-scripts\Headless Mode &amp; Sideloading\WalkAndUnGZ.bat" "%USERPROFILE%\AppData\Local\Temp\OnboardLogs"\RTDC4031\2016-09-01</v>
      </c>
      <c r="AF192" s="96" t="str">
        <f t="shared" si="75"/>
        <v>"C:\Program Files (x86)\AstroGrep\AstroGrep.exe" /spath="%USERPROFILE%\AppData\Local\Temp\OnboardLogs" /stypes="*4031*20160901*" /stext=" 00:.+((SYSTEM_STATE.+slice.+state.+changed )|(ment ac)|(system.+state.+changed )|(\|lc)|(penalty)|(\[timeout)|(PRM\|1\|D)|(kpr)|(kdp))" /e /r /s</v>
      </c>
      <c r="AG192" s="1" t="str">
        <f t="shared" si="102"/>
        <v>NW</v>
      </c>
      <c r="AH192" s="100" t="str">
        <f t="shared" si="86"/>
        <v>"%USERPROFILE%\Documents\GitHub\eaglep3\Utilities\RefineRTDCRunTimes.py" --tripid 835-31 --locoid 4031 --swversion DE.1.0.7.0 --startMP 204:983 --initTime 2016-08-31T17:44:48 --startdatetime 2016-08-31T17:51:21 --delay 1 --endMP 300:58980 --enddatetime 2016-08-31T18:06:03 --enforcementcount 0 &gt;&gt;C:\Users\stu\Documents\GitHub\eaglep3-reporting\EC\2016-08-31-refined-times.txt</v>
      </c>
      <c r="AI192" s="149" t="str">
        <f t="shared" si="87"/>
        <v>echo {"issue":{"subject":"","project_id":79,"tracker_id":40,"status_id":1,"priority_id":2,"assigned_to_id":23,"start_date":"2016-08-31","description":"","custom_fields":[{"id":1,"name":"Subdivision","value":"NW"},{"id":4,"name":"Milepost","value":"5.7997"},{"id":17,"name":"Train ID","value":"835-31"},{"id":16,"name":"Locomotive ID","value":"4031"},{"id":130,"name":"Impact","value":""},{"id":150,"name":"Time of Event (Mountain Time)","value":"18:06:03"},{"id":151,"name":"Denver Issue ID","value":""},{"id":178,"name":"Operational Impact","value":"Yes"},{"id":179,"name":"Denver Segment Assigned","value":""}]}} | curl -X POST -H "Content-Type: application/json" -H "X-Redmine-API-Key: d6333d4a04012a730768444271f8ca06482dae87" https://secure.xorail.net/redmine/issues.json --data @-</v>
      </c>
      <c r="AJ192" s="55"/>
      <c r="AK192" s="55"/>
      <c r="AL192" s="55"/>
    </row>
    <row r="193" spans="1:38" x14ac:dyDescent="0.25">
      <c r="A193" s="39" t="s">
        <v>679</v>
      </c>
      <c r="B193" s="7">
        <v>4032</v>
      </c>
      <c r="C193" s="24" t="s">
        <v>113</v>
      </c>
      <c r="D193" s="24" t="s">
        <v>680</v>
      </c>
      <c r="E193" s="15">
        <v>42613.755439814813</v>
      </c>
      <c r="F193" s="15">
        <v>42613.757199074076</v>
      </c>
      <c r="G193" s="7">
        <v>1</v>
      </c>
      <c r="H193" s="15" t="s">
        <v>681</v>
      </c>
      <c r="I193" s="15">
        <v>42613.769259259258</v>
      </c>
      <c r="J193" s="7">
        <v>0</v>
      </c>
      <c r="K193" s="132" t="str">
        <f t="shared" si="94"/>
        <v>4031/4032</v>
      </c>
      <c r="L193" s="24" t="str">
        <f>VLOOKUP(A193,'Trips&amp;Operators'!$C$1:$E$10000,3,FALSE)</f>
        <v>HILLS</v>
      </c>
      <c r="M193" s="6">
        <f t="shared" si="95"/>
        <v>1.2060185181326233E-2</v>
      </c>
      <c r="N193" s="7">
        <f t="shared" si="91"/>
        <v>17.366666661109775</v>
      </c>
      <c r="O193" s="7"/>
      <c r="P193" s="7"/>
      <c r="Q193" s="25"/>
      <c r="R193" s="25"/>
      <c r="S193" s="37">
        <f t="shared" si="93"/>
        <v>1</v>
      </c>
      <c r="T193" s="52" t="str">
        <f t="shared" si="96"/>
        <v>Southbound</v>
      </c>
      <c r="U193" s="126">
        <f>IF(AG193="EC",COUNTIFS(Variables!$M$2:$M$19,IF(T193="NorthBound","&gt;=","&lt;=")&amp;Y193,Variables!$M$2:$M$19,IF(T193="NorthBound","&lt;=","&gt;=")&amp;Z193),COUNTIFS(Variables!$P$2:$P$19,IF(T193="NorthBound","&gt;=","&lt;=")&amp;Y193,Variables!$P$2:$P$19,IF(T193="NorthBound","&lt;=","&gt;=")&amp;Z193))</f>
        <v>1</v>
      </c>
      <c r="V193" s="106" t="str">
        <f t="shared" si="97"/>
        <v>https://search-rtdc-monitor-bjffxe2xuh6vdkpspy63sjmuny.us-east-1.es.amazonaws.com/_plugin/kibana/#/discover/Steve-Slow-Train-Analysis-(2080s-and-2083s)?_g=(refreshInterval:(display:Off,section:0,value:0),time:(from:'2016-08-31 17:07:50-0600',mode:absolute,to:'2016-08-31 19:27:44-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4032%22')),sort:!(Time,asc))</v>
      </c>
      <c r="W193" s="54" t="str">
        <f t="shared" si="98"/>
        <v>N</v>
      </c>
      <c r="X193" s="120">
        <f t="shared" si="103"/>
        <v>1</v>
      </c>
      <c r="Y193" s="69">
        <f t="shared" si="99"/>
        <v>5.8658000000000001</v>
      </c>
      <c r="Z193" s="69">
        <f t="shared" si="92"/>
        <v>7.1300000000000002E-2</v>
      </c>
      <c r="AA193" s="69">
        <f t="shared" si="100"/>
        <v>5.7945000000000002</v>
      </c>
      <c r="AB193" s="66" t="e">
        <f>VLOOKUP(A193,Enforcements!$C$7:$J$21,8,0)</f>
        <v>#N/A</v>
      </c>
      <c r="AC193" s="62" t="e">
        <f>VLOOKUP(A193,Enforcements!$C$7:$E$21,3,0)</f>
        <v>#N/A</v>
      </c>
      <c r="AD193" s="63" t="str">
        <f t="shared" si="101"/>
        <v>0836-31</v>
      </c>
      <c r="AE193" s="99" t="str">
        <f t="shared" si="74"/>
        <v>aws s3 cp s3://rtdc.mdm.uploadarchive/RTDC4032/2016-08-31/ "%USERPROFILE%\AppData\Local\Temp\OnboardLogs"\RTDC4032\2016-08-31 --recursive &amp; "%USERPROFILE%\Documents\GitHub\mrs-test-scripts\Headless Mode &amp; Sideloading\WalkAndUnGZ.bat" "%USERPROFILE%\AppData\Local\Temp\OnboardLogs"\RTDC4032\2016-08-31 &amp; aws s3 cp s3://rtdc.mdm.uploadarchive/RTDC4032/2016-09-01/ "%USERPROFILE%\AppData\Local\Temp\OnboardLogs"\RTDC4032\2016-09-01 --recursive &amp; "%USERPROFILE%\Documents\GitHub\mrs-test-scripts\Headless Mode &amp; Sideloading\WalkAndUnGZ.bat" "%USERPROFILE%\AppData\Local\Temp\OnboardLogs"\RTDC4032\2016-09-01</v>
      </c>
      <c r="AF193" s="96" t="str">
        <f t="shared" si="75"/>
        <v>"C:\Program Files (x86)\AstroGrep\AstroGrep.exe" /spath="%USERPROFILE%\AppData\Local\Temp\OnboardLogs" /stypes="*4032*20160901*" /stext=" 00:.+((SYSTEM_STATE.+slice.+state.+changed )|(ment ac)|(system.+state.+changed )|(\|lc)|(penalty)|(\[timeout)|(PRM\|1\|D)|(kpr)|(kdp))" /e /r /s</v>
      </c>
      <c r="AG193" s="1" t="str">
        <f t="shared" si="102"/>
        <v>NW</v>
      </c>
      <c r="AH193" s="100" t="str">
        <f t="shared" si="86"/>
        <v>"%USERPROFILE%\Documents\GitHub\eaglep3\Utilities\RefineRTDCRunTimes.py" --tripid 836-31 --locoid 4032 --swversion DE.1.0.7.0 --startMP 300:58658 --initTime 2016-08-31T18:07:50 --startdatetime 2016-08-31T18:10:22 --delay 1 --endMP 204:713 --enddatetime 2016-08-31T18:27:44 --enforcementcount 0 &gt;&gt;C:\Users\stu\Documents\GitHub\eaglep3-reporting\EC\2016-08-31-refined-times.txt</v>
      </c>
      <c r="AI193" s="149" t="str">
        <f t="shared" si="87"/>
        <v>echo {"issue":{"subject":"","project_id":79,"tracker_id":40,"status_id":1,"priority_id":2,"assigned_to_id":23,"start_date":"2016-08-31","description":"","custom_fields":[{"id":1,"name":"Subdivision","value":"NW"},{"id":4,"name":"Milepost","value":"5.7945"},{"id":17,"name":"Train ID","value":"836-31"},{"id":16,"name":"Locomotive ID","value":"4032"},{"id":130,"name":"Impact","value":""},{"id":150,"name":"Time of Event (Mountain Time)","value":"18:27:44"},{"id":151,"name":"Denver Issue ID","value":""},{"id":178,"name":"Operational Impact","value":"Yes"},{"id":179,"name":"Denver Segment Assigned","value":""}]}} | curl -X POST -H "Content-Type: application/json" -H "X-Redmine-API-Key: d6333d4a04012a730768444271f8ca06482dae87" https://secure.xorail.net/redmine/issues.json --data @-</v>
      </c>
      <c r="AJ193" s="55"/>
      <c r="AK193" s="55"/>
      <c r="AL193" s="55"/>
    </row>
    <row r="194" spans="1:38" x14ac:dyDescent="0.25">
      <c r="A194" s="39" t="s">
        <v>682</v>
      </c>
      <c r="B194" s="7">
        <v>4007</v>
      </c>
      <c r="C194" s="24" t="s">
        <v>113</v>
      </c>
      <c r="D194" s="24" t="s">
        <v>683</v>
      </c>
      <c r="E194" s="15">
        <v>42613.763749999998</v>
      </c>
      <c r="F194" s="15">
        <v>42613.765023148146</v>
      </c>
      <c r="G194" s="7">
        <v>1</v>
      </c>
      <c r="H194" s="15" t="s">
        <v>359</v>
      </c>
      <c r="I194" s="15">
        <v>42613.774861111109</v>
      </c>
      <c r="J194" s="7">
        <v>0</v>
      </c>
      <c r="K194" s="132" t="str">
        <f t="shared" si="94"/>
        <v>4007/4008</v>
      </c>
      <c r="L194" s="24" t="str">
        <f>VLOOKUP(A194,'Trips&amp;Operators'!$C$1:$E$10000,3,FALSE)</f>
        <v>MOSES</v>
      </c>
      <c r="M194" s="6">
        <f t="shared" si="95"/>
        <v>9.8379629635019228E-3</v>
      </c>
      <c r="N194" s="7">
        <f t="shared" si="91"/>
        <v>14.166666667442769</v>
      </c>
      <c r="O194" s="7"/>
      <c r="P194" s="7"/>
      <c r="Q194" s="25"/>
      <c r="R194" s="25"/>
      <c r="S194" s="37">
        <f t="shared" si="93"/>
        <v>1</v>
      </c>
      <c r="T194" s="52" t="str">
        <f t="shared" si="96"/>
        <v>NorthBound</v>
      </c>
      <c r="U194" s="126">
        <f>IF(AG194="EC",COUNTIFS(Variables!$M$2:$M$19,IF(T194="NorthBound","&gt;=","&lt;=")&amp;Y194,Variables!$M$2:$M$19,IF(T194="NorthBound","&lt;=","&gt;=")&amp;Z194),COUNTIFS(Variables!$P$2:$P$19,IF(T194="NorthBound","&gt;=","&lt;=")&amp;Y194,Variables!$P$2:$P$19,IF(T194="NorthBound","&lt;=","&gt;=")&amp;Z194))</f>
        <v>1</v>
      </c>
      <c r="V194" s="106" t="str">
        <f t="shared" si="97"/>
        <v>https://search-rtdc-monitor-bjffxe2xuh6vdkpspy63sjmuny.us-east-1.es.amazonaws.com/_plugin/kibana/#/discover/Steve-Slow-Train-Analysis-(2080s-and-2083s)?_g=(refreshInterval:(display:Off,section:0,value:0),time:(from:'2016-08-31 17:19:48-0600',mode:absolute,to:'2016-08-31 19:35:48-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4007%22')),sort:!(Time,asc))</v>
      </c>
      <c r="W194" s="54" t="str">
        <f t="shared" si="98"/>
        <v>N</v>
      </c>
      <c r="X194" s="120">
        <f t="shared" si="103"/>
        <v>1</v>
      </c>
      <c r="Y194" s="69">
        <f t="shared" si="99"/>
        <v>9.2700000000000005E-2</v>
      </c>
      <c r="Z194" s="69">
        <f t="shared" si="92"/>
        <v>5.8992000000000004</v>
      </c>
      <c r="AA194" s="69">
        <f t="shared" si="100"/>
        <v>5.8065000000000007</v>
      </c>
      <c r="AB194" s="66" t="e">
        <f>VLOOKUP(A194,Enforcements!$C$7:$J$21,8,0)</f>
        <v>#N/A</v>
      </c>
      <c r="AC194" s="62" t="e">
        <f>VLOOKUP(A194,Enforcements!$C$7:$E$21,3,0)</f>
        <v>#N/A</v>
      </c>
      <c r="AD194" s="63" t="str">
        <f t="shared" si="101"/>
        <v>0837-31</v>
      </c>
      <c r="AE194" s="99" t="str">
        <f t="shared" si="74"/>
        <v>aws s3 cp s3://rtdc.mdm.uploadarchive/RTDC4007/2016-08-31/ "%USERPROFILE%\AppData\Local\Temp\OnboardLogs"\RTDC4007\2016-08-31 --recursive &amp; "%USERPROFILE%\Documents\GitHub\mrs-test-scripts\Headless Mode &amp; Sideloading\WalkAndUnGZ.bat" "%USERPROFILE%\AppData\Local\Temp\OnboardLogs"\RTDC4007\2016-08-31 &amp; aws s3 cp s3://rtdc.mdm.uploadarchive/RTDC4007/2016-09-01/ "%USERPROFILE%\AppData\Local\Temp\OnboardLogs"\RTDC4007\2016-09-01 --recursive &amp; "%USERPROFILE%\Documents\GitHub\mrs-test-scripts\Headless Mode &amp; Sideloading\WalkAndUnGZ.bat" "%USERPROFILE%\AppData\Local\Temp\OnboardLogs"\RTDC4007\2016-09-01</v>
      </c>
      <c r="AF194" s="96" t="str">
        <f t="shared" si="75"/>
        <v>"C:\Program Files (x86)\AstroGrep\AstroGrep.exe" /spath="%USERPROFILE%\AppData\Local\Temp\OnboardLogs" /stypes="*4007*20160901*" /stext=" 00:.+((SYSTEM_STATE.+slice.+state.+changed )|(ment ac)|(system.+state.+changed )|(\|lc)|(penalty)|(\[timeout)|(PRM\|1\|D)|(kpr)|(kdp))" /e /r /s</v>
      </c>
      <c r="AG194" s="1" t="str">
        <f t="shared" si="102"/>
        <v>NW</v>
      </c>
      <c r="AH194" s="100" t="str">
        <f t="shared" si="86"/>
        <v>"%USERPROFILE%\Documents\GitHub\eaglep3\Utilities\RefineRTDCRunTimes.py" --tripid 837-31 --locoid 4007 --swversion DE.1.0.7.0 --startMP 204:927 --initTime 2016-08-31T18:19:48 --startdatetime 2016-08-31T18:21:38 --delay 1 --endMP 300:58992 --enddatetime 2016-08-31T18:35:48 --enforcementcount 0 &gt;&gt;C:\Users\stu\Documents\GitHub\eaglep3-reporting\EC\2016-08-31-refined-times.txt</v>
      </c>
      <c r="AI194" s="149" t="str">
        <f t="shared" si="87"/>
        <v>echo {"issue":{"subject":"","project_id":79,"tracker_id":40,"status_id":1,"priority_id":2,"assigned_to_id":23,"start_date":"2016-08-31","description":"","custom_fields":[{"id":1,"name":"Subdivision","value":"NW"},{"id":4,"name":"Milepost","value":"5.8065"},{"id":17,"name":"Train ID","value":"837-31"},{"id":16,"name":"Locomotive ID","value":"4007"},{"id":130,"name":"Impact","value":""},{"id":150,"name":"Time of Event (Mountain Time)","value":"18:35:48"},{"id":151,"name":"Denver Issue ID","value":""},{"id":178,"name":"Operational Impact","value":"Yes"},{"id":179,"name":"Denver Segment Assigned","value":""}]}} | curl -X POST -H "Content-Type: application/json" -H "X-Redmine-API-Key: d6333d4a04012a730768444271f8ca06482dae87" https://secure.xorail.net/redmine/issues.json --data @-</v>
      </c>
      <c r="AJ194" s="55"/>
      <c r="AK194" s="55"/>
      <c r="AL194" s="55"/>
    </row>
    <row r="195" spans="1:38" x14ac:dyDescent="0.25">
      <c r="A195" s="39" t="s">
        <v>684</v>
      </c>
      <c r="B195" s="7">
        <v>4008</v>
      </c>
      <c r="C195" s="24" t="s">
        <v>113</v>
      </c>
      <c r="D195" s="24" t="s">
        <v>685</v>
      </c>
      <c r="E195" s="15">
        <v>42613.776886574073</v>
      </c>
      <c r="F195" s="15">
        <v>42613.778414351851</v>
      </c>
      <c r="G195" s="7">
        <v>1</v>
      </c>
      <c r="H195" s="15" t="s">
        <v>686</v>
      </c>
      <c r="I195" s="15">
        <v>42613.789074074077</v>
      </c>
      <c r="J195" s="7">
        <v>0</v>
      </c>
      <c r="K195" s="132" t="str">
        <f t="shared" si="94"/>
        <v>4007/4008</v>
      </c>
      <c r="L195" s="24" t="str">
        <f>VLOOKUP(A195,'Trips&amp;Operators'!$C$1:$E$10000,3,FALSE)</f>
        <v>MOSES</v>
      </c>
      <c r="M195" s="6">
        <f t="shared" si="95"/>
        <v>1.0659722225682344E-2</v>
      </c>
      <c r="N195" s="7">
        <f t="shared" ref="N195:N222" si="104">24*60*SUM($M195:$M195)</f>
        <v>15.350000004982576</v>
      </c>
      <c r="O195" s="7"/>
      <c r="P195" s="7"/>
      <c r="Q195" s="25"/>
      <c r="R195" s="25"/>
      <c r="S195" s="37">
        <f t="shared" si="93"/>
        <v>1</v>
      </c>
      <c r="T195" s="52" t="str">
        <f t="shared" si="96"/>
        <v>Southbound</v>
      </c>
      <c r="U195" s="126">
        <f>IF(AG195="EC",COUNTIFS(Variables!$M$2:$M$19,IF(T195="NorthBound","&gt;=","&lt;=")&amp;Y195,Variables!$M$2:$M$19,IF(T195="NorthBound","&lt;=","&gt;=")&amp;Z195),COUNTIFS(Variables!$P$2:$P$19,IF(T195="NorthBound","&gt;=","&lt;=")&amp;Y195,Variables!$P$2:$P$19,IF(T195="NorthBound","&lt;=","&gt;=")&amp;Z195))</f>
        <v>1</v>
      </c>
      <c r="V195" s="106" t="str">
        <f t="shared" si="97"/>
        <v>https://search-rtdc-monitor-bjffxe2xuh6vdkpspy63sjmuny.us-east-1.es.amazonaws.com/_plugin/kibana/#/discover/Steve-Slow-Train-Analysis-(2080s-and-2083s)?_g=(refreshInterval:(display:Off,section:0,value:0),time:(from:'2016-08-31 17:38:43-0600',mode:absolute,to:'2016-08-31 19:56:16-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4008%22')),sort:!(Time,asc))</v>
      </c>
      <c r="W195" s="54" t="str">
        <f t="shared" si="98"/>
        <v>N</v>
      </c>
      <c r="X195" s="120">
        <f t="shared" si="103"/>
        <v>1</v>
      </c>
      <c r="Y195" s="69">
        <f t="shared" si="99"/>
        <v>5.8674999999999997</v>
      </c>
      <c r="Z195" s="69">
        <f t="shared" ref="Z195:Z222" si="105">RIGHT(H195,LEN(H195)-4)/10000</f>
        <v>6.4899999999999999E-2</v>
      </c>
      <c r="AA195" s="69">
        <f t="shared" si="100"/>
        <v>5.8026</v>
      </c>
      <c r="AB195" s="66" t="e">
        <f>VLOOKUP(A195,Enforcements!$C$7:$J$21,8,0)</f>
        <v>#N/A</v>
      </c>
      <c r="AC195" s="62" t="e">
        <f>VLOOKUP(A195,Enforcements!$C$7:$E$21,3,0)</f>
        <v>#N/A</v>
      </c>
      <c r="AD195" s="63" t="str">
        <f t="shared" si="101"/>
        <v>0838-31</v>
      </c>
      <c r="AE195" s="99" t="str">
        <f t="shared" si="74"/>
        <v>aws s3 cp s3://rtdc.mdm.uploadarchive/RTDC4008/2016-08-31/ "%USERPROFILE%\AppData\Local\Temp\OnboardLogs"\RTDC4008\2016-08-31 --recursive &amp; "%USERPROFILE%\Documents\GitHub\mrs-test-scripts\Headless Mode &amp; Sideloading\WalkAndUnGZ.bat" "%USERPROFILE%\AppData\Local\Temp\OnboardLogs"\RTDC4008\2016-08-31 &amp; aws s3 cp s3://rtdc.mdm.uploadarchive/RTDC4008/2016-09-01/ "%USERPROFILE%\AppData\Local\Temp\OnboardLogs"\RTDC4008\2016-09-01 --recursive &amp; "%USERPROFILE%\Documents\GitHub\mrs-test-scripts\Headless Mode &amp; Sideloading\WalkAndUnGZ.bat" "%USERPROFILE%\AppData\Local\Temp\OnboardLogs"\RTDC4008\2016-09-01</v>
      </c>
      <c r="AF195" s="96" t="str">
        <f t="shared" si="75"/>
        <v>"C:\Program Files (x86)\AstroGrep\AstroGrep.exe" /spath="%USERPROFILE%\AppData\Local\Temp\OnboardLogs" /stypes="*4008*20160901*" /stext=" 00:.+((SYSTEM_STATE.+slice.+state.+changed )|(ment ac)|(system.+state.+changed )|(\|lc)|(penalty)|(\[timeout)|(PRM\|1\|D)|(kpr)|(kdp))" /e /r /s</v>
      </c>
      <c r="AG195" s="1" t="str">
        <f t="shared" si="102"/>
        <v>NW</v>
      </c>
      <c r="AH195" s="100" t="str">
        <f t="shared" si="86"/>
        <v>"%USERPROFILE%\Documents\GitHub\eaglep3\Utilities\RefineRTDCRunTimes.py" --tripid 838-31 --locoid 4008 --swversion DE.1.0.7.0 --startMP 300:58675 --initTime 2016-08-31T18:38:43 --startdatetime 2016-08-31T18:40:55 --delay 1 --endMP 204:649 --enddatetime 2016-08-31T18:56:16 --enforcementcount 0 &gt;&gt;C:\Users\stu\Documents\GitHub\eaglep3-reporting\EC\2016-08-31-refined-times.txt</v>
      </c>
      <c r="AI195" s="149" t="str">
        <f t="shared" si="87"/>
        <v>echo {"issue":{"subject":"","project_id":79,"tracker_id":40,"status_id":1,"priority_id":2,"assigned_to_id":23,"start_date":"2016-08-31","description":"","custom_fields":[{"id":1,"name":"Subdivision","value":"NW"},{"id":4,"name":"Milepost","value":"5.8026"},{"id":17,"name":"Train ID","value":"838-31"},{"id":16,"name":"Locomotive ID","value":"4008"},{"id":130,"name":"Impact","value":""},{"id":150,"name":"Time of Event (Mountain Time)","value":"18:56:16"},{"id":151,"name":"Denver Issue ID","value":""},{"id":178,"name":"Operational Impact","value":"Yes"},{"id":179,"name":"Denver Segment Assigned","value":""}]}} | curl -X POST -H "Content-Type: application/json" -H "X-Redmine-API-Key: d6333d4a04012a730768444271f8ca06482dae87" https://secure.xorail.net/redmine/issues.json --data @-</v>
      </c>
      <c r="AJ195" s="55"/>
      <c r="AK195" s="55"/>
      <c r="AL195" s="55"/>
    </row>
    <row r="196" spans="1:38" x14ac:dyDescent="0.25">
      <c r="A196" s="39" t="s">
        <v>687</v>
      </c>
      <c r="B196" s="7">
        <v>4031</v>
      </c>
      <c r="C196" s="24" t="s">
        <v>113</v>
      </c>
      <c r="D196" s="24" t="s">
        <v>688</v>
      </c>
      <c r="E196" s="15">
        <v>42613.782604166663</v>
      </c>
      <c r="F196" s="15">
        <v>42613.785694444443</v>
      </c>
      <c r="G196" s="7">
        <v>1</v>
      </c>
      <c r="H196" s="15" t="s">
        <v>639</v>
      </c>
      <c r="I196" s="15">
        <v>42613.796319444446</v>
      </c>
      <c r="J196" s="7">
        <v>0</v>
      </c>
      <c r="K196" s="132" t="str">
        <f t="shared" si="94"/>
        <v>4031/4032</v>
      </c>
      <c r="L196" s="24" t="str">
        <f>VLOOKUP(A196,'Trips&amp;Operators'!$C$1:$E$10000,3,FALSE)</f>
        <v>HILLS</v>
      </c>
      <c r="M196" s="6">
        <f t="shared" si="95"/>
        <v>1.0625000002619345E-2</v>
      </c>
      <c r="N196" s="7">
        <f t="shared" si="104"/>
        <v>15.300000003771856</v>
      </c>
      <c r="O196" s="7"/>
      <c r="P196" s="7"/>
      <c r="Q196" s="25"/>
      <c r="R196" s="25"/>
      <c r="S196" s="37">
        <f t="shared" ref="S196:S222" si="106">SUM(U196:U196)/IF(AG196="EC",12,1)</f>
        <v>1</v>
      </c>
      <c r="T196" s="52" t="str">
        <f t="shared" si="96"/>
        <v>NorthBound</v>
      </c>
      <c r="U196" s="126">
        <f>IF(AG196="EC",COUNTIFS(Variables!$M$2:$M$19,IF(T196="NorthBound","&gt;=","&lt;=")&amp;Y196,Variables!$M$2:$M$19,IF(T196="NorthBound","&lt;=","&gt;=")&amp;Z196),COUNTIFS(Variables!$P$2:$P$19,IF(T196="NorthBound","&gt;=","&lt;=")&amp;Y196,Variables!$P$2:$P$19,IF(T196="NorthBound","&lt;=","&gt;=")&amp;Z196))</f>
        <v>1</v>
      </c>
      <c r="V196" s="106" t="str">
        <f t="shared" si="97"/>
        <v>https://search-rtdc-monitor-bjffxe2xuh6vdkpspy63sjmuny.us-east-1.es.amazonaws.com/_plugin/kibana/#/discover/Steve-Slow-Train-Analysis-(2080s-and-2083s)?_g=(refreshInterval:(display:Off,section:0,value:0),time:(from:'2016-08-31 17:46:57-0600',mode:absolute,to:'2016-08-31 20:06:42-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4031%22')),sort:!(Time,asc))</v>
      </c>
      <c r="W196" s="54" t="str">
        <f t="shared" si="98"/>
        <v>N</v>
      </c>
      <c r="X196" s="120">
        <f t="shared" si="103"/>
        <v>1</v>
      </c>
      <c r="Y196" s="69">
        <f t="shared" si="99"/>
        <v>0.1002</v>
      </c>
      <c r="Z196" s="69">
        <f t="shared" si="105"/>
        <v>5.8968999999999996</v>
      </c>
      <c r="AA196" s="69">
        <f t="shared" si="100"/>
        <v>5.7966999999999995</v>
      </c>
      <c r="AB196" s="66" t="e">
        <f>VLOOKUP(A196,Enforcements!$C$7:$J$21,8,0)</f>
        <v>#N/A</v>
      </c>
      <c r="AC196" s="62" t="e">
        <f>VLOOKUP(A196,Enforcements!$C$7:$E$21,3,0)</f>
        <v>#N/A</v>
      </c>
      <c r="AD196" s="63" t="str">
        <f t="shared" si="101"/>
        <v>0839-31</v>
      </c>
      <c r="AE196" s="99" t="str">
        <f t="shared" si="74"/>
        <v>aws s3 cp s3://rtdc.mdm.uploadarchive/RTDC4031/2016-08-31/ "%USERPROFILE%\AppData\Local\Temp\OnboardLogs"\RTDC4031\2016-08-31 --recursive &amp; "%USERPROFILE%\Documents\GitHub\mrs-test-scripts\Headless Mode &amp; Sideloading\WalkAndUnGZ.bat" "%USERPROFILE%\AppData\Local\Temp\OnboardLogs"\RTDC4031\2016-08-31 &amp; aws s3 cp s3://rtdc.mdm.uploadarchive/RTDC4031/2016-09-01/ "%USERPROFILE%\AppData\Local\Temp\OnboardLogs"\RTDC4031\2016-09-01 --recursive &amp; "%USERPROFILE%\Documents\GitHub\mrs-test-scripts\Headless Mode &amp; Sideloading\WalkAndUnGZ.bat" "%USERPROFILE%\AppData\Local\Temp\OnboardLogs"\RTDC4031\2016-09-01</v>
      </c>
      <c r="AF196" s="96" t="str">
        <f t="shared" si="75"/>
        <v>"C:\Program Files (x86)\AstroGrep\AstroGrep.exe" /spath="%USERPROFILE%\AppData\Local\Temp\OnboardLogs" /stypes="*4031*20160901*" /stext=" 01:.+((SYSTEM_STATE.+slice.+state.+changed )|(ment ac)|(system.+state.+changed )|(\|lc)|(penalty)|(\[timeout)|(PRM\|1\|D)|(kpr)|(kdp))" /e /r /s</v>
      </c>
      <c r="AG196" s="1" t="str">
        <f t="shared" si="102"/>
        <v>NW</v>
      </c>
      <c r="AH196" s="100" t="str">
        <f t="shared" si="86"/>
        <v>"%USERPROFILE%\Documents\GitHub\eaglep3\Utilities\RefineRTDCRunTimes.py" --tripid 839-31 --locoid 4031 --swversion DE.1.0.7.0 --startMP 204:1002 --initTime 2016-08-31T18:46:57 --startdatetime 2016-08-31T18:51:24 --delay 1 --endMP 300:58969 --enddatetime 2016-08-31T19:06:42 --enforcementcount 0 &gt;&gt;C:\Users\stu\Documents\GitHub\eaglep3-reporting\EC\2016-08-31-refined-times.txt</v>
      </c>
      <c r="AI196" s="149" t="str">
        <f t="shared" si="87"/>
        <v>echo {"issue":{"subject":"","project_id":79,"tracker_id":40,"status_id":1,"priority_id":2,"assigned_to_id":23,"start_date":"2016-08-31","description":"","custom_fields":[{"id":1,"name":"Subdivision","value":"NW"},{"id":4,"name":"Milepost","value":"5.7967"},{"id":17,"name":"Train ID","value":"839-31"},{"id":16,"name":"Locomotive ID","value":"4031"},{"id":130,"name":"Impact","value":""},{"id":150,"name":"Time of Event (Mountain Time)","value":"19:06:42"},{"id":151,"name":"Denver Issue ID","value":""},{"id":178,"name":"Operational Impact","value":"Yes"},{"id":179,"name":"Denver Segment Assigned","value":""}]}} | curl -X POST -H "Content-Type: application/json" -H "X-Redmine-API-Key: d6333d4a04012a730768444271f8ca06482dae87" https://secure.xorail.net/redmine/issues.json --data @-</v>
      </c>
      <c r="AJ196" s="55"/>
      <c r="AK196" s="55"/>
      <c r="AL196" s="55"/>
    </row>
    <row r="197" spans="1:38" x14ac:dyDescent="0.25">
      <c r="A197" s="39" t="s">
        <v>689</v>
      </c>
      <c r="B197" s="7">
        <v>4008</v>
      </c>
      <c r="C197" s="24" t="s">
        <v>113</v>
      </c>
      <c r="D197" s="24" t="s">
        <v>655</v>
      </c>
      <c r="E197" s="15">
        <v>42613.818124999998</v>
      </c>
      <c r="F197" s="15">
        <v>42613.819571759261</v>
      </c>
      <c r="G197" s="7">
        <v>1</v>
      </c>
      <c r="H197" s="15" t="s">
        <v>690</v>
      </c>
      <c r="I197" s="15">
        <v>42613.830810185187</v>
      </c>
      <c r="J197" s="7">
        <v>0</v>
      </c>
      <c r="K197" s="132" t="str">
        <f t="shared" si="94"/>
        <v>4007/4008</v>
      </c>
      <c r="L197" s="24" t="str">
        <f>VLOOKUP(A197,'Trips&amp;Operators'!$C$1:$E$10000,3,FALSE)</f>
        <v>MOSES</v>
      </c>
      <c r="M197" s="6">
        <f t="shared" si="95"/>
        <v>1.1238425926421769E-2</v>
      </c>
      <c r="N197" s="7">
        <f t="shared" si="104"/>
        <v>16.183333334047347</v>
      </c>
      <c r="O197" s="7"/>
      <c r="P197" s="7"/>
      <c r="Q197" s="25"/>
      <c r="R197" s="25"/>
      <c r="S197" s="37">
        <f t="shared" si="106"/>
        <v>1</v>
      </c>
      <c r="T197" s="52" t="str">
        <f t="shared" si="96"/>
        <v>Southbound</v>
      </c>
      <c r="U197" s="126">
        <f>IF(AG197="EC",COUNTIFS(Variables!$M$2:$M$19,IF(T197="NorthBound","&gt;=","&lt;=")&amp;Y197,Variables!$M$2:$M$19,IF(T197="NorthBound","&lt;=","&gt;=")&amp;Z197),COUNTIFS(Variables!$P$2:$P$19,IF(T197="NorthBound","&gt;=","&lt;=")&amp;Y197,Variables!$P$2:$P$19,IF(T197="NorthBound","&lt;=","&gt;=")&amp;Z197))</f>
        <v>1</v>
      </c>
      <c r="V197" s="106" t="str">
        <f t="shared" si="97"/>
        <v>https://search-rtdc-monitor-bjffxe2xuh6vdkpspy63sjmuny.us-east-1.es.amazonaws.com/_plugin/kibana/#/discover/Steve-Slow-Train-Analysis-(2080s-and-2083s)?_g=(refreshInterval:(display:Off,section:0,value:0),time:(from:'2016-08-31 18:38:06-0600',mode:absolute,to:'2016-08-31 20:56:22-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4008%22')),sort:!(Time,asc))</v>
      </c>
      <c r="W197" s="54" t="str">
        <f t="shared" si="98"/>
        <v>N</v>
      </c>
      <c r="X197" s="120">
        <f t="shared" si="103"/>
        <v>1</v>
      </c>
      <c r="Y197" s="69">
        <f t="shared" si="99"/>
        <v>5.8685</v>
      </c>
      <c r="Z197" s="69">
        <f t="shared" si="105"/>
        <v>6.7299999999999999E-2</v>
      </c>
      <c r="AA197" s="69">
        <f t="shared" si="100"/>
        <v>5.8011999999999997</v>
      </c>
      <c r="AB197" s="66" t="e">
        <f>VLOOKUP(A197,Enforcements!$C$7:$J$21,8,0)</f>
        <v>#N/A</v>
      </c>
      <c r="AC197" s="62" t="e">
        <f>VLOOKUP(A197,Enforcements!$C$7:$E$21,3,0)</f>
        <v>#N/A</v>
      </c>
      <c r="AD197" s="63" t="str">
        <f t="shared" si="101"/>
        <v>0840-31</v>
      </c>
      <c r="AE197" s="99" t="str">
        <f t="shared" si="74"/>
        <v>aws s3 cp s3://rtdc.mdm.uploadarchive/RTDC4008/2016-08-31/ "%USERPROFILE%\AppData\Local\Temp\OnboardLogs"\RTDC4008\2016-08-31 --recursive &amp; "%USERPROFILE%\Documents\GitHub\mrs-test-scripts\Headless Mode &amp; Sideloading\WalkAndUnGZ.bat" "%USERPROFILE%\AppData\Local\Temp\OnboardLogs"\RTDC4008\2016-08-31 &amp; aws s3 cp s3://rtdc.mdm.uploadarchive/RTDC4008/2016-09-01/ "%USERPROFILE%\AppData\Local\Temp\OnboardLogs"\RTDC4008\2016-09-01 --recursive &amp; "%USERPROFILE%\Documents\GitHub\mrs-test-scripts\Headless Mode &amp; Sideloading\WalkAndUnGZ.bat" "%USERPROFILE%\AppData\Local\Temp\OnboardLogs"\RTDC4008\2016-09-01</v>
      </c>
      <c r="AF197" s="96" t="str">
        <f t="shared" si="75"/>
        <v>"C:\Program Files (x86)\AstroGrep\AstroGrep.exe" /spath="%USERPROFILE%\AppData\Local\Temp\OnboardLogs" /stypes="*4008*20160901*" /stext=" 01:.+((SYSTEM_STATE.+slice.+state.+changed )|(ment ac)|(system.+state.+changed )|(\|lc)|(penalty)|(\[timeout)|(PRM\|1\|D)|(kpr)|(kdp))" /e /r /s</v>
      </c>
      <c r="AG197" s="1" t="str">
        <f t="shared" si="102"/>
        <v>NW</v>
      </c>
      <c r="AH197" s="100" t="str">
        <f t="shared" si="86"/>
        <v>"%USERPROFILE%\Documents\GitHub\eaglep3\Utilities\RefineRTDCRunTimes.py" --tripid 840-31 --locoid 4008 --swversion DE.1.0.7.0 --startMP 300:58685 --initTime 2016-08-31T19:38:06 --startdatetime 2016-08-31T19:40:11 --delay 1 --endMP 204:673 --enddatetime 2016-08-31T19:56:22 --enforcementcount 0 &gt;&gt;C:\Users\stu\Documents\GitHub\eaglep3-reporting\EC\2016-08-31-refined-times.txt</v>
      </c>
      <c r="AI197" s="149" t="str">
        <f t="shared" si="87"/>
        <v>echo {"issue":{"subject":"","project_id":79,"tracker_id":40,"status_id":1,"priority_id":2,"assigned_to_id":23,"start_date":"2016-08-31","description":"","custom_fields":[{"id":1,"name":"Subdivision","value":"NW"},{"id":4,"name":"Milepost","value":"5.8012"},{"id":17,"name":"Train ID","value":"840-31"},{"id":16,"name":"Locomotive ID","value":"4008"},{"id":130,"name":"Impact","value":""},{"id":150,"name":"Time of Event (Mountain Time)","value":"19:56:22"},{"id":151,"name":"Denver Issue ID","value":""},{"id":178,"name":"Operational Impact","value":"Yes"},{"id":179,"name":"Denver Segment Assigned","value":""}]}} | curl -X POST -H "Content-Type: application/json" -H "X-Redmine-API-Key: d6333d4a04012a730768444271f8ca06482dae87" https://secure.xorail.net/redmine/issues.json --data @-</v>
      </c>
      <c r="AJ197" s="55"/>
      <c r="AK197" s="55"/>
      <c r="AL197" s="55"/>
    </row>
    <row r="198" spans="1:38" x14ac:dyDescent="0.25">
      <c r="A198" s="39" t="s">
        <v>691</v>
      </c>
      <c r="B198" s="7">
        <v>4007</v>
      </c>
      <c r="C198" s="24" t="s">
        <v>113</v>
      </c>
      <c r="D198" s="24" t="s">
        <v>652</v>
      </c>
      <c r="E198" s="15">
        <v>42613.801365740743</v>
      </c>
      <c r="F198" s="15">
        <v>42613.806458333333</v>
      </c>
      <c r="G198" s="7">
        <v>1</v>
      </c>
      <c r="H198" s="15" t="s">
        <v>692</v>
      </c>
      <c r="I198" s="15">
        <v>42613.816400462965</v>
      </c>
      <c r="J198" s="7">
        <v>0</v>
      </c>
      <c r="K198" s="132" t="str">
        <f t="shared" si="94"/>
        <v>4007/4008</v>
      </c>
      <c r="L198" s="24" t="str">
        <f>VLOOKUP(A198,'Trips&amp;Operators'!$C$1:$E$10000,3,FALSE)</f>
        <v>MOSES</v>
      </c>
      <c r="M198" s="6">
        <f t="shared" si="95"/>
        <v>9.9421296326909214E-3</v>
      </c>
      <c r="N198" s="7">
        <f t="shared" si="104"/>
        <v>14.316666671074927</v>
      </c>
      <c r="O198" s="7"/>
      <c r="P198" s="7"/>
      <c r="Q198" s="25"/>
      <c r="R198" s="25"/>
      <c r="S198" s="37">
        <f t="shared" si="106"/>
        <v>1</v>
      </c>
      <c r="T198" s="52" t="str">
        <f t="shared" si="96"/>
        <v>NorthBound</v>
      </c>
      <c r="U198" s="126">
        <f>IF(AG198="EC",COUNTIFS(Variables!$M$2:$M$19,IF(T198="NorthBound","&gt;=","&lt;=")&amp;Y198,Variables!$M$2:$M$19,IF(T198="NorthBound","&lt;=","&gt;=")&amp;Z198),COUNTIFS(Variables!$P$2:$P$19,IF(T198="NorthBound","&gt;=","&lt;=")&amp;Y198,Variables!$P$2:$P$19,IF(T198="NorthBound","&lt;=","&gt;=")&amp;Z198))</f>
        <v>1</v>
      </c>
      <c r="V198" s="106" t="str">
        <f t="shared" si="97"/>
        <v>https://search-rtdc-monitor-bjffxe2xuh6vdkpspy63sjmuny.us-east-1.es.amazonaws.com/_plugin/kibana/#/discover/Steve-Slow-Train-Analysis-(2080s-and-2083s)?_g=(refreshInterval:(display:Off,section:0,value:0),time:(from:'2016-08-31 18:13:58-0600',mode:absolute,to:'2016-08-31 20:35:37-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4007%22')),sort:!(Time,asc))</v>
      </c>
      <c r="W198" s="54" t="str">
        <f t="shared" si="98"/>
        <v>N</v>
      </c>
      <c r="X198" s="120">
        <f t="shared" si="103"/>
        <v>1</v>
      </c>
      <c r="Y198" s="69">
        <f t="shared" si="99"/>
        <v>9.3899999999999997E-2</v>
      </c>
      <c r="Z198" s="69">
        <f t="shared" si="105"/>
        <v>5.9002999999999997</v>
      </c>
      <c r="AA198" s="69">
        <f t="shared" si="100"/>
        <v>5.8064</v>
      </c>
      <c r="AB198" s="66" t="e">
        <f>VLOOKUP(A198,Enforcements!$C$7:$J$21,8,0)</f>
        <v>#N/A</v>
      </c>
      <c r="AC198" s="62" t="e">
        <f>VLOOKUP(A198,Enforcements!$C$7:$E$21,3,0)</f>
        <v>#N/A</v>
      </c>
      <c r="AD198" s="63" t="str">
        <f t="shared" si="101"/>
        <v>0841-31</v>
      </c>
      <c r="AE198" s="99" t="str">
        <f t="shared" si="74"/>
        <v>aws s3 cp s3://rtdc.mdm.uploadarchive/RTDC4007/2016-08-31/ "%USERPROFILE%\AppData\Local\Temp\OnboardLogs"\RTDC4007\2016-08-31 --recursive &amp; "%USERPROFILE%\Documents\GitHub\mrs-test-scripts\Headless Mode &amp; Sideloading\WalkAndUnGZ.bat" "%USERPROFILE%\AppData\Local\Temp\OnboardLogs"\RTDC4007\2016-08-31 &amp; aws s3 cp s3://rtdc.mdm.uploadarchive/RTDC4007/2016-09-01/ "%USERPROFILE%\AppData\Local\Temp\OnboardLogs"\RTDC4007\2016-09-01 --recursive &amp; "%USERPROFILE%\Documents\GitHub\mrs-test-scripts\Headless Mode &amp; Sideloading\WalkAndUnGZ.bat" "%USERPROFILE%\AppData\Local\Temp\OnboardLogs"\RTDC4007\2016-09-01</v>
      </c>
      <c r="AF198" s="96" t="str">
        <f t="shared" si="75"/>
        <v>"C:\Program Files (x86)\AstroGrep\AstroGrep.exe" /spath="%USERPROFILE%\AppData\Local\Temp\OnboardLogs" /stypes="*4007*20160901*" /stext=" 01:.+((SYSTEM_STATE.+slice.+state.+changed )|(ment ac)|(system.+state.+changed )|(\|lc)|(penalty)|(\[timeout)|(PRM\|1\|D)|(kpr)|(kdp))" /e /r /s</v>
      </c>
      <c r="AG198" s="1" t="str">
        <f t="shared" si="102"/>
        <v>NW</v>
      </c>
      <c r="AH198" s="100" t="str">
        <f t="shared" si="86"/>
        <v>"%USERPROFILE%\Documents\GitHub\eaglep3\Utilities\RefineRTDCRunTimes.py" --tripid 841-31 --locoid 4007 --swversion DE.1.0.7.0 --startMP 204:939 --initTime 2016-08-31T19:13:58 --startdatetime 2016-08-31T19:21:18 --delay 1 --endMP 300:59003 --enddatetime 2016-08-31T19:35:37 --enforcementcount 0 &gt;&gt;C:\Users\stu\Documents\GitHub\eaglep3-reporting\EC\2016-08-31-refined-times.txt</v>
      </c>
      <c r="AI198" s="149" t="str">
        <f t="shared" si="87"/>
        <v>echo {"issue":{"subject":"","project_id":79,"tracker_id":40,"status_id":1,"priority_id":2,"assigned_to_id":23,"start_date":"2016-08-31","description":"","custom_fields":[{"id":1,"name":"Subdivision","value":"NW"},{"id":4,"name":"Milepost","value":"5.8064"},{"id":17,"name":"Train ID","value":"841-31"},{"id":16,"name":"Locomotive ID","value":"4007"},{"id":130,"name":"Impact","value":""},{"id":150,"name":"Time of Event (Mountain Time)","value":"19:35:37"},{"id":151,"name":"Denver Issue ID","value":""},{"id":178,"name":"Operational Impact","value":"Yes"},{"id":179,"name":"Denver Segment Assigned","value":""}]}} | curl -X POST -H "Content-Type: application/json" -H "X-Redmine-API-Key: d6333d4a04012a730768444271f8ca06482dae87" https://secure.xorail.net/redmine/issues.json --data @-</v>
      </c>
      <c r="AJ198" s="55"/>
      <c r="AK198" s="55"/>
      <c r="AL198" s="55"/>
    </row>
    <row r="199" spans="1:38" x14ac:dyDescent="0.25">
      <c r="A199" s="39" t="s">
        <v>693</v>
      </c>
      <c r="B199" s="7">
        <v>4008</v>
      </c>
      <c r="C199" s="24" t="s">
        <v>113</v>
      </c>
      <c r="D199" s="24" t="s">
        <v>694</v>
      </c>
      <c r="E199" s="15">
        <v>42613.86277777778</v>
      </c>
      <c r="F199" s="15">
        <v>42613.864085648151</v>
      </c>
      <c r="G199" s="7">
        <v>1</v>
      </c>
      <c r="H199" s="15" t="s">
        <v>695</v>
      </c>
      <c r="I199" s="15">
        <v>42613.873576388891</v>
      </c>
      <c r="J199" s="7">
        <v>0</v>
      </c>
      <c r="K199" s="132" t="str">
        <f t="shared" si="94"/>
        <v>4007/4008</v>
      </c>
      <c r="L199" s="24" t="str">
        <f>VLOOKUP(A199,'Trips&amp;Operators'!$C$1:$E$10000,3,FALSE)</f>
        <v>MOSES</v>
      </c>
      <c r="M199" s="6">
        <f t="shared" si="95"/>
        <v>9.4907407401478849E-3</v>
      </c>
      <c r="N199" s="7">
        <f t="shared" si="104"/>
        <v>13.666666665812954</v>
      </c>
      <c r="O199" s="7"/>
      <c r="P199" s="7"/>
      <c r="Q199" s="25"/>
      <c r="R199" s="25"/>
      <c r="S199" s="37">
        <f t="shared" si="106"/>
        <v>1</v>
      </c>
      <c r="T199" s="52" t="str">
        <f t="shared" si="96"/>
        <v>Southbound</v>
      </c>
      <c r="U199" s="126">
        <f>IF(AG199="EC",COUNTIFS(Variables!$M$2:$M$19,IF(T199="NorthBound","&gt;=","&lt;=")&amp;Y199,Variables!$M$2:$M$19,IF(T199="NorthBound","&lt;=","&gt;=")&amp;Z199),COUNTIFS(Variables!$P$2:$P$19,IF(T199="NorthBound","&gt;=","&lt;=")&amp;Y199,Variables!$P$2:$P$19,IF(T199="NorthBound","&lt;=","&gt;=")&amp;Z199))</f>
        <v>1</v>
      </c>
      <c r="V199" s="106" t="str">
        <f t="shared" si="97"/>
        <v>https://search-rtdc-monitor-bjffxe2xuh6vdkpspy63sjmuny.us-east-1.es.amazonaws.com/_plugin/kibana/#/discover/Steve-Slow-Train-Analysis-(2080s-and-2083s)?_g=(refreshInterval:(display:Off,section:0,value:0),time:(from:'2016-08-31 19:42:24-0600',mode:absolute,to:'2016-08-31 21:57:57-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4008%22')),sort:!(Time,asc))</v>
      </c>
      <c r="W199" s="54" t="str">
        <f t="shared" si="98"/>
        <v>N</v>
      </c>
      <c r="X199" s="120">
        <f t="shared" si="103"/>
        <v>1</v>
      </c>
      <c r="Y199" s="69">
        <f t="shared" si="99"/>
        <v>5.8662000000000001</v>
      </c>
      <c r="Z199" s="69">
        <f t="shared" si="105"/>
        <v>6.6100000000000006E-2</v>
      </c>
      <c r="AA199" s="69">
        <f t="shared" si="100"/>
        <v>5.8001000000000005</v>
      </c>
      <c r="AB199" s="66" t="e">
        <f>VLOOKUP(A199,Enforcements!$C$7:$J$21,8,0)</f>
        <v>#N/A</v>
      </c>
      <c r="AC199" s="62" t="e">
        <f>VLOOKUP(A199,Enforcements!$C$7:$E$21,3,0)</f>
        <v>#N/A</v>
      </c>
      <c r="AD199" s="63" t="str">
        <f t="shared" si="101"/>
        <v>0842-31</v>
      </c>
      <c r="AE199" s="99" t="str">
        <f t="shared" si="74"/>
        <v>aws s3 cp s3://rtdc.mdm.uploadarchive/RTDC4008/2016-08-31/ "%USERPROFILE%\AppData\Local\Temp\OnboardLogs"\RTDC4008\2016-08-31 --recursive &amp; "%USERPROFILE%\Documents\GitHub\mrs-test-scripts\Headless Mode &amp; Sideloading\WalkAndUnGZ.bat" "%USERPROFILE%\AppData\Local\Temp\OnboardLogs"\RTDC4008\2016-08-31 &amp; aws s3 cp s3://rtdc.mdm.uploadarchive/RTDC4008/2016-09-01/ "%USERPROFILE%\AppData\Local\Temp\OnboardLogs"\RTDC4008\2016-09-01 --recursive &amp; "%USERPROFILE%\Documents\GitHub\mrs-test-scripts\Headless Mode &amp; Sideloading\WalkAndUnGZ.bat" "%USERPROFILE%\AppData\Local\Temp\OnboardLogs"\RTDC4008\2016-09-01</v>
      </c>
      <c r="AF199" s="96" t="str">
        <f t="shared" si="75"/>
        <v>"C:\Program Files (x86)\AstroGrep\AstroGrep.exe" /spath="%USERPROFILE%\AppData\Local\Temp\OnboardLogs" /stypes="*4008*20160901*" /stext=" 02:.+((SYSTEM_STATE.+slice.+state.+changed )|(ment ac)|(system.+state.+changed )|(\|lc)|(penalty)|(\[timeout)|(PRM\|1\|D)|(kpr)|(kdp))" /e /r /s</v>
      </c>
      <c r="AG199" s="1" t="str">
        <f t="shared" si="102"/>
        <v>NW</v>
      </c>
      <c r="AH199" s="100" t="str">
        <f t="shared" si="86"/>
        <v>"%USERPROFILE%\Documents\GitHub\eaglep3\Utilities\RefineRTDCRunTimes.py" --tripid 842-31 --locoid 4008 --swversion DE.1.0.7.0 --startMP 300:58662 --initTime 2016-08-31T20:42:24 --startdatetime 2016-08-31T20:44:17 --delay 1 --endMP 204:661 --enddatetime 2016-08-31T20:57:57 --enforcementcount 0 &gt;&gt;C:\Users\stu\Documents\GitHub\eaglep3-reporting\EC\2016-08-31-refined-times.txt</v>
      </c>
      <c r="AI199" s="149" t="str">
        <f t="shared" si="87"/>
        <v>echo {"issue":{"subject":"","project_id":79,"tracker_id":40,"status_id":1,"priority_id":2,"assigned_to_id":23,"start_date":"2016-08-31","description":"","custom_fields":[{"id":1,"name":"Subdivision","value":"NW"},{"id":4,"name":"Milepost","value":"5.8001"},{"id":17,"name":"Train ID","value":"842-31"},{"id":16,"name":"Locomotive ID","value":"4008"},{"id":130,"name":"Impact","value":""},{"id":150,"name":"Time of Event (Mountain Time)","value":"20:57:57"},{"id":151,"name":"Denver Issue ID","value":""},{"id":178,"name":"Operational Impact","value":"Yes"},{"id":179,"name":"Denver Segment Assigned","value":""}]}} | curl -X POST -H "Content-Type: application/json" -H "X-Redmine-API-Key: d6333d4a04012a730768444271f8ca06482dae87" https://secure.xorail.net/redmine/issues.json --data @-</v>
      </c>
      <c r="AJ199" s="55"/>
      <c r="AK199" s="55"/>
      <c r="AL199" s="55"/>
    </row>
    <row r="200" spans="1:38" x14ac:dyDescent="0.25">
      <c r="A200" s="39" t="s">
        <v>696</v>
      </c>
      <c r="B200" s="7">
        <v>4007</v>
      </c>
      <c r="C200" s="24" t="s">
        <v>113</v>
      </c>
      <c r="D200" s="24" t="s">
        <v>368</v>
      </c>
      <c r="E200" s="15">
        <v>42613.844837962963</v>
      </c>
      <c r="F200" s="15">
        <v>42613.889791666668</v>
      </c>
      <c r="G200" s="7">
        <v>1</v>
      </c>
      <c r="H200" s="15" t="s">
        <v>697</v>
      </c>
      <c r="I200" s="15">
        <v>42613.899895833332</v>
      </c>
      <c r="J200" s="7">
        <v>0</v>
      </c>
      <c r="K200" s="132" t="str">
        <f t="shared" si="94"/>
        <v>4007/4008</v>
      </c>
      <c r="L200" s="24" t="str">
        <f>VLOOKUP(A200,'Trips&amp;Operators'!$C$1:$E$10000,3,FALSE)</f>
        <v>MOSES</v>
      </c>
      <c r="M200" s="6">
        <f t="shared" si="95"/>
        <v>1.0104166663950309E-2</v>
      </c>
      <c r="N200" s="7">
        <f t="shared" si="104"/>
        <v>14.549999996088445</v>
      </c>
      <c r="O200" s="7"/>
      <c r="P200" s="7"/>
      <c r="Q200" s="25"/>
      <c r="R200" s="25"/>
      <c r="S200" s="37">
        <f t="shared" si="106"/>
        <v>1</v>
      </c>
      <c r="T200" s="52" t="str">
        <f t="shared" si="96"/>
        <v>NorthBound</v>
      </c>
      <c r="U200" s="126">
        <f>IF(AG200="EC",COUNTIFS(Variables!$M$2:$M$19,IF(T200="NorthBound","&gt;=","&lt;=")&amp;Y200,Variables!$M$2:$M$19,IF(T200="NorthBound","&lt;=","&gt;=")&amp;Z200),COUNTIFS(Variables!$P$2:$P$19,IF(T200="NorthBound","&gt;=","&lt;=")&amp;Y200,Variables!$P$2:$P$19,IF(T200="NorthBound","&lt;=","&gt;=")&amp;Z200))</f>
        <v>1</v>
      </c>
      <c r="V200" s="106" t="str">
        <f t="shared" si="97"/>
        <v>https://search-rtdc-monitor-bjffxe2xuh6vdkpspy63sjmuny.us-east-1.es.amazonaws.com/_plugin/kibana/#/discover/Steve-Slow-Train-Analysis-(2080s-and-2083s)?_g=(refreshInterval:(display:Off,section:0,value:0),time:(from:'2016-08-31 19:16:34-0600',mode:absolute,to:'2016-08-31 22:35:51-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4007%22')),sort:!(Time,asc))</v>
      </c>
      <c r="W200" s="54" t="str">
        <f t="shared" si="98"/>
        <v>N</v>
      </c>
      <c r="X200" s="120">
        <f t="shared" si="103"/>
        <v>1</v>
      </c>
      <c r="Y200" s="69">
        <f t="shared" si="99"/>
        <v>9.5299999999999996E-2</v>
      </c>
      <c r="Z200" s="69">
        <f t="shared" si="105"/>
        <v>5.8994999999999997</v>
      </c>
      <c r="AA200" s="69">
        <f t="shared" si="100"/>
        <v>5.8041999999999998</v>
      </c>
      <c r="AB200" s="66" t="e">
        <f>VLOOKUP(A200,Enforcements!$C$7:$J$21,8,0)</f>
        <v>#N/A</v>
      </c>
      <c r="AC200" s="62" t="e">
        <f>VLOOKUP(A200,Enforcements!$C$7:$E$21,3,0)</f>
        <v>#N/A</v>
      </c>
      <c r="AD200" s="63" t="str">
        <f t="shared" si="101"/>
        <v>0843-31</v>
      </c>
      <c r="AE200" s="99" t="str">
        <f t="shared" si="74"/>
        <v>aws s3 cp s3://rtdc.mdm.uploadarchive/RTDC4007/2016-08-31/ "%USERPROFILE%\AppData\Local\Temp\OnboardLogs"\RTDC4007\2016-08-31 --recursive &amp; "%USERPROFILE%\Documents\GitHub\mrs-test-scripts\Headless Mode &amp; Sideloading\WalkAndUnGZ.bat" "%USERPROFILE%\AppData\Local\Temp\OnboardLogs"\RTDC4007\2016-08-31 &amp; aws s3 cp s3://rtdc.mdm.uploadarchive/RTDC4007/2016-09-01/ "%USERPROFILE%\AppData\Local\Temp\OnboardLogs"\RTDC4007\2016-09-01 --recursive &amp; "%USERPROFILE%\Documents\GitHub\mrs-test-scripts\Headless Mode &amp; Sideloading\WalkAndUnGZ.bat" "%USERPROFILE%\AppData\Local\Temp\OnboardLogs"\RTDC4007\2016-09-01</v>
      </c>
      <c r="AF200" s="96" t="str">
        <f t="shared" si="75"/>
        <v>"C:\Program Files (x86)\AstroGrep\AstroGrep.exe" /spath="%USERPROFILE%\AppData\Local\Temp\OnboardLogs" /stypes="*4007*20160901*" /stext=" 03:.+((SYSTEM_STATE.+slice.+state.+changed )|(ment ac)|(system.+state.+changed )|(\|lc)|(penalty)|(\[timeout)|(PRM\|1\|D)|(kpr)|(kdp))" /e /r /s</v>
      </c>
      <c r="AG200" s="1" t="str">
        <f t="shared" si="102"/>
        <v>NW</v>
      </c>
      <c r="AH200" s="100" t="str">
        <f t="shared" si="86"/>
        <v>"%USERPROFILE%\Documents\GitHub\eaglep3\Utilities\RefineRTDCRunTimes.py" --tripid 843-31 --locoid 4007 --swversion DE.1.0.7.0 --startMP 204:953 --initTime 2016-08-31T20:16:34 --startdatetime 2016-08-31T21:21:18 --delay 1 --endMP 300:58995 --enddatetime 2016-08-31T21:35:51 --enforcementcount 0 &gt;&gt;C:\Users\stu\Documents\GitHub\eaglep3-reporting\EC\2016-08-31-refined-times.txt</v>
      </c>
      <c r="AI200" s="149" t="str">
        <f t="shared" si="87"/>
        <v>echo {"issue":{"subject":"","project_id":79,"tracker_id":40,"status_id":1,"priority_id":2,"assigned_to_id":23,"start_date":"2016-08-31","description":"","custom_fields":[{"id":1,"name":"Subdivision","value":"NW"},{"id":4,"name":"Milepost","value":"5.8042"},{"id":17,"name":"Train ID","value":"843-31"},{"id":16,"name":"Locomotive ID","value":"4007"},{"id":130,"name":"Impact","value":""},{"id":150,"name":"Time of Event (Mountain Time)","value":"21:35:51"},{"id":151,"name":"Denver Issue ID","value":""},{"id":178,"name":"Operational Impact","value":"Yes"},{"id":179,"name":"Denver Segment Assigned","value":""}]}} | curl -X POST -H "Content-Type: application/json" -H "X-Redmine-API-Key: d6333d4a04012a730768444271f8ca06482dae87" https://secure.xorail.net/redmine/issues.json --data @-</v>
      </c>
      <c r="AJ200" s="55"/>
      <c r="AK200" s="55"/>
      <c r="AL200" s="55"/>
    </row>
    <row r="201" spans="1:38" x14ac:dyDescent="0.25">
      <c r="A201" s="39" t="s">
        <v>698</v>
      </c>
      <c r="B201" s="7">
        <v>4008</v>
      </c>
      <c r="C201" s="24" t="s">
        <v>113</v>
      </c>
      <c r="D201" s="24" t="s">
        <v>699</v>
      </c>
      <c r="E201" s="15">
        <v>42613.900902777779</v>
      </c>
      <c r="F201" s="15">
        <v>42613.902812499997</v>
      </c>
      <c r="G201" s="7">
        <v>1</v>
      </c>
      <c r="H201" s="15" t="s">
        <v>700</v>
      </c>
      <c r="I201" s="15">
        <v>42613.913124999999</v>
      </c>
      <c r="J201" s="7">
        <v>0</v>
      </c>
      <c r="K201" s="132" t="str">
        <f t="shared" si="94"/>
        <v>4007/4008</v>
      </c>
      <c r="L201" s="24" t="str">
        <f>VLOOKUP(A201,'Trips&amp;Operators'!$C$1:$E$10000,3,FALSE)</f>
        <v>HILLS</v>
      </c>
      <c r="M201" s="6">
        <f t="shared" si="95"/>
        <v>1.0312500002328306E-2</v>
      </c>
      <c r="N201" s="7">
        <f t="shared" si="104"/>
        <v>14.850000003352761</v>
      </c>
      <c r="O201" s="7"/>
      <c r="P201" s="7"/>
      <c r="Q201" s="25"/>
      <c r="R201" s="25"/>
      <c r="S201" s="37">
        <f t="shared" si="106"/>
        <v>1</v>
      </c>
      <c r="T201" s="52" t="str">
        <f t="shared" si="96"/>
        <v>Southbound</v>
      </c>
      <c r="U201" s="126">
        <f>IF(AG201="EC",COUNTIFS(Variables!$M$2:$M$19,IF(T201="NorthBound","&gt;=","&lt;=")&amp;Y201,Variables!$M$2:$M$19,IF(T201="NorthBound","&lt;=","&gt;=")&amp;Z201),COUNTIFS(Variables!$P$2:$P$19,IF(T201="NorthBound","&gt;=","&lt;=")&amp;Y201,Variables!$P$2:$P$19,IF(T201="NorthBound","&lt;=","&gt;=")&amp;Z201))</f>
        <v>1</v>
      </c>
      <c r="V201" s="106" t="str">
        <f t="shared" si="97"/>
        <v>https://search-rtdc-monitor-bjffxe2xuh6vdkpspy63sjmuny.us-east-1.es.amazonaws.com/_plugin/kibana/#/discover/Steve-Slow-Train-Analysis-(2080s-and-2083s)?_g=(refreshInterval:(display:Off,section:0,value:0),time:(from:'2016-08-31 20:37:18-0600',mode:absolute,to:'2016-08-31 22:54:54-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4008%22')),sort:!(Time,asc))</v>
      </c>
      <c r="W201" s="54" t="str">
        <f t="shared" si="98"/>
        <v>N</v>
      </c>
      <c r="X201" s="120">
        <f t="shared" si="103"/>
        <v>1</v>
      </c>
      <c r="Y201" s="69">
        <f t="shared" si="99"/>
        <v>5.8648999999999996</v>
      </c>
      <c r="Z201" s="69">
        <f t="shared" si="105"/>
        <v>6.7500000000000004E-2</v>
      </c>
      <c r="AA201" s="69">
        <f t="shared" si="100"/>
        <v>5.7973999999999997</v>
      </c>
      <c r="AB201" s="66" t="e">
        <f>VLOOKUP(A201,Enforcements!$C$7:$J$21,8,0)</f>
        <v>#N/A</v>
      </c>
      <c r="AC201" s="62" t="e">
        <f>VLOOKUP(A201,Enforcements!$C$7:$E$21,3,0)</f>
        <v>#N/A</v>
      </c>
      <c r="AD201" s="63" t="str">
        <f t="shared" si="101"/>
        <v>0844-31</v>
      </c>
      <c r="AE201" s="99" t="str">
        <f t="shared" si="74"/>
        <v>aws s3 cp s3://rtdc.mdm.uploadarchive/RTDC4008/2016-08-31/ "%USERPROFILE%\AppData\Local\Temp\OnboardLogs"\RTDC4008\2016-08-31 --recursive &amp; "%USERPROFILE%\Documents\GitHub\mrs-test-scripts\Headless Mode &amp; Sideloading\WalkAndUnGZ.bat" "%USERPROFILE%\AppData\Local\Temp\OnboardLogs"\RTDC4008\2016-08-31 &amp; aws s3 cp s3://rtdc.mdm.uploadarchive/RTDC4008/2016-09-01/ "%USERPROFILE%\AppData\Local\Temp\OnboardLogs"\RTDC4008\2016-09-01 --recursive &amp; "%USERPROFILE%\Documents\GitHub\mrs-test-scripts\Headless Mode &amp; Sideloading\WalkAndUnGZ.bat" "%USERPROFILE%\AppData\Local\Temp\OnboardLogs"\RTDC4008\2016-09-01</v>
      </c>
      <c r="AF201" s="96" t="str">
        <f t="shared" si="75"/>
        <v>"C:\Program Files (x86)\AstroGrep\AstroGrep.exe" /spath="%USERPROFILE%\AppData\Local\Temp\OnboardLogs" /stypes="*4008*20160901*" /stext=" 03:.+((SYSTEM_STATE.+slice.+state.+changed )|(ment ac)|(system.+state.+changed )|(\|lc)|(penalty)|(\[timeout)|(PRM\|1\|D)|(kpr)|(kdp))" /e /r /s</v>
      </c>
      <c r="AG201" s="1" t="str">
        <f t="shared" si="102"/>
        <v>NW</v>
      </c>
      <c r="AH201" s="100" t="str">
        <f t="shared" si="86"/>
        <v>"%USERPROFILE%\Documents\GitHub\eaglep3\Utilities\RefineRTDCRunTimes.py" --tripid 844-31 --locoid 4008 --swversion DE.1.0.7.0 --startMP 300:58649 --initTime 2016-08-31T21:37:18 --startdatetime 2016-08-31T21:40:03 --delay 1 --endMP 204:675 --enddatetime 2016-08-31T21:54:54 --enforcementcount 0 &gt;&gt;C:\Users\stu\Documents\GitHub\eaglep3-reporting\EC\2016-08-31-refined-times.txt</v>
      </c>
      <c r="AI201" s="149" t="str">
        <f t="shared" si="87"/>
        <v>echo {"issue":{"subject":"","project_id":79,"tracker_id":40,"status_id":1,"priority_id":2,"assigned_to_id":23,"start_date":"2016-08-31","description":"","custom_fields":[{"id":1,"name":"Subdivision","value":"NW"},{"id":4,"name":"Milepost","value":"5.7974"},{"id":17,"name":"Train ID","value":"844-31"},{"id":16,"name":"Locomotive ID","value":"4008"},{"id":130,"name":"Impact","value":""},{"id":150,"name":"Time of Event (Mountain Time)","value":"21:54:54"},{"id":151,"name":"Denver Issue ID","value":""},{"id":178,"name":"Operational Impact","value":"Yes"},{"id":179,"name":"Denver Segment Assigned","value":""}]}} | curl -X POST -H "Content-Type: application/json" -H "X-Redmine-API-Key: d6333d4a04012a730768444271f8ca06482dae87" https://secure.xorail.net/redmine/issues.json --data @-</v>
      </c>
      <c r="AJ201" s="55"/>
      <c r="AK201" s="55"/>
      <c r="AL201" s="55"/>
    </row>
    <row r="202" spans="1:38" x14ac:dyDescent="0.25">
      <c r="A202" s="39" t="s">
        <v>701</v>
      </c>
      <c r="B202" s="7">
        <v>4007</v>
      </c>
      <c r="C202" s="24" t="s">
        <v>113</v>
      </c>
      <c r="D202" s="24" t="s">
        <v>702</v>
      </c>
      <c r="E202" s="15">
        <v>42613.881284722222</v>
      </c>
      <c r="F202" s="15">
        <v>42613.889791666668</v>
      </c>
      <c r="G202" s="7">
        <v>1</v>
      </c>
      <c r="H202" s="15" t="s">
        <v>703</v>
      </c>
      <c r="I202" s="15">
        <v>42613.899895833332</v>
      </c>
      <c r="J202" s="7">
        <v>0</v>
      </c>
      <c r="K202" s="132" t="str">
        <f t="shared" si="94"/>
        <v>4007/4008</v>
      </c>
      <c r="L202" s="24" t="str">
        <f>VLOOKUP(A202,'Trips&amp;Operators'!$C$1:$E$10000,3,FALSE)</f>
        <v>HILLS</v>
      </c>
      <c r="M202" s="6">
        <f t="shared" si="95"/>
        <v>1.0104166663950309E-2</v>
      </c>
      <c r="N202" s="7">
        <f t="shared" si="104"/>
        <v>14.549999996088445</v>
      </c>
      <c r="O202" s="7"/>
      <c r="P202" s="7"/>
      <c r="Q202" s="25"/>
      <c r="R202" s="25"/>
      <c r="S202" s="37">
        <f t="shared" si="106"/>
        <v>1</v>
      </c>
      <c r="T202" s="52" t="str">
        <f t="shared" si="96"/>
        <v>NorthBound</v>
      </c>
      <c r="U202" s="126">
        <f>IF(AG202="EC",COUNTIFS(Variables!$M$2:$M$19,IF(T202="NorthBound","&gt;=","&lt;=")&amp;Y202,Variables!$M$2:$M$19,IF(T202="NorthBound","&lt;=","&gt;=")&amp;Z202),COUNTIFS(Variables!$P$2:$P$19,IF(T202="NorthBound","&gt;=","&lt;=")&amp;Y202,Variables!$P$2:$P$19,IF(T202="NorthBound","&lt;=","&gt;=")&amp;Z202))</f>
        <v>1</v>
      </c>
      <c r="V202" s="106" t="str">
        <f t="shared" si="97"/>
        <v>https://search-rtdc-monitor-bjffxe2xuh6vdkpspy63sjmuny.us-east-1.es.amazonaws.com/_plugin/kibana/#/discover/Steve-Slow-Train-Analysis-(2080s-and-2083s)?_g=(refreshInterval:(display:Off,section:0,value:0),time:(from:'2016-08-31 20:09:03-0600',mode:absolute,to:'2016-08-31 22:35:51-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4007%22')),sort:!(Time,asc))</v>
      </c>
      <c r="W202" s="54" t="str">
        <f t="shared" si="98"/>
        <v>N</v>
      </c>
      <c r="X202" s="120">
        <f t="shared" si="103"/>
        <v>1</v>
      </c>
      <c r="Y202" s="69">
        <f t="shared" si="99"/>
        <v>9.6000000000000002E-2</v>
      </c>
      <c r="Z202" s="69">
        <f t="shared" si="105"/>
        <v>5.8956</v>
      </c>
      <c r="AA202" s="69">
        <f t="shared" si="100"/>
        <v>5.7995999999999999</v>
      </c>
      <c r="AB202" s="66" t="e">
        <f>VLOOKUP(A202,Enforcements!$C$7:$J$21,8,0)</f>
        <v>#N/A</v>
      </c>
      <c r="AC202" s="62" t="e">
        <f>VLOOKUP(A202,Enforcements!$C$7:$E$21,3,0)</f>
        <v>#N/A</v>
      </c>
      <c r="AD202" s="63" t="str">
        <f t="shared" si="101"/>
        <v>0845-31</v>
      </c>
      <c r="AE202" s="99" t="str">
        <f t="shared" si="74"/>
        <v>aws s3 cp s3://rtdc.mdm.uploadarchive/RTDC4007/2016-08-31/ "%USERPROFILE%\AppData\Local\Temp\OnboardLogs"\RTDC4007\2016-08-31 --recursive &amp; "%USERPROFILE%\Documents\GitHub\mrs-test-scripts\Headless Mode &amp; Sideloading\WalkAndUnGZ.bat" "%USERPROFILE%\AppData\Local\Temp\OnboardLogs"\RTDC4007\2016-08-31 &amp; aws s3 cp s3://rtdc.mdm.uploadarchive/RTDC4007/2016-09-01/ "%USERPROFILE%\AppData\Local\Temp\OnboardLogs"\RTDC4007\2016-09-01 --recursive &amp; "%USERPROFILE%\Documents\GitHub\mrs-test-scripts\Headless Mode &amp; Sideloading\WalkAndUnGZ.bat" "%USERPROFILE%\AppData\Local\Temp\OnboardLogs"\RTDC4007\2016-09-01</v>
      </c>
      <c r="AF202" s="96" t="str">
        <f t="shared" si="75"/>
        <v>"C:\Program Files (x86)\AstroGrep\AstroGrep.exe" /spath="%USERPROFILE%\AppData\Local\Temp\OnboardLogs" /stypes="*4007*20160901*" /stext=" 03:.+((SYSTEM_STATE.+slice.+state.+changed )|(ment ac)|(system.+state.+changed )|(\|lc)|(penalty)|(\[timeout)|(PRM\|1\|D)|(kpr)|(kdp))" /e /r /s</v>
      </c>
      <c r="AG202" s="1" t="str">
        <f t="shared" si="102"/>
        <v>NW</v>
      </c>
      <c r="AH202" s="100" t="str">
        <f t="shared" si="86"/>
        <v>"%USERPROFILE%\Documents\GitHub\eaglep3\Utilities\RefineRTDCRunTimes.py" --tripid 845-31 --locoid 4007 --swversion DE.1.0.7.0 --startMP 204:960 --initTime 2016-08-31T21:09:03 --startdatetime 2016-08-31T21:21:18 --delay 1 --endMP 300:58956 --enddatetime 2016-08-31T21:35:51 --enforcementcount 0 &gt;&gt;C:\Users\stu\Documents\GitHub\eaglep3-reporting\EC\2016-08-31-refined-times.txt</v>
      </c>
      <c r="AI202" s="149" t="str">
        <f t="shared" si="87"/>
        <v>echo {"issue":{"subject":"","project_id":79,"tracker_id":40,"status_id":1,"priority_id":2,"assigned_to_id":23,"start_date":"2016-08-31","description":"","custom_fields":[{"id":1,"name":"Subdivision","value":"NW"},{"id":4,"name":"Milepost","value":"5.7996"},{"id":17,"name":"Train ID","value":"845-31"},{"id":16,"name":"Locomotive ID","value":"4007"},{"id":130,"name":"Impact","value":""},{"id":150,"name":"Time of Event (Mountain Time)","value":"21:35:51"},{"id":151,"name":"Denver Issue ID","value":""},{"id":178,"name":"Operational Impact","value":"Yes"},{"id":179,"name":"Denver Segment Assigned","value":""}]}} | curl -X POST -H "Content-Type: application/json" -H "X-Redmine-API-Key: d6333d4a04012a730768444271f8ca06482dae87" https://secure.xorail.net/redmine/issues.json --data @-</v>
      </c>
      <c r="AJ202" s="55"/>
      <c r="AK202" s="55"/>
      <c r="AL202" s="55"/>
    </row>
    <row r="203" spans="1:38" x14ac:dyDescent="0.25">
      <c r="A203" s="39" t="s">
        <v>704</v>
      </c>
      <c r="B203" s="7">
        <v>4007</v>
      </c>
      <c r="C203" s="24" t="s">
        <v>113</v>
      </c>
      <c r="D203" s="24" t="s">
        <v>705</v>
      </c>
      <c r="E203" s="15">
        <v>42613.925335648149</v>
      </c>
      <c r="F203" s="15">
        <v>42613.931400462963</v>
      </c>
      <c r="G203" s="7">
        <v>1</v>
      </c>
      <c r="H203" s="15" t="s">
        <v>659</v>
      </c>
      <c r="I203" s="15">
        <v>42613.941504629627</v>
      </c>
      <c r="J203" s="7">
        <v>0</v>
      </c>
      <c r="K203" s="132" t="str">
        <f t="shared" si="94"/>
        <v>4007/4008</v>
      </c>
      <c r="L203" s="24" t="str">
        <f>VLOOKUP(A203,'Trips&amp;Operators'!$C$1:$E$10000,3,FALSE)</f>
        <v>HILLS</v>
      </c>
      <c r="M203" s="6">
        <f t="shared" si="95"/>
        <v>1.0104166663950309E-2</v>
      </c>
      <c r="N203" s="7">
        <f t="shared" si="104"/>
        <v>14.549999996088445</v>
      </c>
      <c r="O203" s="7"/>
      <c r="P203" s="7"/>
      <c r="Q203" s="25"/>
      <c r="R203" s="25"/>
      <c r="S203" s="37">
        <f t="shared" si="106"/>
        <v>1</v>
      </c>
      <c r="T203" s="52" t="str">
        <f t="shared" si="96"/>
        <v>NorthBound</v>
      </c>
      <c r="U203" s="126">
        <f>IF(AG203="EC",COUNTIFS(Variables!$M$2:$M$19,IF(T203="NorthBound","&gt;=","&lt;=")&amp;Y203,Variables!$M$2:$M$19,IF(T203="NorthBound","&lt;=","&gt;=")&amp;Z203),COUNTIFS(Variables!$P$2:$P$19,IF(T203="NorthBound","&gt;=","&lt;=")&amp;Y203,Variables!$P$2:$P$19,IF(T203="NorthBound","&lt;=","&gt;=")&amp;Z203))</f>
        <v>1</v>
      </c>
      <c r="V203" s="106" t="str">
        <f t="shared" si="97"/>
        <v>https://search-rtdc-monitor-bjffxe2xuh6vdkpspy63sjmuny.us-east-1.es.amazonaws.com/_plugin/kibana/#/discover/Steve-Slow-Train-Analysis-(2080s-and-2083s)?_g=(refreshInterval:(display:Off,section:0,value:0),time:(from:'2016-08-31 21:12:29-0600',mode:absolute,to:'2016-08-31 23:35:46-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4007%22')),sort:!(Time,asc))</v>
      </c>
      <c r="W203" s="54" t="str">
        <f t="shared" si="98"/>
        <v>N</v>
      </c>
      <c r="X203" s="120">
        <f t="shared" si="103"/>
        <v>2</v>
      </c>
      <c r="Y203" s="69">
        <f t="shared" si="99"/>
        <v>9.69E-2</v>
      </c>
      <c r="Z203" s="69">
        <f t="shared" si="105"/>
        <v>5.8986000000000001</v>
      </c>
      <c r="AA203" s="69">
        <f t="shared" si="100"/>
        <v>5.8017000000000003</v>
      </c>
      <c r="AB203" s="66" t="e">
        <f>VLOOKUP(A203,Enforcements!$C$7:$J$21,8,0)</f>
        <v>#N/A</v>
      </c>
      <c r="AC203" s="62" t="e">
        <f>VLOOKUP(A203,Enforcements!$C$7:$E$21,3,0)</f>
        <v>#N/A</v>
      </c>
      <c r="AD203" s="63" t="str">
        <f t="shared" si="101"/>
        <v>0847-31</v>
      </c>
      <c r="AE203" s="99" t="str">
        <f t="shared" ref="AE203:AE222" si="107">"aws s3 cp "&amp;s3_bucket&amp;"/RTDC"&amp;B203&amp;"/"&amp;TEXT(F203,"YYYY-MM-DD")&amp;"/ "&amp;search_path&amp;"\RTDC"&amp;B203&amp;"\"&amp;TEXT(F203,"YYYY-MM-DD")&amp;" --recursive &amp; """&amp;walkandungz&amp;""" "&amp;search_path&amp;"\RTDC"&amp;B203&amp;"\"&amp;TEXT(F203,"YYYY-MM-DD")
&amp;" &amp; "&amp;"aws s3 cp "&amp;s3_bucket&amp;"/RTDC"&amp;B203&amp;"/"&amp;TEXT(F203+1,"YYYY-MM-DD")&amp;"/ "&amp;search_path&amp;"\RTDC"&amp;B203&amp;"\"&amp;TEXT(F203+1,"YYYY-MM-DD")&amp;" --recursive &amp; """&amp;walkandungz&amp;""" "&amp;search_path&amp;"\RTDC"&amp;B203&amp;"\"&amp;TEXT(F203+1,"YYYY-MM-DD")</f>
        <v>aws s3 cp s3://rtdc.mdm.uploadarchive/RTDC4007/2016-08-31/ "%USERPROFILE%\AppData\Local\Temp\OnboardLogs"\RTDC4007\2016-08-31 --recursive &amp; "%USERPROFILE%\Documents\GitHub\mrs-test-scripts\Headless Mode &amp; Sideloading\WalkAndUnGZ.bat" "%USERPROFILE%\AppData\Local\Temp\OnboardLogs"\RTDC4007\2016-08-31 &amp; aws s3 cp s3://rtdc.mdm.uploadarchive/RTDC4007/2016-09-01/ "%USERPROFILE%\AppData\Local\Temp\OnboardLogs"\RTDC4007\2016-09-01 --recursive &amp; "%USERPROFILE%\Documents\GitHub\mrs-test-scripts\Headless Mode &amp; Sideloading\WalkAndUnGZ.bat" "%USERPROFILE%\AppData\Local\Temp\OnboardLogs"\RTDC4007\2016-09-01</v>
      </c>
      <c r="AF203" s="96" t="str">
        <f t="shared" ref="AF203:AF222" si="108">astrogrep_path&amp;" /spath="&amp;search_path&amp;" /stypes=""*"&amp;B203&amp;"*"&amp;TEXT(I203-utc_offset/24,"YYYYMMDD")&amp;"*"" /stext="" "&amp;TEXT(I203-utc_offset/24,"HH")&amp;search_regexp&amp;""" /e /r /s"</f>
        <v>"C:\Program Files (x86)\AstroGrep\AstroGrep.exe" /spath="%USERPROFILE%\AppData\Local\Temp\OnboardLogs" /stypes="*4007*20160901*" /stext=" 04:.+((SYSTEM_STATE.+slice.+state.+changed )|(ment ac)|(system.+state.+changed )|(\|lc)|(penalty)|(\[timeout)|(PRM\|1\|D)|(kpr)|(kdp))" /e /r /s</v>
      </c>
      <c r="AG203" s="1" t="str">
        <f t="shared" si="102"/>
        <v>NW</v>
      </c>
      <c r="AH203" s="100" t="str">
        <f t="shared" ref="AH203:AH222" si="109">refinertdcruntimes&amp;" --tripid "&amp;A203&amp;" --locoid "&amp;B203&amp;" --swversion "&amp;C203&amp;" --startMP "&amp;D203&amp;" --initTime "&amp;TEXT(E203,"yyyy-mm-ddTHH:MM:SS")&amp;" --startdatetime "&amp;TEXT(F203,"yyyy-mm-ddTHH:MM:SS")&amp;" --delay "&amp;G203&amp;" --endMP "&amp;H203&amp;" --enddatetime "&amp;TEXT(I203,"yyyy-mm-ddTHH:MM:SS")&amp;" --enforcementcount "&amp;J203&amp;IF(outputrefinedruntimes," &gt;&gt;"&amp;RefinedRTDCRunTimesOutputFile,"")</f>
        <v>"%USERPROFILE%\Documents\GitHub\eaglep3\Utilities\RefineRTDCRunTimes.py" --tripid 847-31 --locoid 4007 --swversion DE.1.0.7.0 --startMP 204:969 --initTime 2016-08-31T22:12:29 --startdatetime 2016-08-31T22:21:13 --delay 1 --endMP 300:58986 --enddatetime 2016-08-31T22:35:46 --enforcementcount 0 &gt;&gt;C:\Users\stu\Documents\GitHub\eaglep3-reporting\EC\2016-08-31-refined-times.txt</v>
      </c>
      <c r="AI203" s="149" t="str">
        <f t="shared" ref="AI203:AI222" si="110">"echo {""issue"":{""subject"":"""&amp;R203&amp;""",""project_id"":79,""tracker_id"":40,""status_id"":"&amp;redmine_status&amp;",""priority_id"":"&amp;redmine_priority&amp;",""assigned_to_id"":"&amp;redmine_assignee&amp;",""start_date"":"""&amp;TEXT(I203,"YYYY-mm-dd")&amp;""",""description"":"""&amp;AJ203&amp;""",""custom_fields"":[{""id"":1,""name"":""Subdivision"",""value"":"""&amp;AG203&amp;"""},{""id"":4,""name"":""Milepost"",""value"":"""&amp;AA203&amp;"""},{""id"":17,""name"":""Train ID"",""value"":"""&amp;A203&amp;"""},{""id"":16,""name"":""Locomotive ID"",""value"":"""&amp;B203&amp;"""},{""id"":130,""name"":""Impact"",""value"":"""&amp;AK203&amp;"""},{""id"":150,""name"":""Time of Event (Mountain Time)"",""value"":"""&amp;TEXT(I203,"hh:mm:ss")&amp;"""},{""id"":151,""name"":""Denver Issue ID"",""value"":"""&amp;"""},{""id"":178,""name"":""Operational Impact"",""value"":"""&amp;redmine_op_impact&amp;"""},{""id"":179,""name"":""Denver Segment Assigned"",""value"":"""&amp;AL203&amp;"""}]}}"&amp;" | curl -X POST -H ""Content-Type: application/json"" -H ""X-Redmine-API-Key: "&amp;redm_api_key&amp;""" "&amp;redm_url&amp;" --data @-"</f>
        <v>echo {"issue":{"subject":"","project_id":79,"tracker_id":40,"status_id":1,"priority_id":2,"assigned_to_id":23,"start_date":"2016-08-31","description":"","custom_fields":[{"id":1,"name":"Subdivision","value":"NW"},{"id":4,"name":"Milepost","value":"5.8017"},{"id":17,"name":"Train ID","value":"847-31"},{"id":16,"name":"Locomotive ID","value":"4007"},{"id":130,"name":"Impact","value":""},{"id":150,"name":"Time of Event (Mountain Time)","value":"22:35:46"},{"id":151,"name":"Denver Issue ID","value":""},{"id":178,"name":"Operational Impact","value":"Yes"},{"id":179,"name":"Denver Segment Assigned","value":""}]}} | curl -X POST -H "Content-Type: application/json" -H "X-Redmine-API-Key: d6333d4a04012a730768444271f8ca06482dae87" https://secure.xorail.net/redmine/issues.json --data @-</v>
      </c>
      <c r="AJ203" s="55"/>
      <c r="AK203" s="55"/>
      <c r="AL203" s="55"/>
    </row>
    <row r="204" spans="1:38" x14ac:dyDescent="0.25">
      <c r="A204" s="39" t="s">
        <v>582</v>
      </c>
      <c r="B204" s="7">
        <v>4014</v>
      </c>
      <c r="C204" s="24" t="s">
        <v>113</v>
      </c>
      <c r="D204" s="24" t="s">
        <v>287</v>
      </c>
      <c r="E204" s="15">
        <v>42613.783541666664</v>
      </c>
      <c r="F204" s="15">
        <v>25568.958333333332</v>
      </c>
      <c r="G204" s="7">
        <v>1</v>
      </c>
      <c r="H204" s="15" t="s">
        <v>300</v>
      </c>
      <c r="I204" s="15">
        <v>25568.958333333332</v>
      </c>
      <c r="J204" s="7">
        <v>0</v>
      </c>
      <c r="K204" s="132" t="str">
        <f t="shared" ref="K204:K222" si="111">IF(ISEVEN(B204),(B204-1)&amp;"/"&amp;B204,B204&amp;"/"&amp;(B204+1))</f>
        <v>4013/4014</v>
      </c>
      <c r="L204" s="24" t="str">
        <f>VLOOKUP(A204,'Trips&amp;Operators'!$C$1:$E$10000,3,FALSE)</f>
        <v>MAHAN</v>
      </c>
      <c r="M204" s="6">
        <f t="shared" ref="M204:M222" si="112">I204-F204</f>
        <v>0</v>
      </c>
      <c r="N204" s="7">
        <f t="shared" si="104"/>
        <v>0</v>
      </c>
      <c r="O204" s="7"/>
      <c r="P204" s="7"/>
      <c r="Q204" s="25"/>
      <c r="R204" s="25"/>
      <c r="S204" s="37">
        <f t="shared" si="106"/>
        <v>1</v>
      </c>
      <c r="T204" s="52" t="str">
        <f t="shared" ref="T204:T222" si="113">IF(ISEVEN(LEFT(AD204,4)),"Southbound","NorthBound")</f>
        <v>NorthBound</v>
      </c>
      <c r="U204" s="126">
        <f>IF(AG204="EC",COUNTIFS(Variables!$M$2:$M$19,IF(T204="NorthBound","&gt;=","&lt;=")&amp;Y204,Variables!$M$2:$M$19,IF(T204="NorthBound","&lt;=","&gt;=")&amp;Z204),COUNTIFS(Variables!$P$2:$P$19,IF(T204="NorthBound","&gt;=","&lt;=")&amp;Y204,Variables!$P$2:$P$19,IF(T204="NorthBound","&lt;=","&gt;=")&amp;Z204))</f>
        <v>1</v>
      </c>
      <c r="V204" s="106" t="str">
        <f t="shared" ref="V204:V222" si="114">"https://search-rtdc-monitor-bjffxe2xuh6vdkpspy63sjmuny.us-east-1.es.amazonaws.com/_plugin/kibana/#/discover/Steve-Slow-Train-Analysis-(2080s-and-2083s)?_g=(refreshInterval:(display:Off,section:0,value:0),time:(from:'"&amp;TEXT(E204-1/24,"yyyy-MM-DD hh:mm:ss")&amp;"-0600',mode:absolute,to:'"&amp;TEXT(I204+1/24,"yyyy-MM-DD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filters:!(),index:'emp_*',interval:auto,query:"&amp;"(query_string:(analyze_wildcard:!t,query:'Message%5C%20ID:(2083%20OR%202080%20OR%201041%20OR%202003%20OR%201051)%20AND%20%22rtdc.l.rtdc."&amp;B204&amp;"%22')),sort:!(Time,asc))"</f>
        <v>https://search-rtdc-monitor-bjffxe2xuh6vdkpspy63sjmuny.us-east-1.es.amazonaws.com/_plugin/kibana/#/discover/Steve-Slow-Train-Analysis-(2080s-and-2083s)?_g=(refreshInterval:(display:Off,section:0,value:0),time:(from:'2016-08-31 17:48:18-0600',mode:absolute,to:'1970-01-01 00:00: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4014%22')),sort:!(Time,asc))</v>
      </c>
      <c r="W204" s="54" t="str">
        <f t="shared" ref="W204:W222" si="115">IF(AA204&lt;IF(AG204="EC",23,5.65),"Y","N")</f>
        <v>Y</v>
      </c>
      <c r="X204" s="120">
        <f t="shared" si="103"/>
        <v>-544</v>
      </c>
      <c r="Y204" s="69">
        <f t="shared" ref="Y204:Y222" si="116">RIGHT(D204,LEN(D204)-4)/10000</f>
        <v>4.9700000000000001E-2</v>
      </c>
      <c r="Z204" s="69">
        <f t="shared" si="105"/>
        <v>2.3306</v>
      </c>
      <c r="AA204" s="69">
        <f t="shared" ref="AA204:AA222" si="117">ABS(Z204-Y204)</f>
        <v>2.2808999999999999</v>
      </c>
      <c r="AB204" s="66" t="e">
        <f>VLOOKUP(A204,Enforcements!$C$7:$J$21,8,0)</f>
        <v>#N/A</v>
      </c>
      <c r="AC204" s="62" t="e">
        <f>VLOOKUP(A204,Enforcements!$C$7:$E$21,3,0)</f>
        <v>#N/A</v>
      </c>
      <c r="AD204" s="63" t="str">
        <f t="shared" ref="AD204:AD222" si="118">IF(LEN(A204)=6,"0"&amp;A204,A204)</f>
        <v>0303-31</v>
      </c>
      <c r="AE204" s="99" t="str">
        <f t="shared" si="107"/>
        <v>aws s3 cp s3://rtdc.mdm.uploadarchive/RTDC4014/1969-12-31/ "%USERPROFILE%\AppData\Local\Temp\OnboardLogs"\RTDC4014\1969-12-31 --recursive &amp; "%USERPROFILE%\Documents\GitHub\mrs-test-scripts\Headless Mode &amp; Sideloading\WalkAndUnGZ.bat" "%USERPROFILE%\AppData\Local\Temp\OnboardLogs"\RTDC4014\1969-12-31 &amp; aws s3 cp s3://rtdc.mdm.uploadarchive/RTDC4014/1970-01-01/ "%USERPROFILE%\AppData\Local\Temp\OnboardLogs"\RTDC4014\1970-01-01 --recursive &amp; "%USERPROFILE%\Documents\GitHub\mrs-test-scripts\Headless Mode &amp; Sideloading\WalkAndUnGZ.bat" "%USERPROFILE%\AppData\Local\Temp\OnboardLogs"\RTDC4014\1970-01-01</v>
      </c>
      <c r="AF204" s="96" t="str">
        <f t="shared" si="108"/>
        <v>"C:\Program Files (x86)\AstroGrep\AstroGrep.exe" /spath="%USERPROFILE%\AppData\Local\Temp\OnboardLogs" /stypes="*4014*19700101*" /stext=" 05:.+((SYSTEM_STATE.+slice.+state.+changed )|(ment ac)|(system.+state.+changed )|(\|lc)|(penalty)|(\[timeout)|(PRM\|1\|D)|(kpr)|(kdp))" /e /r /s</v>
      </c>
      <c r="AG204" s="1" t="str">
        <f t="shared" ref="AG204:AG222" si="119">IFERROR(IF(VALUE(LEFT(AD204,2))&lt;=2,"EC",IF(OR(VALUE(LEFT(AD204,2))=8,VALUE(LEFT(AD204,2))=18),"NW","Other")),"Other")</f>
        <v>Other</v>
      </c>
      <c r="AH204" s="100" t="str">
        <f t="shared" si="109"/>
        <v>"%USERPROFILE%\Documents\GitHub\eaglep3\Utilities\RefineRTDCRunTimes.py" --tripid 303-31 --locoid 4014 --swversion DE.1.0.7.0 --startMP 204:497 --initTime 2016-08-31T18:48:18 --startdatetime 1969-12-31T23:00:00 --delay 1 --endMP 300:23306 --enddatetime 1969-12-31T23:00:00 --enforcementcount 0 &gt;&gt;C:\Users\stu\Documents\GitHub\eaglep3-reporting\EC\2016-08-31-refined-times.txt</v>
      </c>
      <c r="AI204" s="149" t="str">
        <f t="shared" si="110"/>
        <v>echo {"issue":{"subject":"","project_id":79,"tracker_id":40,"status_id":1,"priority_id":2,"assigned_to_id":23,"start_date":"1969-12-31","description":"","custom_fields":[{"id":1,"name":"Subdivision","value":"Other"},{"id":4,"name":"Milepost","value":"2.2809"},{"id":17,"name":"Train ID","value":"303-31"},{"id":16,"name":"Locomotive ID","value":"4014"},{"id":130,"name":"Impact","value":""},{"id":150,"name":"Time of Event (Mountain Time)","value":"23:00:00"},{"id":151,"name":"Denver Issue ID","value":""},{"id":178,"name":"Operational Impact","value":"Yes"},{"id":179,"name":"Denver Segment Assigned","value":""}]}} | curl -X POST -H "Content-Type: application/json" -H "X-Redmine-API-Key: d6333d4a04012a730768444271f8ca06482dae87" https://secure.xorail.net/redmine/issues.json --data @-</v>
      </c>
      <c r="AJ204" s="55"/>
      <c r="AK204" s="55"/>
      <c r="AL204" s="55"/>
    </row>
    <row r="205" spans="1:38" x14ac:dyDescent="0.25">
      <c r="A205" s="39" t="s">
        <v>583</v>
      </c>
      <c r="B205" s="7">
        <v>4027</v>
      </c>
      <c r="C205" s="24" t="s">
        <v>113</v>
      </c>
      <c r="D205" s="24" t="s">
        <v>252</v>
      </c>
      <c r="E205" s="15">
        <v>42614.02684027778</v>
      </c>
      <c r="F205" s="15">
        <v>42614.028773148151</v>
      </c>
      <c r="G205" s="7">
        <v>2</v>
      </c>
      <c r="H205" s="15" t="s">
        <v>584</v>
      </c>
      <c r="I205" s="15">
        <v>42614.034780092596</v>
      </c>
      <c r="J205" s="7">
        <v>0</v>
      </c>
      <c r="K205" s="132" t="str">
        <f t="shared" si="111"/>
        <v>4027/4028</v>
      </c>
      <c r="L205" s="24" t="str">
        <f>VLOOKUP(A205,'Trips&amp;Operators'!$C$1:$E$10000,3,FALSE)</f>
        <v>STURGEON</v>
      </c>
      <c r="M205" s="6">
        <f t="shared" si="112"/>
        <v>6.0069444443797693E-3</v>
      </c>
      <c r="N205" s="7">
        <f t="shared" si="104"/>
        <v>8.6499999999068677</v>
      </c>
      <c r="O205" s="7"/>
      <c r="P205" s="7"/>
      <c r="Q205" s="25"/>
      <c r="R205" s="25"/>
      <c r="S205" s="37">
        <f t="shared" si="106"/>
        <v>1</v>
      </c>
      <c r="T205" s="52" t="str">
        <f t="shared" si="113"/>
        <v>NorthBound</v>
      </c>
      <c r="U205" s="126">
        <f>IF(AG205="EC",COUNTIFS(Variables!$M$2:$M$19,IF(T205="NorthBound","&gt;=","&lt;=")&amp;Y205,Variables!$M$2:$M$19,IF(T205="NorthBound","&lt;=","&gt;=")&amp;Z205),COUNTIFS(Variables!$P$2:$P$19,IF(T205="NorthBound","&gt;=","&lt;=")&amp;Y205,Variables!$P$2:$P$19,IF(T205="NorthBound","&lt;=","&gt;=")&amp;Z205))</f>
        <v>1</v>
      </c>
      <c r="V205" s="106" t="str">
        <f t="shared" si="114"/>
        <v>https://search-rtdc-monitor-bjffxe2xuh6vdkpspy63sjmuny.us-east-1.es.amazonaws.com/_plugin/kibana/#/discover/Steve-Slow-Train-Analysis-(2080s-and-2083s)?_g=(refreshInterval:(display:Off,section:0,value:0),time:(from:'2016-08-31 23:38:39-0600',mode:absolute,to:'2016-09-01 01:50:05-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4027%22')),sort:!(Time,asc))</v>
      </c>
      <c r="W205" s="54" t="str">
        <f t="shared" si="115"/>
        <v>Y</v>
      </c>
      <c r="X205" s="120">
        <f t="shared" si="103"/>
        <v>6</v>
      </c>
      <c r="Y205" s="69">
        <f t="shared" si="116"/>
        <v>4.7500000000000001E-2</v>
      </c>
      <c r="Z205" s="69">
        <f t="shared" si="105"/>
        <v>2.2589000000000001</v>
      </c>
      <c r="AA205" s="69">
        <f t="shared" si="117"/>
        <v>2.2114000000000003</v>
      </c>
      <c r="AB205" s="66" t="e">
        <f>VLOOKUP(A205,Enforcements!$C$7:$J$21,8,0)</f>
        <v>#N/A</v>
      </c>
      <c r="AC205" s="62" t="e">
        <f>VLOOKUP(A205,Enforcements!$C$7:$E$21,3,0)</f>
        <v>#N/A</v>
      </c>
      <c r="AD205" s="63" t="str">
        <f t="shared" si="118"/>
        <v>0309-31</v>
      </c>
      <c r="AE205" s="99" t="str">
        <f t="shared" si="107"/>
        <v>aws s3 cp s3://rtdc.mdm.uploadarchive/RTDC4027/2016-09-01/ "%USERPROFILE%\AppData\Local\Temp\OnboardLogs"\RTDC4027\2016-09-01 --recursive &amp; "%USERPROFILE%\Documents\GitHub\mrs-test-scripts\Headless Mode &amp; Sideloading\WalkAndUnGZ.bat" "%USERPROFILE%\AppData\Local\Temp\OnboardLogs"\RTDC4027\2016-09-01 &amp; aws s3 cp s3://rtdc.mdm.uploadarchive/RTDC4027/2016-09-02/ "%USERPROFILE%\AppData\Local\Temp\OnboardLogs"\RTDC4027\2016-09-02 --recursive &amp; "%USERPROFILE%\Documents\GitHub\mrs-test-scripts\Headless Mode &amp; Sideloading\WalkAndUnGZ.bat" "%USERPROFILE%\AppData\Local\Temp\OnboardLogs"\RTDC4027\2016-09-02</v>
      </c>
      <c r="AF205" s="96" t="str">
        <f t="shared" si="108"/>
        <v>"C:\Program Files (x86)\AstroGrep\AstroGrep.exe" /spath="%USERPROFILE%\AppData\Local\Temp\OnboardLogs" /stypes="*4027*20160901*" /stext=" 06:.+((SYSTEM_STATE.+slice.+state.+changed )|(ment ac)|(system.+state.+changed )|(\|lc)|(penalty)|(\[timeout)|(PRM\|1\|D)|(kpr)|(kdp))" /e /r /s</v>
      </c>
      <c r="AG205" s="1" t="str">
        <f t="shared" si="119"/>
        <v>Other</v>
      </c>
      <c r="AH205" s="100" t="str">
        <f t="shared" si="109"/>
        <v>"%USERPROFILE%\Documents\GitHub\eaglep3\Utilities\RefineRTDCRunTimes.py" --tripid 309-31 --locoid 4027 --swversion DE.1.0.7.0 --startMP 204:475 --initTime 2016-09-01T00:38:39 --startdatetime 2016-09-01T00:41:26 --delay 2 --endMP 300:22589 --enddatetime 2016-09-01T00:50:05 --enforcementcount 0 &gt;&gt;C:\Users\stu\Documents\GitHub\eaglep3-reporting\EC\2016-08-31-refined-times.txt</v>
      </c>
      <c r="AI205" s="149" t="str">
        <f t="shared" si="110"/>
        <v>echo {"issue":{"subject":"","project_id":79,"tracker_id":40,"status_id":1,"priority_id":2,"assigned_to_id":23,"start_date":"2016-09-01","description":"","custom_fields":[{"id":1,"name":"Subdivision","value":"Other"},{"id":4,"name":"Milepost","value":"2.2114"},{"id":17,"name":"Train ID","value":"309-31"},{"id":16,"name":"Locomotive ID","value":"4027"},{"id":130,"name":"Impact","value":""},{"id":150,"name":"Time of Event (Mountain Time)","value":"00:50:05"},{"id":151,"name":"Denver Issue ID","value":""},{"id":178,"name":"Operational Impact","value":"Yes"},{"id":179,"name":"Denver Segment Assigned","value":""}]}} | curl -X POST -H "Content-Type: application/json" -H "X-Redmine-API-Key: d6333d4a04012a730768444271f8ca06482dae87" https://secure.xorail.net/redmine/issues.json --data @-</v>
      </c>
      <c r="AJ205" s="55"/>
      <c r="AK205" s="55"/>
      <c r="AL205" s="55"/>
    </row>
    <row r="206" spans="1:38" x14ac:dyDescent="0.25">
      <c r="A206" s="39" t="s">
        <v>585</v>
      </c>
      <c r="B206" s="7">
        <v>4029</v>
      </c>
      <c r="C206" s="24" t="s">
        <v>113</v>
      </c>
      <c r="D206" s="24" t="s">
        <v>171</v>
      </c>
      <c r="E206" s="15">
        <v>42614.047129629631</v>
      </c>
      <c r="F206" s="15">
        <v>25568.958333333332</v>
      </c>
      <c r="G206" s="7">
        <v>1</v>
      </c>
      <c r="H206" s="15" t="s">
        <v>586</v>
      </c>
      <c r="I206" s="15">
        <v>25568.958333333332</v>
      </c>
      <c r="J206" s="7">
        <v>0</v>
      </c>
      <c r="K206" s="132" t="str">
        <f t="shared" si="111"/>
        <v>4029/4030</v>
      </c>
      <c r="L206" s="24" t="str">
        <f>VLOOKUP(A206,'Trips&amp;Operators'!$C$1:$E$10000,3,FALSE)</f>
        <v>YANAI</v>
      </c>
      <c r="M206" s="6">
        <f t="shared" si="112"/>
        <v>0</v>
      </c>
      <c r="N206" s="7">
        <f t="shared" si="104"/>
        <v>0</v>
      </c>
      <c r="O206" s="7"/>
      <c r="P206" s="7"/>
      <c r="Q206" s="25"/>
      <c r="R206" s="25"/>
      <c r="S206" s="37">
        <f t="shared" si="106"/>
        <v>1</v>
      </c>
      <c r="T206" s="52" t="str">
        <f t="shared" si="113"/>
        <v>NorthBound</v>
      </c>
      <c r="U206" s="126">
        <f>IF(AG206="EC",COUNTIFS(Variables!$M$2:$M$19,IF(T206="NorthBound","&gt;=","&lt;=")&amp;Y206,Variables!$M$2:$M$19,IF(T206="NorthBound","&lt;=","&gt;=")&amp;Z206),COUNTIFS(Variables!$P$2:$P$19,IF(T206="NorthBound","&gt;=","&lt;=")&amp;Y206,Variables!$P$2:$P$19,IF(T206="NorthBound","&lt;=","&gt;=")&amp;Z206))</f>
        <v>1</v>
      </c>
      <c r="V206" s="106" t="str">
        <f t="shared" si="114"/>
        <v>https://search-rtdc-monitor-bjffxe2xuh6vdkpspy63sjmuny.us-east-1.es.amazonaws.com/_plugin/kibana/#/discover/Steve-Slow-Train-Analysis-(2080s-and-2083s)?_g=(refreshInterval:(display:Off,section:0,value:0),time:(from:'2016-09-01 00:07:52-0600',mode:absolute,to:'1970-01-01 00:00: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4029%22')),sort:!(Time,asc))</v>
      </c>
      <c r="W206" s="54" t="str">
        <f t="shared" si="115"/>
        <v>Y</v>
      </c>
      <c r="X206" s="120">
        <f t="shared" si="103"/>
        <v>2</v>
      </c>
      <c r="Y206" s="69">
        <f t="shared" si="116"/>
        <v>4.7100000000000003E-2</v>
      </c>
      <c r="Z206" s="69">
        <f t="shared" si="105"/>
        <v>2.3300999999999998</v>
      </c>
      <c r="AA206" s="69">
        <f t="shared" si="117"/>
        <v>2.2829999999999999</v>
      </c>
      <c r="AB206" s="66" t="e">
        <f>VLOOKUP(A206,Enforcements!$C$7:$J$21,8,0)</f>
        <v>#N/A</v>
      </c>
      <c r="AC206" s="62" t="e">
        <f>VLOOKUP(A206,Enforcements!$C$7:$E$21,3,0)</f>
        <v>#N/A</v>
      </c>
      <c r="AD206" s="63" t="str">
        <f t="shared" si="118"/>
        <v>0311-31</v>
      </c>
      <c r="AE206" s="99" t="str">
        <f t="shared" si="107"/>
        <v>aws s3 cp s3://rtdc.mdm.uploadarchive/RTDC4029/1969-12-31/ "%USERPROFILE%\AppData\Local\Temp\OnboardLogs"\RTDC4029\1969-12-31 --recursive &amp; "%USERPROFILE%\Documents\GitHub\mrs-test-scripts\Headless Mode &amp; Sideloading\WalkAndUnGZ.bat" "%USERPROFILE%\AppData\Local\Temp\OnboardLogs"\RTDC4029\1969-12-31 &amp; aws s3 cp s3://rtdc.mdm.uploadarchive/RTDC4029/1970-01-01/ "%USERPROFILE%\AppData\Local\Temp\OnboardLogs"\RTDC4029\1970-01-01 --recursive &amp; "%USERPROFILE%\Documents\GitHub\mrs-test-scripts\Headless Mode &amp; Sideloading\WalkAndUnGZ.bat" "%USERPROFILE%\AppData\Local\Temp\OnboardLogs"\RTDC4029\1970-01-01</v>
      </c>
      <c r="AF206" s="96" t="str">
        <f t="shared" si="108"/>
        <v>"C:\Program Files (x86)\AstroGrep\AstroGrep.exe" /spath="%USERPROFILE%\AppData\Local\Temp\OnboardLogs" /stypes="*4029*19700101*" /stext=" 05:.+((SYSTEM_STATE.+slice.+state.+changed )|(ment ac)|(system.+state.+changed )|(\|lc)|(penalty)|(\[timeout)|(PRM\|1\|D)|(kpr)|(kdp))" /e /r /s</v>
      </c>
      <c r="AG206" s="1" t="str">
        <f t="shared" si="119"/>
        <v>Other</v>
      </c>
      <c r="AH206" s="100" t="str">
        <f t="shared" si="109"/>
        <v>"%USERPROFILE%\Documents\GitHub\eaglep3\Utilities\RefineRTDCRunTimes.py" --tripid 311-31 --locoid 4029 --swversion DE.1.0.7.0 --startMP 204:471 --initTime 2016-09-01T01:07:52 --startdatetime 1969-12-31T23:00:00 --delay 1 --endMP 300:23301 --enddatetime 1969-12-31T23:00:00 --enforcementcount 0 &gt;&gt;C:\Users\stu\Documents\GitHub\eaglep3-reporting\EC\2016-08-31-refined-times.txt</v>
      </c>
      <c r="AI206" s="149" t="str">
        <f t="shared" si="110"/>
        <v>echo {"issue":{"subject":"","project_id":79,"tracker_id":40,"status_id":1,"priority_id":2,"assigned_to_id":23,"start_date":"1969-12-31","description":"","custom_fields":[{"id":1,"name":"Subdivision","value":"Other"},{"id":4,"name":"Milepost","value":"2.283"},{"id":17,"name":"Train ID","value":"311-31"},{"id":16,"name":"Locomotive ID","value":"4029"},{"id":130,"name":"Impact","value":""},{"id":150,"name":"Time of Event (Mountain Time)","value":"23:00:00"},{"id":151,"name":"Denver Issue ID","value":""},{"id":178,"name":"Operational Impact","value":"Yes"},{"id":179,"name":"Denver Segment Assigned","value":""}]}} | curl -X POST -H "Content-Type: application/json" -H "X-Redmine-API-Key: d6333d4a04012a730768444271f8ca06482dae87" https://secure.xorail.net/redmine/issues.json --data @-</v>
      </c>
      <c r="AJ206" s="55"/>
      <c r="AK206" s="55"/>
      <c r="AL206" s="55"/>
    </row>
    <row r="207" spans="1:38" x14ac:dyDescent="0.25">
      <c r="A207" s="39" t="s">
        <v>317</v>
      </c>
      <c r="B207" s="7">
        <v>4020</v>
      </c>
      <c r="C207" s="24" t="s">
        <v>113</v>
      </c>
      <c r="D207" s="24" t="s">
        <v>346</v>
      </c>
      <c r="E207" s="15">
        <v>42613.067743055559</v>
      </c>
      <c r="F207" s="15">
        <v>25568.958333333332</v>
      </c>
      <c r="G207" s="7">
        <v>11</v>
      </c>
      <c r="H207" s="15" t="s">
        <v>346</v>
      </c>
      <c r="I207" s="15">
        <v>25568.958333333332</v>
      </c>
      <c r="J207" s="7">
        <v>0</v>
      </c>
      <c r="K207" s="132" t="str">
        <f t="shared" si="111"/>
        <v>4019/4020</v>
      </c>
      <c r="L207" s="24" t="str">
        <f>VLOOKUP(A207,'Trips&amp;Operators'!$C$1:$E$10000,3,FALSE)</f>
        <v>YANAI</v>
      </c>
      <c r="M207" s="6">
        <f t="shared" si="112"/>
        <v>0</v>
      </c>
      <c r="N207" s="7">
        <f t="shared" si="104"/>
        <v>0</v>
      </c>
      <c r="O207" s="7"/>
      <c r="P207" s="7"/>
      <c r="Q207" s="25"/>
      <c r="R207" s="25"/>
      <c r="S207" s="37">
        <f t="shared" si="106"/>
        <v>0</v>
      </c>
      <c r="T207" s="52" t="str">
        <f t="shared" si="113"/>
        <v>NorthBound</v>
      </c>
      <c r="U207" s="126">
        <f>IF(AG207="EC",COUNTIFS(Variables!$M$2:$M$19,IF(T207="NorthBound","&gt;=","&lt;=")&amp;Y207,Variables!$M$2:$M$19,IF(T207="NorthBound","&lt;=","&gt;=")&amp;Z207),COUNTIFS(Variables!$P$2:$P$19,IF(T207="NorthBound","&gt;=","&lt;=")&amp;Y207,Variables!$P$2:$P$19,IF(T207="NorthBound","&lt;=","&gt;=")&amp;Z207))</f>
        <v>0</v>
      </c>
      <c r="V207" s="106" t="str">
        <f t="shared" si="114"/>
        <v>https://search-rtdc-monitor-bjffxe2xuh6vdkpspy63sjmuny.us-east-1.es.amazonaws.com/_plugin/kibana/#/discover/Steve-Slow-Train-Analysis-(2080s-and-2083s)?_g=(refreshInterval:(display:Off,section:0,value:0),time:(from:'2016-08-31 00:37:33-0600',mode:absolute,to:'1970-01-01 00:00: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4020%22')),sort:!(Time,asc))</v>
      </c>
      <c r="W207" s="54" t="str">
        <f t="shared" si="115"/>
        <v>Y</v>
      </c>
      <c r="X207" s="120">
        <f t="shared" si="103"/>
        <v>2</v>
      </c>
      <c r="Y207" s="69">
        <f t="shared" si="116"/>
        <v>2.3346</v>
      </c>
      <c r="Z207" s="69">
        <f t="shared" si="105"/>
        <v>2.3346</v>
      </c>
      <c r="AA207" s="69">
        <f t="shared" si="117"/>
        <v>0</v>
      </c>
      <c r="AB207" s="66" t="e">
        <f>VLOOKUP(A207,Enforcements!$C$7:$J$21,8,0)</f>
        <v>#N/A</v>
      </c>
      <c r="AC207" s="62" t="e">
        <f>VLOOKUP(A207,Enforcements!$C$7:$E$21,3,0)</f>
        <v>#N/A</v>
      </c>
      <c r="AD207" s="63" t="str">
        <f t="shared" si="118"/>
        <v>0313-30</v>
      </c>
      <c r="AE207" s="99" t="str">
        <f t="shared" si="107"/>
        <v>aws s3 cp s3://rtdc.mdm.uploadarchive/RTDC4020/1969-12-31/ "%USERPROFILE%\AppData\Local\Temp\OnboardLogs"\RTDC4020\1969-12-31 --recursive &amp; "%USERPROFILE%\Documents\GitHub\mrs-test-scripts\Headless Mode &amp; Sideloading\WalkAndUnGZ.bat" "%USERPROFILE%\AppData\Local\Temp\OnboardLogs"\RTDC4020\1969-12-31 &amp; aws s3 cp s3://rtdc.mdm.uploadarchive/RTDC4020/1970-01-01/ "%USERPROFILE%\AppData\Local\Temp\OnboardLogs"\RTDC4020\1970-01-01 --recursive &amp; "%USERPROFILE%\Documents\GitHub\mrs-test-scripts\Headless Mode &amp; Sideloading\WalkAndUnGZ.bat" "%USERPROFILE%\AppData\Local\Temp\OnboardLogs"\RTDC4020\1970-01-01</v>
      </c>
      <c r="AF207" s="96" t="str">
        <f t="shared" si="108"/>
        <v>"C:\Program Files (x86)\AstroGrep\AstroGrep.exe" /spath="%USERPROFILE%\AppData\Local\Temp\OnboardLogs" /stypes="*4020*19700101*" /stext=" 05:.+((SYSTEM_STATE.+slice.+state.+changed )|(ment ac)|(system.+state.+changed )|(\|lc)|(penalty)|(\[timeout)|(PRM\|1\|D)|(kpr)|(kdp))" /e /r /s</v>
      </c>
      <c r="AG207" s="1" t="str">
        <f t="shared" si="119"/>
        <v>Other</v>
      </c>
      <c r="AH207" s="100" t="str">
        <f t="shared" si="109"/>
        <v>"%USERPROFILE%\Documents\GitHub\eaglep3\Utilities\RefineRTDCRunTimes.py" --tripid 313-30 --locoid 4020 --swversion DE.1.0.7.0 --startMP 300:23346 --initTime 2016-08-31T01:37:33 --startdatetime 1969-12-31T23:00:00 --delay 11 --endMP 300:23346 --enddatetime 1969-12-31T23:00:00 --enforcementcount 0 &gt;&gt;C:\Users\stu\Documents\GitHub\eaglep3-reporting\EC\2016-08-31-refined-times.txt</v>
      </c>
      <c r="AI207" s="149" t="str">
        <f t="shared" si="110"/>
        <v>echo {"issue":{"subject":"","project_id":79,"tracker_id":40,"status_id":1,"priority_id":2,"assigned_to_id":23,"start_date":"1969-12-31","description":"","custom_fields":[{"id":1,"name":"Subdivision","value":"Other"},{"id":4,"name":"Milepost","value":"0"},{"id":17,"name":"Train ID","value":"313-30"},{"id":16,"name":"Locomotive ID","value":"4020"},{"id":130,"name":"Impact","value":""},{"id":150,"name":"Time of Event (Mountain Time)","value":"23:00:00"},{"id":151,"name":"Denver Issue ID","value":""},{"id":178,"name":"Operational Impact","value":"Yes"},{"id":179,"name":"Denver Segment Assigned","value":""}]}} | curl -X POST -H "Content-Type: application/json" -H "X-Redmine-API-Key: d6333d4a04012a730768444271f8ca06482dae87" https://secure.xorail.net/redmine/issues.json --data @-</v>
      </c>
      <c r="AJ207" s="55"/>
      <c r="AK207" s="55"/>
      <c r="AL207" s="55"/>
    </row>
    <row r="208" spans="1:38" x14ac:dyDescent="0.25">
      <c r="A208" s="39" t="s">
        <v>587</v>
      </c>
      <c r="B208" s="7">
        <v>4002</v>
      </c>
      <c r="C208" s="24" t="s">
        <v>113</v>
      </c>
      <c r="D208" s="24" t="s">
        <v>478</v>
      </c>
      <c r="E208" s="15">
        <v>42614.067685185182</v>
      </c>
      <c r="F208" s="15">
        <v>25568.958333333332</v>
      </c>
      <c r="G208" s="7">
        <v>1</v>
      </c>
      <c r="H208" s="15" t="s">
        <v>588</v>
      </c>
      <c r="I208" s="15">
        <v>25568.958333333332</v>
      </c>
      <c r="J208" s="7">
        <v>0</v>
      </c>
      <c r="K208" s="132" t="str">
        <f t="shared" si="111"/>
        <v>4001/4002</v>
      </c>
      <c r="L208" s="24" t="str">
        <f>VLOOKUP(A208,'Trips&amp;Operators'!$C$1:$E$10000,3,FALSE)</f>
        <v>STAMBAUGH</v>
      </c>
      <c r="M208" s="6">
        <f t="shared" si="112"/>
        <v>0</v>
      </c>
      <c r="N208" s="7">
        <f t="shared" si="104"/>
        <v>0</v>
      </c>
      <c r="O208" s="7"/>
      <c r="P208" s="7"/>
      <c r="Q208" s="25"/>
      <c r="R208" s="25"/>
      <c r="S208" s="37">
        <f t="shared" si="106"/>
        <v>1</v>
      </c>
      <c r="T208" s="52" t="str">
        <f t="shared" si="113"/>
        <v>NorthBound</v>
      </c>
      <c r="U208" s="126">
        <f>IF(AG208="EC",COUNTIFS(Variables!$M$2:$M$19,IF(T208="NorthBound","&gt;=","&lt;=")&amp;Y208,Variables!$M$2:$M$19,IF(T208="NorthBound","&lt;=","&gt;=")&amp;Z208),COUNTIFS(Variables!$P$2:$P$19,IF(T208="NorthBound","&gt;=","&lt;=")&amp;Y208,Variables!$P$2:$P$19,IF(T208="NorthBound","&lt;=","&gt;=")&amp;Z208))</f>
        <v>1</v>
      </c>
      <c r="V208" s="106" t="str">
        <f t="shared" si="114"/>
        <v>https://search-rtdc-monitor-bjffxe2xuh6vdkpspy63sjmuny.us-east-1.es.amazonaws.com/_plugin/kibana/#/discover/Steve-Slow-Train-Analysis-(2080s-and-2083s)?_g=(refreshInterval:(display:Off,section:0,value:0),time:(from:'2016-09-01 00:37:28-0600',mode:absolute,to:'1970-01-01 00:00: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4002%22')),sort:!(Time,asc))</v>
      </c>
      <c r="W208" s="54" t="str">
        <f t="shared" si="115"/>
        <v>Y</v>
      </c>
      <c r="X208" s="120">
        <f t="shared" si="103"/>
        <v>0</v>
      </c>
      <c r="Y208" s="69">
        <f t="shared" si="116"/>
        <v>4.6899999999999997E-2</v>
      </c>
      <c r="Z208" s="69">
        <f t="shared" si="105"/>
        <v>2.3056000000000001</v>
      </c>
      <c r="AA208" s="69">
        <f t="shared" si="117"/>
        <v>2.2587000000000002</v>
      </c>
      <c r="AB208" s="66" t="e">
        <f>VLOOKUP(A208,Enforcements!$C$7:$J$21,8,0)</f>
        <v>#N/A</v>
      </c>
      <c r="AC208" s="62" t="e">
        <f>VLOOKUP(A208,Enforcements!$C$7:$E$21,3,0)</f>
        <v>#N/A</v>
      </c>
      <c r="AD208" s="63" t="str">
        <f t="shared" si="118"/>
        <v>0313-31</v>
      </c>
      <c r="AE208" s="99" t="str">
        <f t="shared" si="107"/>
        <v>aws s3 cp s3://rtdc.mdm.uploadarchive/RTDC4002/1969-12-31/ "%USERPROFILE%\AppData\Local\Temp\OnboardLogs"\RTDC4002\1969-12-31 --recursive &amp; "%USERPROFILE%\Documents\GitHub\mrs-test-scripts\Headless Mode &amp; Sideloading\WalkAndUnGZ.bat" "%USERPROFILE%\AppData\Local\Temp\OnboardLogs"\RTDC4002\1969-12-31 &amp; aws s3 cp s3://rtdc.mdm.uploadarchive/RTDC4002/1970-01-01/ "%USERPROFILE%\AppData\Local\Temp\OnboardLogs"\RTDC4002\1970-01-01 --recursive &amp; "%USERPROFILE%\Documents\GitHub\mrs-test-scripts\Headless Mode &amp; Sideloading\WalkAndUnGZ.bat" "%USERPROFILE%\AppData\Local\Temp\OnboardLogs"\RTDC4002\1970-01-01</v>
      </c>
      <c r="AF208" s="96" t="str">
        <f t="shared" si="108"/>
        <v>"C:\Program Files (x86)\AstroGrep\AstroGrep.exe" /spath="%USERPROFILE%\AppData\Local\Temp\OnboardLogs" /stypes="*4002*19700101*" /stext=" 05:.+((SYSTEM_STATE.+slice.+state.+changed )|(ment ac)|(system.+state.+changed )|(\|lc)|(penalty)|(\[timeout)|(PRM\|1\|D)|(kpr)|(kdp))" /e /r /s</v>
      </c>
      <c r="AG208" s="1" t="str">
        <f t="shared" si="119"/>
        <v>Other</v>
      </c>
      <c r="AH208" s="100" t="str">
        <f t="shared" si="109"/>
        <v>"%USERPROFILE%\Documents\GitHub\eaglep3\Utilities\RefineRTDCRunTimes.py" --tripid 313-31 --locoid 4002 --swversion DE.1.0.7.0 --startMP 204:469 --initTime 2016-09-01T01:37:28 --startdatetime 1969-12-31T23:00:00 --delay 1 --endMP 300:23056 --enddatetime 1969-12-31T23:00:00 --enforcementcount 0 &gt;&gt;C:\Users\stu\Documents\GitHub\eaglep3-reporting\EC\2016-08-31-refined-times.txt</v>
      </c>
      <c r="AI208" s="149" t="str">
        <f t="shared" si="110"/>
        <v>echo {"issue":{"subject":"","project_id":79,"tracker_id":40,"status_id":1,"priority_id":2,"assigned_to_id":23,"start_date":"1969-12-31","description":"","custom_fields":[{"id":1,"name":"Subdivision","value":"Other"},{"id":4,"name":"Milepost","value":"2.2587"},{"id":17,"name":"Train ID","value":"313-31"},{"id":16,"name":"Locomotive ID","value":"4002"},{"id":130,"name":"Impact","value":""},{"id":150,"name":"Time of Event (Mountain Time)","value":"23:00:00"},{"id":151,"name":"Denver Issue ID","value":""},{"id":178,"name":"Operational Impact","value":"Yes"},{"id":179,"name":"Denver Segment Assigned","value":""}]}} | curl -X POST -H "Content-Type: application/json" -H "X-Redmine-API-Key: d6333d4a04012a730768444271f8ca06482dae87" https://secure.xorail.net/redmine/issues.json --data @-</v>
      </c>
      <c r="AJ208" s="55"/>
      <c r="AK208" s="55"/>
      <c r="AL208" s="55"/>
    </row>
    <row r="209" spans="1:38" x14ac:dyDescent="0.25">
      <c r="A209" s="39" t="s">
        <v>320</v>
      </c>
      <c r="B209" s="7">
        <v>4018</v>
      </c>
      <c r="C209" s="24" t="s">
        <v>113</v>
      </c>
      <c r="D209" s="24" t="s">
        <v>109</v>
      </c>
      <c r="E209" s="15">
        <v>42613.089872685188</v>
      </c>
      <c r="F209" s="15">
        <v>42613.091516203705</v>
      </c>
      <c r="G209" s="7">
        <v>1</v>
      </c>
      <c r="H209" s="15" t="s">
        <v>347</v>
      </c>
      <c r="I209" s="15">
        <v>42613.097638888888</v>
      </c>
      <c r="J209" s="7">
        <v>0</v>
      </c>
      <c r="K209" s="132" t="str">
        <f t="shared" si="111"/>
        <v>4017/4018</v>
      </c>
      <c r="L209" s="24" t="str">
        <f>VLOOKUP(A209,'Trips&amp;Operators'!$C$1:$E$10000,3,FALSE)</f>
        <v>CHANDLER</v>
      </c>
      <c r="M209" s="6">
        <f t="shared" si="112"/>
        <v>6.1226851830724627E-3</v>
      </c>
      <c r="N209" s="7">
        <f t="shared" si="104"/>
        <v>8.8166666636243463</v>
      </c>
      <c r="O209" s="7"/>
      <c r="P209" s="7"/>
      <c r="Q209" s="25"/>
      <c r="R209" s="25"/>
      <c r="S209" s="37">
        <f t="shared" si="106"/>
        <v>1</v>
      </c>
      <c r="T209" s="52" t="str">
        <f t="shared" si="113"/>
        <v>NorthBound</v>
      </c>
      <c r="U209" s="126">
        <f>IF(AG209="EC",COUNTIFS(Variables!$M$2:$M$19,IF(T209="NorthBound","&gt;=","&lt;=")&amp;Y209,Variables!$M$2:$M$19,IF(T209="NorthBound","&lt;=","&gt;=")&amp;Z209),COUNTIFS(Variables!$P$2:$P$19,IF(T209="NorthBound","&gt;=","&lt;=")&amp;Y209,Variables!$P$2:$P$19,IF(T209="NorthBound","&lt;=","&gt;=")&amp;Z209))</f>
        <v>1</v>
      </c>
      <c r="V209" s="106" t="str">
        <f t="shared" si="114"/>
        <v>https://search-rtdc-monitor-bjffxe2xuh6vdkpspy63sjmuny.us-east-1.es.amazonaws.com/_plugin/kibana/#/discover/Steve-Slow-Train-Analysis-(2080s-and-2083s)?_g=(refreshInterval:(display:Off,section:0,value:0),time:(from:'2016-08-31 01:09:25-0600',mode:absolute,to:'2016-08-31 03:20:36-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4018%22')),sort:!(Time,asc))</v>
      </c>
      <c r="W209" s="54" t="str">
        <f t="shared" si="115"/>
        <v>Y</v>
      </c>
      <c r="X209" s="120">
        <f t="shared" si="103"/>
        <v>2</v>
      </c>
      <c r="Y209" s="69">
        <f t="shared" si="116"/>
        <v>4.6199999999999998E-2</v>
      </c>
      <c r="Z209" s="69">
        <f t="shared" si="105"/>
        <v>2.2877000000000001</v>
      </c>
      <c r="AA209" s="69">
        <f t="shared" si="117"/>
        <v>2.2415000000000003</v>
      </c>
      <c r="AB209" s="66" t="e">
        <f>VLOOKUP(A209,Enforcements!$C$7:$J$21,8,0)</f>
        <v>#N/A</v>
      </c>
      <c r="AC209" s="62" t="e">
        <f>VLOOKUP(A209,Enforcements!$C$7:$E$21,3,0)</f>
        <v>#N/A</v>
      </c>
      <c r="AD209" s="63" t="str">
        <f t="shared" si="118"/>
        <v>0315-30</v>
      </c>
      <c r="AE209" s="99" t="str">
        <f t="shared" si="107"/>
        <v>aws s3 cp s3://rtdc.mdm.uploadarchive/RTDC4018/2016-08-31/ "%USERPROFILE%\AppData\Local\Temp\OnboardLogs"\RTDC4018\2016-08-31 --recursive &amp; "%USERPROFILE%\Documents\GitHub\mrs-test-scripts\Headless Mode &amp; Sideloading\WalkAndUnGZ.bat" "%USERPROFILE%\AppData\Local\Temp\OnboardLogs"\RTDC4018\2016-08-31 &amp; aws s3 cp s3://rtdc.mdm.uploadarchive/RTDC4018/2016-09-01/ "%USERPROFILE%\AppData\Local\Temp\OnboardLogs"\RTDC4018\2016-09-01 --recursive &amp; "%USERPROFILE%\Documents\GitHub\mrs-test-scripts\Headless Mode &amp; Sideloading\WalkAndUnGZ.bat" "%USERPROFILE%\AppData\Local\Temp\OnboardLogs"\RTDC4018\2016-09-01</v>
      </c>
      <c r="AF209" s="96" t="str">
        <f t="shared" si="108"/>
        <v>"C:\Program Files (x86)\AstroGrep\AstroGrep.exe" /spath="%USERPROFILE%\AppData\Local\Temp\OnboardLogs" /stypes="*4018*20160831*" /stext=" 08:.+((SYSTEM_STATE.+slice.+state.+changed )|(ment ac)|(system.+state.+changed )|(\|lc)|(penalty)|(\[timeout)|(PRM\|1\|D)|(kpr)|(kdp))" /e /r /s</v>
      </c>
      <c r="AG209" s="1" t="str">
        <f t="shared" si="119"/>
        <v>Other</v>
      </c>
      <c r="AH209" s="100" t="str">
        <f t="shared" si="109"/>
        <v>"%USERPROFILE%\Documents\GitHub\eaglep3\Utilities\RefineRTDCRunTimes.py" --tripid 315-30 --locoid 4018 --swversion DE.1.0.7.0 --startMP 204:462 --initTime 2016-08-31T02:09:25 --startdatetime 2016-08-31T02:11:47 --delay 1 --endMP 300:22877 --enddatetime 2016-08-31T02:20:36 --enforcementcount 0 &gt;&gt;C:\Users\stu\Documents\GitHub\eaglep3-reporting\EC\2016-08-31-refined-times.txt</v>
      </c>
      <c r="AI209" s="149" t="str">
        <f t="shared" si="110"/>
        <v>echo {"issue":{"subject":"","project_id":79,"tracker_id":40,"status_id":1,"priority_id":2,"assigned_to_id":23,"start_date":"2016-08-31","description":"","custom_fields":[{"id":1,"name":"Subdivision","value":"Other"},{"id":4,"name":"Milepost","value":"2.2415"},{"id":17,"name":"Train ID","value":"315-30"},{"id":16,"name":"Locomotive ID","value":"4018"},{"id":130,"name":"Impact","value":""},{"id":150,"name":"Time of Event (Mountain Time)","value":"02:20:36"},{"id":151,"name":"Denver Issue ID","value":""},{"id":178,"name":"Operational Impact","value":"Yes"},{"id":179,"name":"Denver Segment Assigned","value":""}]}} | curl -X POST -H "Content-Type: application/json" -H "X-Redmine-API-Key: d6333d4a04012a730768444271f8ca06482dae87" https://secure.xorail.net/redmine/issues.json --data @-</v>
      </c>
      <c r="AJ209" s="55"/>
      <c r="AK209" s="55"/>
      <c r="AL209" s="55"/>
    </row>
    <row r="210" spans="1:38" x14ac:dyDescent="0.25">
      <c r="A210" s="39" t="s">
        <v>589</v>
      </c>
      <c r="B210" s="7">
        <v>4016</v>
      </c>
      <c r="C210" s="24" t="s">
        <v>113</v>
      </c>
      <c r="D210" s="24" t="s">
        <v>125</v>
      </c>
      <c r="E210" s="15">
        <v>42614.088194444441</v>
      </c>
      <c r="F210" s="15">
        <v>25568.958333333332</v>
      </c>
      <c r="G210" s="7">
        <v>2</v>
      </c>
      <c r="H210" s="15" t="s">
        <v>590</v>
      </c>
      <c r="I210" s="15">
        <v>25568.958333333332</v>
      </c>
      <c r="J210" s="7">
        <v>0</v>
      </c>
      <c r="K210" s="132" t="str">
        <f t="shared" si="111"/>
        <v>4015/4016</v>
      </c>
      <c r="L210" s="24" t="str">
        <f>VLOOKUP(A210,'Trips&amp;Operators'!$C$1:$E$10000,3,FALSE)</f>
        <v>COOLAHAN</v>
      </c>
      <c r="M210" s="6">
        <f t="shared" si="112"/>
        <v>0</v>
      </c>
      <c r="N210" s="7">
        <f t="shared" si="104"/>
        <v>0</v>
      </c>
      <c r="O210" s="7"/>
      <c r="P210" s="7"/>
      <c r="Q210" s="25"/>
      <c r="R210" s="25"/>
      <c r="S210" s="37">
        <f t="shared" si="106"/>
        <v>1</v>
      </c>
      <c r="T210" s="52" t="str">
        <f t="shared" si="113"/>
        <v>NorthBound</v>
      </c>
      <c r="U210" s="126">
        <f>IF(AG210="EC",COUNTIFS(Variables!$M$2:$M$19,IF(T210="NorthBound","&gt;=","&lt;=")&amp;Y210,Variables!$M$2:$M$19,IF(T210="NorthBound","&lt;=","&gt;=")&amp;Z210),COUNTIFS(Variables!$P$2:$P$19,IF(T210="NorthBound","&gt;=","&lt;=")&amp;Y210,Variables!$P$2:$P$19,IF(T210="NorthBound","&lt;=","&gt;=")&amp;Z210))</f>
        <v>1</v>
      </c>
      <c r="V210" s="106" t="str">
        <f t="shared" si="114"/>
        <v>https://search-rtdc-monitor-bjffxe2xuh6vdkpspy63sjmuny.us-east-1.es.amazonaws.com/_plugin/kibana/#/discover/Steve-Slow-Train-Analysis-(2080s-and-2083s)?_g=(refreshInterval:(display:Off,section:0,value:0),time:(from:'2016-09-01 01:07:00-0600',mode:absolute,to:'1970-01-01 00:00: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4016%22')),sort:!(Time,asc))</v>
      </c>
      <c r="W210" s="54" t="str">
        <f t="shared" si="115"/>
        <v>Y</v>
      </c>
      <c r="X210" s="120">
        <f t="shared" si="103"/>
        <v>0</v>
      </c>
      <c r="Y210" s="69">
        <f t="shared" si="116"/>
        <v>4.5499999999999999E-2</v>
      </c>
      <c r="Z210" s="69">
        <f t="shared" si="105"/>
        <v>2.3311999999999999</v>
      </c>
      <c r="AA210" s="69">
        <f t="shared" si="117"/>
        <v>2.2856999999999998</v>
      </c>
      <c r="AB210" s="66" t="e">
        <f>VLOOKUP(A210,Enforcements!$C$7:$J$21,8,0)</f>
        <v>#N/A</v>
      </c>
      <c r="AC210" s="62" t="e">
        <f>VLOOKUP(A210,Enforcements!$C$7:$E$21,3,0)</f>
        <v>#N/A</v>
      </c>
      <c r="AD210" s="63" t="str">
        <f t="shared" si="118"/>
        <v>0315-31</v>
      </c>
      <c r="AE210" s="99" t="str">
        <f t="shared" si="107"/>
        <v>aws s3 cp s3://rtdc.mdm.uploadarchive/RTDC4016/1969-12-31/ "%USERPROFILE%\AppData\Local\Temp\OnboardLogs"\RTDC4016\1969-12-31 --recursive &amp; "%USERPROFILE%\Documents\GitHub\mrs-test-scripts\Headless Mode &amp; Sideloading\WalkAndUnGZ.bat" "%USERPROFILE%\AppData\Local\Temp\OnboardLogs"\RTDC4016\1969-12-31 &amp; aws s3 cp s3://rtdc.mdm.uploadarchive/RTDC4016/1970-01-01/ "%USERPROFILE%\AppData\Local\Temp\OnboardLogs"\RTDC4016\1970-01-01 --recursive &amp; "%USERPROFILE%\Documents\GitHub\mrs-test-scripts\Headless Mode &amp; Sideloading\WalkAndUnGZ.bat" "%USERPROFILE%\AppData\Local\Temp\OnboardLogs"\RTDC4016\1970-01-01</v>
      </c>
      <c r="AF210" s="96" t="str">
        <f t="shared" si="108"/>
        <v>"C:\Program Files (x86)\AstroGrep\AstroGrep.exe" /spath="%USERPROFILE%\AppData\Local\Temp\OnboardLogs" /stypes="*4016*19700101*" /stext=" 05:.+((SYSTEM_STATE.+slice.+state.+changed )|(ment ac)|(system.+state.+changed )|(\|lc)|(penalty)|(\[timeout)|(PRM\|1\|D)|(kpr)|(kdp))" /e /r /s</v>
      </c>
      <c r="AG210" s="1" t="str">
        <f t="shared" si="119"/>
        <v>Other</v>
      </c>
      <c r="AH210" s="100" t="str">
        <f t="shared" si="109"/>
        <v>"%USERPROFILE%\Documents\GitHub\eaglep3\Utilities\RefineRTDCRunTimes.py" --tripid 315-31 --locoid 4016 --swversion DE.1.0.7.0 --startMP 204:455 --initTime 2016-09-01T02:07:00 --startdatetime 1969-12-31T23:00:00 --delay 2 --endMP 300:23312 --enddatetime 1969-12-31T23:00:00 --enforcementcount 0 &gt;&gt;C:\Users\stu\Documents\GitHub\eaglep3-reporting\EC\2016-08-31-refined-times.txt</v>
      </c>
      <c r="AI210" s="149" t="str">
        <f t="shared" si="110"/>
        <v>echo {"issue":{"subject":"","project_id":79,"tracker_id":40,"status_id":1,"priority_id":2,"assigned_to_id":23,"start_date":"1969-12-31","description":"","custom_fields":[{"id":1,"name":"Subdivision","value":"Other"},{"id":4,"name":"Milepost","value":"2.2857"},{"id":17,"name":"Train ID","value":"315-31"},{"id":16,"name":"Locomotive ID","value":"4016"},{"id":130,"name":"Impact","value":""},{"id":150,"name":"Time of Event (Mountain Time)","value":"23:00:00"},{"id":151,"name":"Denver Issue ID","value":""},{"id":178,"name":"Operational Impact","value":"Yes"},{"id":179,"name":"Denver Segment Assigned","value":""}]}} | curl -X POST -H "Content-Type: application/json" -H "X-Redmine-API-Key: d6333d4a04012a730768444271f8ca06482dae87" https://secure.xorail.net/redmine/issues.json --data @-</v>
      </c>
      <c r="AJ210" s="55"/>
      <c r="AK210" s="55"/>
      <c r="AL210" s="55"/>
    </row>
    <row r="211" spans="1:38" x14ac:dyDescent="0.25">
      <c r="A211" s="39" t="s">
        <v>706</v>
      </c>
      <c r="B211" s="7">
        <v>4031</v>
      </c>
      <c r="C211" s="24" t="s">
        <v>113</v>
      </c>
      <c r="D211" s="24" t="s">
        <v>361</v>
      </c>
      <c r="E211" s="15">
        <v>42613.355243055557</v>
      </c>
      <c r="F211" s="15">
        <v>42613.356620370374</v>
      </c>
      <c r="G211" s="7">
        <v>1</v>
      </c>
      <c r="H211" s="15" t="s">
        <v>707</v>
      </c>
      <c r="I211" s="15">
        <v>42613.363402777781</v>
      </c>
      <c r="J211" s="7">
        <v>0</v>
      </c>
      <c r="K211" s="132" t="str">
        <f t="shared" si="111"/>
        <v>4031/4032</v>
      </c>
      <c r="L211" s="24" t="str">
        <f>VLOOKUP(A211,'Trips&amp;Operators'!$C$1:$E$10000,3,FALSE)</f>
        <v>STARKS</v>
      </c>
      <c r="M211" s="6">
        <f t="shared" si="112"/>
        <v>6.7824074067175388E-3</v>
      </c>
      <c r="N211" s="7">
        <f t="shared" si="104"/>
        <v>9.7666666656732559</v>
      </c>
      <c r="O211" s="7"/>
      <c r="P211" s="7"/>
      <c r="Q211" s="25"/>
      <c r="R211" s="25"/>
      <c r="S211" s="37">
        <f t="shared" si="106"/>
        <v>1</v>
      </c>
      <c r="T211" s="52" t="str">
        <f t="shared" si="113"/>
        <v>NorthBound</v>
      </c>
      <c r="U211" s="126">
        <f>IF(AG211="EC",COUNTIFS(Variables!$M$2:$M$19,IF(T211="NorthBound","&gt;=","&lt;=")&amp;Y211,Variables!$M$2:$M$19,IF(T211="NorthBound","&lt;=","&gt;=")&amp;Z211),COUNTIFS(Variables!$P$2:$P$19,IF(T211="NorthBound","&gt;=","&lt;=")&amp;Y211,Variables!$P$2:$P$19,IF(T211="NorthBound","&lt;=","&gt;=")&amp;Z211))</f>
        <v>1</v>
      </c>
      <c r="V211" s="106" t="str">
        <f t="shared" si="114"/>
        <v>https://search-rtdc-monitor-bjffxe2xuh6vdkpspy63sjmuny.us-east-1.es.amazonaws.com/_plugin/kibana/#/discover/Steve-Slow-Train-Analysis-(2080s-and-2083s)?_g=(refreshInterval:(display:Off,section:0,value:0),time:(from:'2016-08-31 07:31:33-0600',mode:absolute,to:'2016-08-31 09:43:18-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4031%22')),sort:!(Time,asc))</v>
      </c>
      <c r="W211" s="54" t="str">
        <f t="shared" si="115"/>
        <v>Y</v>
      </c>
      <c r="X211" s="120">
        <f t="shared" si="103"/>
        <v>588</v>
      </c>
      <c r="Y211" s="69">
        <f t="shared" si="116"/>
        <v>0.10829999999999999</v>
      </c>
      <c r="Z211" s="69">
        <f t="shared" si="105"/>
        <v>2.4239000000000002</v>
      </c>
      <c r="AA211" s="69">
        <f t="shared" si="117"/>
        <v>2.3156000000000003</v>
      </c>
      <c r="AB211" s="66" t="e">
        <f>VLOOKUP(A211,Enforcements!$C$7:$J$21,8,0)</f>
        <v>#N/A</v>
      </c>
      <c r="AC211" s="62" t="e">
        <f>VLOOKUP(A211,Enforcements!$C$7:$E$21,3,0)</f>
        <v>#N/A</v>
      </c>
      <c r="AD211" s="63" t="str">
        <f t="shared" si="118"/>
        <v>0903-31</v>
      </c>
      <c r="AE211" s="99" t="str">
        <f t="shared" si="107"/>
        <v>aws s3 cp s3://rtdc.mdm.uploadarchive/RTDC4031/2016-08-31/ "%USERPROFILE%\AppData\Local\Temp\OnboardLogs"\RTDC4031\2016-08-31 --recursive &amp; "%USERPROFILE%\Documents\GitHub\mrs-test-scripts\Headless Mode &amp; Sideloading\WalkAndUnGZ.bat" "%USERPROFILE%\AppData\Local\Temp\OnboardLogs"\RTDC4031\2016-08-31 &amp; aws s3 cp s3://rtdc.mdm.uploadarchive/RTDC4031/2016-09-01/ "%USERPROFILE%\AppData\Local\Temp\OnboardLogs"\RTDC4031\2016-09-01 --recursive &amp; "%USERPROFILE%\Documents\GitHub\mrs-test-scripts\Headless Mode &amp; Sideloading\WalkAndUnGZ.bat" "%USERPROFILE%\AppData\Local\Temp\OnboardLogs"\RTDC4031\2016-09-01</v>
      </c>
      <c r="AF211" s="96" t="str">
        <f t="shared" si="108"/>
        <v>"C:\Program Files (x86)\AstroGrep\AstroGrep.exe" /spath="%USERPROFILE%\AppData\Local\Temp\OnboardLogs" /stypes="*4031*20160831*" /stext=" 14:.+((SYSTEM_STATE.+slice.+state.+changed )|(ment ac)|(system.+state.+changed )|(\|lc)|(penalty)|(\[timeout)|(PRM\|1\|D)|(kpr)|(kdp))" /e /r /s</v>
      </c>
      <c r="AG211" s="1" t="str">
        <f t="shared" si="119"/>
        <v>Other</v>
      </c>
      <c r="AH211" s="100" t="str">
        <f t="shared" si="109"/>
        <v>"%USERPROFILE%\Documents\GitHub\eaglep3\Utilities\RefineRTDCRunTimes.py" --tripid 903-31 --locoid 4031 --swversion DE.1.0.7.0 --startMP 204:1083 --initTime 2016-08-31T08:31:33 --startdatetime 2016-08-31T08:33:32 --delay 1 --endMP 300:24239 --enddatetime 2016-08-31T08:43:18 --enforcementcount 0 &gt;&gt;C:\Users\stu\Documents\GitHub\eaglep3-reporting\EC\2016-08-31-refined-times.txt</v>
      </c>
      <c r="AI211" s="149" t="str">
        <f t="shared" si="110"/>
        <v>echo {"issue":{"subject":"","project_id":79,"tracker_id":40,"status_id":1,"priority_id":2,"assigned_to_id":23,"start_date":"2016-08-31","description":"","custom_fields":[{"id":1,"name":"Subdivision","value":"Other"},{"id":4,"name":"Milepost","value":"2.3156"},{"id":17,"name":"Train ID","value":"903-31"},{"id":16,"name":"Locomotive ID","value":"4031"},{"id":130,"name":"Impact","value":""},{"id":150,"name":"Time of Event (Mountain Time)","value":"08:43:18"},{"id":151,"name":"Denver Issue ID","value":""},{"id":178,"name":"Operational Impact","value":"Yes"},{"id":179,"name":"Denver Segment Assigned","value":""}]}} | curl -X POST -H "Content-Type: application/json" -H "X-Redmine-API-Key: d6333d4a04012a730768444271f8ca06482dae87" https://secure.xorail.net/redmine/issues.json --data @-</v>
      </c>
      <c r="AJ211" s="55"/>
      <c r="AK211" s="55"/>
      <c r="AL211" s="55"/>
    </row>
    <row r="212" spans="1:38" x14ac:dyDescent="0.25">
      <c r="A212" s="39" t="s">
        <v>708</v>
      </c>
      <c r="B212" s="7">
        <v>4032</v>
      </c>
      <c r="C212" s="24" t="s">
        <v>113</v>
      </c>
      <c r="D212" s="24" t="s">
        <v>709</v>
      </c>
      <c r="E212" s="15">
        <v>42613.647199074076</v>
      </c>
      <c r="F212" s="15">
        <v>42613.6484837963</v>
      </c>
      <c r="G212" s="7">
        <v>1</v>
      </c>
      <c r="H212" s="15" t="s">
        <v>303</v>
      </c>
      <c r="I212" s="15">
        <v>42613.654351851852</v>
      </c>
      <c r="J212" s="7">
        <v>0</v>
      </c>
      <c r="K212" s="132" t="str">
        <f t="shared" si="111"/>
        <v>4031/4032</v>
      </c>
      <c r="L212" s="24" t="str">
        <f>VLOOKUP(A212,'Trips&amp;Operators'!$C$1:$E$10000,3,FALSE)</f>
        <v>HILLS</v>
      </c>
      <c r="M212" s="6">
        <f t="shared" si="112"/>
        <v>5.8680555521277711E-3</v>
      </c>
      <c r="N212" s="7">
        <f t="shared" si="104"/>
        <v>8.4499999950639904</v>
      </c>
      <c r="O212" s="7"/>
      <c r="P212" s="7"/>
      <c r="Q212" s="25"/>
      <c r="R212" s="25"/>
      <c r="S212" s="37">
        <f t="shared" si="106"/>
        <v>1</v>
      </c>
      <c r="T212" s="52" t="str">
        <f t="shared" si="113"/>
        <v>Southbound</v>
      </c>
      <c r="U212" s="126">
        <f>IF(AG212="EC",COUNTIFS(Variables!$M$2:$M$19,IF(T212="NorthBound","&gt;=","&lt;=")&amp;Y212,Variables!$M$2:$M$19,IF(T212="NorthBound","&lt;=","&gt;=")&amp;Z212),COUNTIFS(Variables!$P$2:$P$19,IF(T212="NorthBound","&gt;=","&lt;=")&amp;Y212,Variables!$P$2:$P$19,IF(T212="NorthBound","&lt;=","&gt;=")&amp;Z212))</f>
        <v>1</v>
      </c>
      <c r="V212" s="106" t="str">
        <f t="shared" si="114"/>
        <v>https://search-rtdc-monitor-bjffxe2xuh6vdkpspy63sjmuny.us-east-1.es.amazonaws.com/_plugin/kibana/#/discover/Steve-Slow-Train-Analysis-(2080s-and-2083s)?_g=(refreshInterval:(display:Off,section:0,value:0),time:(from:'2016-08-31 14:31:58-0600',mode:absolute,to:'2016-08-31 16:42:16-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4032%22')),sort:!(Time,asc))</v>
      </c>
      <c r="W212" s="54" t="str">
        <f t="shared" si="115"/>
        <v>Y</v>
      </c>
      <c r="X212" s="120">
        <f t="shared" si="103"/>
        <v>1</v>
      </c>
      <c r="Y212" s="69">
        <f t="shared" si="116"/>
        <v>2.3153999999999999</v>
      </c>
      <c r="Z212" s="69">
        <f t="shared" si="105"/>
        <v>6.7799999999999999E-2</v>
      </c>
      <c r="AA212" s="69">
        <f t="shared" si="117"/>
        <v>2.2475999999999998</v>
      </c>
      <c r="AB212" s="66" t="e">
        <f>VLOOKUP(A212,Enforcements!$C$7:$J$21,8,0)</f>
        <v>#N/A</v>
      </c>
      <c r="AC212" s="62" t="e">
        <f>VLOOKUP(A212,Enforcements!$C$7:$E$21,3,0)</f>
        <v>#N/A</v>
      </c>
      <c r="AD212" s="63" t="str">
        <f t="shared" si="118"/>
        <v>0904-31</v>
      </c>
      <c r="AE212" s="99" t="str">
        <f t="shared" si="107"/>
        <v>aws s3 cp s3://rtdc.mdm.uploadarchive/RTDC4032/2016-08-31/ "%USERPROFILE%\AppData\Local\Temp\OnboardLogs"\RTDC4032\2016-08-31 --recursive &amp; "%USERPROFILE%\Documents\GitHub\mrs-test-scripts\Headless Mode &amp; Sideloading\WalkAndUnGZ.bat" "%USERPROFILE%\AppData\Local\Temp\OnboardLogs"\RTDC4032\2016-08-31 &amp; aws s3 cp s3://rtdc.mdm.uploadarchive/RTDC4032/2016-09-01/ "%USERPROFILE%\AppData\Local\Temp\OnboardLogs"\RTDC4032\2016-09-01 --recursive &amp; "%USERPROFILE%\Documents\GitHub\mrs-test-scripts\Headless Mode &amp; Sideloading\WalkAndUnGZ.bat" "%USERPROFILE%\AppData\Local\Temp\OnboardLogs"\RTDC4032\2016-09-01</v>
      </c>
      <c r="AF212" s="96" t="str">
        <f t="shared" si="108"/>
        <v>"C:\Program Files (x86)\AstroGrep\AstroGrep.exe" /spath="%USERPROFILE%\AppData\Local\Temp\OnboardLogs" /stypes="*4032*20160831*" /stext=" 21:.+((SYSTEM_STATE.+slice.+state.+changed )|(ment ac)|(system.+state.+changed )|(\|lc)|(penalty)|(\[timeout)|(PRM\|1\|D)|(kpr)|(kdp))" /e /r /s</v>
      </c>
      <c r="AG212" s="1" t="str">
        <f t="shared" si="119"/>
        <v>Other</v>
      </c>
      <c r="AH212" s="100" t="str">
        <f t="shared" si="109"/>
        <v>"%USERPROFILE%\Documents\GitHub\eaglep3\Utilities\RefineRTDCRunTimes.py" --tripid 904-31 --locoid 4032 --swversion DE.1.0.7.0 --startMP 300:23154 --initTime 2016-08-31T15:31:58 --startdatetime 2016-08-31T15:33:49 --delay 1 --endMP 204:678 --enddatetime 2016-08-31T15:42:16 --enforcementcount 0 &gt;&gt;C:\Users\stu\Documents\GitHub\eaglep3-reporting\EC\2016-08-31-refined-times.txt</v>
      </c>
      <c r="AI212" s="149" t="str">
        <f t="shared" si="110"/>
        <v>echo {"issue":{"subject":"","project_id":79,"tracker_id":40,"status_id":1,"priority_id":2,"assigned_to_id":23,"start_date":"2016-08-31","description":"","custom_fields":[{"id":1,"name":"Subdivision","value":"Other"},{"id":4,"name":"Milepost","value":"2.2476"},{"id":17,"name":"Train ID","value":"904-31"},{"id":16,"name":"Locomotive ID","value":"4032"},{"id":130,"name":"Impact","value":""},{"id":150,"name":"Time of Event (Mountain Time)","value":"15:42:16"},{"id":151,"name":"Denver Issue ID","value":""},{"id":178,"name":"Operational Impact","value":"Yes"},{"id":179,"name":"Denver Segment Assigned","value":""}]}} | curl -X POST -H "Content-Type: application/json" -H "X-Redmine-API-Key: d6333d4a04012a730768444271f8ca06482dae87" https://secure.xorail.net/redmine/issues.json --data @-</v>
      </c>
      <c r="AJ212" s="55"/>
      <c r="AK212" s="55"/>
      <c r="AL212" s="55"/>
    </row>
    <row r="213" spans="1:38" x14ac:dyDescent="0.25">
      <c r="A213" s="39" t="s">
        <v>708</v>
      </c>
      <c r="B213" s="7">
        <v>4032</v>
      </c>
      <c r="C213" s="24" t="s">
        <v>113</v>
      </c>
      <c r="D213" s="24" t="s">
        <v>710</v>
      </c>
      <c r="E213" s="15">
        <v>42613.6405787037</v>
      </c>
      <c r="F213" s="15">
        <v>42613.6484837963</v>
      </c>
      <c r="G213" s="7">
        <v>1</v>
      </c>
      <c r="H213" s="15" t="s">
        <v>711</v>
      </c>
      <c r="I213" s="15">
        <v>42613.654351851852</v>
      </c>
      <c r="J213" s="7">
        <v>0</v>
      </c>
      <c r="K213" s="132" t="str">
        <f t="shared" si="111"/>
        <v>4031/4032</v>
      </c>
      <c r="L213" s="24" t="str">
        <f>VLOOKUP(A213,'Trips&amp;Operators'!$C$1:$E$10000,3,FALSE)</f>
        <v>HILLS</v>
      </c>
      <c r="M213" s="6">
        <f t="shared" si="112"/>
        <v>5.8680555521277711E-3</v>
      </c>
      <c r="N213" s="7">
        <f t="shared" si="104"/>
        <v>8.4499999950639904</v>
      </c>
      <c r="O213" s="7"/>
      <c r="P213" s="7"/>
      <c r="Q213" s="25"/>
      <c r="R213" s="25"/>
      <c r="S213" s="37">
        <f t="shared" si="106"/>
        <v>0</v>
      </c>
      <c r="T213" s="52" t="str">
        <f t="shared" si="113"/>
        <v>Southbound</v>
      </c>
      <c r="U213" s="126">
        <f>IF(AG213="EC",COUNTIFS(Variables!$M$2:$M$19,IF(T213="NorthBound","&gt;=","&lt;=")&amp;Y213,Variables!$M$2:$M$19,IF(T213="NorthBound","&lt;=","&gt;=")&amp;Z213),COUNTIFS(Variables!$P$2:$P$19,IF(T213="NorthBound","&gt;=","&lt;=")&amp;Y213,Variables!$P$2:$P$19,IF(T213="NorthBound","&lt;=","&gt;=")&amp;Z213))</f>
        <v>0</v>
      </c>
      <c r="V213" s="106" t="str">
        <f t="shared" si="114"/>
        <v>https://search-rtdc-monitor-bjffxe2xuh6vdkpspy63sjmuny.us-east-1.es.amazonaws.com/_plugin/kibana/#/discover/Steve-Slow-Train-Analysis-(2080s-and-2083s)?_g=(refreshInterval:(display:Off,section:0,value:0),time:(from:'2016-08-31 14:22:26-0600',mode:absolute,to:'2016-08-31 16:42:16-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4032%22')),sort:!(Time,asc))</v>
      </c>
      <c r="W213" s="54" t="str">
        <f t="shared" si="115"/>
        <v>Y</v>
      </c>
      <c r="X213" s="120">
        <f t="shared" si="103"/>
        <v>0</v>
      </c>
      <c r="Y213" s="69">
        <f t="shared" si="116"/>
        <v>2.5143</v>
      </c>
      <c r="Z213" s="69">
        <f t="shared" si="105"/>
        <v>2.4379</v>
      </c>
      <c r="AA213" s="69">
        <f t="shared" si="117"/>
        <v>7.6400000000000023E-2</v>
      </c>
      <c r="AB213" s="66" t="e">
        <f>VLOOKUP(A213,Enforcements!$C$7:$J$21,8,0)</f>
        <v>#N/A</v>
      </c>
      <c r="AC213" s="62" t="e">
        <f>VLOOKUP(A213,Enforcements!$C$7:$E$21,3,0)</f>
        <v>#N/A</v>
      </c>
      <c r="AD213" s="63" t="str">
        <f t="shared" si="118"/>
        <v>0904-31</v>
      </c>
      <c r="AE213" s="99" t="str">
        <f t="shared" si="107"/>
        <v>aws s3 cp s3://rtdc.mdm.uploadarchive/RTDC4032/2016-08-31/ "%USERPROFILE%\AppData\Local\Temp\OnboardLogs"\RTDC4032\2016-08-31 --recursive &amp; "%USERPROFILE%\Documents\GitHub\mrs-test-scripts\Headless Mode &amp; Sideloading\WalkAndUnGZ.bat" "%USERPROFILE%\AppData\Local\Temp\OnboardLogs"\RTDC4032\2016-08-31 &amp; aws s3 cp s3://rtdc.mdm.uploadarchive/RTDC4032/2016-09-01/ "%USERPROFILE%\AppData\Local\Temp\OnboardLogs"\RTDC4032\2016-09-01 --recursive &amp; "%USERPROFILE%\Documents\GitHub\mrs-test-scripts\Headless Mode &amp; Sideloading\WalkAndUnGZ.bat" "%USERPROFILE%\AppData\Local\Temp\OnboardLogs"\RTDC4032\2016-09-01</v>
      </c>
      <c r="AF213" s="96" t="str">
        <f t="shared" si="108"/>
        <v>"C:\Program Files (x86)\AstroGrep\AstroGrep.exe" /spath="%USERPROFILE%\AppData\Local\Temp\OnboardLogs" /stypes="*4032*20160831*" /stext=" 21:.+((SYSTEM_STATE.+slice.+state.+changed )|(ment ac)|(system.+state.+changed )|(\|lc)|(penalty)|(\[timeout)|(PRM\|1\|D)|(kpr)|(kdp))" /e /r /s</v>
      </c>
      <c r="AG213" s="1" t="str">
        <f t="shared" si="119"/>
        <v>Other</v>
      </c>
      <c r="AH213" s="100" t="str">
        <f t="shared" si="109"/>
        <v>"%USERPROFILE%\Documents\GitHub\eaglep3\Utilities\RefineRTDCRunTimes.py" --tripid 904-31 --locoid 4032 --swversion DE.1.0.7.0 --startMP 300:25143 --initTime 2016-08-31T15:22:26 --startdatetime 2016-08-31T15:33:49 --delay 1 --endMP 300:24379 --enddatetime 2016-08-31T15:42:16 --enforcementcount 0 &gt;&gt;C:\Users\stu\Documents\GitHub\eaglep3-reporting\EC\2016-08-31-refined-times.txt</v>
      </c>
      <c r="AI213" s="149" t="str">
        <f t="shared" si="110"/>
        <v>echo {"issue":{"subject":"","project_id":79,"tracker_id":40,"status_id":1,"priority_id":2,"assigned_to_id":23,"start_date":"2016-08-31","description":"","custom_fields":[{"id":1,"name":"Subdivision","value":"Other"},{"id":4,"name":"Milepost","value":"0.0764"},{"id":17,"name":"Train ID","value":"904-31"},{"id":16,"name":"Locomotive ID","value":"4032"},{"id":130,"name":"Impact","value":""},{"id":150,"name":"Time of Event (Mountain Time)","value":"15:42:16"},{"id":151,"name":"Denver Issue ID","value":""},{"id":178,"name":"Operational Impact","value":"Yes"},{"id":179,"name":"Denver Segment Assigned","value":""}]}} | curl -X POST -H "Content-Type: application/json" -H "X-Redmine-API-Key: d6333d4a04012a730768444271f8ca06482dae87" https://secure.xorail.net/redmine/issues.json --data @-</v>
      </c>
      <c r="AJ213" s="55"/>
      <c r="AK213" s="55"/>
      <c r="AL213" s="55"/>
    </row>
    <row r="214" spans="1:38" x14ac:dyDescent="0.25">
      <c r="A214" s="39" t="s">
        <v>712</v>
      </c>
      <c r="B214" s="7">
        <v>4032</v>
      </c>
      <c r="C214" s="24" t="s">
        <v>113</v>
      </c>
      <c r="D214" s="24" t="s">
        <v>713</v>
      </c>
      <c r="E214" s="15">
        <v>42613.797847222224</v>
      </c>
      <c r="F214" s="15">
        <v>42613.79960648148</v>
      </c>
      <c r="G214" s="7">
        <v>1</v>
      </c>
      <c r="H214" s="15" t="s">
        <v>714</v>
      </c>
      <c r="I214" s="15">
        <v>42613.805081018516</v>
      </c>
      <c r="J214" s="7">
        <v>0</v>
      </c>
      <c r="K214" s="132" t="str">
        <f t="shared" si="111"/>
        <v>4031/4032</v>
      </c>
      <c r="L214" s="24" t="str">
        <f>VLOOKUP(A214,'Trips&amp;Operators'!$C$1:$E$10000,3,FALSE)</f>
        <v>HILLS</v>
      </c>
      <c r="M214" s="6">
        <f t="shared" si="112"/>
        <v>5.4745370362070389E-3</v>
      </c>
      <c r="N214" s="7">
        <f t="shared" si="104"/>
        <v>7.883333332138136</v>
      </c>
      <c r="O214" s="7"/>
      <c r="P214" s="7"/>
      <c r="Q214" s="25"/>
      <c r="R214" s="25"/>
      <c r="S214" s="37">
        <f t="shared" si="106"/>
        <v>0</v>
      </c>
      <c r="T214" s="52" t="str">
        <f t="shared" si="113"/>
        <v>Southbound</v>
      </c>
      <c r="U214" s="126">
        <f>IF(AG214="EC",COUNTIFS(Variables!$M$2:$M$19,IF(T214="NorthBound","&gt;=","&lt;=")&amp;Y214,Variables!$M$2:$M$19,IF(T214="NorthBound","&lt;=","&gt;=")&amp;Z214),COUNTIFS(Variables!$P$2:$P$19,IF(T214="NorthBound","&gt;=","&lt;=")&amp;Y214,Variables!$P$2:$P$19,IF(T214="NorthBound","&lt;=","&gt;=")&amp;Z214))</f>
        <v>0</v>
      </c>
      <c r="V214" s="106" t="str">
        <f t="shared" si="114"/>
        <v>https://search-rtdc-monitor-bjffxe2xuh6vdkpspy63sjmuny.us-east-1.es.amazonaws.com/_plugin/kibana/#/discover/Steve-Slow-Train-Analysis-(2080s-and-2083s)?_g=(refreshInterval:(display:Off,section:0,value:0),time:(from:'2016-08-31 18:08:54-0600',mode:absolute,to:'2016-08-31 20:19:19-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4032%22')),sort:!(Time,asc))</v>
      </c>
      <c r="W214" s="54" t="str">
        <f t="shared" si="115"/>
        <v>Y</v>
      </c>
      <c r="X214" s="120">
        <f t="shared" si="103"/>
        <v>2</v>
      </c>
      <c r="Y214" s="69">
        <f t="shared" si="116"/>
        <v>5.8653000000000004</v>
      </c>
      <c r="Z214" s="69">
        <f t="shared" si="105"/>
        <v>2.1749999999999998</v>
      </c>
      <c r="AA214" s="69">
        <f t="shared" si="117"/>
        <v>3.6903000000000006</v>
      </c>
      <c r="AB214" s="66" t="e">
        <f>VLOOKUP(A214,Enforcements!$C$7:$J$21,8,0)</f>
        <v>#N/A</v>
      </c>
      <c r="AC214" s="62" t="e">
        <f>VLOOKUP(A214,Enforcements!$C$7:$E$21,3,0)</f>
        <v>#N/A</v>
      </c>
      <c r="AD214" s="63" t="str">
        <f t="shared" si="118"/>
        <v>0906-31</v>
      </c>
      <c r="AE214" s="99" t="str">
        <f t="shared" si="107"/>
        <v>aws s3 cp s3://rtdc.mdm.uploadarchive/RTDC4032/2016-08-31/ "%USERPROFILE%\AppData\Local\Temp\OnboardLogs"\RTDC4032\2016-08-31 --recursive &amp; "%USERPROFILE%\Documents\GitHub\mrs-test-scripts\Headless Mode &amp; Sideloading\WalkAndUnGZ.bat" "%USERPROFILE%\AppData\Local\Temp\OnboardLogs"\RTDC4032\2016-08-31 &amp; aws s3 cp s3://rtdc.mdm.uploadarchive/RTDC4032/2016-09-01/ "%USERPROFILE%\AppData\Local\Temp\OnboardLogs"\RTDC4032\2016-09-01 --recursive &amp; "%USERPROFILE%\Documents\GitHub\mrs-test-scripts\Headless Mode &amp; Sideloading\WalkAndUnGZ.bat" "%USERPROFILE%\AppData\Local\Temp\OnboardLogs"\RTDC4032\2016-09-01</v>
      </c>
      <c r="AF214" s="96" t="str">
        <f t="shared" si="108"/>
        <v>"C:\Program Files (x86)\AstroGrep\AstroGrep.exe" /spath="%USERPROFILE%\AppData\Local\Temp\OnboardLogs" /stypes="*4032*20160901*" /stext=" 01:.+((SYSTEM_STATE.+slice.+state.+changed )|(ment ac)|(system.+state.+changed )|(\|lc)|(penalty)|(\[timeout)|(PRM\|1\|D)|(kpr)|(kdp))" /e /r /s</v>
      </c>
      <c r="AG214" s="1" t="str">
        <f t="shared" si="119"/>
        <v>Other</v>
      </c>
      <c r="AH214" s="100" t="str">
        <f t="shared" si="109"/>
        <v>"%USERPROFILE%\Documents\GitHub\eaglep3\Utilities\RefineRTDCRunTimes.py" --tripid 906-31 --locoid 4032 --swversion DE.1.0.7.0 --startMP 300:58653 --initTime 2016-08-31T19:08:54 --startdatetime 2016-08-31T19:11:26 --delay 1 --endMP 300:21750 --enddatetime 2016-08-31T19:19:19 --enforcementcount 0 &gt;&gt;C:\Users\stu\Documents\GitHub\eaglep3-reporting\EC\2016-08-31-refined-times.txt</v>
      </c>
      <c r="AI214" s="149" t="str">
        <f t="shared" si="110"/>
        <v>echo {"issue":{"subject":"","project_id":79,"tracker_id":40,"status_id":1,"priority_id":2,"assigned_to_id":23,"start_date":"2016-08-31","description":"","custom_fields":[{"id":1,"name":"Subdivision","value":"Other"},{"id":4,"name":"Milepost","value":"3.6903"},{"id":17,"name":"Train ID","value":"906-31"},{"id":16,"name":"Locomotive ID","value":"4032"},{"id":130,"name":"Impact","value":""},{"id":150,"name":"Time of Event (Mountain Time)","value":"19:19:19"},{"id":151,"name":"Denver Issue ID","value":""},{"id":178,"name":"Operational Impact","value":"Yes"},{"id":179,"name":"Denver Segment Assigned","value":""}]}} | curl -X POST -H "Content-Type: application/json" -H "X-Redmine-API-Key: d6333d4a04012a730768444271f8ca06482dae87" https://secure.xorail.net/redmine/issues.json --data @-</v>
      </c>
      <c r="AJ214" s="55"/>
      <c r="AK214" s="55"/>
      <c r="AL214" s="55"/>
    </row>
    <row r="215" spans="1:38" x14ac:dyDescent="0.25">
      <c r="A215" s="39" t="s">
        <v>715</v>
      </c>
      <c r="B215" s="7">
        <v>4008</v>
      </c>
      <c r="C215" s="24" t="s">
        <v>113</v>
      </c>
      <c r="D215" s="24" t="s">
        <v>716</v>
      </c>
      <c r="E215" s="15">
        <v>42613.943032407406</v>
      </c>
      <c r="F215" s="15">
        <v>42613.945254629631</v>
      </c>
      <c r="G215" s="7">
        <v>2</v>
      </c>
      <c r="H215" s="15" t="s">
        <v>717</v>
      </c>
      <c r="I215" s="15">
        <v>42613.951331018521</v>
      </c>
      <c r="J215" s="7">
        <v>0</v>
      </c>
      <c r="K215" s="132" t="str">
        <f t="shared" si="111"/>
        <v>4007/4008</v>
      </c>
      <c r="L215" s="24" t="str">
        <f>VLOOKUP(A215,'Trips&amp;Operators'!$C$1:$E$10000,3,FALSE)</f>
        <v>HILLS</v>
      </c>
      <c r="M215" s="6">
        <f t="shared" si="112"/>
        <v>6.0763888905057684E-3</v>
      </c>
      <c r="N215" s="7">
        <f t="shared" si="104"/>
        <v>8.7500000023283064</v>
      </c>
      <c r="O215" s="7"/>
      <c r="P215" s="7"/>
      <c r="Q215" s="25"/>
      <c r="R215" s="25"/>
      <c r="S215" s="37">
        <f t="shared" si="106"/>
        <v>0</v>
      </c>
      <c r="T215" s="52" t="str">
        <f t="shared" si="113"/>
        <v>Southbound</v>
      </c>
      <c r="U215" s="126">
        <f>IF(AG215="EC",COUNTIFS(Variables!$M$2:$M$19,IF(T215="NorthBound","&gt;=","&lt;=")&amp;Y215,Variables!$M$2:$M$19,IF(T215="NorthBound","&lt;=","&gt;=")&amp;Z215),COUNTIFS(Variables!$P$2:$P$19,IF(T215="NorthBound","&gt;=","&lt;=")&amp;Y215,Variables!$P$2:$P$19,IF(T215="NorthBound","&lt;=","&gt;=")&amp;Z215))</f>
        <v>0</v>
      </c>
      <c r="V215" s="106" t="str">
        <f t="shared" si="114"/>
        <v>https://search-rtdc-monitor-bjffxe2xuh6vdkpspy63sjmuny.us-east-1.es.amazonaws.com/_plugin/kibana/#/discover/Steve-Slow-Train-Analysis-(2080s-and-2083s)?_g=(refreshInterval:(display:Off,section:0,value:0),time:(from:'2016-08-31 21:37:58-0600',mode:absolute,to:'2016-08-31 23:49:55-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4008%22')),sort:!(Time,asc))</v>
      </c>
      <c r="W215" s="54" t="str">
        <f t="shared" si="115"/>
        <v>Y</v>
      </c>
      <c r="X215" s="120">
        <f t="shared" ref="X215:X222" si="120">VALUE(LEFT(AD215,4))-VALUE(LEFT(AD214,4))</f>
        <v>2</v>
      </c>
      <c r="Y215" s="69">
        <f t="shared" si="116"/>
        <v>5.8182999999999998</v>
      </c>
      <c r="Z215" s="69">
        <f t="shared" si="105"/>
        <v>2.1747999999999998</v>
      </c>
      <c r="AA215" s="69">
        <f t="shared" si="117"/>
        <v>3.6435</v>
      </c>
      <c r="AB215" s="66" t="e">
        <f>VLOOKUP(A215,Enforcements!$C$7:$J$21,8,0)</f>
        <v>#N/A</v>
      </c>
      <c r="AC215" s="62" t="e">
        <f>VLOOKUP(A215,Enforcements!$C$7:$E$21,3,0)</f>
        <v>#N/A</v>
      </c>
      <c r="AD215" s="63" t="str">
        <f t="shared" si="118"/>
        <v>0908-31</v>
      </c>
      <c r="AE215" s="99" t="str">
        <f t="shared" si="107"/>
        <v>aws s3 cp s3://rtdc.mdm.uploadarchive/RTDC4008/2016-08-31/ "%USERPROFILE%\AppData\Local\Temp\OnboardLogs"\RTDC4008\2016-08-31 --recursive &amp; "%USERPROFILE%\Documents\GitHub\mrs-test-scripts\Headless Mode &amp; Sideloading\WalkAndUnGZ.bat" "%USERPROFILE%\AppData\Local\Temp\OnboardLogs"\RTDC4008\2016-08-31 &amp; aws s3 cp s3://rtdc.mdm.uploadarchive/RTDC4008/2016-09-01/ "%USERPROFILE%\AppData\Local\Temp\OnboardLogs"\RTDC4008\2016-09-01 --recursive &amp; "%USERPROFILE%\Documents\GitHub\mrs-test-scripts\Headless Mode &amp; Sideloading\WalkAndUnGZ.bat" "%USERPROFILE%\AppData\Local\Temp\OnboardLogs"\RTDC4008\2016-09-01</v>
      </c>
      <c r="AF215" s="96" t="str">
        <f t="shared" si="108"/>
        <v>"C:\Program Files (x86)\AstroGrep\AstroGrep.exe" /spath="%USERPROFILE%\AppData\Local\Temp\OnboardLogs" /stypes="*4008*20160901*" /stext=" 04:.+((SYSTEM_STATE.+slice.+state.+changed )|(ment ac)|(system.+state.+changed )|(\|lc)|(penalty)|(\[timeout)|(PRM\|1\|D)|(kpr)|(kdp))" /e /r /s</v>
      </c>
      <c r="AG215" s="1" t="str">
        <f t="shared" si="119"/>
        <v>Other</v>
      </c>
      <c r="AH215" s="100" t="str">
        <f t="shared" si="109"/>
        <v>"%USERPROFILE%\Documents\GitHub\eaglep3\Utilities\RefineRTDCRunTimes.py" --tripid 908-31 --locoid 4008 --swversion DE.1.0.7.0 --startMP 300:58183 --initTime 2016-08-31T22:37:58 --startdatetime 2016-08-31T22:41:10 --delay 2 --endMP 300:21748 --enddatetime 2016-08-31T22:49:55 --enforcementcount 0 &gt;&gt;C:\Users\stu\Documents\GitHub\eaglep3-reporting\EC\2016-08-31-refined-times.txt</v>
      </c>
      <c r="AI215" s="149" t="str">
        <f t="shared" si="110"/>
        <v>echo {"issue":{"subject":"","project_id":79,"tracker_id":40,"status_id":1,"priority_id":2,"assigned_to_id":23,"start_date":"2016-08-31","description":"","custom_fields":[{"id":1,"name":"Subdivision","value":"Other"},{"id":4,"name":"Milepost","value":"3.6435"},{"id":17,"name":"Train ID","value":"908-31"},{"id":16,"name":"Locomotive ID","value":"4008"},{"id":130,"name":"Impact","value":""},{"id":150,"name":"Time of Event (Mountain Time)","value":"22:49:55"},{"id":151,"name":"Denver Issue ID","value":""},{"id":178,"name":"Operational Impact","value":"Yes"},{"id":179,"name":"Denver Segment Assigned","value":""}]}} | curl -X POST -H "Content-Type: application/json" -H "X-Redmine-API-Key: d6333d4a04012a730768444271f8ca06482dae87" https://secure.xorail.net/redmine/issues.json --data @-</v>
      </c>
      <c r="AJ215" s="55"/>
      <c r="AK215" s="55"/>
      <c r="AL215" s="55"/>
    </row>
    <row r="216" spans="1:38" x14ac:dyDescent="0.25">
      <c r="A216" s="39" t="s">
        <v>321</v>
      </c>
      <c r="B216" s="7">
        <v>4010</v>
      </c>
      <c r="C216" s="24" t="s">
        <v>113</v>
      </c>
      <c r="D216" s="24" t="s">
        <v>591</v>
      </c>
      <c r="E216" s="15">
        <v>42613.136041666665</v>
      </c>
      <c r="F216" s="15">
        <v>42613.151307870372</v>
      </c>
      <c r="G216" s="7">
        <v>1</v>
      </c>
      <c r="H216" s="15" t="s">
        <v>592</v>
      </c>
      <c r="I216" s="15">
        <v>42613.155752314815</v>
      </c>
      <c r="J216" s="7">
        <v>0</v>
      </c>
      <c r="K216" s="132" t="str">
        <f t="shared" si="111"/>
        <v>4009/4010</v>
      </c>
      <c r="L216" s="24" t="str">
        <f>VLOOKUP(A216,'Trips&amp;Operators'!$C$1:$E$10000,3,FALSE)</f>
        <v>CHIONE</v>
      </c>
      <c r="M216" s="6">
        <f t="shared" si="112"/>
        <v>4.4444444429245777E-3</v>
      </c>
      <c r="N216" s="7">
        <f t="shared" si="104"/>
        <v>6.3999999978113919</v>
      </c>
      <c r="O216" s="7"/>
      <c r="P216" s="7"/>
      <c r="Q216" s="25"/>
      <c r="R216" s="25"/>
      <c r="S216" s="37">
        <f t="shared" si="106"/>
        <v>0</v>
      </c>
      <c r="T216" s="52" t="e">
        <f t="shared" si="113"/>
        <v>#VALUE!</v>
      </c>
      <c r="U216" s="126">
        <f>IF(AG216="EC",COUNTIFS(Variables!$M$2:$M$19,IF(T216="NorthBound","&gt;=","&lt;=")&amp;Y216,Variables!$M$2:$M$19,IF(T216="NorthBound","&lt;=","&gt;=")&amp;Z216),COUNTIFS(Variables!$P$2:$P$19,IF(T216="NorthBound","&gt;=","&lt;=")&amp;Y216,Variables!$P$2:$P$19,IF(T216="NorthBound","&lt;=","&gt;=")&amp;Z216))</f>
        <v>0</v>
      </c>
      <c r="V216" s="106" t="str">
        <f t="shared" si="114"/>
        <v>https://search-rtdc-monitor-bjffxe2xuh6vdkpspy63sjmuny.us-east-1.es.amazonaws.com/_plugin/kibana/#/discover/Steve-Slow-Train-Analysis-(2080s-and-2083s)?_g=(refreshInterval:(display:Off,section:0,value:0),time:(from:'2016-08-31 02:15:54-0600',mode:absolute,to:'2016-08-31 04:44:17-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4010%22')),sort:!(Time,asc))</v>
      </c>
      <c r="W216" s="54" t="str">
        <f t="shared" si="115"/>
        <v>Y</v>
      </c>
      <c r="X216" s="120" t="e">
        <f t="shared" si="120"/>
        <v>#VALUE!</v>
      </c>
      <c r="Y216" s="69">
        <f t="shared" si="116"/>
        <v>3.0945</v>
      </c>
      <c r="Z216" s="69">
        <f t="shared" si="105"/>
        <v>0.1022</v>
      </c>
      <c r="AA216" s="69">
        <f t="shared" si="117"/>
        <v>2.9923000000000002</v>
      </c>
      <c r="AB216" s="66" t="e">
        <f>VLOOKUP(A216,Enforcements!$C$7:$J$21,8,0)</f>
        <v>#N/A</v>
      </c>
      <c r="AC216" s="62" t="e">
        <f>VLOOKUP(A216,Enforcements!$C$7:$E$21,3,0)</f>
        <v>#N/A</v>
      </c>
      <c r="AD216" s="63" t="str">
        <f t="shared" si="118"/>
        <v>50-31</v>
      </c>
      <c r="AE216" s="99" t="str">
        <f t="shared" si="107"/>
        <v>aws s3 cp s3://rtdc.mdm.uploadarchive/RTDC4010/2016-08-31/ "%USERPROFILE%\AppData\Local\Temp\OnboardLogs"\RTDC4010\2016-08-31 --recursive &amp; "%USERPROFILE%\Documents\GitHub\mrs-test-scripts\Headless Mode &amp; Sideloading\WalkAndUnGZ.bat" "%USERPROFILE%\AppData\Local\Temp\OnboardLogs"\RTDC4010\2016-08-31 &amp; aws s3 cp s3://rtdc.mdm.uploadarchive/RTDC4010/2016-09-01/ "%USERPROFILE%\AppData\Local\Temp\OnboardLogs"\RTDC4010\2016-09-01 --recursive &amp; "%USERPROFILE%\Documents\GitHub\mrs-test-scripts\Headless Mode &amp; Sideloading\WalkAndUnGZ.bat" "%USERPROFILE%\AppData\Local\Temp\OnboardLogs"\RTDC4010\2016-09-01</v>
      </c>
      <c r="AF216" s="96" t="str">
        <f t="shared" si="108"/>
        <v>"C:\Program Files (x86)\AstroGrep\AstroGrep.exe" /spath="%USERPROFILE%\AppData\Local\Temp\OnboardLogs" /stypes="*4010*20160831*" /stext=" 09:.+((SYSTEM_STATE.+slice.+state.+changed )|(ment ac)|(system.+state.+changed )|(\|lc)|(penalty)|(\[timeout)|(PRM\|1\|D)|(kpr)|(kdp))" /e /r /s</v>
      </c>
      <c r="AG216" s="1" t="str">
        <f t="shared" si="119"/>
        <v>Other</v>
      </c>
      <c r="AH216" s="100" t="str">
        <f t="shared" si="109"/>
        <v>"%USERPROFILE%\Documents\GitHub\eaglep3\Utilities\RefineRTDCRunTimes.py" --tripid 50-31 --locoid 4010 --swversion DE.1.0.7.0 --startMP 300:30945 --initTime 2016-08-31T03:15:54 --startdatetime 2016-08-31T03:37:53 --delay 1 --endMP 204:1022 --enddatetime 2016-08-31T03:44:17 --enforcementcount 0 &gt;&gt;C:\Users\stu\Documents\GitHub\eaglep3-reporting\EC\2016-08-31-refined-times.txt</v>
      </c>
      <c r="AI216" s="149" t="str">
        <f t="shared" si="110"/>
        <v>echo {"issue":{"subject":"","project_id":79,"tracker_id":40,"status_id":1,"priority_id":2,"assigned_to_id":23,"start_date":"2016-08-31","description":"","custom_fields":[{"id":1,"name":"Subdivision","value":"Other"},{"id":4,"name":"Milepost","value":"2.9923"},{"id":17,"name":"Train ID","value":"50-31"},{"id":16,"name":"Locomotive ID","value":"4010"},{"id":130,"name":"Impact","value":""},{"id":150,"name":"Time of Event (Mountain Time)","value":"03:44:17"},{"id":151,"name":"Denver Issue ID","value":""},{"id":178,"name":"Operational Impact","value":"Yes"},{"id":179,"name":"Denver Segment Assigned","value":""}]}} | curl -X POST -H "Content-Type: application/json" -H "X-Redmine-API-Key: d6333d4a04012a730768444271f8ca06482dae87" https://secure.xorail.net/redmine/issues.json --data @-</v>
      </c>
      <c r="AJ216" s="55"/>
      <c r="AK216" s="55"/>
      <c r="AL216" s="55"/>
    </row>
    <row r="217" spans="1:38" x14ac:dyDescent="0.25">
      <c r="A217" s="39" t="s">
        <v>321</v>
      </c>
      <c r="B217" s="7">
        <v>4010</v>
      </c>
      <c r="C217" s="24" t="s">
        <v>113</v>
      </c>
      <c r="D217" s="24" t="s">
        <v>348</v>
      </c>
      <c r="E217" s="15">
        <v>42613.094351851854</v>
      </c>
      <c r="F217" s="15">
        <v>42613.099317129629</v>
      </c>
      <c r="G217" s="7">
        <v>1</v>
      </c>
      <c r="H217" s="15" t="s">
        <v>349</v>
      </c>
      <c r="I217" s="15">
        <v>42613.103043981479</v>
      </c>
      <c r="J217" s="7">
        <v>0</v>
      </c>
      <c r="K217" s="132" t="str">
        <f t="shared" si="111"/>
        <v>4009/4010</v>
      </c>
      <c r="L217" s="24" t="str">
        <f>VLOOKUP(A217,'Trips&amp;Operators'!$C$1:$E$10000,3,FALSE)</f>
        <v>CHIONE</v>
      </c>
      <c r="M217" s="6">
        <f t="shared" si="112"/>
        <v>3.7268518499331549E-3</v>
      </c>
      <c r="N217" s="7">
        <f t="shared" si="104"/>
        <v>5.366666663903743</v>
      </c>
      <c r="O217" s="7"/>
      <c r="P217" s="7"/>
      <c r="Q217" s="25"/>
      <c r="R217" s="25"/>
      <c r="S217" s="37">
        <f t="shared" si="106"/>
        <v>0</v>
      </c>
      <c r="T217" s="52" t="e">
        <f t="shared" si="113"/>
        <v>#VALUE!</v>
      </c>
      <c r="U217" s="126">
        <f>IF(AG217="EC",COUNTIFS(Variables!$M$2:$M$19,IF(T217="NorthBound","&gt;=","&lt;=")&amp;Y217,Variables!$M$2:$M$19,IF(T217="NorthBound","&lt;=","&gt;=")&amp;Z217),COUNTIFS(Variables!$P$2:$P$19,IF(T217="NorthBound","&gt;=","&lt;=")&amp;Y217,Variables!$P$2:$P$19,IF(T217="NorthBound","&lt;=","&gt;=")&amp;Z217))</f>
        <v>0</v>
      </c>
      <c r="V217" s="106" t="str">
        <f t="shared" si="114"/>
        <v>https://search-rtdc-monitor-bjffxe2xuh6vdkpspy63sjmuny.us-east-1.es.amazonaws.com/_plugin/kibana/#/discover/Steve-Slow-Train-Analysis-(2080s-and-2083s)?_g=(refreshInterval:(display:Off,section:0,value:0),time:(from:'2016-08-31 01:15:52-0600',mode:absolute,to:'2016-08-31 03:28:23-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4010%22')),sort:!(Time,asc))</v>
      </c>
      <c r="W217" s="54" t="str">
        <f t="shared" si="115"/>
        <v>Y</v>
      </c>
      <c r="X217" s="120" t="e">
        <f t="shared" si="120"/>
        <v>#VALUE!</v>
      </c>
      <c r="Y217" s="69">
        <f t="shared" si="116"/>
        <v>3.1141999999999999</v>
      </c>
      <c r="Z217" s="69">
        <f t="shared" si="105"/>
        <v>0.52800000000000002</v>
      </c>
      <c r="AA217" s="69">
        <f t="shared" si="117"/>
        <v>2.5861999999999998</v>
      </c>
      <c r="AB217" s="66" t="e">
        <f>VLOOKUP(A217,Enforcements!$C$7:$J$21,8,0)</f>
        <v>#N/A</v>
      </c>
      <c r="AC217" s="62" t="e">
        <f>VLOOKUP(A217,Enforcements!$C$7:$E$21,3,0)</f>
        <v>#N/A</v>
      </c>
      <c r="AD217" s="63" t="str">
        <f t="shared" si="118"/>
        <v>50-31</v>
      </c>
      <c r="AE217" s="99" t="str">
        <f t="shared" si="107"/>
        <v>aws s3 cp s3://rtdc.mdm.uploadarchive/RTDC4010/2016-08-31/ "%USERPROFILE%\AppData\Local\Temp\OnboardLogs"\RTDC4010\2016-08-31 --recursive &amp; "%USERPROFILE%\Documents\GitHub\mrs-test-scripts\Headless Mode &amp; Sideloading\WalkAndUnGZ.bat" "%USERPROFILE%\AppData\Local\Temp\OnboardLogs"\RTDC4010\2016-08-31 &amp; aws s3 cp s3://rtdc.mdm.uploadarchive/RTDC4010/2016-09-01/ "%USERPROFILE%\AppData\Local\Temp\OnboardLogs"\RTDC4010\2016-09-01 --recursive &amp; "%USERPROFILE%\Documents\GitHub\mrs-test-scripts\Headless Mode &amp; Sideloading\WalkAndUnGZ.bat" "%USERPROFILE%\AppData\Local\Temp\OnboardLogs"\RTDC4010\2016-09-01</v>
      </c>
      <c r="AF217" s="96" t="str">
        <f t="shared" si="108"/>
        <v>"C:\Program Files (x86)\AstroGrep\AstroGrep.exe" /spath="%USERPROFILE%\AppData\Local\Temp\OnboardLogs" /stypes="*4010*20160831*" /stext=" 08:.+((SYSTEM_STATE.+slice.+state.+changed )|(ment ac)|(system.+state.+changed )|(\|lc)|(penalty)|(\[timeout)|(PRM\|1\|D)|(kpr)|(kdp))" /e /r /s</v>
      </c>
      <c r="AG217" s="1" t="str">
        <f t="shared" si="119"/>
        <v>Other</v>
      </c>
      <c r="AH217" s="100" t="str">
        <f t="shared" si="109"/>
        <v>"%USERPROFILE%\Documents\GitHub\eaglep3\Utilities\RefineRTDCRunTimes.py" --tripid 50-31 --locoid 4010 --swversion DE.1.0.7.0 --startMP 300:31142 --initTime 2016-08-31T02:15:52 --startdatetime 2016-08-31T02:23:01 --delay 1 --endMP 300:5280 --enddatetime 2016-08-31T02:28:23 --enforcementcount 0 &gt;&gt;C:\Users\stu\Documents\GitHub\eaglep3-reporting\EC\2016-08-31-refined-times.txt</v>
      </c>
      <c r="AI217" s="149" t="str">
        <f t="shared" si="110"/>
        <v>echo {"issue":{"subject":"","project_id":79,"tracker_id":40,"status_id":1,"priority_id":2,"assigned_to_id":23,"start_date":"2016-08-31","description":"","custom_fields":[{"id":1,"name":"Subdivision","value":"Other"},{"id":4,"name":"Milepost","value":"2.5862"},{"id":17,"name":"Train ID","value":"50-31"},{"id":16,"name":"Locomotive ID","value":"4010"},{"id":130,"name":"Impact","value":""},{"id":150,"name":"Time of Event (Mountain Time)","value":"02:28:23"},{"id":151,"name":"Denver Issue ID","value":""},{"id":178,"name":"Operational Impact","value":"Yes"},{"id":179,"name":"Denver Segment Assigned","value":""}]}} | curl -X POST -H "Content-Type: application/json" -H "X-Redmine-API-Key: d6333d4a04012a730768444271f8ca06482dae87" https://secure.xorail.net/redmine/issues.json --data @-</v>
      </c>
      <c r="AJ217" s="55"/>
      <c r="AK217" s="55"/>
      <c r="AL217" s="55"/>
    </row>
    <row r="218" spans="1:38" x14ac:dyDescent="0.25">
      <c r="A218" s="39" t="s">
        <v>318</v>
      </c>
      <c r="B218" s="7">
        <v>4009</v>
      </c>
      <c r="C218" s="24" t="s">
        <v>113</v>
      </c>
      <c r="D218" s="24" t="s">
        <v>350</v>
      </c>
      <c r="E218" s="15">
        <v>42613.077361111114</v>
      </c>
      <c r="F218" s="15">
        <v>42613.108564814815</v>
      </c>
      <c r="G218" s="7">
        <v>2</v>
      </c>
      <c r="H218" s="15" t="s">
        <v>351</v>
      </c>
      <c r="I218" s="15">
        <v>42613.113993055558</v>
      </c>
      <c r="J218" s="7">
        <v>0</v>
      </c>
      <c r="K218" s="132" t="str">
        <f t="shared" si="111"/>
        <v>4009/4010</v>
      </c>
      <c r="L218" s="24" t="str">
        <f>VLOOKUP(A218,'Trips&amp;Operators'!$C$1:$E$10000,3,FALSE)</f>
        <v>CHIONE</v>
      </c>
      <c r="M218" s="6">
        <f t="shared" si="112"/>
        <v>5.4282407436403446E-3</v>
      </c>
      <c r="N218" s="7">
        <f t="shared" si="104"/>
        <v>7.8166666708420962</v>
      </c>
      <c r="O218" s="7"/>
      <c r="P218" s="7"/>
      <c r="Q218" s="25"/>
      <c r="R218" s="25"/>
      <c r="S218" s="37">
        <f t="shared" si="106"/>
        <v>0</v>
      </c>
      <c r="T218" s="52" t="e">
        <f t="shared" si="113"/>
        <v>#VALUE!</v>
      </c>
      <c r="U218" s="126">
        <f>IF(AG218="EC",COUNTIFS(Variables!$M$2:$M$19,IF(T218="NorthBound","&gt;=","&lt;=")&amp;Y218,Variables!$M$2:$M$19,IF(T218="NorthBound","&lt;=","&gt;=")&amp;Z218),COUNTIFS(Variables!$P$2:$P$19,IF(T218="NorthBound","&gt;=","&lt;=")&amp;Y218,Variables!$P$2:$P$19,IF(T218="NorthBound","&lt;=","&gt;=")&amp;Z218))</f>
        <v>0</v>
      </c>
      <c r="V218" s="106" t="str">
        <f t="shared" si="114"/>
        <v>https://search-rtdc-monitor-bjffxe2xuh6vdkpspy63sjmuny.us-east-1.es.amazonaws.com/_plugin/kibana/#/discover/Steve-Slow-Train-Analysis-(2080s-and-2083s)?_g=(refreshInterval:(display:Off,section:0,value:0),time:(from:'2016-08-31 00:51:24-0600',mode:absolute,to:'2016-08-31 03:44:09-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4009%22')),sort:!(Time,asc))</v>
      </c>
      <c r="W218" s="54" t="str">
        <f t="shared" si="115"/>
        <v>Y</v>
      </c>
      <c r="X218" s="120" t="e">
        <f t="shared" si="120"/>
        <v>#VALUE!</v>
      </c>
      <c r="Y218" s="69">
        <f t="shared" si="116"/>
        <v>0.1177</v>
      </c>
      <c r="Z218" s="69">
        <f t="shared" si="105"/>
        <v>3.1461999999999999</v>
      </c>
      <c r="AA218" s="69">
        <f t="shared" si="117"/>
        <v>3.0284999999999997</v>
      </c>
      <c r="AB218" s="66" t="e">
        <f>VLOOKUP(A218,Enforcements!$C$7:$J$21,8,0)</f>
        <v>#N/A</v>
      </c>
      <c r="AC218" s="62" t="e">
        <f>VLOOKUP(A218,Enforcements!$C$7:$E$21,3,0)</f>
        <v>#N/A</v>
      </c>
      <c r="AD218" s="63" t="str">
        <f t="shared" si="118"/>
        <v>51-31</v>
      </c>
      <c r="AE218" s="99" t="str">
        <f t="shared" si="107"/>
        <v>aws s3 cp s3://rtdc.mdm.uploadarchive/RTDC4009/2016-08-31/ "%USERPROFILE%\AppData\Local\Temp\OnboardLogs"\RTDC4009\2016-08-31 --recursive &amp; "%USERPROFILE%\Documents\GitHub\mrs-test-scripts\Headless Mode &amp; Sideloading\WalkAndUnGZ.bat" "%USERPROFILE%\AppData\Local\Temp\OnboardLogs"\RTDC4009\2016-08-31 &amp; aws s3 cp s3://rtdc.mdm.uploadarchive/RTDC4009/2016-09-01/ "%USERPROFILE%\AppData\Local\Temp\OnboardLogs"\RTDC4009\2016-09-01 --recursive &amp; "%USERPROFILE%\Documents\GitHub\mrs-test-scripts\Headless Mode &amp; Sideloading\WalkAndUnGZ.bat" "%USERPROFILE%\AppData\Local\Temp\OnboardLogs"\RTDC4009\2016-09-01</v>
      </c>
      <c r="AF218" s="96" t="str">
        <f t="shared" si="108"/>
        <v>"C:\Program Files (x86)\AstroGrep\AstroGrep.exe" /spath="%USERPROFILE%\AppData\Local\Temp\OnboardLogs" /stypes="*4009*20160831*" /stext=" 08:.+((SYSTEM_STATE.+slice.+state.+changed )|(ment ac)|(system.+state.+changed )|(\|lc)|(penalty)|(\[timeout)|(PRM\|1\|D)|(kpr)|(kdp))" /e /r /s</v>
      </c>
      <c r="AG218" s="1" t="str">
        <f t="shared" si="119"/>
        <v>Other</v>
      </c>
      <c r="AH218" s="100" t="str">
        <f t="shared" si="109"/>
        <v>"%USERPROFILE%\Documents\GitHub\eaglep3\Utilities\RefineRTDCRunTimes.py" --tripid 51-31 --locoid 4009 --swversion DE.1.0.7.0 --startMP 204:1177 --initTime 2016-08-31T01:51:24 --startdatetime 2016-08-31T02:36:20 --delay 2 --endMP 300:31462 --enddatetime 2016-08-31T02:44:09 --enforcementcount 0 &gt;&gt;C:\Users\stu\Documents\GitHub\eaglep3-reporting\EC\2016-08-31-refined-times.txt</v>
      </c>
      <c r="AI218" s="149" t="str">
        <f t="shared" si="110"/>
        <v>echo {"issue":{"subject":"","project_id":79,"tracker_id":40,"status_id":1,"priority_id":2,"assigned_to_id":23,"start_date":"2016-08-31","description":"","custom_fields":[{"id":1,"name":"Subdivision","value":"Other"},{"id":4,"name":"Milepost","value":"3.0285"},{"id":17,"name":"Train ID","value":"51-31"},{"id":16,"name":"Locomotive ID","value":"4009"},{"id":130,"name":"Impact","value":""},{"id":150,"name":"Time of Event (Mountain Time)","value":"02:44:09"},{"id":151,"name":"Denver Issue ID","value":""},{"id":178,"name":"Operational Impact","value":"Yes"},{"id":179,"name":"Denver Segment Assigned","value":""}]}} | curl -X POST -H "Content-Type: application/json" -H "X-Redmine-API-Key: d6333d4a04012a730768444271f8ca06482dae87" https://secure.xorail.net/redmine/issues.json --data @-</v>
      </c>
      <c r="AJ218" s="55"/>
      <c r="AK218" s="55"/>
      <c r="AL218" s="55"/>
    </row>
    <row r="219" spans="1:38" x14ac:dyDescent="0.25">
      <c r="A219" s="39" t="s">
        <v>318</v>
      </c>
      <c r="B219" s="7">
        <v>4009</v>
      </c>
      <c r="C219" s="24" t="s">
        <v>113</v>
      </c>
      <c r="D219" s="24" t="s">
        <v>352</v>
      </c>
      <c r="E219" s="15">
        <v>42613.105798611112</v>
      </c>
      <c r="F219" s="15">
        <v>42613.108564814815</v>
      </c>
      <c r="G219" s="7">
        <v>0</v>
      </c>
      <c r="H219" s="15" t="s">
        <v>353</v>
      </c>
      <c r="I219" s="15">
        <v>42613.113993055558</v>
      </c>
      <c r="J219" s="7">
        <v>0</v>
      </c>
      <c r="K219" s="132" t="str">
        <f t="shared" si="111"/>
        <v>4009/4010</v>
      </c>
      <c r="L219" s="24" t="str">
        <f>VLOOKUP(A219,'Trips&amp;Operators'!$C$1:$E$10000,3,FALSE)</f>
        <v>CHIONE</v>
      </c>
      <c r="M219" s="6">
        <f t="shared" si="112"/>
        <v>5.4282407436403446E-3</v>
      </c>
      <c r="N219" s="7">
        <f t="shared" si="104"/>
        <v>7.8166666708420962</v>
      </c>
      <c r="O219" s="7"/>
      <c r="P219" s="7"/>
      <c r="Q219" s="25"/>
      <c r="R219" s="25"/>
      <c r="S219" s="37">
        <f t="shared" si="106"/>
        <v>0</v>
      </c>
      <c r="T219" s="52" t="e">
        <f t="shared" si="113"/>
        <v>#VALUE!</v>
      </c>
      <c r="U219" s="126">
        <f>IF(AG219="EC",COUNTIFS(Variables!$M$2:$M$19,IF(T219="NorthBound","&gt;=","&lt;=")&amp;Y219,Variables!$M$2:$M$19,IF(T219="NorthBound","&lt;=","&gt;=")&amp;Z219),COUNTIFS(Variables!$P$2:$P$19,IF(T219="NorthBound","&gt;=","&lt;=")&amp;Y219,Variables!$P$2:$P$19,IF(T219="NorthBound","&lt;=","&gt;=")&amp;Z219))</f>
        <v>0</v>
      </c>
      <c r="V219" s="106" t="str">
        <f t="shared" si="114"/>
        <v>https://search-rtdc-monitor-bjffxe2xuh6vdkpspy63sjmuny.us-east-1.es.amazonaws.com/_plugin/kibana/#/discover/Steve-Slow-Train-Analysis-(2080s-and-2083s)?_g=(refreshInterval:(display:Off,section:0,value:0),time:(from:'2016-08-31 01:32:21-0600',mode:absolute,to:'2016-08-31 03:44:09-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4009%22')),sort:!(Time,asc))</v>
      </c>
      <c r="W219" s="54" t="str">
        <f t="shared" si="115"/>
        <v>Y</v>
      </c>
      <c r="X219" s="120" t="e">
        <f t="shared" si="120"/>
        <v>#VALUE!</v>
      </c>
      <c r="Y219" s="69">
        <f t="shared" si="116"/>
        <v>0.55400000000000005</v>
      </c>
      <c r="Z219" s="69">
        <f t="shared" si="105"/>
        <v>3.1265000000000001</v>
      </c>
      <c r="AA219" s="69">
        <f t="shared" si="117"/>
        <v>2.5724999999999998</v>
      </c>
      <c r="AB219" s="66" t="e">
        <f>VLOOKUP(A219,Enforcements!$C$7:$J$21,8,0)</f>
        <v>#N/A</v>
      </c>
      <c r="AC219" s="62" t="e">
        <f>VLOOKUP(A219,Enforcements!$C$7:$E$21,3,0)</f>
        <v>#N/A</v>
      </c>
      <c r="AD219" s="63" t="str">
        <f t="shared" si="118"/>
        <v>51-31</v>
      </c>
      <c r="AE219" s="99" t="str">
        <f t="shared" si="107"/>
        <v>aws s3 cp s3://rtdc.mdm.uploadarchive/RTDC4009/2016-08-31/ "%USERPROFILE%\AppData\Local\Temp\OnboardLogs"\RTDC4009\2016-08-31 --recursive &amp; "%USERPROFILE%\Documents\GitHub\mrs-test-scripts\Headless Mode &amp; Sideloading\WalkAndUnGZ.bat" "%USERPROFILE%\AppData\Local\Temp\OnboardLogs"\RTDC4009\2016-08-31 &amp; aws s3 cp s3://rtdc.mdm.uploadarchive/RTDC4009/2016-09-01/ "%USERPROFILE%\AppData\Local\Temp\OnboardLogs"\RTDC4009\2016-09-01 --recursive &amp; "%USERPROFILE%\Documents\GitHub\mrs-test-scripts\Headless Mode &amp; Sideloading\WalkAndUnGZ.bat" "%USERPROFILE%\AppData\Local\Temp\OnboardLogs"\RTDC4009\2016-09-01</v>
      </c>
      <c r="AF219" s="96" t="str">
        <f t="shared" si="108"/>
        <v>"C:\Program Files (x86)\AstroGrep\AstroGrep.exe" /spath="%USERPROFILE%\AppData\Local\Temp\OnboardLogs" /stypes="*4009*20160831*" /stext=" 08:.+((SYSTEM_STATE.+slice.+state.+changed )|(ment ac)|(system.+state.+changed )|(\|lc)|(penalty)|(\[timeout)|(PRM\|1\|D)|(kpr)|(kdp))" /e /r /s</v>
      </c>
      <c r="AG219" s="1" t="str">
        <f t="shared" si="119"/>
        <v>Other</v>
      </c>
      <c r="AH219" s="100" t="str">
        <f t="shared" si="109"/>
        <v>"%USERPROFILE%\Documents\GitHub\eaglep3\Utilities\RefineRTDCRunTimes.py" --tripid 51-31 --locoid 4009 --swversion DE.1.0.7.0 --startMP 300:5540 --initTime 2016-08-31T02:32:21 --startdatetime 2016-08-31T02:36:20 --delay 0 --endMP 300:31265 --enddatetime 2016-08-31T02:44:09 --enforcementcount 0 &gt;&gt;C:\Users\stu\Documents\GitHub\eaglep3-reporting\EC\2016-08-31-refined-times.txt</v>
      </c>
      <c r="AI219" s="149" t="str">
        <f t="shared" si="110"/>
        <v>echo {"issue":{"subject":"","project_id":79,"tracker_id":40,"status_id":1,"priority_id":2,"assigned_to_id":23,"start_date":"2016-08-31","description":"","custom_fields":[{"id":1,"name":"Subdivision","value":"Other"},{"id":4,"name":"Milepost","value":"2.5725"},{"id":17,"name":"Train ID","value":"51-31"},{"id":16,"name":"Locomotive ID","value":"4009"},{"id":130,"name":"Impact","value":""},{"id":150,"name":"Time of Event (Mountain Time)","value":"02:44:09"},{"id":151,"name":"Denver Issue ID","value":""},{"id":178,"name":"Operational Impact","value":"Yes"},{"id":179,"name":"Denver Segment Assigned","value":""}]}} | curl -X POST -H "Content-Type: application/json" -H "X-Redmine-API-Key: d6333d4a04012a730768444271f8ca06482dae87" https://secure.xorail.net/redmine/issues.json --data @-</v>
      </c>
      <c r="AJ219" s="55"/>
      <c r="AK219" s="55"/>
      <c r="AL219" s="55"/>
    </row>
    <row r="220" spans="1:38" x14ac:dyDescent="0.25">
      <c r="A220" s="39" t="s">
        <v>318</v>
      </c>
      <c r="B220" s="7">
        <v>4044</v>
      </c>
      <c r="C220" s="24" t="s">
        <v>113</v>
      </c>
      <c r="D220" s="24" t="s">
        <v>593</v>
      </c>
      <c r="E220" s="15">
        <v>42613.750763888886</v>
      </c>
      <c r="F220" s="15">
        <v>25568.958333333332</v>
      </c>
      <c r="G220" s="7">
        <v>3</v>
      </c>
      <c r="H220" s="15" t="s">
        <v>594</v>
      </c>
      <c r="I220" s="15">
        <v>25568.958333333332</v>
      </c>
      <c r="J220" s="7">
        <v>0</v>
      </c>
      <c r="K220" s="132" t="str">
        <f t="shared" si="111"/>
        <v>4043/4044</v>
      </c>
      <c r="L220" s="24" t="str">
        <f>VLOOKUP(A220,'Trips&amp;Operators'!$C$1:$E$10000,3,FALSE)</f>
        <v>CHIONE</v>
      </c>
      <c r="M220" s="6">
        <f t="shared" si="112"/>
        <v>0</v>
      </c>
      <c r="N220" s="7">
        <f t="shared" si="104"/>
        <v>0</v>
      </c>
      <c r="O220" s="7"/>
      <c r="P220" s="7"/>
      <c r="Q220" s="25"/>
      <c r="R220" s="25"/>
      <c r="S220" s="37">
        <f t="shared" si="106"/>
        <v>0</v>
      </c>
      <c r="T220" s="52" t="e">
        <f t="shared" si="113"/>
        <v>#VALUE!</v>
      </c>
      <c r="U220" s="126">
        <f>IF(AG220="EC",COUNTIFS(Variables!$M$2:$M$19,IF(T220="NorthBound","&gt;=","&lt;=")&amp;Y220,Variables!$M$2:$M$19,IF(T220="NorthBound","&lt;=","&gt;=")&amp;Z220),COUNTIFS(Variables!$P$2:$P$19,IF(T220="NorthBound","&gt;=","&lt;=")&amp;Y220,Variables!$P$2:$P$19,IF(T220="NorthBound","&lt;=","&gt;=")&amp;Z220))</f>
        <v>0</v>
      </c>
      <c r="V220" s="106" t="str">
        <f t="shared" si="114"/>
        <v>https://search-rtdc-monitor-bjffxe2xuh6vdkpspy63sjmuny.us-east-1.es.amazonaws.com/_plugin/kibana/#/discover/Steve-Slow-Train-Analysis-(2080s-and-2083s)?_g=(refreshInterval:(display:Off,section:0,value:0),time:(from:'2016-08-31 17:01:06-0600',mode:absolute,to:'1970-01-01 00:00: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4044%22')),sort:!(Time,asc))</v>
      </c>
      <c r="W220" s="54" t="str">
        <f t="shared" si="115"/>
        <v>Y</v>
      </c>
      <c r="X220" s="120" t="e">
        <f t="shared" si="120"/>
        <v>#VALUE!</v>
      </c>
      <c r="Y220" s="69">
        <f t="shared" si="116"/>
        <v>0.14560000000000001</v>
      </c>
      <c r="Z220" s="69">
        <f t="shared" si="105"/>
        <v>2.3296999999999999</v>
      </c>
      <c r="AA220" s="69">
        <f t="shared" si="117"/>
        <v>2.1840999999999999</v>
      </c>
      <c r="AB220" s="66" t="e">
        <f>VLOOKUP(A220,Enforcements!$C$7:$J$21,8,0)</f>
        <v>#N/A</v>
      </c>
      <c r="AC220" s="62" t="e">
        <f>VLOOKUP(A220,Enforcements!$C$7:$E$21,3,0)</f>
        <v>#N/A</v>
      </c>
      <c r="AD220" s="63" t="str">
        <f t="shared" si="118"/>
        <v>51-31</v>
      </c>
      <c r="AE220" s="99" t="str">
        <f t="shared" si="107"/>
        <v>aws s3 cp s3://rtdc.mdm.uploadarchive/RTDC4044/1969-12-31/ "%USERPROFILE%\AppData\Local\Temp\OnboardLogs"\RTDC4044\1969-12-31 --recursive &amp; "%USERPROFILE%\Documents\GitHub\mrs-test-scripts\Headless Mode &amp; Sideloading\WalkAndUnGZ.bat" "%USERPROFILE%\AppData\Local\Temp\OnboardLogs"\RTDC4044\1969-12-31 &amp; aws s3 cp s3://rtdc.mdm.uploadarchive/RTDC4044/1970-01-01/ "%USERPROFILE%\AppData\Local\Temp\OnboardLogs"\RTDC4044\1970-01-01 --recursive &amp; "%USERPROFILE%\Documents\GitHub\mrs-test-scripts\Headless Mode &amp; Sideloading\WalkAndUnGZ.bat" "%USERPROFILE%\AppData\Local\Temp\OnboardLogs"\RTDC4044\1970-01-01</v>
      </c>
      <c r="AF220" s="96" t="str">
        <f t="shared" si="108"/>
        <v>"C:\Program Files (x86)\AstroGrep\AstroGrep.exe" /spath="%USERPROFILE%\AppData\Local\Temp\OnboardLogs" /stypes="*4044*19700101*" /stext=" 05:.+((SYSTEM_STATE.+slice.+state.+changed )|(ment ac)|(system.+state.+changed )|(\|lc)|(penalty)|(\[timeout)|(PRM\|1\|D)|(kpr)|(kdp))" /e /r /s</v>
      </c>
      <c r="AG220" s="1" t="str">
        <f t="shared" si="119"/>
        <v>Other</v>
      </c>
      <c r="AH220" s="100" t="str">
        <f t="shared" si="109"/>
        <v>"%USERPROFILE%\Documents\GitHub\eaglep3\Utilities\RefineRTDCRunTimes.py" --tripid 51-31 --locoid 4044 --swversion DE.1.0.7.0 --startMP 204:1456 --initTime 2016-08-31T18:01:06 --startdatetime 1969-12-31T23:00:00 --delay 3 --endMP 300:23297 --enddatetime 1969-12-31T23:00:00 --enforcementcount 0 &gt;&gt;C:\Users\stu\Documents\GitHub\eaglep3-reporting\EC\2016-08-31-refined-times.txt</v>
      </c>
      <c r="AI220" s="149" t="str">
        <f t="shared" si="110"/>
        <v>echo {"issue":{"subject":"","project_id":79,"tracker_id":40,"status_id":1,"priority_id":2,"assigned_to_id":23,"start_date":"1969-12-31","description":"","custom_fields":[{"id":1,"name":"Subdivision","value":"Other"},{"id":4,"name":"Milepost","value":"2.1841"},{"id":17,"name":"Train ID","value":"51-31"},{"id":16,"name":"Locomotive ID","value":"4044"},{"id":130,"name":"Impact","value":""},{"id":150,"name":"Time of Event (Mountain Time)","value":"23:00:00"},{"id":151,"name":"Denver Issue ID","value":""},{"id":178,"name":"Operational Impact","value":"Yes"},{"id":179,"name":"Denver Segment Assigned","value":""}]}} | curl -X POST -H "Content-Type: application/json" -H "X-Redmine-API-Key: d6333d4a04012a730768444271f8ca06482dae87" https://secure.xorail.net/redmine/issues.json --data @-</v>
      </c>
      <c r="AJ220" s="55"/>
      <c r="AK220" s="55"/>
      <c r="AL220" s="55"/>
    </row>
    <row r="221" spans="1:38" x14ac:dyDescent="0.25">
      <c r="A221" s="39" t="s">
        <v>595</v>
      </c>
      <c r="B221" s="7">
        <v>4005</v>
      </c>
      <c r="C221" s="24" t="s">
        <v>113</v>
      </c>
      <c r="D221" s="24" t="s">
        <v>596</v>
      </c>
      <c r="E221" s="15">
        <v>42613.745462962965</v>
      </c>
      <c r="F221" s="15">
        <v>42613.747743055559</v>
      </c>
      <c r="G221" s="7">
        <v>3</v>
      </c>
      <c r="H221" s="15" t="s">
        <v>541</v>
      </c>
      <c r="I221" s="15">
        <v>42613.753252314818</v>
      </c>
      <c r="J221" s="7">
        <v>0</v>
      </c>
      <c r="K221" s="132" t="str">
        <f t="shared" si="111"/>
        <v>4005/4006</v>
      </c>
      <c r="L221" s="24" t="str">
        <f>VLOOKUP(A221,'Trips&amp;Operators'!$C$1:$E$10000,3,FALSE)</f>
        <v>COOLAHAN</v>
      </c>
      <c r="M221" s="6">
        <f t="shared" si="112"/>
        <v>5.5092592592700385E-3</v>
      </c>
      <c r="N221" s="7">
        <f t="shared" si="104"/>
        <v>7.9333333333488554</v>
      </c>
      <c r="O221" s="7"/>
      <c r="P221" s="7"/>
      <c r="Q221" s="25"/>
      <c r="R221" s="25"/>
      <c r="S221" s="37">
        <f t="shared" si="106"/>
        <v>0</v>
      </c>
      <c r="T221" s="52" t="e">
        <f t="shared" si="113"/>
        <v>#VALUE!</v>
      </c>
      <c r="U221" s="126">
        <f>IF(AG221="EC",COUNTIFS(Variables!$M$2:$M$19,IF(T221="NorthBound","&gt;=","&lt;=")&amp;Y221,Variables!$M$2:$M$19,IF(T221="NorthBound","&lt;=","&gt;=")&amp;Z221),COUNTIFS(Variables!$P$2:$P$19,IF(T221="NorthBound","&gt;=","&lt;=")&amp;Y221,Variables!$P$2:$P$19,IF(T221="NorthBound","&lt;=","&gt;=")&amp;Z221))</f>
        <v>0</v>
      </c>
      <c r="V221" s="106" t="str">
        <f t="shared" si="114"/>
        <v>https://search-rtdc-monitor-bjffxe2xuh6vdkpspy63sjmuny.us-east-1.es.amazonaws.com/_plugin/kibana/#/discover/Steve-Slow-Train-Analysis-(2080s-and-2083s)?_g=(refreshInterval:(display:Off,section:0,value:0),time:(from:'2016-08-31 16:53:28-0600',mode:absolute,to:'2016-08-31 19:04:41-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4005%22')),sort:!(Time,asc))</v>
      </c>
      <c r="W221" s="54" t="str">
        <f t="shared" si="115"/>
        <v>Y</v>
      </c>
      <c r="X221" s="120" t="e">
        <f t="shared" si="120"/>
        <v>#VALUE!</v>
      </c>
      <c r="Y221" s="69">
        <f t="shared" si="116"/>
        <v>2.3491</v>
      </c>
      <c r="Z221" s="69">
        <f t="shared" si="105"/>
        <v>1.78E-2</v>
      </c>
      <c r="AA221" s="69">
        <f t="shared" si="117"/>
        <v>2.3313000000000001</v>
      </c>
      <c r="AB221" s="66" t="e">
        <f>VLOOKUP(A221,Enforcements!$C$7:$J$21,8,0)</f>
        <v>#N/A</v>
      </c>
      <c r="AC221" s="62" t="e">
        <f>VLOOKUP(A221,Enforcements!$C$7:$E$21,3,0)</f>
        <v>#N/A</v>
      </c>
      <c r="AD221" s="63" t="str">
        <f t="shared" si="118"/>
        <v>67-31</v>
      </c>
      <c r="AE221" s="99" t="str">
        <f t="shared" si="107"/>
        <v>aws s3 cp s3://rtdc.mdm.uploadarchive/RTDC4005/2016-08-31/ "%USERPROFILE%\AppData\Local\Temp\OnboardLogs"\RTDC4005\2016-08-31 --recursive &amp; "%USERPROFILE%\Documents\GitHub\mrs-test-scripts\Headless Mode &amp; Sideloading\WalkAndUnGZ.bat" "%USERPROFILE%\AppData\Local\Temp\OnboardLogs"\RTDC4005\2016-08-31 &amp; aws s3 cp s3://rtdc.mdm.uploadarchive/RTDC4005/2016-09-01/ "%USERPROFILE%\AppData\Local\Temp\OnboardLogs"\RTDC4005\2016-09-01 --recursive &amp; "%USERPROFILE%\Documents\GitHub\mrs-test-scripts\Headless Mode &amp; Sideloading\WalkAndUnGZ.bat" "%USERPROFILE%\AppData\Local\Temp\OnboardLogs"\RTDC4005\2016-09-01</v>
      </c>
      <c r="AF221" s="96" t="str">
        <f t="shared" si="108"/>
        <v>"C:\Program Files (x86)\AstroGrep\AstroGrep.exe" /spath="%USERPROFILE%\AppData\Local\Temp\OnboardLogs" /stypes="*4005*20160901*" /stext=" 00:.+((SYSTEM_STATE.+slice.+state.+changed )|(ment ac)|(system.+state.+changed )|(\|lc)|(penalty)|(\[timeout)|(PRM\|1\|D)|(kpr)|(kdp))" /e /r /s</v>
      </c>
      <c r="AG221" s="1" t="str">
        <f t="shared" si="119"/>
        <v>Other</v>
      </c>
      <c r="AH221" s="100" t="str">
        <f t="shared" si="109"/>
        <v>"%USERPROFILE%\Documents\GitHub\eaglep3\Utilities\RefineRTDCRunTimes.py" --tripid 67-31 --locoid 4005 --swversion DE.1.0.7.0 --startMP 300:23491 --initTime 2016-08-31T17:53:28 --startdatetime 2016-08-31T17:56:45 --delay 3 --endMP 204:178 --enddatetime 2016-08-31T18:04:41 --enforcementcount 0 &gt;&gt;C:\Users\stu\Documents\GitHub\eaglep3-reporting\EC\2016-08-31-refined-times.txt</v>
      </c>
      <c r="AI221" s="149" t="str">
        <f t="shared" si="110"/>
        <v>echo {"issue":{"subject":"","project_id":79,"tracker_id":40,"status_id":1,"priority_id":2,"assigned_to_id":23,"start_date":"2016-08-31","description":"","custom_fields":[{"id":1,"name":"Subdivision","value":"Other"},{"id":4,"name":"Milepost","value":"2.3313"},{"id":17,"name":"Train ID","value":"67-31"},{"id":16,"name":"Locomotive ID","value":"4005"},{"id":130,"name":"Impact","value":""},{"id":150,"name":"Time of Event (Mountain Time)","value":"18:04:41"},{"id":151,"name":"Denver Issue ID","value":""},{"id":178,"name":"Operational Impact","value":"Yes"},{"id":179,"name":"Denver Segment Assigned","value":""}]}} | curl -X POST -H "Content-Type: application/json" -H "X-Redmine-API-Key: d6333d4a04012a730768444271f8ca06482dae87" https://secure.xorail.net/redmine/issues.json --data @-</v>
      </c>
      <c r="AJ221" s="55"/>
      <c r="AK221" s="55"/>
      <c r="AL221" s="55"/>
    </row>
    <row r="222" spans="1:38" x14ac:dyDescent="0.25">
      <c r="A222" s="39" t="s">
        <v>597</v>
      </c>
      <c r="B222" s="7">
        <v>4006</v>
      </c>
      <c r="C222" s="24" t="s">
        <v>113</v>
      </c>
      <c r="D222" s="24" t="s">
        <v>337</v>
      </c>
      <c r="E222" s="15">
        <v>42613.77375</v>
      </c>
      <c r="F222" s="15">
        <v>25568.958333333332</v>
      </c>
      <c r="G222" s="7">
        <v>1</v>
      </c>
      <c r="H222" s="15" t="s">
        <v>598</v>
      </c>
      <c r="I222" s="15">
        <v>25568.958333333332</v>
      </c>
      <c r="J222" s="7">
        <v>0</v>
      </c>
      <c r="K222" s="132" t="str">
        <f t="shared" si="111"/>
        <v>4005/4006</v>
      </c>
      <c r="L222" s="24" t="str">
        <f>VLOOKUP(A222,'Trips&amp;Operators'!$C$1:$E$10000,3,FALSE)</f>
        <v>BARTLETT</v>
      </c>
      <c r="M222" s="6">
        <f t="shared" si="112"/>
        <v>0</v>
      </c>
      <c r="N222" s="7">
        <f t="shared" si="104"/>
        <v>0</v>
      </c>
      <c r="O222" s="7"/>
      <c r="P222" s="7"/>
      <c r="Q222" s="25"/>
      <c r="R222" s="25"/>
      <c r="S222" s="37">
        <f t="shared" si="106"/>
        <v>0</v>
      </c>
      <c r="T222" s="52" t="e">
        <f t="shared" si="113"/>
        <v>#VALUE!</v>
      </c>
      <c r="U222" s="126">
        <f>IF(AG222="EC",COUNTIFS(Variables!$M$2:$M$19,IF(T222="NorthBound","&gt;=","&lt;=")&amp;Y222,Variables!$M$2:$M$19,IF(T222="NorthBound","&lt;=","&gt;=")&amp;Z222),COUNTIFS(Variables!$P$2:$P$19,IF(T222="NorthBound","&gt;=","&lt;=")&amp;Y222,Variables!$P$2:$P$19,IF(T222="NorthBound","&lt;=","&gt;=")&amp;Z222))</f>
        <v>0</v>
      </c>
      <c r="V222" s="106" t="str">
        <f t="shared" si="114"/>
        <v>https://search-rtdc-monitor-bjffxe2xuh6vdkpspy63sjmuny.us-east-1.es.amazonaws.com/_plugin/kibana/#/discover/Steve-Slow-Train-Analysis-(2080s-and-2083s)?_g=(refreshInterval:(display:Off,section:0,value:0),time:(from:'2016-08-31 17:34:12-0600',mode:absolute,to:'1970-01-01 00:00: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4006%22')),sort:!(Time,asc))</v>
      </c>
      <c r="W222" s="54" t="str">
        <f t="shared" si="115"/>
        <v>Y</v>
      </c>
      <c r="X222" s="120" t="e">
        <f t="shared" si="120"/>
        <v>#VALUE!</v>
      </c>
      <c r="Y222" s="69">
        <f t="shared" si="116"/>
        <v>4.8000000000000001E-2</v>
      </c>
      <c r="Z222" s="69">
        <f t="shared" si="105"/>
        <v>2.4207000000000001</v>
      </c>
      <c r="AA222" s="69">
        <f t="shared" si="117"/>
        <v>2.3727</v>
      </c>
      <c r="AB222" s="66" t="e">
        <f>VLOOKUP(A222,Enforcements!$C$7:$J$21,8,0)</f>
        <v>#N/A</v>
      </c>
      <c r="AC222" s="62" t="e">
        <f>VLOOKUP(A222,Enforcements!$C$7:$E$21,3,0)</f>
        <v>#N/A</v>
      </c>
      <c r="AD222" s="63" t="str">
        <f t="shared" si="118"/>
        <v>71-31</v>
      </c>
      <c r="AE222" s="99" t="str">
        <f t="shared" si="107"/>
        <v>aws s3 cp s3://rtdc.mdm.uploadarchive/RTDC4006/1969-12-31/ "%USERPROFILE%\AppData\Local\Temp\OnboardLogs"\RTDC4006\1969-12-31 --recursive &amp; "%USERPROFILE%\Documents\GitHub\mrs-test-scripts\Headless Mode &amp; Sideloading\WalkAndUnGZ.bat" "%USERPROFILE%\AppData\Local\Temp\OnboardLogs"\RTDC4006\1969-12-31 &amp; aws s3 cp s3://rtdc.mdm.uploadarchive/RTDC4006/1970-01-01/ "%USERPROFILE%\AppData\Local\Temp\OnboardLogs"\RTDC4006\1970-01-01 --recursive &amp; "%USERPROFILE%\Documents\GitHub\mrs-test-scripts\Headless Mode &amp; Sideloading\WalkAndUnGZ.bat" "%USERPROFILE%\AppData\Local\Temp\OnboardLogs"\RTDC4006\1970-01-01</v>
      </c>
      <c r="AF222" s="96" t="str">
        <f t="shared" si="108"/>
        <v>"C:\Program Files (x86)\AstroGrep\AstroGrep.exe" /spath="%USERPROFILE%\AppData\Local\Temp\OnboardLogs" /stypes="*4006*19700101*" /stext=" 05:.+((SYSTEM_STATE.+slice.+state.+changed )|(ment ac)|(system.+state.+changed )|(\|lc)|(penalty)|(\[timeout)|(PRM\|1\|D)|(kpr)|(kdp))" /e /r /s</v>
      </c>
      <c r="AG222" s="1" t="str">
        <f t="shared" si="119"/>
        <v>Other</v>
      </c>
      <c r="AH222" s="100" t="str">
        <f t="shared" si="109"/>
        <v>"%USERPROFILE%\Documents\GitHub\eaglep3\Utilities\RefineRTDCRunTimes.py" --tripid 71-31 --locoid 4006 --swversion DE.1.0.7.0 --startMP 204:480 --initTime 2016-08-31T18:34:12 --startdatetime 1969-12-31T23:00:00 --delay 1 --endMP 300:24207 --enddatetime 1969-12-31T23:00:00 --enforcementcount 0 &gt;&gt;C:\Users\stu\Documents\GitHub\eaglep3-reporting\EC\2016-08-31-refined-times.txt</v>
      </c>
      <c r="AI222" s="149" t="str">
        <f t="shared" si="110"/>
        <v>echo {"issue":{"subject":"","project_id":79,"tracker_id":40,"status_id":1,"priority_id":2,"assigned_to_id":23,"start_date":"1969-12-31","description":"","custom_fields":[{"id":1,"name":"Subdivision","value":"Other"},{"id":4,"name":"Milepost","value":"2.3727"},{"id":17,"name":"Train ID","value":"71-31"},{"id":16,"name":"Locomotive ID","value":"4006"},{"id":130,"name":"Impact","value":""},{"id":150,"name":"Time of Event (Mountain Time)","value":"23:00:00"},{"id":151,"name":"Denver Issue ID","value":""},{"id":178,"name":"Operational Impact","value":"Yes"},{"id":179,"name":"Denver Segment Assigned","value":""}]}} | curl -X POST -H "Content-Type: application/json" -H "X-Redmine-API-Key: d6333d4a04012a730768444271f8ca06482dae87" https://secure.xorail.net/redmine/issues.json --data @-</v>
      </c>
      <c r="AJ222" s="55"/>
      <c r="AK222" s="55"/>
      <c r="AL222" s="55"/>
    </row>
    <row r="223" spans="1:38" x14ac:dyDescent="0.25">
      <c r="A223" s="39"/>
      <c r="B223" s="7"/>
      <c r="C223" s="24"/>
      <c r="D223" s="24"/>
      <c r="E223" s="15"/>
      <c r="F223" s="15"/>
      <c r="G223" s="7"/>
      <c r="H223" s="15"/>
      <c r="I223" s="15"/>
      <c r="J223" s="7"/>
      <c r="K223" s="132"/>
      <c r="L223" s="24"/>
      <c r="M223" s="6"/>
      <c r="N223" s="7"/>
      <c r="O223" s="7"/>
      <c r="P223" s="7"/>
      <c r="Q223" s="25"/>
      <c r="R223" s="25"/>
      <c r="S223" s="37"/>
      <c r="T223" s="52"/>
      <c r="U223" s="126"/>
      <c r="V223" s="106"/>
      <c r="W223" s="54"/>
      <c r="X223" s="120"/>
      <c r="Y223" s="69"/>
      <c r="Z223" s="69"/>
      <c r="AA223" s="69"/>
      <c r="AB223" s="66"/>
      <c r="AC223" s="62"/>
      <c r="AD223" s="63"/>
      <c r="AE223" s="99"/>
      <c r="AF223" s="96"/>
      <c r="AG223" s="1"/>
      <c r="AI223" s="149"/>
      <c r="AJ223" s="55"/>
      <c r="AK223" s="55"/>
      <c r="AL223" s="55"/>
    </row>
    <row r="224" spans="1:38" x14ac:dyDescent="0.25">
      <c r="A224" s="39"/>
      <c r="B224" s="7"/>
      <c r="C224" s="24"/>
      <c r="D224" s="24"/>
      <c r="E224" s="15"/>
      <c r="F224" s="15"/>
      <c r="G224" s="7"/>
      <c r="H224" s="15"/>
      <c r="I224" s="15"/>
      <c r="J224" s="7"/>
      <c r="K224" s="132"/>
      <c r="L224" s="24"/>
      <c r="M224" s="6"/>
      <c r="N224" s="7"/>
      <c r="O224" s="7"/>
      <c r="P224" s="7"/>
      <c r="Q224" s="25"/>
      <c r="R224" s="25"/>
      <c r="S224" s="37"/>
      <c r="T224" s="52"/>
      <c r="U224" s="126"/>
      <c r="V224" s="106"/>
      <c r="W224" s="54"/>
      <c r="X224" s="120"/>
      <c r="Y224" s="69"/>
      <c r="Z224" s="69"/>
      <c r="AA224" s="69"/>
      <c r="AB224" s="66"/>
      <c r="AC224" s="62"/>
      <c r="AD224" s="63"/>
      <c r="AE224" s="99"/>
      <c r="AF224" s="96"/>
      <c r="AG224" s="1"/>
      <c r="AI224" s="149"/>
      <c r="AJ224" s="55"/>
      <c r="AK224" s="55"/>
      <c r="AL224" s="55"/>
    </row>
    <row r="225" spans="1:38" x14ac:dyDescent="0.25">
      <c r="A225" s="39"/>
      <c r="B225" s="7"/>
      <c r="C225" s="24"/>
      <c r="D225" s="24"/>
      <c r="E225" s="15"/>
      <c r="F225" s="15"/>
      <c r="G225" s="7"/>
      <c r="H225" s="15"/>
      <c r="I225" s="15"/>
      <c r="J225" s="7"/>
      <c r="K225" s="132"/>
      <c r="L225" s="24"/>
      <c r="M225" s="6"/>
      <c r="N225" s="7"/>
      <c r="O225" s="7"/>
      <c r="P225" s="7"/>
      <c r="Q225" s="25"/>
      <c r="R225" s="25"/>
      <c r="S225" s="37"/>
      <c r="T225" s="52"/>
      <c r="U225" s="126"/>
      <c r="V225" s="106"/>
      <c r="W225" s="54"/>
      <c r="X225" s="120"/>
      <c r="Y225" s="69"/>
      <c r="Z225" s="69"/>
      <c r="AA225" s="69"/>
      <c r="AB225" s="66"/>
      <c r="AC225" s="62"/>
      <c r="AD225" s="63"/>
      <c r="AE225" s="99"/>
      <c r="AF225" s="96"/>
      <c r="AG225" s="1"/>
      <c r="AI225" s="149"/>
      <c r="AJ225" s="55"/>
      <c r="AK225" s="55"/>
      <c r="AL225" s="55"/>
    </row>
    <row r="226" spans="1:38" x14ac:dyDescent="0.25">
      <c r="A226" s="39"/>
      <c r="B226" s="7"/>
      <c r="C226" s="24"/>
      <c r="D226" s="24"/>
      <c r="E226" s="15"/>
      <c r="F226" s="15"/>
      <c r="G226" s="7"/>
      <c r="H226" s="15"/>
      <c r="I226" s="15"/>
      <c r="J226" s="7"/>
      <c r="K226" s="132"/>
      <c r="L226" s="24"/>
      <c r="M226" s="6"/>
      <c r="N226" s="7"/>
      <c r="O226" s="7"/>
      <c r="P226" s="7"/>
      <c r="Q226" s="25"/>
      <c r="R226" s="25"/>
      <c r="S226" s="37"/>
      <c r="T226" s="52"/>
      <c r="U226" s="126"/>
      <c r="V226" s="106"/>
      <c r="W226" s="54"/>
      <c r="X226" s="120"/>
      <c r="Y226" s="69"/>
      <c r="Z226" s="69"/>
      <c r="AA226" s="69"/>
      <c r="AB226" s="66"/>
      <c r="AC226" s="62"/>
      <c r="AD226" s="63"/>
      <c r="AE226" s="99"/>
      <c r="AF226" s="96"/>
      <c r="AG226" s="1"/>
      <c r="AI226" s="149"/>
      <c r="AJ226" s="55"/>
      <c r="AK226" s="55"/>
      <c r="AL226" s="55"/>
    </row>
    <row r="227" spans="1:38" x14ac:dyDescent="0.25">
      <c r="A227" s="39"/>
      <c r="B227" s="7"/>
      <c r="C227" s="24"/>
      <c r="D227" s="24"/>
      <c r="E227" s="15"/>
      <c r="F227" s="15"/>
      <c r="G227" s="7"/>
      <c r="H227" s="15"/>
      <c r="I227" s="15"/>
      <c r="J227" s="7"/>
      <c r="K227" s="132"/>
      <c r="L227" s="24"/>
      <c r="M227" s="6"/>
      <c r="N227" s="7"/>
      <c r="O227" s="7"/>
      <c r="P227" s="7"/>
      <c r="Q227" s="25"/>
      <c r="R227" s="25"/>
      <c r="S227" s="37"/>
      <c r="T227" s="52"/>
      <c r="U227" s="126"/>
      <c r="V227" s="106"/>
      <c r="W227" s="54"/>
      <c r="X227" s="120"/>
      <c r="Y227" s="69"/>
      <c r="Z227" s="69"/>
      <c r="AA227" s="69"/>
      <c r="AB227" s="66"/>
      <c r="AC227" s="62"/>
      <c r="AD227" s="63"/>
      <c r="AE227" s="99"/>
      <c r="AF227" s="96"/>
      <c r="AG227" s="1"/>
      <c r="AI227" s="149"/>
      <c r="AJ227" s="55"/>
      <c r="AK227" s="55"/>
      <c r="AL227" s="55"/>
    </row>
    <row r="228" spans="1:38" x14ac:dyDescent="0.25">
      <c r="A228" s="39"/>
      <c r="B228" s="7"/>
      <c r="C228" s="24"/>
      <c r="D228" s="24"/>
      <c r="E228" s="15"/>
      <c r="F228" s="15"/>
      <c r="G228" s="7"/>
      <c r="H228" s="15"/>
      <c r="I228" s="15"/>
      <c r="J228" s="7"/>
      <c r="K228" s="132"/>
      <c r="L228" s="24"/>
      <c r="M228" s="6"/>
      <c r="N228" s="7"/>
      <c r="O228" s="7"/>
      <c r="P228" s="7"/>
      <c r="Q228" s="25"/>
      <c r="R228" s="25"/>
      <c r="S228" s="37"/>
      <c r="T228" s="52"/>
      <c r="U228" s="126"/>
      <c r="V228" s="106"/>
      <c r="W228" s="54"/>
      <c r="X228" s="120"/>
      <c r="Y228" s="69"/>
      <c r="Z228" s="69"/>
      <c r="AA228" s="69"/>
      <c r="AB228" s="66"/>
      <c r="AC228" s="62"/>
      <c r="AD228" s="63"/>
      <c r="AE228" s="99"/>
      <c r="AF228" s="96"/>
      <c r="AG228" s="1"/>
      <c r="AI228" s="149"/>
      <c r="AJ228" s="55"/>
      <c r="AK228" s="55"/>
      <c r="AL228" s="55"/>
    </row>
    <row r="229" spans="1:38" x14ac:dyDescent="0.25">
      <c r="A229" s="39"/>
      <c r="B229" s="7"/>
      <c r="C229" s="24"/>
      <c r="D229" s="24"/>
      <c r="E229" s="15"/>
      <c r="F229" s="15"/>
      <c r="G229" s="7"/>
      <c r="H229" s="15"/>
      <c r="I229" s="15"/>
      <c r="J229" s="7"/>
      <c r="K229" s="132"/>
      <c r="L229" s="24"/>
      <c r="M229" s="6"/>
      <c r="N229" s="7"/>
      <c r="O229" s="7"/>
      <c r="P229" s="7"/>
      <c r="Q229" s="25"/>
      <c r="R229" s="25"/>
      <c r="S229" s="37"/>
      <c r="T229" s="52"/>
      <c r="U229" s="126"/>
      <c r="V229" s="106"/>
      <c r="W229" s="54"/>
      <c r="X229" s="120"/>
      <c r="Y229" s="69"/>
      <c r="Z229" s="69"/>
      <c r="AA229" s="69"/>
      <c r="AB229" s="66"/>
      <c r="AC229" s="62"/>
      <c r="AD229" s="63"/>
      <c r="AE229" s="99"/>
      <c r="AF229" s="96"/>
      <c r="AG229" s="1"/>
      <c r="AI229" s="149"/>
      <c r="AJ229" s="55"/>
      <c r="AK229" s="55"/>
      <c r="AL229" s="55"/>
    </row>
    <row r="230" spans="1:38" x14ac:dyDescent="0.25">
      <c r="A230" s="39"/>
      <c r="B230" s="7"/>
      <c r="C230" s="24"/>
      <c r="D230" s="24"/>
      <c r="E230" s="15"/>
      <c r="F230" s="15"/>
      <c r="G230" s="7"/>
      <c r="H230" s="15"/>
      <c r="I230" s="15"/>
      <c r="J230" s="7"/>
      <c r="K230" s="132"/>
      <c r="L230" s="24"/>
      <c r="M230" s="6"/>
      <c r="N230" s="7"/>
      <c r="O230" s="7"/>
      <c r="P230" s="7"/>
      <c r="Q230" s="25"/>
      <c r="R230" s="25"/>
      <c r="S230" s="37"/>
      <c r="T230" s="52"/>
      <c r="U230" s="126"/>
      <c r="V230" s="106"/>
      <c r="W230" s="54"/>
      <c r="X230" s="120"/>
      <c r="Y230" s="69"/>
      <c r="Z230" s="69"/>
      <c r="AA230" s="69"/>
      <c r="AB230" s="66"/>
      <c r="AC230" s="62"/>
      <c r="AD230" s="63"/>
      <c r="AE230" s="99"/>
      <c r="AF230" s="96"/>
      <c r="AG230" s="1"/>
      <c r="AI230" s="149"/>
      <c r="AJ230" s="55"/>
      <c r="AK230" s="55"/>
      <c r="AL230" s="55"/>
    </row>
    <row r="231" spans="1:38" x14ac:dyDescent="0.25">
      <c r="A231" s="39"/>
      <c r="B231" s="7"/>
      <c r="C231" s="24"/>
      <c r="D231" s="24"/>
      <c r="E231" s="15"/>
      <c r="F231" s="15"/>
      <c r="G231" s="7"/>
      <c r="H231" s="15"/>
      <c r="I231" s="15"/>
      <c r="J231" s="7"/>
      <c r="K231" s="132"/>
      <c r="L231" s="24"/>
      <c r="M231" s="6"/>
      <c r="N231" s="7"/>
      <c r="O231" s="7"/>
      <c r="P231" s="7"/>
      <c r="Q231" s="25"/>
      <c r="R231" s="25"/>
      <c r="S231" s="37"/>
      <c r="T231" s="52"/>
      <c r="U231" s="126"/>
      <c r="V231" s="106"/>
      <c r="W231" s="54"/>
      <c r="X231" s="120"/>
      <c r="Y231" s="69"/>
      <c r="Z231" s="69"/>
      <c r="AA231" s="69"/>
      <c r="AB231" s="66"/>
      <c r="AC231" s="62"/>
      <c r="AD231" s="63"/>
      <c r="AE231" s="99"/>
      <c r="AF231" s="96"/>
      <c r="AG231" s="1"/>
      <c r="AI231" s="149"/>
      <c r="AJ231" s="55"/>
      <c r="AK231" s="55"/>
      <c r="AL231" s="55"/>
    </row>
    <row r="232" spans="1:38" x14ac:dyDescent="0.25">
      <c r="A232" s="39"/>
      <c r="B232" s="7"/>
      <c r="C232" s="24"/>
      <c r="D232" s="24"/>
      <c r="E232" s="15"/>
      <c r="F232" s="15"/>
      <c r="G232" s="7"/>
      <c r="H232" s="15"/>
      <c r="I232" s="15"/>
      <c r="J232" s="7"/>
      <c r="K232" s="132"/>
      <c r="L232" s="24"/>
      <c r="M232" s="6"/>
      <c r="N232" s="7"/>
      <c r="O232" s="7"/>
      <c r="P232" s="7"/>
      <c r="Q232" s="25"/>
      <c r="R232" s="25"/>
      <c r="S232" s="37"/>
      <c r="T232" s="52"/>
      <c r="U232" s="126"/>
      <c r="V232" s="106"/>
      <c r="W232" s="54"/>
      <c r="X232" s="120"/>
      <c r="Y232" s="69"/>
      <c r="Z232" s="69"/>
      <c r="AA232" s="69"/>
      <c r="AB232" s="66"/>
      <c r="AC232" s="62"/>
      <c r="AD232" s="63"/>
      <c r="AE232" s="99"/>
      <c r="AF232" s="96"/>
      <c r="AG232" s="1"/>
      <c r="AI232" s="149"/>
      <c r="AJ232" s="55"/>
      <c r="AK232" s="55"/>
      <c r="AL232" s="55"/>
    </row>
    <row r="233" spans="1:38" x14ac:dyDescent="0.25">
      <c r="A233" s="39"/>
      <c r="B233" s="7"/>
      <c r="C233" s="24"/>
      <c r="D233" s="24"/>
      <c r="E233" s="15"/>
      <c r="F233" s="15"/>
      <c r="G233" s="7"/>
      <c r="H233" s="15"/>
      <c r="I233" s="15"/>
      <c r="J233" s="7"/>
      <c r="K233" s="132"/>
      <c r="L233" s="24"/>
      <c r="M233" s="6"/>
      <c r="N233" s="7"/>
      <c r="O233" s="7"/>
      <c r="P233" s="7"/>
      <c r="Q233" s="25"/>
      <c r="R233" s="25"/>
      <c r="S233" s="37"/>
      <c r="T233" s="52"/>
      <c r="U233" s="126"/>
      <c r="V233" s="106"/>
      <c r="W233" s="54"/>
      <c r="X233" s="120"/>
      <c r="Y233" s="69"/>
      <c r="Z233" s="69"/>
      <c r="AA233" s="69"/>
      <c r="AB233" s="66"/>
      <c r="AC233" s="62"/>
      <c r="AD233" s="63"/>
      <c r="AE233" s="99"/>
      <c r="AF233" s="96"/>
      <c r="AG233" s="1"/>
      <c r="AI233" s="149"/>
      <c r="AJ233" s="55"/>
      <c r="AK233" s="55"/>
      <c r="AL233" s="55"/>
    </row>
    <row r="234" spans="1:38" x14ac:dyDescent="0.25">
      <c r="A234" s="39"/>
      <c r="B234" s="7"/>
      <c r="C234" s="24"/>
      <c r="D234" s="24"/>
      <c r="E234" s="15"/>
      <c r="F234" s="15"/>
      <c r="G234" s="7"/>
      <c r="H234" s="15"/>
      <c r="I234" s="15"/>
      <c r="J234" s="7"/>
      <c r="K234" s="132"/>
      <c r="L234" s="24"/>
      <c r="M234" s="6"/>
      <c r="N234" s="7"/>
      <c r="O234" s="7"/>
      <c r="P234" s="7"/>
      <c r="Q234" s="25"/>
      <c r="R234" s="25"/>
      <c r="S234" s="37"/>
      <c r="T234" s="52"/>
      <c r="U234" s="126"/>
      <c r="V234" s="106"/>
      <c r="W234" s="54"/>
      <c r="X234" s="120"/>
      <c r="Y234" s="69"/>
      <c r="Z234" s="69"/>
      <c r="AA234" s="69"/>
      <c r="AB234" s="66"/>
      <c r="AC234" s="62"/>
      <c r="AD234" s="63"/>
      <c r="AE234" s="99"/>
      <c r="AF234" s="96"/>
      <c r="AG234" s="1"/>
      <c r="AI234" s="149"/>
      <c r="AJ234" s="55"/>
      <c r="AK234" s="55"/>
      <c r="AL234" s="55"/>
    </row>
    <row r="235" spans="1:38" x14ac:dyDescent="0.25">
      <c r="A235" s="39"/>
      <c r="B235" s="7"/>
      <c r="C235" s="24"/>
      <c r="D235" s="24"/>
      <c r="E235" s="15"/>
      <c r="F235" s="15"/>
      <c r="G235" s="7"/>
      <c r="H235" s="15"/>
      <c r="I235" s="15"/>
      <c r="J235" s="7"/>
      <c r="K235" s="132"/>
      <c r="L235" s="24"/>
      <c r="M235" s="6"/>
      <c r="N235" s="7"/>
      <c r="O235" s="7"/>
      <c r="P235" s="7"/>
      <c r="Q235" s="25"/>
      <c r="R235" s="25"/>
      <c r="S235" s="37"/>
      <c r="T235" s="52"/>
      <c r="U235" s="126"/>
      <c r="V235" s="106"/>
      <c r="W235" s="54"/>
      <c r="X235" s="120"/>
      <c r="Y235" s="69"/>
      <c r="Z235" s="69"/>
      <c r="AA235" s="69"/>
      <c r="AB235" s="66"/>
      <c r="AC235" s="62"/>
      <c r="AD235" s="63"/>
      <c r="AE235" s="99"/>
      <c r="AF235" s="96"/>
      <c r="AG235" s="1"/>
      <c r="AI235" s="149"/>
      <c r="AJ235" s="55"/>
      <c r="AK235" s="55"/>
      <c r="AL235" s="55"/>
    </row>
    <row r="236" spans="1:38" x14ac:dyDescent="0.25">
      <c r="A236" s="39"/>
      <c r="B236" s="7"/>
      <c r="C236" s="24"/>
      <c r="D236" s="24"/>
      <c r="E236" s="15"/>
      <c r="F236" s="15"/>
      <c r="G236" s="7"/>
      <c r="H236" s="15"/>
      <c r="I236" s="15"/>
      <c r="J236" s="7"/>
      <c r="K236" s="132"/>
      <c r="L236" s="24"/>
      <c r="M236" s="6"/>
      <c r="N236" s="7"/>
      <c r="O236" s="7"/>
      <c r="P236" s="7"/>
      <c r="Q236" s="25"/>
      <c r="R236" s="25"/>
      <c r="S236" s="37"/>
      <c r="T236" s="52"/>
      <c r="U236" s="126"/>
      <c r="V236" s="106"/>
      <c r="W236" s="54"/>
      <c r="X236" s="120"/>
      <c r="Y236" s="69"/>
      <c r="Z236" s="69"/>
      <c r="AA236" s="69"/>
      <c r="AB236" s="66"/>
      <c r="AC236" s="62"/>
      <c r="AD236" s="63"/>
      <c r="AE236" s="99"/>
      <c r="AF236" s="96"/>
      <c r="AG236" s="1"/>
    </row>
    <row r="237" spans="1:38" x14ac:dyDescent="0.25">
      <c r="A237" s="39"/>
      <c r="B237" s="7"/>
      <c r="C237" s="24"/>
      <c r="D237" s="24"/>
      <c r="E237" s="15"/>
      <c r="F237" s="15"/>
      <c r="G237" s="7"/>
      <c r="H237" s="15"/>
      <c r="I237" s="15"/>
      <c r="J237" s="7"/>
      <c r="K237" s="132"/>
      <c r="L237" s="24"/>
      <c r="M237" s="6"/>
      <c r="N237" s="7"/>
      <c r="O237" s="7"/>
      <c r="P237" s="7"/>
      <c r="Q237" s="25"/>
      <c r="R237" s="25"/>
      <c r="S237" s="37"/>
      <c r="T237" s="52"/>
      <c r="U237" s="126"/>
      <c r="V237" s="106"/>
      <c r="W237" s="54"/>
      <c r="X237" s="120"/>
      <c r="Y237" s="69"/>
      <c r="Z237" s="69"/>
      <c r="AA237" s="69"/>
      <c r="AB237" s="66"/>
      <c r="AC237" s="62"/>
      <c r="AD237" s="63"/>
      <c r="AE237" s="99"/>
      <c r="AF237" s="96"/>
      <c r="AG237" s="1"/>
    </row>
    <row r="238" spans="1:38" x14ac:dyDescent="0.25">
      <c r="A238" s="39"/>
      <c r="B238" s="7"/>
      <c r="C238" s="24"/>
      <c r="D238" s="24"/>
      <c r="E238" s="15"/>
      <c r="F238" s="15"/>
      <c r="G238" s="7"/>
      <c r="H238" s="15"/>
      <c r="I238" s="15"/>
      <c r="J238" s="7"/>
      <c r="K238" s="132"/>
      <c r="L238" s="24"/>
      <c r="M238" s="6"/>
      <c r="N238" s="7"/>
      <c r="O238" s="7"/>
      <c r="P238" s="7"/>
      <c r="Q238" s="25"/>
      <c r="R238" s="25"/>
      <c r="S238" s="37"/>
      <c r="T238" s="52"/>
      <c r="U238" s="126"/>
      <c r="V238" s="106"/>
      <c r="W238" s="54"/>
      <c r="X238" s="120"/>
      <c r="Y238" s="69"/>
      <c r="Z238" s="69"/>
      <c r="AA238" s="69"/>
      <c r="AB238" s="66"/>
      <c r="AC238" s="62"/>
      <c r="AD238" s="63"/>
      <c r="AE238" s="99"/>
      <c r="AF238" s="96"/>
      <c r="AG238" s="1"/>
    </row>
  </sheetData>
  <autoFilter ref="A12:AG238"/>
  <sortState ref="A13:AH200">
    <sortCondition ref="AG13:AG200"/>
    <sortCondition ref="AD13:AD200"/>
  </sortState>
  <mergeCells count="1">
    <mergeCell ref="A11:P11"/>
  </mergeCells>
  <conditionalFormatting sqref="W11:W12 W13:X1048576">
    <cfRule type="cellIs" dxfId="8" priority="259" operator="equal">
      <formula>"Y"</formula>
    </cfRule>
  </conditionalFormatting>
  <conditionalFormatting sqref="X13:X1048576">
    <cfRule type="cellIs" dxfId="7" priority="242" operator="greaterThan">
      <formula>1</formula>
    </cfRule>
  </conditionalFormatting>
  <conditionalFormatting sqref="X12:X1048576">
    <cfRule type="cellIs" dxfId="6" priority="239" operator="equal">
      <formula>0</formula>
    </cfRule>
  </conditionalFormatting>
  <conditionalFormatting sqref="A13:S238">
    <cfRule type="expression" dxfId="5" priority="235">
      <formula>$O13&gt;0</formula>
    </cfRule>
  </conditionalFormatting>
  <conditionalFormatting sqref="A13:S238">
    <cfRule type="expression" dxfId="4" priority="234">
      <formula>$P13&gt;0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2]!DailyMorningStuff_Runs">
                <anchor moveWithCells="1" sizeWithCells="1">
                  <from>
                    <xdr:col>24</xdr:col>
                    <xdr:colOff>552450</xdr:colOff>
                    <xdr:row>2</xdr:row>
                    <xdr:rowOff>38100</xdr:rowOff>
                  </from>
                  <to>
                    <xdr:col>26</xdr:col>
                    <xdr:colOff>466725</xdr:colOff>
                    <xdr:row>4</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33" id="{07B64F47-9FD1-48B1-84DC-90BBCF0B8697}">
            <xm:f>IF($AG13="EC",$N13&gt;Variables!$C$2,$N13&gt;Variables!$D$2)</xm:f>
            <x14:dxf>
              <fill>
                <patternFill>
                  <bgColor theme="5" tint="0.79998168889431442"/>
                </patternFill>
              </fill>
            </x14:dxf>
          </x14:cfRule>
          <xm:sqref>A13:S238</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14:formula1>
            <xm:f>'Redmine List Values'!$A$2:$A$7</xm:f>
          </x14:formula1>
          <xm:sqref>AK13:AK235</xm:sqref>
        </x14:dataValidation>
        <x14:dataValidation type="list" allowBlank="1" showInputMessage="1" showErrorMessage="1">
          <x14:formula1>
            <xm:f>'Redmine List Values'!$C$2:$C$13</xm:f>
          </x14:formula1>
          <xm:sqref>AL13:AL235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74"/>
  <sheetViews>
    <sheetView topLeftCell="A2" workbookViewId="0">
      <selection activeCell="N23" sqref="N23"/>
    </sheetView>
  </sheetViews>
  <sheetFormatPr defaultRowHeight="15" x14ac:dyDescent="0.25"/>
  <cols>
    <col min="1" max="1" width="17.7109375" style="8" customWidth="1"/>
    <col min="2" max="2" width="15" customWidth="1"/>
    <col min="3" max="3" width="8.28515625" customWidth="1"/>
    <col min="4" max="4" width="21.5703125" customWidth="1"/>
    <col min="5" max="5" width="21" customWidth="1"/>
    <col min="6" max="6" width="7.7109375" style="2" customWidth="1"/>
    <col min="7" max="7" width="8.28515625" style="2" customWidth="1"/>
    <col min="8" max="8" width="9" style="2" customWidth="1"/>
    <col min="9" max="9" width="11.5703125" hidden="1" customWidth="1"/>
    <col min="10" max="10" width="10.85546875" style="2" customWidth="1"/>
    <col min="11" max="11" width="7.85546875" customWidth="1"/>
    <col min="12" max="12" width="11.85546875" style="30" customWidth="1"/>
    <col min="13" max="13" width="5.140625" style="114" customWidth="1"/>
    <col min="14" max="14" width="30.7109375" customWidth="1"/>
    <col min="15" max="15" width="5" hidden="1" customWidth="1"/>
    <col min="16" max="16" width="5.7109375" style="97" customWidth="1"/>
    <col min="17" max="17" width="5.7109375" style="109" customWidth="1"/>
    <col min="18" max="18" width="6" style="94" customWidth="1"/>
    <col min="19" max="19" width="5.28515625" customWidth="1"/>
    <col min="20" max="20" width="20" style="50" bestFit="1" customWidth="1"/>
    <col min="21" max="21" width="5.28515625" customWidth="1"/>
    <col min="22" max="22" width="6.7109375" customWidth="1"/>
  </cols>
  <sheetData>
    <row r="1" spans="1:26" s="23" customFormat="1" ht="15.75" hidden="1" thickBot="1" x14ac:dyDescent="0.3">
      <c r="A1" s="8"/>
      <c r="F1" s="2"/>
      <c r="G1" s="2"/>
      <c r="H1" s="2"/>
      <c r="J1" s="2"/>
      <c r="L1" s="30"/>
      <c r="M1" s="114"/>
      <c r="P1" s="97"/>
      <c r="Q1" s="109"/>
      <c r="R1" s="94"/>
      <c r="T1" s="50"/>
    </row>
    <row r="2" spans="1:26" s="23" customFormat="1" x14ac:dyDescent="0.25">
      <c r="A2" s="8"/>
      <c r="F2" s="2"/>
      <c r="G2" s="2"/>
      <c r="H2" s="2"/>
      <c r="J2" s="2"/>
      <c r="K2" s="133" t="s">
        <v>87</v>
      </c>
      <c r="L2" s="134"/>
      <c r="M2" s="135">
        <f>COUNTIF($M$7:$M$403,"=Y")</f>
        <v>1</v>
      </c>
      <c r="N2" s="136"/>
      <c r="P2" s="97"/>
      <c r="Q2" s="109"/>
      <c r="R2" s="94"/>
      <c r="T2" s="50"/>
    </row>
    <row r="3" spans="1:26" s="23" customFormat="1" ht="15.75" thickBot="1" x14ac:dyDescent="0.3">
      <c r="A3" s="8"/>
      <c r="F3" s="2"/>
      <c r="G3" s="2"/>
      <c r="H3" s="2"/>
      <c r="J3" s="2"/>
      <c r="K3" s="137" t="s">
        <v>88</v>
      </c>
      <c r="L3" s="138"/>
      <c r="M3" s="139">
        <f>COUNTA($M$7:$M$403)-M2</f>
        <v>49</v>
      </c>
      <c r="N3" s="136"/>
      <c r="P3" s="97"/>
      <c r="Q3" s="109"/>
      <c r="R3" s="94"/>
      <c r="T3" s="50"/>
    </row>
    <row r="4" spans="1:26" s="23" customFormat="1" x14ac:dyDescent="0.25">
      <c r="A4" s="8"/>
      <c r="F4" s="2"/>
      <c r="G4" s="2"/>
      <c r="H4" s="2"/>
      <c r="J4" s="2"/>
      <c r="L4" s="30"/>
      <c r="M4" s="114"/>
      <c r="P4" s="97"/>
      <c r="Q4" s="109"/>
      <c r="R4" s="94"/>
      <c r="T4" s="50"/>
    </row>
    <row r="5" spans="1:26" s="11" customFormat="1" ht="15" customHeight="1" x14ac:dyDescent="0.25">
      <c r="A5" s="165" t="str">
        <f>"Eagle P3 Braking Events - "&amp;TEXT(Variables!$A$2,"YYYY-mm-dd")</f>
        <v>Eagle P3 Braking Events - 2016-08-31</v>
      </c>
      <c r="B5" s="165"/>
      <c r="C5" s="165"/>
      <c r="D5" s="165"/>
      <c r="E5" s="165"/>
      <c r="F5" s="165"/>
      <c r="G5" s="165"/>
      <c r="H5" s="165"/>
      <c r="I5" s="165"/>
      <c r="J5" s="165"/>
      <c r="K5" s="165"/>
      <c r="L5" s="165"/>
      <c r="M5" s="165"/>
      <c r="N5" s="12"/>
      <c r="P5" s="107"/>
      <c r="Q5" s="110"/>
      <c r="R5" s="112"/>
      <c r="T5" s="51"/>
    </row>
    <row r="6" spans="1:26" s="162" customFormat="1" ht="69.75" customHeight="1" x14ac:dyDescent="0.2">
      <c r="A6" s="150" t="s">
        <v>38</v>
      </c>
      <c r="B6" s="151" t="s">
        <v>37</v>
      </c>
      <c r="C6" s="151" t="s">
        <v>36</v>
      </c>
      <c r="D6" s="151" t="s">
        <v>35</v>
      </c>
      <c r="E6" s="151" t="s">
        <v>34</v>
      </c>
      <c r="F6" s="152" t="s">
        <v>33</v>
      </c>
      <c r="G6" s="152" t="s">
        <v>32</v>
      </c>
      <c r="H6" s="152" t="s">
        <v>31</v>
      </c>
      <c r="I6" s="151" t="s">
        <v>30</v>
      </c>
      <c r="J6" s="152" t="s">
        <v>29</v>
      </c>
      <c r="K6" s="151" t="s">
        <v>28</v>
      </c>
      <c r="L6" s="153" t="s">
        <v>47</v>
      </c>
      <c r="M6" s="154" t="s">
        <v>27</v>
      </c>
      <c r="N6" s="151" t="s">
        <v>24</v>
      </c>
      <c r="O6" s="155"/>
      <c r="P6" s="156" t="s">
        <v>101</v>
      </c>
      <c r="Q6" s="157" t="s">
        <v>61</v>
      </c>
      <c r="R6" s="158" t="s">
        <v>100</v>
      </c>
      <c r="S6" s="151" t="s">
        <v>95</v>
      </c>
      <c r="T6" s="159" t="s">
        <v>96</v>
      </c>
      <c r="U6" s="155" t="s">
        <v>108</v>
      </c>
      <c r="V6" s="155" t="s">
        <v>110</v>
      </c>
      <c r="W6" s="160" t="s">
        <v>219</v>
      </c>
      <c r="X6" s="161" t="s">
        <v>220</v>
      </c>
      <c r="Y6" s="161" t="s">
        <v>192</v>
      </c>
      <c r="Z6" s="161" t="s">
        <v>221</v>
      </c>
    </row>
    <row r="7" spans="1:26" s="1" customFormat="1" x14ac:dyDescent="0.25">
      <c r="A7" s="38">
        <v>42613.24832175926</v>
      </c>
      <c r="B7" s="33" t="s">
        <v>90</v>
      </c>
      <c r="C7" s="33" t="s">
        <v>382</v>
      </c>
      <c r="D7" s="33" t="s">
        <v>733</v>
      </c>
      <c r="E7" s="33" t="s">
        <v>243</v>
      </c>
      <c r="F7" s="49">
        <v>0</v>
      </c>
      <c r="G7" s="49">
        <v>87</v>
      </c>
      <c r="H7" s="49">
        <v>27256</v>
      </c>
      <c r="I7" s="33" t="s">
        <v>242</v>
      </c>
      <c r="J7" s="49">
        <v>27350</v>
      </c>
      <c r="K7" s="33" t="s">
        <v>53</v>
      </c>
      <c r="L7" s="92" t="str">
        <f>VLOOKUP(C7,'Trips&amp;Operators'!$C$1:$E$9999,3,0)</f>
        <v>SPECTOR</v>
      </c>
      <c r="M7" s="131" t="s">
        <v>86</v>
      </c>
      <c r="N7" s="10" t="s">
        <v>275</v>
      </c>
      <c r="O7" s="33"/>
      <c r="P7" s="108" t="str">
        <f>VLOOKUP(C7,'Train Runs'!$A$13:$AE$10013,31,0)</f>
        <v>aws s3 cp s3://rtdc.mdm.uploadarchive/RTDC4013/2016-08-31/ "%USERPROFILE%\AppData\Local\Temp\OnboardLogs"\RTDC4013\2016-08-31 --recursive &amp; "%USERPROFILE%\Documents\GitHub\mrs-test-scripts\Headless Mode &amp; Sideloading\WalkAndUnGZ.bat" "%USERPROFILE%\AppData\Local\Temp\OnboardLogs"\RTDC4013\2016-08-31 &amp; aws s3 cp s3://rtdc.mdm.uploadarchive/RTDC4013/2016-09-01/ "%USERPROFILE%\AppData\Local\Temp\OnboardLogs"\RTDC4013\2016-09-01 --recursive &amp; "%USERPROFILE%\Documents\GitHub\mrs-test-scripts\Headless Mode &amp; Sideloading\WalkAndUnGZ.bat" "%USERPROFILE%\AppData\Local\Temp\OnboardLogs"\RTDC4013\2016-09-01</v>
      </c>
      <c r="Q7" s="111" t="str">
        <f>VLOOKUP(C7,'Train Runs'!$A$13:$AE$10013,22,0)</f>
        <v>https://search-rtdc-monitor-bjffxe2xuh6vdkpspy63sjmuny.us-east-1.es.amazonaws.com/_plugin/kibana/#/discover/Steve-Slow-Train-Analysis-(2080s-and-2083s)?_g=(refreshInterval:(display:Off,section:0,value:0),time:(from:'2016-08-31 04:16:10-0600',mode:absolute,to:'2016-08-31 07:05:53-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4013%22')),sort:!(Time,asc))</v>
      </c>
      <c r="R7" s="113" t="str">
        <f t="shared" ref="R7:R38" si="0">astrogrep_path&amp;" /spath="&amp;search_path&amp;" /stypes=""*"&amp;S7&amp;"*"&amp;TEXT(A7-utc_offset/24,"YYYYMMDD")&amp;LEFT(TEXT(A7-utc_offset/24,"HH"),1)&amp;"*"" /stext="" "&amp;TEXT(A7-utc_offset/24,"HH")&amp;search_regexp&amp;""" /e /r /s"</f>
        <v>"C:\Program Files (x86)\AstroGrep\AstroGrep.exe" /spath="%USERPROFILE%\AppData\Local\Temp\OnboardLogs" /stypes="*4013*201608311*" /stext=" 11:.+((SYSTEM_STATE.+slice.+state.+changed )|(ment ac)|(system.+state.+changed )|(\|lc)|(penalty)|(\[timeout)|(PRM\|1\|D)|(kpr)|(kdp))" /e /r /s</v>
      </c>
      <c r="S7" s="9" t="str">
        <f t="shared" ref="S7:S38" si="1">MID(B7,13,4)</f>
        <v>4013</v>
      </c>
      <c r="T7" s="38">
        <f t="shared" ref="T7:T38" si="2">A7+6/24</f>
        <v>42613.49832175926</v>
      </c>
      <c r="U7" s="52" t="str">
        <f t="shared" ref="U7:U38" si="3">IF(VALUE(LEFT(IF(LEN(C7)=6,"0"&amp;C7,C7),2))&lt;=2,"EC",IF(OR(VALUE(LEFT(IF(LEN(C7)=6,"0"&amp;C7,C7),2))=8,VALUE(LEFT(IF(LEN(C7)=6,"0"&amp;C7,C7),2))=18),"NW","Other"))</f>
        <v>EC</v>
      </c>
      <c r="V7" s="52" t="str">
        <f t="shared" ref="V7:V38" si="4">IF(AND(E7="TRACK WARRANT AUTHORITY",G7&lt;10),"OMIT","KEEP")</f>
        <v>KEEP</v>
      </c>
      <c r="W7" s="149" t="str">
        <f t="shared" ref="W7:W38" si="5">"echo {""issue"":{""subject"":"""&amp;N7&amp;""",""project_id"":79,""tracker_id"":40,""status_id"":"&amp;redmine_status&amp;",""priority_id"":"&amp;redmine_priority&amp;",""assigned_to_id"":"&amp;redmine_assignee&amp;",""start_date"":"""&amp;TEXT(A7,"YYYY-mm-dd")&amp;""",""description"":"""&amp;X7&amp;""",""custom_fields"":[{""id"":1,""name"":""Subdivision"",""value"":"""&amp;U7&amp;"""},{""id"":4,""name"":""Milepost"",""value"":"""&amp;J7/10000&amp;"""},{""id"":17,""name"":""Train ID"",""value"":"""&amp;C7&amp;"""},{""id"":16,""name"":""Locomotive ID"",""value"":"""&amp;S7&amp;"""},{""id"":130,""name"":""Impact"",""value"":"""&amp;Y7&amp;"""},{""id"":150,""name"":""Time of Event (Mountain Time)"",""value"":"""&amp;TEXT(A7,"hh:mm:ss")&amp;"""},{""id"":151,""name"":""Denver Issue ID"",""value"":"""&amp;"""},{""id"":178,""name"":""Operational Impact"",""value"":"""&amp;redmine_op_impact&amp;"""},{""id"":179,""name"":""Denver Segment Assigned"",""value"":"""&amp;Z7&amp;"""}]}}"&amp;" | curl -X POST -H ""Content-Type: application/json"" -H ""X-Redmine-API-Key: "&amp;redm_api_key&amp;""" "&amp;redm_url&amp;" --data @-"</f>
        <v>echo {"issue":{"subject":"Early arrival","project_id":79,"tracker_id":40,"status_id":1,"priority_id":2,"assigned_to_id":23,"start_date":"2016-08-31","description":"","custom_fields":[{"id":1,"name":"Subdivision","value":"EC"},{"id":4,"name":"Milepost","value":"2.735"},{"id":17,"name":"Train ID","value":"108-31"},{"id":16,"name":"Locomotive ID","value":"4013"},{"id":130,"name":"Impact","value":""},{"id":150,"name":"Time of Event (Mountain Time)","value":"05:57:35"},{"id":151,"name":"Denver Issue ID","value":""},{"id":178,"name":"Operational Impact","value":"Yes"},{"id":179,"name":"Denver Segment Assigned","value":""}]}} | curl -X POST -H "Content-Type: application/json" -H "X-Redmine-API-Key: d6333d4a04012a730768444271f8ca06482dae87" https://secure.xorail.net/redmine/issues.json --data @-</v>
      </c>
      <c r="X7" s="55"/>
      <c r="Y7" s="55"/>
      <c r="Z7" s="55"/>
    </row>
    <row r="8" spans="1:26" s="1" customFormat="1" x14ac:dyDescent="0.25">
      <c r="A8" s="38">
        <v>42613.565648148149</v>
      </c>
      <c r="B8" s="33" t="s">
        <v>112</v>
      </c>
      <c r="C8" s="33" t="s">
        <v>489</v>
      </c>
      <c r="D8" s="33" t="s">
        <v>111</v>
      </c>
      <c r="E8" s="33" t="s">
        <v>243</v>
      </c>
      <c r="F8" s="49">
        <v>0</v>
      </c>
      <c r="G8" s="49">
        <v>322</v>
      </c>
      <c r="H8" s="49">
        <v>33156</v>
      </c>
      <c r="I8" s="33" t="s">
        <v>242</v>
      </c>
      <c r="J8" s="49">
        <v>33137</v>
      </c>
      <c r="K8" s="33" t="s">
        <v>52</v>
      </c>
      <c r="L8" s="92" t="str">
        <f>VLOOKUP(C8,'Trips&amp;Operators'!$C$1:$E$9999,3,0)</f>
        <v>MAHAN</v>
      </c>
      <c r="M8" s="131" t="s">
        <v>86</v>
      </c>
      <c r="N8" s="10" t="s">
        <v>275</v>
      </c>
      <c r="O8" s="33"/>
      <c r="P8" s="108" t="str">
        <f>VLOOKUP(C8,'Train Runs'!$A$13:$AE$10013,31,0)</f>
        <v>aws s3 cp s3://rtdc.mdm.uploadarchive/RTDC4014/2016-08-31/ "%USERPROFILE%\AppData\Local\Temp\OnboardLogs"\RTDC4014\2016-08-31 --recursive &amp; "%USERPROFILE%\Documents\GitHub\mrs-test-scripts\Headless Mode &amp; Sideloading\WalkAndUnGZ.bat" "%USERPROFILE%\AppData\Local\Temp\OnboardLogs"\RTDC4014\2016-08-31 &amp; aws s3 cp s3://rtdc.mdm.uploadarchive/RTDC4014/2016-09-01/ "%USERPROFILE%\AppData\Local\Temp\OnboardLogs"\RTDC4014\2016-09-01 --recursive &amp; "%USERPROFILE%\Documents\GitHub\mrs-test-scripts\Headless Mode &amp; Sideloading\WalkAndUnGZ.bat" "%USERPROFILE%\AppData\Local\Temp\OnboardLogs"\RTDC4014\2016-09-01</v>
      </c>
      <c r="Q8" s="111" t="str">
        <f>VLOOKUP(C8,'Train Runs'!$A$13:$AE$10013,22,0)</f>
        <v>https://search-rtdc-monitor-bjffxe2xuh6vdkpspy63sjmuny.us-east-1.es.amazonaws.com/_plugin/kibana/#/discover/Steve-Slow-Train-Analysis-(2080s-and-2083s)?_g=(refreshInterval:(display:Off,section:0,value:0),time:(from:'2016-08-31 12:20:30-0600',mode:absolute,to:'2016-08-31 15:09:04-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4014%22')),sort:!(Time,asc))</v>
      </c>
      <c r="R8" s="113" t="str">
        <f t="shared" si="0"/>
        <v>"C:\Program Files (x86)\AstroGrep\AstroGrep.exe" /spath="%USERPROFILE%\AppData\Local\Temp\OnboardLogs" /stypes="*4014*201608311*" /stext=" 19:.+((SYSTEM_STATE.+slice.+state.+changed )|(ment ac)|(system.+state.+changed )|(\|lc)|(penalty)|(\[timeout)|(PRM\|1\|D)|(kpr)|(kdp))" /e /r /s</v>
      </c>
      <c r="S8" s="9" t="str">
        <f t="shared" si="1"/>
        <v>4014</v>
      </c>
      <c r="T8" s="38">
        <f t="shared" si="2"/>
        <v>42613.815648148149</v>
      </c>
      <c r="U8" s="52" t="str">
        <f t="shared" si="3"/>
        <v>EC</v>
      </c>
      <c r="V8" s="52" t="str">
        <f t="shared" si="4"/>
        <v>KEEP</v>
      </c>
      <c r="W8" s="149" t="str">
        <f t="shared" si="5"/>
        <v>echo {"issue":{"subject":"Early arrival","project_id":79,"tracker_id":40,"status_id":1,"priority_id":2,"assigned_to_id":23,"start_date":"2016-08-31","description":"","custom_fields":[{"id":1,"name":"Subdivision","value":"EC"},{"id":4,"name":"Milepost","value":"3.3137"},{"id":17,"name":"Train ID","value":"177-31"},{"id":16,"name":"Locomotive ID","value":"4014"},{"id":130,"name":"Impact","value":""},{"id":150,"name":"Time of Event (Mountain Time)","value":"13:34:32"},{"id":151,"name":"Denver Issue ID","value":""},{"id":178,"name":"Operational Impact","value":"Yes"},{"id":179,"name":"Denver Segment Assigned","value":""}]}} | curl -X POST -H "Content-Type: application/json" -H "X-Redmine-API-Key: d6333d4a04012a730768444271f8ca06482dae87" https://secure.xorail.net/redmine/issues.json --data @-</v>
      </c>
      <c r="X8" s="55"/>
      <c r="Y8" s="55"/>
      <c r="Z8" s="55"/>
    </row>
    <row r="9" spans="1:26" s="1" customFormat="1" x14ac:dyDescent="0.25">
      <c r="A9" s="38">
        <v>42613.86210648148</v>
      </c>
      <c r="B9" s="33" t="s">
        <v>312</v>
      </c>
      <c r="C9" s="33" t="s">
        <v>557</v>
      </c>
      <c r="D9" s="33" t="s">
        <v>733</v>
      </c>
      <c r="E9" s="33" t="s">
        <v>243</v>
      </c>
      <c r="F9" s="49">
        <v>0</v>
      </c>
      <c r="G9" s="49">
        <v>272</v>
      </c>
      <c r="H9" s="49">
        <v>42824</v>
      </c>
      <c r="I9" s="33" t="s">
        <v>242</v>
      </c>
      <c r="J9" s="49">
        <v>42779</v>
      </c>
      <c r="K9" s="33" t="s">
        <v>52</v>
      </c>
      <c r="L9" s="92" t="str">
        <f>VLOOKUP(C9,'Trips&amp;Operators'!$C$1:$E$9999,3,0)</f>
        <v>COOLAHAN</v>
      </c>
      <c r="M9" s="131" t="s">
        <v>86</v>
      </c>
      <c r="N9" s="10" t="s">
        <v>275</v>
      </c>
      <c r="O9" s="33"/>
      <c r="P9" s="108" t="str">
        <f>VLOOKUP(C9,'Train Runs'!$A$13:$AE$10013,31,0)</f>
        <v>aws s3 cp s3://rtdc.mdm.uploadarchive/RTDC4016/2016-08-31/ "%USERPROFILE%\AppData\Local\Temp\OnboardLogs"\RTDC4016\2016-08-31 --recursive &amp; "%USERPROFILE%\Documents\GitHub\mrs-test-scripts\Headless Mode &amp; Sideloading\WalkAndUnGZ.bat" "%USERPROFILE%\AppData\Local\Temp\OnboardLogs"\RTDC4016\2016-08-31 &amp; aws s3 cp s3://rtdc.mdm.uploadarchive/RTDC4016/2016-09-01/ "%USERPROFILE%\AppData\Local\Temp\OnboardLogs"\RTDC4016\2016-09-01 --recursive &amp; "%USERPROFILE%\Documents\GitHub\mrs-test-scripts\Headless Mode &amp; Sideloading\WalkAndUnGZ.bat" "%USERPROFILE%\AppData\Local\Temp\OnboardLogs"\RTDC4016\2016-09-01</v>
      </c>
      <c r="Q9" s="111" t="str">
        <f>VLOOKUP(C9,'Train Runs'!$A$13:$AE$10013,22,0)</f>
        <v>https://search-rtdc-monitor-bjffxe2xuh6vdkpspy63sjmuny.us-east-1.es.amazonaws.com/_plugin/kibana/#/discover/Steve-Slow-Train-Analysis-(2080s-and-2083s)?_g=(refreshInterval:(display:Off,section:0,value:0),time:(from:'2016-08-31 19:26:57-0600',mode:absolute,to:'2016-08-31 22:06:31-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4016%22')),sort:!(Time,asc))</v>
      </c>
      <c r="R9" s="113" t="str">
        <f t="shared" si="0"/>
        <v>"C:\Program Files (x86)\AstroGrep\AstroGrep.exe" /spath="%USERPROFILE%\AppData\Local\Temp\OnboardLogs" /stypes="*4016*201609010*" /stext=" 02:.+((SYSTEM_STATE.+slice.+state.+changed )|(ment ac)|(system.+state.+changed )|(\|lc)|(penalty)|(\[timeout)|(PRM\|1\|D)|(kpr)|(kdp))" /e /r /s</v>
      </c>
      <c r="S9" s="9" t="str">
        <f t="shared" si="1"/>
        <v>4016</v>
      </c>
      <c r="T9" s="38">
        <f t="shared" si="2"/>
        <v>42614.11210648148</v>
      </c>
      <c r="U9" s="52" t="str">
        <f t="shared" si="3"/>
        <v>EC</v>
      </c>
      <c r="V9" s="52" t="str">
        <f t="shared" si="4"/>
        <v>KEEP</v>
      </c>
      <c r="W9" s="149" t="str">
        <f t="shared" si="5"/>
        <v>echo {"issue":{"subject":"Early arrival","project_id":79,"tracker_id":40,"status_id":1,"priority_id":2,"assigned_to_id":23,"start_date":"2016-08-31","description":"","custom_fields":[{"id":1,"name":"Subdivision","value":"EC"},{"id":4,"name":"Milepost","value":"4.2779"},{"id":17,"name":"Train ID","value":"227-31"},{"id":16,"name":"Locomotive ID","value":"4016"},{"id":130,"name":"Impact","value":""},{"id":150,"name":"Time of Event (Mountain Time)","value":"20:41:26"},{"id":151,"name":"Denver Issue ID","value":""},{"id":178,"name":"Operational Impact","value":"Yes"},{"id":179,"name":"Denver Segment Assigned","value":""}]}} | curl -X POST -H "Content-Type: application/json" -H "X-Redmine-API-Key: d6333d4a04012a730768444271f8ca06482dae87" https://secure.xorail.net/redmine/issues.json --data @-</v>
      </c>
      <c r="X9" s="55"/>
      <c r="Y9" s="55"/>
      <c r="Z9" s="55"/>
    </row>
    <row r="10" spans="1:26" s="1" customFormat="1" x14ac:dyDescent="0.25">
      <c r="A10" s="38">
        <v>42613.61546296296</v>
      </c>
      <c r="B10" s="33" t="s">
        <v>90</v>
      </c>
      <c r="C10" s="33" t="s">
        <v>490</v>
      </c>
      <c r="D10" s="33" t="s">
        <v>111</v>
      </c>
      <c r="E10" s="33" t="s">
        <v>243</v>
      </c>
      <c r="F10" s="49">
        <v>0</v>
      </c>
      <c r="G10" s="49">
        <v>240</v>
      </c>
      <c r="H10" s="49">
        <v>58276</v>
      </c>
      <c r="I10" s="33" t="s">
        <v>242</v>
      </c>
      <c r="J10" s="49">
        <v>58301</v>
      </c>
      <c r="K10" s="33" t="s">
        <v>53</v>
      </c>
      <c r="L10" s="92" t="str">
        <f>VLOOKUP(C10,'Trips&amp;Operators'!$C$1:$E$9999,3,0)</f>
        <v>MAHAN</v>
      </c>
      <c r="M10" s="131" t="s">
        <v>86</v>
      </c>
      <c r="N10" s="10" t="s">
        <v>275</v>
      </c>
      <c r="O10" s="33"/>
      <c r="P10" s="108" t="str">
        <f>VLOOKUP(C10,'Train Runs'!$A$13:$AE$10013,31,0)</f>
        <v>aws s3 cp s3://rtdc.mdm.uploadarchive/RTDC4013/2016-08-31/ "%USERPROFILE%\AppData\Local\Temp\OnboardLogs"\RTDC4013\2016-08-31 --recursive &amp; "%USERPROFILE%\Documents\GitHub\mrs-test-scripts\Headless Mode &amp; Sideloading\WalkAndUnGZ.bat" "%USERPROFILE%\AppData\Local\Temp\OnboardLogs"\RTDC4013\2016-08-31 &amp; aws s3 cp s3://rtdc.mdm.uploadarchive/RTDC4013/2016-09-01/ "%USERPROFILE%\AppData\Local\Temp\OnboardLogs"\RTDC4013\2016-09-01 --recursive &amp; "%USERPROFILE%\Documents\GitHub\mrs-test-scripts\Headless Mode &amp; Sideloading\WalkAndUnGZ.bat" "%USERPROFILE%\AppData\Local\Temp\OnboardLogs"\RTDC4013\2016-09-01</v>
      </c>
      <c r="Q10" s="111" t="str">
        <f>VLOOKUP(C10,'Train Runs'!$A$13:$AE$10013,22,0)</f>
        <v>https://search-rtdc-monitor-bjffxe2xuh6vdkpspy63sjmuny.us-east-1.es.amazonaws.com/_plugin/kibana/#/discover/Steve-Slow-Train-Analysis-(2080s-and-2083s)?_g=(refreshInterval:(display:Off,section:0,value:0),time:(from:'2016-08-31 13:13:12-0600',mode:absolute,to:'2016-08-31 16:04:59-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4013%22')),sort:!(Time,asc))</v>
      </c>
      <c r="R10" s="113" t="str">
        <f t="shared" si="0"/>
        <v>"C:\Program Files (x86)\AstroGrep\AstroGrep.exe" /spath="%USERPROFILE%\AppData\Local\Temp\OnboardLogs" /stypes="*4013*201608312*" /stext=" 20:.+((SYSTEM_STATE.+slice.+state.+changed )|(ment ac)|(system.+state.+changed )|(\|lc)|(penalty)|(\[timeout)|(PRM\|1\|D)|(kpr)|(kdp))" /e /r /s</v>
      </c>
      <c r="S10" s="9" t="str">
        <f t="shared" si="1"/>
        <v>4013</v>
      </c>
      <c r="T10" s="38">
        <f t="shared" si="2"/>
        <v>42613.86546296296</v>
      </c>
      <c r="U10" s="52" t="str">
        <f t="shared" si="3"/>
        <v>EC</v>
      </c>
      <c r="V10" s="52" t="str">
        <f t="shared" si="4"/>
        <v>KEEP</v>
      </c>
      <c r="W10" s="149" t="str">
        <f t="shared" si="5"/>
        <v>echo {"issue":{"subject":"Early arrival","project_id":79,"tracker_id":40,"status_id":1,"priority_id":2,"assigned_to_id":23,"start_date":"2016-08-31","description":"","custom_fields":[{"id":1,"name":"Subdivision","value":"EC"},{"id":4,"name":"Milepost","value":"5.8301"},{"id":17,"name":"Train ID","value":"178-31"},{"id":16,"name":"Locomotive ID","value":"4013"},{"id":130,"name":"Impact","value":""},{"id":150,"name":"Time of Event (Mountain Time)","value":"14:46:16"},{"id":151,"name":"Denver Issue ID","value":""},{"id":178,"name":"Operational Impact","value":"Yes"},{"id":179,"name":"Denver Segment Assigned","value":""}]}} | curl -X POST -H "Content-Type: application/json" -H "X-Redmine-API-Key: d6333d4a04012a730768444271f8ca06482dae87" https://secure.xorail.net/redmine/issues.json --data @-</v>
      </c>
      <c r="X10" s="55"/>
      <c r="Y10" s="55"/>
      <c r="Z10" s="55"/>
    </row>
    <row r="11" spans="1:26" s="1" customFormat="1" x14ac:dyDescent="0.25">
      <c r="A11" s="38">
        <v>42613.91065972222</v>
      </c>
      <c r="B11" s="33" t="s">
        <v>305</v>
      </c>
      <c r="C11" s="33" t="s">
        <v>558</v>
      </c>
      <c r="D11" s="33" t="s">
        <v>733</v>
      </c>
      <c r="E11" s="33" t="s">
        <v>243</v>
      </c>
      <c r="F11" s="49">
        <v>0</v>
      </c>
      <c r="G11" s="49">
        <v>127</v>
      </c>
      <c r="H11" s="49">
        <v>63232</v>
      </c>
      <c r="I11" s="33" t="s">
        <v>242</v>
      </c>
      <c r="J11" s="49">
        <v>63309</v>
      </c>
      <c r="K11" s="33" t="s">
        <v>53</v>
      </c>
      <c r="L11" s="92" t="str">
        <f>VLOOKUP(C11,'Trips&amp;Operators'!$C$1:$E$9999,3,0)</f>
        <v>COOLAHAN</v>
      </c>
      <c r="M11" s="131" t="s">
        <v>86</v>
      </c>
      <c r="N11" s="10" t="s">
        <v>275</v>
      </c>
      <c r="O11" s="33"/>
      <c r="P11" s="108" t="str">
        <f>VLOOKUP(C11,'Train Runs'!$A$13:$AE$10013,31,0)</f>
        <v>aws s3 cp s3://rtdc.mdm.uploadarchive/RTDC4015/2016-08-31/ "%USERPROFILE%\AppData\Local\Temp\OnboardLogs"\RTDC4015\2016-08-31 --recursive &amp; "%USERPROFILE%\Documents\GitHub\mrs-test-scripts\Headless Mode &amp; Sideloading\WalkAndUnGZ.bat" "%USERPROFILE%\AppData\Local\Temp\OnboardLogs"\RTDC4015\2016-08-31 &amp; aws s3 cp s3://rtdc.mdm.uploadarchive/RTDC4015/2016-09-01/ "%USERPROFILE%\AppData\Local\Temp\OnboardLogs"\RTDC4015\2016-09-01 --recursive &amp; "%USERPROFILE%\Documents\GitHub\mrs-test-scripts\Headless Mode &amp; Sideloading\WalkAndUnGZ.bat" "%USERPROFILE%\AppData\Local\Temp\OnboardLogs"\RTDC4015\2016-09-01</v>
      </c>
      <c r="Q11" s="111" t="str">
        <f>VLOOKUP(C11,'Train Runs'!$A$13:$AE$10013,22,0)</f>
        <v>https://search-rtdc-monitor-bjffxe2xuh6vdkpspy63sjmuny.us-east-1.es.amazonaws.com/_plugin/kibana/#/discover/Steve-Slow-Train-Analysis-(2080s-and-2083s)?_g=(refreshInterval:(display:Off,section:0,value:0),time:(from:'2016-08-31 20:19:17-0600',mode:absolute,to:'2016-08-31 23:04:37-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4015%22')),sort:!(Time,asc))</v>
      </c>
      <c r="R11" s="113" t="str">
        <f t="shared" si="0"/>
        <v>"C:\Program Files (x86)\AstroGrep\AstroGrep.exe" /spath="%USERPROFILE%\AppData\Local\Temp\OnboardLogs" /stypes="*4015*201609010*" /stext=" 03:.+((SYSTEM_STATE.+slice.+state.+changed )|(ment ac)|(system.+state.+changed )|(\|lc)|(penalty)|(\[timeout)|(PRM\|1\|D)|(kpr)|(kdp))" /e /r /s</v>
      </c>
      <c r="S11" s="9" t="str">
        <f t="shared" si="1"/>
        <v>4015</v>
      </c>
      <c r="T11" s="38">
        <f t="shared" si="2"/>
        <v>42614.16065972222</v>
      </c>
      <c r="U11" s="52" t="str">
        <f t="shared" si="3"/>
        <v>EC</v>
      </c>
      <c r="V11" s="52" t="str">
        <f t="shared" si="4"/>
        <v>KEEP</v>
      </c>
      <c r="W11" s="149" t="str">
        <f t="shared" si="5"/>
        <v>echo {"issue":{"subject":"Early arrival","project_id":79,"tracker_id":40,"status_id":1,"priority_id":2,"assigned_to_id":23,"start_date":"2016-08-31","description":"","custom_fields":[{"id":1,"name":"Subdivision","value":"EC"},{"id":4,"name":"Milepost","value":"6.3309"},{"id":17,"name":"Train ID","value":"228-31"},{"id":16,"name":"Locomotive ID","value":"4015"},{"id":130,"name":"Impact","value":""},{"id":150,"name":"Time of Event (Mountain Time)","value":"21:51:21"},{"id":151,"name":"Denver Issue ID","value":""},{"id":178,"name":"Operational Impact","value":"Yes"},{"id":179,"name":"Denver Segment Assigned","value":""}]}} | curl -X POST -H "Content-Type: application/json" -H "X-Redmine-API-Key: d6333d4a04012a730768444271f8ca06482dae87" https://secure.xorail.net/redmine/issues.json --data @-</v>
      </c>
      <c r="X11" s="55"/>
      <c r="Y11" s="55"/>
      <c r="Z11" s="55"/>
    </row>
    <row r="12" spans="1:26" s="1" customFormat="1" x14ac:dyDescent="0.25">
      <c r="A12" s="38">
        <v>42613.503391203703</v>
      </c>
      <c r="B12" s="33" t="s">
        <v>718</v>
      </c>
      <c r="C12" s="33" t="s">
        <v>458</v>
      </c>
      <c r="D12" s="33" t="s">
        <v>49</v>
      </c>
      <c r="E12" s="33" t="s">
        <v>243</v>
      </c>
      <c r="F12" s="49">
        <v>0</v>
      </c>
      <c r="G12" s="49">
        <v>300</v>
      </c>
      <c r="H12" s="49">
        <v>110526</v>
      </c>
      <c r="I12" s="33" t="s">
        <v>242</v>
      </c>
      <c r="J12" s="49">
        <v>109135</v>
      </c>
      <c r="K12" s="33" t="s">
        <v>53</v>
      </c>
      <c r="L12" s="92" t="str">
        <f>VLOOKUP(C12,'Trips&amp;Operators'!$C$1:$E$9999,3,0)</f>
        <v>SMITH</v>
      </c>
      <c r="M12" s="131" t="s">
        <v>86</v>
      </c>
      <c r="N12" s="10" t="s">
        <v>740</v>
      </c>
      <c r="O12" s="33"/>
      <c r="P12" s="108" t="str">
        <f>VLOOKUP(C12,'Train Runs'!$A$13:$AE$10013,31,0)</f>
        <v>aws s3 cp s3://rtdc.mdm.uploadarchive/RTDC4043/2016-08-31/ "%USERPROFILE%\AppData\Local\Temp\OnboardLogs"\RTDC4043\2016-08-31 --recursive &amp; "%USERPROFILE%\Documents\GitHub\mrs-test-scripts\Headless Mode &amp; Sideloading\WalkAndUnGZ.bat" "%USERPROFILE%\AppData\Local\Temp\OnboardLogs"\RTDC4043\2016-08-31 &amp; aws s3 cp s3://rtdc.mdm.uploadarchive/RTDC4043/2016-09-01/ "%USERPROFILE%\AppData\Local\Temp\OnboardLogs"\RTDC4043\2016-09-01 --recursive &amp; "%USERPROFILE%\Documents\GitHub\mrs-test-scripts\Headless Mode &amp; Sideloading\WalkAndUnGZ.bat" "%USERPROFILE%\AppData\Local\Temp\OnboardLogs"\RTDC4043\2016-09-01</v>
      </c>
      <c r="Q12" s="111" t="str">
        <f>VLOOKUP(C12,'Train Runs'!$A$13:$AE$10013,22,0)</f>
        <v>https://search-rtdc-monitor-bjffxe2xuh6vdkpspy63sjmuny.us-east-1.es.amazonaws.com/_plugin/kibana/#/discover/Steve-Slow-Train-Analysis-(2080s-and-2083s)?_g=(refreshInterval:(display:Off,section:0,value:0),time:(from:'2016-08-31 10:31:14-0600',mode:absolute,to:'2016-08-31 13:28:20-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4043%22')),sort:!(Time,asc))</v>
      </c>
      <c r="R12" s="113" t="str">
        <f t="shared" si="0"/>
        <v>"C:\Program Files (x86)\AstroGrep\AstroGrep.exe" /spath="%USERPROFILE%\AppData\Local\Temp\OnboardLogs" /stypes="*4043*201608311*" /stext=" 18:.+((SYSTEM_STATE.+slice.+state.+changed )|(ment ac)|(system.+state.+changed )|(\|lc)|(penalty)|(\[timeout)|(PRM\|1\|D)|(kpr)|(kdp))" /e /r /s</v>
      </c>
      <c r="S12" s="9" t="str">
        <f t="shared" si="1"/>
        <v>4043</v>
      </c>
      <c r="T12" s="38">
        <f t="shared" si="2"/>
        <v>42613.753391203703</v>
      </c>
      <c r="U12" s="52" t="str">
        <f t="shared" si="3"/>
        <v>EC</v>
      </c>
      <c r="V12" s="52" t="str">
        <f t="shared" si="4"/>
        <v>KEEP</v>
      </c>
      <c r="W12" s="149" t="str">
        <f t="shared" si="5"/>
        <v>echo {"issue":{"subject":"Form C","project_id":79,"tracker_id":40,"status_id":1,"priority_id":2,"assigned_to_id":23,"start_date":"2016-08-31","description":"","custom_fields":[{"id":1,"name":"Subdivision","value":"EC"},{"id":4,"name":"Milepost","value":"10.9135"},{"id":17,"name":"Train ID","value":"158-31"},{"id":16,"name":"Locomotive ID","value":"4043"},{"id":130,"name":"Impact","value":""},{"id":150,"name":"Time of Event (Mountain Time)","value":"12:04:53"},{"id":151,"name":"Denver Issue ID","value":""},{"id":178,"name":"Operational Impact","value":"Yes"},{"id":179,"name":"Denver Segment Assigned","value":""}]}} | curl -X POST -H "Content-Type: application/json" -H "X-Redmine-API-Key: d6333d4a04012a730768444271f8ca06482dae87" https://secure.xorail.net/redmine/issues.json --data @-</v>
      </c>
      <c r="X12" s="55"/>
      <c r="Y12" s="55"/>
      <c r="Z12" s="55"/>
    </row>
    <row r="13" spans="1:26" s="1" customFormat="1" x14ac:dyDescent="0.25">
      <c r="A13" s="38">
        <v>42613.559629629628</v>
      </c>
      <c r="B13" s="33" t="s">
        <v>112</v>
      </c>
      <c r="C13" s="33" t="s">
        <v>489</v>
      </c>
      <c r="D13" s="33" t="s">
        <v>111</v>
      </c>
      <c r="E13" s="33" t="s">
        <v>56</v>
      </c>
      <c r="F13" s="49">
        <v>200</v>
      </c>
      <c r="G13" s="49">
        <v>253</v>
      </c>
      <c r="H13" s="49">
        <v>5328</v>
      </c>
      <c r="I13" s="33" t="s">
        <v>57</v>
      </c>
      <c r="J13" s="49">
        <v>4677</v>
      </c>
      <c r="K13" s="33" t="s">
        <v>52</v>
      </c>
      <c r="L13" s="92" t="str">
        <f>VLOOKUP(C13,'Trips&amp;Operators'!$C$1:$E$9999,3,0)</f>
        <v>MAHAN</v>
      </c>
      <c r="M13" s="131" t="s">
        <v>86</v>
      </c>
      <c r="N13" s="10"/>
      <c r="O13" s="33"/>
      <c r="P13" s="108" t="str">
        <f>VLOOKUP(C13,'Train Runs'!$A$13:$AE$10013,31,0)</f>
        <v>aws s3 cp s3://rtdc.mdm.uploadarchive/RTDC4014/2016-08-31/ "%USERPROFILE%\AppData\Local\Temp\OnboardLogs"\RTDC4014\2016-08-31 --recursive &amp; "%USERPROFILE%\Documents\GitHub\mrs-test-scripts\Headless Mode &amp; Sideloading\WalkAndUnGZ.bat" "%USERPROFILE%\AppData\Local\Temp\OnboardLogs"\RTDC4014\2016-08-31 &amp; aws s3 cp s3://rtdc.mdm.uploadarchive/RTDC4014/2016-09-01/ "%USERPROFILE%\AppData\Local\Temp\OnboardLogs"\RTDC4014\2016-09-01 --recursive &amp; "%USERPROFILE%\Documents\GitHub\mrs-test-scripts\Headless Mode &amp; Sideloading\WalkAndUnGZ.bat" "%USERPROFILE%\AppData\Local\Temp\OnboardLogs"\RTDC4014\2016-09-01</v>
      </c>
      <c r="Q13" s="111" t="str">
        <f>VLOOKUP(C13,'Train Runs'!$A$13:$AE$10013,22,0)</f>
        <v>https://search-rtdc-monitor-bjffxe2xuh6vdkpspy63sjmuny.us-east-1.es.amazonaws.com/_plugin/kibana/#/discover/Steve-Slow-Train-Analysis-(2080s-and-2083s)?_g=(refreshInterval:(display:Off,section:0,value:0),time:(from:'2016-08-31 12:20:30-0600',mode:absolute,to:'2016-08-31 15:09:04-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4014%22')),sort:!(Time,asc))</v>
      </c>
      <c r="R13" s="113" t="str">
        <f t="shared" si="0"/>
        <v>"C:\Program Files (x86)\AstroGrep\AstroGrep.exe" /spath="%USERPROFILE%\AppData\Local\Temp\OnboardLogs" /stypes="*4014*201608311*" /stext=" 19:.+((SYSTEM_STATE.+slice.+state.+changed )|(ment ac)|(system.+state.+changed )|(\|lc)|(penalty)|(\[timeout)|(PRM\|1\|D)|(kpr)|(kdp))" /e /r /s</v>
      </c>
      <c r="S13" s="9" t="str">
        <f t="shared" si="1"/>
        <v>4014</v>
      </c>
      <c r="T13" s="38">
        <f t="shared" si="2"/>
        <v>42613.809629629628</v>
      </c>
      <c r="U13" s="52" t="str">
        <f t="shared" si="3"/>
        <v>EC</v>
      </c>
      <c r="V13" s="52" t="str">
        <f t="shared" si="4"/>
        <v>KEEP</v>
      </c>
      <c r="W13" s="149" t="str">
        <f t="shared" si="5"/>
        <v>echo {"issue":{"subject":"","project_id":79,"tracker_id":40,"status_id":1,"priority_id":2,"assigned_to_id":23,"start_date":"2016-08-31","description":"","custom_fields":[{"id":1,"name":"Subdivision","value":"EC"},{"id":4,"name":"Milepost","value":"0.4677"},{"id":17,"name":"Train ID","value":"177-31"},{"id":16,"name":"Locomotive ID","value":"4014"},{"id":130,"name":"Impact","value":""},{"id":150,"name":"Time of Event (Mountain Time)","value":"13:25:52"},{"id":151,"name":"Denver Issue ID","value":""},{"id":178,"name":"Operational Impact","value":"Yes"},{"id":179,"name":"Denver Segment Assigned","value":""}]}} | curl -X POST -H "Content-Type: application/json" -H "X-Redmine-API-Key: d6333d4a04012a730768444271f8ca06482dae87" https://secure.xorail.net/redmine/issues.json --data @-</v>
      </c>
      <c r="X13" s="55"/>
      <c r="Y13" s="55"/>
      <c r="Z13" s="55"/>
    </row>
    <row r="14" spans="1:26" s="1" customFormat="1" x14ac:dyDescent="0.25">
      <c r="A14" s="38">
        <v>42613.670011574075</v>
      </c>
      <c r="B14" s="33" t="s">
        <v>719</v>
      </c>
      <c r="C14" s="33" t="s">
        <v>505</v>
      </c>
      <c r="D14" s="33" t="s">
        <v>49</v>
      </c>
      <c r="E14" s="33" t="s">
        <v>56</v>
      </c>
      <c r="F14" s="49">
        <v>300</v>
      </c>
      <c r="G14" s="49">
        <v>365</v>
      </c>
      <c r="H14" s="49">
        <v>22718</v>
      </c>
      <c r="I14" s="33" t="s">
        <v>57</v>
      </c>
      <c r="J14" s="49">
        <v>21848</v>
      </c>
      <c r="K14" s="33" t="s">
        <v>53</v>
      </c>
      <c r="L14" s="92" t="str">
        <f>VLOOKUP(C14,'Trips&amp;Operators'!$C$1:$E$9999,3,0)</f>
        <v>ROBINSON</v>
      </c>
      <c r="M14" s="131" t="s">
        <v>86</v>
      </c>
      <c r="N14" s="10"/>
      <c r="O14" s="33"/>
      <c r="P14" s="108" t="str">
        <f>VLOOKUP(C14,'Train Runs'!$A$13:$AE$10013,31,0)</f>
        <v>aws s3 cp s3://rtdc.mdm.uploadarchive/RTDC4001/2016-08-31/ "%USERPROFILE%\AppData\Local\Temp\OnboardLogs"\RTDC4001\2016-08-31 --recursive &amp; "%USERPROFILE%\Documents\GitHub\mrs-test-scripts\Headless Mode &amp; Sideloading\WalkAndUnGZ.bat" "%USERPROFILE%\AppData\Local\Temp\OnboardLogs"\RTDC4001\2016-08-31 &amp; aws s3 cp s3://rtdc.mdm.uploadarchive/RTDC4001/2016-09-01/ "%USERPROFILE%\AppData\Local\Temp\OnboardLogs"\RTDC4001\2016-09-01 --recursive &amp; "%USERPROFILE%\Documents\GitHub\mrs-test-scripts\Headless Mode &amp; Sideloading\WalkAndUnGZ.bat" "%USERPROFILE%\AppData\Local\Temp\OnboardLogs"\RTDC4001\2016-09-01</v>
      </c>
      <c r="Q14" s="111" t="str">
        <f>VLOOKUP(C14,'Train Runs'!$A$13:$AE$10013,22,0)</f>
        <v>https://search-rtdc-monitor-bjffxe2xuh6vdkpspy63sjmuny.us-east-1.es.amazonaws.com/_plugin/kibana/#/discover/Steve-Slow-Train-Analysis-(2080s-and-2083s)?_g=(refreshInterval:(display:Off,section:0,value:0),time:(from:'2016-08-31 14:19:51-0600',mode:absolute,to:'2016-08-31 19:08:26-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4001%22')),sort:!(Time,asc))</v>
      </c>
      <c r="R14" s="113" t="str">
        <f t="shared" si="0"/>
        <v>"C:\Program Files (x86)\AstroGrep\AstroGrep.exe" /spath="%USERPROFILE%\AppData\Local\Temp\OnboardLogs" /stypes="*4001*201608312*" /stext=" 22:.+((SYSTEM_STATE.+slice.+state.+changed )|(ment ac)|(system.+state.+changed )|(\|lc)|(penalty)|(\[timeout)|(PRM\|1\|D)|(kpr)|(kdp))" /e /r /s</v>
      </c>
      <c r="S14" s="9" t="str">
        <f t="shared" si="1"/>
        <v>4001</v>
      </c>
      <c r="T14" s="38">
        <f t="shared" si="2"/>
        <v>42613.920011574075</v>
      </c>
      <c r="U14" s="52" t="str">
        <f t="shared" si="3"/>
        <v>EC</v>
      </c>
      <c r="V14" s="52" t="str">
        <f t="shared" si="4"/>
        <v>KEEP</v>
      </c>
      <c r="W14" s="149" t="str">
        <f t="shared" si="5"/>
        <v>echo {"issue":{"subject":"","project_id":79,"tracker_id":40,"status_id":1,"priority_id":2,"assigned_to_id":23,"start_date":"2016-08-31","description":"","custom_fields":[{"id":1,"name":"Subdivision","value":"EC"},{"id":4,"name":"Milepost","value":"2.1848"},{"id":17,"name":"Train ID","value":"188-31"},{"id":16,"name":"Locomotive ID","value":"4001"},{"id":130,"name":"Impact","value":""},{"id":150,"name":"Time of Event (Mountain Time)","value":"16:04:49"},{"id":151,"name":"Denver Issue ID","value":""},{"id":178,"name":"Operational Impact","value":"Yes"},{"id":179,"name":"Denver Segment Assigned","value":""}]}} | curl -X POST -H "Content-Type: application/json" -H "X-Redmine-API-Key: d6333d4a04012a730768444271f8ca06482dae87" https://secure.xorail.net/redmine/issues.json --data @-</v>
      </c>
      <c r="X14" s="55"/>
      <c r="Y14" s="55"/>
      <c r="Z14" s="55"/>
    </row>
    <row r="15" spans="1:26" s="1" customFormat="1" x14ac:dyDescent="0.25">
      <c r="A15" s="38">
        <v>42614.061018518521</v>
      </c>
      <c r="B15" s="33" t="s">
        <v>719</v>
      </c>
      <c r="C15" s="33" t="s">
        <v>577</v>
      </c>
      <c r="D15" s="33" t="s">
        <v>49</v>
      </c>
      <c r="E15" s="33" t="s">
        <v>56</v>
      </c>
      <c r="F15" s="49">
        <v>300</v>
      </c>
      <c r="G15" s="49">
        <v>408</v>
      </c>
      <c r="H15" s="49">
        <v>22668</v>
      </c>
      <c r="I15" s="33" t="s">
        <v>57</v>
      </c>
      <c r="J15" s="49">
        <v>21848</v>
      </c>
      <c r="K15" s="33" t="s">
        <v>53</v>
      </c>
      <c r="L15" s="92"/>
      <c r="M15" s="131" t="s">
        <v>86</v>
      </c>
      <c r="N15" s="10"/>
      <c r="O15" s="33"/>
      <c r="P15" s="108" t="str">
        <f>VLOOKUP(C15,'Train Runs'!$A$13:$AE$10013,31,0)</f>
        <v>aws s3 cp s3://rtdc.mdm.uploadarchive/RTDC4001/2016-09-01/ "%USERPROFILE%\AppData\Local\Temp\OnboardLogs"\RTDC4001\2016-09-01 --recursive &amp; "%USERPROFILE%\Documents\GitHub\mrs-test-scripts\Headless Mode &amp; Sideloading\WalkAndUnGZ.bat" "%USERPROFILE%\AppData\Local\Temp\OnboardLogs"\RTDC4001\2016-09-01 &amp; aws s3 cp s3://rtdc.mdm.uploadarchive/RTDC4001/2016-09-02/ "%USERPROFILE%\AppData\Local\Temp\OnboardLogs"\RTDC4001\2016-09-02 --recursive &amp; "%USERPROFILE%\Documents\GitHub\mrs-test-scripts\Headless Mode &amp; Sideloading\WalkAndUnGZ.bat" "%USERPROFILE%\AppData\Local\Temp\OnboardLogs"\RTDC4001\2016-09-02</v>
      </c>
      <c r="Q15" s="111" t="str">
        <f>VLOOKUP(C15,'Train Runs'!$A$13:$AE$10013,22,0)</f>
        <v>https://search-rtdc-monitor-bjffxe2xuh6vdkpspy63sjmuny.us-east-1.es.amazonaws.com/_plugin/kibana/#/discover/Steve-Slow-Train-Analysis-(2080s-and-2083s)?_g=(refreshInterval:(display:Off,section:0,value:0),time:(from:'2016-08-31 23:51:44-0600',mode:absolute,to:'2016-09-01 02:34:45-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4001%22')),sort:!(Time,asc))</v>
      </c>
      <c r="R15" s="113" t="str">
        <f t="shared" si="0"/>
        <v>"C:\Program Files (x86)\AstroGrep\AstroGrep.exe" /spath="%USERPROFILE%\AppData\Local\Temp\OnboardLogs" /stypes="*4001*201609010*" /stext=" 07:.+((SYSTEM_STATE.+slice.+state.+changed )|(ment ac)|(system.+state.+changed )|(\|lc)|(penalty)|(\[timeout)|(PRM\|1\|D)|(kpr)|(kdp))" /e /r /s</v>
      </c>
      <c r="S15" s="9" t="str">
        <f t="shared" si="1"/>
        <v>4001</v>
      </c>
      <c r="T15" s="38">
        <f t="shared" si="2"/>
        <v>42614.311018518521</v>
      </c>
      <c r="U15" s="52" t="str">
        <f t="shared" si="3"/>
        <v>EC</v>
      </c>
      <c r="V15" s="52" t="str">
        <f t="shared" si="4"/>
        <v>KEEP</v>
      </c>
      <c r="W15" s="149" t="str">
        <f t="shared" si="5"/>
        <v>echo {"issue":{"subject":"","project_id":79,"tracker_id":40,"status_id":1,"priority_id":2,"assigned_to_id":23,"start_date":"2016-09-01","description":"","custom_fields":[{"id":1,"name":"Subdivision","value":"EC"},{"id":4,"name":"Milepost","value":"2.1848"},{"id":17,"name":"Train ID","value":"242-31"},{"id":16,"name":"Locomotive ID","value":"4001"},{"id":130,"name":"Impact","value":""},{"id":150,"name":"Time of Event (Mountain Time)","value":"01:27:52"},{"id":151,"name":"Denver Issue ID","value":""},{"id":178,"name":"Operational Impact","value":"Yes"},{"id":179,"name":"Denver Segment Assigned","value":""}]}} | curl -X POST -H "Content-Type: application/json" -H "X-Redmine-API-Key: d6333d4a04012a730768444271f8ca06482dae87" https://secure.xorail.net/redmine/issues.json --data @-</v>
      </c>
      <c r="X15" s="55"/>
      <c r="Y15" s="55"/>
      <c r="Z15" s="55"/>
    </row>
    <row r="16" spans="1:26" s="1" customFormat="1" x14ac:dyDescent="0.25">
      <c r="A16" s="38">
        <v>42613.26771990741</v>
      </c>
      <c r="B16" s="33" t="s">
        <v>312</v>
      </c>
      <c r="C16" s="33" t="s">
        <v>400</v>
      </c>
      <c r="D16" s="33" t="s">
        <v>49</v>
      </c>
      <c r="E16" s="33" t="s">
        <v>56</v>
      </c>
      <c r="F16" s="49">
        <v>400</v>
      </c>
      <c r="G16" s="49">
        <v>769</v>
      </c>
      <c r="H16" s="49">
        <v>112388</v>
      </c>
      <c r="I16" s="33" t="s">
        <v>57</v>
      </c>
      <c r="J16" s="49">
        <v>116838</v>
      </c>
      <c r="K16" s="33" t="s">
        <v>52</v>
      </c>
      <c r="L16" s="92" t="str">
        <f>VLOOKUP(C16,'Trips&amp;Operators'!$C$1:$E$9999,3,0)</f>
        <v>STRICKLAND</v>
      </c>
      <c r="M16" s="131" t="s">
        <v>86</v>
      </c>
      <c r="N16" s="10"/>
      <c r="O16" s="33"/>
      <c r="P16" s="108" t="str">
        <f>VLOOKUP(C16,'Train Runs'!$A$13:$AE$10013,31,0)</f>
        <v>aws s3 cp s3://rtdc.mdm.uploadarchive/RTDC4016/2016-08-31/ "%USERPROFILE%\AppData\Local\Temp\OnboardLogs"\RTDC4016\2016-08-31 --recursive &amp; "%USERPROFILE%\Documents\GitHub\mrs-test-scripts\Headless Mode &amp; Sideloading\WalkAndUnGZ.bat" "%USERPROFILE%\AppData\Local\Temp\OnboardLogs"\RTDC4016\2016-08-31 &amp; aws s3 cp s3://rtdc.mdm.uploadarchive/RTDC4016/2016-09-01/ "%USERPROFILE%\AppData\Local\Temp\OnboardLogs"\RTDC4016\2016-09-01 --recursive &amp; "%USERPROFILE%\Documents\GitHub\mrs-test-scripts\Headless Mode &amp; Sideloading\WalkAndUnGZ.bat" "%USERPROFILE%\AppData\Local\Temp\OnboardLogs"\RTDC4016\2016-09-01</v>
      </c>
      <c r="Q16" s="111" t="str">
        <f>VLOOKUP(C16,'Train Runs'!$A$13:$AE$10013,22,0)</f>
        <v>https://search-rtdc-monitor-bjffxe2xuh6vdkpspy63sjmuny.us-east-1.es.amazonaws.com/_plugin/kibana/#/discover/Steve-Slow-Train-Analysis-(2080s-and-2083s)?_g=(refreshInterval:(display:Off,section:0,value:0),time:(from:'2016-08-31 05:07:02-0600',mode:absolute,to:'2016-08-31 07:47: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4016%22')),sort:!(Time,asc))</v>
      </c>
      <c r="R16" s="113" t="str">
        <f t="shared" si="0"/>
        <v>"C:\Program Files (x86)\AstroGrep\AstroGrep.exe" /spath="%USERPROFILE%\AppData\Local\Temp\OnboardLogs" /stypes="*4016*201608311*" /stext=" 12:.+((SYSTEM_STATE.+slice.+state.+changed )|(ment ac)|(system.+state.+changed )|(\|lc)|(penalty)|(\[timeout)|(PRM\|1\|D)|(kpr)|(kdp))" /e /r /s</v>
      </c>
      <c r="S16" s="9" t="str">
        <f t="shared" si="1"/>
        <v>4016</v>
      </c>
      <c r="T16" s="38">
        <f t="shared" si="2"/>
        <v>42613.51771990741</v>
      </c>
      <c r="U16" s="52" t="str">
        <f t="shared" si="3"/>
        <v>EC</v>
      </c>
      <c r="V16" s="52" t="str">
        <f t="shared" si="4"/>
        <v>KEEP</v>
      </c>
      <c r="W16" s="149" t="str">
        <f t="shared" si="5"/>
        <v>echo {"issue":{"subject":"","project_id":79,"tracker_id":40,"status_id":1,"priority_id":2,"assigned_to_id":23,"start_date":"2016-08-31","description":"","custom_fields":[{"id":1,"name":"Subdivision","value":"EC"},{"id":4,"name":"Milepost","value":"11.6838"},{"id":17,"name":"Train ID","value":"119-31"},{"id":16,"name":"Locomotive ID","value":"4016"},{"id":130,"name":"Impact","value":""},{"id":150,"name":"Time of Event (Mountain Time)","value":"06:25:31"},{"id":151,"name":"Denver Issue ID","value":""},{"id":178,"name":"Operational Impact","value":"Yes"},{"id":179,"name":"Denver Segment Assigned","value":""}]}} | curl -X POST -H "Content-Type: application/json" -H "X-Redmine-API-Key: d6333d4a04012a730768444271f8ca06482dae87" https://secure.xorail.net/redmine/issues.json --data @-</v>
      </c>
      <c r="X16" s="55"/>
      <c r="Y16" s="55"/>
      <c r="Z16" s="55"/>
    </row>
    <row r="17" spans="1:26" s="1" customFormat="1" x14ac:dyDescent="0.25">
      <c r="A17" s="38">
        <v>42613.317476851851</v>
      </c>
      <c r="B17" s="33" t="s">
        <v>720</v>
      </c>
      <c r="C17" s="33" t="s">
        <v>419</v>
      </c>
      <c r="D17" s="33" t="s">
        <v>49</v>
      </c>
      <c r="E17" s="33" t="s">
        <v>56</v>
      </c>
      <c r="F17" s="49">
        <v>400</v>
      </c>
      <c r="G17" s="49">
        <v>545</v>
      </c>
      <c r="H17" s="49">
        <v>115384</v>
      </c>
      <c r="I17" s="33" t="s">
        <v>57</v>
      </c>
      <c r="J17" s="49">
        <v>116838</v>
      </c>
      <c r="K17" s="33" t="s">
        <v>52</v>
      </c>
      <c r="L17" s="92" t="str">
        <f>VLOOKUP(C17,'Trips&amp;Operators'!$C$1:$E$9999,3,0)</f>
        <v>SMITH</v>
      </c>
      <c r="M17" s="131" t="s">
        <v>86</v>
      </c>
      <c r="N17" s="10"/>
      <c r="O17" s="33"/>
      <c r="P17" s="108" t="str">
        <f>VLOOKUP(C17,'Train Runs'!$A$13:$AE$10013,31,0)</f>
        <v>aws s3 cp s3://rtdc.mdm.uploadarchive/RTDC4044/2016-08-31/ "%USERPROFILE%\AppData\Local\Temp\OnboardLogs"\RTDC4044\2016-08-31 --recursive &amp; "%USERPROFILE%\Documents\GitHub\mrs-test-scripts\Headless Mode &amp; Sideloading\WalkAndUnGZ.bat" "%USERPROFILE%\AppData\Local\Temp\OnboardLogs"\RTDC4044\2016-08-31 &amp; aws s3 cp s3://rtdc.mdm.uploadarchive/RTDC4044/2016-09-01/ "%USERPROFILE%\AppData\Local\Temp\OnboardLogs"\RTDC4044\2016-09-01 --recursive &amp; "%USERPROFILE%\Documents\GitHub\mrs-test-scripts\Headless Mode &amp; Sideloading\WalkAndUnGZ.bat" "%USERPROFILE%\AppData\Local\Temp\OnboardLogs"\RTDC4044\2016-09-01</v>
      </c>
      <c r="Q17" s="111" t="str">
        <f>VLOOKUP(C17,'Train Runs'!$A$13:$AE$10013,22,0)</f>
        <v>https://search-rtdc-monitor-bjffxe2xuh6vdkpspy63sjmuny.us-east-1.es.amazonaws.com/_plugin/kibana/#/discover/Steve-Slow-Train-Analysis-(2080s-and-2083s)?_g=(refreshInterval:(display:Off,section:0,value:0),time:(from:'2016-08-31 06:06:38-0600',mode:absolute,to:'2016-08-31 08:53:01-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4044%22')),sort:!(Time,asc))</v>
      </c>
      <c r="R17" s="113" t="str">
        <f t="shared" si="0"/>
        <v>"C:\Program Files (x86)\AstroGrep\AstroGrep.exe" /spath="%USERPROFILE%\AppData\Local\Temp\OnboardLogs" /stypes="*4044*201608311*" /stext=" 13:.+((SYSTEM_STATE.+slice.+state.+changed )|(ment ac)|(system.+state.+changed )|(\|lc)|(penalty)|(\[timeout)|(PRM\|1\|D)|(kpr)|(kdp))" /e /r /s</v>
      </c>
      <c r="S17" s="9" t="str">
        <f t="shared" si="1"/>
        <v>4044</v>
      </c>
      <c r="T17" s="38">
        <f t="shared" si="2"/>
        <v>42613.567476851851</v>
      </c>
      <c r="U17" s="52" t="str">
        <f t="shared" si="3"/>
        <v>EC</v>
      </c>
      <c r="V17" s="52" t="str">
        <f t="shared" si="4"/>
        <v>KEEP</v>
      </c>
      <c r="W17" s="149" t="str">
        <f t="shared" si="5"/>
        <v>echo {"issue":{"subject":"","project_id":79,"tracker_id":40,"status_id":1,"priority_id":2,"assigned_to_id":23,"start_date":"2016-08-31","description":"","custom_fields":[{"id":1,"name":"Subdivision","value":"EC"},{"id":4,"name":"Milepost","value":"11.6838"},{"id":17,"name":"Train ID","value":"129-31"},{"id":16,"name":"Locomotive ID","value":"4044"},{"id":130,"name":"Impact","value":""},{"id":150,"name":"Time of Event (Mountain Time)","value":"07:37:10"},{"id":151,"name":"Denver Issue ID","value":""},{"id":178,"name":"Operational Impact","value":"Yes"},{"id":179,"name":"Denver Segment Assigned","value":""}]}} | curl -X POST -H "Content-Type: application/json" -H "X-Redmine-API-Key: d6333d4a04012a730768444271f8ca06482dae87" https://secure.xorail.net/redmine/issues.json --data @-</v>
      </c>
      <c r="X17" s="55"/>
      <c r="Y17" s="55"/>
      <c r="Z17" s="55"/>
    </row>
    <row r="18" spans="1:26" s="1" customFormat="1" x14ac:dyDescent="0.25">
      <c r="A18" s="38">
        <v>42613.222037037034</v>
      </c>
      <c r="B18" s="33" t="s">
        <v>234</v>
      </c>
      <c r="C18" s="33" t="s">
        <v>379</v>
      </c>
      <c r="D18" s="33" t="s">
        <v>111</v>
      </c>
      <c r="E18" s="33" t="s">
        <v>56</v>
      </c>
      <c r="F18" s="49">
        <v>700</v>
      </c>
      <c r="G18" s="49">
        <v>750</v>
      </c>
      <c r="H18" s="49">
        <v>176338</v>
      </c>
      <c r="I18" s="33" t="s">
        <v>57</v>
      </c>
      <c r="J18" s="49">
        <v>183829</v>
      </c>
      <c r="K18" s="33" t="s">
        <v>53</v>
      </c>
      <c r="L18" s="92" t="str">
        <f>VLOOKUP(C18,'Trips&amp;Operators'!$C$1:$E$9999,3,0)</f>
        <v>STRICKLAND</v>
      </c>
      <c r="M18" s="131" t="s">
        <v>86</v>
      </c>
      <c r="N18" s="10"/>
      <c r="O18" s="33"/>
      <c r="P18" s="108" t="str">
        <f>VLOOKUP(C18,'Train Runs'!$A$13:$AE$10013,31,0)</f>
        <v>aws s3 cp s3://rtdc.mdm.uploadarchive/RTDC4028/2016-08-31/ "%USERPROFILE%\AppData\Local\Temp\OnboardLogs"\RTDC4028\2016-08-31 --recursive &amp; "%USERPROFILE%\Documents\GitHub\mrs-test-scripts\Headless Mode &amp; Sideloading\WalkAndUnGZ.bat" "%USERPROFILE%\AppData\Local\Temp\OnboardLogs"\RTDC4028\2016-08-31 &amp; aws s3 cp s3://rtdc.mdm.uploadarchive/RTDC4028/2016-09-01/ "%USERPROFILE%\AppData\Local\Temp\OnboardLogs"\RTDC4028\2016-09-01 --recursive &amp; "%USERPROFILE%\Documents\GitHub\mrs-test-scripts\Headless Mode &amp; Sideloading\WalkAndUnGZ.bat" "%USERPROFILE%\AppData\Local\Temp\OnboardLogs"\RTDC4028\2016-09-01</v>
      </c>
      <c r="Q18" s="111" t="str">
        <f>VLOOKUP(C18,'Train Runs'!$A$13:$AE$10013,22,0)</f>
        <v>https://search-rtdc-monitor-bjffxe2xuh6vdkpspy63sjmuny.us-east-1.es.amazonaws.com/_plugin/kibana/#/discover/Steve-Slow-Train-Analysis-(2080s-and-2083s)?_g=(refreshInterval:(display:Off,section:0,value:0),time:(from:'2016-08-31 04:03:59-0600',mode:absolute,to:'2016-08-31 06:52:56-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4028%22')),sort:!(Time,asc))</v>
      </c>
      <c r="R18" s="113" t="str">
        <f t="shared" si="0"/>
        <v>"C:\Program Files (x86)\AstroGrep\AstroGrep.exe" /spath="%USERPROFILE%\AppData\Local\Temp\OnboardLogs" /stypes="*4028*201608311*" /stext=" 11:.+((SYSTEM_STATE.+slice.+state.+changed )|(ment ac)|(system.+state.+changed )|(\|lc)|(penalty)|(\[timeout)|(PRM\|1\|D)|(kpr)|(kdp))" /e /r /s</v>
      </c>
      <c r="S18" s="9" t="str">
        <f t="shared" si="1"/>
        <v>4028</v>
      </c>
      <c r="T18" s="38">
        <f t="shared" si="2"/>
        <v>42613.472037037034</v>
      </c>
      <c r="U18" s="52" t="str">
        <f t="shared" si="3"/>
        <v>EC</v>
      </c>
      <c r="V18" s="52" t="str">
        <f t="shared" si="4"/>
        <v>KEEP</v>
      </c>
      <c r="W18" s="149" t="str">
        <f t="shared" si="5"/>
        <v>echo {"issue":{"subject":"","project_id":79,"tracker_id":40,"status_id":1,"priority_id":2,"assigned_to_id":23,"start_date":"2016-08-31","description":"","custom_fields":[{"id":1,"name":"Subdivision","value":"EC"},{"id":4,"name":"Milepost","value":"18.3829"},{"id":17,"name":"Train ID","value":"106-31"},{"id":16,"name":"Locomotive ID","value":"4028"},{"id":130,"name":"Impact","value":""},{"id":150,"name":"Time of Event (Mountain Time)","value":"05:19:44"},{"id":151,"name":"Denver Issue ID","value":""},{"id":178,"name":"Operational Impact","value":"Yes"},{"id":179,"name":"Denver Segment Assigned","value":""}]}} | curl -X POST -H "Content-Type: application/json" -H "X-Redmine-API-Key: d6333d4a04012a730768444271f8ca06482dae87" https://secure.xorail.net/redmine/issues.json --data @-</v>
      </c>
      <c r="X18" s="55"/>
      <c r="Y18" s="55"/>
      <c r="Z18" s="55"/>
    </row>
    <row r="19" spans="1:26" s="1" customFormat="1" x14ac:dyDescent="0.25">
      <c r="A19" s="38">
        <v>42613.762696759259</v>
      </c>
      <c r="B19" s="33" t="s">
        <v>234</v>
      </c>
      <c r="C19" s="33" t="s">
        <v>534</v>
      </c>
      <c r="D19" s="33" t="s">
        <v>111</v>
      </c>
      <c r="E19" s="33" t="s">
        <v>56</v>
      </c>
      <c r="F19" s="49">
        <v>700</v>
      </c>
      <c r="G19" s="49">
        <v>750</v>
      </c>
      <c r="H19" s="49">
        <v>179766</v>
      </c>
      <c r="I19" s="33" t="s">
        <v>57</v>
      </c>
      <c r="J19" s="49">
        <v>183829</v>
      </c>
      <c r="K19" s="33" t="s">
        <v>53</v>
      </c>
      <c r="L19" s="92" t="str">
        <f>VLOOKUP(C19,'Trips&amp;Operators'!$C$1:$E$9999,3,0)</f>
        <v>STURGEON</v>
      </c>
      <c r="M19" s="131" t="s">
        <v>86</v>
      </c>
      <c r="N19" s="10"/>
      <c r="O19" s="33"/>
      <c r="P19" s="108" t="str">
        <f>VLOOKUP(C19,'Train Runs'!$A$13:$AE$10013,31,0)</f>
        <v>aws s3 cp s3://rtdc.mdm.uploadarchive/RTDC4028/2016-08-31/ "%USERPROFILE%\AppData\Local\Temp\OnboardLogs"\RTDC4028\2016-08-31 --recursive &amp; "%USERPROFILE%\Documents\GitHub\mrs-test-scripts\Headless Mode &amp; Sideloading\WalkAndUnGZ.bat" "%USERPROFILE%\AppData\Local\Temp\OnboardLogs"\RTDC4028\2016-08-31 &amp; aws s3 cp s3://rtdc.mdm.uploadarchive/RTDC4028/2016-09-01/ "%USERPROFILE%\AppData\Local\Temp\OnboardLogs"\RTDC4028\2016-09-01 --recursive &amp; "%USERPROFILE%\Documents\GitHub\mrs-test-scripts\Headless Mode &amp; Sideloading\WalkAndUnGZ.bat" "%USERPROFILE%\AppData\Local\Temp\OnboardLogs"\RTDC4028\2016-09-01</v>
      </c>
      <c r="Q19" s="111" t="str">
        <f>VLOOKUP(C19,'Train Runs'!$A$13:$AE$10013,22,0)</f>
        <v>https://search-rtdc-monitor-bjffxe2xuh6vdkpspy63sjmuny.us-east-1.es.amazonaws.com/_plugin/kibana/#/discover/Steve-Slow-Train-Analysis-(2080s-and-2083s)?_g=(refreshInterval:(display:Off,section:0,value:0),time:(from:'2016-08-31 17:01:55-0600',mode:absolute,to:'2016-08-31 19:52:41-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4028%22')),sort:!(Time,asc))</v>
      </c>
      <c r="R19" s="113" t="str">
        <f t="shared" si="0"/>
        <v>"C:\Program Files (x86)\AstroGrep\AstroGrep.exe" /spath="%USERPROFILE%\AppData\Local\Temp\OnboardLogs" /stypes="*4028*201609010*" /stext=" 00:.+((SYSTEM_STATE.+slice.+state.+changed )|(ment ac)|(system.+state.+changed )|(\|lc)|(penalty)|(\[timeout)|(PRM\|1\|D)|(kpr)|(kdp))" /e /r /s</v>
      </c>
      <c r="S19" s="9" t="str">
        <f t="shared" si="1"/>
        <v>4028</v>
      </c>
      <c r="T19" s="38">
        <f t="shared" si="2"/>
        <v>42614.012696759259</v>
      </c>
      <c r="U19" s="52" t="str">
        <f t="shared" si="3"/>
        <v>EC</v>
      </c>
      <c r="V19" s="52" t="str">
        <f t="shared" si="4"/>
        <v>KEEP</v>
      </c>
      <c r="W19" s="149" t="str">
        <f t="shared" si="5"/>
        <v>echo {"issue":{"subject":"","project_id":79,"tracker_id":40,"status_id":1,"priority_id":2,"assigned_to_id":23,"start_date":"2016-08-31","description":"","custom_fields":[{"id":1,"name":"Subdivision","value":"EC"},{"id":4,"name":"Milepost","value":"18.3829"},{"id":17,"name":"Train ID","value":"210-31"},{"id":16,"name":"Locomotive ID","value":"4028"},{"id":130,"name":"Impact","value":""},{"id":150,"name":"Time of Event (Mountain Time)","value":"18:18:17"},{"id":151,"name":"Denver Issue ID","value":""},{"id":178,"name":"Operational Impact","value":"Yes"},{"id":179,"name":"Denver Segment Assigned","value":""}]}} | curl -X POST -H "Content-Type: application/json" -H "X-Redmine-API-Key: d6333d4a04012a730768444271f8ca06482dae87" https://secure.xorail.net/redmine/issues.json --data @-</v>
      </c>
      <c r="X19" s="55"/>
      <c r="Y19" s="55"/>
      <c r="Z19" s="55"/>
    </row>
    <row r="20" spans="1:26" s="1" customFormat="1" x14ac:dyDescent="0.25">
      <c r="A20" s="38">
        <v>42613.277199074073</v>
      </c>
      <c r="B20" s="33" t="s">
        <v>312</v>
      </c>
      <c r="C20" s="33" t="s">
        <v>400</v>
      </c>
      <c r="D20" s="33" t="s">
        <v>49</v>
      </c>
      <c r="E20" s="33" t="s">
        <v>56</v>
      </c>
      <c r="F20" s="49">
        <v>450</v>
      </c>
      <c r="G20" s="49">
        <v>617</v>
      </c>
      <c r="H20" s="49">
        <v>187770</v>
      </c>
      <c r="I20" s="33" t="s">
        <v>57</v>
      </c>
      <c r="J20" s="49">
        <v>190834</v>
      </c>
      <c r="K20" s="33" t="s">
        <v>52</v>
      </c>
      <c r="L20" s="92" t="str">
        <f>VLOOKUP(C20,'Trips&amp;Operators'!$C$1:$E$9999,3,0)</f>
        <v>STRICKLAND</v>
      </c>
      <c r="M20" s="131" t="s">
        <v>86</v>
      </c>
      <c r="N20" s="10"/>
      <c r="O20" s="33"/>
      <c r="P20" s="108" t="str">
        <f>VLOOKUP(C20,'Train Runs'!$A$13:$AE$10013,31,0)</f>
        <v>aws s3 cp s3://rtdc.mdm.uploadarchive/RTDC4016/2016-08-31/ "%USERPROFILE%\AppData\Local\Temp\OnboardLogs"\RTDC4016\2016-08-31 --recursive &amp; "%USERPROFILE%\Documents\GitHub\mrs-test-scripts\Headless Mode &amp; Sideloading\WalkAndUnGZ.bat" "%USERPROFILE%\AppData\Local\Temp\OnboardLogs"\RTDC4016\2016-08-31 &amp; aws s3 cp s3://rtdc.mdm.uploadarchive/RTDC4016/2016-09-01/ "%USERPROFILE%\AppData\Local\Temp\OnboardLogs"\RTDC4016\2016-09-01 --recursive &amp; "%USERPROFILE%\Documents\GitHub\mrs-test-scripts\Headless Mode &amp; Sideloading\WalkAndUnGZ.bat" "%USERPROFILE%\AppData\Local\Temp\OnboardLogs"\RTDC4016\2016-09-01</v>
      </c>
      <c r="Q20" s="111" t="str">
        <f>VLOOKUP(C20,'Train Runs'!$A$13:$AE$10013,22,0)</f>
        <v>https://search-rtdc-monitor-bjffxe2xuh6vdkpspy63sjmuny.us-east-1.es.amazonaws.com/_plugin/kibana/#/discover/Steve-Slow-Train-Analysis-(2080s-and-2083s)?_g=(refreshInterval:(display:Off,section:0,value:0),time:(from:'2016-08-31 05:07:02-0600',mode:absolute,to:'2016-08-31 07:47: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4016%22')),sort:!(Time,asc))</v>
      </c>
      <c r="R20" s="113" t="str">
        <f t="shared" si="0"/>
        <v>"C:\Program Files (x86)\AstroGrep\AstroGrep.exe" /spath="%USERPROFILE%\AppData\Local\Temp\OnboardLogs" /stypes="*4016*201608311*" /stext=" 12:.+((SYSTEM_STATE.+slice.+state.+changed )|(ment ac)|(system.+state.+changed )|(\|lc)|(penalty)|(\[timeout)|(PRM\|1\|D)|(kpr)|(kdp))" /e /r /s</v>
      </c>
      <c r="S20" s="9" t="str">
        <f t="shared" si="1"/>
        <v>4016</v>
      </c>
      <c r="T20" s="38">
        <f t="shared" si="2"/>
        <v>42613.527199074073</v>
      </c>
      <c r="U20" s="52" t="str">
        <f t="shared" si="3"/>
        <v>EC</v>
      </c>
      <c r="V20" s="52" t="str">
        <f t="shared" si="4"/>
        <v>KEEP</v>
      </c>
      <c r="W20" s="149" t="str">
        <f t="shared" si="5"/>
        <v>echo {"issue":{"subject":"","project_id":79,"tracker_id":40,"status_id":1,"priority_id":2,"assigned_to_id":23,"start_date":"2016-08-31","description":"","custom_fields":[{"id":1,"name":"Subdivision","value":"EC"},{"id":4,"name":"Milepost","value":"19.0834"},{"id":17,"name":"Train ID","value":"119-31"},{"id":16,"name":"Locomotive ID","value":"4016"},{"id":130,"name":"Impact","value":""},{"id":150,"name":"Time of Event (Mountain Time)","value":"06:39:10"},{"id":151,"name":"Denver Issue ID","value":""},{"id":178,"name":"Operational Impact","value":"Yes"},{"id":179,"name":"Denver Segment Assigned","value":""}]}} | curl -X POST -H "Content-Type: application/json" -H "X-Redmine-API-Key: d6333d4a04012a730768444271f8ca06482dae87" https://secure.xorail.net/redmine/issues.json --data @-</v>
      </c>
      <c r="X20" s="55"/>
      <c r="Y20" s="55"/>
      <c r="Z20" s="55"/>
    </row>
    <row r="21" spans="1:26" s="1" customFormat="1" x14ac:dyDescent="0.25">
      <c r="A21" s="38">
        <v>42613.629837962966</v>
      </c>
      <c r="B21" s="33" t="s">
        <v>172</v>
      </c>
      <c r="C21" s="33" t="s">
        <v>504</v>
      </c>
      <c r="D21" s="33" t="s">
        <v>49</v>
      </c>
      <c r="E21" s="33" t="s">
        <v>56</v>
      </c>
      <c r="F21" s="49">
        <v>150</v>
      </c>
      <c r="G21" s="49">
        <v>269</v>
      </c>
      <c r="H21" s="49">
        <v>229350</v>
      </c>
      <c r="I21" s="33" t="s">
        <v>57</v>
      </c>
      <c r="J21" s="49">
        <v>230436</v>
      </c>
      <c r="K21" s="33" t="s">
        <v>52</v>
      </c>
      <c r="L21" s="92" t="str">
        <f>VLOOKUP(C21,'Trips&amp;Operators'!$C$1:$E$9999,3,0)</f>
        <v>ARVIDSON</v>
      </c>
      <c r="M21" s="131" t="s">
        <v>86</v>
      </c>
      <c r="N21" s="10"/>
      <c r="O21" s="33"/>
      <c r="P21" s="108" t="str">
        <f>VLOOKUP(C21,'Train Runs'!$A$13:$AE$10013,31,0)</f>
        <v>aws s3 cp s3://rtdc.mdm.uploadarchive/RTDC4002/2016-08-31/ "%USERPROFILE%\AppData\Local\Temp\OnboardLogs"\RTDC4002\2016-08-31 --recursive &amp; "%USERPROFILE%\Documents\GitHub\mrs-test-scripts\Headless Mode &amp; Sideloading\WalkAndUnGZ.bat" "%USERPROFILE%\AppData\Local\Temp\OnboardLogs"\RTDC4002\2016-08-31 &amp; aws s3 cp s3://rtdc.mdm.uploadarchive/RTDC4002/2016-09-01/ "%USERPROFILE%\AppData\Local\Temp\OnboardLogs"\RTDC4002\2016-09-01 --recursive &amp; "%USERPROFILE%\Documents\GitHub\mrs-test-scripts\Headless Mode &amp; Sideloading\WalkAndUnGZ.bat" "%USERPROFILE%\AppData\Local\Temp\OnboardLogs"\RTDC4002\2016-09-01</v>
      </c>
      <c r="Q21" s="111" t="str">
        <f>VLOOKUP(C21,'Train Runs'!$A$13:$AE$10013,22,0)</f>
        <v>https://search-rtdc-monitor-bjffxe2xuh6vdkpspy63sjmuny.us-east-1.es.amazonaws.com/_plugin/kibana/#/discover/Steve-Slow-Train-Analysis-(2080s-and-2083s)?_g=(refreshInterval:(display:Off,section:0,value:0),time:(from:'2016-08-31 13:28:20-0600',mode:absolute,to:'2016-08-31 16:09:07-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4002%22')),sort:!(Time,asc))</v>
      </c>
      <c r="R21" s="113" t="str">
        <f t="shared" si="0"/>
        <v>"C:\Program Files (x86)\AstroGrep\AstroGrep.exe" /spath="%USERPROFILE%\AppData\Local\Temp\OnboardLogs" /stypes="*4002*201608312*" /stext=" 21:.+((SYSTEM_STATE.+slice.+state.+changed )|(ment ac)|(system.+state.+changed )|(\|lc)|(penalty)|(\[timeout)|(PRM\|1\|D)|(kpr)|(kdp))" /e /r /s</v>
      </c>
      <c r="S21" s="9" t="str">
        <f t="shared" si="1"/>
        <v>4002</v>
      </c>
      <c r="T21" s="38">
        <f t="shared" si="2"/>
        <v>42613.879837962966</v>
      </c>
      <c r="U21" s="52" t="str">
        <f t="shared" si="3"/>
        <v>EC</v>
      </c>
      <c r="V21" s="52" t="str">
        <f t="shared" si="4"/>
        <v>KEEP</v>
      </c>
      <c r="W21" s="149" t="str">
        <f t="shared" si="5"/>
        <v>echo {"issue":{"subject":"","project_id":79,"tracker_id":40,"status_id":1,"priority_id":2,"assigned_to_id":23,"start_date":"2016-08-31","description":"","custom_fields":[{"id":1,"name":"Subdivision","value":"EC"},{"id":4,"name":"Milepost","value":"23.0436"},{"id":17,"name":"Train ID","value":"187-31"},{"id":16,"name":"Locomotive ID","value":"4002"},{"id":130,"name":"Impact","value":""},{"id":150,"name":"Time of Event (Mountain Time)","value":"15:06:58"},{"id":151,"name":"Denver Issue ID","value":""},{"id":178,"name":"Operational Impact","value":"Yes"},{"id":179,"name":"Denver Segment Assigned","value":""}]}} | curl -X POST -H "Content-Type: application/json" -H "X-Redmine-API-Key: d6333d4a04012a730768444271f8ca06482dae87" https://secure.xorail.net/redmine/issues.json --data @-</v>
      </c>
      <c r="X21" s="55"/>
      <c r="Y21" s="55"/>
      <c r="Z21" s="55"/>
    </row>
    <row r="22" spans="1:26" x14ac:dyDescent="0.25">
      <c r="A22" s="38">
        <v>42613.688020833331</v>
      </c>
      <c r="B22" s="33" t="s">
        <v>147</v>
      </c>
      <c r="C22" s="33" t="s">
        <v>515</v>
      </c>
      <c r="D22" s="33" t="s">
        <v>49</v>
      </c>
      <c r="E22" s="33" t="s">
        <v>56</v>
      </c>
      <c r="F22" s="49">
        <v>150</v>
      </c>
      <c r="G22" s="49">
        <v>249</v>
      </c>
      <c r="H22" s="49">
        <v>229534</v>
      </c>
      <c r="I22" s="33" t="s">
        <v>57</v>
      </c>
      <c r="J22" s="49">
        <v>230436</v>
      </c>
      <c r="K22" s="33" t="s">
        <v>52</v>
      </c>
      <c r="L22" s="92" t="str">
        <f>VLOOKUP(C22,'Trips&amp;Operators'!$C$1:$E$9999,3,0)</f>
        <v>YOUNG</v>
      </c>
      <c r="M22" s="131" t="s">
        <v>86</v>
      </c>
      <c r="N22" s="10"/>
      <c r="O22" s="33"/>
      <c r="P22" s="108" t="str">
        <f>VLOOKUP(C22,'Train Runs'!$A$13:$AE$10013,31,0)</f>
        <v>aws s3 cp s3://rtdc.mdm.uploadarchive/RTDC4042/2016-08-31/ "%USERPROFILE%\AppData\Local\Temp\OnboardLogs"\RTDC4042\2016-08-31 --recursive &amp; "%USERPROFILE%\Documents\GitHub\mrs-test-scripts\Headless Mode &amp; Sideloading\WalkAndUnGZ.bat" "%USERPROFILE%\AppData\Local\Temp\OnboardLogs"\RTDC4042\2016-08-31 &amp; aws s3 cp s3://rtdc.mdm.uploadarchive/RTDC4042/2016-09-01/ "%USERPROFILE%\AppData\Local\Temp\OnboardLogs"\RTDC4042\2016-09-01 --recursive &amp; "%USERPROFILE%\Documents\GitHub\mrs-test-scripts\Headless Mode &amp; Sideloading\WalkAndUnGZ.bat" "%USERPROFILE%\AppData\Local\Temp\OnboardLogs"\RTDC4042\2016-09-01</v>
      </c>
      <c r="Q22" s="111" t="str">
        <f>VLOOKUP(C22,'Train Runs'!$A$13:$AE$10013,22,0)</f>
        <v>https://search-rtdc-monitor-bjffxe2xuh6vdkpspy63sjmuny.us-east-1.es.amazonaws.com/_plugin/kibana/#/discover/Steve-Slow-Train-Analysis-(2080s-and-2083s)?_g=(refreshInterval:(display:Off,section:0,value:0),time:(from:'2016-08-31 14:43:40-0600',mode:absolute,to:'2016-08-31 17:32:49-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4042%22')),sort:!(Time,asc))</v>
      </c>
      <c r="R22" s="113" t="str">
        <f t="shared" si="0"/>
        <v>"C:\Program Files (x86)\AstroGrep\AstroGrep.exe" /spath="%USERPROFILE%\AppData\Local\Temp\OnboardLogs" /stypes="*4042*201608312*" /stext=" 22:.+((SYSTEM_STATE.+slice.+state.+changed )|(ment ac)|(system.+state.+changed )|(\|lc)|(penalty)|(\[timeout)|(PRM\|1\|D)|(kpr)|(kdp))" /e /r /s</v>
      </c>
      <c r="S22" s="9" t="str">
        <f t="shared" si="1"/>
        <v>4042</v>
      </c>
      <c r="T22" s="38">
        <f t="shared" si="2"/>
        <v>42613.938020833331</v>
      </c>
      <c r="U22" s="52" t="str">
        <f t="shared" si="3"/>
        <v>EC</v>
      </c>
      <c r="V22" s="52" t="str">
        <f t="shared" si="4"/>
        <v>KEEP</v>
      </c>
      <c r="W22" s="149" t="str">
        <f t="shared" si="5"/>
        <v>echo {"issue":{"subject":"","project_id":79,"tracker_id":40,"status_id":1,"priority_id":2,"assigned_to_id":23,"start_date":"2016-08-31","description":"","custom_fields":[{"id":1,"name":"Subdivision","value":"EC"},{"id":4,"name":"Milepost","value":"23.0436"},{"id":17,"name":"Train ID","value":"197-31"},{"id":16,"name":"Locomotive ID","value":"4042"},{"id":130,"name":"Impact","value":""},{"id":150,"name":"Time of Event (Mountain Time)","value":"16:30:45"},{"id":151,"name":"Denver Issue ID","value":""},{"id":178,"name":"Operational Impact","value":"Yes"},{"id":179,"name":"Denver Segment Assigned","value":""}]}} | curl -X POST -H "Content-Type: application/json" -H "X-Redmine-API-Key: d6333d4a04012a730768444271f8ca06482dae87" https://secure.xorail.net/redmine/issues.json --data @-</v>
      </c>
      <c r="X22" s="55"/>
      <c r="Y22" s="55"/>
      <c r="Z22" s="55"/>
    </row>
    <row r="23" spans="1:26" x14ac:dyDescent="0.25">
      <c r="A23" s="38">
        <v>42613.290011574078</v>
      </c>
      <c r="B23" s="33" t="s">
        <v>305</v>
      </c>
      <c r="C23" s="33" t="s">
        <v>404</v>
      </c>
      <c r="D23" s="33" t="s">
        <v>111</v>
      </c>
      <c r="E23" s="33" t="s">
        <v>56</v>
      </c>
      <c r="F23" s="49">
        <v>350</v>
      </c>
      <c r="G23" s="49">
        <v>409</v>
      </c>
      <c r="H23" s="49">
        <v>229117</v>
      </c>
      <c r="I23" s="33" t="s">
        <v>57</v>
      </c>
      <c r="J23" s="49">
        <v>232107</v>
      </c>
      <c r="K23" s="33" t="s">
        <v>53</v>
      </c>
      <c r="L23" s="92" t="str">
        <f>VLOOKUP(C23,'Trips&amp;Operators'!$C$1:$E$9999,3,0)</f>
        <v>STRICKLAND</v>
      </c>
      <c r="M23" s="131" t="s">
        <v>86</v>
      </c>
      <c r="N23" s="10"/>
      <c r="O23" s="33"/>
      <c r="P23" s="108" t="str">
        <f>VLOOKUP(C23,'Train Runs'!$A$13:$AE$10013,31,0)</f>
        <v>aws s3 cp s3://rtdc.mdm.uploadarchive/RTDC4015/2016-08-31/ "%USERPROFILE%\AppData\Local\Temp\OnboardLogs"\RTDC4015\2016-08-31 --recursive &amp; "%USERPROFILE%\Documents\GitHub\mrs-test-scripts\Headless Mode &amp; Sideloading\WalkAndUnGZ.bat" "%USERPROFILE%\AppData\Local\Temp\OnboardLogs"\RTDC4015\2016-08-31 &amp; aws s3 cp s3://rtdc.mdm.uploadarchive/RTDC4015/2016-09-01/ "%USERPROFILE%\AppData\Local\Temp\OnboardLogs"\RTDC4015\2016-09-01 --recursive &amp; "%USERPROFILE%\Documents\GitHub\mrs-test-scripts\Headless Mode &amp; Sideloading\WalkAndUnGZ.bat" "%USERPROFILE%\AppData\Local\Temp\OnboardLogs"\RTDC4015\2016-09-01</v>
      </c>
      <c r="Q23" s="111" t="str">
        <f>VLOOKUP(C23,'Train Runs'!$A$13:$AE$10013,22,0)</f>
        <v>https://search-rtdc-monitor-bjffxe2xuh6vdkpspy63sjmuny.us-east-1.es.amazonaws.com/_plugin/kibana/#/discover/Steve-Slow-Train-Analysis-(2080s-and-2083s)?_g=(refreshInterval:(display:Off,section:0,value:0),time:(from:'2016-08-31 05:49:12-0600',mode:absolute,to:'2016-08-31 08:37:16-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4015%22')),sort:!(Time,asc))</v>
      </c>
      <c r="R23" s="113" t="str">
        <f t="shared" si="0"/>
        <v>"C:\Program Files (x86)\AstroGrep\AstroGrep.exe" /spath="%USERPROFILE%\AppData\Local\Temp\OnboardLogs" /stypes="*4015*201608311*" /stext=" 12:.+((SYSTEM_STATE.+slice.+state.+changed )|(ment ac)|(system.+state.+changed )|(\|lc)|(penalty)|(\[timeout)|(PRM\|1\|D)|(kpr)|(kdp))" /e /r /s</v>
      </c>
      <c r="S23" s="9" t="str">
        <f t="shared" si="1"/>
        <v>4015</v>
      </c>
      <c r="T23" s="38">
        <f t="shared" si="2"/>
        <v>42613.540011574078</v>
      </c>
      <c r="U23" s="52" t="str">
        <f t="shared" si="3"/>
        <v>EC</v>
      </c>
      <c r="V23" s="52" t="str">
        <f t="shared" si="4"/>
        <v>KEEP</v>
      </c>
      <c r="W23" s="149" t="str">
        <f t="shared" si="5"/>
        <v>echo {"issue":{"subject":"","project_id":79,"tracker_id":40,"status_id":1,"priority_id":2,"assigned_to_id":23,"start_date":"2016-08-31","description":"","custom_fields":[{"id":1,"name":"Subdivision","value":"EC"},{"id":4,"name":"Milepost","value":"23.2107"},{"id":17,"name":"Train ID","value":"120-31"},{"id":16,"name":"Locomotive ID","value":"4015"},{"id":130,"name":"Impact","value":""},{"id":150,"name":"Time of Event (Mountain Time)","value":"06:57:37"},{"id":151,"name":"Denver Issue ID","value":""},{"id":178,"name":"Operational Impact","value":"Yes"},{"id":179,"name":"Denver Segment Assigned","value":""}]}} | curl -X POST -H "Content-Type: application/json" -H "X-Redmine-API-Key: d6333d4a04012a730768444271f8ca06482dae87" https://secure.xorail.net/redmine/issues.json --data @-</v>
      </c>
      <c r="X23" s="55"/>
      <c r="Y23" s="55"/>
      <c r="Z23" s="55"/>
    </row>
    <row r="24" spans="1:26" x14ac:dyDescent="0.25">
      <c r="A24" s="38">
        <v>42613.7737037037</v>
      </c>
      <c r="B24" s="33" t="s">
        <v>312</v>
      </c>
      <c r="C24" s="33" t="s">
        <v>545</v>
      </c>
      <c r="D24" s="33" t="s">
        <v>111</v>
      </c>
      <c r="E24" s="33" t="s">
        <v>54</v>
      </c>
      <c r="F24" s="49">
        <v>0</v>
      </c>
      <c r="G24" s="49">
        <v>76</v>
      </c>
      <c r="H24" s="49">
        <v>1855</v>
      </c>
      <c r="I24" s="33" t="s">
        <v>55</v>
      </c>
      <c r="J24" s="49">
        <v>1692</v>
      </c>
      <c r="K24" s="33" t="s">
        <v>52</v>
      </c>
      <c r="L24" s="92" t="str">
        <f>VLOOKUP(C24,'Trips&amp;Operators'!$C$1:$E$9999,3,0)</f>
        <v>COOLAHAN</v>
      </c>
      <c r="M24" s="131" t="s">
        <v>86</v>
      </c>
      <c r="N24" s="10" t="s">
        <v>736</v>
      </c>
      <c r="O24" s="33"/>
      <c r="P24" s="108" t="str">
        <f>VLOOKUP(C24,'Train Runs'!$A$13:$AE$10013,31,0)</f>
        <v>aws s3 cp s3://rtdc.mdm.uploadarchive/RTDC4016/2016-08-31/ "%USERPROFILE%\AppData\Local\Temp\OnboardLogs"\RTDC4016\2016-08-31 --recursive &amp; "%USERPROFILE%\Documents\GitHub\mrs-test-scripts\Headless Mode &amp; Sideloading\WalkAndUnGZ.bat" "%USERPROFILE%\AppData\Local\Temp\OnboardLogs"\RTDC4016\2016-08-31 &amp; aws s3 cp s3://rtdc.mdm.uploadarchive/RTDC4016/2016-09-01/ "%USERPROFILE%\AppData\Local\Temp\OnboardLogs"\RTDC4016\2016-09-01 --recursive &amp; "%USERPROFILE%\Documents\GitHub\mrs-test-scripts\Headless Mode &amp; Sideloading\WalkAndUnGZ.bat" "%USERPROFILE%\AppData\Local\Temp\OnboardLogs"\RTDC4016\2016-09-01</v>
      </c>
      <c r="Q24" s="111" t="str">
        <f>VLOOKUP(C24,'Train Runs'!$A$13:$AE$10013,22,0)</f>
        <v>https://search-rtdc-monitor-bjffxe2xuh6vdkpspy63sjmuny.us-east-1.es.amazonaws.com/_plugin/kibana/#/discover/Steve-Slow-Train-Analysis-(2080s-and-2083s)?_g=(refreshInterval:(display:Off,section:0,value:0),time:(from:'2016-08-31 17:38:31-0600',mode:absolute,to:'2016-08-31 20:15:14-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4016%22')),sort:!(Time,asc))</v>
      </c>
      <c r="R24" s="113" t="str">
        <f t="shared" si="0"/>
        <v>"C:\Program Files (x86)\AstroGrep\AstroGrep.exe" /spath="%USERPROFILE%\AppData\Local\Temp\OnboardLogs" /stypes="*4016*201609010*" /stext=" 00:.+((SYSTEM_STATE.+slice.+state.+changed )|(ment ac)|(system.+state.+changed )|(\|lc)|(penalty)|(\[timeout)|(PRM\|1\|D)|(kpr)|(kdp))" /e /r /s</v>
      </c>
      <c r="S24" s="9" t="str">
        <f t="shared" si="1"/>
        <v>4016</v>
      </c>
      <c r="T24" s="38">
        <f t="shared" si="2"/>
        <v>42614.0237037037</v>
      </c>
      <c r="U24" s="52" t="str">
        <f t="shared" si="3"/>
        <v>EC</v>
      </c>
      <c r="V24" s="52" t="str">
        <f t="shared" si="4"/>
        <v>KEEP</v>
      </c>
      <c r="W24" s="149" t="str">
        <f t="shared" si="5"/>
        <v>echo {"issue":{"subject":"Went active too close to DUS 2N","project_id":79,"tracker_id":40,"status_id":1,"priority_id":2,"assigned_to_id":23,"start_date":"2016-08-31","description":"","custom_fields":[{"id":1,"name":"Subdivision","value":"EC"},{"id":4,"name":"Milepost","value":"0.1692"},{"id":17,"name":"Train ID","value":"219-31"},{"id":16,"name":"Locomotive ID","value":"4016"},{"id":130,"name":"Impact","value":""},{"id":150,"name":"Time of Event (Mountain Time)","value":"18:34:08"},{"id":151,"name":"Denver Issue ID","value":""},{"id":178,"name":"Operational Impact","value":"Yes"},{"id":179,"name":"Denver Segment Assigned","value":""}]}} | curl -X POST -H "Content-Type: application/json" -H "X-Redmine-API-Key: d6333d4a04012a730768444271f8ca06482dae87" https://secure.xorail.net/redmine/issues.json --data @-</v>
      </c>
      <c r="X24" s="55"/>
      <c r="Y24" s="55"/>
      <c r="Z24" s="55"/>
    </row>
    <row r="25" spans="1:26" ht="15" customHeight="1" x14ac:dyDescent="0.25">
      <c r="A25" s="38">
        <v>42613.277013888888</v>
      </c>
      <c r="B25" s="33" t="s">
        <v>718</v>
      </c>
      <c r="C25" s="33" t="s">
        <v>394</v>
      </c>
      <c r="D25" s="33" t="s">
        <v>49</v>
      </c>
      <c r="E25" s="33" t="s">
        <v>54</v>
      </c>
      <c r="F25" s="49">
        <v>0</v>
      </c>
      <c r="G25" s="49">
        <v>370</v>
      </c>
      <c r="H25" s="49">
        <v>129145</v>
      </c>
      <c r="I25" s="33" t="s">
        <v>55</v>
      </c>
      <c r="J25" s="49">
        <v>127587</v>
      </c>
      <c r="K25" s="33" t="s">
        <v>53</v>
      </c>
      <c r="L25" s="92" t="str">
        <f>VLOOKUP(C25,'Trips&amp;Operators'!$C$1:$E$9999,3,0)</f>
        <v>SMITH</v>
      </c>
      <c r="M25" s="131" t="s">
        <v>86</v>
      </c>
      <c r="N25" s="10" t="s">
        <v>274</v>
      </c>
      <c r="O25" s="33"/>
      <c r="P25" s="108" t="str">
        <f>VLOOKUP(C25,'Train Runs'!$A$13:$AE$10013,31,0)</f>
        <v>aws s3 cp s3://rtdc.mdm.uploadarchive/RTDC4043/2016-08-31/ "%USERPROFILE%\AppData\Local\Temp\OnboardLogs"\RTDC4043\2016-08-31 --recursive &amp; "%USERPROFILE%\Documents\GitHub\mrs-test-scripts\Headless Mode &amp; Sideloading\WalkAndUnGZ.bat" "%USERPROFILE%\AppData\Local\Temp\OnboardLogs"\RTDC4043\2016-08-31 &amp; aws s3 cp s3://rtdc.mdm.uploadarchive/RTDC4043/2016-09-01/ "%USERPROFILE%\AppData\Local\Temp\OnboardLogs"\RTDC4043\2016-09-01 --recursive &amp; "%USERPROFILE%\Documents\GitHub\mrs-test-scripts\Headless Mode &amp; Sideloading\WalkAndUnGZ.bat" "%USERPROFILE%\AppData\Local\Temp\OnboardLogs"\RTDC4043\2016-09-01</v>
      </c>
      <c r="Q25" s="111" t="str">
        <f>VLOOKUP(C25,'Train Runs'!$A$13:$AE$10013,22,0)</f>
        <v>https://search-rtdc-monitor-bjffxe2xuh6vdkpspy63sjmuny.us-east-1.es.amazonaws.com/_plugin/kibana/#/discover/Steve-Slow-Train-Analysis-(2080s-and-2083s)?_g=(refreshInterval:(display:Off,section:0,value:0),time:(from:'2016-08-31 05:10:47-0600',mode:absolute,to:'2016-08-31 08:04:10-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4043%22')),sort:!(Time,asc))</v>
      </c>
      <c r="R25" s="113" t="str">
        <f t="shared" si="0"/>
        <v>"C:\Program Files (x86)\AstroGrep\AstroGrep.exe" /spath="%USERPROFILE%\AppData\Local\Temp\OnboardLogs" /stypes="*4043*201608311*" /stext=" 12:.+((SYSTEM_STATE.+slice.+state.+changed )|(ment ac)|(system.+state.+changed )|(\|lc)|(penalty)|(\[timeout)|(PRM\|1\|D)|(kpr)|(kdp))" /e /r /s</v>
      </c>
      <c r="S25" s="9" t="str">
        <f t="shared" si="1"/>
        <v>4043</v>
      </c>
      <c r="T25" s="38">
        <f t="shared" si="2"/>
        <v>42613.527013888888</v>
      </c>
      <c r="U25" s="52" t="str">
        <f t="shared" si="3"/>
        <v>EC</v>
      </c>
      <c r="V25" s="52" t="str">
        <f t="shared" si="4"/>
        <v>KEEP</v>
      </c>
      <c r="W25" s="149" t="str">
        <f t="shared" si="5"/>
        <v>echo {"issue":{"subject":"40th 4S STOP, cleared shortly","project_id":79,"tracker_id":40,"status_id":1,"priority_id":2,"assigned_to_id":23,"start_date":"2016-08-31","description":"","custom_fields":[{"id":1,"name":"Subdivision","value":"EC"},{"id":4,"name":"Milepost","value":"12.7587"},{"id":17,"name":"Train ID","value":"116-31"},{"id":16,"name":"Locomotive ID","value":"4043"},{"id":130,"name":"Impact","value":""},{"id":150,"name":"Time of Event (Mountain Time)","value":"06:38:54"},{"id":151,"name":"Denver Issue ID","value":""},{"id":178,"name":"Operational Impact","value":"Yes"},{"id":179,"name":"Denver Segment Assigned","value":""}]}} | curl -X POST -H "Content-Type: application/json" -H "X-Redmine-API-Key: d6333d4a04012a730768444271f8ca06482dae87" https://secure.xorail.net/redmine/issues.json --data @-</v>
      </c>
      <c r="X25" s="55"/>
      <c r="Y25" s="55"/>
      <c r="Z25" s="55"/>
    </row>
    <row r="26" spans="1:26" x14ac:dyDescent="0.25">
      <c r="A26" s="38">
        <v>42613.396689814814</v>
      </c>
      <c r="B26" s="33" t="s">
        <v>176</v>
      </c>
      <c r="C26" s="33" t="s">
        <v>434</v>
      </c>
      <c r="D26" s="33" t="s">
        <v>49</v>
      </c>
      <c r="E26" s="33" t="s">
        <v>54</v>
      </c>
      <c r="F26" s="49">
        <v>0</v>
      </c>
      <c r="G26" s="49">
        <v>533</v>
      </c>
      <c r="H26" s="49">
        <v>195364</v>
      </c>
      <c r="I26" s="33" t="s">
        <v>55</v>
      </c>
      <c r="J26" s="49">
        <v>191723</v>
      </c>
      <c r="K26" s="33" t="s">
        <v>53</v>
      </c>
      <c r="L26" s="92" t="str">
        <f>VLOOKUP(C26,'Trips&amp;Operators'!$C$1:$E$9999,3,0)</f>
        <v>SANTIZO</v>
      </c>
      <c r="M26" s="131" t="s">
        <v>86</v>
      </c>
      <c r="N26" s="10" t="s">
        <v>369</v>
      </c>
      <c r="O26" s="33"/>
      <c r="P26" s="108" t="str">
        <f>VLOOKUP(C26,'Train Runs'!$A$13:$AE$10013,31,0)</f>
        <v>aws s3 cp s3://rtdc.mdm.uploadarchive/RTDC4041/2016-08-31/ "%USERPROFILE%\AppData\Local\Temp\OnboardLogs"\RTDC4041\2016-08-31 --recursive &amp; "%USERPROFILE%\Documents\GitHub\mrs-test-scripts\Headless Mode &amp; Sideloading\WalkAndUnGZ.bat" "%USERPROFILE%\AppData\Local\Temp\OnboardLogs"\RTDC4041\2016-08-31 &amp; aws s3 cp s3://rtdc.mdm.uploadarchive/RTDC4041/2016-09-01/ "%USERPROFILE%\AppData\Local\Temp\OnboardLogs"\RTDC4041\2016-09-01 --recursive &amp; "%USERPROFILE%\Documents\GitHub\mrs-test-scripts\Headless Mode &amp; Sideloading\WalkAndUnGZ.bat" "%USERPROFILE%\AppData\Local\Temp\OnboardLogs"\RTDC4041\2016-09-01</v>
      </c>
      <c r="Q26" s="111" t="str">
        <f>VLOOKUP(C26,'Train Runs'!$A$13:$AE$10013,22,0)</f>
        <v>https://search-rtdc-monitor-bjffxe2xuh6vdkpspy63sjmuny.us-east-1.es.amazonaws.com/_plugin/kibana/#/discover/Steve-Slow-Train-Analysis-(2080s-and-2083s)?_g=(refreshInterval:(display:Off,section:0,value:0),time:(from:'2016-08-31 08:09:15-0600',mode:absolute,to:'2016-08-31 11:06:33-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4041%22')),sort:!(Time,asc))</v>
      </c>
      <c r="R26" s="113" t="str">
        <f t="shared" si="0"/>
        <v>"C:\Program Files (x86)\AstroGrep\AstroGrep.exe" /spath="%USERPROFILE%\AppData\Local\Temp\OnboardLogs" /stypes="*4041*201608311*" /stext=" 15:.+((SYSTEM_STATE.+slice.+state.+changed )|(ment ac)|(system.+state.+changed )|(\|lc)|(penalty)|(\[timeout)|(PRM\|1\|D)|(kpr)|(kdp))" /e /r /s</v>
      </c>
      <c r="S26" s="9" t="str">
        <f t="shared" si="1"/>
        <v>4041</v>
      </c>
      <c r="T26" s="38">
        <f t="shared" si="2"/>
        <v>42613.646689814814</v>
      </c>
      <c r="U26" s="52" t="str">
        <f t="shared" si="3"/>
        <v>EC</v>
      </c>
      <c r="V26" s="52" t="str">
        <f t="shared" si="4"/>
        <v>KEEP</v>
      </c>
      <c r="W26" s="149" t="str">
        <f t="shared" si="5"/>
        <v>echo {"issue":{"subject":"Pena 4S STOP, cleared shortly","project_id":79,"tracker_id":40,"status_id":1,"priority_id":2,"assigned_to_id":23,"start_date":"2016-08-31","description":"","custom_fields":[{"id":1,"name":"Subdivision","value":"EC"},{"id":4,"name":"Milepost","value":"19.1723"},{"id":17,"name":"Train ID","value":"140-31"},{"id":16,"name":"Locomotive ID","value":"4041"},{"id":130,"name":"Impact","value":""},{"id":150,"name":"Time of Event (Mountain Time)","value":"09:31:14"},{"id":151,"name":"Denver Issue ID","value":""},{"id":178,"name":"Operational Impact","value":"Yes"},{"id":179,"name":"Denver Segment Assigned","value":""}]}} | curl -X POST -H "Content-Type: application/json" -H "X-Redmine-API-Key: d6333d4a04012a730768444271f8ca06482dae87" https://secure.xorail.net/redmine/issues.json --data @-</v>
      </c>
      <c r="X26" s="55"/>
      <c r="Y26" s="55"/>
      <c r="Z26" s="55"/>
    </row>
    <row r="27" spans="1:26" x14ac:dyDescent="0.25">
      <c r="A27" s="38">
        <v>42613.305694444447</v>
      </c>
      <c r="B27" s="33" t="s">
        <v>719</v>
      </c>
      <c r="C27" s="33" t="s">
        <v>398</v>
      </c>
      <c r="D27" s="33" t="s">
        <v>49</v>
      </c>
      <c r="E27" s="33" t="s">
        <v>50</v>
      </c>
      <c r="F27" s="49">
        <v>0</v>
      </c>
      <c r="G27" s="49">
        <v>67</v>
      </c>
      <c r="H27" s="49">
        <v>216</v>
      </c>
      <c r="I27" s="33" t="s">
        <v>51</v>
      </c>
      <c r="J27" s="49">
        <v>1</v>
      </c>
      <c r="K27" s="33" t="s">
        <v>53</v>
      </c>
      <c r="L27" s="92" t="str">
        <f>VLOOKUP(C27,'Trips&amp;Operators'!$C$1:$E$9999,3,0)</f>
        <v>ARVIDSON</v>
      </c>
      <c r="M27" s="131" t="s">
        <v>86</v>
      </c>
      <c r="N27" s="10"/>
      <c r="O27" s="33"/>
      <c r="P27" s="108" t="str">
        <f>VLOOKUP(C27,'Train Runs'!$A$13:$AE$10013,31,0)</f>
        <v>aws s3 cp s3://rtdc.mdm.uploadarchive/RTDC4001/2016-08-31/ "%USERPROFILE%\AppData\Local\Temp\OnboardLogs"\RTDC4001\2016-08-31 --recursive &amp; "%USERPROFILE%\Documents\GitHub\mrs-test-scripts\Headless Mode &amp; Sideloading\WalkAndUnGZ.bat" "%USERPROFILE%\AppData\Local\Temp\OnboardLogs"\RTDC4001\2016-08-31 &amp; aws s3 cp s3://rtdc.mdm.uploadarchive/RTDC4001/2016-09-01/ "%USERPROFILE%\AppData\Local\Temp\OnboardLogs"\RTDC4001\2016-09-01 --recursive &amp; "%USERPROFILE%\Documents\GitHub\mrs-test-scripts\Headless Mode &amp; Sideloading\WalkAndUnGZ.bat" "%USERPROFILE%\AppData\Local\Temp\OnboardLogs"\RTDC4001\2016-09-01</v>
      </c>
      <c r="Q27" s="111" t="str">
        <f>VLOOKUP(C27,'Train Runs'!$A$13:$AE$10013,22,0)</f>
        <v>https://search-rtdc-monitor-bjffxe2xuh6vdkpspy63sjmuny.us-east-1.es.amazonaws.com/_plugin/kibana/#/discover/Steve-Slow-Train-Analysis-(2080s-and-2083s)?_g=(refreshInterval:(display:Off,section:0,value:0),time:(from:'2016-08-31 05:34:34-0600',mode:absolute,to:'2016-08-31 08:20:13-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4001%22')),sort:!(Time,asc))</v>
      </c>
      <c r="R27" s="113" t="str">
        <f t="shared" si="0"/>
        <v>"C:\Program Files (x86)\AstroGrep\AstroGrep.exe" /spath="%USERPROFILE%\AppData\Local\Temp\OnboardLogs" /stypes="*4001*201608311*" /stext=" 13:.+((SYSTEM_STATE.+slice.+state.+changed )|(ment ac)|(system.+state.+changed )|(\|lc)|(penalty)|(\[timeout)|(PRM\|1\|D)|(kpr)|(kdp))" /e /r /s</v>
      </c>
      <c r="S27" s="9" t="str">
        <f t="shared" si="1"/>
        <v>4001</v>
      </c>
      <c r="T27" s="38">
        <f t="shared" si="2"/>
        <v>42613.555694444447</v>
      </c>
      <c r="U27" s="52" t="str">
        <f t="shared" si="3"/>
        <v>EC</v>
      </c>
      <c r="V27" s="52" t="str">
        <f t="shared" si="4"/>
        <v>KEEP</v>
      </c>
      <c r="W27" s="149" t="str">
        <f t="shared" si="5"/>
        <v>echo {"issue":{"subject":"","project_id":79,"tracker_id":40,"status_id":1,"priority_id":2,"assigned_to_id":23,"start_date":"2016-08-31","description":"","custom_fields":[{"id":1,"name":"Subdivision","value":"EC"},{"id":4,"name":"Milepost","value":"0.0001"},{"id":17,"name":"Train ID","value":"118-31"},{"id":16,"name":"Locomotive ID","value":"4001"},{"id":130,"name":"Impact","value":""},{"id":150,"name":"Time of Event (Mountain Time)","value":"07:20:12"},{"id":151,"name":"Denver Issue ID","value":""},{"id":178,"name":"Operational Impact","value":"Yes"},{"id":179,"name":"Denver Segment Assigned","value":""}]}} | curl -X POST -H "Content-Type: application/json" -H "X-Redmine-API-Key: d6333d4a04012a730768444271f8ca06482dae87" https://secure.xorail.net/redmine/issues.json --data @-</v>
      </c>
      <c r="X27" s="55"/>
      <c r="Y27" s="55"/>
      <c r="Z27" s="55"/>
    </row>
    <row r="28" spans="1:26" x14ac:dyDescent="0.25">
      <c r="A28" s="38">
        <v>42613.453206018516</v>
      </c>
      <c r="B28" s="33" t="s">
        <v>719</v>
      </c>
      <c r="C28" s="33" t="s">
        <v>440</v>
      </c>
      <c r="D28" s="33" t="s">
        <v>49</v>
      </c>
      <c r="E28" s="33" t="s">
        <v>50</v>
      </c>
      <c r="F28" s="49">
        <v>0</v>
      </c>
      <c r="G28" s="49">
        <v>36</v>
      </c>
      <c r="H28" s="49">
        <v>147</v>
      </c>
      <c r="I28" s="33" t="s">
        <v>51</v>
      </c>
      <c r="J28" s="49">
        <v>1</v>
      </c>
      <c r="K28" s="33" t="s">
        <v>53</v>
      </c>
      <c r="L28" s="92" t="str">
        <f>VLOOKUP(C28,'Trips&amp;Operators'!$C$1:$E$9999,3,0)</f>
        <v>ARVIDSON</v>
      </c>
      <c r="M28" s="131" t="s">
        <v>86</v>
      </c>
      <c r="N28" s="10"/>
      <c r="O28" s="33"/>
      <c r="P28" s="108" t="str">
        <f>VLOOKUP(C28,'Train Runs'!$A$13:$AE$10013,31,0)</f>
        <v>aws s3 cp s3://rtdc.mdm.uploadarchive/RTDC4001/2016-08-31/ "%USERPROFILE%\AppData\Local\Temp\OnboardLogs"\RTDC4001\2016-08-31 --recursive &amp; "%USERPROFILE%\Documents\GitHub\mrs-test-scripts\Headless Mode &amp; Sideloading\WalkAndUnGZ.bat" "%USERPROFILE%\AppData\Local\Temp\OnboardLogs"\RTDC4001\2016-08-31 &amp; aws s3 cp s3://rtdc.mdm.uploadarchive/RTDC4001/2016-09-01/ "%USERPROFILE%\AppData\Local\Temp\OnboardLogs"\RTDC4001\2016-09-01 --recursive &amp; "%USERPROFILE%\Documents\GitHub\mrs-test-scripts\Headless Mode &amp; Sideloading\WalkAndUnGZ.bat" "%USERPROFILE%\AppData\Local\Temp\OnboardLogs"\RTDC4001\2016-09-01</v>
      </c>
      <c r="Q28" s="111" t="str">
        <f>VLOOKUP(C28,'Train Runs'!$A$13:$AE$10013,22,0)</f>
        <v>https://search-rtdc-monitor-bjffxe2xuh6vdkpspy63sjmuny.us-east-1.es.amazonaws.com/_plugin/kibana/#/discover/Steve-Slow-Train-Analysis-(2080s-and-2083s)?_g=(refreshInterval:(display:Off,section:0,value:0),time:(from:'2016-08-31 09:05:28-0600',mode:absolute,to:'2016-08-31 11:52:38-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4001%22')),sort:!(Time,asc))</v>
      </c>
      <c r="R28" s="113" t="str">
        <f t="shared" si="0"/>
        <v>"C:\Program Files (x86)\AstroGrep\AstroGrep.exe" /spath="%USERPROFILE%\AppData\Local\Temp\OnboardLogs" /stypes="*4001*201608311*" /stext=" 16:.+((SYSTEM_STATE.+slice.+state.+changed )|(ment ac)|(system.+state.+changed )|(\|lc)|(penalty)|(\[timeout)|(PRM\|1\|D)|(kpr)|(kdp))" /e /r /s</v>
      </c>
      <c r="S28" s="9" t="str">
        <f t="shared" si="1"/>
        <v>4001</v>
      </c>
      <c r="T28" s="38">
        <f t="shared" si="2"/>
        <v>42613.703206018516</v>
      </c>
      <c r="U28" s="52" t="str">
        <f t="shared" si="3"/>
        <v>EC</v>
      </c>
      <c r="V28" s="52" t="str">
        <f t="shared" si="4"/>
        <v>KEEP</v>
      </c>
      <c r="W28" s="149" t="str">
        <f t="shared" si="5"/>
        <v>echo {"issue":{"subject":"","project_id":79,"tracker_id":40,"status_id":1,"priority_id":2,"assigned_to_id":23,"start_date":"2016-08-31","description":"","custom_fields":[{"id":1,"name":"Subdivision","value":"EC"},{"id":4,"name":"Milepost","value":"0.0001"},{"id":17,"name":"Train ID","value":"146-31"},{"id":16,"name":"Locomotive ID","value":"4001"},{"id":130,"name":"Impact","value":""},{"id":150,"name":"Time of Event (Mountain Time)","value":"10:52:37"},{"id":151,"name":"Denver Issue ID","value":""},{"id":178,"name":"Operational Impact","value":"Yes"},{"id":179,"name":"Denver Segment Assigned","value":""}]}} | curl -X POST -H "Content-Type: application/json" -H "X-Redmine-API-Key: d6333d4a04012a730768444271f8ca06482dae87" https://secure.xorail.net/redmine/issues.json --data @-</v>
      </c>
      <c r="X28" s="55"/>
      <c r="Y28" s="55"/>
      <c r="Z28" s="55"/>
    </row>
    <row r="29" spans="1:26" x14ac:dyDescent="0.25">
      <c r="A29" s="38">
        <v>42613.538078703707</v>
      </c>
      <c r="B29" s="33" t="s">
        <v>305</v>
      </c>
      <c r="C29" s="33" t="s">
        <v>465</v>
      </c>
      <c r="D29" s="33" t="s">
        <v>49</v>
      </c>
      <c r="E29" s="33" t="s">
        <v>50</v>
      </c>
      <c r="F29" s="49">
        <v>0</v>
      </c>
      <c r="G29" s="49">
        <v>78</v>
      </c>
      <c r="H29" s="49">
        <v>291</v>
      </c>
      <c r="I29" s="33" t="s">
        <v>51</v>
      </c>
      <c r="J29" s="49">
        <v>1</v>
      </c>
      <c r="K29" s="33" t="s">
        <v>53</v>
      </c>
      <c r="L29" s="92" t="str">
        <f>VLOOKUP(C29,'Trips&amp;Operators'!$C$1:$E$9999,3,0)</f>
        <v>BARTLETT</v>
      </c>
      <c r="M29" s="131" t="s">
        <v>86</v>
      </c>
      <c r="N29" s="10"/>
      <c r="O29" s="33"/>
      <c r="P29" s="108" t="str">
        <f>VLOOKUP(C29,'Train Runs'!$A$13:$AE$10013,31,0)</f>
        <v>aws s3 cp s3://rtdc.mdm.uploadarchive/RTDC4015/2016-08-31/ "%USERPROFILE%\AppData\Local\Temp\OnboardLogs"\RTDC4015\2016-08-31 --recursive &amp; "%USERPROFILE%\Documents\GitHub\mrs-test-scripts\Headless Mode &amp; Sideloading\WalkAndUnGZ.bat" "%USERPROFILE%\AppData\Local\Temp\OnboardLogs"\RTDC4015\2016-08-31 &amp; aws s3 cp s3://rtdc.mdm.uploadarchive/RTDC4015/2016-09-01/ "%USERPROFILE%\AppData\Local\Temp\OnboardLogs"\RTDC4015\2016-09-01 --recursive &amp; "%USERPROFILE%\Documents\GitHub\mrs-test-scripts\Headless Mode &amp; Sideloading\WalkAndUnGZ.bat" "%USERPROFILE%\AppData\Local\Temp\OnboardLogs"\RTDC4015\2016-09-01</v>
      </c>
      <c r="Q29" s="111" t="str">
        <f>VLOOKUP(C29,'Train Runs'!$A$13:$AE$10013,22,0)</f>
        <v>https://search-rtdc-monitor-bjffxe2xuh6vdkpspy63sjmuny.us-east-1.es.amazonaws.com/_plugin/kibana/#/discover/Steve-Slow-Train-Analysis-(2080s-and-2083s)?_g=(refreshInterval:(display:Off,section:0,value:0),time:(from:'2016-08-31 11:00:15-0600',mode:absolute,to:'2016-08-31 13:54:50-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4015%22')),sort:!(Time,asc))</v>
      </c>
      <c r="R29" s="113" t="str">
        <f t="shared" si="0"/>
        <v>"C:\Program Files (x86)\AstroGrep\AstroGrep.exe" /spath="%USERPROFILE%\AppData\Local\Temp\OnboardLogs" /stypes="*4015*201608311*" /stext=" 18:.+((SYSTEM_STATE.+slice.+state.+changed )|(ment ac)|(system.+state.+changed )|(\|lc)|(penalty)|(\[timeout)|(PRM\|1\|D)|(kpr)|(kdp))" /e /r /s</v>
      </c>
      <c r="S29" s="9" t="str">
        <f t="shared" si="1"/>
        <v>4015</v>
      </c>
      <c r="T29" s="38">
        <f t="shared" si="2"/>
        <v>42613.788078703707</v>
      </c>
      <c r="U29" s="52" t="str">
        <f t="shared" si="3"/>
        <v>EC</v>
      </c>
      <c r="V29" s="52" t="str">
        <f t="shared" si="4"/>
        <v>KEEP</v>
      </c>
      <c r="W29" s="149" t="str">
        <f t="shared" si="5"/>
        <v>echo {"issue":{"subject":"","project_id":79,"tracker_id":40,"status_id":1,"priority_id":2,"assigned_to_id":23,"start_date":"2016-08-31","description":"","custom_fields":[{"id":1,"name":"Subdivision","value":"EC"},{"id":4,"name":"Milepost","value":"0.0001"},{"id":17,"name":"Train ID","value":"162-31"},{"id":16,"name":"Locomotive ID","value":"4015"},{"id":130,"name":"Impact","value":""},{"id":150,"name":"Time of Event (Mountain Time)","value":"12:54:50"},{"id":151,"name":"Denver Issue ID","value":""},{"id":178,"name":"Operational Impact","value":"Yes"},{"id":179,"name":"Denver Segment Assigned","value":""}]}} | curl -X POST -H "Content-Type: application/json" -H "X-Redmine-API-Key: d6333d4a04012a730768444271f8ca06482dae87" https://secure.xorail.net/redmine/issues.json --data @-</v>
      </c>
      <c r="X29" s="55"/>
      <c r="Y29" s="55"/>
      <c r="Z29" s="55"/>
    </row>
    <row r="30" spans="1:26" x14ac:dyDescent="0.25">
      <c r="A30" s="38">
        <v>42613.581990740742</v>
      </c>
      <c r="B30" s="33" t="s">
        <v>92</v>
      </c>
      <c r="C30" s="33" t="s">
        <v>480</v>
      </c>
      <c r="D30" s="33" t="s">
        <v>49</v>
      </c>
      <c r="E30" s="33" t="s">
        <v>50</v>
      </c>
      <c r="F30" s="49">
        <v>0</v>
      </c>
      <c r="G30" s="49">
        <v>54</v>
      </c>
      <c r="H30" s="49">
        <v>183</v>
      </c>
      <c r="I30" s="33" t="s">
        <v>51</v>
      </c>
      <c r="J30" s="49">
        <v>1</v>
      </c>
      <c r="K30" s="33" t="s">
        <v>53</v>
      </c>
      <c r="L30" s="92" t="str">
        <f>VLOOKUP(C30,'Trips&amp;Operators'!$C$1:$E$9999,3,0)</f>
        <v>BROWN</v>
      </c>
      <c r="M30" s="131" t="s">
        <v>86</v>
      </c>
      <c r="N30" s="10"/>
      <c r="O30" s="33"/>
      <c r="P30" s="108" t="str">
        <f>VLOOKUP(C30,'Train Runs'!$A$13:$AE$10013,31,0)</f>
        <v>aws s3 cp s3://rtdc.mdm.uploadarchive/RTDC4030/2016-08-31/ "%USERPROFILE%\AppData\Local\Temp\OnboardLogs"\RTDC4030\2016-08-31 --recursive &amp; "%USERPROFILE%\Documents\GitHub\mrs-test-scripts\Headless Mode &amp; Sideloading\WalkAndUnGZ.bat" "%USERPROFILE%\AppData\Local\Temp\OnboardLogs"\RTDC4030\2016-08-31 &amp; aws s3 cp s3://rtdc.mdm.uploadarchive/RTDC4030/2016-09-01/ "%USERPROFILE%\AppData\Local\Temp\OnboardLogs"\RTDC4030\2016-09-01 --recursive &amp; "%USERPROFILE%\Documents\GitHub\mrs-test-scripts\Headless Mode &amp; Sideloading\WalkAndUnGZ.bat" "%USERPROFILE%\AppData\Local\Temp\OnboardLogs"\RTDC4030\2016-09-01</v>
      </c>
      <c r="Q30" s="111" t="str">
        <f>VLOOKUP(C30,'Train Runs'!$A$13:$AE$10013,22,0)</f>
        <v>https://search-rtdc-monitor-bjffxe2xuh6vdkpspy63sjmuny.us-east-1.es.amazonaws.com/_plugin/kibana/#/discover/Steve-Slow-Train-Analysis-(2080s-and-2083s)?_g=(refreshInterval:(display:Off,section:0,value:0),time:(from:'2016-08-31 12:07:14-0600',mode:absolute,to:'2016-08-31 14:58:03-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4030%22')),sort:!(Time,asc))</v>
      </c>
      <c r="R30" s="113" t="str">
        <f t="shared" si="0"/>
        <v>"C:\Program Files (x86)\AstroGrep\AstroGrep.exe" /spath="%USERPROFILE%\AppData\Local\Temp\OnboardLogs" /stypes="*4030*201608311*" /stext=" 19:.+((SYSTEM_STATE.+slice.+state.+changed )|(ment ac)|(system.+state.+changed )|(\|lc)|(penalty)|(\[timeout)|(PRM\|1\|D)|(kpr)|(kdp))" /e /r /s</v>
      </c>
      <c r="S30" s="9" t="str">
        <f t="shared" si="1"/>
        <v>4030</v>
      </c>
      <c r="T30" s="38">
        <f t="shared" si="2"/>
        <v>42613.831990740742</v>
      </c>
      <c r="U30" s="52" t="str">
        <f t="shared" si="3"/>
        <v>EC</v>
      </c>
      <c r="V30" s="52" t="str">
        <f t="shared" si="4"/>
        <v>KEEP</v>
      </c>
      <c r="W30" s="149" t="str">
        <f t="shared" si="5"/>
        <v>echo {"issue":{"subject":"","project_id":79,"tracker_id":40,"status_id":1,"priority_id":2,"assigned_to_id":23,"start_date":"2016-08-31","description":"","custom_fields":[{"id":1,"name":"Subdivision","value":"EC"},{"id":4,"name":"Milepost","value":"0.0001"},{"id":17,"name":"Train ID","value":"170-31"},{"id":16,"name":"Locomotive ID","value":"4030"},{"id":130,"name":"Impact","value":""},{"id":150,"name":"Time of Event (Mountain Time)","value":"13:58:04"},{"id":151,"name":"Denver Issue ID","value":""},{"id":178,"name":"Operational Impact","value":"Yes"},{"id":179,"name":"Denver Segment Assigned","value":""}]}} | curl -X POST -H "Content-Type: application/json" -H "X-Redmine-API-Key: d6333d4a04012a730768444271f8ca06482dae87" https://secure.xorail.net/redmine/issues.json --data @-</v>
      </c>
      <c r="X30" s="55"/>
      <c r="Y30" s="55"/>
      <c r="Z30" s="55"/>
    </row>
    <row r="31" spans="1:26" x14ac:dyDescent="0.25">
      <c r="A31" s="38">
        <v>42613.653773148151</v>
      </c>
      <c r="B31" s="33" t="s">
        <v>176</v>
      </c>
      <c r="C31" s="33" t="s">
        <v>497</v>
      </c>
      <c r="D31" s="33" t="s">
        <v>49</v>
      </c>
      <c r="E31" s="33" t="s">
        <v>50</v>
      </c>
      <c r="F31" s="49">
        <v>0</v>
      </c>
      <c r="G31" s="49">
        <v>48</v>
      </c>
      <c r="H31" s="49">
        <v>160</v>
      </c>
      <c r="I31" s="33" t="s">
        <v>51</v>
      </c>
      <c r="J31" s="49">
        <v>1</v>
      </c>
      <c r="K31" s="33" t="s">
        <v>53</v>
      </c>
      <c r="L31" s="92" t="str">
        <f>VLOOKUP(C31,'Trips&amp;Operators'!$C$1:$E$9999,3,0)</f>
        <v>YOUNG</v>
      </c>
      <c r="M31" s="131" t="s">
        <v>86</v>
      </c>
      <c r="N31" s="10"/>
      <c r="O31" s="33"/>
      <c r="P31" s="108" t="str">
        <f>VLOOKUP(C31,'Train Runs'!$A$13:$AE$10013,31,0)</f>
        <v>aws s3 cp s3://rtdc.mdm.uploadarchive/RTDC4041/2016-08-31/ "%USERPROFILE%\AppData\Local\Temp\OnboardLogs"\RTDC4041\2016-08-31 --recursive &amp; "%USERPROFILE%\Documents\GitHub\mrs-test-scripts\Headless Mode &amp; Sideloading\WalkAndUnGZ.bat" "%USERPROFILE%\AppData\Local\Temp\OnboardLogs"\RTDC4041\2016-08-31 &amp; aws s3 cp s3://rtdc.mdm.uploadarchive/RTDC4041/2016-09-01/ "%USERPROFILE%\AppData\Local\Temp\OnboardLogs"\RTDC4041\2016-09-01 --recursive &amp; "%USERPROFILE%\Documents\GitHub\mrs-test-scripts\Headless Mode &amp; Sideloading\WalkAndUnGZ.bat" "%USERPROFILE%\AppData\Local\Temp\OnboardLogs"\RTDC4041\2016-09-01</v>
      </c>
      <c r="Q31" s="111" t="str">
        <f>VLOOKUP(C31,'Train Runs'!$A$13:$AE$10013,22,0)</f>
        <v>https://search-rtdc-monitor-bjffxe2xuh6vdkpspy63sjmuny.us-east-1.es.amazonaws.com/_plugin/kibana/#/discover/Steve-Slow-Train-Analysis-(2080s-and-2083s)?_g=(refreshInterval:(display:Off,section:0,value:0),time:(from:'2016-08-31 13:45:16-0600',mode:absolute,to:'2016-08-31 16:41:26-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4041%22')),sort:!(Time,asc))</v>
      </c>
      <c r="R31" s="113" t="str">
        <f t="shared" si="0"/>
        <v>"C:\Program Files (x86)\AstroGrep\AstroGrep.exe" /spath="%USERPROFILE%\AppData\Local\Temp\OnboardLogs" /stypes="*4041*201608312*" /stext=" 21:.+((SYSTEM_STATE.+slice.+state.+changed )|(ment ac)|(system.+state.+changed )|(\|lc)|(penalty)|(\[timeout)|(PRM\|1\|D)|(kpr)|(kdp))" /e /r /s</v>
      </c>
      <c r="S31" s="9" t="str">
        <f t="shared" si="1"/>
        <v>4041</v>
      </c>
      <c r="T31" s="38">
        <f t="shared" si="2"/>
        <v>42613.903773148151</v>
      </c>
      <c r="U31" s="52" t="str">
        <f t="shared" si="3"/>
        <v>EC</v>
      </c>
      <c r="V31" s="52" t="str">
        <f t="shared" si="4"/>
        <v>KEEP</v>
      </c>
      <c r="W31" s="149" t="str">
        <f t="shared" si="5"/>
        <v>echo {"issue":{"subject":"","project_id":79,"tracker_id":40,"status_id":1,"priority_id":2,"assigned_to_id":23,"start_date":"2016-08-31","description":"","custom_fields":[{"id":1,"name":"Subdivision","value":"EC"},{"id":4,"name":"Milepost","value":"0.0001"},{"id":17,"name":"Train ID","value":"182-31"},{"id":16,"name":"Locomotive ID","value":"4041"},{"id":130,"name":"Impact","value":""},{"id":150,"name":"Time of Event (Mountain Time)","value":"15:41:26"},{"id":151,"name":"Denver Issue ID","value":""},{"id":178,"name":"Operational Impact","value":"Yes"},{"id":179,"name":"Denver Segment Assigned","value":""}]}} | curl -X POST -H "Content-Type: application/json" -H "X-Redmine-API-Key: d6333d4a04012a730768444271f8ca06482dae87" https://secure.xorail.net/redmine/issues.json --data @-</v>
      </c>
      <c r="X31" s="55"/>
      <c r="Y31" s="55"/>
      <c r="Z31" s="55"/>
    </row>
    <row r="32" spans="1:26" x14ac:dyDescent="0.25">
      <c r="A32" s="38">
        <v>42613.898460648146</v>
      </c>
      <c r="B32" s="33" t="s">
        <v>719</v>
      </c>
      <c r="C32" s="33" t="s">
        <v>556</v>
      </c>
      <c r="D32" s="33" t="s">
        <v>49</v>
      </c>
      <c r="E32" s="33" t="s">
        <v>50</v>
      </c>
      <c r="F32" s="49">
        <v>0</v>
      </c>
      <c r="G32" s="49">
        <v>127</v>
      </c>
      <c r="H32" s="49">
        <v>504</v>
      </c>
      <c r="I32" s="33" t="s">
        <v>51</v>
      </c>
      <c r="J32" s="49">
        <v>1</v>
      </c>
      <c r="K32" s="33" t="s">
        <v>53</v>
      </c>
      <c r="L32" s="92" t="str">
        <f>VLOOKUP(C32,'Trips&amp;Operators'!$C$1:$E$9999,3,0)</f>
        <v>STAMBAUGH</v>
      </c>
      <c r="M32" s="131" t="s">
        <v>86</v>
      </c>
      <c r="N32" s="10"/>
      <c r="O32" s="33"/>
      <c r="P32" s="108" t="str">
        <f>VLOOKUP(C32,'Train Runs'!$A$13:$AE$10013,31,0)</f>
        <v>aws s3 cp s3://rtdc.mdm.uploadarchive/RTDC4001/2016-08-31/ "%USERPROFILE%\AppData\Local\Temp\OnboardLogs"\RTDC4001\2016-08-31 --recursive &amp; "%USERPROFILE%\Documents\GitHub\mrs-test-scripts\Headless Mode &amp; Sideloading\WalkAndUnGZ.bat" "%USERPROFILE%\AppData\Local\Temp\OnboardLogs"\RTDC4001\2016-08-31 &amp; aws s3 cp s3://rtdc.mdm.uploadarchive/RTDC4001/2016-09-01/ "%USERPROFILE%\AppData\Local\Temp\OnboardLogs"\RTDC4001\2016-09-01 --recursive &amp; "%USERPROFILE%\Documents\GitHub\mrs-test-scripts\Headless Mode &amp; Sideloading\WalkAndUnGZ.bat" "%USERPROFILE%\AppData\Local\Temp\OnboardLogs"\RTDC4001\2016-09-01</v>
      </c>
      <c r="Q32" s="111" t="str">
        <f>VLOOKUP(C32,'Train Runs'!$A$13:$AE$10013,22,0)</f>
        <v>https://search-rtdc-monitor-bjffxe2xuh6vdkpspy63sjmuny.us-east-1.es.amazonaws.com/_plugin/kibana/#/discover/Steve-Slow-Train-Analysis-(2080s-and-2083s)?_g=(refreshInterval:(display:Off,section:0,value:0),time:(from:'2016-08-31 19:51:45-0600',mode:absolute,to:'2016-08-31 22:33:48-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4001%22')),sort:!(Time,asc))</v>
      </c>
      <c r="R32" s="113" t="str">
        <f t="shared" si="0"/>
        <v>"C:\Program Files (x86)\AstroGrep\AstroGrep.exe" /spath="%USERPROFILE%\AppData\Local\Temp\OnboardLogs" /stypes="*4001*201609010*" /stext=" 03:.+((SYSTEM_STATE.+slice.+state.+changed )|(ment ac)|(system.+state.+changed )|(\|lc)|(penalty)|(\[timeout)|(PRM\|1\|D)|(kpr)|(kdp))" /e /r /s</v>
      </c>
      <c r="S32" s="9" t="str">
        <f t="shared" si="1"/>
        <v>4001</v>
      </c>
      <c r="T32" s="38">
        <f t="shared" si="2"/>
        <v>42614.148460648146</v>
      </c>
      <c r="U32" s="52" t="str">
        <f t="shared" si="3"/>
        <v>EC</v>
      </c>
      <c r="V32" s="52" t="str">
        <f t="shared" si="4"/>
        <v>KEEP</v>
      </c>
      <c r="W32" s="149" t="str">
        <f t="shared" si="5"/>
        <v>echo {"issue":{"subject":"","project_id":79,"tracker_id":40,"status_id":1,"priority_id":2,"assigned_to_id":23,"start_date":"2016-08-31","description":"","custom_fields":[{"id":1,"name":"Subdivision","value":"EC"},{"id":4,"name":"Milepost","value":"0.0001"},{"id":17,"name":"Train ID","value":"226-31"},{"id":16,"name":"Locomotive ID","value":"4001"},{"id":130,"name":"Impact","value":""},{"id":150,"name":"Time of Event (Mountain Time)","value":"21:33:47"},{"id":151,"name":"Denver Issue ID","value":""},{"id":178,"name":"Operational Impact","value":"Yes"},{"id":179,"name":"Denver Segment Assigned","value":""}]}} | curl -X POST -H "Content-Type: application/json" -H "X-Redmine-API-Key: d6333d4a04012a730768444271f8ca06482dae87" https://secure.xorail.net/redmine/issues.json --data @-</v>
      </c>
      <c r="X32" s="55"/>
      <c r="Y32" s="55"/>
      <c r="Z32" s="55"/>
    </row>
    <row r="33" spans="1:26" ht="15" customHeight="1" x14ac:dyDescent="0.25">
      <c r="A33" s="38">
        <v>42613.919872685183</v>
      </c>
      <c r="B33" s="33" t="s">
        <v>305</v>
      </c>
      <c r="C33" s="33" t="s">
        <v>558</v>
      </c>
      <c r="D33" s="33" t="s">
        <v>49</v>
      </c>
      <c r="E33" s="33" t="s">
        <v>50</v>
      </c>
      <c r="F33" s="49">
        <v>0</v>
      </c>
      <c r="G33" s="49">
        <v>94</v>
      </c>
      <c r="H33" s="49">
        <v>355</v>
      </c>
      <c r="I33" s="33" t="s">
        <v>51</v>
      </c>
      <c r="J33" s="49">
        <v>1</v>
      </c>
      <c r="K33" s="33" t="s">
        <v>53</v>
      </c>
      <c r="L33" s="92" t="str">
        <f>VLOOKUP(C33,'Trips&amp;Operators'!$C$1:$E$9999,3,0)</f>
        <v>COOLAHAN</v>
      </c>
      <c r="M33" s="131" t="s">
        <v>86</v>
      </c>
      <c r="N33" s="10"/>
      <c r="O33" s="33"/>
      <c r="P33" s="108" t="str">
        <f>VLOOKUP(C33,'Train Runs'!$A$13:$AE$10013,31,0)</f>
        <v>aws s3 cp s3://rtdc.mdm.uploadarchive/RTDC4015/2016-08-31/ "%USERPROFILE%\AppData\Local\Temp\OnboardLogs"\RTDC4015\2016-08-31 --recursive &amp; "%USERPROFILE%\Documents\GitHub\mrs-test-scripts\Headless Mode &amp; Sideloading\WalkAndUnGZ.bat" "%USERPROFILE%\AppData\Local\Temp\OnboardLogs"\RTDC4015\2016-08-31 &amp; aws s3 cp s3://rtdc.mdm.uploadarchive/RTDC4015/2016-09-01/ "%USERPROFILE%\AppData\Local\Temp\OnboardLogs"\RTDC4015\2016-09-01 --recursive &amp; "%USERPROFILE%\Documents\GitHub\mrs-test-scripts\Headless Mode &amp; Sideloading\WalkAndUnGZ.bat" "%USERPROFILE%\AppData\Local\Temp\OnboardLogs"\RTDC4015\2016-09-01</v>
      </c>
      <c r="Q33" s="111" t="str">
        <f>VLOOKUP(C33,'Train Runs'!$A$13:$AE$10013,22,0)</f>
        <v>https://search-rtdc-monitor-bjffxe2xuh6vdkpspy63sjmuny.us-east-1.es.amazonaws.com/_plugin/kibana/#/discover/Steve-Slow-Train-Analysis-(2080s-and-2083s)?_g=(refreshInterval:(display:Off,section:0,value:0),time:(from:'2016-08-31 20:19:17-0600',mode:absolute,to:'2016-08-31 23:04:37-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4015%22')),sort:!(Time,asc))</v>
      </c>
      <c r="R33" s="113" t="str">
        <f t="shared" si="0"/>
        <v>"C:\Program Files (x86)\AstroGrep\AstroGrep.exe" /spath="%USERPROFILE%\AppData\Local\Temp\OnboardLogs" /stypes="*4015*201609010*" /stext=" 04:.+((SYSTEM_STATE.+slice.+state.+changed )|(ment ac)|(system.+state.+changed )|(\|lc)|(penalty)|(\[timeout)|(PRM\|1\|D)|(kpr)|(kdp))" /e /r /s</v>
      </c>
      <c r="S33" s="9" t="str">
        <f t="shared" si="1"/>
        <v>4015</v>
      </c>
      <c r="T33" s="38">
        <f t="shared" si="2"/>
        <v>42614.169872685183</v>
      </c>
      <c r="U33" s="52" t="str">
        <f t="shared" si="3"/>
        <v>EC</v>
      </c>
      <c r="V33" s="52" t="str">
        <f t="shared" si="4"/>
        <v>KEEP</v>
      </c>
      <c r="W33" s="149" t="str">
        <f t="shared" si="5"/>
        <v>echo {"issue":{"subject":"","project_id":79,"tracker_id":40,"status_id":1,"priority_id":2,"assigned_to_id":23,"start_date":"2016-08-31","description":"","custom_fields":[{"id":1,"name":"Subdivision","value":"EC"},{"id":4,"name":"Milepost","value":"0.0001"},{"id":17,"name":"Train ID","value":"228-31"},{"id":16,"name":"Locomotive ID","value":"4015"},{"id":130,"name":"Impact","value":""},{"id":150,"name":"Time of Event (Mountain Time)","value":"22:04:37"},{"id":151,"name":"Denver Issue ID","value":""},{"id":178,"name":"Operational Impact","value":"Yes"},{"id":179,"name":"Denver Segment Assigned","value":""}]}} | curl -X POST -H "Content-Type: application/json" -H "X-Redmine-API-Key: d6333d4a04012a730768444271f8ca06482dae87" https://secure.xorail.net/redmine/issues.json --data @-</v>
      </c>
      <c r="X33" s="55"/>
      <c r="Y33" s="55"/>
      <c r="Z33" s="55"/>
    </row>
    <row r="34" spans="1:26" x14ac:dyDescent="0.25">
      <c r="A34" s="38">
        <v>42614.002569444441</v>
      </c>
      <c r="B34" s="33" t="s">
        <v>305</v>
      </c>
      <c r="C34" s="33" t="s">
        <v>569</v>
      </c>
      <c r="D34" s="33" t="s">
        <v>49</v>
      </c>
      <c r="E34" s="33" t="s">
        <v>50</v>
      </c>
      <c r="F34" s="49">
        <v>0</v>
      </c>
      <c r="G34" s="49">
        <v>63</v>
      </c>
      <c r="H34" s="49">
        <v>234</v>
      </c>
      <c r="I34" s="33" t="s">
        <v>51</v>
      </c>
      <c r="J34" s="49">
        <v>1</v>
      </c>
      <c r="K34" s="33" t="s">
        <v>53</v>
      </c>
      <c r="L34" s="92" t="str">
        <f>VLOOKUP(C34,'Trips&amp;Operators'!$C$1:$E$9999,3,0)</f>
        <v>COOLAHAN</v>
      </c>
      <c r="M34" s="131" t="s">
        <v>86</v>
      </c>
      <c r="N34" s="10"/>
      <c r="O34" s="33"/>
      <c r="P34" s="108" t="str">
        <f>VLOOKUP(C34,'Train Runs'!$A$13:$AE$10013,31,0)</f>
        <v>aws s3 cp s3://rtdc.mdm.uploadarchive/RTDC4015/2016-08-31/ "%USERPROFILE%\AppData\Local\Temp\OnboardLogs"\RTDC4015\2016-08-31 --recursive &amp; "%USERPROFILE%\Documents\GitHub\mrs-test-scripts\Headless Mode &amp; Sideloading\WalkAndUnGZ.bat" "%USERPROFILE%\AppData\Local\Temp\OnboardLogs"\RTDC4015\2016-08-31 &amp; aws s3 cp s3://rtdc.mdm.uploadarchive/RTDC4015/2016-09-01/ "%USERPROFILE%\AppData\Local\Temp\OnboardLogs"\RTDC4015\2016-09-01 --recursive &amp; "%USERPROFILE%\Documents\GitHub\mrs-test-scripts\Headless Mode &amp; Sideloading\WalkAndUnGZ.bat" "%USERPROFILE%\AppData\Local\Temp\OnboardLogs"\RTDC4015\2016-09-01</v>
      </c>
      <c r="Q34" s="111" t="str">
        <f>VLOOKUP(C34,'Train Runs'!$A$13:$AE$10013,22,0)</f>
        <v>https://search-rtdc-monitor-bjffxe2xuh6vdkpspy63sjmuny.us-east-1.es.amazonaws.com/_plugin/kibana/#/discover/Steve-Slow-Train-Analysis-(2080s-and-2083s)?_g=(refreshInterval:(display:Off,section:0,value:0),time:(from:'2016-08-31 22:17:50-0600',mode:absolute,to:'2016-09-01 01:03:42-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4015%22')),sort:!(Time,asc))</v>
      </c>
      <c r="R34" s="113" t="str">
        <f t="shared" si="0"/>
        <v>"C:\Program Files (x86)\AstroGrep\AstroGrep.exe" /spath="%USERPROFILE%\AppData\Local\Temp\OnboardLogs" /stypes="*4015*201609010*" /stext=" 06:.+((SYSTEM_STATE.+slice.+state.+changed )|(ment ac)|(system.+state.+changed )|(\|lc)|(penalty)|(\[timeout)|(PRM\|1\|D)|(kpr)|(kdp))" /e /r /s</v>
      </c>
      <c r="S34" s="9" t="str">
        <f t="shared" si="1"/>
        <v>4015</v>
      </c>
      <c r="T34" s="38">
        <f t="shared" si="2"/>
        <v>42614.252569444441</v>
      </c>
      <c r="U34" s="52" t="str">
        <f t="shared" si="3"/>
        <v>EC</v>
      </c>
      <c r="V34" s="52" t="str">
        <f t="shared" si="4"/>
        <v>KEEP</v>
      </c>
      <c r="W34" s="149" t="str">
        <f t="shared" si="5"/>
        <v>echo {"issue":{"subject":"","project_id":79,"tracker_id":40,"status_id":1,"priority_id":2,"assigned_to_id":23,"start_date":"2016-09-01","description":"","custom_fields":[{"id":1,"name":"Subdivision","value":"EC"},{"id":4,"name":"Milepost","value":"0.0001"},{"id":17,"name":"Train ID","value":"236-31"},{"id":16,"name":"Locomotive ID","value":"4015"},{"id":130,"name":"Impact","value":""},{"id":150,"name":"Time of Event (Mountain Time)","value":"00:03:42"},{"id":151,"name":"Denver Issue ID","value":""},{"id":178,"name":"Operational Impact","value":"Yes"},{"id":179,"name":"Denver Segment Assigned","value":""}]}} | curl -X POST -H "Content-Type: application/json" -H "X-Redmine-API-Key: d6333d4a04012a730768444271f8ca06482dae87" https://secure.xorail.net/redmine/issues.json --data @-</v>
      </c>
      <c r="X34" s="55"/>
      <c r="Y34" s="55"/>
      <c r="Z34" s="55"/>
    </row>
    <row r="35" spans="1:26" ht="15" customHeight="1" x14ac:dyDescent="0.25">
      <c r="A35" s="38">
        <v>42613.349490740744</v>
      </c>
      <c r="B35" s="33" t="s">
        <v>312</v>
      </c>
      <c r="C35" s="33" t="s">
        <v>424</v>
      </c>
      <c r="D35" s="33" t="s">
        <v>49</v>
      </c>
      <c r="E35" s="33" t="s">
        <v>50</v>
      </c>
      <c r="F35" s="49">
        <v>0</v>
      </c>
      <c r="G35" s="49">
        <v>110</v>
      </c>
      <c r="H35" s="49">
        <v>232998</v>
      </c>
      <c r="I35" s="33" t="s">
        <v>51</v>
      </c>
      <c r="J35" s="49">
        <v>233491</v>
      </c>
      <c r="K35" s="33" t="s">
        <v>52</v>
      </c>
      <c r="L35" s="92" t="str">
        <f>VLOOKUP(C35,'Trips&amp;Operators'!$C$1:$E$9999,3,0)</f>
        <v>STRICKLAND</v>
      </c>
      <c r="M35" s="131" t="s">
        <v>86</v>
      </c>
      <c r="N35" s="10"/>
      <c r="O35" s="33"/>
      <c r="P35" s="108" t="str">
        <f>VLOOKUP(C35,'Train Runs'!$A$13:$AE$10013,31,0)</f>
        <v>aws s3 cp s3://rtdc.mdm.uploadarchive/RTDC4016/2016-08-31/ "%USERPROFILE%\AppData\Local\Temp\OnboardLogs"\RTDC4016\2016-08-31 --recursive &amp; "%USERPROFILE%\Documents\GitHub\mrs-test-scripts\Headless Mode &amp; Sideloading\WalkAndUnGZ.bat" "%USERPROFILE%\AppData\Local\Temp\OnboardLogs"\RTDC4016\2016-08-31 &amp; aws s3 cp s3://rtdc.mdm.uploadarchive/RTDC4016/2016-09-01/ "%USERPROFILE%\AppData\Local\Temp\OnboardLogs"\RTDC4016\2016-09-01 --recursive &amp; "%USERPROFILE%\Documents\GitHub\mrs-test-scripts\Headless Mode &amp; Sideloading\WalkAndUnGZ.bat" "%USERPROFILE%\AppData\Local\Temp\OnboardLogs"\RTDC4016\2016-09-01</v>
      </c>
      <c r="Q35" s="111" t="str">
        <f>VLOOKUP(C35,'Train Runs'!$A$13:$AE$10013,22,0)</f>
        <v>https://search-rtdc-monitor-bjffxe2xuh6vdkpspy63sjmuny.us-east-1.es.amazonaws.com/_plugin/kibana/#/discover/Steve-Slow-Train-Analysis-(2080s-and-2083s)?_g=(refreshInterval:(display:Off,section:0,value:0),time:(from:'2016-08-31 06:39:57-0600',mode:absolute,to:'2016-08-31 09:23:16-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4016%22')),sort:!(Time,asc))</v>
      </c>
      <c r="R35" s="113" t="str">
        <f t="shared" si="0"/>
        <v>"C:\Program Files (x86)\AstroGrep\AstroGrep.exe" /spath="%USERPROFILE%\AppData\Local\Temp\OnboardLogs" /stypes="*4016*201608311*" /stext=" 14:.+((SYSTEM_STATE.+slice.+state.+changed )|(ment ac)|(system.+state.+changed )|(\|lc)|(penalty)|(\[timeout)|(PRM\|1\|D)|(kpr)|(kdp))" /e /r /s</v>
      </c>
      <c r="S35" s="9" t="str">
        <f t="shared" si="1"/>
        <v>4016</v>
      </c>
      <c r="T35" s="38">
        <f t="shared" si="2"/>
        <v>42613.599490740744</v>
      </c>
      <c r="U35" s="52" t="str">
        <f t="shared" si="3"/>
        <v>EC</v>
      </c>
      <c r="V35" s="52" t="str">
        <f t="shared" si="4"/>
        <v>KEEP</v>
      </c>
      <c r="W35" s="149" t="str">
        <f t="shared" si="5"/>
        <v>echo {"issue":{"subject":"","project_id":79,"tracker_id":40,"status_id":1,"priority_id":2,"assigned_to_id":23,"start_date":"2016-08-31","description":"","custom_fields":[{"id":1,"name":"Subdivision","value":"EC"},{"id":4,"name":"Milepost","value":"23.3491"},{"id":17,"name":"Train ID","value":"133-31"},{"id":16,"name":"Locomotive ID","value":"4016"},{"id":130,"name":"Impact","value":""},{"id":150,"name":"Time of Event (Mountain Time)","value":"08:23:16"},{"id":151,"name":"Denver Issue ID","value":""},{"id":178,"name":"Operational Impact","value":"Yes"},{"id":179,"name":"Denver Segment Assigned","value":""}]}} | curl -X POST -H "Content-Type: application/json" -H "X-Redmine-API-Key: d6333d4a04012a730768444271f8ca06482dae87" https://secure.xorail.net/redmine/issues.json --data @-</v>
      </c>
      <c r="X35" s="55"/>
      <c r="Y35" s="55"/>
      <c r="Z35" s="55"/>
    </row>
    <row r="36" spans="1:26" x14ac:dyDescent="0.25">
      <c r="A36" s="38">
        <v>42613.473055555558</v>
      </c>
      <c r="B36" s="33" t="s">
        <v>720</v>
      </c>
      <c r="C36" s="33" t="s">
        <v>456</v>
      </c>
      <c r="D36" s="33" t="s">
        <v>49</v>
      </c>
      <c r="E36" s="33" t="s">
        <v>50</v>
      </c>
      <c r="F36" s="49">
        <v>0</v>
      </c>
      <c r="G36" s="49">
        <v>42</v>
      </c>
      <c r="H36" s="49">
        <v>233403</v>
      </c>
      <c r="I36" s="33" t="s">
        <v>51</v>
      </c>
      <c r="J36" s="49">
        <v>233491</v>
      </c>
      <c r="K36" s="33" t="s">
        <v>52</v>
      </c>
      <c r="L36" s="92" t="str">
        <f>VLOOKUP(C36,'Trips&amp;Operators'!$C$1:$E$9999,3,0)</f>
        <v>SMITH</v>
      </c>
      <c r="M36" s="131" t="s">
        <v>86</v>
      </c>
      <c r="N36" s="10"/>
      <c r="O36" s="33"/>
      <c r="P36" s="108" t="str">
        <f>VLOOKUP(C36,'Train Runs'!$A$13:$AE$10013,31,0)</f>
        <v>aws s3 cp s3://rtdc.mdm.uploadarchive/RTDC4044/2016-08-31/ "%USERPROFILE%\AppData\Local\Temp\OnboardLogs"\RTDC4044\2016-08-31 --recursive &amp; "%USERPROFILE%\Documents\GitHub\mrs-test-scripts\Headless Mode &amp; Sideloading\WalkAndUnGZ.bat" "%USERPROFILE%\AppData\Local\Temp\OnboardLogs"\RTDC4044\2016-08-31 &amp; aws s3 cp s3://rtdc.mdm.uploadarchive/RTDC4044/2016-09-01/ "%USERPROFILE%\AppData\Local\Temp\OnboardLogs"\RTDC4044\2016-09-01 --recursive &amp; "%USERPROFILE%\Documents\GitHub\mrs-test-scripts\Headless Mode &amp; Sideloading\WalkAndUnGZ.bat" "%USERPROFILE%\AppData\Local\Temp\OnboardLogs"\RTDC4044\2016-09-01</v>
      </c>
      <c r="Q36" s="111" t="str">
        <f>VLOOKUP(C36,'Train Runs'!$A$13:$AE$10013,22,0)</f>
        <v>https://search-rtdc-monitor-bjffxe2xuh6vdkpspy63sjmuny.us-east-1.es.amazonaws.com/_plugin/kibana/#/discover/Steve-Slow-Train-Analysis-(2080s-and-2083s)?_g=(refreshInterval:(display:Off,section:0,value:0),time:(from:'2016-08-31 09:37:48-0600',mode:absolute,to:'2016-08-31 12:21:12-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4044%22')),sort:!(Time,asc))</v>
      </c>
      <c r="R36" s="113" t="str">
        <f t="shared" si="0"/>
        <v>"C:\Program Files (x86)\AstroGrep\AstroGrep.exe" /spath="%USERPROFILE%\AppData\Local\Temp\OnboardLogs" /stypes="*4044*201608311*" /stext=" 17:.+((SYSTEM_STATE.+slice.+state.+changed )|(ment ac)|(system.+state.+changed )|(\|lc)|(penalty)|(\[timeout)|(PRM\|1\|D)|(kpr)|(kdp))" /e /r /s</v>
      </c>
      <c r="S36" s="9" t="str">
        <f t="shared" si="1"/>
        <v>4044</v>
      </c>
      <c r="T36" s="38">
        <f t="shared" si="2"/>
        <v>42613.723055555558</v>
      </c>
      <c r="U36" s="52" t="str">
        <f t="shared" si="3"/>
        <v>EC</v>
      </c>
      <c r="V36" s="52" t="str">
        <f t="shared" si="4"/>
        <v>KEEP</v>
      </c>
      <c r="W36" s="149" t="str">
        <f t="shared" si="5"/>
        <v>echo {"issue":{"subject":"","project_id":79,"tracker_id":40,"status_id":1,"priority_id":2,"assigned_to_id":23,"start_date":"2016-08-31","description":"","custom_fields":[{"id":1,"name":"Subdivision","value":"EC"},{"id":4,"name":"Milepost","value":"23.3491"},{"id":17,"name":"Train ID","value":"157-31"},{"id":16,"name":"Locomotive ID","value":"4044"},{"id":130,"name":"Impact","value":""},{"id":150,"name":"Time of Event (Mountain Time)","value":"11:21:12"},{"id":151,"name":"Denver Issue ID","value":""},{"id":178,"name":"Operational Impact","value":"Yes"},{"id":179,"name":"Denver Segment Assigned","value":""}]}} | curl -X POST -H "Content-Type: application/json" -H "X-Redmine-API-Key: d6333d4a04012a730768444271f8ca06482dae87" https://secure.xorail.net/redmine/issues.json --data @-</v>
      </c>
      <c r="X36" s="55"/>
      <c r="Y36" s="55"/>
      <c r="Z36" s="55"/>
    </row>
    <row r="37" spans="1:26" x14ac:dyDescent="0.25">
      <c r="A37" s="38">
        <v>42613.544212962966</v>
      </c>
      <c r="B37" s="33" t="s">
        <v>91</v>
      </c>
      <c r="C37" s="33" t="s">
        <v>477</v>
      </c>
      <c r="D37" s="33" t="s">
        <v>49</v>
      </c>
      <c r="E37" s="33" t="s">
        <v>50</v>
      </c>
      <c r="F37" s="49">
        <v>0</v>
      </c>
      <c r="G37" s="49">
        <v>63</v>
      </c>
      <c r="H37" s="49">
        <v>233241</v>
      </c>
      <c r="I37" s="33" t="s">
        <v>51</v>
      </c>
      <c r="J37" s="49">
        <v>233491</v>
      </c>
      <c r="K37" s="33" t="s">
        <v>52</v>
      </c>
      <c r="L37" s="92" t="str">
        <f>VLOOKUP(C37,'Trips&amp;Operators'!$C$1:$E$9999,3,0)</f>
        <v>BROWN</v>
      </c>
      <c r="M37" s="131" t="s">
        <v>86</v>
      </c>
      <c r="N37" s="10"/>
      <c r="O37" s="33"/>
      <c r="P37" s="108" t="str">
        <f>VLOOKUP(C37,'Train Runs'!$A$13:$AE$10013,31,0)</f>
        <v>aws s3 cp s3://rtdc.mdm.uploadarchive/RTDC4029/2016-08-31/ "%USERPROFILE%\AppData\Local\Temp\OnboardLogs"\RTDC4029\2016-08-31 --recursive &amp; "%USERPROFILE%\Documents\GitHub\mrs-test-scripts\Headless Mode &amp; Sideloading\WalkAndUnGZ.bat" "%USERPROFILE%\AppData\Local\Temp\OnboardLogs"\RTDC4029\2016-08-31 &amp; aws s3 cp s3://rtdc.mdm.uploadarchive/RTDC4029/2016-09-01/ "%USERPROFILE%\AppData\Local\Temp\OnboardLogs"\RTDC4029\2016-09-01 --recursive &amp; "%USERPROFILE%\Documents\GitHub\mrs-test-scripts\Headless Mode &amp; Sideloading\WalkAndUnGZ.bat" "%USERPROFILE%\AppData\Local\Temp\OnboardLogs"\RTDC4029\2016-09-01</v>
      </c>
      <c r="Q37" s="111" t="str">
        <f>VLOOKUP(C37,'Train Runs'!$A$13:$AE$10013,22,0)</f>
        <v>https://search-rtdc-monitor-bjffxe2xuh6vdkpspy63sjmuny.us-east-1.es.amazonaws.com/_plugin/kibana/#/discover/Steve-Slow-Train-Analysis-(2080s-and-2083s)?_g=(refreshInterval:(display:Off,section:0,value:0),time:(from:'2016-08-31 11:15:42-0600',mode:absolute,to:'2016-08-31 14:03:40-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4029%22')),sort:!(Time,asc))</v>
      </c>
      <c r="R37" s="113" t="str">
        <f t="shared" si="0"/>
        <v>"C:\Program Files (x86)\AstroGrep\AstroGrep.exe" /spath="%USERPROFILE%\AppData\Local\Temp\OnboardLogs" /stypes="*4029*201608311*" /stext=" 19:.+((SYSTEM_STATE.+slice.+state.+changed )|(ment ac)|(system.+state.+changed )|(\|lc)|(penalty)|(\[timeout)|(PRM\|1\|D)|(kpr)|(kdp))" /e /r /s</v>
      </c>
      <c r="S37" s="9" t="str">
        <f t="shared" si="1"/>
        <v>4029</v>
      </c>
      <c r="T37" s="38">
        <f t="shared" si="2"/>
        <v>42613.794212962966</v>
      </c>
      <c r="U37" s="52" t="str">
        <f t="shared" si="3"/>
        <v>EC</v>
      </c>
      <c r="V37" s="52" t="str">
        <f t="shared" si="4"/>
        <v>KEEP</v>
      </c>
      <c r="W37" s="149" t="str">
        <f t="shared" si="5"/>
        <v>echo {"issue":{"subject":"","project_id":79,"tracker_id":40,"status_id":1,"priority_id":2,"assigned_to_id":23,"start_date":"2016-08-31","description":"","custom_fields":[{"id":1,"name":"Subdivision","value":"EC"},{"id":4,"name":"Milepost","value":"23.3491"},{"id":17,"name":"Train ID","value":"169-31"},{"id":16,"name":"Locomotive ID","value":"4029"},{"id":130,"name":"Impact","value":""},{"id":150,"name":"Time of Event (Mountain Time)","value":"13:03:40"},{"id":151,"name":"Denver Issue ID","value":""},{"id":178,"name":"Operational Impact","value":"Yes"},{"id":179,"name":"Denver Segment Assigned","value":""}]}} | curl -X POST -H "Content-Type: application/json" -H "X-Redmine-API-Key: d6333d4a04012a730768444271f8ca06482dae87" https://secure.xorail.net/redmine/issues.json --data @-</v>
      </c>
      <c r="X37" s="55"/>
      <c r="Y37" s="55"/>
      <c r="Z37" s="55"/>
    </row>
    <row r="38" spans="1:26" x14ac:dyDescent="0.25">
      <c r="A38" s="38">
        <v>42613.879525462966</v>
      </c>
      <c r="B38" s="33" t="s">
        <v>312</v>
      </c>
      <c r="C38" s="33" t="s">
        <v>557</v>
      </c>
      <c r="D38" s="33" t="s">
        <v>49</v>
      </c>
      <c r="E38" s="33" t="s">
        <v>50</v>
      </c>
      <c r="F38" s="49">
        <v>0</v>
      </c>
      <c r="G38" s="49">
        <v>64</v>
      </c>
      <c r="H38" s="49">
        <v>233274</v>
      </c>
      <c r="I38" s="33" t="s">
        <v>51</v>
      </c>
      <c r="J38" s="49">
        <v>233491</v>
      </c>
      <c r="K38" s="33" t="s">
        <v>52</v>
      </c>
      <c r="L38" s="92" t="str">
        <f>VLOOKUP(C38,'Trips&amp;Operators'!$C$1:$E$9999,3,0)</f>
        <v>COOLAHAN</v>
      </c>
      <c r="M38" s="131" t="s">
        <v>86</v>
      </c>
      <c r="N38" s="10"/>
      <c r="O38" s="33"/>
      <c r="P38" s="108" t="str">
        <f>VLOOKUP(C38,'Train Runs'!$A$13:$AE$10013,31,0)</f>
        <v>aws s3 cp s3://rtdc.mdm.uploadarchive/RTDC4016/2016-08-31/ "%USERPROFILE%\AppData\Local\Temp\OnboardLogs"\RTDC4016\2016-08-31 --recursive &amp; "%USERPROFILE%\Documents\GitHub\mrs-test-scripts\Headless Mode &amp; Sideloading\WalkAndUnGZ.bat" "%USERPROFILE%\AppData\Local\Temp\OnboardLogs"\RTDC4016\2016-08-31 &amp; aws s3 cp s3://rtdc.mdm.uploadarchive/RTDC4016/2016-09-01/ "%USERPROFILE%\AppData\Local\Temp\OnboardLogs"\RTDC4016\2016-09-01 --recursive &amp; "%USERPROFILE%\Documents\GitHub\mrs-test-scripts\Headless Mode &amp; Sideloading\WalkAndUnGZ.bat" "%USERPROFILE%\AppData\Local\Temp\OnboardLogs"\RTDC4016\2016-09-01</v>
      </c>
      <c r="Q38" s="111" t="str">
        <f>VLOOKUP(C38,'Train Runs'!$A$13:$AE$10013,22,0)</f>
        <v>https://search-rtdc-monitor-bjffxe2xuh6vdkpspy63sjmuny.us-east-1.es.amazonaws.com/_plugin/kibana/#/discover/Steve-Slow-Train-Analysis-(2080s-and-2083s)?_g=(refreshInterval:(display:Off,section:0,value:0),time:(from:'2016-08-31 19:26:57-0600',mode:absolute,to:'2016-08-31 22:06:31-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4016%22')),sort:!(Time,asc))</v>
      </c>
      <c r="R38" s="113" t="str">
        <f t="shared" si="0"/>
        <v>"C:\Program Files (x86)\AstroGrep\AstroGrep.exe" /spath="%USERPROFILE%\AppData\Local\Temp\OnboardLogs" /stypes="*4016*201609010*" /stext=" 03:.+((SYSTEM_STATE.+slice.+state.+changed )|(ment ac)|(system.+state.+changed )|(\|lc)|(penalty)|(\[timeout)|(PRM\|1\|D)|(kpr)|(kdp))" /e /r /s</v>
      </c>
      <c r="S38" s="9" t="str">
        <f t="shared" si="1"/>
        <v>4016</v>
      </c>
      <c r="T38" s="38">
        <f t="shared" si="2"/>
        <v>42614.129525462966</v>
      </c>
      <c r="U38" s="52" t="str">
        <f t="shared" si="3"/>
        <v>EC</v>
      </c>
      <c r="V38" s="52" t="str">
        <f t="shared" si="4"/>
        <v>KEEP</v>
      </c>
      <c r="W38" s="149" t="str">
        <f t="shared" si="5"/>
        <v>echo {"issue":{"subject":"","project_id":79,"tracker_id":40,"status_id":1,"priority_id":2,"assigned_to_id":23,"start_date":"2016-08-31","description":"","custom_fields":[{"id":1,"name":"Subdivision","value":"EC"},{"id":4,"name":"Milepost","value":"23.3491"},{"id":17,"name":"Train ID","value":"227-31"},{"id":16,"name":"Locomotive ID","value":"4016"},{"id":130,"name":"Impact","value":""},{"id":150,"name":"Time of Event (Mountain Time)","value":"21:06:31"},{"id":151,"name":"Denver Issue ID","value":""},{"id":178,"name":"Operational Impact","value":"Yes"},{"id":179,"name":"Denver Segment Assigned","value":""}]}} | curl -X POST -H "Content-Type: application/json" -H "X-Redmine-API-Key: d6333d4a04012a730768444271f8ca06482dae87" https://secure.xorail.net/redmine/issues.json --data @-</v>
      </c>
      <c r="X38" s="55"/>
      <c r="Y38" s="55"/>
      <c r="Z38" s="55"/>
    </row>
    <row r="39" spans="1:26" ht="15" customHeight="1" x14ac:dyDescent="0.25">
      <c r="A39" s="38">
        <v>42613.751840277779</v>
      </c>
      <c r="B39" s="33" t="s">
        <v>114</v>
      </c>
      <c r="C39" s="33" t="s">
        <v>678</v>
      </c>
      <c r="D39" s="33" t="s">
        <v>49</v>
      </c>
      <c r="E39" s="33" t="s">
        <v>56</v>
      </c>
      <c r="F39" s="49">
        <v>150</v>
      </c>
      <c r="G39" s="49">
        <v>270</v>
      </c>
      <c r="H39" s="49">
        <v>56340</v>
      </c>
      <c r="I39" s="33" t="s">
        <v>57</v>
      </c>
      <c r="J39" s="49">
        <v>57008</v>
      </c>
      <c r="K39" s="33" t="s">
        <v>52</v>
      </c>
      <c r="L39" s="92" t="str">
        <f>VLOOKUP(C39,'Trips&amp;Operators'!$C$1:$E$9999,3,0)</f>
        <v>HILLS</v>
      </c>
      <c r="M39" s="131" t="s">
        <v>86</v>
      </c>
      <c r="N39" s="10"/>
      <c r="O39" s="33"/>
      <c r="P39" s="108" t="str">
        <f>VLOOKUP(C39,'Train Runs'!$A$13:$AE$10013,31,0)</f>
        <v>aws s3 cp s3://rtdc.mdm.uploadarchive/RTDC4031/2016-08-31/ "%USERPROFILE%\AppData\Local\Temp\OnboardLogs"\RTDC4031\2016-08-31 --recursive &amp; "%USERPROFILE%\Documents\GitHub\mrs-test-scripts\Headless Mode &amp; Sideloading\WalkAndUnGZ.bat" "%USERPROFILE%\AppData\Local\Temp\OnboardLogs"\RTDC4031\2016-08-31 &amp; aws s3 cp s3://rtdc.mdm.uploadarchive/RTDC4031/2016-09-01/ "%USERPROFILE%\AppData\Local\Temp\OnboardLogs"\RTDC4031\2016-09-01 --recursive &amp; "%USERPROFILE%\Documents\GitHub\mrs-test-scripts\Headless Mode &amp; Sideloading\WalkAndUnGZ.bat" "%USERPROFILE%\AppData\Local\Temp\OnboardLogs"\RTDC4031\2016-09-01</v>
      </c>
      <c r="Q39" s="111" t="str">
        <f>VLOOKUP(C39,'Train Runs'!$A$13:$AE$10013,22,0)</f>
        <v>https://search-rtdc-monitor-bjffxe2xuh6vdkpspy63sjmuny.us-east-1.es.amazonaws.com/_plugin/kibana/#/discover/Steve-Slow-Train-Analysis-(2080s-and-2083s)?_g=(refreshInterval:(display:Off,section:0,value:0),time:(from:'2016-08-31 16:44:48-0600',mode:absolute,to:'2016-08-31 19:06:03-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4031%22')),sort:!(Time,asc))</v>
      </c>
      <c r="R39" s="113" t="str">
        <f t="shared" ref="R39:R56" si="6">astrogrep_path&amp;" /spath="&amp;search_path&amp;" /stypes=""*"&amp;S39&amp;"*"&amp;TEXT(A39-utc_offset/24,"YYYYMMDD")&amp;LEFT(TEXT(A39-utc_offset/24,"HH"),1)&amp;"*"" /stext="" "&amp;TEXT(A39-utc_offset/24,"HH")&amp;search_regexp&amp;""" /e /r /s"</f>
        <v>"C:\Program Files (x86)\AstroGrep\AstroGrep.exe" /spath="%USERPROFILE%\AppData\Local\Temp\OnboardLogs" /stypes="*4031*201609010*" /stext=" 00:.+((SYSTEM_STATE.+slice.+state.+changed )|(ment ac)|(system.+state.+changed )|(\|lc)|(penalty)|(\[timeout)|(PRM\|1\|D)|(kpr)|(kdp))" /e /r /s</v>
      </c>
      <c r="S39" s="9" t="str">
        <f t="shared" ref="S39:S56" si="7">MID(B39,13,4)</f>
        <v>4031</v>
      </c>
      <c r="T39" s="38">
        <f t="shared" ref="T39:T56" si="8">A39+6/24</f>
        <v>42614.001840277779</v>
      </c>
      <c r="U39" s="52" t="str">
        <f t="shared" ref="U39:U56" si="9">IF(VALUE(LEFT(IF(LEN(C39)=6,"0"&amp;C39,C39),2))&lt;=2,"EC",IF(OR(VALUE(LEFT(IF(LEN(C39)=6,"0"&amp;C39,C39),2))=8,VALUE(LEFT(IF(LEN(C39)=6,"0"&amp;C39,C39),2))=18),"NW","Other"))</f>
        <v>NW</v>
      </c>
      <c r="V39" s="52" t="str">
        <f t="shared" ref="V39:V56" si="10">IF(AND(E39="TRACK WARRANT AUTHORITY",G39&lt;10),"OMIT","KEEP")</f>
        <v>KEEP</v>
      </c>
      <c r="W39" s="149" t="str">
        <f t="shared" ref="W39:W56" si="11">"echo {""issue"":{""subject"":"""&amp;N39&amp;""",""project_id"":79,""tracker_id"":40,""status_id"":"&amp;redmine_status&amp;",""priority_id"":"&amp;redmine_priority&amp;",""assigned_to_id"":"&amp;redmine_assignee&amp;",""start_date"":"""&amp;TEXT(A39,"YYYY-mm-dd")&amp;""",""description"":"""&amp;X39&amp;""",""custom_fields"":[{""id"":1,""name"":""Subdivision"",""value"":"""&amp;U39&amp;"""},{""id"":4,""name"":""Milepost"",""value"":"""&amp;J39/10000&amp;"""},{""id"":17,""name"":""Train ID"",""value"":"""&amp;C39&amp;"""},{""id"":16,""name"":""Locomotive ID"",""value"":"""&amp;S39&amp;"""},{""id"":130,""name"":""Impact"",""value"":"""&amp;Y39&amp;"""},{""id"":150,""name"":""Time of Event (Mountain Time)"",""value"":"""&amp;TEXT(A39,"hh:mm:ss")&amp;"""},{""id"":151,""name"":""Denver Issue ID"",""value"":"""&amp;"""},{""id"":178,""name"":""Operational Impact"",""value"":"""&amp;redmine_op_impact&amp;"""},{""id"":179,""name"":""Denver Segment Assigned"",""value"":"""&amp;Z39&amp;"""}]}}"&amp;" | curl -X POST -H ""Content-Type: application/json"" -H ""X-Redmine-API-Key: "&amp;redm_api_key&amp;""" "&amp;redm_url&amp;" --data @-"</f>
        <v>echo {"issue":{"subject":"","project_id":79,"tracker_id":40,"status_id":1,"priority_id":2,"assigned_to_id":23,"start_date":"2016-08-31","description":"","custom_fields":[{"id":1,"name":"Subdivision","value":"NW"},{"id":4,"name":"Milepost","value":"5.7008"},{"id":17,"name":"Train ID","value":"835-31"},{"id":16,"name":"Locomotive ID","value":"4031"},{"id":130,"name":"Impact","value":""},{"id":150,"name":"Time of Event (Mountain Time)","value":"18:02:39"},{"id":151,"name":"Denver Issue ID","value":""},{"id":178,"name":"Operational Impact","value":"Yes"},{"id":179,"name":"Denver Segment Assigned","value":""}]}} | curl -X POST -H "Content-Type: application/json" -H "X-Redmine-API-Key: d6333d4a04012a730768444271f8ca06482dae87" https://secure.xorail.net/redmine/issues.json --data @-</v>
      </c>
      <c r="X39" s="55"/>
      <c r="Y39" s="55"/>
      <c r="Z39" s="55"/>
    </row>
    <row r="40" spans="1:26" x14ac:dyDescent="0.25">
      <c r="A40" s="38">
        <v>42613.333101851851</v>
      </c>
      <c r="B40" s="33" t="s">
        <v>114</v>
      </c>
      <c r="C40" s="33" t="s">
        <v>618</v>
      </c>
      <c r="D40" s="33" t="s">
        <v>49</v>
      </c>
      <c r="E40" s="33" t="s">
        <v>54</v>
      </c>
      <c r="F40" s="49">
        <v>0</v>
      </c>
      <c r="G40" s="49">
        <v>371</v>
      </c>
      <c r="H40" s="49">
        <v>34095</v>
      </c>
      <c r="I40" s="33" t="s">
        <v>55</v>
      </c>
      <c r="J40" s="49">
        <v>34583</v>
      </c>
      <c r="K40" s="33" t="s">
        <v>52</v>
      </c>
      <c r="L40" s="92" t="str">
        <f>VLOOKUP(C40,'Trips&amp;Operators'!$C$1:$E$9999,3,0)</f>
        <v>STARKS</v>
      </c>
      <c r="M40" s="131" t="s">
        <v>283</v>
      </c>
      <c r="N40" s="10" t="s">
        <v>737</v>
      </c>
      <c r="O40" s="33"/>
      <c r="P40" s="108" t="str">
        <f>VLOOKUP(C40,'Train Runs'!$A$13:$AE$10013,31,0)</f>
        <v>aws s3 cp s3://rtdc.mdm.uploadarchive/RTDC4031/2016-08-31/ "%USERPROFILE%\AppData\Local\Temp\OnboardLogs"\RTDC4031\2016-08-31 --recursive &amp; "%USERPROFILE%\Documents\GitHub\mrs-test-scripts\Headless Mode &amp; Sideloading\WalkAndUnGZ.bat" "%USERPROFILE%\AppData\Local\Temp\OnboardLogs"\RTDC4031\2016-08-31 &amp; aws s3 cp s3://rtdc.mdm.uploadarchive/RTDC4031/2016-09-01/ "%USERPROFILE%\AppData\Local\Temp\OnboardLogs"\RTDC4031\2016-09-01 --recursive &amp; "%USERPROFILE%\Documents\GitHub\mrs-test-scripts\Headless Mode &amp; Sideloading\WalkAndUnGZ.bat" "%USERPROFILE%\AppData\Local\Temp\OnboardLogs"\RTDC4031\2016-09-01</v>
      </c>
      <c r="Q40" s="111" t="str">
        <f>VLOOKUP(C40,'Train Runs'!$A$13:$AE$10013,22,0)</f>
        <v>https://search-rtdc-monitor-bjffxe2xuh6vdkpspy63sjmuny.us-east-1.es.amazonaws.com/_plugin/kibana/#/discover/Steve-Slow-Train-Analysis-(2080s-and-2083s)?_g=(refreshInterval:(display:Off,section:0,value:0),time:(from:'2016-08-31 06:46:30-0600',mode:absolute,to:'2016-08-31 09:08:21-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4031%22')),sort:!(Time,asc))</v>
      </c>
      <c r="R40" s="113" t="str">
        <f t="shared" si="6"/>
        <v>"C:\Program Files (x86)\AstroGrep\AstroGrep.exe" /spath="%USERPROFILE%\AppData\Local\Temp\OnboardLogs" /stypes="*4031*201608311*" /stext=" 13:.+((SYSTEM_STATE.+slice.+state.+changed )|(ment ac)|(system.+state.+changed )|(\|lc)|(penalty)|(\[timeout)|(PRM\|1\|D)|(kpr)|(kdp))" /e /r /s</v>
      </c>
      <c r="S40" s="9" t="str">
        <f t="shared" si="7"/>
        <v>4031</v>
      </c>
      <c r="T40" s="38">
        <f t="shared" si="8"/>
        <v>42613.583101851851</v>
      </c>
      <c r="U40" s="52" t="str">
        <f t="shared" si="9"/>
        <v>NW</v>
      </c>
      <c r="V40" s="52" t="str">
        <f t="shared" si="10"/>
        <v>KEEP</v>
      </c>
      <c r="W40" s="149" t="str">
        <f t="shared" si="11"/>
        <v>echo {"issue":{"subject":"Wi-MAX outage","project_id":79,"tracker_id":40,"status_id":1,"priority_id":2,"assigned_to_id":23,"start_date":"2016-08-31","description":"","custom_fields":[{"id":1,"name":"Subdivision","value":"NW"},{"id":4,"name":"Milepost","value":"3.4583"},{"id":17,"name":"Train ID","value":"809-31"},{"id":16,"name":"Locomotive ID","value":"4031"},{"id":130,"name":"Impact","value":""},{"id":150,"name":"Time of Event (Mountain Time)","value":"07:59:40"},{"id":151,"name":"Denver Issue ID","value":""},{"id":178,"name":"Operational Impact","value":"Yes"},{"id":179,"name":"Denver Segment Assigned","value":""}]}} | curl -X POST -H "Content-Type: application/json" -H "X-Redmine-API-Key: d6333d4a04012a730768444271f8ca06482dae87" https://secure.xorail.net/redmine/issues.json --data @-</v>
      </c>
      <c r="X40" s="55"/>
      <c r="Y40" s="55"/>
      <c r="Z40" s="55"/>
    </row>
    <row r="41" spans="1:26" x14ac:dyDescent="0.25">
      <c r="A41" s="38">
        <v>42613.496967592589</v>
      </c>
      <c r="B41" s="33" t="s">
        <v>721</v>
      </c>
      <c r="C41" s="33" t="s">
        <v>636</v>
      </c>
      <c r="D41" s="33" t="s">
        <v>49</v>
      </c>
      <c r="E41" s="33" t="s">
        <v>50</v>
      </c>
      <c r="F41" s="49">
        <v>0</v>
      </c>
      <c r="G41" s="49">
        <v>41</v>
      </c>
      <c r="H41" s="49">
        <v>712</v>
      </c>
      <c r="I41" s="33" t="s">
        <v>51</v>
      </c>
      <c r="J41" s="49">
        <v>575</v>
      </c>
      <c r="K41" s="33" t="s">
        <v>53</v>
      </c>
      <c r="L41" s="92" t="str">
        <f>VLOOKUP(C41,'Trips&amp;Operators'!$C$1:$E$9999,3,0)</f>
        <v>GEBRETEKLE</v>
      </c>
      <c r="M41" s="131" t="s">
        <v>86</v>
      </c>
      <c r="N41" s="10"/>
      <c r="O41" s="33"/>
      <c r="P41" s="108" t="str">
        <f>VLOOKUP(C41,'Train Runs'!$A$13:$AE$10013,31,0)</f>
        <v>aws s3 cp s3://rtdc.mdm.uploadarchive/RTDC4008/2016-08-31/ "%USERPROFILE%\AppData\Local\Temp\OnboardLogs"\RTDC4008\2016-08-31 --recursive &amp; "%USERPROFILE%\Documents\GitHub\mrs-test-scripts\Headless Mode &amp; Sideloading\WalkAndUnGZ.bat" "%USERPROFILE%\AppData\Local\Temp\OnboardLogs"\RTDC4008\2016-08-31 &amp; aws s3 cp s3://rtdc.mdm.uploadarchive/RTDC4008/2016-09-01/ "%USERPROFILE%\AppData\Local\Temp\OnboardLogs"\RTDC4008\2016-09-01 --recursive &amp; "%USERPROFILE%\Documents\GitHub\mrs-test-scripts\Headless Mode &amp; Sideloading\WalkAndUnGZ.bat" "%USERPROFILE%\AppData\Local\Temp\OnboardLogs"\RTDC4008\2016-09-01</v>
      </c>
      <c r="Q41" s="111" t="str">
        <f>VLOOKUP(C41,'Train Runs'!$A$13:$AE$10013,22,0)</f>
        <v>https://search-rtdc-monitor-bjffxe2xuh6vdkpspy63sjmuny.us-east-1.es.amazonaws.com/_plugin/kibana/#/discover/Steve-Slow-Train-Analysis-(2080s-and-2083s)?_g=(refreshInterval:(display:Off,section:0,value:0),time:(from:'2016-08-31 10:37:30-0600',mode:absolute,to:'2016-08-31 12:55:38-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4008%22')),sort:!(Time,asc))</v>
      </c>
      <c r="R41" s="113" t="str">
        <f t="shared" si="6"/>
        <v>"C:\Program Files (x86)\AstroGrep\AstroGrep.exe" /spath="%USERPROFILE%\AppData\Local\Temp\OnboardLogs" /stypes="*4008*201608311*" /stext=" 17:.+((SYSTEM_STATE.+slice.+state.+changed )|(ment ac)|(system.+state.+changed )|(\|lc)|(penalty)|(\[timeout)|(PRM\|1\|D)|(kpr)|(kdp))" /e /r /s</v>
      </c>
      <c r="S41" s="9" t="str">
        <f t="shared" si="7"/>
        <v>4008</v>
      </c>
      <c r="T41" s="38">
        <f t="shared" si="8"/>
        <v>42613.746967592589</v>
      </c>
      <c r="U41" s="52" t="str">
        <f t="shared" si="9"/>
        <v>NW</v>
      </c>
      <c r="V41" s="52" t="str">
        <f t="shared" si="10"/>
        <v>KEEP</v>
      </c>
      <c r="W41" s="149" t="str">
        <f t="shared" si="11"/>
        <v>echo {"issue":{"subject":"","project_id":79,"tracker_id":40,"status_id":1,"priority_id":2,"assigned_to_id":23,"start_date":"2016-08-31","description":"","custom_fields":[{"id":1,"name":"Subdivision","value":"NW"},{"id":4,"name":"Milepost","value":"0.0575"},{"id":17,"name":"Train ID","value":"818-31"},{"id":16,"name":"Locomotive ID","value":"4008"},{"id":130,"name":"Impact","value":""},{"id":150,"name":"Time of Event (Mountain Time)","value":"11:55:38"},{"id":151,"name":"Denver Issue ID","value":""},{"id":178,"name":"Operational Impact","value":"Yes"},{"id":179,"name":"Denver Segment Assigned","value":""}]}} | curl -X POST -H "Content-Type: application/json" -H "X-Redmine-API-Key: d6333d4a04012a730768444271f8ca06482dae87" https://secure.xorail.net/redmine/issues.json --data @-</v>
      </c>
      <c r="X41" s="55"/>
      <c r="Y41" s="55"/>
      <c r="Z41" s="55"/>
    </row>
    <row r="42" spans="1:26" x14ac:dyDescent="0.25">
      <c r="A42" s="38">
        <v>42613.537905092591</v>
      </c>
      <c r="B42" s="33" t="s">
        <v>721</v>
      </c>
      <c r="C42" s="33" t="s">
        <v>640</v>
      </c>
      <c r="D42" s="33" t="s">
        <v>49</v>
      </c>
      <c r="E42" s="33" t="s">
        <v>50</v>
      </c>
      <c r="F42" s="49">
        <v>0</v>
      </c>
      <c r="G42" s="49">
        <v>39</v>
      </c>
      <c r="H42" s="49">
        <v>680</v>
      </c>
      <c r="I42" s="33" t="s">
        <v>51</v>
      </c>
      <c r="J42" s="49">
        <v>575</v>
      </c>
      <c r="K42" s="33" t="s">
        <v>53</v>
      </c>
      <c r="L42" s="92" t="str">
        <f>VLOOKUP(C42,'Trips&amp;Operators'!$C$1:$E$9999,3,0)</f>
        <v>GEBRETEKLE</v>
      </c>
      <c r="M42" s="131" t="s">
        <v>86</v>
      </c>
      <c r="N42" s="10"/>
      <c r="O42" s="33"/>
      <c r="P42" s="108" t="str">
        <f>VLOOKUP(C42,'Train Runs'!$A$13:$AE$10013,31,0)</f>
        <v>aws s3 cp s3://rtdc.mdm.uploadarchive/RTDC4008/2016-08-31/ "%USERPROFILE%\AppData\Local\Temp\OnboardLogs"\RTDC4008\2016-08-31 --recursive &amp; "%USERPROFILE%\Documents\GitHub\mrs-test-scripts\Headless Mode &amp; Sideloading\WalkAndUnGZ.bat" "%USERPROFILE%\AppData\Local\Temp\OnboardLogs"\RTDC4008\2016-08-31 &amp; aws s3 cp s3://rtdc.mdm.uploadarchive/RTDC4008/2016-09-01/ "%USERPROFILE%\AppData\Local\Temp\OnboardLogs"\RTDC4008\2016-09-01 --recursive &amp; "%USERPROFILE%\Documents\GitHub\mrs-test-scripts\Headless Mode &amp; Sideloading\WalkAndUnGZ.bat" "%USERPROFILE%\AppData\Local\Temp\OnboardLogs"\RTDC4008\2016-09-01</v>
      </c>
      <c r="Q42" s="111" t="str">
        <f>VLOOKUP(C42,'Train Runs'!$A$13:$AE$10013,22,0)</f>
        <v>https://search-rtdc-monitor-bjffxe2xuh6vdkpspy63sjmuny.us-east-1.es.amazonaws.com/_plugin/kibana/#/discover/Steve-Slow-Train-Analysis-(2080s-and-2083s)?_g=(refreshInterval:(display:Off,section:0,value:0),time:(from:'2016-08-31 11:36:52-0600',mode:absolute,to:'2016-08-31 13:54:35-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4008%22')),sort:!(Time,asc))</v>
      </c>
      <c r="R42" s="113" t="str">
        <f t="shared" si="6"/>
        <v>"C:\Program Files (x86)\AstroGrep\AstroGrep.exe" /spath="%USERPROFILE%\AppData\Local\Temp\OnboardLogs" /stypes="*4008*201608311*" /stext=" 18:.+((SYSTEM_STATE.+slice.+state.+changed )|(ment ac)|(system.+state.+changed )|(\|lc)|(penalty)|(\[timeout)|(PRM\|1\|D)|(kpr)|(kdp))" /e /r /s</v>
      </c>
      <c r="S42" s="9" t="str">
        <f t="shared" si="7"/>
        <v>4008</v>
      </c>
      <c r="T42" s="38">
        <f t="shared" si="8"/>
        <v>42613.787905092591</v>
      </c>
      <c r="U42" s="52" t="str">
        <f t="shared" si="9"/>
        <v>NW</v>
      </c>
      <c r="V42" s="52" t="str">
        <f t="shared" si="10"/>
        <v>KEEP</v>
      </c>
      <c r="W42" s="149" t="str">
        <f t="shared" si="11"/>
        <v>echo {"issue":{"subject":"","project_id":79,"tracker_id":40,"status_id":1,"priority_id":2,"assigned_to_id":23,"start_date":"2016-08-31","description":"","custom_fields":[{"id":1,"name":"Subdivision","value":"NW"},{"id":4,"name":"Milepost","value":"0.0575"},{"id":17,"name":"Train ID","value":"820-31"},{"id":16,"name":"Locomotive ID","value":"4008"},{"id":130,"name":"Impact","value":""},{"id":150,"name":"Time of Event (Mountain Time)","value":"12:54:35"},{"id":151,"name":"Denver Issue ID","value":""},{"id":178,"name":"Operational Impact","value":"Yes"},{"id":179,"name":"Denver Segment Assigned","value":""}]}} | curl -X POST -H "Content-Type: application/json" -H "X-Redmine-API-Key: d6333d4a04012a730768444271f8ca06482dae87" https://secure.xorail.net/redmine/issues.json --data @-</v>
      </c>
      <c r="X42" s="55"/>
      <c r="Y42" s="55"/>
      <c r="Z42" s="55"/>
    </row>
    <row r="43" spans="1:26" x14ac:dyDescent="0.25">
      <c r="A43" s="38">
        <v>42613.621423611112</v>
      </c>
      <c r="B43" s="33" t="s">
        <v>721</v>
      </c>
      <c r="C43" s="33" t="s">
        <v>649</v>
      </c>
      <c r="D43" s="33" t="s">
        <v>49</v>
      </c>
      <c r="E43" s="33" t="s">
        <v>50</v>
      </c>
      <c r="F43" s="49">
        <v>0</v>
      </c>
      <c r="G43" s="49">
        <v>144</v>
      </c>
      <c r="H43" s="49">
        <v>1308</v>
      </c>
      <c r="I43" s="33" t="s">
        <v>51</v>
      </c>
      <c r="J43" s="49">
        <v>575</v>
      </c>
      <c r="K43" s="33" t="s">
        <v>53</v>
      </c>
      <c r="L43" s="92" t="str">
        <f>VLOOKUP(C43,'Trips&amp;Operators'!$C$1:$E$9999,3,0)</f>
        <v>MOSES</v>
      </c>
      <c r="M43" s="131" t="s">
        <v>86</v>
      </c>
      <c r="N43" s="10"/>
      <c r="O43" s="33"/>
      <c r="P43" s="108" t="str">
        <f>VLOOKUP(C43,'Train Runs'!$A$13:$AE$10013,31,0)</f>
        <v>aws s3 cp s3://rtdc.mdm.uploadarchive/RTDC4008/2016-08-31/ "%USERPROFILE%\AppData\Local\Temp\OnboardLogs"\RTDC4008\2016-08-31 --recursive &amp; "%USERPROFILE%\Documents\GitHub\mrs-test-scripts\Headless Mode &amp; Sideloading\WalkAndUnGZ.bat" "%USERPROFILE%\AppData\Local\Temp\OnboardLogs"\RTDC4008\2016-08-31 &amp; aws s3 cp s3://rtdc.mdm.uploadarchive/RTDC4008/2016-09-01/ "%USERPROFILE%\AppData\Local\Temp\OnboardLogs"\RTDC4008\2016-09-01 --recursive &amp; "%USERPROFILE%\Documents\GitHub\mrs-test-scripts\Headless Mode &amp; Sideloading\WalkAndUnGZ.bat" "%USERPROFILE%\AppData\Local\Temp\OnboardLogs"\RTDC4008\2016-09-01</v>
      </c>
      <c r="Q43" s="111" t="str">
        <f>VLOOKUP(C43,'Train Runs'!$A$13:$AE$10013,22,0)</f>
        <v>https://search-rtdc-monitor-bjffxe2xuh6vdkpspy63sjmuny.us-east-1.es.amazonaws.com/_plugin/kibana/#/discover/Steve-Slow-Train-Analysis-(2080s-and-2083s)?_g=(refreshInterval:(display:Off,section:0,value:0),time:(from:'2016-08-31 13:37:06-0600',mode:absolute,to:'2016-08-31 15:54:51-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4008%22')),sort:!(Time,asc))</v>
      </c>
      <c r="R43" s="113" t="str">
        <f t="shared" si="6"/>
        <v>"C:\Program Files (x86)\AstroGrep\AstroGrep.exe" /spath="%USERPROFILE%\AppData\Local\Temp\OnboardLogs" /stypes="*4008*201608312*" /stext=" 20:.+((SYSTEM_STATE.+slice.+state.+changed )|(ment ac)|(system.+state.+changed )|(\|lc)|(penalty)|(\[timeout)|(PRM\|1\|D)|(kpr)|(kdp))" /e /r /s</v>
      </c>
      <c r="S43" s="9" t="str">
        <f t="shared" si="7"/>
        <v>4008</v>
      </c>
      <c r="T43" s="38">
        <f t="shared" si="8"/>
        <v>42613.871423611112</v>
      </c>
      <c r="U43" s="52" t="str">
        <f t="shared" si="9"/>
        <v>NW</v>
      </c>
      <c r="V43" s="52" t="str">
        <f t="shared" si="10"/>
        <v>KEEP</v>
      </c>
      <c r="W43" s="149" t="str">
        <f t="shared" si="11"/>
        <v>echo {"issue":{"subject":"","project_id":79,"tracker_id":40,"status_id":1,"priority_id":2,"assigned_to_id":23,"start_date":"2016-08-31","description":"","custom_fields":[{"id":1,"name":"Subdivision","value":"NW"},{"id":4,"name":"Milepost","value":"0.0575"},{"id":17,"name":"Train ID","value":"824-31"},{"id":16,"name":"Locomotive ID","value":"4008"},{"id":130,"name":"Impact","value":""},{"id":150,"name":"Time of Event (Mountain Time)","value":"14:54:51"},{"id":151,"name":"Denver Issue ID","value":""},{"id":178,"name":"Operational Impact","value":"Yes"},{"id":179,"name":"Denver Segment Assigned","value":""}]}} | curl -X POST -H "Content-Type: application/json" -H "X-Redmine-API-Key: d6333d4a04012a730768444271f8ca06482dae87" https://secure.xorail.net/redmine/issues.json --data @-</v>
      </c>
      <c r="X43" s="55"/>
      <c r="Y43" s="55"/>
      <c r="Z43" s="55"/>
    </row>
    <row r="44" spans="1:26" x14ac:dyDescent="0.25">
      <c r="A44" s="38">
        <v>42613.62296296296</v>
      </c>
      <c r="B44" s="33" t="s">
        <v>721</v>
      </c>
      <c r="C44" s="33" t="s">
        <v>649</v>
      </c>
      <c r="D44" s="33" t="s">
        <v>49</v>
      </c>
      <c r="E44" s="33" t="s">
        <v>50</v>
      </c>
      <c r="F44" s="49">
        <v>0</v>
      </c>
      <c r="G44" s="49">
        <v>23</v>
      </c>
      <c r="H44" s="49">
        <v>617</v>
      </c>
      <c r="I44" s="33" t="s">
        <v>51</v>
      </c>
      <c r="J44" s="49">
        <v>575</v>
      </c>
      <c r="K44" s="33" t="s">
        <v>53</v>
      </c>
      <c r="L44" s="92" t="str">
        <f>VLOOKUP(C44,'Trips&amp;Operators'!$C$1:$E$9999,3,0)</f>
        <v>MOSES</v>
      </c>
      <c r="M44" s="131" t="s">
        <v>86</v>
      </c>
      <c r="N44" s="10"/>
      <c r="O44" s="33"/>
      <c r="P44" s="108" t="str">
        <f>VLOOKUP(C44,'Train Runs'!$A$13:$AE$10013,31,0)</f>
        <v>aws s3 cp s3://rtdc.mdm.uploadarchive/RTDC4008/2016-08-31/ "%USERPROFILE%\AppData\Local\Temp\OnboardLogs"\RTDC4008\2016-08-31 --recursive &amp; "%USERPROFILE%\Documents\GitHub\mrs-test-scripts\Headless Mode &amp; Sideloading\WalkAndUnGZ.bat" "%USERPROFILE%\AppData\Local\Temp\OnboardLogs"\RTDC4008\2016-08-31 &amp; aws s3 cp s3://rtdc.mdm.uploadarchive/RTDC4008/2016-09-01/ "%USERPROFILE%\AppData\Local\Temp\OnboardLogs"\RTDC4008\2016-09-01 --recursive &amp; "%USERPROFILE%\Documents\GitHub\mrs-test-scripts\Headless Mode &amp; Sideloading\WalkAndUnGZ.bat" "%USERPROFILE%\AppData\Local\Temp\OnboardLogs"\RTDC4008\2016-09-01</v>
      </c>
      <c r="Q44" s="111" t="str">
        <f>VLOOKUP(C44,'Train Runs'!$A$13:$AE$10013,22,0)</f>
        <v>https://search-rtdc-monitor-bjffxe2xuh6vdkpspy63sjmuny.us-east-1.es.amazonaws.com/_plugin/kibana/#/discover/Steve-Slow-Train-Analysis-(2080s-and-2083s)?_g=(refreshInterval:(display:Off,section:0,value:0),time:(from:'2016-08-31 13:37:06-0600',mode:absolute,to:'2016-08-31 15:54:51-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4008%22')),sort:!(Time,asc))</v>
      </c>
      <c r="R44" s="113" t="str">
        <f t="shared" si="6"/>
        <v>"C:\Program Files (x86)\AstroGrep\AstroGrep.exe" /spath="%USERPROFILE%\AppData\Local\Temp\OnboardLogs" /stypes="*4008*201608312*" /stext=" 20:.+((SYSTEM_STATE.+slice.+state.+changed )|(ment ac)|(system.+state.+changed )|(\|lc)|(penalty)|(\[timeout)|(PRM\|1\|D)|(kpr)|(kdp))" /e /r /s</v>
      </c>
      <c r="S44" s="9" t="str">
        <f t="shared" si="7"/>
        <v>4008</v>
      </c>
      <c r="T44" s="38">
        <f t="shared" si="8"/>
        <v>42613.87296296296</v>
      </c>
      <c r="U44" s="52" t="str">
        <f t="shared" si="9"/>
        <v>NW</v>
      </c>
      <c r="V44" s="52" t="str">
        <f t="shared" si="10"/>
        <v>KEEP</v>
      </c>
      <c r="W44" s="149" t="str">
        <f t="shared" si="11"/>
        <v>echo {"issue":{"subject":"","project_id":79,"tracker_id":40,"status_id":1,"priority_id":2,"assigned_to_id":23,"start_date":"2016-08-31","description":"","custom_fields":[{"id":1,"name":"Subdivision","value":"NW"},{"id":4,"name":"Milepost","value":"0.0575"},{"id":17,"name":"Train ID","value":"824-31"},{"id":16,"name":"Locomotive ID","value":"4008"},{"id":130,"name":"Impact","value":""},{"id":150,"name":"Time of Event (Mountain Time)","value":"14:57:04"},{"id":151,"name":"Denver Issue ID","value":""},{"id":178,"name":"Operational Impact","value":"Yes"},{"id":179,"name":"Denver Segment Assigned","value":""}]}} | curl -X POST -H "Content-Type: application/json" -H "X-Redmine-API-Key: d6333d4a04012a730768444271f8ca06482dae87" https://secure.xorail.net/redmine/issues.json --data @-</v>
      </c>
      <c r="X44" s="55"/>
      <c r="Y44" s="55"/>
      <c r="Z44" s="55"/>
    </row>
    <row r="45" spans="1:26" x14ac:dyDescent="0.25">
      <c r="A45" s="38">
        <v>42613.663923611108</v>
      </c>
      <c r="B45" s="33" t="s">
        <v>721</v>
      </c>
      <c r="C45" s="33" t="s">
        <v>654</v>
      </c>
      <c r="D45" s="33" t="s">
        <v>49</v>
      </c>
      <c r="E45" s="33" t="s">
        <v>50</v>
      </c>
      <c r="F45" s="49">
        <v>0</v>
      </c>
      <c r="G45" s="49">
        <v>39</v>
      </c>
      <c r="H45" s="49">
        <v>687</v>
      </c>
      <c r="I45" s="33" t="s">
        <v>51</v>
      </c>
      <c r="J45" s="49">
        <v>575</v>
      </c>
      <c r="K45" s="33" t="s">
        <v>53</v>
      </c>
      <c r="L45" s="92" t="str">
        <f>VLOOKUP(C45,'Trips&amp;Operators'!$C$1:$E$9999,3,0)</f>
        <v>MOSES</v>
      </c>
      <c r="M45" s="131" t="s">
        <v>86</v>
      </c>
      <c r="N45" s="10"/>
      <c r="O45" s="33"/>
      <c r="P45" s="108" t="str">
        <f>VLOOKUP(C45,'Train Runs'!$A$13:$AE$10013,31,0)</f>
        <v>aws s3 cp s3://rtdc.mdm.uploadarchive/RTDC4008/2016-08-31/ "%USERPROFILE%\AppData\Local\Temp\OnboardLogs"\RTDC4008\2016-08-31 --recursive &amp; "%USERPROFILE%\Documents\GitHub\mrs-test-scripts\Headless Mode &amp; Sideloading\WalkAndUnGZ.bat" "%USERPROFILE%\AppData\Local\Temp\OnboardLogs"\RTDC4008\2016-08-31 &amp; aws s3 cp s3://rtdc.mdm.uploadarchive/RTDC4008/2016-09-01/ "%USERPROFILE%\AppData\Local\Temp\OnboardLogs"\RTDC4008\2016-09-01 --recursive &amp; "%USERPROFILE%\Documents\GitHub\mrs-test-scripts\Headless Mode &amp; Sideloading\WalkAndUnGZ.bat" "%USERPROFILE%\AppData\Local\Temp\OnboardLogs"\RTDC4008\2016-09-01</v>
      </c>
      <c r="Q45" s="111" t="str">
        <f>VLOOKUP(C45,'Train Runs'!$A$13:$AE$10013,22,0)</f>
        <v>https://search-rtdc-monitor-bjffxe2xuh6vdkpspy63sjmuny.us-east-1.es.amazonaws.com/_plugin/kibana/#/discover/Steve-Slow-Train-Analysis-(2080s-and-2083s)?_g=(refreshInterval:(display:Off,section:0,value:0),time:(from:'2016-08-31 14:38:12-0600',mode:absolute,to:'2016-08-31 16:56:03-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4008%22')),sort:!(Time,asc))</v>
      </c>
      <c r="R45" s="113" t="str">
        <f t="shared" si="6"/>
        <v>"C:\Program Files (x86)\AstroGrep\AstroGrep.exe" /spath="%USERPROFILE%\AppData\Local\Temp\OnboardLogs" /stypes="*4008*201608312*" /stext=" 21:.+((SYSTEM_STATE.+slice.+state.+changed )|(ment ac)|(system.+state.+changed )|(\|lc)|(penalty)|(\[timeout)|(PRM\|1\|D)|(kpr)|(kdp))" /e /r /s</v>
      </c>
      <c r="S45" s="9" t="str">
        <f t="shared" si="7"/>
        <v>4008</v>
      </c>
      <c r="T45" s="38">
        <f t="shared" si="8"/>
        <v>42613.913923611108</v>
      </c>
      <c r="U45" s="52" t="str">
        <f t="shared" si="9"/>
        <v>NW</v>
      </c>
      <c r="V45" s="52" t="str">
        <f t="shared" si="10"/>
        <v>KEEP</v>
      </c>
      <c r="W45" s="149" t="str">
        <f t="shared" si="11"/>
        <v>echo {"issue":{"subject":"","project_id":79,"tracker_id":40,"status_id":1,"priority_id":2,"assigned_to_id":23,"start_date":"2016-08-31","description":"From 08-24-2016 13:14:05.327 until 13:28:22.128, 61st 2S should have been clear (controls sent to it the entire time was CLEAR). However, it cycled back and forth between PROCEED CAB and STOP. Any ideas why?","custom_fields":[{"id":1,"name":"Subdivision","value":"NW"},{"id":4,"name":"Milepost","value":"0.0575"},{"id":17,"name":"Train ID","value":"826-31"},{"id":16,"name":"Locomotive ID","value":"4008"},{"id":130,"name":"Impact","value":"Enforcement"},{"id":150,"name":"Time of Event (Mountain Time)","value":"15:56:03"},{"id":151,"name":"Denver Issue ID","value":""},{"id":178,"name":"Operational Impact","value":"Yes"},{"id":179,"name":"Denver Segment Assigned","value":"Signal"}]}} | curl -X POST -H "Content-Type: application/json" -H "X-Redmine-API-Key: d6333d4a04012a730768444271f8ca06482dae87" https://secure.xorail.net/redmine/issues.json --data @-</v>
      </c>
      <c r="X45" s="55" t="s">
        <v>224</v>
      </c>
      <c r="Y45" s="55" t="s">
        <v>195</v>
      </c>
      <c r="Z45" s="55" t="s">
        <v>200</v>
      </c>
    </row>
    <row r="46" spans="1:26" x14ac:dyDescent="0.25">
      <c r="A46" s="38">
        <v>42613.748379629629</v>
      </c>
      <c r="B46" s="33" t="s">
        <v>721</v>
      </c>
      <c r="C46" s="33" t="s">
        <v>676</v>
      </c>
      <c r="D46" s="33" t="s">
        <v>49</v>
      </c>
      <c r="E46" s="33" t="s">
        <v>50</v>
      </c>
      <c r="F46" s="49">
        <v>0</v>
      </c>
      <c r="G46" s="49">
        <v>28</v>
      </c>
      <c r="H46" s="49">
        <v>636</v>
      </c>
      <c r="I46" s="33" t="s">
        <v>51</v>
      </c>
      <c r="J46" s="49">
        <v>575</v>
      </c>
      <c r="K46" s="33" t="s">
        <v>53</v>
      </c>
      <c r="L46" s="92" t="str">
        <f>VLOOKUP(C46,'Trips&amp;Operators'!$C$1:$E$9999,3,0)</f>
        <v>MOSES</v>
      </c>
      <c r="M46" s="131" t="s">
        <v>86</v>
      </c>
      <c r="N46" s="10"/>
      <c r="O46" s="33"/>
      <c r="P46" s="108" t="str">
        <f>VLOOKUP(C46,'Train Runs'!$A$13:$AE$10013,31,0)</f>
        <v>aws s3 cp s3://rtdc.mdm.uploadarchive/RTDC4008/2016-08-31/ "%USERPROFILE%\AppData\Local\Temp\OnboardLogs"\RTDC4008\2016-08-31 --recursive &amp; "%USERPROFILE%\Documents\GitHub\mrs-test-scripts\Headless Mode &amp; Sideloading\WalkAndUnGZ.bat" "%USERPROFILE%\AppData\Local\Temp\OnboardLogs"\RTDC4008\2016-08-31 &amp; aws s3 cp s3://rtdc.mdm.uploadarchive/RTDC4008/2016-09-01/ "%USERPROFILE%\AppData\Local\Temp\OnboardLogs"\RTDC4008\2016-09-01 --recursive &amp; "%USERPROFILE%\Documents\GitHub\mrs-test-scripts\Headless Mode &amp; Sideloading\WalkAndUnGZ.bat" "%USERPROFILE%\AppData\Local\Temp\OnboardLogs"\RTDC4008\2016-09-01</v>
      </c>
      <c r="Q46" s="111" t="str">
        <f>VLOOKUP(C46,'Train Runs'!$A$13:$AE$10013,22,0)</f>
        <v>https://search-rtdc-monitor-bjffxe2xuh6vdkpspy63sjmuny.us-east-1.es.amazonaws.com/_plugin/kibana/#/discover/Steve-Slow-Train-Analysis-(2080s-and-2083s)?_g=(refreshInterval:(display:Off,section:0,value:0),time:(from:'2016-08-31 16:36:52-0600',mode:absolute,to:'2016-08-31 18:57:40-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4008%22')),sort:!(Time,asc))</v>
      </c>
      <c r="R46" s="113" t="str">
        <f t="shared" si="6"/>
        <v>"C:\Program Files (x86)\AstroGrep\AstroGrep.exe" /spath="%USERPROFILE%\AppData\Local\Temp\OnboardLogs" /stypes="*4008*201608312*" /stext=" 23:.+((SYSTEM_STATE.+slice.+state.+changed )|(ment ac)|(system.+state.+changed )|(\|lc)|(penalty)|(\[timeout)|(PRM\|1\|D)|(kpr)|(kdp))" /e /r /s</v>
      </c>
      <c r="S46" s="9" t="str">
        <f t="shared" si="7"/>
        <v>4008</v>
      </c>
      <c r="T46" s="38">
        <f t="shared" si="8"/>
        <v>42613.998379629629</v>
      </c>
      <c r="U46" s="52" t="str">
        <f t="shared" si="9"/>
        <v>NW</v>
      </c>
      <c r="V46" s="52" t="str">
        <f t="shared" si="10"/>
        <v>KEEP</v>
      </c>
      <c r="W46" s="149" t="str">
        <f t="shared" si="11"/>
        <v>echo {"issue":{"subject":"","project_id":79,"tracker_id":40,"status_id":1,"priority_id":2,"assigned_to_id":23,"start_date":"2016-08-31","description":"","custom_fields":[{"id":1,"name":"Subdivision","value":"NW"},{"id":4,"name":"Milepost","value":"0.0575"},{"id":17,"name":"Train ID","value":"834-31"},{"id":16,"name":"Locomotive ID","value":"4008"},{"id":130,"name":"Impact","value":""},{"id":150,"name":"Time of Event (Mountain Time)","value":"17:57:40"},{"id":151,"name":"Denver Issue ID","value":""},{"id":178,"name":"Operational Impact","value":"Yes"},{"id":179,"name":"Denver Segment Assigned","value":""}]}} | curl -X POST -H "Content-Type: application/json" -H "X-Redmine-API-Key: d6333d4a04012a730768444271f8ca06482dae87" https://secure.xorail.net/redmine/issues.json --data @-</v>
      </c>
      <c r="X46" s="55"/>
      <c r="Y46" s="55"/>
      <c r="Z46" s="55"/>
    </row>
    <row r="47" spans="1:26" x14ac:dyDescent="0.25">
      <c r="A47" s="38">
        <v>42613.671354166669</v>
      </c>
      <c r="B47" s="33" t="s">
        <v>114</v>
      </c>
      <c r="C47" s="33" t="s">
        <v>657</v>
      </c>
      <c r="D47" s="33" t="s">
        <v>49</v>
      </c>
      <c r="E47" s="33" t="s">
        <v>50</v>
      </c>
      <c r="F47" s="49">
        <v>0</v>
      </c>
      <c r="G47" s="49">
        <v>67</v>
      </c>
      <c r="H47" s="49">
        <v>58864</v>
      </c>
      <c r="I47" s="33" t="s">
        <v>51</v>
      </c>
      <c r="J47" s="49">
        <v>59048</v>
      </c>
      <c r="K47" s="33" t="s">
        <v>52</v>
      </c>
      <c r="L47" s="92" t="str">
        <f>VLOOKUP(C47,'Trips&amp;Operators'!$C$1:$E$9999,3,0)</f>
        <v>HILLS</v>
      </c>
      <c r="M47" s="131" t="s">
        <v>86</v>
      </c>
      <c r="N47" s="10"/>
      <c r="O47" s="33"/>
      <c r="P47" s="108" t="str">
        <f>VLOOKUP(C47,'Train Runs'!$A$13:$AE$10013,31,0)</f>
        <v>aws s3 cp s3://rtdc.mdm.uploadarchive/RTDC4031/2016-08-31/ "%USERPROFILE%\AppData\Local\Temp\OnboardLogs"\RTDC4031\2016-08-31 --recursive &amp; "%USERPROFILE%\Documents\GitHub\mrs-test-scripts\Headless Mode &amp; Sideloading\WalkAndUnGZ.bat" "%USERPROFILE%\AppData\Local\Temp\OnboardLogs"\RTDC4031\2016-08-31 &amp; aws s3 cp s3://rtdc.mdm.uploadarchive/RTDC4031/2016-09-01/ "%USERPROFILE%\AppData\Local\Temp\OnboardLogs"\RTDC4031\2016-09-01 --recursive &amp; "%USERPROFILE%\Documents\GitHub\mrs-test-scripts\Headless Mode &amp; Sideloading\WalkAndUnGZ.bat" "%USERPROFILE%\AppData\Local\Temp\OnboardLogs"\RTDC4031\2016-09-01</v>
      </c>
      <c r="Q47" s="111" t="str">
        <f>VLOOKUP(C47,'Train Runs'!$A$13:$AE$10013,22,0)</f>
        <v>https://search-rtdc-monitor-bjffxe2xuh6vdkpspy63sjmuny.us-east-1.es.amazonaws.com/_plugin/kibana/#/discover/Steve-Slow-Train-Analysis-(2080s-and-2083s)?_g=(refreshInterval:(display:Off,section:0,value:0),time:(from:'2016-08-31 14:45:07-0600',mode:absolute,to:'2016-08-31 17:07:36-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4031%22')),sort:!(Time,asc))</v>
      </c>
      <c r="R47" s="113" t="str">
        <f t="shared" si="6"/>
        <v>"C:\Program Files (x86)\AstroGrep\AstroGrep.exe" /spath="%USERPROFILE%\AppData\Local\Temp\OnboardLogs" /stypes="*4031*201608312*" /stext=" 22:.+((SYSTEM_STATE.+slice.+state.+changed )|(ment ac)|(system.+state.+changed )|(\|lc)|(penalty)|(\[timeout)|(PRM\|1\|D)|(kpr)|(kdp))" /e /r /s</v>
      </c>
      <c r="S47" s="9" t="str">
        <f t="shared" si="7"/>
        <v>4031</v>
      </c>
      <c r="T47" s="38">
        <f t="shared" si="8"/>
        <v>42613.921354166669</v>
      </c>
      <c r="U47" s="52" t="str">
        <f t="shared" si="9"/>
        <v>NW</v>
      </c>
      <c r="V47" s="52" t="str">
        <f t="shared" si="10"/>
        <v>KEEP</v>
      </c>
      <c r="W47" s="149" t="str">
        <f t="shared" si="11"/>
        <v>echo {"issue":{"subject":"","project_id":79,"tracker_id":40,"status_id":1,"priority_id":2,"assigned_to_id":23,"start_date":"2016-08-31","description":"","custom_fields":[{"id":1,"name":"Subdivision","value":"NW"},{"id":4,"name":"Milepost","value":"5.9048"},{"id":17,"name":"Train ID","value":"827-31"},{"id":16,"name":"Locomotive ID","value":"4031"},{"id":130,"name":"Impact","value":""},{"id":150,"name":"Time of Event (Mountain Time)","value":"16:06:45"},{"id":151,"name":"Denver Issue ID","value":""},{"id":178,"name":"Operational Impact","value":"Yes"},{"id":179,"name":"Denver Segment Assigned","value":""}]}} | curl -X POST -H "Content-Type: application/json" -H "X-Redmine-API-Key: d6333d4a04012a730768444271f8ca06482dae87" https://secure.xorail.net/redmine/issues.json --data @-</v>
      </c>
      <c r="X47" s="55"/>
      <c r="Y47" s="55"/>
      <c r="Z47" s="55"/>
    </row>
    <row r="48" spans="1:26" x14ac:dyDescent="0.25">
      <c r="A48" s="38">
        <v>42613.712002314816</v>
      </c>
      <c r="B48" s="33" t="s">
        <v>114</v>
      </c>
      <c r="C48" s="33" t="s">
        <v>669</v>
      </c>
      <c r="D48" s="33" t="s">
        <v>49</v>
      </c>
      <c r="E48" s="33" t="s">
        <v>50</v>
      </c>
      <c r="F48" s="49">
        <v>0</v>
      </c>
      <c r="G48" s="49">
        <v>115</v>
      </c>
      <c r="H48" s="49">
        <v>58658</v>
      </c>
      <c r="I48" s="33" t="s">
        <v>51</v>
      </c>
      <c r="J48" s="49">
        <v>59048</v>
      </c>
      <c r="K48" s="33" t="s">
        <v>52</v>
      </c>
      <c r="L48" s="92" t="str">
        <f>VLOOKUP(C48,'Trips&amp;Operators'!$C$1:$E$9999,3,0)</f>
        <v>HILLS</v>
      </c>
      <c r="M48" s="131" t="s">
        <v>86</v>
      </c>
      <c r="N48" s="10"/>
      <c r="O48" s="33"/>
      <c r="P48" s="108" t="str">
        <f>VLOOKUP(C48,'Train Runs'!$A$13:$AE$10013,31,0)</f>
        <v>aws s3 cp s3://rtdc.mdm.uploadarchive/RTDC4031/2016-08-31/ "%USERPROFILE%\AppData\Local\Temp\OnboardLogs"\RTDC4031\2016-08-31 --recursive &amp; "%USERPROFILE%\Documents\GitHub\mrs-test-scripts\Headless Mode &amp; Sideloading\WalkAndUnGZ.bat" "%USERPROFILE%\AppData\Local\Temp\OnboardLogs"\RTDC4031\2016-08-31 &amp; aws s3 cp s3://rtdc.mdm.uploadarchive/RTDC4031/2016-09-01/ "%USERPROFILE%\AppData\Local\Temp\OnboardLogs"\RTDC4031\2016-09-01 --recursive &amp; "%USERPROFILE%\Documents\GitHub\mrs-test-scripts\Headless Mode &amp; Sideloading\WalkAndUnGZ.bat" "%USERPROFILE%\AppData\Local\Temp\OnboardLogs"\RTDC4031\2016-09-01</v>
      </c>
      <c r="Q48" s="111" t="str">
        <f>VLOOKUP(C48,'Train Runs'!$A$13:$AE$10013,22,0)</f>
        <v>https://search-rtdc-monitor-bjffxe2xuh6vdkpspy63sjmuny.us-east-1.es.amazonaws.com/_plugin/kibana/#/discover/Steve-Slow-Train-Analysis-(2080s-and-2083s)?_g=(refreshInterval:(display:Off,section:0,value:0),time:(from:'2016-08-31 15:34:51-0600',mode:absolute,to:'2016-08-31 18:06:20-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4031%22')),sort:!(Time,asc))</v>
      </c>
      <c r="R48" s="113" t="str">
        <f t="shared" si="6"/>
        <v>"C:\Program Files (x86)\AstroGrep\AstroGrep.exe" /spath="%USERPROFILE%\AppData\Local\Temp\OnboardLogs" /stypes="*4031*201608312*" /stext=" 23:.+((SYSTEM_STATE.+slice.+state.+changed )|(ment ac)|(system.+state.+changed )|(\|lc)|(penalty)|(\[timeout)|(PRM\|1\|D)|(kpr)|(kdp))" /e /r /s</v>
      </c>
      <c r="S48" s="9" t="str">
        <f t="shared" si="7"/>
        <v>4031</v>
      </c>
      <c r="T48" s="38">
        <f t="shared" si="8"/>
        <v>42613.962002314816</v>
      </c>
      <c r="U48" s="52" t="str">
        <f t="shared" si="9"/>
        <v>NW</v>
      </c>
      <c r="V48" s="52" t="str">
        <f t="shared" si="10"/>
        <v>KEEP</v>
      </c>
      <c r="W48" s="149" t="str">
        <f t="shared" si="11"/>
        <v>echo {"issue":{"subject":"","project_id":79,"tracker_id":40,"status_id":1,"priority_id":2,"assigned_to_id":23,"start_date":"2016-08-31","description":"","custom_fields":[{"id":1,"name":"Subdivision","value":"NW"},{"id":4,"name":"Milepost","value":"5.9048"},{"id":17,"name":"Train ID","value":"831-31"},{"id":16,"name":"Locomotive ID","value":"4031"},{"id":130,"name":"Impact","value":""},{"id":150,"name":"Time of Event (Mountain Time)","value":"17:05:17"},{"id":151,"name":"Denver Issue ID","value":""},{"id":178,"name":"Operational Impact","value":"Yes"},{"id":179,"name":"Denver Segment Assigned","value":""}]}} | curl -X POST -H "Content-Type: application/json" -H "X-Redmine-API-Key: d6333d4a04012a730768444271f8ca06482dae87" https://secure.xorail.net/redmine/issues.json --data @-</v>
      </c>
      <c r="X48" s="55"/>
      <c r="Y48" s="55"/>
      <c r="Z48" s="55"/>
    </row>
    <row r="49" spans="1:26" x14ac:dyDescent="0.25">
      <c r="A49" s="38">
        <v>42613.732858796298</v>
      </c>
      <c r="B49" s="33" t="s">
        <v>722</v>
      </c>
      <c r="C49" s="33" t="s">
        <v>674</v>
      </c>
      <c r="D49" s="33" t="s">
        <v>49</v>
      </c>
      <c r="E49" s="33" t="s">
        <v>50</v>
      </c>
      <c r="F49" s="49">
        <v>0</v>
      </c>
      <c r="G49" s="49">
        <v>60</v>
      </c>
      <c r="H49" s="49">
        <v>58873</v>
      </c>
      <c r="I49" s="33" t="s">
        <v>51</v>
      </c>
      <c r="J49" s="49">
        <v>59048</v>
      </c>
      <c r="K49" s="33" t="s">
        <v>52</v>
      </c>
      <c r="L49" s="92" t="str">
        <f>VLOOKUP(C49,'Trips&amp;Operators'!$C$1:$E$9999,3,0)</f>
        <v>MOSES</v>
      </c>
      <c r="M49" s="131" t="s">
        <v>86</v>
      </c>
      <c r="N49" s="10"/>
      <c r="O49" s="33"/>
      <c r="P49" s="108" t="str">
        <f>VLOOKUP(C49,'Train Runs'!$A$13:$AE$10013,31,0)</f>
        <v>aws s3 cp s3://rtdc.mdm.uploadarchive/RTDC4007/2016-08-31/ "%USERPROFILE%\AppData\Local\Temp\OnboardLogs"\RTDC4007\2016-08-31 --recursive &amp; "%USERPROFILE%\Documents\GitHub\mrs-test-scripts\Headless Mode &amp; Sideloading\WalkAndUnGZ.bat" "%USERPROFILE%\AppData\Local\Temp\OnboardLogs"\RTDC4007\2016-08-31 &amp; aws s3 cp s3://rtdc.mdm.uploadarchive/RTDC4007/2016-09-01/ "%USERPROFILE%\AppData\Local\Temp\OnboardLogs"\RTDC4007\2016-09-01 --recursive &amp; "%USERPROFILE%\Documents\GitHub\mrs-test-scripts\Headless Mode &amp; Sideloading\WalkAndUnGZ.bat" "%USERPROFILE%\AppData\Local\Temp\OnboardLogs"\RTDC4007\2016-09-01</v>
      </c>
      <c r="Q49" s="111" t="str">
        <f>VLOOKUP(C49,'Train Runs'!$A$13:$AE$10013,22,0)</f>
        <v>https://search-rtdc-monitor-bjffxe2xuh6vdkpspy63sjmuny.us-east-1.es.amazonaws.com/_plugin/kibana/#/discover/Steve-Slow-Train-Analysis-(2080s-and-2083s)?_g=(refreshInterval:(display:Off,section:0,value:0),time:(from:'2016-08-31 16:15:42-0600',mode:absolute,to:'2016-08-31 18:35:20-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4007%22')),sort:!(Time,asc))</v>
      </c>
      <c r="R49" s="113" t="str">
        <f t="shared" si="6"/>
        <v>"C:\Program Files (x86)\AstroGrep\AstroGrep.exe" /spath="%USERPROFILE%\AppData\Local\Temp\OnboardLogs" /stypes="*4007*201608312*" /stext=" 23:.+((SYSTEM_STATE.+slice.+state.+changed )|(ment ac)|(system.+state.+changed )|(\|lc)|(penalty)|(\[timeout)|(PRM\|1\|D)|(kpr)|(kdp))" /e /r /s</v>
      </c>
      <c r="S49" s="9" t="str">
        <f t="shared" si="7"/>
        <v>4007</v>
      </c>
      <c r="T49" s="38">
        <f t="shared" si="8"/>
        <v>42613.982858796298</v>
      </c>
      <c r="U49" s="52" t="str">
        <f t="shared" si="9"/>
        <v>NW</v>
      </c>
      <c r="V49" s="52" t="str">
        <f t="shared" si="10"/>
        <v>KEEP</v>
      </c>
      <c r="W49" s="149" t="str">
        <f t="shared" si="11"/>
        <v>echo {"issue":{"subject":"","project_id":79,"tracker_id":40,"status_id":1,"priority_id":2,"assigned_to_id":23,"start_date":"2016-08-31","description":"","custom_fields":[{"id":1,"name":"Subdivision","value":"NW"},{"id":4,"name":"Milepost","value":"5.9048"},{"id":17,"name":"Train ID","value":"833-31"},{"id":16,"name":"Locomotive ID","value":"4007"},{"id":130,"name":"Impact","value":""},{"id":150,"name":"Time of Event (Mountain Time)","value":"17:35:19"},{"id":151,"name":"Denver Issue ID","value":""},{"id":178,"name":"Operational Impact","value":"Yes"},{"id":179,"name":"Denver Segment Assigned","value":""}]}} | curl -X POST -H "Content-Type: application/json" -H "X-Redmine-API-Key: d6333d4a04012a730768444271f8ca06482dae87" https://secure.xorail.net/redmine/issues.json --data @-</v>
      </c>
      <c r="X49" s="55"/>
      <c r="Y49" s="55"/>
      <c r="Z49" s="55"/>
    </row>
    <row r="50" spans="1:26" x14ac:dyDescent="0.25">
      <c r="A50" s="38">
        <v>42613.858206018522</v>
      </c>
      <c r="B50" s="33" t="s">
        <v>722</v>
      </c>
      <c r="C50" s="33" t="s">
        <v>696</v>
      </c>
      <c r="D50" s="33" t="s">
        <v>49</v>
      </c>
      <c r="E50" s="33" t="s">
        <v>50</v>
      </c>
      <c r="F50" s="49">
        <v>0</v>
      </c>
      <c r="G50" s="49">
        <v>69</v>
      </c>
      <c r="H50" s="49">
        <v>58822</v>
      </c>
      <c r="I50" s="33" t="s">
        <v>51</v>
      </c>
      <c r="J50" s="49">
        <v>59048</v>
      </c>
      <c r="K50" s="33" t="s">
        <v>52</v>
      </c>
      <c r="L50" s="92" t="str">
        <f>VLOOKUP(C50,'Trips&amp;Operators'!$C$1:$E$9999,3,0)</f>
        <v>MOSES</v>
      </c>
      <c r="M50" s="131" t="s">
        <v>86</v>
      </c>
      <c r="N50" s="10"/>
      <c r="O50" s="33"/>
      <c r="P50" s="108" t="str">
        <f>VLOOKUP(C50,'Train Runs'!$A$13:$AE$10013,31,0)</f>
        <v>aws s3 cp s3://rtdc.mdm.uploadarchive/RTDC4007/2016-08-31/ "%USERPROFILE%\AppData\Local\Temp\OnboardLogs"\RTDC4007\2016-08-31 --recursive &amp; "%USERPROFILE%\Documents\GitHub\mrs-test-scripts\Headless Mode &amp; Sideloading\WalkAndUnGZ.bat" "%USERPROFILE%\AppData\Local\Temp\OnboardLogs"\RTDC4007\2016-08-31 &amp; aws s3 cp s3://rtdc.mdm.uploadarchive/RTDC4007/2016-09-01/ "%USERPROFILE%\AppData\Local\Temp\OnboardLogs"\RTDC4007\2016-09-01 --recursive &amp; "%USERPROFILE%\Documents\GitHub\mrs-test-scripts\Headless Mode &amp; Sideloading\WalkAndUnGZ.bat" "%USERPROFILE%\AppData\Local\Temp\OnboardLogs"\RTDC4007\2016-09-01</v>
      </c>
      <c r="Q50" s="111" t="str">
        <f>VLOOKUP(C50,'Train Runs'!$A$13:$AE$10013,22,0)</f>
        <v>https://search-rtdc-monitor-bjffxe2xuh6vdkpspy63sjmuny.us-east-1.es.amazonaws.com/_plugin/kibana/#/discover/Steve-Slow-Train-Analysis-(2080s-and-2083s)?_g=(refreshInterval:(display:Off,section:0,value:0),time:(from:'2016-08-31 19:16:34-0600',mode:absolute,to:'2016-08-31 22:35:51-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4007%22')),sort:!(Time,asc))</v>
      </c>
      <c r="R50" s="113" t="str">
        <f t="shared" si="6"/>
        <v>"C:\Program Files (x86)\AstroGrep\AstroGrep.exe" /spath="%USERPROFILE%\AppData\Local\Temp\OnboardLogs" /stypes="*4007*201609010*" /stext=" 02:.+((SYSTEM_STATE.+slice.+state.+changed )|(ment ac)|(system.+state.+changed )|(\|lc)|(penalty)|(\[timeout)|(PRM\|1\|D)|(kpr)|(kdp))" /e /r /s</v>
      </c>
      <c r="S50" s="9" t="str">
        <f t="shared" si="7"/>
        <v>4007</v>
      </c>
      <c r="T50" s="38">
        <f t="shared" si="8"/>
        <v>42614.108206018522</v>
      </c>
      <c r="U50" s="52" t="str">
        <f t="shared" si="9"/>
        <v>NW</v>
      </c>
      <c r="V50" s="52" t="str">
        <f t="shared" si="10"/>
        <v>KEEP</v>
      </c>
      <c r="W50" s="149" t="str">
        <f t="shared" si="11"/>
        <v>echo {"issue":{"subject":"","project_id":79,"tracker_id":40,"status_id":1,"priority_id":2,"assigned_to_id":23,"start_date":"2016-08-31","description":"","custom_fields":[{"id":1,"name":"Subdivision","value":"NW"},{"id":4,"name":"Milepost","value":"5.9048"},{"id":17,"name":"Train ID","value":"843-31"},{"id":16,"name":"Locomotive ID","value":"4007"},{"id":130,"name":"Impact","value":""},{"id":150,"name":"Time of Event (Mountain Time)","value":"20:35:49"},{"id":151,"name":"Denver Issue ID","value":""},{"id":178,"name":"Operational Impact","value":"Yes"},{"id":179,"name":"Denver Segment Assigned","value":""}]}} | curl -X POST -H "Content-Type: application/json" -H "X-Redmine-API-Key: d6333d4a04012a730768444271f8ca06482dae87" https://secure.xorail.net/redmine/issues.json --data @-</v>
      </c>
      <c r="X50" s="55"/>
      <c r="Y50" s="55"/>
      <c r="Z50" s="55"/>
    </row>
    <row r="51" spans="1:26" x14ac:dyDescent="0.25">
      <c r="A51" s="38">
        <v>42613.339247685188</v>
      </c>
      <c r="B51" s="33" t="s">
        <v>114</v>
      </c>
      <c r="C51" s="33" t="s">
        <v>618</v>
      </c>
      <c r="D51" s="33" t="s">
        <v>49</v>
      </c>
      <c r="E51" s="33" t="s">
        <v>50</v>
      </c>
      <c r="F51" s="49">
        <v>0</v>
      </c>
      <c r="G51" s="49">
        <v>26</v>
      </c>
      <c r="H51" s="49">
        <v>58944</v>
      </c>
      <c r="I51" s="33" t="s">
        <v>51</v>
      </c>
      <c r="J51" s="49">
        <v>59058</v>
      </c>
      <c r="K51" s="33" t="s">
        <v>52</v>
      </c>
      <c r="L51" s="92" t="str">
        <f>VLOOKUP(C51,'Trips&amp;Operators'!$C$1:$E$9999,3,0)</f>
        <v>STARKS</v>
      </c>
      <c r="M51" s="131" t="s">
        <v>86</v>
      </c>
      <c r="N51" s="10"/>
      <c r="O51" s="33"/>
      <c r="P51" s="108" t="str">
        <f>VLOOKUP(C51,'Train Runs'!$A$13:$AE$10013,31,0)</f>
        <v>aws s3 cp s3://rtdc.mdm.uploadarchive/RTDC4031/2016-08-31/ "%USERPROFILE%\AppData\Local\Temp\OnboardLogs"\RTDC4031\2016-08-31 --recursive &amp; "%USERPROFILE%\Documents\GitHub\mrs-test-scripts\Headless Mode &amp; Sideloading\WalkAndUnGZ.bat" "%USERPROFILE%\AppData\Local\Temp\OnboardLogs"\RTDC4031\2016-08-31 &amp; aws s3 cp s3://rtdc.mdm.uploadarchive/RTDC4031/2016-09-01/ "%USERPROFILE%\AppData\Local\Temp\OnboardLogs"\RTDC4031\2016-09-01 --recursive &amp; "%USERPROFILE%\Documents\GitHub\mrs-test-scripts\Headless Mode &amp; Sideloading\WalkAndUnGZ.bat" "%USERPROFILE%\AppData\Local\Temp\OnboardLogs"\RTDC4031\2016-09-01</v>
      </c>
      <c r="Q51" s="111" t="str">
        <f>VLOOKUP(C51,'Train Runs'!$A$13:$AE$10013,22,0)</f>
        <v>https://search-rtdc-monitor-bjffxe2xuh6vdkpspy63sjmuny.us-east-1.es.amazonaws.com/_plugin/kibana/#/discover/Steve-Slow-Train-Analysis-(2080s-and-2083s)?_g=(refreshInterval:(display:Off,section:0,value:0),time:(from:'2016-08-31 06:46:30-0600',mode:absolute,to:'2016-08-31 09:08:21-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4031%22')),sort:!(Time,asc))</v>
      </c>
      <c r="R51" s="113" t="str">
        <f t="shared" si="6"/>
        <v>"C:\Program Files (x86)\AstroGrep\AstroGrep.exe" /spath="%USERPROFILE%\AppData\Local\Temp\OnboardLogs" /stypes="*4031*201608311*" /stext=" 14:.+((SYSTEM_STATE.+slice.+state.+changed )|(ment ac)|(system.+state.+changed )|(\|lc)|(penalty)|(\[timeout)|(PRM\|1\|D)|(kpr)|(kdp))" /e /r /s</v>
      </c>
      <c r="S51" s="9" t="str">
        <f t="shared" si="7"/>
        <v>4031</v>
      </c>
      <c r="T51" s="38">
        <f t="shared" si="8"/>
        <v>42613.589247685188</v>
      </c>
      <c r="U51" s="52" t="str">
        <f t="shared" si="9"/>
        <v>NW</v>
      </c>
      <c r="V51" s="52" t="str">
        <f t="shared" si="10"/>
        <v>KEEP</v>
      </c>
      <c r="W51" s="149" t="str">
        <f t="shared" si="11"/>
        <v>echo {"issue":{"subject":"","project_id":79,"tracker_id":40,"status_id":1,"priority_id":2,"assigned_to_id":23,"start_date":"2016-08-31","description":"","custom_fields":[{"id":1,"name":"Subdivision","value":"NW"},{"id":4,"name":"Milepost","value":"5.9058"},{"id":17,"name":"Train ID","value":"809-31"},{"id":16,"name":"Locomotive ID","value":"4031"},{"id":130,"name":"Impact","value":""},{"id":150,"name":"Time of Event (Mountain Time)","value":"08:08:31"},{"id":151,"name":"Denver Issue ID","value":""},{"id":178,"name":"Operational Impact","value":"Yes"},{"id":179,"name":"Denver Segment Assigned","value":""}]}} | curl -X POST -H "Content-Type: application/json" -H "X-Redmine-API-Key: d6333d4a04012a730768444271f8ca06482dae87" https://secure.xorail.net/redmine/issues.json --data @-</v>
      </c>
      <c r="X51" s="55"/>
      <c r="Y51" s="55"/>
      <c r="Z51" s="55"/>
    </row>
    <row r="52" spans="1:26" x14ac:dyDescent="0.25">
      <c r="A52" s="38">
        <v>42613.566527777781</v>
      </c>
      <c r="B52" s="33" t="s">
        <v>722</v>
      </c>
      <c r="C52" s="33" t="s">
        <v>642</v>
      </c>
      <c r="D52" s="33" t="s">
        <v>49</v>
      </c>
      <c r="E52" s="33" t="s">
        <v>50</v>
      </c>
      <c r="F52" s="49">
        <v>0</v>
      </c>
      <c r="G52" s="49">
        <v>38</v>
      </c>
      <c r="H52" s="49">
        <v>58973</v>
      </c>
      <c r="I52" s="33" t="s">
        <v>51</v>
      </c>
      <c r="J52" s="49">
        <v>59058</v>
      </c>
      <c r="K52" s="33" t="s">
        <v>52</v>
      </c>
      <c r="L52" s="92" t="str">
        <f>VLOOKUP(C52,'Trips&amp;Operators'!$C$1:$E$9999,3,0)</f>
        <v>MOSES</v>
      </c>
      <c r="M52" s="131" t="s">
        <v>86</v>
      </c>
      <c r="N52" s="10"/>
      <c r="O52" s="33"/>
      <c r="P52" s="108" t="str">
        <f>VLOOKUP(C52,'Train Runs'!$A$13:$AE$10013,31,0)</f>
        <v>aws s3 cp s3://rtdc.mdm.uploadarchive/RTDC4007/2016-08-31/ "%USERPROFILE%\AppData\Local\Temp\OnboardLogs"\RTDC4007\2016-08-31 --recursive &amp; "%USERPROFILE%\Documents\GitHub\mrs-test-scripts\Headless Mode &amp; Sideloading\WalkAndUnGZ.bat" "%USERPROFILE%\AppData\Local\Temp\OnboardLogs"\RTDC4007\2016-08-31 &amp; aws s3 cp s3://rtdc.mdm.uploadarchive/RTDC4007/2016-09-01/ "%USERPROFILE%\AppData\Local\Temp\OnboardLogs"\RTDC4007\2016-09-01 --recursive &amp; "%USERPROFILE%\Documents\GitHub\mrs-test-scripts\Headless Mode &amp; Sideloading\WalkAndUnGZ.bat" "%USERPROFILE%\AppData\Local\Temp\OnboardLogs"\RTDC4007\2016-09-01</v>
      </c>
      <c r="Q52" s="111" t="str">
        <f>VLOOKUP(C52,'Train Runs'!$A$13:$AE$10013,22,0)</f>
        <v>https://search-rtdc-monitor-bjffxe2xuh6vdkpspy63sjmuny.us-east-1.es.amazonaws.com/_plugin/kibana/#/discover/Steve-Slow-Train-Analysis-(2080s-and-2083s)?_g=(refreshInterval:(display:Off,section:0,value:0),time:(from:'2016-08-31 12:11:52-0600',mode:absolute,to:'2016-08-31 14:35:49-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4007%22')),sort:!(Time,asc))</v>
      </c>
      <c r="R52" s="113" t="str">
        <f t="shared" si="6"/>
        <v>"C:\Program Files (x86)\AstroGrep\AstroGrep.exe" /spath="%USERPROFILE%\AppData\Local\Temp\OnboardLogs" /stypes="*4007*201608311*" /stext=" 19:.+((SYSTEM_STATE.+slice.+state.+changed )|(ment ac)|(system.+state.+changed )|(\|lc)|(penalty)|(\[timeout)|(PRM\|1\|D)|(kpr)|(kdp))" /e /r /s</v>
      </c>
      <c r="S52" s="9" t="str">
        <f t="shared" si="7"/>
        <v>4007</v>
      </c>
      <c r="T52" s="38">
        <f t="shared" si="8"/>
        <v>42613.816527777781</v>
      </c>
      <c r="U52" s="52" t="str">
        <f t="shared" si="9"/>
        <v>NW</v>
      </c>
      <c r="V52" s="52" t="str">
        <f t="shared" si="10"/>
        <v>KEEP</v>
      </c>
      <c r="W52" s="149" t="str">
        <f t="shared" si="11"/>
        <v>echo {"issue":{"subject":"","project_id":79,"tracker_id":40,"status_id":1,"priority_id":2,"assigned_to_id":23,"start_date":"2016-08-31","description":"","custom_fields":[{"id":1,"name":"Subdivision","value":"NW"},{"id":4,"name":"Milepost","value":"5.9058"},{"id":17,"name":"Train ID","value":"821-31"},{"id":16,"name":"Locomotive ID","value":"4007"},{"id":130,"name":"Impact","value":""},{"id":150,"name":"Time of Event (Mountain Time)","value":"13:35:48"},{"id":151,"name":"Denver Issue ID","value":""},{"id":178,"name":"Operational Impact","value":"Yes"},{"id":179,"name":"Denver Segment Assigned","value":""}]}} | curl -X POST -H "Content-Type: application/json" -H "X-Redmine-API-Key: d6333d4a04012a730768444271f8ca06482dae87" https://secure.xorail.net/redmine/issues.json --data @-</v>
      </c>
      <c r="X52" s="55"/>
      <c r="Y52" s="55"/>
      <c r="Z52" s="55"/>
    </row>
    <row r="53" spans="1:26" x14ac:dyDescent="0.25">
      <c r="A53" s="38">
        <v>42613.64471064815</v>
      </c>
      <c r="B53" s="33" t="s">
        <v>115</v>
      </c>
      <c r="C53" s="33" t="s">
        <v>708</v>
      </c>
      <c r="D53" s="33" t="s">
        <v>49</v>
      </c>
      <c r="E53" s="33" t="s">
        <v>54</v>
      </c>
      <c r="F53" s="49">
        <v>0</v>
      </c>
      <c r="G53" s="49">
        <v>46</v>
      </c>
      <c r="H53" s="49">
        <v>24481</v>
      </c>
      <c r="I53" s="33" t="s">
        <v>55</v>
      </c>
      <c r="J53" s="49">
        <v>24199</v>
      </c>
      <c r="K53" s="33" t="s">
        <v>53</v>
      </c>
      <c r="L53" s="92" t="str">
        <f>VLOOKUP(C53,'Trips&amp;Operators'!$C$1:$E$9999,3,0)</f>
        <v>HILLS</v>
      </c>
      <c r="M53" s="131" t="s">
        <v>86</v>
      </c>
      <c r="N53" s="10"/>
      <c r="O53" s="33"/>
      <c r="P53" s="108" t="str">
        <f>VLOOKUP(C53,'Train Runs'!$A$13:$AE$10013,31,0)</f>
        <v>aws s3 cp s3://rtdc.mdm.uploadarchive/RTDC4032/2016-08-31/ "%USERPROFILE%\AppData\Local\Temp\OnboardLogs"\RTDC4032\2016-08-31 --recursive &amp; "%USERPROFILE%\Documents\GitHub\mrs-test-scripts\Headless Mode &amp; Sideloading\WalkAndUnGZ.bat" "%USERPROFILE%\AppData\Local\Temp\OnboardLogs"\RTDC4032\2016-08-31 &amp; aws s3 cp s3://rtdc.mdm.uploadarchive/RTDC4032/2016-09-01/ "%USERPROFILE%\AppData\Local\Temp\OnboardLogs"\RTDC4032\2016-09-01 --recursive &amp; "%USERPROFILE%\Documents\GitHub\mrs-test-scripts\Headless Mode &amp; Sideloading\WalkAndUnGZ.bat" "%USERPROFILE%\AppData\Local\Temp\OnboardLogs"\RTDC4032\2016-09-01</v>
      </c>
      <c r="Q53" s="111" t="str">
        <f>VLOOKUP(C53,'Train Runs'!$A$13:$AE$10013,22,0)</f>
        <v>https://search-rtdc-monitor-bjffxe2xuh6vdkpspy63sjmuny.us-east-1.es.amazonaws.com/_plugin/kibana/#/discover/Steve-Slow-Train-Analysis-(2080s-and-2083s)?_g=(refreshInterval:(display:Off,section:0,value:0),time:(from:'2016-08-31 14:31:58-0600',mode:absolute,to:'2016-08-31 16:42:16-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4032%22')),sort:!(Time,asc))</v>
      </c>
      <c r="R53" s="113" t="str">
        <f t="shared" si="6"/>
        <v>"C:\Program Files (x86)\AstroGrep\AstroGrep.exe" /spath="%USERPROFILE%\AppData\Local\Temp\OnboardLogs" /stypes="*4032*201608312*" /stext=" 21:.+((SYSTEM_STATE.+slice.+state.+changed )|(ment ac)|(system.+state.+changed )|(\|lc)|(penalty)|(\[timeout)|(PRM\|1\|D)|(kpr)|(kdp))" /e /r /s</v>
      </c>
      <c r="S53" s="9" t="str">
        <f t="shared" si="7"/>
        <v>4032</v>
      </c>
      <c r="T53" s="38">
        <f t="shared" si="8"/>
        <v>42613.89471064815</v>
      </c>
      <c r="U53" s="52" t="str">
        <f t="shared" si="9"/>
        <v>Other</v>
      </c>
      <c r="V53" s="52" t="str">
        <f t="shared" si="10"/>
        <v>KEEP</v>
      </c>
      <c r="W53" s="149" t="str">
        <f t="shared" si="11"/>
        <v>echo {"issue":{"subject":"","project_id":79,"tracker_id":40,"status_id":1,"priority_id":2,"assigned_to_id":23,"start_date":"2016-08-31","description":"","custom_fields":[{"id":1,"name":"Subdivision","value":"Other"},{"id":4,"name":"Milepost","value":"2.4199"},{"id":17,"name":"Train ID","value":"904-31"},{"id":16,"name":"Locomotive ID","value":"4032"},{"id":130,"name":"Impact","value":""},{"id":150,"name":"Time of Event (Mountain Time)","value":"15:28:23"},{"id":151,"name":"Denver Issue ID","value":""},{"id":178,"name":"Operational Impact","value":"Yes"},{"id":179,"name":"Denver Segment Assigned","value":""}]}} | curl -X POST -H "Content-Type: application/json" -H "X-Redmine-API-Key: d6333d4a04012a730768444271f8ca06482dae87" https://secure.xorail.net/redmine/issues.json --data @-</v>
      </c>
      <c r="X53" s="55"/>
      <c r="Y53" s="55"/>
      <c r="Z53" s="55"/>
    </row>
    <row r="54" spans="1:26" x14ac:dyDescent="0.25">
      <c r="A54" s="38">
        <v>42613.645937499998</v>
      </c>
      <c r="B54" s="33" t="s">
        <v>115</v>
      </c>
      <c r="C54" s="33" t="s">
        <v>708</v>
      </c>
      <c r="D54" s="33" t="s">
        <v>49</v>
      </c>
      <c r="E54" s="33" t="s">
        <v>54</v>
      </c>
      <c r="F54" s="49">
        <v>0</v>
      </c>
      <c r="G54" s="49">
        <v>25</v>
      </c>
      <c r="H54" s="49">
        <v>24368</v>
      </c>
      <c r="I54" s="33" t="s">
        <v>55</v>
      </c>
      <c r="J54" s="49">
        <v>24199</v>
      </c>
      <c r="K54" s="33" t="s">
        <v>53</v>
      </c>
      <c r="L54" s="92" t="str">
        <f>VLOOKUP(C54,'Trips&amp;Operators'!$C$1:$E$9999,3,0)</f>
        <v>HILLS</v>
      </c>
      <c r="M54" s="131" t="s">
        <v>86</v>
      </c>
      <c r="N54" s="10"/>
      <c r="O54" s="33"/>
      <c r="P54" s="108" t="str">
        <f>VLOOKUP(C54,'Train Runs'!$A$13:$AE$10013,31,0)</f>
        <v>aws s3 cp s3://rtdc.mdm.uploadarchive/RTDC4032/2016-08-31/ "%USERPROFILE%\AppData\Local\Temp\OnboardLogs"\RTDC4032\2016-08-31 --recursive &amp; "%USERPROFILE%\Documents\GitHub\mrs-test-scripts\Headless Mode &amp; Sideloading\WalkAndUnGZ.bat" "%USERPROFILE%\AppData\Local\Temp\OnboardLogs"\RTDC4032\2016-08-31 &amp; aws s3 cp s3://rtdc.mdm.uploadarchive/RTDC4032/2016-09-01/ "%USERPROFILE%\AppData\Local\Temp\OnboardLogs"\RTDC4032\2016-09-01 --recursive &amp; "%USERPROFILE%\Documents\GitHub\mrs-test-scripts\Headless Mode &amp; Sideloading\WalkAndUnGZ.bat" "%USERPROFILE%\AppData\Local\Temp\OnboardLogs"\RTDC4032\2016-09-01</v>
      </c>
      <c r="Q54" s="111" t="str">
        <f>VLOOKUP(C54,'Train Runs'!$A$13:$AE$10013,22,0)</f>
        <v>https://search-rtdc-monitor-bjffxe2xuh6vdkpspy63sjmuny.us-east-1.es.amazonaws.com/_plugin/kibana/#/discover/Steve-Slow-Train-Analysis-(2080s-and-2083s)?_g=(refreshInterval:(display:Off,section:0,value:0),time:(from:'2016-08-31 14:31:58-0600',mode:absolute,to:'2016-08-31 16:42:16-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4032%22')),sort:!(Time,asc))</v>
      </c>
      <c r="R54" s="113" t="str">
        <f t="shared" si="6"/>
        <v>"C:\Program Files (x86)\AstroGrep\AstroGrep.exe" /spath="%USERPROFILE%\AppData\Local\Temp\OnboardLogs" /stypes="*4032*201608312*" /stext=" 21:.+((SYSTEM_STATE.+slice.+state.+changed )|(ment ac)|(system.+state.+changed )|(\|lc)|(penalty)|(\[timeout)|(PRM\|1\|D)|(kpr)|(kdp))" /e /r /s</v>
      </c>
      <c r="S54" s="9" t="str">
        <f t="shared" si="7"/>
        <v>4032</v>
      </c>
      <c r="T54" s="38">
        <f t="shared" si="8"/>
        <v>42613.895937499998</v>
      </c>
      <c r="U54" s="52" t="str">
        <f t="shared" si="9"/>
        <v>Other</v>
      </c>
      <c r="V54" s="52" t="str">
        <f t="shared" si="10"/>
        <v>KEEP</v>
      </c>
      <c r="W54" s="149" t="str">
        <f t="shared" si="11"/>
        <v>echo {"issue":{"subject":"","project_id":79,"tracker_id":40,"status_id":1,"priority_id":2,"assigned_to_id":23,"start_date":"2016-08-31","description":"","custom_fields":[{"id":1,"name":"Subdivision","value":"Other"},{"id":4,"name":"Milepost","value":"2.4199"},{"id":17,"name":"Train ID","value":"904-31"},{"id":16,"name":"Locomotive ID","value":"4032"},{"id":130,"name":"Impact","value":""},{"id":150,"name":"Time of Event (Mountain Time)","value":"15:30:09"},{"id":151,"name":"Denver Issue ID","value":""},{"id":178,"name":"Operational Impact","value":"Yes"},{"id":179,"name":"Denver Segment Assigned","value":""}]}} | curl -X POST -H "Content-Type: application/json" -H "X-Redmine-API-Key: d6333d4a04012a730768444271f8ca06482dae87" https://secure.xorail.net/redmine/issues.json --data @-</v>
      </c>
      <c r="X54" s="55"/>
      <c r="Y54" s="55"/>
      <c r="Z54" s="55"/>
    </row>
    <row r="55" spans="1:26" x14ac:dyDescent="0.25">
      <c r="A55" s="38">
        <v>42613.753252314818</v>
      </c>
      <c r="B55" s="33" t="s">
        <v>280</v>
      </c>
      <c r="C55" s="33" t="s">
        <v>595</v>
      </c>
      <c r="D55" s="33" t="s">
        <v>49</v>
      </c>
      <c r="E55" s="33" t="s">
        <v>50</v>
      </c>
      <c r="F55" s="49">
        <v>0</v>
      </c>
      <c r="G55" s="49">
        <v>67</v>
      </c>
      <c r="H55" s="49">
        <v>207</v>
      </c>
      <c r="I55" s="33" t="s">
        <v>51</v>
      </c>
      <c r="J55" s="49">
        <v>1</v>
      </c>
      <c r="K55" s="33" t="s">
        <v>53</v>
      </c>
      <c r="L55" s="92" t="str">
        <f>VLOOKUP(C55,'Trips&amp;Operators'!$C$1:$E$9999,3,0)</f>
        <v>COOLAHAN</v>
      </c>
      <c r="M55" s="131" t="s">
        <v>86</v>
      </c>
      <c r="N55" s="10"/>
      <c r="O55" s="33"/>
      <c r="P55" s="108" t="str">
        <f>VLOOKUP(C55,'Train Runs'!$A$13:$AE$10013,31,0)</f>
        <v>aws s3 cp s3://rtdc.mdm.uploadarchive/RTDC4005/2016-08-31/ "%USERPROFILE%\AppData\Local\Temp\OnboardLogs"\RTDC4005\2016-08-31 --recursive &amp; "%USERPROFILE%\Documents\GitHub\mrs-test-scripts\Headless Mode &amp; Sideloading\WalkAndUnGZ.bat" "%USERPROFILE%\AppData\Local\Temp\OnboardLogs"\RTDC4005\2016-08-31 &amp; aws s3 cp s3://rtdc.mdm.uploadarchive/RTDC4005/2016-09-01/ "%USERPROFILE%\AppData\Local\Temp\OnboardLogs"\RTDC4005\2016-09-01 --recursive &amp; "%USERPROFILE%\Documents\GitHub\mrs-test-scripts\Headless Mode &amp; Sideloading\WalkAndUnGZ.bat" "%USERPROFILE%\AppData\Local\Temp\OnboardLogs"\RTDC4005\2016-09-01</v>
      </c>
      <c r="Q55" s="111" t="str">
        <f>VLOOKUP(C55,'Train Runs'!$A$13:$AE$10013,22,0)</f>
        <v>https://search-rtdc-monitor-bjffxe2xuh6vdkpspy63sjmuny.us-east-1.es.amazonaws.com/_plugin/kibana/#/discover/Steve-Slow-Train-Analysis-(2080s-and-2083s)?_g=(refreshInterval:(display:Off,section:0,value:0),time:(from:'2016-08-31 16:53:28-0600',mode:absolute,to:'2016-08-31 19:04:41-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4005%22')),sort:!(Time,asc))</v>
      </c>
      <c r="R55" s="113" t="str">
        <f t="shared" si="6"/>
        <v>"C:\Program Files (x86)\AstroGrep\AstroGrep.exe" /spath="%USERPROFILE%\AppData\Local\Temp\OnboardLogs" /stypes="*4005*201609010*" /stext=" 00:.+((SYSTEM_STATE.+slice.+state.+changed )|(ment ac)|(system.+state.+changed )|(\|lc)|(penalty)|(\[timeout)|(PRM\|1\|D)|(kpr)|(kdp))" /e /r /s</v>
      </c>
      <c r="S55" s="9" t="str">
        <f t="shared" si="7"/>
        <v>4005</v>
      </c>
      <c r="T55" s="38">
        <f t="shared" si="8"/>
        <v>42614.003252314818</v>
      </c>
      <c r="U55" s="52" t="str">
        <f t="shared" si="9"/>
        <v>Other</v>
      </c>
      <c r="V55" s="52" t="str">
        <f t="shared" si="10"/>
        <v>KEEP</v>
      </c>
      <c r="W55" s="149" t="str">
        <f t="shared" si="11"/>
        <v>echo {"issue":{"subject":"","project_id":79,"tracker_id":40,"status_id":1,"priority_id":2,"assigned_to_id":23,"start_date":"2016-08-31","description":"","custom_fields":[{"id":1,"name":"Subdivision","value":"Other"},{"id":4,"name":"Milepost","value":"0.0001"},{"id":17,"name":"Train ID","value":"67-31"},{"id":16,"name":"Locomotive ID","value":"4005"},{"id":130,"name":"Impact","value":""},{"id":150,"name":"Time of Event (Mountain Time)","value":"18:04:41"},{"id":151,"name":"Denver Issue ID","value":""},{"id":178,"name":"Operational Impact","value":"Yes"},{"id":179,"name":"Denver Segment Assigned","value":""}]}} | curl -X POST -H "Content-Type: application/json" -H "X-Redmine-API-Key: d6333d4a04012a730768444271f8ca06482dae87" https://secure.xorail.net/redmine/issues.json --data @-</v>
      </c>
      <c r="X55" s="55"/>
      <c r="Y55" s="55"/>
      <c r="Z55" s="55"/>
    </row>
    <row r="56" spans="1:26" x14ac:dyDescent="0.25">
      <c r="A56" s="38">
        <v>42613.156331018516</v>
      </c>
      <c r="B56" s="33" t="s">
        <v>169</v>
      </c>
      <c r="C56" s="33" t="s">
        <v>321</v>
      </c>
      <c r="D56" s="33" t="s">
        <v>49</v>
      </c>
      <c r="E56" s="33" t="s">
        <v>50</v>
      </c>
      <c r="F56" s="49">
        <v>0</v>
      </c>
      <c r="G56" s="49">
        <v>58</v>
      </c>
      <c r="H56" s="49">
        <v>1048</v>
      </c>
      <c r="I56" s="33" t="s">
        <v>51</v>
      </c>
      <c r="J56" s="49">
        <v>839</v>
      </c>
      <c r="K56" s="33" t="s">
        <v>53</v>
      </c>
      <c r="L56" s="92" t="str">
        <f>VLOOKUP(C56,'Trips&amp;Operators'!$C$1:$E$9999,3,0)</f>
        <v>CHIONE</v>
      </c>
      <c r="M56" s="131" t="s">
        <v>86</v>
      </c>
      <c r="N56" s="10"/>
      <c r="O56" s="33"/>
      <c r="P56" s="108" t="str">
        <f>VLOOKUP(C56,'Train Runs'!$A$13:$AE$10013,31,0)</f>
        <v>aws s3 cp s3://rtdc.mdm.uploadarchive/RTDC4010/2016-08-31/ "%USERPROFILE%\AppData\Local\Temp\OnboardLogs"\RTDC4010\2016-08-31 --recursive &amp; "%USERPROFILE%\Documents\GitHub\mrs-test-scripts\Headless Mode &amp; Sideloading\WalkAndUnGZ.bat" "%USERPROFILE%\AppData\Local\Temp\OnboardLogs"\RTDC4010\2016-08-31 &amp; aws s3 cp s3://rtdc.mdm.uploadarchive/RTDC4010/2016-09-01/ "%USERPROFILE%\AppData\Local\Temp\OnboardLogs"\RTDC4010\2016-09-01 --recursive &amp; "%USERPROFILE%\Documents\GitHub\mrs-test-scripts\Headless Mode &amp; Sideloading\WalkAndUnGZ.bat" "%USERPROFILE%\AppData\Local\Temp\OnboardLogs"\RTDC4010\2016-09-01</v>
      </c>
      <c r="Q56" s="111" t="str">
        <f>VLOOKUP(C56,'Train Runs'!$A$13:$AE$10013,22,0)</f>
        <v>https://search-rtdc-monitor-bjffxe2xuh6vdkpspy63sjmuny.us-east-1.es.amazonaws.com/_plugin/kibana/#/discover/Steve-Slow-Train-Analysis-(2080s-and-2083s)?_g=(refreshInterval:(display:Off,section:0,value:0),time:(from:'2016-08-31 02:15:54-0600',mode:absolute,to:'2016-08-31 04:44:17-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4010%22')),sort:!(Time,asc))</v>
      </c>
      <c r="R56" s="113" t="str">
        <f t="shared" si="6"/>
        <v>"C:\Program Files (x86)\AstroGrep\AstroGrep.exe" /spath="%USERPROFILE%\AppData\Local\Temp\OnboardLogs" /stypes="*4010*201608310*" /stext=" 09:.+((SYSTEM_STATE.+slice.+state.+changed )|(ment ac)|(system.+state.+changed )|(\|lc)|(penalty)|(\[timeout)|(PRM\|1\|D)|(kpr)|(kdp))" /e /r /s</v>
      </c>
      <c r="S56" s="9" t="str">
        <f t="shared" si="7"/>
        <v>4010</v>
      </c>
      <c r="T56" s="38">
        <f t="shared" si="8"/>
        <v>42613.406331018516</v>
      </c>
      <c r="U56" s="52" t="str">
        <f t="shared" si="9"/>
        <v>Other</v>
      </c>
      <c r="V56" s="52" t="str">
        <f t="shared" si="10"/>
        <v>KEEP</v>
      </c>
      <c r="W56" s="149" t="str">
        <f t="shared" si="11"/>
        <v>echo {"issue":{"subject":"","project_id":79,"tracker_id":40,"status_id":1,"priority_id":2,"assigned_to_id":23,"start_date":"2016-08-31","description":"","custom_fields":[{"id":1,"name":"Subdivision","value":"Other"},{"id":4,"name":"Milepost","value":"0.0839"},{"id":17,"name":"Train ID","value":"50-31"},{"id":16,"name":"Locomotive ID","value":"4010"},{"id":130,"name":"Impact","value":""},{"id":150,"name":"Time of Event (Mountain Time)","value":"03:45:07"},{"id":151,"name":"Denver Issue ID","value":""},{"id":178,"name":"Operational Impact","value":"Yes"},{"id":179,"name":"Denver Segment Assigned","value":""}]}} | curl -X POST -H "Content-Type: application/json" -H "X-Redmine-API-Key: d6333d4a04012a730768444271f8ca06482dae87" https://secure.xorail.net/redmine/issues.json --data @-</v>
      </c>
      <c r="X56" s="55"/>
      <c r="Y56" s="55"/>
      <c r="Z56" s="55"/>
    </row>
    <row r="57" spans="1:26" x14ac:dyDescent="0.25">
      <c r="A57" s="38"/>
      <c r="B57" s="33"/>
      <c r="C57" s="33"/>
      <c r="D57" s="33"/>
      <c r="E57" s="33"/>
      <c r="F57" s="49"/>
      <c r="G57" s="49"/>
      <c r="H57" s="49"/>
      <c r="I57" s="33"/>
      <c r="J57" s="49"/>
      <c r="K57" s="33"/>
      <c r="L57" s="92"/>
      <c r="M57" s="131"/>
      <c r="N57" s="10"/>
      <c r="O57" s="33"/>
      <c r="P57" s="108"/>
      <c r="Q57" s="111"/>
      <c r="R57" s="113"/>
      <c r="S57" s="9"/>
      <c r="T57" s="38"/>
      <c r="U57" s="52"/>
      <c r="V57" s="52"/>
      <c r="W57" s="149"/>
      <c r="X57" s="55"/>
      <c r="Y57" s="55"/>
      <c r="Z57" s="55"/>
    </row>
    <row r="58" spans="1:26" x14ac:dyDescent="0.25">
      <c r="A58" s="38"/>
      <c r="B58" s="33"/>
      <c r="C58" s="33"/>
      <c r="D58" s="33"/>
      <c r="E58" s="33"/>
      <c r="F58" s="49"/>
      <c r="G58" s="49"/>
      <c r="H58" s="49"/>
      <c r="I58" s="33"/>
      <c r="J58" s="49"/>
      <c r="K58" s="33"/>
      <c r="L58" s="92"/>
      <c r="M58" s="131"/>
      <c r="N58" s="10"/>
      <c r="O58" s="33"/>
      <c r="P58" s="108"/>
      <c r="Q58" s="111"/>
      <c r="R58" s="113"/>
      <c r="S58" s="9"/>
      <c r="T58" s="38"/>
      <c r="U58" s="52"/>
      <c r="V58" s="52"/>
      <c r="W58" s="149"/>
      <c r="X58" s="55"/>
      <c r="Y58" s="55"/>
      <c r="Z58" s="55"/>
    </row>
    <row r="59" spans="1:26" x14ac:dyDescent="0.25">
      <c r="A59" s="38"/>
      <c r="B59" s="33"/>
      <c r="C59" s="33"/>
      <c r="D59" s="33"/>
      <c r="E59" s="33"/>
      <c r="F59" s="49"/>
      <c r="G59" s="49"/>
      <c r="H59" s="49"/>
      <c r="I59" s="33"/>
      <c r="J59" s="49"/>
      <c r="K59" s="33"/>
      <c r="L59" s="92"/>
      <c r="M59" s="131"/>
      <c r="N59" s="10"/>
      <c r="O59" s="33"/>
      <c r="P59" s="108"/>
      <c r="Q59" s="111"/>
      <c r="R59" s="113"/>
      <c r="S59" s="9"/>
      <c r="T59" s="38"/>
      <c r="U59" s="52"/>
      <c r="V59" s="52"/>
      <c r="W59" s="149"/>
      <c r="X59" s="55"/>
      <c r="Y59" s="55"/>
      <c r="Z59" s="55"/>
    </row>
    <row r="60" spans="1:26" x14ac:dyDescent="0.25">
      <c r="A60" s="38"/>
      <c r="B60" s="33"/>
      <c r="C60" s="33"/>
      <c r="D60" s="33"/>
      <c r="E60" s="33"/>
      <c r="F60" s="49"/>
      <c r="G60" s="49"/>
      <c r="H60" s="49"/>
      <c r="I60" s="33"/>
      <c r="J60" s="49"/>
      <c r="K60" s="33"/>
      <c r="L60" s="92"/>
      <c r="M60" s="131"/>
      <c r="N60" s="10"/>
      <c r="O60" s="33"/>
      <c r="P60" s="108"/>
      <c r="Q60" s="111"/>
      <c r="R60" s="113"/>
      <c r="S60" s="9"/>
      <c r="T60" s="38"/>
      <c r="U60" s="52"/>
      <c r="V60" s="52"/>
      <c r="W60" s="149"/>
      <c r="X60" s="55"/>
      <c r="Y60" s="55"/>
      <c r="Z60" s="55"/>
    </row>
    <row r="61" spans="1:26" x14ac:dyDescent="0.25">
      <c r="A61" s="38"/>
      <c r="B61" s="33"/>
      <c r="C61" s="33"/>
      <c r="D61" s="33"/>
      <c r="E61" s="33"/>
      <c r="F61" s="49"/>
      <c r="G61" s="49"/>
      <c r="H61" s="49"/>
      <c r="I61" s="33"/>
      <c r="J61" s="49"/>
      <c r="K61" s="33"/>
      <c r="L61" s="92"/>
      <c r="M61" s="131"/>
      <c r="N61" s="10"/>
      <c r="O61" s="33"/>
      <c r="P61" s="108"/>
      <c r="Q61" s="111"/>
      <c r="R61" s="113"/>
      <c r="S61" s="9"/>
      <c r="T61" s="38"/>
      <c r="U61" s="52"/>
      <c r="V61" s="52"/>
      <c r="W61" s="149"/>
      <c r="X61" s="55"/>
      <c r="Y61" s="55"/>
      <c r="Z61" s="55"/>
    </row>
    <row r="62" spans="1:26" x14ac:dyDescent="0.25">
      <c r="A62" s="38"/>
      <c r="B62" s="33"/>
      <c r="C62" s="33"/>
      <c r="D62" s="33"/>
      <c r="E62" s="33"/>
      <c r="F62" s="49"/>
      <c r="G62" s="49"/>
      <c r="H62" s="49"/>
      <c r="I62" s="33"/>
      <c r="J62" s="49"/>
      <c r="K62" s="33"/>
      <c r="L62" s="92"/>
      <c r="M62" s="131"/>
      <c r="N62" s="10"/>
      <c r="O62" s="33"/>
      <c r="P62" s="108"/>
      <c r="Q62" s="111"/>
      <c r="R62" s="113"/>
      <c r="S62" s="9"/>
      <c r="T62" s="38"/>
      <c r="U62" s="52"/>
      <c r="V62" s="52"/>
      <c r="W62" s="149"/>
      <c r="X62" s="55"/>
      <c r="Y62" s="55"/>
      <c r="Z62" s="55"/>
    </row>
    <row r="63" spans="1:26" x14ac:dyDescent="0.25">
      <c r="A63" s="38"/>
      <c r="B63" s="33"/>
      <c r="C63" s="33"/>
      <c r="D63" s="33"/>
      <c r="E63" s="33"/>
      <c r="F63" s="49"/>
      <c r="G63" s="49"/>
      <c r="H63" s="49"/>
      <c r="I63" s="33"/>
      <c r="J63" s="49"/>
      <c r="K63" s="33"/>
      <c r="L63" s="92"/>
      <c r="M63" s="131"/>
      <c r="N63" s="10"/>
      <c r="O63" s="33"/>
      <c r="P63" s="108"/>
      <c r="Q63" s="111"/>
      <c r="R63" s="113"/>
      <c r="S63" s="9"/>
      <c r="T63" s="38"/>
      <c r="U63" s="52"/>
      <c r="V63" s="52"/>
      <c r="W63" s="149"/>
      <c r="X63" s="55"/>
      <c r="Y63" s="55"/>
      <c r="Z63" s="55"/>
    </row>
    <row r="64" spans="1:26" x14ac:dyDescent="0.25">
      <c r="A64" s="38"/>
      <c r="B64" s="33"/>
      <c r="C64" s="33"/>
      <c r="D64" s="33"/>
      <c r="E64" s="33"/>
      <c r="F64" s="49"/>
      <c r="G64" s="49"/>
      <c r="H64" s="49"/>
      <c r="I64" s="33"/>
      <c r="J64" s="49"/>
      <c r="K64" s="33"/>
      <c r="L64" s="92"/>
      <c r="M64" s="131"/>
      <c r="N64" s="10"/>
      <c r="O64" s="33"/>
      <c r="P64" s="108"/>
      <c r="Q64" s="111"/>
      <c r="R64" s="113"/>
      <c r="S64" s="9"/>
      <c r="T64" s="38"/>
      <c r="U64" s="52"/>
      <c r="V64" s="52"/>
      <c r="W64" s="149"/>
      <c r="X64" s="55"/>
      <c r="Y64" s="55"/>
      <c r="Z64" s="55"/>
    </row>
    <row r="65" spans="1:26" x14ac:dyDescent="0.25">
      <c r="A65" s="38"/>
      <c r="B65" s="33"/>
      <c r="C65" s="33"/>
      <c r="D65" s="33"/>
      <c r="E65" s="33"/>
      <c r="F65" s="49"/>
      <c r="G65" s="49"/>
      <c r="H65" s="49"/>
      <c r="I65" s="33"/>
      <c r="J65" s="49"/>
      <c r="K65" s="33"/>
      <c r="L65" s="92"/>
      <c r="M65" s="131"/>
      <c r="N65" s="10"/>
      <c r="O65" s="33"/>
      <c r="P65" s="108"/>
      <c r="Q65" s="111"/>
      <c r="R65" s="113"/>
      <c r="S65" s="9"/>
      <c r="T65" s="38"/>
      <c r="U65" s="52"/>
      <c r="V65" s="52"/>
      <c r="W65" s="149"/>
      <c r="X65" s="55"/>
      <c r="Y65" s="55"/>
      <c r="Z65" s="55"/>
    </row>
    <row r="66" spans="1:26" x14ac:dyDescent="0.25">
      <c r="A66" s="38"/>
      <c r="B66" s="33"/>
      <c r="C66" s="33"/>
      <c r="D66" s="33"/>
      <c r="E66" s="33"/>
      <c r="F66" s="49"/>
      <c r="G66" s="49"/>
      <c r="H66" s="49"/>
      <c r="I66" s="33"/>
      <c r="J66" s="49"/>
      <c r="K66" s="33"/>
      <c r="L66" s="92"/>
      <c r="M66" s="131"/>
      <c r="N66" s="10"/>
      <c r="O66" s="33"/>
      <c r="P66" s="108"/>
      <c r="Q66" s="111"/>
      <c r="R66" s="113"/>
      <c r="S66" s="9"/>
      <c r="T66" s="38"/>
      <c r="U66" s="52"/>
      <c r="V66" s="52"/>
      <c r="W66" s="149"/>
      <c r="X66" s="55"/>
      <c r="Y66" s="55"/>
      <c r="Z66" s="55"/>
    </row>
    <row r="67" spans="1:26" x14ac:dyDescent="0.25">
      <c r="A67" s="38"/>
      <c r="B67" s="33"/>
      <c r="C67" s="33"/>
      <c r="D67" s="33"/>
      <c r="E67" s="33"/>
      <c r="F67" s="49"/>
      <c r="G67" s="49"/>
      <c r="H67" s="49"/>
      <c r="I67" s="33"/>
      <c r="J67" s="49"/>
      <c r="K67" s="33"/>
      <c r="L67" s="92"/>
      <c r="M67" s="131"/>
      <c r="N67" s="10"/>
      <c r="O67" s="33"/>
      <c r="P67" s="108"/>
      <c r="Q67" s="111"/>
      <c r="R67" s="113"/>
      <c r="S67" s="9"/>
      <c r="T67" s="38"/>
      <c r="U67" s="52"/>
      <c r="V67" s="52"/>
      <c r="W67" s="149"/>
      <c r="X67" s="55"/>
      <c r="Y67" s="55"/>
      <c r="Z67" s="55"/>
    </row>
    <row r="68" spans="1:26" x14ac:dyDescent="0.25">
      <c r="A68" s="38"/>
      <c r="B68" s="33"/>
      <c r="C68" s="33"/>
      <c r="D68" s="33"/>
      <c r="E68" s="33"/>
      <c r="F68" s="49"/>
      <c r="G68" s="49"/>
      <c r="H68" s="49"/>
      <c r="I68" s="33"/>
      <c r="J68" s="49"/>
      <c r="K68" s="33"/>
      <c r="L68" s="92"/>
      <c r="M68" s="131"/>
      <c r="N68" s="10"/>
      <c r="O68" s="33"/>
      <c r="P68" s="108"/>
      <c r="Q68" s="111"/>
      <c r="R68" s="113"/>
      <c r="S68" s="9"/>
      <c r="T68" s="38"/>
      <c r="U68" s="52"/>
      <c r="V68" s="52"/>
      <c r="W68" s="149"/>
      <c r="X68" s="55"/>
      <c r="Y68" s="55"/>
      <c r="Z68" s="55"/>
    </row>
    <row r="69" spans="1:26" x14ac:dyDescent="0.25">
      <c r="A69" s="38"/>
      <c r="B69" s="33"/>
      <c r="C69" s="33"/>
      <c r="D69" s="33"/>
      <c r="E69" s="33"/>
      <c r="F69" s="49"/>
      <c r="G69" s="49"/>
      <c r="H69" s="49"/>
      <c r="I69" s="33"/>
      <c r="J69" s="49"/>
      <c r="K69" s="33"/>
      <c r="L69" s="92"/>
      <c r="M69" s="131"/>
      <c r="N69" s="10"/>
      <c r="O69" s="33"/>
      <c r="P69" s="108"/>
      <c r="Q69" s="111"/>
      <c r="R69" s="113"/>
      <c r="S69" s="9"/>
      <c r="T69" s="38"/>
      <c r="U69" s="52"/>
      <c r="V69" s="52"/>
      <c r="W69" s="149"/>
      <c r="X69" s="55"/>
      <c r="Y69" s="55"/>
      <c r="Z69" s="55"/>
    </row>
    <row r="70" spans="1:26" x14ac:dyDescent="0.25">
      <c r="A70" s="38"/>
      <c r="B70" s="33"/>
      <c r="C70" s="33"/>
      <c r="D70" s="33"/>
      <c r="E70" s="33"/>
      <c r="F70" s="49"/>
      <c r="G70" s="49"/>
      <c r="H70" s="49"/>
      <c r="I70" s="33"/>
      <c r="J70" s="49"/>
      <c r="K70" s="33"/>
      <c r="L70" s="92"/>
      <c r="M70" s="131"/>
      <c r="N70" s="10"/>
      <c r="O70" s="33"/>
      <c r="P70" s="108"/>
      <c r="Q70" s="111"/>
      <c r="R70" s="113"/>
      <c r="S70" s="9"/>
      <c r="T70" s="38"/>
      <c r="U70" s="52"/>
      <c r="V70" s="52"/>
      <c r="W70" s="149"/>
      <c r="X70" s="55"/>
      <c r="Y70" s="55"/>
      <c r="Z70" s="55"/>
    </row>
    <row r="71" spans="1:26" x14ac:dyDescent="0.25">
      <c r="A71" s="38"/>
      <c r="B71" s="33"/>
      <c r="C71" s="33"/>
      <c r="D71" s="33"/>
      <c r="E71" s="33"/>
      <c r="F71" s="49"/>
      <c r="G71" s="49"/>
      <c r="H71" s="49"/>
      <c r="I71" s="33"/>
      <c r="J71" s="49"/>
      <c r="K71" s="33"/>
      <c r="L71" s="92"/>
      <c r="M71" s="131"/>
      <c r="N71" s="10"/>
      <c r="O71" s="33"/>
      <c r="P71" s="108"/>
      <c r="Q71" s="111"/>
      <c r="R71" s="113"/>
      <c r="S71" s="9"/>
      <c r="T71" s="38"/>
      <c r="U71" s="52"/>
      <c r="V71" s="52"/>
      <c r="W71" s="149"/>
      <c r="X71" s="55"/>
      <c r="Y71" s="55"/>
      <c r="Z71" s="55"/>
    </row>
    <row r="72" spans="1:26" x14ac:dyDescent="0.25">
      <c r="A72" s="38"/>
      <c r="B72" s="33"/>
      <c r="C72" s="33"/>
      <c r="D72" s="33"/>
      <c r="E72" s="33"/>
      <c r="F72" s="49"/>
      <c r="G72" s="49"/>
      <c r="H72" s="49"/>
      <c r="I72" s="33"/>
      <c r="J72" s="49"/>
      <c r="K72" s="33"/>
      <c r="L72" s="92"/>
      <c r="M72" s="131"/>
      <c r="N72" s="10"/>
      <c r="O72" s="33"/>
      <c r="P72" s="108"/>
      <c r="Q72" s="111"/>
      <c r="R72" s="113"/>
      <c r="S72" s="9"/>
      <c r="T72" s="38"/>
      <c r="U72" s="52"/>
      <c r="V72" s="52"/>
      <c r="W72" s="149"/>
      <c r="X72" s="55"/>
      <c r="Y72" s="55"/>
      <c r="Z72" s="55"/>
    </row>
    <row r="73" spans="1:26" x14ac:dyDescent="0.25">
      <c r="A73" s="38"/>
      <c r="B73" s="33"/>
      <c r="C73" s="33"/>
      <c r="D73" s="33"/>
      <c r="E73" s="33"/>
      <c r="F73" s="49"/>
      <c r="G73" s="49"/>
      <c r="H73" s="49"/>
      <c r="I73" s="33"/>
      <c r="J73" s="49"/>
      <c r="K73" s="33"/>
      <c r="L73" s="92"/>
      <c r="M73" s="131"/>
      <c r="N73" s="10"/>
      <c r="O73" s="33"/>
      <c r="P73" s="108"/>
      <c r="Q73" s="111"/>
      <c r="R73" s="113"/>
      <c r="S73" s="9"/>
      <c r="T73" s="38"/>
      <c r="U73" s="52"/>
      <c r="V73" s="52"/>
      <c r="W73" s="149"/>
      <c r="X73" s="55"/>
      <c r="Y73" s="55"/>
      <c r="Z73" s="55"/>
    </row>
    <row r="74" spans="1:26" x14ac:dyDescent="0.25">
      <c r="B74" s="23"/>
      <c r="C74" s="23"/>
      <c r="D74" s="23"/>
      <c r="E74" s="23"/>
      <c r="I74" s="23"/>
      <c r="K74" s="23"/>
    </row>
  </sheetData>
  <autoFilter ref="A6:Z61"/>
  <sortState ref="A7:V83">
    <sortCondition ref="U7:U83"/>
    <sortCondition ref="E7:E83"/>
    <sortCondition ref="J7:J83"/>
    <sortCondition ref="C7:C83"/>
    <sortCondition ref="F7:F83"/>
  </sortState>
  <mergeCells count="1">
    <mergeCell ref="A5:M5"/>
  </mergeCells>
  <conditionalFormatting sqref="M6:N6 P6 M7:M1048576">
    <cfRule type="cellIs" dxfId="2" priority="14" operator="equal">
      <formula>"Y"</formula>
    </cfRule>
  </conditionalFormatting>
  <conditionalFormatting sqref="A7:N73">
    <cfRule type="expression" dxfId="1" priority="7">
      <formula>$M7="Y"</formula>
    </cfRule>
  </conditionalFormatting>
  <conditionalFormatting sqref="M2:M3">
    <cfRule type="cellIs" dxfId="0" priority="5" operator="equal">
      <formula>"Y"</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2]!DailyMorningStuff_Enforcements">
                <anchor moveWithCells="1" sizeWithCells="1">
                  <from>
                    <xdr:col>13</xdr:col>
                    <xdr:colOff>352425</xdr:colOff>
                    <xdr:row>1</xdr:row>
                    <xdr:rowOff>28575</xdr:rowOff>
                  </from>
                  <to>
                    <xdr:col>13</xdr:col>
                    <xdr:colOff>1152525</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'Redmine List Values'!$C$2:$C$13</xm:f>
          </x14:formula1>
          <xm:sqref>Z7:Z53</xm:sqref>
        </x14:dataValidation>
        <x14:dataValidation type="list" allowBlank="1" showInputMessage="1" showErrorMessage="1">
          <x14:formula1>
            <xm:f>'Redmine List Values'!$A$2:$A$7</xm:f>
          </x14:formula1>
          <xm:sqref>Y7:Y53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76"/>
  <sheetViews>
    <sheetView workbookViewId="0">
      <selection activeCell="E4" sqref="E4"/>
    </sheetView>
  </sheetViews>
  <sheetFormatPr defaultRowHeight="15" x14ac:dyDescent="0.25"/>
  <cols>
    <col min="1" max="1" width="9.140625" style="114"/>
    <col min="2" max="2" width="9.140625" style="2" customWidth="1"/>
    <col min="3" max="3" width="8" style="130" bestFit="1" customWidth="1"/>
    <col min="4" max="4" width="9.85546875" style="121" bestFit="1" customWidth="1"/>
    <col min="5" max="5" width="45.140625" bestFit="1" customWidth="1"/>
    <col min="6" max="6" width="18.140625" customWidth="1"/>
    <col min="7" max="7" width="17" customWidth="1"/>
    <col min="8" max="8" width="14.140625" customWidth="1"/>
    <col min="9" max="10" width="9.140625" customWidth="1"/>
  </cols>
  <sheetData>
    <row r="1" spans="1:11" s="23" customFormat="1" x14ac:dyDescent="0.25">
      <c r="A1" s="114"/>
      <c r="B1" s="166" t="str">
        <f>"Trips that did not appear in PTC Data "&amp;TEXT(Variables!$A$2,"YYYY-mm-dd")</f>
        <v>Trips that did not appear in PTC Data 2016-08-31</v>
      </c>
      <c r="C1" s="166"/>
      <c r="D1" s="166"/>
      <c r="E1" s="166"/>
      <c r="F1" s="166"/>
    </row>
    <row r="2" spans="1:11" s="26" customFormat="1" ht="45" x14ac:dyDescent="0.25">
      <c r="A2" s="163" t="s">
        <v>273</v>
      </c>
      <c r="B2" s="140" t="s">
        <v>64</v>
      </c>
      <c r="C2" s="127" t="s">
        <v>65</v>
      </c>
      <c r="D2" s="128" t="s">
        <v>66</v>
      </c>
      <c r="E2" s="26" t="s">
        <v>62</v>
      </c>
      <c r="F2" s="26" t="s">
        <v>63</v>
      </c>
      <c r="G2" s="26" t="s">
        <v>67</v>
      </c>
      <c r="H2" s="31" t="s">
        <v>68</v>
      </c>
      <c r="I2" s="31" t="s">
        <v>121</v>
      </c>
    </row>
    <row r="3" spans="1:11" x14ac:dyDescent="0.25">
      <c r="A3" s="114">
        <v>195</v>
      </c>
      <c r="B3" s="2" t="str">
        <f>A3&amp;"-"&amp;DAY(Variables!$A$2)</f>
        <v>195-31</v>
      </c>
      <c r="C3" s="129"/>
      <c r="D3" s="129"/>
      <c r="E3" s="33" t="s">
        <v>741</v>
      </c>
      <c r="F3" s="24" t="e">
        <f>VLOOKUP(B3,'Trips&amp;Operators'!$C$2:$E$10000,3,FALSE)</f>
        <v>#N/A</v>
      </c>
      <c r="G3" s="24" t="e">
        <f>VLOOKUP(B3,'Trips&amp;Operators'!$C$1:$F$10000,4,FALSE)</f>
        <v>#N/A</v>
      </c>
      <c r="H3" s="32" t="e">
        <f>VLOOKUP(B3,'Trips&amp;Operators'!$C$1:$H$10000,5,FALSE)</f>
        <v>#N/A</v>
      </c>
      <c r="I3" s="52" t="str">
        <f t="shared" ref="I3:I9" si="0">"https://search-rtdc-monitor-bjffxe2xuh6vdkpspy63sjmuny.us-east-1.es.amazonaws.com/_plugin/kibana/#/discover/Missing-Trains-search-by-trip-ID?"&amp;"_g=(refreshInterval:(display:Off,section:0,value:0),time:(from:now-7d,mode:relative,to:now))"&amp;"&amp;_a=(columns:!(Source,'Message%20ID',Destination,'Data.Number%20of%20Train%20IDs'),filters:!(),index:'emp_*',interval:auto,query:(query_string:(analyze_wildcard:!t,query:%22"&amp;B3&amp;"%22)),sort:!(Time,asc))"</f>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22195-31%22)),sort:!(Time,asc))</v>
      </c>
      <c r="J3" s="23"/>
      <c r="K3" s="23"/>
    </row>
    <row r="4" spans="1:11" x14ac:dyDescent="0.25">
      <c r="A4" s="114">
        <v>196</v>
      </c>
      <c r="B4" s="2" t="str">
        <f>A4&amp;"-"&amp;DAY(Variables!$A$2)</f>
        <v>196-31</v>
      </c>
      <c r="C4" s="129"/>
      <c r="D4" s="129"/>
      <c r="E4" s="33" t="s">
        <v>741</v>
      </c>
      <c r="F4" s="24" t="e">
        <f>VLOOKUP(B4,'Trips&amp;Operators'!$C$2:$E$10000,3,FALSE)</f>
        <v>#N/A</v>
      </c>
      <c r="G4" s="24" t="e">
        <f>VLOOKUP(B4,'Trips&amp;Operators'!$C$1:$F$10000,4,FALSE)</f>
        <v>#N/A</v>
      </c>
      <c r="H4" s="32" t="e">
        <f>VLOOKUP(B4,'Trips&amp;Operators'!$C$1:$H$10000,5,FALSE)</f>
        <v>#N/A</v>
      </c>
      <c r="I4" s="52"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22196-31%22)),sort:!(Time,asc))</v>
      </c>
      <c r="J4" s="23"/>
      <c r="K4" s="23"/>
    </row>
    <row r="5" spans="1:11" x14ac:dyDescent="0.25">
      <c r="B5" s="2" t="str">
        <f>A5&amp;"-"&amp;DAY(Variables!$A$2)</f>
        <v>-31</v>
      </c>
      <c r="C5" s="129"/>
      <c r="D5" s="129"/>
      <c r="E5" s="33"/>
      <c r="F5" s="24" t="e">
        <f>VLOOKUP(B5,'Trips&amp;Operators'!$C$2:$E$10000,3,FALSE)</f>
        <v>#N/A</v>
      </c>
      <c r="G5" s="24" t="e">
        <f>VLOOKUP(B5,'Trips&amp;Operators'!$C$1:$F$10000,4,FALSE)</f>
        <v>#N/A</v>
      </c>
      <c r="H5" s="32" t="e">
        <f>VLOOKUP(B5,'Trips&amp;Operators'!$C$1:$H$10000,5,FALSE)</f>
        <v>#N/A</v>
      </c>
      <c r="I5" s="52"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-31%22)),sort:!(Time,asc))</v>
      </c>
      <c r="J5" s="23"/>
      <c r="K5" s="23"/>
    </row>
    <row r="6" spans="1:11" x14ac:dyDescent="0.25">
      <c r="B6" s="2" t="str">
        <f>A6&amp;"-"&amp;DAY(Variables!$A$2)</f>
        <v>-31</v>
      </c>
      <c r="C6" s="129"/>
      <c r="D6" s="129"/>
      <c r="E6" s="33"/>
      <c r="F6" s="24" t="e">
        <f>VLOOKUP(B6,'Trips&amp;Operators'!$C$2:$E$10000,3,FALSE)</f>
        <v>#N/A</v>
      </c>
      <c r="G6" s="24" t="e">
        <f>VLOOKUP(B6,'Trips&amp;Operators'!$C$1:$F$10000,4,FALSE)</f>
        <v>#N/A</v>
      </c>
      <c r="H6" s="32" t="e">
        <f>VLOOKUP(B6,'Trips&amp;Operators'!$C$1:$H$10000,5,FALSE)</f>
        <v>#N/A</v>
      </c>
      <c r="I6" s="52"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-31%22)),sort:!(Time,asc))</v>
      </c>
      <c r="J6" s="23"/>
      <c r="K6" s="23"/>
    </row>
    <row r="7" spans="1:11" x14ac:dyDescent="0.25">
      <c r="B7" s="2" t="str">
        <f>A7&amp;"-"&amp;DAY(Variables!$A$2)</f>
        <v>-31</v>
      </c>
      <c r="C7" s="129"/>
      <c r="D7" s="129"/>
      <c r="E7" s="33"/>
      <c r="F7" s="24" t="e">
        <f>VLOOKUP(B7,'Trips&amp;Operators'!$C$2:$E$10000,3,FALSE)</f>
        <v>#N/A</v>
      </c>
      <c r="G7" s="24" t="e">
        <f>VLOOKUP(B7,'Trips&amp;Operators'!$C$1:$F$10000,4,FALSE)</f>
        <v>#N/A</v>
      </c>
      <c r="H7" s="32" t="e">
        <f>VLOOKUP(B7,'Trips&amp;Operators'!$C$1:$H$10000,5,FALSE)</f>
        <v>#N/A</v>
      </c>
      <c r="I7" s="52"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-31%22)),sort:!(Time,asc))</v>
      </c>
      <c r="J7" s="23"/>
      <c r="K7" s="23"/>
    </row>
    <row r="8" spans="1:11" x14ac:dyDescent="0.25">
      <c r="B8" s="2" t="str">
        <f>A8&amp;"-"&amp;DAY(Variables!$A$2)</f>
        <v>-31</v>
      </c>
      <c r="C8" s="129"/>
      <c r="D8" s="129"/>
      <c r="E8" s="33"/>
      <c r="F8" s="24" t="e">
        <f>VLOOKUP(B8,'Trips&amp;Operators'!$C$2:$E$10000,3,FALSE)</f>
        <v>#N/A</v>
      </c>
      <c r="G8" s="24" t="e">
        <f>VLOOKUP(B8,'Trips&amp;Operators'!$C$1:$F$10000,4,FALSE)</f>
        <v>#N/A</v>
      </c>
      <c r="H8" s="32" t="e">
        <f>VLOOKUP(B8,'Trips&amp;Operators'!$C$1:$H$10000,5,FALSE)</f>
        <v>#N/A</v>
      </c>
      <c r="I8" s="52"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-31%22)),sort:!(Time,asc))</v>
      </c>
      <c r="J8" s="23"/>
      <c r="K8" s="23"/>
    </row>
    <row r="9" spans="1:11" x14ac:dyDescent="0.25">
      <c r="B9" s="2" t="str">
        <f>A9&amp;"-"&amp;DAY(Variables!$A$2)</f>
        <v>-31</v>
      </c>
      <c r="C9" s="129"/>
      <c r="D9" s="129"/>
      <c r="E9" s="33"/>
      <c r="F9" s="24" t="e">
        <f>VLOOKUP(B9,'Trips&amp;Operators'!$C$2:$E$10000,3,FALSE)</f>
        <v>#N/A</v>
      </c>
      <c r="G9" s="24" t="e">
        <f>VLOOKUP(B9,'Trips&amp;Operators'!$C$1:$F$10000,4,FALSE)</f>
        <v>#N/A</v>
      </c>
      <c r="H9" s="32" t="e">
        <f>VLOOKUP(B9,'Trips&amp;Operators'!$C$1:$H$10000,5,FALSE)</f>
        <v>#N/A</v>
      </c>
      <c r="I9" s="52"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-31%22)),sort:!(Time,asc))</v>
      </c>
      <c r="J9" s="23"/>
      <c r="K9" s="23"/>
    </row>
    <row r="10" spans="1:11" x14ac:dyDescent="0.25">
      <c r="C10" s="114"/>
      <c r="D10" s="114"/>
      <c r="I10" s="23"/>
      <c r="J10" s="23"/>
      <c r="K10" s="23"/>
    </row>
    <row r="11" spans="1:11" x14ac:dyDescent="0.25">
      <c r="C11" s="114"/>
      <c r="D11" s="114"/>
      <c r="I11" s="23"/>
      <c r="J11" s="23"/>
      <c r="K11" s="23"/>
    </row>
    <row r="12" spans="1:11" x14ac:dyDescent="0.25">
      <c r="C12" s="114"/>
      <c r="D12" s="114"/>
      <c r="I12" s="23"/>
      <c r="J12" s="23"/>
      <c r="K12" s="23"/>
    </row>
    <row r="13" spans="1:11" x14ac:dyDescent="0.25">
      <c r="C13" s="114"/>
      <c r="D13" s="114"/>
      <c r="I13" s="23"/>
      <c r="J13" s="23"/>
      <c r="K13" s="23"/>
    </row>
    <row r="14" spans="1:11" x14ac:dyDescent="0.25">
      <c r="C14" s="114"/>
      <c r="D14" s="114"/>
      <c r="I14" s="23"/>
      <c r="J14" s="23"/>
      <c r="K14" s="23"/>
    </row>
    <row r="15" spans="1:11" x14ac:dyDescent="0.25">
      <c r="C15" s="114"/>
      <c r="D15" s="114"/>
      <c r="I15" s="23"/>
      <c r="J15" s="23"/>
      <c r="K15" s="23"/>
    </row>
    <row r="16" spans="1:11" x14ac:dyDescent="0.25">
      <c r="C16" s="114"/>
      <c r="D16" s="114"/>
      <c r="I16" s="23"/>
      <c r="J16" s="23"/>
      <c r="K16" s="23"/>
    </row>
    <row r="17" spans="3:11" x14ac:dyDescent="0.25">
      <c r="C17" s="114"/>
      <c r="D17" s="114"/>
      <c r="I17" s="23"/>
      <c r="J17" s="23"/>
      <c r="K17" s="23"/>
    </row>
    <row r="18" spans="3:11" x14ac:dyDescent="0.25">
      <c r="C18" s="114"/>
      <c r="D18" s="114"/>
      <c r="I18" s="23"/>
      <c r="J18" s="23"/>
      <c r="K18" s="23"/>
    </row>
    <row r="19" spans="3:11" x14ac:dyDescent="0.25">
      <c r="C19" s="114"/>
      <c r="D19" s="114"/>
      <c r="I19" s="23"/>
      <c r="J19" s="23"/>
      <c r="K19" s="23"/>
    </row>
    <row r="20" spans="3:11" x14ac:dyDescent="0.25">
      <c r="C20" s="114"/>
      <c r="D20" s="114"/>
      <c r="I20" s="23"/>
      <c r="J20" s="23"/>
      <c r="K20" s="23"/>
    </row>
    <row r="21" spans="3:11" x14ac:dyDescent="0.25">
      <c r="C21" s="114"/>
      <c r="D21" s="114"/>
      <c r="I21" s="23"/>
      <c r="J21" s="23"/>
      <c r="K21" s="23"/>
    </row>
    <row r="22" spans="3:11" x14ac:dyDescent="0.25">
      <c r="C22" s="114"/>
      <c r="D22" s="114"/>
      <c r="I22" s="23"/>
      <c r="J22" s="23"/>
      <c r="K22" s="23"/>
    </row>
    <row r="23" spans="3:11" x14ac:dyDescent="0.25">
      <c r="C23" s="114"/>
      <c r="D23" s="114"/>
      <c r="I23" s="23"/>
      <c r="J23" s="23"/>
      <c r="K23" s="23"/>
    </row>
    <row r="24" spans="3:11" x14ac:dyDescent="0.25">
      <c r="C24" s="114"/>
      <c r="D24" s="114"/>
      <c r="I24" s="23"/>
      <c r="J24" s="23"/>
      <c r="K24" s="23"/>
    </row>
    <row r="25" spans="3:11" x14ac:dyDescent="0.25">
      <c r="C25" s="114"/>
      <c r="D25" s="114"/>
      <c r="I25" s="23"/>
      <c r="J25" s="23"/>
      <c r="K25" s="23"/>
    </row>
    <row r="26" spans="3:11" x14ac:dyDescent="0.25">
      <c r="C26" s="114"/>
      <c r="D26" s="114"/>
      <c r="I26" s="23"/>
      <c r="J26" s="23"/>
      <c r="K26" s="23"/>
    </row>
    <row r="27" spans="3:11" x14ac:dyDescent="0.25">
      <c r="C27" s="114"/>
      <c r="D27" s="114"/>
      <c r="I27" s="23"/>
      <c r="J27" s="23"/>
      <c r="K27" s="23"/>
    </row>
    <row r="28" spans="3:11" x14ac:dyDescent="0.25">
      <c r="C28" s="114"/>
      <c r="D28" s="114"/>
      <c r="I28" s="23"/>
      <c r="J28" s="23"/>
      <c r="K28" s="23"/>
    </row>
    <row r="29" spans="3:11" x14ac:dyDescent="0.25">
      <c r="C29" s="114"/>
      <c r="D29" s="114"/>
      <c r="I29" s="23"/>
      <c r="J29" s="23"/>
      <c r="K29" s="23"/>
    </row>
    <row r="30" spans="3:11" x14ac:dyDescent="0.25">
      <c r="C30" s="114"/>
      <c r="D30" s="114"/>
      <c r="I30" s="23"/>
      <c r="J30" s="23"/>
      <c r="K30" s="23"/>
    </row>
    <row r="31" spans="3:11" x14ac:dyDescent="0.25">
      <c r="C31" s="114"/>
      <c r="D31" s="114"/>
      <c r="I31" s="23"/>
      <c r="J31" s="23"/>
      <c r="K31" s="23"/>
    </row>
    <row r="32" spans="3:11" x14ac:dyDescent="0.25">
      <c r="C32" s="114"/>
      <c r="D32" s="114"/>
      <c r="I32" s="23"/>
      <c r="J32" s="23"/>
      <c r="K32" s="23"/>
    </row>
    <row r="33" spans="3:11" x14ac:dyDescent="0.25">
      <c r="C33" s="114"/>
      <c r="D33" s="114"/>
      <c r="I33" s="23"/>
      <c r="J33" s="23"/>
      <c r="K33" s="23"/>
    </row>
    <row r="34" spans="3:11" x14ac:dyDescent="0.25">
      <c r="C34" s="114"/>
      <c r="D34" s="114"/>
      <c r="I34" s="23"/>
      <c r="J34" s="23"/>
      <c r="K34" s="23"/>
    </row>
    <row r="35" spans="3:11" x14ac:dyDescent="0.25">
      <c r="C35" s="114"/>
      <c r="D35" s="114"/>
      <c r="I35" s="23"/>
      <c r="J35" s="23"/>
      <c r="K35" s="23"/>
    </row>
    <row r="36" spans="3:11" x14ac:dyDescent="0.25">
      <c r="C36" s="114"/>
      <c r="D36" s="114"/>
      <c r="I36" s="23"/>
      <c r="J36" s="23"/>
      <c r="K36" s="23"/>
    </row>
    <row r="37" spans="3:11" x14ac:dyDescent="0.25">
      <c r="C37" s="114"/>
      <c r="D37" s="114"/>
      <c r="I37" s="23"/>
      <c r="J37" s="23"/>
      <c r="K37" s="23"/>
    </row>
    <row r="38" spans="3:11" x14ac:dyDescent="0.25">
      <c r="C38" s="114"/>
      <c r="D38" s="114"/>
      <c r="I38" s="23"/>
      <c r="J38" s="23"/>
      <c r="K38" s="23"/>
    </row>
    <row r="39" spans="3:11" x14ac:dyDescent="0.25">
      <c r="C39" s="114"/>
      <c r="D39" s="114"/>
      <c r="I39" s="23"/>
      <c r="J39" s="23"/>
      <c r="K39" s="23"/>
    </row>
    <row r="40" spans="3:11" x14ac:dyDescent="0.25">
      <c r="C40" s="114"/>
      <c r="D40" s="114"/>
      <c r="I40" s="23"/>
      <c r="J40" s="23"/>
      <c r="K40" s="23"/>
    </row>
    <row r="41" spans="3:11" x14ac:dyDescent="0.25">
      <c r="C41" s="114"/>
      <c r="D41" s="114"/>
      <c r="I41" s="23"/>
      <c r="J41" s="23"/>
      <c r="K41" s="23"/>
    </row>
    <row r="42" spans="3:11" x14ac:dyDescent="0.25">
      <c r="C42" s="114"/>
      <c r="D42" s="114"/>
      <c r="I42" s="23"/>
      <c r="J42" s="23"/>
      <c r="K42" s="23"/>
    </row>
    <row r="43" spans="3:11" x14ac:dyDescent="0.25">
      <c r="C43" s="114"/>
      <c r="D43" s="114"/>
      <c r="I43" s="23"/>
      <c r="J43" s="23"/>
      <c r="K43" s="23"/>
    </row>
    <row r="44" spans="3:11" x14ac:dyDescent="0.25">
      <c r="C44" s="114"/>
      <c r="D44" s="114"/>
      <c r="I44" s="23"/>
      <c r="J44" s="23"/>
      <c r="K44" s="23"/>
    </row>
    <row r="45" spans="3:11" x14ac:dyDescent="0.25">
      <c r="C45" s="114"/>
      <c r="D45" s="114"/>
      <c r="I45" s="23"/>
      <c r="J45" s="23"/>
      <c r="K45" s="23"/>
    </row>
    <row r="46" spans="3:11" x14ac:dyDescent="0.25">
      <c r="C46" s="114"/>
      <c r="D46" s="114"/>
      <c r="I46" s="23"/>
      <c r="J46" s="23"/>
      <c r="K46" s="23"/>
    </row>
    <row r="47" spans="3:11" x14ac:dyDescent="0.25">
      <c r="C47" s="114"/>
      <c r="D47" s="114"/>
      <c r="I47" s="23"/>
      <c r="J47" s="23"/>
      <c r="K47" s="23"/>
    </row>
    <row r="48" spans="3:11" x14ac:dyDescent="0.25">
      <c r="C48" s="114"/>
      <c r="D48" s="114"/>
      <c r="I48" s="23"/>
      <c r="J48" s="23"/>
      <c r="K48" s="23"/>
    </row>
    <row r="49" spans="3:11" x14ac:dyDescent="0.25">
      <c r="C49" s="114"/>
      <c r="D49" s="114"/>
      <c r="I49" s="23"/>
      <c r="J49" s="23"/>
      <c r="K49" s="23"/>
    </row>
    <row r="50" spans="3:11" x14ac:dyDescent="0.25">
      <c r="C50" s="114"/>
      <c r="D50" s="114"/>
      <c r="I50" s="23"/>
      <c r="J50" s="23"/>
      <c r="K50" s="23"/>
    </row>
    <row r="51" spans="3:11" x14ac:dyDescent="0.25">
      <c r="C51" s="114"/>
      <c r="D51" s="114"/>
      <c r="I51" s="23"/>
      <c r="J51" s="23"/>
      <c r="K51" s="23"/>
    </row>
    <row r="52" spans="3:11" x14ac:dyDescent="0.25">
      <c r="C52" s="114"/>
      <c r="D52" s="114"/>
      <c r="I52" s="23"/>
      <c r="J52" s="23"/>
      <c r="K52" s="23"/>
    </row>
    <row r="53" spans="3:11" x14ac:dyDescent="0.25">
      <c r="C53" s="114"/>
      <c r="D53" s="114"/>
      <c r="I53" s="23"/>
      <c r="J53" s="23"/>
      <c r="K53" s="23"/>
    </row>
    <row r="54" spans="3:11" x14ac:dyDescent="0.25">
      <c r="C54" s="114"/>
      <c r="D54" s="114"/>
      <c r="I54" s="23"/>
      <c r="J54" s="23"/>
      <c r="K54" s="23"/>
    </row>
    <row r="55" spans="3:11" x14ac:dyDescent="0.25">
      <c r="C55" s="114"/>
      <c r="D55" s="114"/>
      <c r="I55" s="23"/>
      <c r="J55" s="23"/>
      <c r="K55" s="23"/>
    </row>
    <row r="56" spans="3:11" x14ac:dyDescent="0.25">
      <c r="C56" s="114"/>
      <c r="D56" s="114"/>
      <c r="I56" s="23"/>
      <c r="J56" s="23"/>
      <c r="K56" s="23"/>
    </row>
    <row r="57" spans="3:11" x14ac:dyDescent="0.25">
      <c r="C57" s="114"/>
      <c r="D57" s="114"/>
      <c r="I57" s="23"/>
      <c r="J57" s="23"/>
      <c r="K57" s="23"/>
    </row>
    <row r="58" spans="3:11" x14ac:dyDescent="0.25">
      <c r="C58" s="114"/>
      <c r="D58" s="114"/>
      <c r="I58" s="23"/>
      <c r="J58" s="23"/>
      <c r="K58" s="23"/>
    </row>
    <row r="59" spans="3:11" x14ac:dyDescent="0.25">
      <c r="C59" s="114"/>
      <c r="D59" s="114"/>
      <c r="I59" s="23"/>
      <c r="J59" s="23"/>
      <c r="K59" s="23"/>
    </row>
    <row r="60" spans="3:11" x14ac:dyDescent="0.25">
      <c r="C60" s="114"/>
      <c r="D60" s="114"/>
      <c r="I60" s="23"/>
      <c r="J60" s="23"/>
      <c r="K60" s="23"/>
    </row>
    <row r="61" spans="3:11" x14ac:dyDescent="0.25">
      <c r="C61" s="114"/>
      <c r="D61" s="114"/>
      <c r="I61" s="23"/>
      <c r="J61" s="23"/>
      <c r="K61" s="23"/>
    </row>
    <row r="62" spans="3:11" x14ac:dyDescent="0.25">
      <c r="C62" s="114"/>
      <c r="D62" s="114"/>
      <c r="I62" s="23"/>
      <c r="J62" s="23"/>
      <c r="K62" s="23"/>
    </row>
    <row r="63" spans="3:11" x14ac:dyDescent="0.25">
      <c r="C63" s="114"/>
      <c r="D63" s="114"/>
      <c r="I63" s="23"/>
      <c r="J63" s="23"/>
      <c r="K63" s="23"/>
    </row>
    <row r="64" spans="3:11" x14ac:dyDescent="0.25">
      <c r="C64" s="114"/>
      <c r="D64" s="114"/>
      <c r="I64" s="23"/>
      <c r="J64" s="23"/>
      <c r="K64" s="23"/>
    </row>
    <row r="65" spans="3:11" x14ac:dyDescent="0.25">
      <c r="C65" s="114"/>
      <c r="D65" s="114"/>
      <c r="I65" s="23"/>
      <c r="J65" s="23"/>
      <c r="K65" s="23"/>
    </row>
    <row r="66" spans="3:11" x14ac:dyDescent="0.25">
      <c r="C66" s="114"/>
      <c r="D66" s="114"/>
      <c r="I66" s="23"/>
      <c r="J66" s="23"/>
      <c r="K66" s="23"/>
    </row>
    <row r="67" spans="3:11" x14ac:dyDescent="0.25">
      <c r="C67" s="114"/>
      <c r="D67" s="114"/>
      <c r="I67" s="23"/>
      <c r="J67" s="23"/>
      <c r="K67" s="23"/>
    </row>
    <row r="68" spans="3:11" x14ac:dyDescent="0.25">
      <c r="C68" s="114"/>
      <c r="D68" s="114"/>
      <c r="I68" s="23"/>
      <c r="J68" s="23"/>
      <c r="K68" s="23"/>
    </row>
    <row r="69" spans="3:11" x14ac:dyDescent="0.25">
      <c r="C69" s="114"/>
      <c r="D69" s="114"/>
      <c r="I69" s="23"/>
      <c r="J69" s="23"/>
      <c r="K69" s="23"/>
    </row>
    <row r="70" spans="3:11" x14ac:dyDescent="0.25">
      <c r="C70" s="114"/>
      <c r="D70" s="114"/>
      <c r="I70" s="23"/>
      <c r="J70" s="23"/>
      <c r="K70" s="23"/>
    </row>
    <row r="71" spans="3:11" x14ac:dyDescent="0.25">
      <c r="C71" s="114"/>
      <c r="D71" s="114"/>
      <c r="I71" s="23"/>
      <c r="J71" s="23"/>
      <c r="K71" s="23"/>
    </row>
    <row r="72" spans="3:11" x14ac:dyDescent="0.25">
      <c r="C72" s="114"/>
      <c r="D72" s="114"/>
      <c r="I72" s="23"/>
      <c r="J72" s="23"/>
      <c r="K72" s="23"/>
    </row>
    <row r="73" spans="3:11" x14ac:dyDescent="0.25">
      <c r="C73" s="114"/>
      <c r="D73" s="114"/>
      <c r="I73" s="23"/>
      <c r="J73" s="23"/>
      <c r="K73" s="23"/>
    </row>
    <row r="74" spans="3:11" x14ac:dyDescent="0.25">
      <c r="C74" s="114"/>
      <c r="D74" s="114"/>
      <c r="I74" s="23"/>
      <c r="J74" s="23"/>
      <c r="K74" s="23"/>
    </row>
    <row r="75" spans="3:11" x14ac:dyDescent="0.25">
      <c r="C75" s="114"/>
      <c r="D75" s="114"/>
      <c r="I75" s="23"/>
      <c r="J75" s="23"/>
      <c r="K75" s="23"/>
    </row>
    <row r="76" spans="3:11" x14ac:dyDescent="0.25">
      <c r="I76" s="23"/>
      <c r="J76" s="23"/>
      <c r="K76" s="23"/>
    </row>
  </sheetData>
  <autoFilter ref="B2:I2"/>
  <mergeCells count="1">
    <mergeCell ref="B1:F1"/>
  </mergeCells>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0"/>
  </sheetPr>
  <dimension ref="A1:G543"/>
  <sheetViews>
    <sheetView workbookViewId="0">
      <selection sqref="A1:E226"/>
    </sheetView>
  </sheetViews>
  <sheetFormatPr defaultRowHeight="15" x14ac:dyDescent="0.25"/>
  <cols>
    <col min="1" max="1" width="18.28515625" style="8" bestFit="1" customWidth="1"/>
    <col min="2" max="2" width="17" bestFit="1" customWidth="1"/>
    <col min="3" max="3" width="10.140625" bestFit="1" customWidth="1"/>
    <col min="4" max="4" width="8" bestFit="1" customWidth="1"/>
    <col min="5" max="5" width="12.140625" bestFit="1" customWidth="1"/>
    <col min="6" max="6" width="17" style="23" bestFit="1" customWidth="1"/>
    <col min="7" max="7" width="18.28515625" style="8" bestFit="1" customWidth="1"/>
  </cols>
  <sheetData>
    <row r="1" spans="1:7" s="23" customFormat="1" x14ac:dyDescent="0.25">
      <c r="A1" s="8">
        <v>42613.034502314818</v>
      </c>
      <c r="B1" s="23" t="s">
        <v>228</v>
      </c>
      <c r="C1" s="23" t="s">
        <v>314</v>
      </c>
      <c r="D1" s="23">
        <v>1230000</v>
      </c>
      <c r="E1" s="23" t="s">
        <v>165</v>
      </c>
      <c r="F1" s="23" t="str">
        <f>B1</f>
        <v>rtdc.l.rtdc.4019:itc</v>
      </c>
      <c r="G1" s="8">
        <f>A1</f>
        <v>42613.034502314818</v>
      </c>
    </row>
    <row r="2" spans="1:7" x14ac:dyDescent="0.25">
      <c r="A2" s="8">
        <v>42613.048738425925</v>
      </c>
      <c r="B2" s="23" t="s">
        <v>232</v>
      </c>
      <c r="C2" s="23" t="s">
        <v>315</v>
      </c>
      <c r="D2" s="23">
        <v>1290000</v>
      </c>
      <c r="E2" s="23" t="s">
        <v>261</v>
      </c>
      <c r="F2" s="23" t="str">
        <f t="shared" ref="F2:F65" si="0">B2</f>
        <v>rtdc.l.rtdc.4040:itc</v>
      </c>
      <c r="G2" s="8">
        <f t="shared" ref="G2:G65" si="1">A2</f>
        <v>42613.048738425925</v>
      </c>
    </row>
    <row r="3" spans="1:7" x14ac:dyDescent="0.25">
      <c r="A3" s="8">
        <v>42613.058692129627</v>
      </c>
      <c r="B3" s="23" t="s">
        <v>279</v>
      </c>
      <c r="C3" s="23" t="s">
        <v>316</v>
      </c>
      <c r="D3" s="23">
        <v>1800000</v>
      </c>
      <c r="E3" s="23" t="s">
        <v>170</v>
      </c>
      <c r="F3" s="23" t="str">
        <f t="shared" si="0"/>
        <v>rtdc.l.rtdc.4017:itc</v>
      </c>
      <c r="G3" s="8">
        <f t="shared" si="1"/>
        <v>42613.058692129627</v>
      </c>
    </row>
    <row r="4" spans="1:7" x14ac:dyDescent="0.25">
      <c r="A4" s="8">
        <v>42613.068182870367</v>
      </c>
      <c r="B4" s="23" t="s">
        <v>229</v>
      </c>
      <c r="C4" s="23" t="s">
        <v>317</v>
      </c>
      <c r="D4" s="23">
        <v>1230000</v>
      </c>
      <c r="E4" s="23" t="s">
        <v>165</v>
      </c>
      <c r="F4" s="23" t="str">
        <f t="shared" si="0"/>
        <v>rtdc.l.rtdc.4020:itc</v>
      </c>
      <c r="G4" s="8">
        <f t="shared" si="1"/>
        <v>42613.068182870367</v>
      </c>
    </row>
    <row r="5" spans="1:7" x14ac:dyDescent="0.25">
      <c r="A5" s="8">
        <v>42613.078055555554</v>
      </c>
      <c r="B5" s="23" t="s">
        <v>168</v>
      </c>
      <c r="C5" s="23" t="s">
        <v>318</v>
      </c>
      <c r="D5" s="23">
        <v>780000</v>
      </c>
      <c r="E5" s="23" t="s">
        <v>319</v>
      </c>
      <c r="F5" s="23" t="str">
        <f t="shared" si="0"/>
        <v>rtdc.l.rtdc.4009:itc</v>
      </c>
      <c r="G5" s="8">
        <f t="shared" si="1"/>
        <v>42613.078055555554</v>
      </c>
    </row>
    <row r="6" spans="1:7" x14ac:dyDescent="0.25">
      <c r="A6" s="8">
        <v>42613.090324074074</v>
      </c>
      <c r="B6" s="23" t="s">
        <v>277</v>
      </c>
      <c r="C6" s="23" t="s">
        <v>320</v>
      </c>
      <c r="D6" s="23">
        <v>1800000</v>
      </c>
      <c r="E6" s="23" t="s">
        <v>170</v>
      </c>
      <c r="F6" s="23" t="str">
        <f t="shared" si="0"/>
        <v>rtdc.l.rtdc.4018:itc</v>
      </c>
      <c r="G6" s="8">
        <f t="shared" si="1"/>
        <v>42613.090324074074</v>
      </c>
    </row>
    <row r="7" spans="1:7" x14ac:dyDescent="0.25">
      <c r="A7" s="8">
        <v>42613.094849537039</v>
      </c>
      <c r="B7" s="23" t="s">
        <v>169</v>
      </c>
      <c r="C7" s="23" t="s">
        <v>321</v>
      </c>
      <c r="D7" s="23">
        <v>780000</v>
      </c>
      <c r="E7" s="23" t="s">
        <v>319</v>
      </c>
      <c r="F7" s="23" t="str">
        <f t="shared" si="0"/>
        <v>rtdc.l.rtdc.4010:itc</v>
      </c>
      <c r="G7" s="8">
        <f t="shared" si="1"/>
        <v>42613.094849537039</v>
      </c>
    </row>
    <row r="8" spans="1:7" x14ac:dyDescent="0.25">
      <c r="A8" s="8">
        <v>42613.105983796297</v>
      </c>
      <c r="B8" s="23" t="s">
        <v>168</v>
      </c>
      <c r="C8" s="23" t="s">
        <v>318</v>
      </c>
      <c r="D8" s="23">
        <v>780000</v>
      </c>
      <c r="E8" s="23" t="s">
        <v>319</v>
      </c>
      <c r="F8" s="23" t="str">
        <f t="shared" si="0"/>
        <v>rtdc.l.rtdc.4009:itc</v>
      </c>
      <c r="G8" s="8">
        <f t="shared" si="1"/>
        <v>42613.105983796297</v>
      </c>
    </row>
    <row r="9" spans="1:7" ht="15.75" thickBot="1" x14ac:dyDescent="0.3">
      <c r="A9" s="27">
        <v>42613.13621527778</v>
      </c>
      <c r="B9" s="23" t="s">
        <v>169</v>
      </c>
      <c r="C9" s="23" t="s">
        <v>321</v>
      </c>
      <c r="D9" s="23">
        <v>780000</v>
      </c>
      <c r="E9" s="23" t="s">
        <v>319</v>
      </c>
      <c r="F9" s="23" t="str">
        <f t="shared" si="0"/>
        <v>rtdc.l.rtdc.4010:itc</v>
      </c>
      <c r="G9" s="8">
        <f t="shared" si="1"/>
        <v>42613.13621527778</v>
      </c>
    </row>
    <row r="10" spans="1:7" x14ac:dyDescent="0.25">
      <c r="A10" s="8">
        <v>42613.14402777778</v>
      </c>
      <c r="B10" s="23" t="s">
        <v>147</v>
      </c>
      <c r="C10" s="23" t="s">
        <v>370</v>
      </c>
      <c r="D10" s="23">
        <v>2010000</v>
      </c>
      <c r="E10" s="23" t="s">
        <v>723</v>
      </c>
      <c r="F10" s="23" t="str">
        <f t="shared" si="0"/>
        <v>rtdc.l.rtdc.4042:itc</v>
      </c>
      <c r="G10" s="8">
        <f t="shared" si="1"/>
        <v>42613.14402777778</v>
      </c>
    </row>
    <row r="11" spans="1:7" x14ac:dyDescent="0.25">
      <c r="A11" s="8">
        <v>42613.168946759259</v>
      </c>
      <c r="B11" s="23" t="s">
        <v>312</v>
      </c>
      <c r="C11" s="23" t="s">
        <v>377</v>
      </c>
      <c r="D11" s="23">
        <v>1760000</v>
      </c>
      <c r="E11" s="23" t="s">
        <v>724</v>
      </c>
      <c r="F11" s="23" t="str">
        <f t="shared" si="0"/>
        <v>rtdc.l.rtdc.4016:itc</v>
      </c>
      <c r="G11" s="8">
        <f t="shared" si="1"/>
        <v>42613.168946759259</v>
      </c>
    </row>
    <row r="12" spans="1:7" x14ac:dyDescent="0.25">
      <c r="A12" s="8">
        <v>42613.173506944448</v>
      </c>
      <c r="B12" s="23" t="s">
        <v>92</v>
      </c>
      <c r="C12" s="23" t="s">
        <v>371</v>
      </c>
      <c r="D12" s="23">
        <v>2010000</v>
      </c>
      <c r="E12" s="23" t="s">
        <v>723</v>
      </c>
      <c r="F12" s="23" t="str">
        <f t="shared" si="0"/>
        <v>rtdc.l.rtdc.4030:itc</v>
      </c>
      <c r="G12" s="8">
        <f t="shared" si="1"/>
        <v>42613.173506944448</v>
      </c>
    </row>
    <row r="13" spans="1:7" x14ac:dyDescent="0.25">
      <c r="A13" s="8">
        <v>42613.180844907409</v>
      </c>
      <c r="B13" s="23" t="s">
        <v>112</v>
      </c>
      <c r="C13" s="23" t="s">
        <v>381</v>
      </c>
      <c r="D13" s="23">
        <v>1090000</v>
      </c>
      <c r="E13" s="23" t="s">
        <v>276</v>
      </c>
      <c r="F13" s="23" t="str">
        <f t="shared" si="0"/>
        <v>rtdc.l.rtdc.4014:itc</v>
      </c>
      <c r="G13" s="8">
        <f t="shared" si="1"/>
        <v>42613.180844907409</v>
      </c>
    </row>
    <row r="14" spans="1:7" x14ac:dyDescent="0.25">
      <c r="A14" s="8">
        <v>42613.191192129627</v>
      </c>
      <c r="B14" s="23" t="s">
        <v>719</v>
      </c>
      <c r="C14" s="23" t="s">
        <v>374</v>
      </c>
      <c r="D14" s="23">
        <v>2260000</v>
      </c>
      <c r="E14" s="23" t="s">
        <v>187</v>
      </c>
      <c r="F14" s="23" t="str">
        <f t="shared" si="0"/>
        <v>rtdc.l.rtdc.4001:itc</v>
      </c>
      <c r="G14" s="8">
        <f t="shared" si="1"/>
        <v>42613.191192129627</v>
      </c>
    </row>
    <row r="15" spans="1:7" x14ac:dyDescent="0.25">
      <c r="A15" s="8">
        <v>42613.192037037035</v>
      </c>
      <c r="B15" s="23" t="s">
        <v>719</v>
      </c>
      <c r="C15" s="23" t="s">
        <v>374</v>
      </c>
      <c r="D15" s="23">
        <v>2260000</v>
      </c>
      <c r="E15" s="23" t="s">
        <v>187</v>
      </c>
      <c r="F15" s="23" t="str">
        <f t="shared" si="0"/>
        <v>rtdc.l.rtdc.4001:itc</v>
      </c>
      <c r="G15" s="8">
        <f t="shared" si="1"/>
        <v>42613.192037037035</v>
      </c>
    </row>
    <row r="16" spans="1:7" x14ac:dyDescent="0.25">
      <c r="A16" s="8">
        <v>42613.193252314813</v>
      </c>
      <c r="B16" s="23" t="s">
        <v>281</v>
      </c>
      <c r="C16" s="23" t="s">
        <v>383</v>
      </c>
      <c r="D16" s="23">
        <v>2030000</v>
      </c>
      <c r="E16" s="23" t="s">
        <v>256</v>
      </c>
      <c r="F16" s="23" t="str">
        <f t="shared" si="0"/>
        <v>rtdc.l.rtdc.4011:itc</v>
      </c>
      <c r="G16" s="8">
        <f t="shared" si="1"/>
        <v>42613.193252314813</v>
      </c>
    </row>
    <row r="17" spans="1:7" x14ac:dyDescent="0.25">
      <c r="A17" s="8">
        <v>42613.208321759259</v>
      </c>
      <c r="B17" s="23" t="s">
        <v>147</v>
      </c>
      <c r="C17" s="23" t="s">
        <v>386</v>
      </c>
      <c r="D17" s="23">
        <v>900000</v>
      </c>
      <c r="E17" s="23" t="s">
        <v>309</v>
      </c>
      <c r="F17" s="23" t="str">
        <f t="shared" si="0"/>
        <v>rtdc.l.rtdc.4042:itc</v>
      </c>
      <c r="G17" s="8">
        <f t="shared" si="1"/>
        <v>42613.208321759259</v>
      </c>
    </row>
    <row r="18" spans="1:7" x14ac:dyDescent="0.25">
      <c r="A18" s="8">
        <v>42613.211736111109</v>
      </c>
      <c r="B18" s="23" t="s">
        <v>234</v>
      </c>
      <c r="C18" s="23" t="s">
        <v>379</v>
      </c>
      <c r="D18" s="23">
        <v>1760000</v>
      </c>
      <c r="E18" s="23" t="s">
        <v>724</v>
      </c>
      <c r="F18" s="23" t="str">
        <f t="shared" si="0"/>
        <v>rtdc.l.rtdc.4028:itc</v>
      </c>
      <c r="G18" s="8">
        <f t="shared" si="1"/>
        <v>42613.211736111109</v>
      </c>
    </row>
    <row r="19" spans="1:7" x14ac:dyDescent="0.25">
      <c r="A19" s="8">
        <v>42613.213472222225</v>
      </c>
      <c r="B19" s="23" t="s">
        <v>91</v>
      </c>
      <c r="C19" s="23" t="s">
        <v>389</v>
      </c>
      <c r="D19" s="23">
        <v>2010000</v>
      </c>
      <c r="E19" s="23" t="s">
        <v>723</v>
      </c>
      <c r="F19" s="23" t="str">
        <f t="shared" si="0"/>
        <v>rtdc.l.rtdc.4029:itc</v>
      </c>
      <c r="G19" s="8">
        <f t="shared" si="1"/>
        <v>42613.213472222225</v>
      </c>
    </row>
    <row r="20" spans="1:7" x14ac:dyDescent="0.25">
      <c r="A20" s="8">
        <v>42613.214988425927</v>
      </c>
      <c r="B20" s="23" t="s">
        <v>115</v>
      </c>
      <c r="C20" s="23" t="s">
        <v>599</v>
      </c>
      <c r="D20" s="23">
        <v>1110000</v>
      </c>
      <c r="E20" s="23" t="s">
        <v>259</v>
      </c>
      <c r="F20" s="23" t="str">
        <f t="shared" si="0"/>
        <v>rtdc.l.rtdc.4032:itc</v>
      </c>
      <c r="G20" s="8">
        <f t="shared" si="1"/>
        <v>42613.214988425927</v>
      </c>
    </row>
    <row r="21" spans="1:7" x14ac:dyDescent="0.25">
      <c r="A21" s="8">
        <v>42613.220057870371</v>
      </c>
      <c r="B21" s="23" t="s">
        <v>90</v>
      </c>
      <c r="C21" s="23" t="s">
        <v>382</v>
      </c>
      <c r="D21" s="23">
        <v>1090000</v>
      </c>
      <c r="E21" s="23" t="s">
        <v>276</v>
      </c>
      <c r="F21" s="23" t="str">
        <f t="shared" si="0"/>
        <v>rtdc.l.rtdc.4013:itc</v>
      </c>
      <c r="G21" s="8">
        <f t="shared" si="1"/>
        <v>42613.220057870371</v>
      </c>
    </row>
    <row r="22" spans="1:7" x14ac:dyDescent="0.25">
      <c r="A22" s="29">
        <v>42613.227349537039</v>
      </c>
      <c r="B22" s="23" t="s">
        <v>720</v>
      </c>
      <c r="C22" s="23" t="s">
        <v>391</v>
      </c>
      <c r="D22" s="23">
        <v>2230000</v>
      </c>
      <c r="E22" s="23" t="s">
        <v>307</v>
      </c>
      <c r="F22" s="23" t="str">
        <f t="shared" si="0"/>
        <v>rtdc.l.rtdc.4044:itc</v>
      </c>
      <c r="G22" s="8">
        <f t="shared" si="1"/>
        <v>42613.227349537039</v>
      </c>
    </row>
    <row r="23" spans="1:7" x14ac:dyDescent="0.25">
      <c r="A23" s="8">
        <v>42613.230891203704</v>
      </c>
      <c r="B23" s="23" t="s">
        <v>306</v>
      </c>
      <c r="C23" s="23" t="s">
        <v>384</v>
      </c>
      <c r="D23" s="23">
        <v>2030000</v>
      </c>
      <c r="E23" s="23" t="s">
        <v>256</v>
      </c>
      <c r="F23" s="23" t="str">
        <f t="shared" si="0"/>
        <v>rtdc.l.rtdc.4012:itc</v>
      </c>
      <c r="G23" s="8">
        <f t="shared" si="1"/>
        <v>42613.230891203704</v>
      </c>
    </row>
    <row r="24" spans="1:7" x14ac:dyDescent="0.25">
      <c r="A24" s="8">
        <v>42613.235162037039</v>
      </c>
      <c r="B24" s="23" t="s">
        <v>172</v>
      </c>
      <c r="C24" s="23" t="s">
        <v>396</v>
      </c>
      <c r="D24" s="23">
        <v>2260000</v>
      </c>
      <c r="E24" s="23" t="s">
        <v>187</v>
      </c>
      <c r="F24" s="23" t="str">
        <f t="shared" si="0"/>
        <v>rtdc.l.rtdc.4002:itc</v>
      </c>
      <c r="G24" s="8">
        <f t="shared" si="1"/>
        <v>42613.235162037039</v>
      </c>
    </row>
    <row r="25" spans="1:7" x14ac:dyDescent="0.25">
      <c r="A25" s="8">
        <v>42613.236898148149</v>
      </c>
      <c r="B25" s="23" t="s">
        <v>176</v>
      </c>
      <c r="C25" s="23" t="s">
        <v>388</v>
      </c>
      <c r="D25" s="23">
        <v>900000</v>
      </c>
      <c r="E25" s="23" t="s">
        <v>309</v>
      </c>
      <c r="F25" s="23" t="str">
        <f t="shared" si="0"/>
        <v>rtdc.l.rtdc.4041:itc</v>
      </c>
      <c r="G25" s="8">
        <f t="shared" si="1"/>
        <v>42613.236898148149</v>
      </c>
    </row>
    <row r="26" spans="1:7" x14ac:dyDescent="0.25">
      <c r="A26" s="8">
        <v>42613.241701388892</v>
      </c>
      <c r="B26" s="23" t="s">
        <v>114</v>
      </c>
      <c r="C26" s="23" t="s">
        <v>601</v>
      </c>
      <c r="D26" s="23">
        <v>1110000</v>
      </c>
      <c r="E26" s="23" t="s">
        <v>259</v>
      </c>
      <c r="F26" s="23" t="str">
        <f t="shared" si="0"/>
        <v>rtdc.l.rtdc.4031:itc</v>
      </c>
      <c r="G26" s="8">
        <f t="shared" si="1"/>
        <v>42613.241701388892</v>
      </c>
    </row>
    <row r="27" spans="1:7" x14ac:dyDescent="0.25">
      <c r="A27" s="8">
        <v>42613.248831018522</v>
      </c>
      <c r="B27" s="23" t="s">
        <v>312</v>
      </c>
      <c r="C27" s="23" t="s">
        <v>400</v>
      </c>
      <c r="D27" s="23">
        <v>1760000</v>
      </c>
      <c r="E27" s="23" t="s">
        <v>724</v>
      </c>
      <c r="F27" s="23" t="str">
        <f t="shared" si="0"/>
        <v>rtdc.l.rtdc.4016:itc</v>
      </c>
      <c r="G27" s="8">
        <f t="shared" si="1"/>
        <v>42613.248831018522</v>
      </c>
    </row>
    <row r="28" spans="1:7" x14ac:dyDescent="0.25">
      <c r="A28" s="8">
        <v>42613.250324074077</v>
      </c>
      <c r="B28" s="23" t="s">
        <v>92</v>
      </c>
      <c r="C28" s="23" t="s">
        <v>390</v>
      </c>
      <c r="D28" s="23">
        <v>2010000</v>
      </c>
      <c r="E28" s="23" t="s">
        <v>723</v>
      </c>
      <c r="F28" s="23" t="str">
        <f t="shared" si="0"/>
        <v>rtdc.l.rtdc.4030:itc</v>
      </c>
      <c r="G28" s="8">
        <f t="shared" si="1"/>
        <v>42613.250324074077</v>
      </c>
    </row>
    <row r="29" spans="1:7" x14ac:dyDescent="0.25">
      <c r="A29" s="8">
        <v>42613.255057870374</v>
      </c>
      <c r="B29" s="23" t="s">
        <v>312</v>
      </c>
      <c r="C29" s="23" t="s">
        <v>400</v>
      </c>
      <c r="D29" s="23">
        <v>1760000</v>
      </c>
      <c r="E29" s="23" t="s">
        <v>724</v>
      </c>
      <c r="F29" s="23" t="str">
        <f t="shared" si="0"/>
        <v>rtdc.l.rtdc.4016:itc</v>
      </c>
      <c r="G29" s="8">
        <f t="shared" si="1"/>
        <v>42613.255057870374</v>
      </c>
    </row>
    <row r="30" spans="1:7" x14ac:dyDescent="0.25">
      <c r="A30" s="8">
        <v>42613.255891203706</v>
      </c>
      <c r="B30" s="23" t="s">
        <v>115</v>
      </c>
      <c r="C30" s="23" t="s">
        <v>604</v>
      </c>
      <c r="D30" s="23">
        <v>1110000</v>
      </c>
      <c r="E30" s="23" t="s">
        <v>259</v>
      </c>
      <c r="F30" s="23" t="str">
        <f t="shared" si="0"/>
        <v>rtdc.l.rtdc.4032:itc</v>
      </c>
      <c r="G30" s="8">
        <f t="shared" si="1"/>
        <v>42613.255891203706</v>
      </c>
    </row>
    <row r="31" spans="1:7" x14ac:dyDescent="0.25">
      <c r="A31" s="8">
        <v>42613.256782407407</v>
      </c>
      <c r="B31" s="23" t="s">
        <v>112</v>
      </c>
      <c r="C31" s="23" t="s">
        <v>406</v>
      </c>
      <c r="D31" s="23">
        <v>1090000</v>
      </c>
      <c r="E31" s="23" t="s">
        <v>276</v>
      </c>
      <c r="F31" s="23" t="str">
        <f t="shared" si="0"/>
        <v>rtdc.l.rtdc.4014:itc</v>
      </c>
      <c r="G31" s="8">
        <f t="shared" si="1"/>
        <v>42613.256782407407</v>
      </c>
    </row>
    <row r="32" spans="1:7" x14ac:dyDescent="0.25">
      <c r="A32" s="8">
        <v>42613.257939814815</v>
      </c>
      <c r="B32" s="23" t="s">
        <v>718</v>
      </c>
      <c r="C32" s="23" t="s">
        <v>394</v>
      </c>
      <c r="D32" s="23">
        <v>2230000</v>
      </c>
      <c r="E32" s="23" t="s">
        <v>307</v>
      </c>
      <c r="F32" s="23" t="str">
        <f t="shared" si="0"/>
        <v>rtdc.l.rtdc.4043:itc</v>
      </c>
      <c r="G32" s="8">
        <f t="shared" si="1"/>
        <v>42613.257939814815</v>
      </c>
    </row>
    <row r="33" spans="1:7" x14ac:dyDescent="0.25">
      <c r="A33" s="8">
        <v>42613.259756944448</v>
      </c>
      <c r="B33" s="23" t="s">
        <v>722</v>
      </c>
      <c r="C33" s="23" t="s">
        <v>607</v>
      </c>
      <c r="D33" s="23">
        <v>1100000</v>
      </c>
      <c r="E33" s="23" t="s">
        <v>308</v>
      </c>
      <c r="F33" s="23" t="str">
        <f t="shared" si="0"/>
        <v>rtdc.l.rtdc.4007:itc</v>
      </c>
      <c r="G33" s="8">
        <f t="shared" si="1"/>
        <v>42613.259756944448</v>
      </c>
    </row>
    <row r="34" spans="1:7" x14ac:dyDescent="0.25">
      <c r="A34" s="8">
        <v>42613.265787037039</v>
      </c>
      <c r="B34" s="23" t="s">
        <v>281</v>
      </c>
      <c r="C34" s="23" t="s">
        <v>410</v>
      </c>
      <c r="D34" s="23">
        <v>2030000</v>
      </c>
      <c r="E34" s="23" t="s">
        <v>256</v>
      </c>
      <c r="F34" s="23" t="str">
        <f t="shared" si="0"/>
        <v>rtdc.l.rtdc.4011:itc</v>
      </c>
      <c r="G34" s="8">
        <f t="shared" si="1"/>
        <v>42613.265787037039</v>
      </c>
    </row>
    <row r="35" spans="1:7" x14ac:dyDescent="0.25">
      <c r="A35" s="8">
        <v>42613.273078703707</v>
      </c>
      <c r="B35" s="23" t="s">
        <v>719</v>
      </c>
      <c r="C35" s="23" t="s">
        <v>421</v>
      </c>
      <c r="D35" s="23">
        <v>2260000</v>
      </c>
      <c r="E35" s="23" t="s">
        <v>187</v>
      </c>
      <c r="F35" s="23" t="str">
        <f t="shared" si="0"/>
        <v>rtdc.l.rtdc.4001:itc</v>
      </c>
      <c r="G35" s="8">
        <f t="shared" si="1"/>
        <v>42613.273078703707</v>
      </c>
    </row>
    <row r="36" spans="1:7" x14ac:dyDescent="0.25">
      <c r="A36" s="8">
        <v>42613.274814814817</v>
      </c>
      <c r="B36" s="23" t="s">
        <v>719</v>
      </c>
      <c r="C36" s="23" t="s">
        <v>398</v>
      </c>
      <c r="D36" s="23">
        <v>2260000</v>
      </c>
      <c r="E36" s="23" t="s">
        <v>187</v>
      </c>
      <c r="F36" s="23" t="str">
        <f t="shared" si="0"/>
        <v>rtdc.l.rtdc.4001:itc</v>
      </c>
      <c r="G36" s="8">
        <f t="shared" si="1"/>
        <v>42613.274814814817</v>
      </c>
    </row>
    <row r="37" spans="1:7" x14ac:dyDescent="0.25">
      <c r="A37" s="8">
        <v>42613.275856481479</v>
      </c>
      <c r="B37" s="23" t="s">
        <v>721</v>
      </c>
      <c r="C37" s="23" t="s">
        <v>610</v>
      </c>
      <c r="D37" s="23">
        <v>1100000</v>
      </c>
      <c r="E37" s="23" t="s">
        <v>308</v>
      </c>
      <c r="F37" s="23" t="str">
        <f t="shared" si="0"/>
        <v>rtdc.l.rtdc.4008:itc</v>
      </c>
      <c r="G37" s="8">
        <f t="shared" si="1"/>
        <v>42613.275856481479</v>
      </c>
    </row>
    <row r="38" spans="1:7" x14ac:dyDescent="0.25">
      <c r="A38" s="8">
        <v>42613.276770833334</v>
      </c>
      <c r="B38" s="23" t="s">
        <v>147</v>
      </c>
      <c r="C38" s="23" t="s">
        <v>413</v>
      </c>
      <c r="D38" s="23">
        <v>900000</v>
      </c>
      <c r="E38" s="23" t="s">
        <v>309</v>
      </c>
      <c r="F38" s="23" t="str">
        <f t="shared" si="0"/>
        <v>rtdc.l.rtdc.4042:itc</v>
      </c>
      <c r="G38" s="8">
        <f t="shared" si="1"/>
        <v>42613.276770833334</v>
      </c>
    </row>
    <row r="39" spans="1:7" x14ac:dyDescent="0.25">
      <c r="A39" s="8">
        <v>42613.282013888886</v>
      </c>
      <c r="B39" s="23" t="s">
        <v>114</v>
      </c>
      <c r="C39" s="23" t="s">
        <v>613</v>
      </c>
      <c r="D39" s="23">
        <v>1110000</v>
      </c>
      <c r="E39" s="23" t="s">
        <v>259</v>
      </c>
      <c r="F39" s="23" t="str">
        <f t="shared" si="0"/>
        <v>rtdc.l.rtdc.4031:itc</v>
      </c>
      <c r="G39" s="8">
        <f t="shared" si="1"/>
        <v>42613.282013888886</v>
      </c>
    </row>
    <row r="40" spans="1:7" x14ac:dyDescent="0.25">
      <c r="A40" s="8">
        <v>42613.285092592596</v>
      </c>
      <c r="B40" s="28" t="s">
        <v>305</v>
      </c>
      <c r="C40" s="23" t="s">
        <v>404</v>
      </c>
      <c r="D40" s="23">
        <v>1760000</v>
      </c>
      <c r="E40" s="23" t="s">
        <v>724</v>
      </c>
      <c r="F40" s="23" t="str">
        <f t="shared" si="0"/>
        <v>rtdc.l.rtdc.4015:itc</v>
      </c>
      <c r="G40" s="8">
        <f t="shared" si="1"/>
        <v>42613.285092592596</v>
      </c>
    </row>
    <row r="41" spans="1:7" x14ac:dyDescent="0.25">
      <c r="A41" s="8">
        <v>42613.289629629631</v>
      </c>
      <c r="B41" s="23" t="s">
        <v>91</v>
      </c>
      <c r="C41" s="23" t="s">
        <v>417</v>
      </c>
      <c r="D41" s="23">
        <v>2010000</v>
      </c>
      <c r="E41" s="23" t="s">
        <v>723</v>
      </c>
      <c r="F41" s="23" t="str">
        <f t="shared" si="0"/>
        <v>rtdc.l.rtdc.4029:itc</v>
      </c>
      <c r="G41" s="8">
        <f t="shared" si="1"/>
        <v>42613.289629629631</v>
      </c>
    </row>
    <row r="42" spans="1:7" x14ac:dyDescent="0.25">
      <c r="A42" s="8">
        <v>42613.294340277775</v>
      </c>
      <c r="B42" s="23" t="s">
        <v>90</v>
      </c>
      <c r="C42" s="23" t="s">
        <v>409</v>
      </c>
      <c r="D42" s="23">
        <v>1090000</v>
      </c>
      <c r="E42" s="23" t="s">
        <v>276</v>
      </c>
      <c r="F42" s="23" t="str">
        <f t="shared" si="0"/>
        <v>rtdc.l.rtdc.4013:itc</v>
      </c>
      <c r="G42" s="8">
        <f t="shared" si="1"/>
        <v>42613.294340277775</v>
      </c>
    </row>
    <row r="43" spans="1:7" x14ac:dyDescent="0.25">
      <c r="A43" s="8">
        <v>42613.296770833331</v>
      </c>
      <c r="B43" s="23" t="s">
        <v>720</v>
      </c>
      <c r="C43" s="23" t="s">
        <v>419</v>
      </c>
      <c r="D43" s="23">
        <v>2230000</v>
      </c>
      <c r="E43" s="23" t="s">
        <v>307</v>
      </c>
      <c r="F43" s="23" t="str">
        <f t="shared" si="0"/>
        <v>rtdc.l.rtdc.4044:itc</v>
      </c>
      <c r="G43" s="8">
        <f t="shared" si="1"/>
        <v>42613.296770833331</v>
      </c>
    </row>
    <row r="44" spans="1:7" x14ac:dyDescent="0.25">
      <c r="A44" s="8">
        <v>42613.298726851855</v>
      </c>
      <c r="B44" s="23" t="s">
        <v>115</v>
      </c>
      <c r="C44" s="23" t="s">
        <v>615</v>
      </c>
      <c r="D44" s="23">
        <v>1110000</v>
      </c>
      <c r="E44" s="23" t="s">
        <v>259</v>
      </c>
      <c r="F44" s="23" t="str">
        <f t="shared" si="0"/>
        <v>rtdc.l.rtdc.4032:itc</v>
      </c>
      <c r="G44" s="8">
        <f t="shared" si="1"/>
        <v>42613.298726851855</v>
      </c>
    </row>
    <row r="45" spans="1:7" x14ac:dyDescent="0.25">
      <c r="A45" s="8">
        <v>42613.302395833336</v>
      </c>
      <c r="B45" s="23" t="s">
        <v>306</v>
      </c>
      <c r="C45" s="23" t="s">
        <v>412</v>
      </c>
      <c r="D45" s="23">
        <v>2030000</v>
      </c>
      <c r="E45" s="23" t="s">
        <v>256</v>
      </c>
      <c r="F45" s="23" t="str">
        <f t="shared" si="0"/>
        <v>rtdc.l.rtdc.4012:itc</v>
      </c>
      <c r="G45" s="8">
        <f t="shared" si="1"/>
        <v>42613.302395833336</v>
      </c>
    </row>
    <row r="46" spans="1:7" x14ac:dyDescent="0.25">
      <c r="A46" s="8">
        <v>42613.304340277777</v>
      </c>
      <c r="B46" s="23" t="s">
        <v>722</v>
      </c>
      <c r="C46" s="23" t="s">
        <v>616</v>
      </c>
      <c r="D46" s="23">
        <v>1100000</v>
      </c>
      <c r="E46" s="23" t="s">
        <v>308</v>
      </c>
      <c r="F46" s="23" t="str">
        <f t="shared" si="0"/>
        <v>rtdc.l.rtdc.4007:itc</v>
      </c>
      <c r="G46" s="8">
        <f t="shared" si="1"/>
        <v>42613.304340277777</v>
      </c>
    </row>
    <row r="47" spans="1:7" x14ac:dyDescent="0.25">
      <c r="A47" s="8">
        <v>42613.308263888888</v>
      </c>
      <c r="B47" s="23" t="s">
        <v>172</v>
      </c>
      <c r="C47" s="23" t="s">
        <v>421</v>
      </c>
      <c r="D47" s="23">
        <v>2260000</v>
      </c>
      <c r="E47" s="23" t="s">
        <v>187</v>
      </c>
      <c r="F47" s="23" t="str">
        <f t="shared" si="0"/>
        <v>rtdc.l.rtdc.4002:itc</v>
      </c>
      <c r="G47" s="8">
        <f t="shared" si="1"/>
        <v>42613.308263888888</v>
      </c>
    </row>
    <row r="48" spans="1:7" x14ac:dyDescent="0.25">
      <c r="A48" s="8">
        <v>42613.317627314813</v>
      </c>
      <c r="B48" s="23" t="s">
        <v>176</v>
      </c>
      <c r="C48" s="23" t="s">
        <v>415</v>
      </c>
      <c r="D48" s="23">
        <v>900000</v>
      </c>
      <c r="E48" s="23" t="s">
        <v>309</v>
      </c>
      <c r="F48" s="23" t="str">
        <f t="shared" si="0"/>
        <v>rtdc.l.rtdc.4041:itc</v>
      </c>
      <c r="G48" s="8">
        <f t="shared" si="1"/>
        <v>42613.317627314813</v>
      </c>
    </row>
    <row r="49" spans="1:7" x14ac:dyDescent="0.25">
      <c r="A49" s="8">
        <v>42613.317685185182</v>
      </c>
      <c r="B49" s="23" t="s">
        <v>721</v>
      </c>
      <c r="C49" s="23" t="s">
        <v>617</v>
      </c>
      <c r="D49" s="23">
        <v>1100000</v>
      </c>
      <c r="E49" s="23" t="s">
        <v>308</v>
      </c>
      <c r="F49" s="23" t="str">
        <f t="shared" si="0"/>
        <v>rtdc.l.rtdc.4008:itc</v>
      </c>
      <c r="G49" s="8">
        <f t="shared" si="1"/>
        <v>42613.317685185182</v>
      </c>
    </row>
    <row r="50" spans="1:7" x14ac:dyDescent="0.25">
      <c r="A50" s="8">
        <v>42613.3200462963</v>
      </c>
      <c r="B50" s="23" t="s">
        <v>312</v>
      </c>
      <c r="C50" s="23" t="s">
        <v>424</v>
      </c>
      <c r="D50" s="23">
        <v>1760000</v>
      </c>
      <c r="E50" s="23" t="s">
        <v>724</v>
      </c>
      <c r="F50" s="23" t="str">
        <f t="shared" si="0"/>
        <v>rtdc.l.rtdc.4016:itc</v>
      </c>
      <c r="G50" s="8">
        <f t="shared" si="1"/>
        <v>42613.3200462963</v>
      </c>
    </row>
    <row r="51" spans="1:7" x14ac:dyDescent="0.25">
      <c r="A51" s="8">
        <v>42613.323333333334</v>
      </c>
      <c r="B51" s="23" t="s">
        <v>92</v>
      </c>
      <c r="C51" s="23" t="s">
        <v>418</v>
      </c>
      <c r="D51" s="23">
        <v>2010000</v>
      </c>
      <c r="E51" s="23" t="s">
        <v>723</v>
      </c>
      <c r="F51" s="23" t="str">
        <f t="shared" si="0"/>
        <v>rtdc.l.rtdc.4030:itc</v>
      </c>
      <c r="G51" s="8">
        <f t="shared" si="1"/>
        <v>42613.323333333334</v>
      </c>
    </row>
    <row r="52" spans="1:7" x14ac:dyDescent="0.25">
      <c r="A52" s="8">
        <v>42613.324374999997</v>
      </c>
      <c r="B52" s="23" t="s">
        <v>114</v>
      </c>
      <c r="C52" s="23" t="s">
        <v>618</v>
      </c>
      <c r="D52" s="23">
        <v>1110000</v>
      </c>
      <c r="E52" s="23" t="s">
        <v>259</v>
      </c>
      <c r="F52" s="23" t="str">
        <f t="shared" si="0"/>
        <v>rtdc.l.rtdc.4031:itc</v>
      </c>
      <c r="G52" s="8">
        <f t="shared" si="1"/>
        <v>42613.324374999997</v>
      </c>
    </row>
    <row r="53" spans="1:7" x14ac:dyDescent="0.25">
      <c r="A53" s="8">
        <v>42613.329548611109</v>
      </c>
      <c r="B53" s="23" t="s">
        <v>112</v>
      </c>
      <c r="C53" s="23" t="s">
        <v>426</v>
      </c>
      <c r="D53" s="23">
        <v>1090000</v>
      </c>
      <c r="E53" s="23" t="s">
        <v>276</v>
      </c>
      <c r="F53" s="23" t="str">
        <f t="shared" si="0"/>
        <v>rtdc.l.rtdc.4014:itc</v>
      </c>
      <c r="G53" s="8">
        <f t="shared" si="1"/>
        <v>42613.329548611109</v>
      </c>
    </row>
    <row r="54" spans="1:7" x14ac:dyDescent="0.25">
      <c r="A54" s="8">
        <v>42613.334328703706</v>
      </c>
      <c r="B54" s="23" t="s">
        <v>718</v>
      </c>
      <c r="C54" s="23" t="s">
        <v>420</v>
      </c>
      <c r="D54" s="23">
        <v>2230000</v>
      </c>
      <c r="E54" s="23" t="s">
        <v>307</v>
      </c>
      <c r="F54" s="23" t="str">
        <f t="shared" si="0"/>
        <v>rtdc.l.rtdc.4043:itc</v>
      </c>
      <c r="G54" s="8">
        <f t="shared" si="1"/>
        <v>42613.334328703706</v>
      </c>
    </row>
    <row r="55" spans="1:7" x14ac:dyDescent="0.25">
      <c r="A55" s="8">
        <v>42613.340810185182</v>
      </c>
      <c r="B55" s="23" t="s">
        <v>115</v>
      </c>
      <c r="C55" s="23" t="s">
        <v>620</v>
      </c>
      <c r="D55" s="23">
        <v>1110000</v>
      </c>
      <c r="E55" s="23" t="s">
        <v>259</v>
      </c>
      <c r="F55" s="23" t="str">
        <f t="shared" si="0"/>
        <v>rtdc.l.rtdc.4032:itc</v>
      </c>
      <c r="G55" s="8">
        <f t="shared" si="1"/>
        <v>42613.340810185182</v>
      </c>
    </row>
    <row r="56" spans="1:7" x14ac:dyDescent="0.25">
      <c r="A56" s="8">
        <v>42613.341678240744</v>
      </c>
      <c r="B56" s="23" t="s">
        <v>281</v>
      </c>
      <c r="C56" s="23" t="s">
        <v>430</v>
      </c>
      <c r="D56" s="23">
        <v>2030000</v>
      </c>
      <c r="E56" s="23" t="s">
        <v>256</v>
      </c>
      <c r="F56" s="23" t="str">
        <f t="shared" si="0"/>
        <v>rtdc.l.rtdc.4011:itc</v>
      </c>
      <c r="G56" s="8">
        <f t="shared" si="1"/>
        <v>42613.341678240744</v>
      </c>
    </row>
    <row r="57" spans="1:7" x14ac:dyDescent="0.25">
      <c r="A57" s="8">
        <v>42613.34611111111</v>
      </c>
      <c r="B57" s="23" t="s">
        <v>722</v>
      </c>
      <c r="C57" s="23" t="s">
        <v>622</v>
      </c>
      <c r="D57" s="23">
        <v>1100000</v>
      </c>
      <c r="E57" s="23" t="s">
        <v>308</v>
      </c>
      <c r="F57" s="23" t="str">
        <f t="shared" si="0"/>
        <v>rtdc.l.rtdc.4007:itc</v>
      </c>
      <c r="G57" s="8">
        <f t="shared" si="1"/>
        <v>42613.34611111111</v>
      </c>
    </row>
    <row r="58" spans="1:7" x14ac:dyDescent="0.25">
      <c r="A58" s="8">
        <v>42613.346990740742</v>
      </c>
      <c r="B58" s="23" t="s">
        <v>719</v>
      </c>
      <c r="C58" s="23" t="s">
        <v>423</v>
      </c>
      <c r="D58" s="23">
        <v>2260000</v>
      </c>
      <c r="E58" s="23" t="s">
        <v>187</v>
      </c>
      <c r="F58" s="23" t="str">
        <f t="shared" si="0"/>
        <v>rtdc.l.rtdc.4001:itc</v>
      </c>
      <c r="G58" s="8">
        <f t="shared" si="1"/>
        <v>42613.346990740742</v>
      </c>
    </row>
    <row r="59" spans="1:7" x14ac:dyDescent="0.25">
      <c r="A59" s="8">
        <v>42613.351099537038</v>
      </c>
      <c r="B59" s="23" t="s">
        <v>147</v>
      </c>
      <c r="C59" s="23" t="s">
        <v>433</v>
      </c>
      <c r="D59" s="23">
        <v>1360000</v>
      </c>
      <c r="E59" s="23" t="s">
        <v>278</v>
      </c>
      <c r="F59" s="23" t="str">
        <f t="shared" si="0"/>
        <v>rtdc.l.rtdc.4042:itc</v>
      </c>
      <c r="G59" s="8">
        <f t="shared" si="1"/>
        <v>42613.351099537038</v>
      </c>
    </row>
    <row r="60" spans="1:7" x14ac:dyDescent="0.25">
      <c r="A60" s="8">
        <v>42613.355613425927</v>
      </c>
      <c r="B60" s="23" t="s">
        <v>114</v>
      </c>
      <c r="C60" s="23" t="s">
        <v>706</v>
      </c>
      <c r="D60" s="23">
        <v>1110000</v>
      </c>
      <c r="E60" s="23" t="s">
        <v>259</v>
      </c>
      <c r="F60" s="23" t="str">
        <f t="shared" si="0"/>
        <v>rtdc.l.rtdc.4031:itc</v>
      </c>
      <c r="G60" s="8">
        <f t="shared" si="1"/>
        <v>42613.355613425927</v>
      </c>
    </row>
    <row r="61" spans="1:7" x14ac:dyDescent="0.25">
      <c r="A61" s="8">
        <v>42613.357662037037</v>
      </c>
      <c r="B61" s="23" t="s">
        <v>305</v>
      </c>
      <c r="C61" s="23" t="s">
        <v>425</v>
      </c>
      <c r="D61" s="23">
        <v>1760000</v>
      </c>
      <c r="E61" s="23" t="s">
        <v>724</v>
      </c>
      <c r="F61" s="23" t="str">
        <f t="shared" si="0"/>
        <v>rtdc.l.rtdc.4015:itc</v>
      </c>
      <c r="G61" s="8">
        <f t="shared" si="1"/>
        <v>42613.357662037037</v>
      </c>
    </row>
    <row r="62" spans="1:7" x14ac:dyDescent="0.25">
      <c r="A62" s="8">
        <v>42613.3594212963</v>
      </c>
      <c r="B62" s="23" t="s">
        <v>721</v>
      </c>
      <c r="C62" s="23" t="s">
        <v>625</v>
      </c>
      <c r="D62" s="23">
        <v>1100000</v>
      </c>
      <c r="E62" s="23" t="s">
        <v>308</v>
      </c>
      <c r="F62" s="23" t="str">
        <f t="shared" si="0"/>
        <v>rtdc.l.rtdc.4008:itc</v>
      </c>
      <c r="G62" s="8">
        <f t="shared" si="1"/>
        <v>42613.3594212963</v>
      </c>
    </row>
    <row r="63" spans="1:7" x14ac:dyDescent="0.25">
      <c r="A63" s="8">
        <v>42613.363263888888</v>
      </c>
      <c r="B63" s="23" t="s">
        <v>91</v>
      </c>
      <c r="C63" s="23" t="s">
        <v>435</v>
      </c>
      <c r="D63" s="23">
        <v>2010000</v>
      </c>
      <c r="E63" s="23" t="s">
        <v>723</v>
      </c>
      <c r="F63" s="23" t="str">
        <f t="shared" si="0"/>
        <v>rtdc.l.rtdc.4029:itc</v>
      </c>
      <c r="G63" s="8">
        <f t="shared" si="1"/>
        <v>42613.363263888888</v>
      </c>
    </row>
    <row r="64" spans="1:7" x14ac:dyDescent="0.25">
      <c r="A64" s="29">
        <v>42613.36886574074</v>
      </c>
      <c r="B64" s="23" t="s">
        <v>90</v>
      </c>
      <c r="C64" s="23" t="s">
        <v>428</v>
      </c>
      <c r="D64" s="23">
        <v>1090000</v>
      </c>
      <c r="E64" s="23" t="s">
        <v>276</v>
      </c>
      <c r="F64" s="23" t="str">
        <f t="shared" si="0"/>
        <v>rtdc.l.rtdc.4013:itc</v>
      </c>
      <c r="G64" s="8">
        <f t="shared" si="1"/>
        <v>42613.36886574074</v>
      </c>
    </row>
    <row r="65" spans="1:7" x14ac:dyDescent="0.25">
      <c r="A65" s="8">
        <v>42613.373796296299</v>
      </c>
      <c r="B65" s="23" t="s">
        <v>720</v>
      </c>
      <c r="C65" s="23" t="s">
        <v>437</v>
      </c>
      <c r="D65" s="23">
        <v>2230000</v>
      </c>
      <c r="E65" s="23" t="s">
        <v>307</v>
      </c>
      <c r="F65" s="23" t="str">
        <f t="shared" si="0"/>
        <v>rtdc.l.rtdc.4044:itc</v>
      </c>
      <c r="G65" s="8">
        <f t="shared" si="1"/>
        <v>42613.373796296299</v>
      </c>
    </row>
    <row r="66" spans="1:7" x14ac:dyDescent="0.25">
      <c r="A66" s="8">
        <v>42613.375613425924</v>
      </c>
      <c r="B66" s="23" t="s">
        <v>306</v>
      </c>
      <c r="C66" s="23" t="s">
        <v>432</v>
      </c>
      <c r="D66" s="23">
        <v>2030000</v>
      </c>
      <c r="E66" s="23" t="s">
        <v>256</v>
      </c>
      <c r="F66" s="23" t="str">
        <f t="shared" ref="F66:F129" si="2">B66</f>
        <v>rtdc.l.rtdc.4012:itc</v>
      </c>
      <c r="G66" s="8">
        <f t="shared" ref="G66:G129" si="3">A66</f>
        <v>42613.375613425924</v>
      </c>
    </row>
    <row r="67" spans="1:7" x14ac:dyDescent="0.25">
      <c r="A67" s="8">
        <v>42613.381967592592</v>
      </c>
      <c r="B67" s="23" t="s">
        <v>176</v>
      </c>
      <c r="C67" s="23" t="s">
        <v>434</v>
      </c>
      <c r="D67" s="23">
        <v>1360000</v>
      </c>
      <c r="E67" s="23" t="s">
        <v>278</v>
      </c>
      <c r="F67" s="23" t="str">
        <f t="shared" si="2"/>
        <v>rtdc.l.rtdc.4041:itc</v>
      </c>
      <c r="G67" s="8">
        <f t="shared" si="3"/>
        <v>42613.381967592592</v>
      </c>
    </row>
    <row r="68" spans="1:7" x14ac:dyDescent="0.25">
      <c r="A68" s="8">
        <v>42613.384456018517</v>
      </c>
      <c r="B68" s="23" t="s">
        <v>172</v>
      </c>
      <c r="C68" s="23" t="s">
        <v>439</v>
      </c>
      <c r="D68" s="23">
        <v>2260000</v>
      </c>
      <c r="E68" s="23" t="s">
        <v>187</v>
      </c>
      <c r="F68" s="23" t="str">
        <f t="shared" si="2"/>
        <v>rtdc.l.rtdc.4002:itc</v>
      </c>
      <c r="G68" s="8">
        <f t="shared" si="3"/>
        <v>42613.384456018517</v>
      </c>
    </row>
    <row r="69" spans="1:7" x14ac:dyDescent="0.25">
      <c r="A69" s="8">
        <v>42613.388495370367</v>
      </c>
      <c r="B69" s="23" t="s">
        <v>722</v>
      </c>
      <c r="C69" s="23" t="s">
        <v>628</v>
      </c>
      <c r="D69" s="23">
        <v>1100000</v>
      </c>
      <c r="E69" s="23" t="s">
        <v>308</v>
      </c>
      <c r="F69" s="23" t="str">
        <f t="shared" si="2"/>
        <v>rtdc.l.rtdc.4007:itc</v>
      </c>
      <c r="G69" s="8">
        <f t="shared" si="3"/>
        <v>42613.388495370367</v>
      </c>
    </row>
    <row r="70" spans="1:7" x14ac:dyDescent="0.25">
      <c r="A70" s="8">
        <v>42613.394537037035</v>
      </c>
      <c r="B70" s="23" t="s">
        <v>312</v>
      </c>
      <c r="C70" s="23" t="s">
        <v>441</v>
      </c>
      <c r="D70" s="23">
        <v>1760000</v>
      </c>
      <c r="E70" s="23" t="s">
        <v>724</v>
      </c>
      <c r="F70" s="23" t="str">
        <f t="shared" si="2"/>
        <v>rtdc.l.rtdc.4016:itc</v>
      </c>
      <c r="G70" s="8">
        <f t="shared" si="3"/>
        <v>42613.394537037035</v>
      </c>
    </row>
    <row r="71" spans="1:7" x14ac:dyDescent="0.25">
      <c r="A71" s="8">
        <v>42613.397268518522</v>
      </c>
      <c r="B71" s="23" t="s">
        <v>92</v>
      </c>
      <c r="C71" s="23" t="s">
        <v>436</v>
      </c>
      <c r="D71" s="23">
        <v>2010000</v>
      </c>
      <c r="E71" s="23" t="s">
        <v>723</v>
      </c>
      <c r="F71" s="23" t="str">
        <f t="shared" si="2"/>
        <v>rtdc.l.rtdc.4030:itc</v>
      </c>
      <c r="G71" s="8">
        <f t="shared" si="3"/>
        <v>42613.397268518522</v>
      </c>
    </row>
    <row r="72" spans="1:7" x14ac:dyDescent="0.25">
      <c r="A72" s="8">
        <v>42613.40221064815</v>
      </c>
      <c r="B72" s="23" t="s">
        <v>721</v>
      </c>
      <c r="C72" s="23" t="s">
        <v>630</v>
      </c>
      <c r="D72" s="23">
        <v>1100000</v>
      </c>
      <c r="E72" s="23" t="s">
        <v>308</v>
      </c>
      <c r="F72" s="23" t="str">
        <f t="shared" si="2"/>
        <v>rtdc.l.rtdc.4008:itc</v>
      </c>
      <c r="G72" s="8">
        <f t="shared" si="3"/>
        <v>42613.40221064815</v>
      </c>
    </row>
    <row r="73" spans="1:7" x14ac:dyDescent="0.25">
      <c r="A73" s="8">
        <v>42613.402789351851</v>
      </c>
      <c r="B73" s="23" t="s">
        <v>112</v>
      </c>
      <c r="C73" s="23" t="s">
        <v>443</v>
      </c>
      <c r="D73" s="23">
        <v>1090000</v>
      </c>
      <c r="E73" s="23" t="s">
        <v>276</v>
      </c>
      <c r="F73" s="23" t="str">
        <f t="shared" si="2"/>
        <v>rtdc.l.rtdc.4014:itc</v>
      </c>
      <c r="G73" s="8">
        <f t="shared" si="3"/>
        <v>42613.402789351851</v>
      </c>
    </row>
    <row r="74" spans="1:7" x14ac:dyDescent="0.25">
      <c r="A74" s="8">
        <v>42613.410532407404</v>
      </c>
      <c r="B74" s="23" t="s">
        <v>718</v>
      </c>
      <c r="C74" s="23" t="s">
        <v>438</v>
      </c>
      <c r="D74" s="23">
        <v>2230000</v>
      </c>
      <c r="E74" s="23" t="s">
        <v>307</v>
      </c>
      <c r="F74" s="23" t="str">
        <f t="shared" si="2"/>
        <v>rtdc.l.rtdc.4043:itc</v>
      </c>
      <c r="G74" s="8">
        <f t="shared" si="3"/>
        <v>42613.410532407404</v>
      </c>
    </row>
    <row r="75" spans="1:7" x14ac:dyDescent="0.25">
      <c r="A75" s="8">
        <v>42613.411886574075</v>
      </c>
      <c r="B75" s="23" t="s">
        <v>281</v>
      </c>
      <c r="C75" s="23" t="s">
        <v>445</v>
      </c>
      <c r="D75" s="23">
        <v>2030000</v>
      </c>
      <c r="E75" s="23" t="s">
        <v>256</v>
      </c>
      <c r="F75" s="23" t="str">
        <f t="shared" si="2"/>
        <v>rtdc.l.rtdc.4011:itc</v>
      </c>
      <c r="G75" s="8">
        <f t="shared" si="3"/>
        <v>42613.411886574075</v>
      </c>
    </row>
    <row r="76" spans="1:7" x14ac:dyDescent="0.25">
      <c r="A76" s="8">
        <v>42613.421041666668</v>
      </c>
      <c r="B76" s="23" t="s">
        <v>719</v>
      </c>
      <c r="C76" s="23" t="s">
        <v>440</v>
      </c>
      <c r="D76" s="23">
        <v>2260000</v>
      </c>
      <c r="E76" s="23" t="s">
        <v>187</v>
      </c>
      <c r="F76" s="23" t="str">
        <f t="shared" si="2"/>
        <v>rtdc.l.rtdc.4001:itc</v>
      </c>
      <c r="G76" s="8">
        <f t="shared" si="3"/>
        <v>42613.421041666668</v>
      </c>
    </row>
    <row r="77" spans="1:7" x14ac:dyDescent="0.25">
      <c r="A77" s="8">
        <v>42613.425682870373</v>
      </c>
      <c r="B77" s="23" t="s">
        <v>147</v>
      </c>
      <c r="C77" s="23" t="s">
        <v>448</v>
      </c>
      <c r="D77" s="23">
        <v>900000</v>
      </c>
      <c r="E77" s="23" t="s">
        <v>309</v>
      </c>
      <c r="F77" s="23" t="str">
        <f t="shared" si="2"/>
        <v>rtdc.l.rtdc.4042:itc</v>
      </c>
      <c r="G77" s="8">
        <f t="shared" si="3"/>
        <v>42613.425682870373</v>
      </c>
    </row>
    <row r="78" spans="1:7" x14ac:dyDescent="0.25">
      <c r="A78" s="8">
        <v>42613.429699074077</v>
      </c>
      <c r="B78" s="23" t="s">
        <v>722</v>
      </c>
      <c r="C78" s="23" t="s">
        <v>631</v>
      </c>
      <c r="D78" s="23">
        <v>1100000</v>
      </c>
      <c r="E78" s="23" t="s">
        <v>308</v>
      </c>
      <c r="F78" s="23" t="str">
        <f t="shared" si="2"/>
        <v>rtdc.l.rtdc.4007:itc</v>
      </c>
      <c r="G78" s="8">
        <f t="shared" si="3"/>
        <v>42613.429699074077</v>
      </c>
    </row>
    <row r="79" spans="1:7" x14ac:dyDescent="0.25">
      <c r="A79" s="8">
        <v>42613.432256944441</v>
      </c>
      <c r="B79" s="23" t="s">
        <v>305</v>
      </c>
      <c r="C79" s="23" t="s">
        <v>442</v>
      </c>
      <c r="D79" s="23">
        <v>1760000</v>
      </c>
      <c r="E79" s="23" t="s">
        <v>724</v>
      </c>
      <c r="F79" s="23" t="str">
        <f t="shared" si="2"/>
        <v>rtdc.l.rtdc.4015:itc</v>
      </c>
      <c r="G79" s="8">
        <f t="shared" si="3"/>
        <v>42613.432256944441</v>
      </c>
    </row>
    <row r="80" spans="1:7" x14ac:dyDescent="0.25">
      <c r="A80" s="8">
        <v>42613.433541666665</v>
      </c>
      <c r="B80" s="23" t="s">
        <v>91</v>
      </c>
      <c r="C80" s="23" t="s">
        <v>450</v>
      </c>
      <c r="D80" s="23">
        <v>1110000</v>
      </c>
      <c r="E80" s="23" t="s">
        <v>259</v>
      </c>
      <c r="F80" s="23" t="str">
        <f t="shared" si="2"/>
        <v>rtdc.l.rtdc.4029:itc</v>
      </c>
      <c r="G80" s="8">
        <f t="shared" si="3"/>
        <v>42613.433541666665</v>
      </c>
    </row>
    <row r="81" spans="1:7" x14ac:dyDescent="0.25">
      <c r="A81" s="8">
        <v>42613.43854166667</v>
      </c>
      <c r="B81" s="23" t="s">
        <v>90</v>
      </c>
      <c r="C81" s="23" t="s">
        <v>444</v>
      </c>
      <c r="D81" s="23">
        <v>1090000</v>
      </c>
      <c r="E81" s="23" t="s">
        <v>276</v>
      </c>
      <c r="F81" s="23" t="str">
        <f t="shared" si="2"/>
        <v>rtdc.l.rtdc.4013:itc</v>
      </c>
      <c r="G81" s="8">
        <f t="shared" si="3"/>
        <v>42613.43854166667</v>
      </c>
    </row>
    <row r="82" spans="1:7" x14ac:dyDescent="0.25">
      <c r="A82" s="8">
        <v>42613.442141203705</v>
      </c>
      <c r="B82" s="23" t="s">
        <v>721</v>
      </c>
      <c r="C82" s="23" t="s">
        <v>632</v>
      </c>
      <c r="D82" s="23">
        <v>1100000</v>
      </c>
      <c r="E82" s="23" t="s">
        <v>308</v>
      </c>
      <c r="F82" s="23" t="str">
        <f t="shared" si="2"/>
        <v>rtdc.l.rtdc.4008:itc</v>
      </c>
      <c r="G82" s="8">
        <f t="shared" si="3"/>
        <v>42613.442141203705</v>
      </c>
    </row>
    <row r="83" spans="1:7" x14ac:dyDescent="0.25">
      <c r="A83" s="8">
        <v>42613.44326388889</v>
      </c>
      <c r="B83" s="23" t="s">
        <v>720</v>
      </c>
      <c r="C83" s="23" t="s">
        <v>456</v>
      </c>
      <c r="D83" s="23">
        <v>2230000</v>
      </c>
      <c r="E83" s="23" t="s">
        <v>307</v>
      </c>
      <c r="F83" s="23" t="str">
        <f t="shared" si="2"/>
        <v>rtdc.l.rtdc.4044:itc</v>
      </c>
      <c r="G83" s="8">
        <f t="shared" si="3"/>
        <v>42613.44326388889</v>
      </c>
    </row>
    <row r="84" spans="1:7" x14ac:dyDescent="0.25">
      <c r="A84" s="8">
        <v>42613.450185185182</v>
      </c>
      <c r="B84" s="23" t="s">
        <v>306</v>
      </c>
      <c r="C84" s="23" t="s">
        <v>446</v>
      </c>
      <c r="D84" s="23">
        <v>2030000</v>
      </c>
      <c r="E84" s="23" t="s">
        <v>256</v>
      </c>
      <c r="F84" s="23" t="str">
        <f t="shared" si="2"/>
        <v>rtdc.l.rtdc.4012:itc</v>
      </c>
      <c r="G84" s="8">
        <f t="shared" si="3"/>
        <v>42613.450185185182</v>
      </c>
    </row>
    <row r="85" spans="1:7" x14ac:dyDescent="0.25">
      <c r="A85" s="8">
        <v>42613.455682870372</v>
      </c>
      <c r="B85" s="23" t="s">
        <v>172</v>
      </c>
      <c r="C85" s="23" t="s">
        <v>460</v>
      </c>
      <c r="D85" s="23">
        <v>2260000</v>
      </c>
      <c r="E85" s="23" t="s">
        <v>187</v>
      </c>
      <c r="F85" s="23" t="str">
        <f t="shared" si="2"/>
        <v>rtdc.l.rtdc.4002:itc</v>
      </c>
      <c r="G85" s="8">
        <f t="shared" si="3"/>
        <v>42613.455682870372</v>
      </c>
    </row>
    <row r="86" spans="1:7" x14ac:dyDescent="0.25">
      <c r="A86" s="8">
        <v>42613.464780092596</v>
      </c>
      <c r="B86" s="23" t="s">
        <v>176</v>
      </c>
      <c r="C86" s="23" t="s">
        <v>449</v>
      </c>
      <c r="D86" s="23">
        <v>900000</v>
      </c>
      <c r="E86" s="23" t="s">
        <v>309</v>
      </c>
      <c r="F86" s="23" t="str">
        <f t="shared" si="2"/>
        <v>rtdc.l.rtdc.4041:itc</v>
      </c>
      <c r="G86" s="8">
        <f t="shared" si="3"/>
        <v>42613.464780092596</v>
      </c>
    </row>
    <row r="87" spans="1:7" x14ac:dyDescent="0.25">
      <c r="A87" s="8">
        <v>42613.465370370373</v>
      </c>
      <c r="B87" s="23" t="s">
        <v>312</v>
      </c>
      <c r="C87" s="23" t="s">
        <v>463</v>
      </c>
      <c r="D87" s="23">
        <v>1280000</v>
      </c>
      <c r="E87" s="23" t="s">
        <v>257</v>
      </c>
      <c r="F87" s="23" t="str">
        <f t="shared" si="2"/>
        <v>rtdc.l.rtdc.4016:itc</v>
      </c>
      <c r="G87" s="8">
        <f t="shared" si="3"/>
        <v>42613.465370370373</v>
      </c>
    </row>
    <row r="88" spans="1:7" x14ac:dyDescent="0.25">
      <c r="A88" s="8">
        <v>42613.470358796294</v>
      </c>
      <c r="B88" s="23" t="s">
        <v>722</v>
      </c>
      <c r="C88" s="23" t="s">
        <v>633</v>
      </c>
      <c r="D88" s="23">
        <v>1100000</v>
      </c>
      <c r="E88" s="23" t="s">
        <v>308</v>
      </c>
      <c r="F88" s="23" t="str">
        <f t="shared" si="2"/>
        <v>rtdc.l.rtdc.4007:itc</v>
      </c>
      <c r="G88" s="8">
        <f t="shared" si="3"/>
        <v>42613.470358796294</v>
      </c>
    </row>
    <row r="89" spans="1:7" x14ac:dyDescent="0.25">
      <c r="A89" s="8">
        <v>42613.472685185188</v>
      </c>
      <c r="B89" s="23" t="s">
        <v>92</v>
      </c>
      <c r="C89" s="23" t="s">
        <v>453</v>
      </c>
      <c r="D89" s="23">
        <v>1110000</v>
      </c>
      <c r="E89" s="23" t="s">
        <v>259</v>
      </c>
      <c r="F89" s="23" t="str">
        <f t="shared" si="2"/>
        <v>rtdc.l.rtdc.4030:itc</v>
      </c>
      <c r="G89" s="8">
        <f t="shared" si="3"/>
        <v>42613.472685185188</v>
      </c>
    </row>
    <row r="90" spans="1:7" x14ac:dyDescent="0.25">
      <c r="A90" s="8">
        <v>42613.475034722222</v>
      </c>
      <c r="B90" s="23" t="s">
        <v>112</v>
      </c>
      <c r="C90" s="23" t="s">
        <v>468</v>
      </c>
      <c r="D90" s="23">
        <v>2280000</v>
      </c>
      <c r="E90" s="23" t="s">
        <v>310</v>
      </c>
      <c r="F90" s="23" t="str">
        <f t="shared" si="2"/>
        <v>rtdc.l.rtdc.4014:itc</v>
      </c>
      <c r="G90" s="8">
        <f t="shared" si="3"/>
        <v>42613.475034722222</v>
      </c>
    </row>
    <row r="91" spans="1:7" x14ac:dyDescent="0.25">
      <c r="A91" s="8">
        <v>42613.480393518519</v>
      </c>
      <c r="B91" s="23" t="s">
        <v>718</v>
      </c>
      <c r="C91" s="23" t="s">
        <v>458</v>
      </c>
      <c r="D91" s="23">
        <v>2230000</v>
      </c>
      <c r="E91" s="23" t="s">
        <v>307</v>
      </c>
      <c r="F91" s="23" t="str">
        <f t="shared" si="2"/>
        <v>rtdc.l.rtdc.4043:itc</v>
      </c>
      <c r="G91" s="8">
        <f t="shared" si="3"/>
        <v>42613.480393518519</v>
      </c>
    </row>
    <row r="92" spans="1:7" x14ac:dyDescent="0.25">
      <c r="A92" s="8">
        <v>42613.484756944446</v>
      </c>
      <c r="B92" s="23" t="s">
        <v>721</v>
      </c>
      <c r="C92" s="23" t="s">
        <v>636</v>
      </c>
      <c r="D92" s="23">
        <v>1100000</v>
      </c>
      <c r="E92" s="23" t="s">
        <v>308</v>
      </c>
      <c r="F92" s="23" t="str">
        <f t="shared" si="2"/>
        <v>rtdc.l.rtdc.4008:itc</v>
      </c>
      <c r="G92" s="8">
        <f t="shared" si="3"/>
        <v>42613.484756944446</v>
      </c>
    </row>
    <row r="93" spans="1:7" x14ac:dyDescent="0.25">
      <c r="A93" s="8">
        <v>42613.486377314817</v>
      </c>
      <c r="B93" s="23" t="s">
        <v>281</v>
      </c>
      <c r="C93" s="23" t="s">
        <v>470</v>
      </c>
      <c r="D93" s="23">
        <v>2100000</v>
      </c>
      <c r="E93" s="23" t="s">
        <v>137</v>
      </c>
      <c r="F93" s="23" t="str">
        <f t="shared" si="2"/>
        <v>rtdc.l.rtdc.4011:itc</v>
      </c>
      <c r="G93" s="8">
        <f t="shared" si="3"/>
        <v>42613.486377314817</v>
      </c>
    </row>
    <row r="94" spans="1:7" x14ac:dyDescent="0.25">
      <c r="A94" s="8">
        <v>42613.489965277775</v>
      </c>
      <c r="B94" s="23" t="s">
        <v>719</v>
      </c>
      <c r="C94" s="23" t="s">
        <v>461</v>
      </c>
      <c r="D94" s="23">
        <v>2140000</v>
      </c>
      <c r="E94" s="23" t="s">
        <v>725</v>
      </c>
      <c r="F94" s="23" t="str">
        <f t="shared" si="2"/>
        <v>rtdc.l.rtdc.4001:itc</v>
      </c>
      <c r="G94" s="8">
        <f t="shared" si="3"/>
        <v>42613.489965277775</v>
      </c>
    </row>
    <row r="95" spans="1:7" x14ac:dyDescent="0.25">
      <c r="A95" s="8">
        <v>42613.496516203704</v>
      </c>
      <c r="B95" s="23" t="s">
        <v>147</v>
      </c>
      <c r="C95" s="23" t="s">
        <v>472</v>
      </c>
      <c r="D95" s="23">
        <v>1140000</v>
      </c>
      <c r="E95" s="23" t="s">
        <v>260</v>
      </c>
      <c r="F95" s="23" t="str">
        <f t="shared" si="2"/>
        <v>rtdc.l.rtdc.4042:itc</v>
      </c>
      <c r="G95" s="8">
        <f t="shared" si="3"/>
        <v>42613.496516203704</v>
      </c>
    </row>
    <row r="96" spans="1:7" x14ac:dyDescent="0.25">
      <c r="A96" s="8">
        <v>42613.50104166667</v>
      </c>
      <c r="B96" s="23" t="s">
        <v>305</v>
      </c>
      <c r="C96" s="23" t="s">
        <v>465</v>
      </c>
      <c r="D96" s="23">
        <v>1280000</v>
      </c>
      <c r="E96" s="23" t="s">
        <v>257</v>
      </c>
      <c r="F96" s="23" t="str">
        <f t="shared" si="2"/>
        <v>rtdc.l.rtdc.4015:itc</v>
      </c>
      <c r="G96" s="8">
        <f t="shared" si="3"/>
        <v>42613.50104166667</v>
      </c>
    </row>
    <row r="97" spans="1:7" x14ac:dyDescent="0.25">
      <c r="A97" s="8">
        <v>42613.511458333334</v>
      </c>
      <c r="B97" s="23" t="s">
        <v>91</v>
      </c>
      <c r="C97" s="23" t="s">
        <v>477</v>
      </c>
      <c r="D97" s="23">
        <v>2270000</v>
      </c>
      <c r="E97" s="23" t="s">
        <v>311</v>
      </c>
      <c r="F97" s="23" t="str">
        <f t="shared" si="2"/>
        <v>rtdc.l.rtdc.4029:itc</v>
      </c>
      <c r="G97" s="8">
        <f t="shared" si="3"/>
        <v>42613.511458333334</v>
      </c>
    </row>
    <row r="98" spans="1:7" x14ac:dyDescent="0.25">
      <c r="A98" s="8">
        <v>42613.512592592589</v>
      </c>
      <c r="B98" s="23" t="s">
        <v>722</v>
      </c>
      <c r="C98" s="23" t="s">
        <v>638</v>
      </c>
      <c r="D98" s="23">
        <v>1100000</v>
      </c>
      <c r="E98" s="23" t="s">
        <v>308</v>
      </c>
      <c r="F98" s="23" t="str">
        <f t="shared" si="2"/>
        <v>rtdc.l.rtdc.4007:itc</v>
      </c>
      <c r="G98" s="8">
        <f t="shared" si="3"/>
        <v>42613.512592592589</v>
      </c>
    </row>
    <row r="99" spans="1:7" x14ac:dyDescent="0.25">
      <c r="A99" s="8">
        <v>42613.516412037039</v>
      </c>
      <c r="B99" s="23" t="s">
        <v>90</v>
      </c>
      <c r="C99" s="23" t="s">
        <v>469</v>
      </c>
      <c r="D99" s="23">
        <v>2280000</v>
      </c>
      <c r="E99" s="23" t="s">
        <v>310</v>
      </c>
      <c r="F99" s="23" t="str">
        <f t="shared" si="2"/>
        <v>rtdc.l.rtdc.4013:itc</v>
      </c>
      <c r="G99" s="8">
        <f t="shared" si="3"/>
        <v>42613.516412037039</v>
      </c>
    </row>
    <row r="100" spans="1:7" x14ac:dyDescent="0.25">
      <c r="A100" s="8">
        <v>42613.521574074075</v>
      </c>
      <c r="B100" s="23" t="s">
        <v>720</v>
      </c>
      <c r="C100" s="23" t="s">
        <v>483</v>
      </c>
      <c r="D100" s="23">
        <v>1780000</v>
      </c>
      <c r="E100" s="23" t="s">
        <v>258</v>
      </c>
      <c r="F100" s="23" t="str">
        <f t="shared" si="2"/>
        <v>rtdc.l.rtdc.4044:itc</v>
      </c>
      <c r="G100" s="8">
        <f t="shared" si="3"/>
        <v>42613.521574074075</v>
      </c>
    </row>
    <row r="101" spans="1:7" x14ac:dyDescent="0.25">
      <c r="A101" s="8">
        <v>42613.523506944446</v>
      </c>
      <c r="B101" s="23" t="s">
        <v>306</v>
      </c>
      <c r="C101" s="23" t="s">
        <v>471</v>
      </c>
      <c r="D101" s="23">
        <v>2100000</v>
      </c>
      <c r="E101" s="23" t="s">
        <v>137</v>
      </c>
      <c r="F101" s="23" t="str">
        <f t="shared" si="2"/>
        <v>rtdc.l.rtdc.4012:itc</v>
      </c>
      <c r="G101" s="8">
        <f t="shared" si="3"/>
        <v>42613.523506944446</v>
      </c>
    </row>
    <row r="102" spans="1:7" x14ac:dyDescent="0.25">
      <c r="A102" s="8">
        <v>42613.525983796295</v>
      </c>
      <c r="B102" s="23" t="s">
        <v>721</v>
      </c>
      <c r="C102" s="23" t="s">
        <v>640</v>
      </c>
      <c r="D102" s="23">
        <v>1100000</v>
      </c>
      <c r="E102" s="23" t="s">
        <v>308</v>
      </c>
      <c r="F102" s="23" t="str">
        <f t="shared" si="2"/>
        <v>rtdc.l.rtdc.4008:itc</v>
      </c>
      <c r="G102" s="8">
        <f t="shared" si="3"/>
        <v>42613.525983796295</v>
      </c>
    </row>
    <row r="103" spans="1:7" x14ac:dyDescent="0.25">
      <c r="A103" s="8">
        <v>42613.530902777777</v>
      </c>
      <c r="B103" s="23" t="s">
        <v>172</v>
      </c>
      <c r="C103" s="23" t="s">
        <v>485</v>
      </c>
      <c r="D103" s="23">
        <v>2260000</v>
      </c>
      <c r="E103" s="23" t="s">
        <v>187</v>
      </c>
      <c r="F103" s="23" t="str">
        <f t="shared" si="2"/>
        <v>rtdc.l.rtdc.4002:itc</v>
      </c>
      <c r="G103" s="8">
        <f t="shared" si="3"/>
        <v>42613.530902777777</v>
      </c>
    </row>
    <row r="104" spans="1:7" x14ac:dyDescent="0.25">
      <c r="A104" s="8">
        <v>42613.537002314813</v>
      </c>
      <c r="B104" s="23" t="s">
        <v>176</v>
      </c>
      <c r="C104" s="23" t="s">
        <v>474</v>
      </c>
      <c r="D104" s="23">
        <v>1140000</v>
      </c>
      <c r="E104" s="23" t="s">
        <v>260</v>
      </c>
      <c r="F104" s="23" t="str">
        <f t="shared" si="2"/>
        <v>rtdc.l.rtdc.4041:itc</v>
      </c>
      <c r="G104" s="8">
        <f t="shared" si="3"/>
        <v>42613.537002314813</v>
      </c>
    </row>
    <row r="105" spans="1:7" x14ac:dyDescent="0.25">
      <c r="A105" s="8">
        <v>42613.539837962962</v>
      </c>
      <c r="B105" s="23" t="s">
        <v>312</v>
      </c>
      <c r="C105" s="23" t="s">
        <v>487</v>
      </c>
      <c r="D105" s="23">
        <v>1280000</v>
      </c>
      <c r="E105" s="23" t="s">
        <v>257</v>
      </c>
      <c r="F105" s="23" t="str">
        <f t="shared" si="2"/>
        <v>rtdc.l.rtdc.4016:itc</v>
      </c>
      <c r="G105" s="8">
        <f t="shared" si="3"/>
        <v>42613.539837962962</v>
      </c>
    </row>
    <row r="106" spans="1:7" x14ac:dyDescent="0.25">
      <c r="A106" s="8">
        <v>42613.547337962962</v>
      </c>
      <c r="B106" s="23" t="s">
        <v>92</v>
      </c>
      <c r="C106" s="23" t="s">
        <v>480</v>
      </c>
      <c r="D106" s="23">
        <v>2270000</v>
      </c>
      <c r="E106" s="23" t="s">
        <v>311</v>
      </c>
      <c r="F106" s="23" t="str">
        <f t="shared" si="2"/>
        <v>rtdc.l.rtdc.4030:itc</v>
      </c>
      <c r="G106" s="8">
        <f t="shared" si="3"/>
        <v>42613.547337962962</v>
      </c>
    </row>
    <row r="107" spans="1:7" x14ac:dyDescent="0.25">
      <c r="A107" s="8">
        <v>42613.550439814811</v>
      </c>
      <c r="B107" s="23" t="s">
        <v>722</v>
      </c>
      <c r="C107" s="23" t="s">
        <v>642</v>
      </c>
      <c r="D107" s="23">
        <v>2040000</v>
      </c>
      <c r="E107" s="23" t="s">
        <v>726</v>
      </c>
      <c r="F107" s="23" t="str">
        <f t="shared" si="2"/>
        <v>rtdc.l.rtdc.4007:itc</v>
      </c>
      <c r="G107" s="8">
        <f t="shared" si="3"/>
        <v>42613.550439814811</v>
      </c>
    </row>
    <row r="108" spans="1:7" x14ac:dyDescent="0.25">
      <c r="A108" s="8">
        <v>42613.556296296294</v>
      </c>
      <c r="B108" s="23" t="s">
        <v>112</v>
      </c>
      <c r="C108" s="23" t="s">
        <v>489</v>
      </c>
      <c r="D108" s="23">
        <v>2280000</v>
      </c>
      <c r="E108" s="23" t="s">
        <v>310</v>
      </c>
      <c r="F108" s="23" t="str">
        <f t="shared" si="2"/>
        <v>rtdc.l.rtdc.4014:itc</v>
      </c>
      <c r="G108" s="8">
        <f t="shared" si="3"/>
        <v>42613.556296296294</v>
      </c>
    </row>
    <row r="109" spans="1:7" x14ac:dyDescent="0.25">
      <c r="A109" s="8">
        <v>42613.557592592595</v>
      </c>
      <c r="B109" s="23" t="s">
        <v>718</v>
      </c>
      <c r="C109" s="23" t="s">
        <v>484</v>
      </c>
      <c r="D109" s="23">
        <v>1780000</v>
      </c>
      <c r="E109" s="23" t="s">
        <v>258</v>
      </c>
      <c r="F109" s="23" t="str">
        <f t="shared" si="2"/>
        <v>rtdc.l.rtdc.4043:itc</v>
      </c>
      <c r="G109" s="8">
        <f t="shared" si="3"/>
        <v>42613.557592592595</v>
      </c>
    </row>
    <row r="110" spans="1:7" x14ac:dyDescent="0.25">
      <c r="A110" s="8">
        <v>42613.562824074077</v>
      </c>
      <c r="B110" s="23" t="s">
        <v>281</v>
      </c>
      <c r="C110" s="23" t="s">
        <v>491</v>
      </c>
      <c r="D110" s="23">
        <v>2100000</v>
      </c>
      <c r="E110" s="23" t="s">
        <v>137</v>
      </c>
      <c r="F110" s="23" t="str">
        <f t="shared" si="2"/>
        <v>rtdc.l.rtdc.4011:itc</v>
      </c>
      <c r="G110" s="8">
        <f t="shared" si="3"/>
        <v>42613.562824074077</v>
      </c>
    </row>
    <row r="111" spans="1:7" x14ac:dyDescent="0.25">
      <c r="A111" s="8">
        <v>42613.56585648148</v>
      </c>
      <c r="B111" s="23" t="s">
        <v>719</v>
      </c>
      <c r="C111" s="23" t="s">
        <v>486</v>
      </c>
      <c r="D111" s="23">
        <v>2140000</v>
      </c>
      <c r="E111" s="23" t="s">
        <v>725</v>
      </c>
      <c r="F111" s="23" t="str">
        <f t="shared" si="2"/>
        <v>rtdc.l.rtdc.4001:itc</v>
      </c>
      <c r="G111" s="8">
        <f t="shared" si="3"/>
        <v>42613.56585648148</v>
      </c>
    </row>
    <row r="112" spans="1:7" x14ac:dyDescent="0.25">
      <c r="A112" s="8">
        <v>42613.568553240744</v>
      </c>
      <c r="B112" s="23" t="s">
        <v>721</v>
      </c>
      <c r="C112" s="23" t="s">
        <v>644</v>
      </c>
      <c r="D112" s="23">
        <v>2040000</v>
      </c>
      <c r="E112" s="23" t="s">
        <v>726</v>
      </c>
      <c r="F112" s="23" t="str">
        <f t="shared" si="2"/>
        <v>rtdc.l.rtdc.4008:itc</v>
      </c>
      <c r="G112" s="8">
        <f t="shared" si="3"/>
        <v>42613.568553240744</v>
      </c>
    </row>
    <row r="113" spans="1:7" x14ac:dyDescent="0.25">
      <c r="A113" s="8">
        <v>42613.57508101852</v>
      </c>
      <c r="B113" s="23" t="s">
        <v>147</v>
      </c>
      <c r="C113" s="23" t="s">
        <v>494</v>
      </c>
      <c r="D113" s="23">
        <v>1140000</v>
      </c>
      <c r="E113" s="23" t="s">
        <v>260</v>
      </c>
      <c r="F113" s="23" t="str">
        <f t="shared" si="2"/>
        <v>rtdc.l.rtdc.4042:itc</v>
      </c>
      <c r="G113" s="8">
        <f t="shared" si="3"/>
        <v>42613.57508101852</v>
      </c>
    </row>
    <row r="114" spans="1:7" x14ac:dyDescent="0.25">
      <c r="A114" s="8">
        <v>42613.575208333335</v>
      </c>
      <c r="B114" s="23" t="s">
        <v>305</v>
      </c>
      <c r="C114" s="23" t="s">
        <v>488</v>
      </c>
      <c r="D114" s="23">
        <v>1280000</v>
      </c>
      <c r="E114" s="23" t="s">
        <v>257</v>
      </c>
      <c r="F114" s="23" t="str">
        <f t="shared" si="2"/>
        <v>rtdc.l.rtdc.4015:itc</v>
      </c>
      <c r="G114" s="8">
        <f t="shared" si="3"/>
        <v>42613.575208333335</v>
      </c>
    </row>
    <row r="115" spans="1:7" x14ac:dyDescent="0.25">
      <c r="A115" s="8">
        <v>42613.583495370367</v>
      </c>
      <c r="B115" s="23" t="s">
        <v>91</v>
      </c>
      <c r="C115" s="23" t="s">
        <v>498</v>
      </c>
      <c r="D115" s="23">
        <v>2270000</v>
      </c>
      <c r="E115" s="23" t="s">
        <v>311</v>
      </c>
      <c r="F115" s="23" t="str">
        <f t="shared" si="2"/>
        <v>rtdc.l.rtdc.4029:itc</v>
      </c>
      <c r="G115" s="8">
        <f t="shared" si="3"/>
        <v>42613.583495370367</v>
      </c>
    </row>
    <row r="116" spans="1:7" x14ac:dyDescent="0.25">
      <c r="A116" s="8">
        <v>42613.591064814813</v>
      </c>
      <c r="B116" s="23" t="s">
        <v>722</v>
      </c>
      <c r="C116" s="23" t="s">
        <v>646</v>
      </c>
      <c r="D116" s="23">
        <v>2040000</v>
      </c>
      <c r="E116" s="23" t="s">
        <v>726</v>
      </c>
      <c r="F116" s="23" t="str">
        <f t="shared" si="2"/>
        <v>rtdc.l.rtdc.4007:itc</v>
      </c>
      <c r="G116" s="8">
        <f t="shared" si="3"/>
        <v>42613.591064814813</v>
      </c>
    </row>
    <row r="117" spans="1:7" x14ac:dyDescent="0.25">
      <c r="A117" s="8">
        <v>42613.59134259259</v>
      </c>
      <c r="B117" s="23" t="s">
        <v>720</v>
      </c>
      <c r="C117" s="23" t="s">
        <v>501</v>
      </c>
      <c r="D117" s="23">
        <v>1780000</v>
      </c>
      <c r="E117" s="23" t="s">
        <v>258</v>
      </c>
      <c r="F117" s="23" t="str">
        <f t="shared" si="2"/>
        <v>rtdc.l.rtdc.4044:itc</v>
      </c>
      <c r="G117" s="8">
        <f t="shared" si="3"/>
        <v>42613.59134259259</v>
      </c>
    </row>
    <row r="118" spans="1:7" x14ac:dyDescent="0.25">
      <c r="A118" s="8">
        <v>42613.592928240738</v>
      </c>
      <c r="B118" s="23" t="s">
        <v>90</v>
      </c>
      <c r="C118" s="23" t="s">
        <v>490</v>
      </c>
      <c r="D118" s="23">
        <v>2280000</v>
      </c>
      <c r="E118" s="23" t="s">
        <v>310</v>
      </c>
      <c r="F118" s="23" t="str">
        <f t="shared" si="2"/>
        <v>rtdc.l.rtdc.4013:itc</v>
      </c>
      <c r="G118" s="8">
        <f t="shared" si="3"/>
        <v>42613.592928240738</v>
      </c>
    </row>
    <row r="119" spans="1:7" x14ac:dyDescent="0.25">
      <c r="A119" s="8">
        <v>42613.596458333333</v>
      </c>
      <c r="B119" s="23" t="s">
        <v>306</v>
      </c>
      <c r="C119" s="23" t="s">
        <v>492</v>
      </c>
      <c r="D119" s="23">
        <v>2100000</v>
      </c>
      <c r="E119" s="23" t="s">
        <v>137</v>
      </c>
      <c r="F119" s="23" t="str">
        <f t="shared" si="2"/>
        <v>rtdc.l.rtdc.4012:itc</v>
      </c>
      <c r="G119" s="8">
        <f t="shared" si="3"/>
        <v>42613.596458333333</v>
      </c>
    </row>
    <row r="120" spans="1:7" x14ac:dyDescent="0.25">
      <c r="A120" s="8">
        <v>42613.603368055556</v>
      </c>
      <c r="B120" s="23" t="s">
        <v>172</v>
      </c>
      <c r="C120" s="23" t="s">
        <v>504</v>
      </c>
      <c r="D120" s="23">
        <v>2260000</v>
      </c>
      <c r="E120" s="23" t="s">
        <v>187</v>
      </c>
      <c r="F120" s="23" t="str">
        <f t="shared" si="2"/>
        <v>rtdc.l.rtdc.4002:itc</v>
      </c>
      <c r="G120" s="8">
        <f t="shared" si="3"/>
        <v>42613.603368055556</v>
      </c>
    </row>
    <row r="121" spans="1:7" x14ac:dyDescent="0.25">
      <c r="A121" s="8">
        <v>42613.609814814816</v>
      </c>
      <c r="B121" s="23" t="s">
        <v>721</v>
      </c>
      <c r="C121" s="23" t="s">
        <v>649</v>
      </c>
      <c r="D121" s="23">
        <v>2040000</v>
      </c>
      <c r="E121" s="23" t="s">
        <v>726</v>
      </c>
      <c r="F121" s="23" t="str">
        <f t="shared" si="2"/>
        <v>rtdc.l.rtdc.4008:itc</v>
      </c>
      <c r="G121" s="8">
        <f t="shared" si="3"/>
        <v>42613.609814814816</v>
      </c>
    </row>
    <row r="122" spans="1:7" x14ac:dyDescent="0.25">
      <c r="A122" s="8">
        <v>42613.613761574074</v>
      </c>
      <c r="B122" s="28" t="s">
        <v>312</v>
      </c>
      <c r="C122" s="23" t="s">
        <v>506</v>
      </c>
      <c r="D122" s="23">
        <v>1280000</v>
      </c>
      <c r="E122" s="23" t="s">
        <v>257</v>
      </c>
      <c r="F122" s="23" t="str">
        <f t="shared" si="2"/>
        <v>rtdc.l.rtdc.4016:itc</v>
      </c>
      <c r="G122" s="8">
        <f t="shared" si="3"/>
        <v>42613.613761574074</v>
      </c>
    </row>
    <row r="123" spans="1:7" x14ac:dyDescent="0.25">
      <c r="A123" s="8">
        <v>42613.615289351852</v>
      </c>
      <c r="B123" s="23" t="s">
        <v>176</v>
      </c>
      <c r="C123" s="23" t="s">
        <v>497</v>
      </c>
      <c r="D123" s="23">
        <v>1140000</v>
      </c>
      <c r="E123" s="23" t="s">
        <v>260</v>
      </c>
      <c r="F123" s="23" t="str">
        <f t="shared" si="2"/>
        <v>rtdc.l.rtdc.4041:itc</v>
      </c>
      <c r="G123" s="8">
        <f t="shared" si="3"/>
        <v>42613.615289351852</v>
      </c>
    </row>
    <row r="124" spans="1:7" x14ac:dyDescent="0.25">
      <c r="A124" s="8">
        <v>42613.616678240738</v>
      </c>
      <c r="B124" s="23" t="s">
        <v>92</v>
      </c>
      <c r="C124" s="23" t="s">
        <v>500</v>
      </c>
      <c r="D124" s="23">
        <v>2270000</v>
      </c>
      <c r="E124" s="23" t="s">
        <v>311</v>
      </c>
      <c r="F124" s="23" t="str">
        <f t="shared" si="2"/>
        <v>rtdc.l.rtdc.4030:itc</v>
      </c>
      <c r="G124" s="8">
        <f t="shared" si="3"/>
        <v>42613.616678240738</v>
      </c>
    </row>
    <row r="125" spans="1:7" x14ac:dyDescent="0.25">
      <c r="A125" s="8">
        <v>42613.628541666665</v>
      </c>
      <c r="B125" s="23" t="s">
        <v>718</v>
      </c>
      <c r="C125" s="23" t="s">
        <v>502</v>
      </c>
      <c r="D125" s="23">
        <v>1780000</v>
      </c>
      <c r="E125" s="23" t="s">
        <v>258</v>
      </c>
      <c r="F125" s="23" t="str">
        <f t="shared" si="2"/>
        <v>rtdc.l.rtdc.4043:itc</v>
      </c>
      <c r="G125" s="8">
        <f t="shared" si="3"/>
        <v>42613.628541666665</v>
      </c>
    </row>
    <row r="126" spans="1:7" x14ac:dyDescent="0.25">
      <c r="A126" s="8">
        <v>42613.629629629628</v>
      </c>
      <c r="B126" s="23" t="s">
        <v>112</v>
      </c>
      <c r="C126" s="23" t="s">
        <v>509</v>
      </c>
      <c r="D126" s="23">
        <v>2280000</v>
      </c>
      <c r="E126" s="23" t="s">
        <v>310</v>
      </c>
      <c r="F126" s="23" t="str">
        <f t="shared" si="2"/>
        <v>rtdc.l.rtdc.4014:itc</v>
      </c>
      <c r="G126" s="8">
        <f t="shared" si="3"/>
        <v>42613.629629629628</v>
      </c>
    </row>
    <row r="127" spans="1:7" x14ac:dyDescent="0.25">
      <c r="A127" s="8">
        <v>42613.636678240742</v>
      </c>
      <c r="B127" s="23" t="s">
        <v>722</v>
      </c>
      <c r="C127" s="23" t="s">
        <v>651</v>
      </c>
      <c r="D127" s="23">
        <v>2040000</v>
      </c>
      <c r="E127" s="23" t="s">
        <v>726</v>
      </c>
      <c r="F127" s="23" t="str">
        <f t="shared" si="2"/>
        <v>rtdc.l.rtdc.4007:itc</v>
      </c>
      <c r="G127" s="8">
        <f t="shared" si="3"/>
        <v>42613.636678240742</v>
      </c>
    </row>
    <row r="128" spans="1:7" x14ac:dyDescent="0.25">
      <c r="A128" s="8">
        <v>42613.637326388889</v>
      </c>
      <c r="B128" s="23" t="s">
        <v>93</v>
      </c>
      <c r="C128" s="23" t="s">
        <v>512</v>
      </c>
      <c r="D128" s="23">
        <v>2100000</v>
      </c>
      <c r="E128" s="23" t="s">
        <v>137</v>
      </c>
      <c r="F128" s="23" t="str">
        <f t="shared" si="2"/>
        <v>rtdc.l.rtdc.4027:itc</v>
      </c>
      <c r="G128" s="8">
        <f t="shared" si="3"/>
        <v>42613.637326388889</v>
      </c>
    </row>
    <row r="129" spans="1:7" x14ac:dyDescent="0.25">
      <c r="A129" s="8">
        <v>42613.639247685183</v>
      </c>
      <c r="B129" s="23" t="s">
        <v>719</v>
      </c>
      <c r="C129" s="23" t="s">
        <v>505</v>
      </c>
      <c r="D129" s="23">
        <v>2140000</v>
      </c>
      <c r="E129" s="23" t="s">
        <v>725</v>
      </c>
      <c r="F129" s="23" t="str">
        <f t="shared" si="2"/>
        <v>rtdc.l.rtdc.4001:itc</v>
      </c>
      <c r="G129" s="8">
        <f t="shared" si="3"/>
        <v>42613.639247685183</v>
      </c>
    </row>
    <row r="130" spans="1:7" x14ac:dyDescent="0.25">
      <c r="A130" s="8">
        <v>42613.641203703701</v>
      </c>
      <c r="B130" s="23" t="s">
        <v>115</v>
      </c>
      <c r="C130" s="23" t="s">
        <v>708</v>
      </c>
      <c r="D130" s="23">
        <v>2220000</v>
      </c>
      <c r="E130" s="23" t="s">
        <v>313</v>
      </c>
      <c r="F130" s="23" t="str">
        <f t="shared" ref="F130:F193" si="4">B130</f>
        <v>rtdc.l.rtdc.4032:itc</v>
      </c>
      <c r="G130" s="8">
        <f t="shared" ref="G130:G193" si="5">A130</f>
        <v>42613.641203703701</v>
      </c>
    </row>
    <row r="131" spans="1:7" x14ac:dyDescent="0.25">
      <c r="A131" s="8">
        <v>42613.645324074074</v>
      </c>
      <c r="B131" s="23" t="s">
        <v>305</v>
      </c>
      <c r="C131" s="23" t="s">
        <v>507</v>
      </c>
      <c r="D131" s="23">
        <v>1280000</v>
      </c>
      <c r="E131" s="23" t="s">
        <v>257</v>
      </c>
      <c r="F131" s="23" t="str">
        <f t="shared" si="4"/>
        <v>rtdc.l.rtdc.4015:itc</v>
      </c>
      <c r="G131" s="8">
        <f t="shared" si="5"/>
        <v>42613.645324074074</v>
      </c>
    </row>
    <row r="132" spans="1:7" x14ac:dyDescent="0.25">
      <c r="A132" s="8">
        <v>42613.647615740738</v>
      </c>
      <c r="B132" s="23" t="s">
        <v>115</v>
      </c>
      <c r="C132" s="23" t="s">
        <v>708</v>
      </c>
      <c r="D132" s="23">
        <v>2220000</v>
      </c>
      <c r="E132" s="23" t="s">
        <v>313</v>
      </c>
      <c r="F132" s="23" t="str">
        <f t="shared" si="4"/>
        <v>rtdc.l.rtdc.4032:itc</v>
      </c>
      <c r="G132" s="8">
        <f t="shared" si="5"/>
        <v>42613.647615740738</v>
      </c>
    </row>
    <row r="133" spans="1:7" x14ac:dyDescent="0.25">
      <c r="A133" s="8">
        <v>42613.651921296296</v>
      </c>
      <c r="B133" s="23" t="s">
        <v>721</v>
      </c>
      <c r="C133" s="23" t="s">
        <v>654</v>
      </c>
      <c r="D133" s="23">
        <v>2040000</v>
      </c>
      <c r="E133" s="23" t="s">
        <v>726</v>
      </c>
      <c r="F133" s="23" t="str">
        <f t="shared" si="4"/>
        <v>rtdc.l.rtdc.4008:itc</v>
      </c>
      <c r="G133" s="8">
        <f t="shared" si="5"/>
        <v>42613.651921296296</v>
      </c>
    </row>
    <row r="134" spans="1:7" x14ac:dyDescent="0.25">
      <c r="A134" s="8">
        <v>42613.655914351853</v>
      </c>
      <c r="B134" s="23" t="s">
        <v>147</v>
      </c>
      <c r="C134" s="23" t="s">
        <v>515</v>
      </c>
      <c r="D134" s="23">
        <v>1140000</v>
      </c>
      <c r="E134" s="23" t="s">
        <v>260</v>
      </c>
      <c r="F134" s="23" t="str">
        <f t="shared" si="4"/>
        <v>rtdc.l.rtdc.4042:itc</v>
      </c>
      <c r="G134" s="8">
        <f t="shared" si="5"/>
        <v>42613.655914351853</v>
      </c>
    </row>
    <row r="135" spans="1:7" x14ac:dyDescent="0.25">
      <c r="A135" s="8">
        <v>42613.656793981485</v>
      </c>
      <c r="B135" s="23" t="s">
        <v>114</v>
      </c>
      <c r="C135" s="23" t="s">
        <v>657</v>
      </c>
      <c r="D135" s="23">
        <v>2220000</v>
      </c>
      <c r="E135" s="23" t="s">
        <v>313</v>
      </c>
      <c r="F135" s="23" t="str">
        <f t="shared" si="4"/>
        <v>rtdc.l.rtdc.4031:itc</v>
      </c>
      <c r="G135" s="8">
        <f t="shared" si="5"/>
        <v>42613.656793981485</v>
      </c>
    </row>
    <row r="136" spans="1:7" x14ac:dyDescent="0.25">
      <c r="A136" s="8">
        <v>42613.660474537035</v>
      </c>
      <c r="B136" s="23" t="s">
        <v>91</v>
      </c>
      <c r="C136" s="23" t="s">
        <v>517</v>
      </c>
      <c r="D136" s="23">
        <v>2270000</v>
      </c>
      <c r="E136" s="23" t="s">
        <v>311</v>
      </c>
      <c r="F136" s="23" t="str">
        <f t="shared" si="4"/>
        <v>rtdc.l.rtdc.4029:itc</v>
      </c>
      <c r="G136" s="8">
        <f t="shared" si="5"/>
        <v>42613.660474537035</v>
      </c>
    </row>
    <row r="137" spans="1:7" x14ac:dyDescent="0.25">
      <c r="A137" s="8">
        <v>42613.668067129627</v>
      </c>
      <c r="B137" s="23" t="s">
        <v>90</v>
      </c>
      <c r="C137" s="23" t="s">
        <v>511</v>
      </c>
      <c r="D137" s="23">
        <v>2280000</v>
      </c>
      <c r="E137" s="23" t="s">
        <v>310</v>
      </c>
      <c r="F137" s="23" t="str">
        <f t="shared" si="4"/>
        <v>rtdc.l.rtdc.4013:itc</v>
      </c>
      <c r="G137" s="8">
        <f t="shared" si="5"/>
        <v>42613.668067129627</v>
      </c>
    </row>
    <row r="138" spans="1:7" x14ac:dyDescent="0.25">
      <c r="A138" s="8">
        <v>42613.670428240737</v>
      </c>
      <c r="B138" s="23" t="s">
        <v>168</v>
      </c>
      <c r="C138" s="23" t="s">
        <v>520</v>
      </c>
      <c r="D138" s="23">
        <v>1780000</v>
      </c>
      <c r="E138" s="23" t="s">
        <v>258</v>
      </c>
      <c r="F138" s="23" t="str">
        <f t="shared" si="4"/>
        <v>rtdc.l.rtdc.4009:itc</v>
      </c>
      <c r="G138" s="8">
        <f t="shared" si="5"/>
        <v>42613.670428240737</v>
      </c>
    </row>
    <row r="139" spans="1:7" x14ac:dyDescent="0.25">
      <c r="A139" s="8">
        <v>42613.672488425924</v>
      </c>
      <c r="B139" s="23" t="s">
        <v>234</v>
      </c>
      <c r="C139" s="23" t="s">
        <v>514</v>
      </c>
      <c r="D139" s="23">
        <v>2100000</v>
      </c>
      <c r="E139" s="23" t="s">
        <v>137</v>
      </c>
      <c r="F139" s="23" t="str">
        <f t="shared" si="4"/>
        <v>rtdc.l.rtdc.4028:itc</v>
      </c>
      <c r="G139" s="8">
        <f t="shared" si="5"/>
        <v>42613.672488425924</v>
      </c>
    </row>
    <row r="140" spans="1:7" x14ac:dyDescent="0.25">
      <c r="A140" s="8">
        <v>42613.673587962963</v>
      </c>
      <c r="B140" s="23" t="s">
        <v>115</v>
      </c>
      <c r="C140" s="23" t="s">
        <v>660</v>
      </c>
      <c r="D140" s="23">
        <v>2220000</v>
      </c>
      <c r="E140" s="23" t="s">
        <v>313</v>
      </c>
      <c r="F140" s="23" t="str">
        <f t="shared" si="4"/>
        <v>rtdc.l.rtdc.4032:itc</v>
      </c>
      <c r="G140" s="8">
        <f t="shared" si="5"/>
        <v>42613.673587962963</v>
      </c>
    </row>
    <row r="141" spans="1:7" x14ac:dyDescent="0.25">
      <c r="A141" s="8">
        <v>42613.675381944442</v>
      </c>
      <c r="B141" s="23" t="s">
        <v>719</v>
      </c>
      <c r="C141" s="23" t="s">
        <v>505</v>
      </c>
      <c r="D141" s="23">
        <v>2140000</v>
      </c>
      <c r="E141" s="23" t="s">
        <v>725</v>
      </c>
      <c r="F141" s="23" t="str">
        <f t="shared" si="4"/>
        <v>rtdc.l.rtdc.4001:itc</v>
      </c>
      <c r="G141" s="8">
        <f t="shared" si="5"/>
        <v>42613.675381944442</v>
      </c>
    </row>
    <row r="142" spans="1:7" x14ac:dyDescent="0.25">
      <c r="A142" s="8">
        <v>42613.677395833336</v>
      </c>
      <c r="B142" s="23" t="s">
        <v>722</v>
      </c>
      <c r="C142" s="23" t="s">
        <v>663</v>
      </c>
      <c r="D142" s="23">
        <v>2040000</v>
      </c>
      <c r="E142" s="23" t="s">
        <v>726</v>
      </c>
      <c r="F142" s="23" t="str">
        <f t="shared" si="4"/>
        <v>rtdc.l.rtdc.4007:itc</v>
      </c>
      <c r="G142" s="8">
        <f t="shared" si="5"/>
        <v>42613.677395833336</v>
      </c>
    </row>
    <row r="143" spans="1:7" x14ac:dyDescent="0.25">
      <c r="A143" s="8">
        <v>42613.678252314814</v>
      </c>
      <c r="B143" s="23" t="s">
        <v>172</v>
      </c>
      <c r="C143" s="23" t="s">
        <v>523</v>
      </c>
      <c r="D143" s="23">
        <v>2260000</v>
      </c>
      <c r="E143" s="23" t="s">
        <v>187</v>
      </c>
      <c r="F143" s="23" t="str">
        <f t="shared" si="4"/>
        <v>rtdc.l.rtdc.4002:itc</v>
      </c>
      <c r="G143" s="8">
        <f t="shared" si="5"/>
        <v>42613.678252314814</v>
      </c>
    </row>
    <row r="144" spans="1:7" x14ac:dyDescent="0.25">
      <c r="A144" s="8">
        <v>42613.679895833331</v>
      </c>
      <c r="B144" s="23" t="s">
        <v>172</v>
      </c>
      <c r="C144" s="23" t="s">
        <v>523</v>
      </c>
      <c r="D144" s="23">
        <v>2260000</v>
      </c>
      <c r="E144" s="23" t="s">
        <v>187</v>
      </c>
      <c r="F144" s="23" t="str">
        <f t="shared" si="4"/>
        <v>rtdc.l.rtdc.4002:itc</v>
      </c>
      <c r="G144" s="8">
        <f t="shared" si="5"/>
        <v>42613.679895833331</v>
      </c>
    </row>
    <row r="145" spans="1:7" x14ac:dyDescent="0.25">
      <c r="A145" s="8">
        <v>42613.69153935185</v>
      </c>
      <c r="B145" s="23" t="s">
        <v>114</v>
      </c>
      <c r="C145" s="23" t="s">
        <v>669</v>
      </c>
      <c r="D145" s="23">
        <v>2220000</v>
      </c>
      <c r="E145" s="23" t="s">
        <v>313</v>
      </c>
      <c r="F145" s="23" t="str">
        <f t="shared" si="4"/>
        <v>rtdc.l.rtdc.4031:itc</v>
      </c>
      <c r="G145" s="8">
        <f t="shared" si="5"/>
        <v>42613.69153935185</v>
      </c>
    </row>
    <row r="146" spans="1:7" x14ac:dyDescent="0.25">
      <c r="A146" s="8">
        <v>42613.69159722222</v>
      </c>
      <c r="B146" s="23" t="s">
        <v>176</v>
      </c>
      <c r="C146" s="23" t="s">
        <v>516</v>
      </c>
      <c r="D146" s="23">
        <v>1140000</v>
      </c>
      <c r="E146" s="23" t="s">
        <v>260</v>
      </c>
      <c r="F146" s="23" t="str">
        <f t="shared" si="4"/>
        <v>rtdc.l.rtdc.4041:itc</v>
      </c>
      <c r="G146" s="8">
        <f t="shared" si="5"/>
        <v>42613.69159722222</v>
      </c>
    </row>
    <row r="147" spans="1:7" x14ac:dyDescent="0.25">
      <c r="A147" s="8">
        <v>42613.691759259258</v>
      </c>
      <c r="B147" s="23" t="s">
        <v>312</v>
      </c>
      <c r="C147" s="23" t="s">
        <v>525</v>
      </c>
      <c r="D147" s="23">
        <v>1280000</v>
      </c>
      <c r="E147" s="23" t="s">
        <v>257</v>
      </c>
      <c r="F147" s="23" t="str">
        <f t="shared" si="4"/>
        <v>rtdc.l.rtdc.4016:itc</v>
      </c>
      <c r="G147" s="8">
        <f t="shared" si="5"/>
        <v>42613.691759259258</v>
      </c>
    </row>
    <row r="148" spans="1:7" x14ac:dyDescent="0.25">
      <c r="A148" s="8">
        <v>42613.693553240744</v>
      </c>
      <c r="B148" s="23" t="s">
        <v>721</v>
      </c>
      <c r="C148" s="23" t="s">
        <v>666</v>
      </c>
      <c r="D148" s="23">
        <v>2040000</v>
      </c>
      <c r="E148" s="23" t="s">
        <v>726</v>
      </c>
      <c r="F148" s="23" t="str">
        <f t="shared" si="4"/>
        <v>rtdc.l.rtdc.4008:itc</v>
      </c>
      <c r="G148" s="8">
        <f t="shared" si="5"/>
        <v>42613.693553240744</v>
      </c>
    </row>
    <row r="149" spans="1:7" x14ac:dyDescent="0.25">
      <c r="A149" s="8">
        <v>42613.698958333334</v>
      </c>
      <c r="B149" s="23" t="s">
        <v>92</v>
      </c>
      <c r="C149" s="23" t="s">
        <v>519</v>
      </c>
      <c r="D149" s="23">
        <v>2270000</v>
      </c>
      <c r="E149" s="23" t="s">
        <v>311</v>
      </c>
      <c r="F149" s="23" t="str">
        <f t="shared" si="4"/>
        <v>rtdc.l.rtdc.4030:itc</v>
      </c>
      <c r="G149" s="8">
        <f t="shared" si="5"/>
        <v>42613.698958333334</v>
      </c>
    </row>
    <row r="150" spans="1:7" x14ac:dyDescent="0.25">
      <c r="A150" s="8">
        <v>42613.704351851855</v>
      </c>
      <c r="B150" s="23" t="s">
        <v>112</v>
      </c>
      <c r="C150" s="23" t="s">
        <v>529</v>
      </c>
      <c r="D150" s="23">
        <v>2280000</v>
      </c>
      <c r="E150" s="23" t="s">
        <v>310</v>
      </c>
      <c r="F150" s="23" t="str">
        <f t="shared" si="4"/>
        <v>rtdc.l.rtdc.4014:itc</v>
      </c>
      <c r="G150" s="8">
        <f t="shared" si="5"/>
        <v>42613.704351851855</v>
      </c>
    </row>
    <row r="151" spans="1:7" x14ac:dyDescent="0.25">
      <c r="A151" s="8">
        <v>42613.707569444443</v>
      </c>
      <c r="B151" s="23" t="s">
        <v>112</v>
      </c>
      <c r="C151" s="23" t="s">
        <v>529</v>
      </c>
      <c r="D151" s="23">
        <v>2280000</v>
      </c>
      <c r="E151" s="23" t="s">
        <v>310</v>
      </c>
      <c r="F151" s="23" t="str">
        <f t="shared" si="4"/>
        <v>rtdc.l.rtdc.4014:itc</v>
      </c>
      <c r="G151" s="8">
        <f t="shared" si="5"/>
        <v>42613.707569444443</v>
      </c>
    </row>
    <row r="152" spans="1:7" x14ac:dyDescent="0.25">
      <c r="A152" s="8">
        <v>42613.712118055555</v>
      </c>
      <c r="B152" s="23" t="s">
        <v>169</v>
      </c>
      <c r="C152" s="23" t="s">
        <v>522</v>
      </c>
      <c r="D152" s="23">
        <v>1780000</v>
      </c>
      <c r="E152" s="23" t="s">
        <v>258</v>
      </c>
      <c r="F152" s="23" t="str">
        <f t="shared" si="4"/>
        <v>rtdc.l.rtdc.4010:itc</v>
      </c>
      <c r="G152" s="8">
        <f t="shared" si="5"/>
        <v>42613.712118055555</v>
      </c>
    </row>
    <row r="153" spans="1:7" x14ac:dyDescent="0.25">
      <c r="A153" s="8">
        <v>42613.712407407409</v>
      </c>
      <c r="B153" s="23" t="s">
        <v>93</v>
      </c>
      <c r="C153" s="23" t="s">
        <v>533</v>
      </c>
      <c r="D153" s="23">
        <v>1480000</v>
      </c>
      <c r="E153" s="23" t="s">
        <v>727</v>
      </c>
      <c r="F153" s="23" t="str">
        <f t="shared" si="4"/>
        <v>rtdc.l.rtdc.4027:itc</v>
      </c>
      <c r="G153" s="8">
        <f t="shared" si="5"/>
        <v>42613.712407407409</v>
      </c>
    </row>
    <row r="154" spans="1:7" x14ac:dyDescent="0.25">
      <c r="A154" s="8">
        <v>42613.714456018519</v>
      </c>
      <c r="B154" s="23" t="s">
        <v>115</v>
      </c>
      <c r="C154" s="23" t="s">
        <v>672</v>
      </c>
      <c r="D154" s="23">
        <v>2220000</v>
      </c>
      <c r="E154" s="23" t="s">
        <v>313</v>
      </c>
      <c r="F154" s="23" t="str">
        <f t="shared" si="4"/>
        <v>rtdc.l.rtdc.4032:itc</v>
      </c>
      <c r="G154" s="8">
        <f t="shared" si="5"/>
        <v>42613.714456018519</v>
      </c>
    </row>
    <row r="155" spans="1:7" x14ac:dyDescent="0.25">
      <c r="A155" s="8">
        <v>42613.715486111112</v>
      </c>
      <c r="B155" s="23" t="s">
        <v>112</v>
      </c>
      <c r="C155" s="23" t="s">
        <v>529</v>
      </c>
      <c r="D155" s="23">
        <v>2280000</v>
      </c>
      <c r="E155" s="23" t="s">
        <v>310</v>
      </c>
      <c r="F155" s="23" t="str">
        <f t="shared" si="4"/>
        <v>rtdc.l.rtdc.4014:itc</v>
      </c>
      <c r="G155" s="8">
        <f t="shared" si="5"/>
        <v>42613.715486111112</v>
      </c>
    </row>
    <row r="156" spans="1:7" x14ac:dyDescent="0.25">
      <c r="A156" s="8">
        <v>42613.717106481483</v>
      </c>
      <c r="B156" s="23" t="s">
        <v>112</v>
      </c>
      <c r="C156" s="23" t="s">
        <v>529</v>
      </c>
      <c r="D156" s="23">
        <v>2280000</v>
      </c>
      <c r="E156" s="23" t="s">
        <v>310</v>
      </c>
      <c r="F156" s="23" t="str">
        <f t="shared" si="4"/>
        <v>rtdc.l.rtdc.4014:itc</v>
      </c>
      <c r="G156" s="8">
        <f t="shared" si="5"/>
        <v>42613.717106481483</v>
      </c>
    </row>
    <row r="157" spans="1:7" x14ac:dyDescent="0.25">
      <c r="A157" s="8">
        <v>42613.719606481478</v>
      </c>
      <c r="B157" s="23" t="s">
        <v>722</v>
      </c>
      <c r="C157" s="23" t="s">
        <v>674</v>
      </c>
      <c r="D157" s="23">
        <v>2040000</v>
      </c>
      <c r="E157" s="23" t="s">
        <v>726</v>
      </c>
      <c r="F157" s="23" t="str">
        <f t="shared" si="4"/>
        <v>rtdc.l.rtdc.4007:itc</v>
      </c>
      <c r="G157" s="8">
        <f t="shared" si="5"/>
        <v>42613.719606481478</v>
      </c>
    </row>
    <row r="158" spans="1:7" x14ac:dyDescent="0.25">
      <c r="A158" s="8">
        <v>42613.720613425925</v>
      </c>
      <c r="B158" s="23" t="s">
        <v>719</v>
      </c>
      <c r="C158" s="23" t="s">
        <v>524</v>
      </c>
      <c r="D158" s="23">
        <v>2140000</v>
      </c>
      <c r="E158" s="23" t="s">
        <v>725</v>
      </c>
      <c r="F158" s="23" t="str">
        <f t="shared" si="4"/>
        <v>rtdc.l.rtdc.4001:itc</v>
      </c>
      <c r="G158" s="8">
        <f t="shared" si="5"/>
        <v>42613.720613425925</v>
      </c>
    </row>
    <row r="159" spans="1:7" x14ac:dyDescent="0.25">
      <c r="A159" s="8">
        <v>42613.726817129631</v>
      </c>
      <c r="B159" s="23" t="s">
        <v>305</v>
      </c>
      <c r="C159" s="23" t="s">
        <v>527</v>
      </c>
      <c r="D159" s="23">
        <v>1280000</v>
      </c>
      <c r="E159" s="23" t="s">
        <v>257</v>
      </c>
      <c r="F159" s="23" t="str">
        <f t="shared" si="4"/>
        <v>rtdc.l.rtdc.4015:itc</v>
      </c>
      <c r="G159" s="8">
        <f t="shared" si="5"/>
        <v>42613.726817129631</v>
      </c>
    </row>
    <row r="160" spans="1:7" x14ac:dyDescent="0.25">
      <c r="A160" s="8">
        <v>42613.729027777779</v>
      </c>
      <c r="B160" s="23" t="s">
        <v>147</v>
      </c>
      <c r="C160" s="23" t="s">
        <v>535</v>
      </c>
      <c r="D160" s="23">
        <v>1140000</v>
      </c>
      <c r="E160" s="23" t="s">
        <v>260</v>
      </c>
      <c r="F160" s="23" t="str">
        <f t="shared" si="4"/>
        <v>rtdc.l.rtdc.4042:itc</v>
      </c>
      <c r="G160" s="8">
        <f t="shared" si="5"/>
        <v>42613.729027777779</v>
      </c>
    </row>
    <row r="161" spans="1:7" x14ac:dyDescent="0.25">
      <c r="A161" s="8">
        <v>42613.734699074077</v>
      </c>
      <c r="B161" s="23" t="s">
        <v>721</v>
      </c>
      <c r="C161" s="23" t="s">
        <v>676</v>
      </c>
      <c r="D161" s="23">
        <v>2040000</v>
      </c>
      <c r="E161" s="23" t="s">
        <v>726</v>
      </c>
      <c r="F161" s="23" t="str">
        <f t="shared" si="4"/>
        <v>rtdc.l.rtdc.4008:itc</v>
      </c>
      <c r="G161" s="8">
        <f t="shared" si="5"/>
        <v>42613.734699074077</v>
      </c>
    </row>
    <row r="162" spans="1:7" x14ac:dyDescent="0.25">
      <c r="A162" s="8">
        <v>42613.735300925924</v>
      </c>
      <c r="B162" s="23" t="s">
        <v>233</v>
      </c>
      <c r="C162" s="23" t="s">
        <v>728</v>
      </c>
      <c r="D162" s="23">
        <v>1200000</v>
      </c>
      <c r="E162" s="23" t="s">
        <v>729</v>
      </c>
      <c r="F162" s="23" t="str">
        <f t="shared" si="4"/>
        <v>rtdc.l.rtdc.4039:itc</v>
      </c>
      <c r="G162" s="8">
        <f t="shared" si="5"/>
        <v>42613.735300925924</v>
      </c>
    </row>
    <row r="163" spans="1:7" x14ac:dyDescent="0.25">
      <c r="A163" s="8">
        <v>42613.737013888887</v>
      </c>
      <c r="B163" s="23" t="s">
        <v>91</v>
      </c>
      <c r="C163" s="23" t="s">
        <v>536</v>
      </c>
      <c r="D163" s="23">
        <v>1230000</v>
      </c>
      <c r="E163" s="23" t="s">
        <v>165</v>
      </c>
      <c r="F163" s="23" t="str">
        <f t="shared" si="4"/>
        <v>rtdc.l.rtdc.4029:itc</v>
      </c>
      <c r="G163" s="8">
        <f t="shared" si="5"/>
        <v>42613.737013888887</v>
      </c>
    </row>
    <row r="164" spans="1:7" x14ac:dyDescent="0.25">
      <c r="A164" s="8">
        <v>42613.740127314813</v>
      </c>
      <c r="B164" s="23" t="s">
        <v>114</v>
      </c>
      <c r="C164" s="23" t="s">
        <v>678</v>
      </c>
      <c r="D164" s="23">
        <v>2220000</v>
      </c>
      <c r="E164" s="23" t="s">
        <v>313</v>
      </c>
      <c r="F164" s="23" t="str">
        <f t="shared" si="4"/>
        <v>rtdc.l.rtdc.4031:itc</v>
      </c>
      <c r="G164" s="8">
        <f t="shared" si="5"/>
        <v>42613.740127314813</v>
      </c>
    </row>
    <row r="165" spans="1:7" x14ac:dyDescent="0.25">
      <c r="A165" s="8">
        <v>42613.746076388888</v>
      </c>
      <c r="B165" s="23" t="s">
        <v>90</v>
      </c>
      <c r="C165" s="23" t="s">
        <v>531</v>
      </c>
      <c r="D165" s="23">
        <v>2280000</v>
      </c>
      <c r="E165" s="23" t="s">
        <v>310</v>
      </c>
      <c r="F165" s="23" t="str">
        <f t="shared" si="4"/>
        <v>rtdc.l.rtdc.4013:itc</v>
      </c>
      <c r="G165" s="8">
        <f t="shared" si="5"/>
        <v>42613.746076388888</v>
      </c>
    </row>
    <row r="166" spans="1:7" x14ac:dyDescent="0.25">
      <c r="A166" s="8">
        <v>42613.746145833335</v>
      </c>
      <c r="B166" s="23" t="s">
        <v>280</v>
      </c>
      <c r="C166" s="23" t="s">
        <v>595</v>
      </c>
      <c r="D166" s="23">
        <v>1290000</v>
      </c>
      <c r="E166" s="23" t="s">
        <v>261</v>
      </c>
      <c r="F166" s="23" t="str">
        <f t="shared" si="4"/>
        <v>rtdc.l.rtdc.4005:itc</v>
      </c>
      <c r="G166" s="8">
        <f t="shared" si="5"/>
        <v>42613.746145833335</v>
      </c>
    </row>
    <row r="167" spans="1:7" x14ac:dyDescent="0.25">
      <c r="A167" s="8">
        <v>42613.747303240743</v>
      </c>
      <c r="B167" s="23" t="s">
        <v>168</v>
      </c>
      <c r="C167" s="23" t="s">
        <v>538</v>
      </c>
      <c r="D167" s="23">
        <v>1780000</v>
      </c>
      <c r="E167" s="23" t="s">
        <v>258</v>
      </c>
      <c r="F167" s="23" t="str">
        <f t="shared" si="4"/>
        <v>rtdc.l.rtdc.4009:itc</v>
      </c>
      <c r="G167" s="8">
        <f t="shared" si="5"/>
        <v>42613.747303240743</v>
      </c>
    </row>
    <row r="168" spans="1:7" x14ac:dyDescent="0.25">
      <c r="A168" s="8">
        <v>42613.751886574071</v>
      </c>
      <c r="B168" s="23" t="s">
        <v>234</v>
      </c>
      <c r="C168" s="23" t="s">
        <v>534</v>
      </c>
      <c r="D168" s="23">
        <v>1480000</v>
      </c>
      <c r="E168" s="23" t="s">
        <v>727</v>
      </c>
      <c r="F168" s="23" t="str">
        <f t="shared" si="4"/>
        <v>rtdc.l.rtdc.4028:itc</v>
      </c>
      <c r="G168" s="8">
        <f t="shared" si="5"/>
        <v>42613.751886574071</v>
      </c>
    </row>
    <row r="169" spans="1:7" x14ac:dyDescent="0.25">
      <c r="A169" s="8">
        <v>42613.753101851849</v>
      </c>
      <c r="B169" s="23" t="s">
        <v>720</v>
      </c>
      <c r="C169" s="23" t="s">
        <v>318</v>
      </c>
      <c r="D169" s="23">
        <v>1740000</v>
      </c>
      <c r="E169" s="23" t="s">
        <v>730</v>
      </c>
      <c r="F169" s="23" t="str">
        <f t="shared" si="4"/>
        <v>rtdc.l.rtdc.4044:itc</v>
      </c>
      <c r="G169" s="8">
        <f t="shared" si="5"/>
        <v>42613.753101851849</v>
      </c>
    </row>
    <row r="170" spans="1:7" x14ac:dyDescent="0.25">
      <c r="A170" s="8">
        <v>42613.755902777775</v>
      </c>
      <c r="B170" s="23" t="s">
        <v>115</v>
      </c>
      <c r="C170" s="23" t="s">
        <v>679</v>
      </c>
      <c r="D170" s="23">
        <v>2220000</v>
      </c>
      <c r="E170" s="23" t="s">
        <v>313</v>
      </c>
      <c r="F170" s="23" t="str">
        <f t="shared" si="4"/>
        <v>rtdc.l.rtdc.4032:itc</v>
      </c>
      <c r="G170" s="8">
        <f t="shared" si="5"/>
        <v>42613.755902777775</v>
      </c>
    </row>
    <row r="171" spans="1:7" x14ac:dyDescent="0.25">
      <c r="A171" s="8">
        <v>42613.758067129631</v>
      </c>
      <c r="B171" s="23" t="s">
        <v>172</v>
      </c>
      <c r="C171" s="23" t="s">
        <v>542</v>
      </c>
      <c r="D171" s="23">
        <v>2000000</v>
      </c>
      <c r="E171" s="23" t="s">
        <v>141</v>
      </c>
      <c r="F171" s="23" t="str">
        <f t="shared" si="4"/>
        <v>rtdc.l.rtdc.4002:itc</v>
      </c>
      <c r="G171" s="8">
        <f t="shared" si="5"/>
        <v>42613.758067129631</v>
      </c>
    </row>
    <row r="172" spans="1:7" x14ac:dyDescent="0.25">
      <c r="A172" s="8">
        <v>42613.763090277775</v>
      </c>
      <c r="B172" s="23" t="s">
        <v>176</v>
      </c>
      <c r="C172" s="23" t="s">
        <v>731</v>
      </c>
      <c r="D172" s="23">
        <v>1140000</v>
      </c>
      <c r="E172" s="23" t="s">
        <v>260</v>
      </c>
      <c r="F172" s="23" t="str">
        <f t="shared" si="4"/>
        <v>rtdc.l.rtdc.4041:itc</v>
      </c>
      <c r="G172" s="8">
        <f t="shared" si="5"/>
        <v>42613.763090277775</v>
      </c>
    </row>
    <row r="173" spans="1:7" x14ac:dyDescent="0.25">
      <c r="A173" s="8">
        <v>42613.764120370368</v>
      </c>
      <c r="B173" s="23" t="s">
        <v>722</v>
      </c>
      <c r="C173" s="23" t="s">
        <v>682</v>
      </c>
      <c r="D173" s="23">
        <v>2040000</v>
      </c>
      <c r="E173" s="23" t="s">
        <v>726</v>
      </c>
      <c r="F173" s="23" t="str">
        <f t="shared" si="4"/>
        <v>rtdc.l.rtdc.4007:itc</v>
      </c>
      <c r="G173" s="8">
        <f t="shared" si="5"/>
        <v>42613.764120370368</v>
      </c>
    </row>
    <row r="174" spans="1:7" x14ac:dyDescent="0.25">
      <c r="A174" s="8">
        <v>42613.771944444445</v>
      </c>
      <c r="B174" s="23" t="s">
        <v>312</v>
      </c>
      <c r="C174" s="23" t="s">
        <v>545</v>
      </c>
      <c r="D174" s="23">
        <v>1290000</v>
      </c>
      <c r="E174" s="23" t="s">
        <v>261</v>
      </c>
      <c r="F174" s="23" t="str">
        <f t="shared" si="4"/>
        <v>rtdc.l.rtdc.4016:itc</v>
      </c>
      <c r="G174" s="8">
        <f t="shared" si="5"/>
        <v>42613.771944444445</v>
      </c>
    </row>
    <row r="175" spans="1:7" x14ac:dyDescent="0.25">
      <c r="A175" s="8">
        <v>42613.773634259262</v>
      </c>
      <c r="B175" s="23" t="s">
        <v>92</v>
      </c>
      <c r="C175" s="23" t="s">
        <v>537</v>
      </c>
      <c r="D175" s="23">
        <v>1230000</v>
      </c>
      <c r="E175" s="23" t="s">
        <v>165</v>
      </c>
      <c r="F175" s="23" t="str">
        <f t="shared" si="4"/>
        <v>rtdc.l.rtdc.4030:itc</v>
      </c>
      <c r="G175" s="8">
        <f t="shared" si="5"/>
        <v>42613.773634259262</v>
      </c>
    </row>
    <row r="176" spans="1:7" x14ac:dyDescent="0.25">
      <c r="A176" s="8">
        <v>42613.774375000001</v>
      </c>
      <c r="B176" s="23" t="s">
        <v>282</v>
      </c>
      <c r="C176" s="23" t="s">
        <v>597</v>
      </c>
      <c r="D176" s="23">
        <v>1280000</v>
      </c>
      <c r="E176" s="23" t="s">
        <v>257</v>
      </c>
      <c r="F176" s="23" t="str">
        <f t="shared" si="4"/>
        <v>rtdc.l.rtdc.4006:itc</v>
      </c>
      <c r="G176" s="8">
        <f t="shared" si="5"/>
        <v>42613.774375000001</v>
      </c>
    </row>
    <row r="177" spans="1:7" x14ac:dyDescent="0.25">
      <c r="A177" s="8">
        <v>42613.776921296296</v>
      </c>
      <c r="B177" s="23" t="s">
        <v>312</v>
      </c>
      <c r="C177" s="23" t="s">
        <v>545</v>
      </c>
      <c r="D177" s="23">
        <v>1290000</v>
      </c>
      <c r="E177" s="23" t="s">
        <v>261</v>
      </c>
      <c r="F177" s="23" t="str">
        <f t="shared" si="4"/>
        <v>rtdc.l.rtdc.4016:itc</v>
      </c>
      <c r="G177" s="8">
        <f t="shared" si="5"/>
        <v>42613.776921296296</v>
      </c>
    </row>
    <row r="178" spans="1:7" x14ac:dyDescent="0.25">
      <c r="A178" s="8">
        <v>42613.777361111112</v>
      </c>
      <c r="B178" s="23" t="s">
        <v>721</v>
      </c>
      <c r="C178" s="23" t="s">
        <v>684</v>
      </c>
      <c r="D178" s="23">
        <v>2040000</v>
      </c>
      <c r="E178" s="23" t="s">
        <v>726</v>
      </c>
      <c r="F178" s="23" t="str">
        <f t="shared" si="4"/>
        <v>rtdc.l.rtdc.4008:itc</v>
      </c>
      <c r="G178" s="8">
        <f t="shared" si="5"/>
        <v>42613.777361111112</v>
      </c>
    </row>
    <row r="179" spans="1:7" x14ac:dyDescent="0.25">
      <c r="A179" s="8">
        <v>42613.780717592592</v>
      </c>
      <c r="B179" s="23" t="s">
        <v>176</v>
      </c>
      <c r="C179" s="23" t="s">
        <v>731</v>
      </c>
      <c r="D179" s="23">
        <v>1140000</v>
      </c>
      <c r="E179" s="23" t="s">
        <v>260</v>
      </c>
      <c r="F179" s="23" t="str">
        <f t="shared" si="4"/>
        <v>rtdc.l.rtdc.4041:itc</v>
      </c>
      <c r="G179" s="8">
        <f t="shared" si="5"/>
        <v>42613.780717592592</v>
      </c>
    </row>
    <row r="180" spans="1:7" x14ac:dyDescent="0.25">
      <c r="A180" s="8">
        <v>42613.783206018517</v>
      </c>
      <c r="B180" s="23" t="s">
        <v>114</v>
      </c>
      <c r="C180" s="23" t="s">
        <v>687</v>
      </c>
      <c r="D180" s="23">
        <v>2220000</v>
      </c>
      <c r="E180" s="23" t="s">
        <v>313</v>
      </c>
      <c r="F180" s="23" t="str">
        <f t="shared" si="4"/>
        <v>rtdc.l.rtdc.4031:itc</v>
      </c>
      <c r="G180" s="8">
        <f t="shared" si="5"/>
        <v>42613.783206018517</v>
      </c>
    </row>
    <row r="181" spans="1:7" x14ac:dyDescent="0.25">
      <c r="A181" s="8">
        <v>42613.783912037034</v>
      </c>
      <c r="B181" s="23" t="s">
        <v>112</v>
      </c>
      <c r="C181" s="23" t="s">
        <v>582</v>
      </c>
      <c r="D181" s="23">
        <v>2280000</v>
      </c>
      <c r="E181" s="23" t="s">
        <v>310</v>
      </c>
      <c r="F181" s="23" t="str">
        <f t="shared" si="4"/>
        <v>rtdc.l.rtdc.4014:itc</v>
      </c>
      <c r="G181" s="8">
        <f t="shared" si="5"/>
        <v>42613.783912037034</v>
      </c>
    </row>
    <row r="182" spans="1:7" x14ac:dyDescent="0.25">
      <c r="A182" s="8">
        <v>42613.785810185182</v>
      </c>
      <c r="B182" s="23" t="s">
        <v>169</v>
      </c>
      <c r="C182" s="23" t="s">
        <v>540</v>
      </c>
      <c r="D182" s="23">
        <v>1780000</v>
      </c>
      <c r="E182" s="23" t="s">
        <v>258</v>
      </c>
      <c r="F182" s="23" t="str">
        <f t="shared" si="4"/>
        <v>rtdc.l.rtdc.4010:itc</v>
      </c>
      <c r="G182" s="8">
        <f t="shared" si="5"/>
        <v>42613.785810185182</v>
      </c>
    </row>
    <row r="183" spans="1:7" x14ac:dyDescent="0.25">
      <c r="A183" s="8">
        <v>42613.788865740738</v>
      </c>
      <c r="B183" s="23" t="s">
        <v>93</v>
      </c>
      <c r="C183" s="23" t="s">
        <v>549</v>
      </c>
      <c r="D183" s="23">
        <v>1480000</v>
      </c>
      <c r="E183" s="23" t="s">
        <v>727</v>
      </c>
      <c r="F183" s="23" t="str">
        <f t="shared" si="4"/>
        <v>rtdc.l.rtdc.4027:itc</v>
      </c>
      <c r="G183" s="8">
        <f t="shared" si="5"/>
        <v>42613.788865740738</v>
      </c>
    </row>
    <row r="184" spans="1:7" x14ac:dyDescent="0.25">
      <c r="A184" s="8">
        <v>42613.796053240738</v>
      </c>
      <c r="B184" s="23" t="s">
        <v>719</v>
      </c>
      <c r="C184" s="23" t="s">
        <v>543</v>
      </c>
      <c r="D184" s="23">
        <v>2000000</v>
      </c>
      <c r="E184" s="23" t="s">
        <v>141</v>
      </c>
      <c r="F184" s="23" t="str">
        <f t="shared" si="4"/>
        <v>rtdc.l.rtdc.4001:itc</v>
      </c>
      <c r="G184" s="8">
        <f t="shared" si="5"/>
        <v>42613.796053240738</v>
      </c>
    </row>
    <row r="185" spans="1:7" x14ac:dyDescent="0.25">
      <c r="A185" s="8">
        <v>42613.798252314817</v>
      </c>
      <c r="B185" s="23" t="s">
        <v>115</v>
      </c>
      <c r="C185" s="23" t="s">
        <v>712</v>
      </c>
      <c r="D185" s="23">
        <v>2220000</v>
      </c>
      <c r="E185" s="23" t="s">
        <v>313</v>
      </c>
      <c r="F185" s="23" t="str">
        <f t="shared" si="4"/>
        <v>rtdc.l.rtdc.4032:itc</v>
      </c>
      <c r="G185" s="8">
        <f t="shared" si="5"/>
        <v>42613.798252314817</v>
      </c>
    </row>
    <row r="186" spans="1:7" x14ac:dyDescent="0.25">
      <c r="A186" s="8">
        <v>42613.802129629628</v>
      </c>
      <c r="B186" s="23" t="s">
        <v>722</v>
      </c>
      <c r="C186" s="23" t="s">
        <v>691</v>
      </c>
      <c r="D186" s="23">
        <v>2040000</v>
      </c>
      <c r="E186" s="23" t="s">
        <v>726</v>
      </c>
      <c r="F186" s="23" t="str">
        <f t="shared" si="4"/>
        <v>rtdc.l.rtdc.4007:itc</v>
      </c>
      <c r="G186" s="8">
        <f t="shared" si="5"/>
        <v>42613.802129629628</v>
      </c>
    </row>
    <row r="187" spans="1:7" x14ac:dyDescent="0.25">
      <c r="A187" s="8">
        <v>42613.80777777778</v>
      </c>
      <c r="B187" s="23" t="s">
        <v>305</v>
      </c>
      <c r="C187" s="23" t="s">
        <v>548</v>
      </c>
      <c r="D187" s="23">
        <v>1290000</v>
      </c>
      <c r="E187" s="23" t="s">
        <v>261</v>
      </c>
      <c r="F187" s="23" t="str">
        <f t="shared" si="4"/>
        <v>rtdc.l.rtdc.4015:itc</v>
      </c>
      <c r="G187" s="8">
        <f t="shared" si="5"/>
        <v>42613.80777777778</v>
      </c>
    </row>
    <row r="188" spans="1:7" x14ac:dyDescent="0.25">
      <c r="A188" s="8">
        <v>42613.809444444443</v>
      </c>
      <c r="B188" s="23" t="s">
        <v>91</v>
      </c>
      <c r="C188" s="23" t="s">
        <v>552</v>
      </c>
      <c r="D188" s="23">
        <v>1230000</v>
      </c>
      <c r="E188" s="23" t="s">
        <v>165</v>
      </c>
      <c r="F188" s="23" t="str">
        <f t="shared" si="4"/>
        <v>rtdc.l.rtdc.4029:itc</v>
      </c>
      <c r="G188" s="8">
        <f t="shared" si="5"/>
        <v>42613.809444444443</v>
      </c>
    </row>
    <row r="189" spans="1:7" x14ac:dyDescent="0.25">
      <c r="A189" s="8">
        <v>42613.818599537037</v>
      </c>
      <c r="B189" s="23" t="s">
        <v>721</v>
      </c>
      <c r="C189" s="23" t="s">
        <v>689</v>
      </c>
      <c r="D189" s="23">
        <v>2040000</v>
      </c>
      <c r="E189" s="23" t="s">
        <v>726</v>
      </c>
      <c r="F189" s="23" t="str">
        <f t="shared" si="4"/>
        <v>rtdc.l.rtdc.4008:itc</v>
      </c>
      <c r="G189" s="8">
        <f t="shared" si="5"/>
        <v>42613.818599537037</v>
      </c>
    </row>
    <row r="190" spans="1:7" x14ac:dyDescent="0.25">
      <c r="A190" s="8">
        <v>42613.820243055554</v>
      </c>
      <c r="B190" s="23" t="s">
        <v>168</v>
      </c>
      <c r="C190" s="23" t="s">
        <v>732</v>
      </c>
      <c r="D190" s="23">
        <v>1780000</v>
      </c>
      <c r="E190" s="23" t="s">
        <v>258</v>
      </c>
      <c r="F190" s="23" t="str">
        <f t="shared" si="4"/>
        <v>rtdc.l.rtdc.4009:itc</v>
      </c>
      <c r="G190" s="8">
        <f t="shared" si="5"/>
        <v>42613.820243055554</v>
      </c>
    </row>
    <row r="191" spans="1:7" x14ac:dyDescent="0.25">
      <c r="A191" s="8">
        <v>42613.822002314817</v>
      </c>
      <c r="B191" s="23" t="s">
        <v>234</v>
      </c>
      <c r="C191" s="23" t="s">
        <v>551</v>
      </c>
      <c r="D191" s="23">
        <v>1480000</v>
      </c>
      <c r="E191" s="23" t="s">
        <v>727</v>
      </c>
      <c r="F191" s="23" t="str">
        <f t="shared" si="4"/>
        <v>rtdc.l.rtdc.4028:itc</v>
      </c>
      <c r="G191" s="8">
        <f t="shared" si="5"/>
        <v>42613.822002314817</v>
      </c>
    </row>
    <row r="192" spans="1:7" x14ac:dyDescent="0.25">
      <c r="A192" s="8">
        <v>42613.829340277778</v>
      </c>
      <c r="B192" s="23" t="s">
        <v>172</v>
      </c>
      <c r="C192" s="23" t="s">
        <v>555</v>
      </c>
      <c r="D192" s="23">
        <v>2000000</v>
      </c>
      <c r="E192" s="23" t="s">
        <v>141</v>
      </c>
      <c r="F192" s="23" t="str">
        <f t="shared" si="4"/>
        <v>rtdc.l.rtdc.4002:itc</v>
      </c>
      <c r="G192" s="8">
        <f t="shared" si="5"/>
        <v>42613.829340277778</v>
      </c>
    </row>
    <row r="193" spans="1:7" x14ac:dyDescent="0.25">
      <c r="A193" s="8">
        <v>42613.845208333332</v>
      </c>
      <c r="B193" s="23" t="s">
        <v>722</v>
      </c>
      <c r="C193" s="23" t="s">
        <v>696</v>
      </c>
      <c r="D193" s="23">
        <v>2040000</v>
      </c>
      <c r="E193" s="23" t="s">
        <v>726</v>
      </c>
      <c r="F193" s="23" t="str">
        <f t="shared" si="4"/>
        <v>rtdc.l.rtdc.4007:itc</v>
      </c>
      <c r="G193" s="8">
        <f t="shared" si="5"/>
        <v>42613.845208333332</v>
      </c>
    </row>
    <row r="194" spans="1:7" x14ac:dyDescent="0.25">
      <c r="A194" s="8">
        <v>42613.847708333335</v>
      </c>
      <c r="B194" s="23" t="s">
        <v>92</v>
      </c>
      <c r="C194" s="23" t="s">
        <v>554</v>
      </c>
      <c r="D194" s="23">
        <v>1230000</v>
      </c>
      <c r="E194" s="23" t="s">
        <v>165</v>
      </c>
      <c r="F194" s="23" t="str">
        <f t="shared" ref="F194:F235" si="6">B194</f>
        <v>rtdc.l.rtdc.4030:itc</v>
      </c>
      <c r="G194" s="8">
        <f t="shared" ref="G194:G235" si="7">A194</f>
        <v>42613.847708333335</v>
      </c>
    </row>
    <row r="195" spans="1:7" x14ac:dyDescent="0.25">
      <c r="A195" s="8">
        <v>42613.852569444447</v>
      </c>
      <c r="B195" s="23" t="s">
        <v>312</v>
      </c>
      <c r="C195" s="23" t="s">
        <v>557</v>
      </c>
      <c r="D195" s="23">
        <v>1290000</v>
      </c>
      <c r="E195" s="23" t="s">
        <v>261</v>
      </c>
      <c r="F195" s="23" t="str">
        <f t="shared" si="6"/>
        <v>rtdc.l.rtdc.4016:itc</v>
      </c>
      <c r="G195" s="8">
        <f t="shared" si="7"/>
        <v>42613.852569444447</v>
      </c>
    </row>
    <row r="196" spans="1:7" x14ac:dyDescent="0.25">
      <c r="A196" s="8">
        <v>42613.861516203702</v>
      </c>
      <c r="B196" s="23" t="s">
        <v>722</v>
      </c>
      <c r="C196" s="23" t="s">
        <v>696</v>
      </c>
      <c r="D196" s="23">
        <v>2040000</v>
      </c>
      <c r="E196" s="23" t="s">
        <v>726</v>
      </c>
      <c r="F196" s="23" t="str">
        <f t="shared" si="6"/>
        <v>rtdc.l.rtdc.4007:itc</v>
      </c>
      <c r="G196" s="8">
        <f t="shared" si="7"/>
        <v>42613.861516203702</v>
      </c>
    </row>
    <row r="197" spans="1:7" x14ac:dyDescent="0.25">
      <c r="A197" s="8">
        <v>42613.86309027778</v>
      </c>
      <c r="B197" s="23" t="s">
        <v>721</v>
      </c>
      <c r="C197" s="23" t="s">
        <v>693</v>
      </c>
      <c r="D197" s="23">
        <v>2040000</v>
      </c>
      <c r="E197" s="23" t="s">
        <v>726</v>
      </c>
      <c r="F197" s="23" t="str">
        <f t="shared" si="6"/>
        <v>rtdc.l.rtdc.4008:itc</v>
      </c>
      <c r="G197" s="8">
        <f t="shared" si="7"/>
        <v>42613.86309027778</v>
      </c>
    </row>
    <row r="198" spans="1:7" x14ac:dyDescent="0.25">
      <c r="A198" s="8">
        <v>42613.869664351849</v>
      </c>
      <c r="B198" s="23" t="s">
        <v>719</v>
      </c>
      <c r="C198" s="23" t="s">
        <v>556</v>
      </c>
      <c r="D198" s="23">
        <v>2000000</v>
      </c>
      <c r="E198" s="23" t="s">
        <v>141</v>
      </c>
      <c r="F198" s="23" t="str">
        <f t="shared" si="6"/>
        <v>rtdc.l.rtdc.4001:itc</v>
      </c>
      <c r="G198" s="8">
        <f t="shared" si="7"/>
        <v>42613.869664351849</v>
      </c>
    </row>
    <row r="199" spans="1:7" x14ac:dyDescent="0.25">
      <c r="A199" s="8">
        <v>42613.870694444442</v>
      </c>
      <c r="B199" s="23" t="s">
        <v>93</v>
      </c>
      <c r="C199" s="23" t="s">
        <v>560</v>
      </c>
      <c r="D199" s="23">
        <v>1480000</v>
      </c>
      <c r="E199" s="23" t="s">
        <v>727</v>
      </c>
      <c r="F199" s="23" t="str">
        <f t="shared" si="6"/>
        <v>rtdc.l.rtdc.4027:itc</v>
      </c>
      <c r="G199" s="8">
        <f t="shared" si="7"/>
        <v>42613.870694444442</v>
      </c>
    </row>
    <row r="200" spans="1:7" x14ac:dyDescent="0.25">
      <c r="A200" s="8">
        <v>42613.882106481484</v>
      </c>
      <c r="B200" s="23" t="s">
        <v>722</v>
      </c>
      <c r="C200" s="23" t="s">
        <v>701</v>
      </c>
      <c r="D200" s="23">
        <v>2220000</v>
      </c>
      <c r="E200" s="23" t="s">
        <v>313</v>
      </c>
      <c r="F200" s="23" t="str">
        <f t="shared" si="6"/>
        <v>rtdc.l.rtdc.4007:itc</v>
      </c>
      <c r="G200" s="8">
        <f t="shared" si="7"/>
        <v>42613.882106481484</v>
      </c>
    </row>
    <row r="201" spans="1:7" x14ac:dyDescent="0.25">
      <c r="A201" s="8">
        <v>42613.889004629629</v>
      </c>
      <c r="B201" s="23" t="s">
        <v>305</v>
      </c>
      <c r="C201" s="23" t="s">
        <v>558</v>
      </c>
      <c r="D201" s="23">
        <v>1290000</v>
      </c>
      <c r="E201" s="23" t="s">
        <v>261</v>
      </c>
      <c r="F201" s="23" t="str">
        <f t="shared" si="6"/>
        <v>rtdc.l.rtdc.4015:itc</v>
      </c>
      <c r="G201" s="8">
        <f t="shared" si="7"/>
        <v>42613.889004629629</v>
      </c>
    </row>
    <row r="202" spans="1:7" x14ac:dyDescent="0.25">
      <c r="A202" s="29">
        <v>42613.893333333333</v>
      </c>
      <c r="B202" s="23" t="s">
        <v>91</v>
      </c>
      <c r="C202" s="23" t="s">
        <v>562</v>
      </c>
      <c r="D202" s="23">
        <v>1230000</v>
      </c>
      <c r="E202" s="23" t="s">
        <v>165</v>
      </c>
      <c r="F202" s="23" t="str">
        <f t="shared" si="6"/>
        <v>rtdc.l.rtdc.4029:itc</v>
      </c>
      <c r="G202" s="8">
        <f t="shared" si="7"/>
        <v>42613.893333333333</v>
      </c>
    </row>
    <row r="203" spans="1:7" x14ac:dyDescent="0.25">
      <c r="A203" s="8">
        <v>42613.901770833334</v>
      </c>
      <c r="B203" s="23" t="s">
        <v>721</v>
      </c>
      <c r="C203" s="23" t="s">
        <v>698</v>
      </c>
      <c r="D203" s="23">
        <v>2220000</v>
      </c>
      <c r="E203" s="23" t="s">
        <v>313</v>
      </c>
      <c r="F203" s="23" t="str">
        <f t="shared" si="6"/>
        <v>rtdc.l.rtdc.4008:itc</v>
      </c>
      <c r="G203" s="8">
        <f t="shared" si="7"/>
        <v>42613.901770833334</v>
      </c>
    </row>
    <row r="204" spans="1:7" x14ac:dyDescent="0.25">
      <c r="A204" s="8">
        <v>42613.910509259258</v>
      </c>
      <c r="B204" s="23" t="s">
        <v>234</v>
      </c>
      <c r="C204" s="23" t="s">
        <v>561</v>
      </c>
      <c r="D204" s="23">
        <v>1480000</v>
      </c>
      <c r="E204" s="23" t="s">
        <v>727</v>
      </c>
      <c r="F204" s="23" t="str">
        <f t="shared" si="6"/>
        <v>rtdc.l.rtdc.4028:itc</v>
      </c>
      <c r="G204" s="8">
        <f t="shared" si="7"/>
        <v>42613.910509259258</v>
      </c>
    </row>
    <row r="205" spans="1:7" x14ac:dyDescent="0.25">
      <c r="A205" s="8">
        <v>42613.912858796299</v>
      </c>
      <c r="B205" s="23" t="s">
        <v>172</v>
      </c>
      <c r="C205" s="23" t="s">
        <v>565</v>
      </c>
      <c r="D205" s="23">
        <v>2000000</v>
      </c>
      <c r="E205" s="23" t="s">
        <v>141</v>
      </c>
      <c r="F205" s="23" t="str">
        <f t="shared" si="6"/>
        <v>rtdc.l.rtdc.4002:itc</v>
      </c>
      <c r="G205" s="8">
        <f t="shared" si="7"/>
        <v>42613.912858796299</v>
      </c>
    </row>
    <row r="206" spans="1:7" x14ac:dyDescent="0.25">
      <c r="A206" s="8">
        <v>42613.914409722223</v>
      </c>
      <c r="B206" s="23" t="s">
        <v>172</v>
      </c>
      <c r="C206" s="23" t="s">
        <v>565</v>
      </c>
      <c r="D206" s="23">
        <v>2000000</v>
      </c>
      <c r="E206" s="23" t="s">
        <v>141</v>
      </c>
      <c r="F206" s="23" t="str">
        <f t="shared" si="6"/>
        <v>rtdc.l.rtdc.4002:itc</v>
      </c>
      <c r="G206" s="8">
        <f t="shared" si="7"/>
        <v>42613.914409722223</v>
      </c>
    </row>
    <row r="207" spans="1:7" x14ac:dyDescent="0.25">
      <c r="A207" s="8">
        <v>42613.925983796296</v>
      </c>
      <c r="B207" s="23" t="s">
        <v>722</v>
      </c>
      <c r="C207" s="23" t="s">
        <v>704</v>
      </c>
      <c r="D207" s="23">
        <v>2220000</v>
      </c>
      <c r="E207" s="23" t="s">
        <v>313</v>
      </c>
      <c r="F207" s="23" t="str">
        <f t="shared" si="6"/>
        <v>rtdc.l.rtdc.4007:itc</v>
      </c>
      <c r="G207" s="8">
        <f t="shared" si="7"/>
        <v>42613.925983796296</v>
      </c>
    </row>
    <row r="208" spans="1:7" x14ac:dyDescent="0.25">
      <c r="A208" s="8">
        <v>42613.932233796295</v>
      </c>
      <c r="B208" s="23" t="s">
        <v>92</v>
      </c>
      <c r="C208" s="23" t="s">
        <v>564</v>
      </c>
      <c r="D208" s="23">
        <v>1230000</v>
      </c>
      <c r="E208" s="23" t="s">
        <v>165</v>
      </c>
      <c r="F208" s="23" t="str">
        <f t="shared" si="6"/>
        <v>rtdc.l.rtdc.4030:itc</v>
      </c>
      <c r="G208" s="8">
        <f t="shared" si="7"/>
        <v>42613.932233796295</v>
      </c>
    </row>
    <row r="209" spans="1:7" x14ac:dyDescent="0.25">
      <c r="A209" s="8">
        <v>42613.936030092591</v>
      </c>
      <c r="B209" s="23" t="s">
        <v>312</v>
      </c>
      <c r="C209" s="23" t="s">
        <v>567</v>
      </c>
      <c r="D209" s="23">
        <v>1290000</v>
      </c>
      <c r="E209" s="23" t="s">
        <v>261</v>
      </c>
      <c r="F209" s="23" t="str">
        <f t="shared" si="6"/>
        <v>rtdc.l.rtdc.4016:itc</v>
      </c>
      <c r="G209" s="8">
        <f t="shared" si="7"/>
        <v>42613.936030092591</v>
      </c>
    </row>
    <row r="210" spans="1:7" x14ac:dyDescent="0.25">
      <c r="A210" s="8">
        <v>42613.943553240744</v>
      </c>
      <c r="B210" s="23" t="s">
        <v>721</v>
      </c>
      <c r="C210" s="23" t="s">
        <v>715</v>
      </c>
      <c r="D210" s="23">
        <v>2220000</v>
      </c>
      <c r="E210" s="23" t="s">
        <v>313</v>
      </c>
      <c r="F210" s="23" t="str">
        <f t="shared" si="6"/>
        <v>rtdc.l.rtdc.4008:itc</v>
      </c>
      <c r="G210" s="8">
        <f t="shared" si="7"/>
        <v>42613.943553240744</v>
      </c>
    </row>
    <row r="211" spans="1:7" x14ac:dyDescent="0.25">
      <c r="A211" s="8">
        <v>42613.945787037039</v>
      </c>
      <c r="B211" s="23" t="s">
        <v>92</v>
      </c>
      <c r="C211" s="23" t="s">
        <v>564</v>
      </c>
      <c r="D211" s="23">
        <v>1230000</v>
      </c>
      <c r="E211" s="23" t="s">
        <v>165</v>
      </c>
      <c r="F211" s="23" t="str">
        <f t="shared" si="6"/>
        <v>rtdc.l.rtdc.4030:itc</v>
      </c>
      <c r="G211" s="8">
        <f t="shared" si="7"/>
        <v>42613.945787037039</v>
      </c>
    </row>
    <row r="212" spans="1:7" x14ac:dyDescent="0.25">
      <c r="A212" s="8">
        <v>42613.952511574076</v>
      </c>
      <c r="B212" s="23" t="s">
        <v>93</v>
      </c>
      <c r="C212" s="23" t="s">
        <v>571</v>
      </c>
      <c r="D212" s="23">
        <v>1480000</v>
      </c>
      <c r="E212" s="23" t="s">
        <v>727</v>
      </c>
      <c r="F212" s="23" t="str">
        <f t="shared" si="6"/>
        <v>rtdc.l.rtdc.4027:itc</v>
      </c>
      <c r="G212" s="8">
        <f t="shared" si="7"/>
        <v>42613.952511574076</v>
      </c>
    </row>
    <row r="213" spans="1:7" x14ac:dyDescent="0.25">
      <c r="A213" s="8">
        <v>42613.953657407408</v>
      </c>
      <c r="B213" s="23" t="s">
        <v>719</v>
      </c>
      <c r="C213" s="23" t="s">
        <v>566</v>
      </c>
      <c r="D213" s="23">
        <v>2000000</v>
      </c>
      <c r="E213" s="23" t="s">
        <v>141</v>
      </c>
      <c r="F213" s="23" t="str">
        <f t="shared" si="6"/>
        <v>rtdc.l.rtdc.4001:itc</v>
      </c>
      <c r="G213" s="8">
        <f t="shared" si="7"/>
        <v>42613.953657407408</v>
      </c>
    </row>
    <row r="214" spans="1:7" x14ac:dyDescent="0.25">
      <c r="A214" s="8">
        <v>42613.971504629626</v>
      </c>
      <c r="B214" s="23" t="s">
        <v>305</v>
      </c>
      <c r="C214" s="23" t="s">
        <v>569</v>
      </c>
      <c r="D214" s="23">
        <v>1290000</v>
      </c>
      <c r="E214" s="23" t="s">
        <v>261</v>
      </c>
      <c r="F214" s="23" t="str">
        <f t="shared" si="6"/>
        <v>rtdc.l.rtdc.4015:itc</v>
      </c>
      <c r="G214" s="8">
        <f t="shared" si="7"/>
        <v>42613.971504629626</v>
      </c>
    </row>
    <row r="215" spans="1:7" x14ac:dyDescent="0.25">
      <c r="A215" s="8">
        <v>42613.976493055554</v>
      </c>
      <c r="B215" s="23" t="s">
        <v>91</v>
      </c>
      <c r="C215" s="23" t="s">
        <v>573</v>
      </c>
      <c r="D215" s="23">
        <v>1230000</v>
      </c>
      <c r="E215" s="23" t="s">
        <v>165</v>
      </c>
      <c r="F215" s="23" t="str">
        <f t="shared" si="6"/>
        <v>rtdc.l.rtdc.4029:itc</v>
      </c>
      <c r="G215" s="8">
        <f t="shared" si="7"/>
        <v>42613.976493055554</v>
      </c>
    </row>
    <row r="216" spans="1:7" x14ac:dyDescent="0.25">
      <c r="A216" s="8">
        <v>42613.9925</v>
      </c>
      <c r="B216" s="23" t="s">
        <v>234</v>
      </c>
      <c r="C216" s="23" t="s">
        <v>572</v>
      </c>
      <c r="D216" s="23">
        <v>1480000</v>
      </c>
      <c r="E216" s="23" t="s">
        <v>727</v>
      </c>
      <c r="F216" s="23" t="str">
        <f t="shared" si="6"/>
        <v>rtdc.l.rtdc.4028:itc</v>
      </c>
      <c r="G216" s="8">
        <f t="shared" si="7"/>
        <v>42613.9925</v>
      </c>
    </row>
    <row r="217" spans="1:7" x14ac:dyDescent="0.25">
      <c r="A217" s="8">
        <v>42613.993958333333</v>
      </c>
      <c r="B217" s="23" t="s">
        <v>172</v>
      </c>
      <c r="C217" s="23" t="s">
        <v>576</v>
      </c>
      <c r="D217" s="23">
        <v>2000000</v>
      </c>
      <c r="E217" s="23" t="s">
        <v>141</v>
      </c>
      <c r="F217" s="23" t="str">
        <f t="shared" si="6"/>
        <v>rtdc.l.rtdc.4002:itc</v>
      </c>
      <c r="G217" s="8">
        <f t="shared" si="7"/>
        <v>42613.993958333333</v>
      </c>
    </row>
    <row r="218" spans="1:7" x14ac:dyDescent="0.25">
      <c r="A218" s="8">
        <v>42614.005914351852</v>
      </c>
      <c r="B218" s="23" t="s">
        <v>92</v>
      </c>
      <c r="C218" s="23" t="s">
        <v>574</v>
      </c>
      <c r="D218" s="23">
        <v>1230000</v>
      </c>
      <c r="E218" s="23" t="s">
        <v>165</v>
      </c>
      <c r="F218" s="23" t="str">
        <f t="shared" si="6"/>
        <v>rtdc.l.rtdc.4030:itc</v>
      </c>
      <c r="G218" s="8">
        <f t="shared" si="7"/>
        <v>42614.005914351852</v>
      </c>
    </row>
    <row r="219" spans="1:7" x14ac:dyDescent="0.25">
      <c r="A219" s="8">
        <v>42614.018888888888</v>
      </c>
      <c r="B219" s="23" t="s">
        <v>312</v>
      </c>
      <c r="C219" s="23" t="s">
        <v>579</v>
      </c>
      <c r="D219" s="23">
        <v>1290000</v>
      </c>
      <c r="E219" s="23" t="s">
        <v>261</v>
      </c>
      <c r="F219" s="23" t="str">
        <f t="shared" si="6"/>
        <v>rtdc.l.rtdc.4016:itc</v>
      </c>
      <c r="G219" s="8">
        <f t="shared" si="7"/>
        <v>42614.018888888888</v>
      </c>
    </row>
    <row r="220" spans="1:7" x14ac:dyDescent="0.25">
      <c r="A220" s="8">
        <v>42614.02721064815</v>
      </c>
      <c r="B220" s="23" t="s">
        <v>93</v>
      </c>
      <c r="C220" s="23" t="s">
        <v>583</v>
      </c>
      <c r="D220" s="23">
        <v>1480000</v>
      </c>
      <c r="E220" s="23" t="s">
        <v>727</v>
      </c>
      <c r="F220" s="23" t="str">
        <f t="shared" si="6"/>
        <v>rtdc.l.rtdc.4027:itc</v>
      </c>
      <c r="G220" s="8">
        <f t="shared" si="7"/>
        <v>42614.02721064815</v>
      </c>
    </row>
    <row r="221" spans="1:7" x14ac:dyDescent="0.25">
      <c r="A221" s="8">
        <v>42614.03707175926</v>
      </c>
      <c r="B221" s="23" t="s">
        <v>719</v>
      </c>
      <c r="C221" s="23" t="s">
        <v>577</v>
      </c>
      <c r="D221" s="23">
        <v>2000000</v>
      </c>
      <c r="E221" s="23" t="s">
        <v>141</v>
      </c>
      <c r="F221" s="23" t="str">
        <f t="shared" si="6"/>
        <v>rtdc.l.rtdc.4001:itc</v>
      </c>
      <c r="G221" s="8">
        <f t="shared" si="7"/>
        <v>42614.03707175926</v>
      </c>
    </row>
    <row r="222" spans="1:7" x14ac:dyDescent="0.25">
      <c r="A222" s="8">
        <v>42614.04755787037</v>
      </c>
      <c r="B222" s="23" t="s">
        <v>91</v>
      </c>
      <c r="C222" s="23" t="s">
        <v>585</v>
      </c>
      <c r="D222" s="23">
        <v>1230000</v>
      </c>
      <c r="E222" s="23" t="s">
        <v>165</v>
      </c>
      <c r="F222" s="23" t="str">
        <f t="shared" si="6"/>
        <v>rtdc.l.rtdc.4029:itc</v>
      </c>
      <c r="G222" s="8">
        <f t="shared" si="7"/>
        <v>42614.04755787037</v>
      </c>
    </row>
    <row r="223" spans="1:7" x14ac:dyDescent="0.25">
      <c r="A223" s="8">
        <v>42614.055694444447</v>
      </c>
      <c r="B223" s="23" t="s">
        <v>305</v>
      </c>
      <c r="C223" s="23" t="s">
        <v>581</v>
      </c>
      <c r="D223" s="23">
        <v>1290000</v>
      </c>
      <c r="E223" s="23" t="s">
        <v>261</v>
      </c>
      <c r="F223" s="23" t="str">
        <f t="shared" si="6"/>
        <v>rtdc.l.rtdc.4015:itc</v>
      </c>
      <c r="G223" s="8">
        <f t="shared" si="7"/>
        <v>42614.055694444447</v>
      </c>
    </row>
    <row r="224" spans="1:7" x14ac:dyDescent="0.25">
      <c r="A224" s="8">
        <v>42614.068113425928</v>
      </c>
      <c r="B224" t="s">
        <v>172</v>
      </c>
      <c r="C224" t="s">
        <v>587</v>
      </c>
      <c r="D224">
        <v>2000000</v>
      </c>
      <c r="E224" t="s">
        <v>141</v>
      </c>
      <c r="F224" s="23" t="str">
        <f t="shared" si="6"/>
        <v>rtdc.l.rtdc.4002:itc</v>
      </c>
      <c r="G224" s="8">
        <f t="shared" si="7"/>
        <v>42614.068113425928</v>
      </c>
    </row>
    <row r="225" spans="1:7" x14ac:dyDescent="0.25">
      <c r="A225" s="8">
        <v>42614.088703703703</v>
      </c>
      <c r="B225" t="s">
        <v>312</v>
      </c>
      <c r="C225" t="s">
        <v>589</v>
      </c>
      <c r="D225">
        <v>1290000</v>
      </c>
      <c r="E225" t="s">
        <v>261</v>
      </c>
      <c r="F225" s="23" t="str">
        <f t="shared" si="6"/>
        <v>rtdc.l.rtdc.4016:itc</v>
      </c>
      <c r="G225" s="8">
        <f t="shared" si="7"/>
        <v>42614.088703703703</v>
      </c>
    </row>
    <row r="226" spans="1:7" x14ac:dyDescent="0.25">
      <c r="F226" s="23">
        <f t="shared" si="6"/>
        <v>0</v>
      </c>
      <c r="G226" s="8">
        <f t="shared" si="7"/>
        <v>0</v>
      </c>
    </row>
    <row r="227" spans="1:7" x14ac:dyDescent="0.25">
      <c r="A227" s="8">
        <v>42613.094849537039</v>
      </c>
      <c r="B227" t="s">
        <v>169</v>
      </c>
      <c r="C227" t="s">
        <v>321</v>
      </c>
      <c r="D227">
        <v>780000</v>
      </c>
      <c r="E227" t="s">
        <v>319</v>
      </c>
      <c r="F227" s="23" t="str">
        <f t="shared" si="6"/>
        <v>rtdc.l.rtdc.4010:itc</v>
      </c>
      <c r="G227" s="8">
        <f t="shared" si="7"/>
        <v>42613.094849537039</v>
      </c>
    </row>
    <row r="228" spans="1:7" x14ac:dyDescent="0.25">
      <c r="A228" s="8">
        <v>42613.105983796297</v>
      </c>
      <c r="B228" t="s">
        <v>168</v>
      </c>
      <c r="C228" t="s">
        <v>318</v>
      </c>
      <c r="D228">
        <v>780000</v>
      </c>
      <c r="E228" t="s">
        <v>319</v>
      </c>
      <c r="F228" s="23" t="str">
        <f t="shared" si="6"/>
        <v>rtdc.l.rtdc.4009:itc</v>
      </c>
      <c r="G228" s="8">
        <f t="shared" si="7"/>
        <v>42613.105983796297</v>
      </c>
    </row>
    <row r="229" spans="1:7" x14ac:dyDescent="0.25">
      <c r="F229" s="23">
        <f t="shared" si="6"/>
        <v>0</v>
      </c>
      <c r="G229" s="8">
        <f t="shared" si="7"/>
        <v>0</v>
      </c>
    </row>
    <row r="230" spans="1:7" x14ac:dyDescent="0.25">
      <c r="A230" s="8">
        <v>42609.025173611109</v>
      </c>
      <c r="B230" t="s">
        <v>179</v>
      </c>
      <c r="C230" t="s">
        <v>235</v>
      </c>
      <c r="D230">
        <v>2090000</v>
      </c>
      <c r="E230" t="s">
        <v>182</v>
      </c>
      <c r="F230" s="23" t="str">
        <f t="shared" si="6"/>
        <v>rtdc.l.rtdc.4003:itc</v>
      </c>
      <c r="G230" s="8">
        <f t="shared" si="7"/>
        <v>42609.025173611109</v>
      </c>
    </row>
    <row r="231" spans="1:7" x14ac:dyDescent="0.25">
      <c r="A231" s="8">
        <v>42609.036296296297</v>
      </c>
      <c r="B231" t="s">
        <v>233</v>
      </c>
      <c r="C231" t="s">
        <v>236</v>
      </c>
      <c r="D231">
        <v>1800000</v>
      </c>
      <c r="E231" t="s">
        <v>170</v>
      </c>
      <c r="F231" s="23" t="str">
        <f t="shared" si="6"/>
        <v>rtdc.l.rtdc.4039:itc</v>
      </c>
      <c r="G231" s="8">
        <f t="shared" si="7"/>
        <v>42609.036296296297</v>
      </c>
    </row>
    <row r="232" spans="1:7" x14ac:dyDescent="0.25">
      <c r="A232" s="8">
        <v>42609.039699074077</v>
      </c>
      <c r="B232" t="s">
        <v>179</v>
      </c>
      <c r="C232" t="s">
        <v>235</v>
      </c>
      <c r="D232">
        <v>2090000</v>
      </c>
      <c r="E232" t="s">
        <v>182</v>
      </c>
      <c r="F232" s="23" t="str">
        <f t="shared" si="6"/>
        <v>rtdc.l.rtdc.4003:itc</v>
      </c>
      <c r="G232" s="8">
        <f t="shared" si="7"/>
        <v>42609.039699074077</v>
      </c>
    </row>
    <row r="233" spans="1:7" x14ac:dyDescent="0.25">
      <c r="A233" s="8">
        <v>42609.050162037034</v>
      </c>
      <c r="B233" t="s">
        <v>172</v>
      </c>
      <c r="C233" t="s">
        <v>237</v>
      </c>
      <c r="D233">
        <v>1230000</v>
      </c>
      <c r="E233" t="s">
        <v>165</v>
      </c>
      <c r="F233" s="23" t="str">
        <f t="shared" si="6"/>
        <v>rtdc.l.rtdc.4002:itc</v>
      </c>
      <c r="G233" s="8">
        <f t="shared" si="7"/>
        <v>42609.050162037034</v>
      </c>
    </row>
    <row r="234" spans="1:7" x14ac:dyDescent="0.25">
      <c r="A234" s="8">
        <v>42609.068136574075</v>
      </c>
      <c r="B234" t="s">
        <v>234</v>
      </c>
      <c r="C234" t="s">
        <v>238</v>
      </c>
      <c r="D234">
        <v>2260000</v>
      </c>
      <c r="E234" t="s">
        <v>187</v>
      </c>
      <c r="F234" s="23" t="str">
        <f t="shared" si="6"/>
        <v>rtdc.l.rtdc.4028:itc</v>
      </c>
      <c r="G234" s="8">
        <f t="shared" si="7"/>
        <v>42609.068136574075</v>
      </c>
    </row>
    <row r="235" spans="1:7" x14ac:dyDescent="0.25">
      <c r="A235" s="8">
        <v>42609.071516203701</v>
      </c>
      <c r="B235" t="s">
        <v>232</v>
      </c>
      <c r="C235" t="s">
        <v>239</v>
      </c>
      <c r="D235">
        <v>1800000</v>
      </c>
      <c r="E235" t="s">
        <v>170</v>
      </c>
      <c r="F235" s="23" t="str">
        <f t="shared" si="6"/>
        <v>rtdc.l.rtdc.4040:itc</v>
      </c>
      <c r="G235" s="8">
        <f t="shared" si="7"/>
        <v>42609.071516203701</v>
      </c>
    </row>
    <row r="236" spans="1:7" x14ac:dyDescent="0.25">
      <c r="A236" s="8">
        <v>42609.076782407406</v>
      </c>
      <c r="B236" t="s">
        <v>186</v>
      </c>
      <c r="C236" t="s">
        <v>240</v>
      </c>
      <c r="D236">
        <v>2090000</v>
      </c>
      <c r="E236" t="s">
        <v>182</v>
      </c>
      <c r="F236" s="23" t="str">
        <f t="shared" ref="F236:F265" si="8">B236</f>
        <v>rtdc.l.rtdc.4004:itc</v>
      </c>
      <c r="G236" s="8">
        <f t="shared" ref="G236:G265" si="9">A236</f>
        <v>42609.076782407406</v>
      </c>
    </row>
    <row r="237" spans="1:7" x14ac:dyDescent="0.25">
      <c r="A237" s="8">
        <v>42609.10533564815</v>
      </c>
      <c r="B237" t="s">
        <v>93</v>
      </c>
      <c r="C237" t="s">
        <v>241</v>
      </c>
      <c r="D237">
        <v>2260000</v>
      </c>
      <c r="E237" t="s">
        <v>187</v>
      </c>
      <c r="F237" s="23" t="str">
        <f t="shared" si="8"/>
        <v>rtdc.l.rtdc.4027:itc</v>
      </c>
      <c r="G237" s="8">
        <f t="shared" si="9"/>
        <v>42609.10533564815</v>
      </c>
    </row>
    <row r="238" spans="1:7" x14ac:dyDescent="0.25">
      <c r="F238" s="23">
        <f t="shared" si="8"/>
        <v>0</v>
      </c>
      <c r="G238" s="8">
        <f t="shared" si="9"/>
        <v>0</v>
      </c>
    </row>
    <row r="239" spans="1:7" x14ac:dyDescent="0.25">
      <c r="A239" s="8">
        <v>42594.971458333333</v>
      </c>
      <c r="B239" t="s">
        <v>90</v>
      </c>
      <c r="C239" t="s">
        <v>153</v>
      </c>
      <c r="D239">
        <v>2100000</v>
      </c>
      <c r="E239" t="s">
        <v>137</v>
      </c>
      <c r="F239" s="23" t="str">
        <f t="shared" si="8"/>
        <v>rtdc.l.rtdc.4013:itc</v>
      </c>
      <c r="G239" s="8">
        <f t="shared" si="9"/>
        <v>42594.971458333333</v>
      </c>
    </row>
    <row r="240" spans="1:7" x14ac:dyDescent="0.25">
      <c r="A240" s="8">
        <v>42594.992303240739</v>
      </c>
      <c r="B240" t="s">
        <v>142</v>
      </c>
      <c r="C240" t="s">
        <v>154</v>
      </c>
      <c r="D240">
        <v>1300000</v>
      </c>
      <c r="E240" t="s">
        <v>139</v>
      </c>
      <c r="F240" s="23" t="str">
        <f t="shared" si="8"/>
        <v>rtdc.l.rtdc.4037:itc</v>
      </c>
      <c r="G240" s="8">
        <f t="shared" si="9"/>
        <v>42594.992303240739</v>
      </c>
    </row>
    <row r="241" spans="1:7" x14ac:dyDescent="0.25">
      <c r="A241" s="8">
        <v>42594.99628472222</v>
      </c>
      <c r="B241" t="s">
        <v>114</v>
      </c>
      <c r="C241" t="s">
        <v>156</v>
      </c>
      <c r="D241">
        <v>2000000</v>
      </c>
      <c r="E241" t="s">
        <v>141</v>
      </c>
      <c r="F241" s="23" t="str">
        <f t="shared" si="8"/>
        <v>rtdc.l.rtdc.4031:itc</v>
      </c>
      <c r="G241" s="8">
        <f t="shared" si="9"/>
        <v>42594.99628472222</v>
      </c>
    </row>
    <row r="242" spans="1:7" x14ac:dyDescent="0.25">
      <c r="A242" s="8">
        <v>42595.014097222222</v>
      </c>
      <c r="B242" t="s">
        <v>92</v>
      </c>
      <c r="C242" t="s">
        <v>155</v>
      </c>
      <c r="D242">
        <v>1230000</v>
      </c>
      <c r="E242" t="s">
        <v>165</v>
      </c>
      <c r="F242" s="23" t="str">
        <f t="shared" si="8"/>
        <v>rtdc.l.rtdc.4030:itc</v>
      </c>
      <c r="G242" s="8">
        <f t="shared" si="9"/>
        <v>42595.014097222222</v>
      </c>
    </row>
    <row r="243" spans="1:7" x14ac:dyDescent="0.25">
      <c r="A243" s="8">
        <v>42595.015775462962</v>
      </c>
      <c r="B243" t="s">
        <v>112</v>
      </c>
      <c r="C243" t="s">
        <v>158</v>
      </c>
      <c r="D243">
        <v>2100000</v>
      </c>
      <c r="E243" t="s">
        <v>137</v>
      </c>
      <c r="F243" s="23" t="str">
        <f t="shared" si="8"/>
        <v>rtdc.l.rtdc.4014:itc</v>
      </c>
      <c r="G243" s="8">
        <f t="shared" si="9"/>
        <v>42595.015775462962</v>
      </c>
    </row>
    <row r="244" spans="1:7" x14ac:dyDescent="0.25">
      <c r="A244" s="8">
        <v>42595.034780092596</v>
      </c>
      <c r="B244" t="s">
        <v>148</v>
      </c>
      <c r="C244" t="s">
        <v>160</v>
      </c>
      <c r="D244">
        <v>1300000</v>
      </c>
      <c r="E244" t="s">
        <v>139</v>
      </c>
      <c r="F244" s="23" t="str">
        <f t="shared" si="8"/>
        <v>rtdc.l.rtdc.4038:itc</v>
      </c>
      <c r="G244" s="8">
        <f t="shared" si="9"/>
        <v>42595.034780092596</v>
      </c>
    </row>
    <row r="245" spans="1:7" x14ac:dyDescent="0.25">
      <c r="A245" s="8">
        <v>42595.036539351851</v>
      </c>
      <c r="B245" t="s">
        <v>115</v>
      </c>
      <c r="C245" t="s">
        <v>157</v>
      </c>
      <c r="D245">
        <v>2000000</v>
      </c>
      <c r="E245" t="s">
        <v>141</v>
      </c>
      <c r="F245" s="23" t="str">
        <f t="shared" si="8"/>
        <v>rtdc.l.rtdc.4032:itc</v>
      </c>
      <c r="G245" s="8">
        <f t="shared" si="9"/>
        <v>42595.036539351851</v>
      </c>
    </row>
    <row r="246" spans="1:7" x14ac:dyDescent="0.25">
      <c r="A246" s="8">
        <v>42595.046134259261</v>
      </c>
      <c r="B246" t="s">
        <v>91</v>
      </c>
      <c r="C246" t="s">
        <v>162</v>
      </c>
      <c r="D246">
        <v>1230000</v>
      </c>
      <c r="E246" t="s">
        <v>165</v>
      </c>
      <c r="F246" s="23" t="str">
        <f t="shared" si="8"/>
        <v>rtdc.l.rtdc.4029:itc</v>
      </c>
      <c r="G246" s="8">
        <f t="shared" si="9"/>
        <v>42595.046134259261</v>
      </c>
    </row>
    <row r="247" spans="1:7" x14ac:dyDescent="0.25">
      <c r="A247" s="8">
        <v>42595.053819444445</v>
      </c>
      <c r="B247" t="s">
        <v>90</v>
      </c>
      <c r="C247" t="s">
        <v>159</v>
      </c>
      <c r="D247">
        <v>2100000</v>
      </c>
      <c r="E247" t="s">
        <v>137</v>
      </c>
      <c r="F247" s="23" t="str">
        <f t="shared" si="8"/>
        <v>rtdc.l.rtdc.4013:itc</v>
      </c>
      <c r="G247" s="8">
        <f t="shared" si="9"/>
        <v>42595.053819444445</v>
      </c>
    </row>
    <row r="248" spans="1:7" x14ac:dyDescent="0.25">
      <c r="A248" s="8">
        <v>42595.068229166667</v>
      </c>
      <c r="B248" t="s">
        <v>114</v>
      </c>
      <c r="C248" t="s">
        <v>163</v>
      </c>
      <c r="D248">
        <v>2000000</v>
      </c>
      <c r="E248" t="s">
        <v>141</v>
      </c>
      <c r="F248" s="23" t="str">
        <f t="shared" si="8"/>
        <v>rtdc.l.rtdc.4031:itc</v>
      </c>
      <c r="G248" s="8">
        <f t="shared" si="9"/>
        <v>42595.068229166667</v>
      </c>
    </row>
    <row r="249" spans="1:7" x14ac:dyDescent="0.25">
      <c r="A249" s="8">
        <v>42595.072916666664</v>
      </c>
      <c r="B249" t="s">
        <v>142</v>
      </c>
      <c r="C249" t="s">
        <v>161</v>
      </c>
      <c r="D249">
        <v>1300000</v>
      </c>
      <c r="E249" t="s">
        <v>139</v>
      </c>
      <c r="F249" s="23" t="str">
        <f t="shared" si="8"/>
        <v>rtdc.l.rtdc.4037:itc</v>
      </c>
      <c r="G249" s="8">
        <f t="shared" si="9"/>
        <v>42595.072916666664</v>
      </c>
    </row>
    <row r="250" spans="1:7" x14ac:dyDescent="0.25">
      <c r="A250" s="8">
        <v>42595.09070601852</v>
      </c>
      <c r="B250" t="s">
        <v>112</v>
      </c>
      <c r="C250" t="s">
        <v>166</v>
      </c>
      <c r="D250">
        <v>2100000</v>
      </c>
      <c r="E250" t="s">
        <v>137</v>
      </c>
      <c r="F250" s="23" t="str">
        <f t="shared" si="8"/>
        <v>rtdc.l.rtdc.4014:itc</v>
      </c>
      <c r="G250" s="8">
        <f t="shared" si="9"/>
        <v>42595.09070601852</v>
      </c>
    </row>
    <row r="251" spans="1:7" x14ac:dyDescent="0.25">
      <c r="A251" s="8">
        <v>42595.110555555555</v>
      </c>
      <c r="B251" t="s">
        <v>148</v>
      </c>
      <c r="C251" t="s">
        <v>164</v>
      </c>
      <c r="D251">
        <v>1300000</v>
      </c>
      <c r="E251" t="s">
        <v>139</v>
      </c>
      <c r="F251" s="23" t="str">
        <f t="shared" si="8"/>
        <v>rtdc.l.rtdc.4038:itc</v>
      </c>
      <c r="G251" s="8">
        <f t="shared" si="9"/>
        <v>42595.110555555555</v>
      </c>
    </row>
    <row r="252" spans="1:7" x14ac:dyDescent="0.25">
      <c r="F252" s="23">
        <f t="shared" si="8"/>
        <v>0</v>
      </c>
      <c r="G252" s="8">
        <f t="shared" si="9"/>
        <v>0</v>
      </c>
    </row>
    <row r="253" spans="1:7" x14ac:dyDescent="0.25">
      <c r="F253" s="23">
        <f t="shared" si="8"/>
        <v>0</v>
      </c>
      <c r="G253" s="8">
        <f t="shared" si="9"/>
        <v>0</v>
      </c>
    </row>
    <row r="254" spans="1:7" x14ac:dyDescent="0.25">
      <c r="F254" s="23">
        <f t="shared" si="8"/>
        <v>0</v>
      </c>
      <c r="G254" s="8">
        <f t="shared" si="9"/>
        <v>0</v>
      </c>
    </row>
    <row r="255" spans="1:7" x14ac:dyDescent="0.25">
      <c r="F255" s="23">
        <f t="shared" si="8"/>
        <v>0</v>
      </c>
      <c r="G255" s="8">
        <f t="shared" si="9"/>
        <v>0</v>
      </c>
    </row>
    <row r="256" spans="1:7" x14ac:dyDescent="0.25">
      <c r="F256" s="23">
        <f t="shared" si="8"/>
        <v>0</v>
      </c>
      <c r="G256" s="8">
        <f t="shared" si="9"/>
        <v>0</v>
      </c>
    </row>
    <row r="257" spans="6:7" x14ac:dyDescent="0.25">
      <c r="F257" s="23">
        <f t="shared" si="8"/>
        <v>0</v>
      </c>
      <c r="G257" s="8">
        <f t="shared" si="9"/>
        <v>0</v>
      </c>
    </row>
    <row r="258" spans="6:7" x14ac:dyDescent="0.25">
      <c r="F258" s="23">
        <f t="shared" si="8"/>
        <v>0</v>
      </c>
      <c r="G258" s="8">
        <f t="shared" si="9"/>
        <v>0</v>
      </c>
    </row>
    <row r="259" spans="6:7" x14ac:dyDescent="0.25">
      <c r="F259" s="23">
        <f t="shared" si="8"/>
        <v>0</v>
      </c>
      <c r="G259" s="8">
        <f t="shared" si="9"/>
        <v>0</v>
      </c>
    </row>
    <row r="260" spans="6:7" x14ac:dyDescent="0.25">
      <c r="F260" s="23">
        <f t="shared" si="8"/>
        <v>0</v>
      </c>
      <c r="G260" s="8">
        <f t="shared" si="9"/>
        <v>0</v>
      </c>
    </row>
    <row r="261" spans="6:7" x14ac:dyDescent="0.25">
      <c r="F261" s="23">
        <f t="shared" si="8"/>
        <v>0</v>
      </c>
      <c r="G261" s="8">
        <f t="shared" si="9"/>
        <v>0</v>
      </c>
    </row>
    <row r="262" spans="6:7" x14ac:dyDescent="0.25">
      <c r="F262" s="23">
        <f t="shared" si="8"/>
        <v>0</v>
      </c>
      <c r="G262" s="8">
        <f t="shared" si="9"/>
        <v>0</v>
      </c>
    </row>
    <row r="263" spans="6:7" x14ac:dyDescent="0.25">
      <c r="F263" s="23">
        <f t="shared" si="8"/>
        <v>0</v>
      </c>
      <c r="G263" s="8">
        <f t="shared" si="9"/>
        <v>0</v>
      </c>
    </row>
    <row r="264" spans="6:7" x14ac:dyDescent="0.25">
      <c r="F264" s="23">
        <f t="shared" si="8"/>
        <v>0</v>
      </c>
      <c r="G264" s="8">
        <f t="shared" si="9"/>
        <v>0</v>
      </c>
    </row>
    <row r="265" spans="6:7" x14ac:dyDescent="0.25">
      <c r="F265" s="23">
        <f t="shared" si="8"/>
        <v>0</v>
      </c>
      <c r="G265" s="8">
        <f t="shared" si="9"/>
        <v>0</v>
      </c>
    </row>
    <row r="266" spans="6:7" x14ac:dyDescent="0.25">
      <c r="F266" s="23">
        <f t="shared" ref="F266:F281" si="10">B266</f>
        <v>0</v>
      </c>
      <c r="G266" s="8">
        <f t="shared" ref="G266:G281" si="11">A266</f>
        <v>0</v>
      </c>
    </row>
    <row r="267" spans="6:7" x14ac:dyDescent="0.25">
      <c r="F267" s="23">
        <f t="shared" si="10"/>
        <v>0</v>
      </c>
      <c r="G267" s="8">
        <f t="shared" si="11"/>
        <v>0</v>
      </c>
    </row>
    <row r="268" spans="6:7" x14ac:dyDescent="0.25">
      <c r="F268" s="23">
        <f t="shared" si="10"/>
        <v>0</v>
      </c>
      <c r="G268" s="8">
        <f t="shared" si="11"/>
        <v>0</v>
      </c>
    </row>
    <row r="269" spans="6:7" x14ac:dyDescent="0.25">
      <c r="F269" s="23">
        <f t="shared" si="10"/>
        <v>0</v>
      </c>
      <c r="G269" s="8">
        <f t="shared" si="11"/>
        <v>0</v>
      </c>
    </row>
    <row r="270" spans="6:7" x14ac:dyDescent="0.25">
      <c r="F270" s="23">
        <f t="shared" si="10"/>
        <v>0</v>
      </c>
      <c r="G270" s="8">
        <f t="shared" si="11"/>
        <v>0</v>
      </c>
    </row>
    <row r="271" spans="6:7" x14ac:dyDescent="0.25">
      <c r="F271" s="23">
        <f t="shared" si="10"/>
        <v>0</v>
      </c>
      <c r="G271" s="8">
        <f t="shared" si="11"/>
        <v>0</v>
      </c>
    </row>
    <row r="272" spans="6:7" x14ac:dyDescent="0.25">
      <c r="F272" s="23">
        <f t="shared" si="10"/>
        <v>0</v>
      </c>
      <c r="G272" s="8">
        <f t="shared" si="11"/>
        <v>0</v>
      </c>
    </row>
    <row r="273" spans="6:7" x14ac:dyDescent="0.25">
      <c r="F273" s="23">
        <f t="shared" si="10"/>
        <v>0</v>
      </c>
      <c r="G273" s="8">
        <f t="shared" si="11"/>
        <v>0</v>
      </c>
    </row>
    <row r="274" spans="6:7" x14ac:dyDescent="0.25">
      <c r="F274" s="23">
        <f t="shared" si="10"/>
        <v>0</v>
      </c>
      <c r="G274" s="8">
        <f t="shared" si="11"/>
        <v>0</v>
      </c>
    </row>
    <row r="275" spans="6:7" x14ac:dyDescent="0.25">
      <c r="F275" s="23">
        <f t="shared" si="10"/>
        <v>0</v>
      </c>
      <c r="G275" s="8">
        <f t="shared" si="11"/>
        <v>0</v>
      </c>
    </row>
    <row r="276" spans="6:7" x14ac:dyDescent="0.25">
      <c r="F276" s="23">
        <f t="shared" si="10"/>
        <v>0</v>
      </c>
      <c r="G276" s="8">
        <f t="shared" si="11"/>
        <v>0</v>
      </c>
    </row>
    <row r="277" spans="6:7" x14ac:dyDescent="0.25">
      <c r="F277" s="23">
        <f t="shared" si="10"/>
        <v>0</v>
      </c>
      <c r="G277" s="8">
        <f t="shared" si="11"/>
        <v>0</v>
      </c>
    </row>
    <row r="278" spans="6:7" x14ac:dyDescent="0.25">
      <c r="F278" s="23">
        <f t="shared" si="10"/>
        <v>0</v>
      </c>
      <c r="G278" s="8">
        <f t="shared" si="11"/>
        <v>0</v>
      </c>
    </row>
    <row r="279" spans="6:7" x14ac:dyDescent="0.25">
      <c r="F279" s="23">
        <f t="shared" si="10"/>
        <v>0</v>
      </c>
      <c r="G279" s="8">
        <f t="shared" si="11"/>
        <v>0</v>
      </c>
    </row>
    <row r="280" spans="6:7" x14ac:dyDescent="0.25">
      <c r="F280" s="23">
        <f t="shared" si="10"/>
        <v>0</v>
      </c>
      <c r="G280" s="8">
        <f t="shared" si="11"/>
        <v>0</v>
      </c>
    </row>
    <row r="281" spans="6:7" x14ac:dyDescent="0.25">
      <c r="F281" s="23">
        <f t="shared" si="10"/>
        <v>0</v>
      </c>
      <c r="G281" s="8">
        <f t="shared" si="11"/>
        <v>0</v>
      </c>
    </row>
    <row r="282" spans="6:7" x14ac:dyDescent="0.25">
      <c r="F282" s="23">
        <f t="shared" ref="F282:F345" si="12">B282</f>
        <v>0</v>
      </c>
      <c r="G282" s="8">
        <f t="shared" ref="G282:G345" si="13">A282</f>
        <v>0</v>
      </c>
    </row>
    <row r="283" spans="6:7" x14ac:dyDescent="0.25">
      <c r="F283" s="23">
        <f t="shared" si="12"/>
        <v>0</v>
      </c>
      <c r="G283" s="8">
        <f t="shared" si="13"/>
        <v>0</v>
      </c>
    </row>
    <row r="284" spans="6:7" x14ac:dyDescent="0.25">
      <c r="F284" s="23">
        <f t="shared" si="12"/>
        <v>0</v>
      </c>
      <c r="G284" s="8">
        <f t="shared" si="13"/>
        <v>0</v>
      </c>
    </row>
    <row r="285" spans="6:7" x14ac:dyDescent="0.25">
      <c r="F285" s="23">
        <f t="shared" si="12"/>
        <v>0</v>
      </c>
      <c r="G285" s="8">
        <f t="shared" si="13"/>
        <v>0</v>
      </c>
    </row>
    <row r="286" spans="6:7" x14ac:dyDescent="0.25">
      <c r="F286" s="23">
        <f t="shared" si="12"/>
        <v>0</v>
      </c>
      <c r="G286" s="8">
        <f t="shared" si="13"/>
        <v>0</v>
      </c>
    </row>
    <row r="287" spans="6:7" x14ac:dyDescent="0.25">
      <c r="F287" s="23">
        <f t="shared" si="12"/>
        <v>0</v>
      </c>
      <c r="G287" s="8">
        <f t="shared" si="13"/>
        <v>0</v>
      </c>
    </row>
    <row r="288" spans="6:7" x14ac:dyDescent="0.25">
      <c r="F288" s="23">
        <f t="shared" si="12"/>
        <v>0</v>
      </c>
      <c r="G288" s="8">
        <f t="shared" si="13"/>
        <v>0</v>
      </c>
    </row>
    <row r="289" spans="6:7" x14ac:dyDescent="0.25">
      <c r="F289" s="23">
        <f t="shared" si="12"/>
        <v>0</v>
      </c>
      <c r="G289" s="8">
        <f t="shared" si="13"/>
        <v>0</v>
      </c>
    </row>
    <row r="290" spans="6:7" x14ac:dyDescent="0.25">
      <c r="F290" s="23">
        <f t="shared" si="12"/>
        <v>0</v>
      </c>
      <c r="G290" s="8">
        <f t="shared" si="13"/>
        <v>0</v>
      </c>
    </row>
    <row r="291" spans="6:7" x14ac:dyDescent="0.25">
      <c r="F291" s="23">
        <f t="shared" si="12"/>
        <v>0</v>
      </c>
      <c r="G291" s="8">
        <f t="shared" si="13"/>
        <v>0</v>
      </c>
    </row>
    <row r="292" spans="6:7" x14ac:dyDescent="0.25">
      <c r="F292" s="23">
        <f t="shared" si="12"/>
        <v>0</v>
      </c>
      <c r="G292" s="8">
        <f t="shared" si="13"/>
        <v>0</v>
      </c>
    </row>
    <row r="293" spans="6:7" x14ac:dyDescent="0.25">
      <c r="F293" s="23">
        <f t="shared" si="12"/>
        <v>0</v>
      </c>
      <c r="G293" s="8">
        <f t="shared" si="13"/>
        <v>0</v>
      </c>
    </row>
    <row r="294" spans="6:7" x14ac:dyDescent="0.25">
      <c r="F294" s="23">
        <f t="shared" si="12"/>
        <v>0</v>
      </c>
      <c r="G294" s="8">
        <f t="shared" si="13"/>
        <v>0</v>
      </c>
    </row>
    <row r="295" spans="6:7" x14ac:dyDescent="0.25">
      <c r="F295" s="23">
        <f t="shared" si="12"/>
        <v>0</v>
      </c>
      <c r="G295" s="8">
        <f t="shared" si="13"/>
        <v>0</v>
      </c>
    </row>
    <row r="296" spans="6:7" x14ac:dyDescent="0.25">
      <c r="F296" s="23">
        <f t="shared" si="12"/>
        <v>0</v>
      </c>
      <c r="G296" s="8">
        <f t="shared" si="13"/>
        <v>0</v>
      </c>
    </row>
    <row r="297" spans="6:7" x14ac:dyDescent="0.25">
      <c r="F297" s="23">
        <f t="shared" si="12"/>
        <v>0</v>
      </c>
      <c r="G297" s="8">
        <f t="shared" si="13"/>
        <v>0</v>
      </c>
    </row>
    <row r="298" spans="6:7" x14ac:dyDescent="0.25">
      <c r="F298" s="23">
        <f t="shared" si="12"/>
        <v>0</v>
      </c>
      <c r="G298" s="8">
        <f t="shared" si="13"/>
        <v>0</v>
      </c>
    </row>
    <row r="299" spans="6:7" x14ac:dyDescent="0.25">
      <c r="F299" s="23">
        <f t="shared" si="12"/>
        <v>0</v>
      </c>
      <c r="G299" s="8">
        <f t="shared" si="13"/>
        <v>0</v>
      </c>
    </row>
    <row r="300" spans="6:7" x14ac:dyDescent="0.25">
      <c r="F300" s="23">
        <f t="shared" si="12"/>
        <v>0</v>
      </c>
      <c r="G300" s="8">
        <f t="shared" si="13"/>
        <v>0</v>
      </c>
    </row>
    <row r="301" spans="6:7" x14ac:dyDescent="0.25">
      <c r="F301" s="23">
        <f t="shared" si="12"/>
        <v>0</v>
      </c>
      <c r="G301" s="8">
        <f t="shared" si="13"/>
        <v>0</v>
      </c>
    </row>
    <row r="302" spans="6:7" x14ac:dyDescent="0.25">
      <c r="F302" s="23">
        <f t="shared" si="12"/>
        <v>0</v>
      </c>
      <c r="G302" s="8">
        <f t="shared" si="13"/>
        <v>0</v>
      </c>
    </row>
    <row r="303" spans="6:7" x14ac:dyDescent="0.25">
      <c r="F303" s="23">
        <f t="shared" si="12"/>
        <v>0</v>
      </c>
      <c r="G303" s="8">
        <f t="shared" si="13"/>
        <v>0</v>
      </c>
    </row>
    <row r="304" spans="6:7" x14ac:dyDescent="0.25">
      <c r="F304" s="23">
        <f t="shared" si="12"/>
        <v>0</v>
      </c>
      <c r="G304" s="8">
        <f t="shared" si="13"/>
        <v>0</v>
      </c>
    </row>
    <row r="305" spans="6:7" x14ac:dyDescent="0.25">
      <c r="F305" s="23">
        <f t="shared" si="12"/>
        <v>0</v>
      </c>
      <c r="G305" s="8">
        <f t="shared" si="13"/>
        <v>0</v>
      </c>
    </row>
    <row r="306" spans="6:7" x14ac:dyDescent="0.25">
      <c r="F306" s="23">
        <f t="shared" si="12"/>
        <v>0</v>
      </c>
      <c r="G306" s="8">
        <f t="shared" si="13"/>
        <v>0</v>
      </c>
    </row>
    <row r="307" spans="6:7" x14ac:dyDescent="0.25">
      <c r="F307" s="23">
        <f t="shared" si="12"/>
        <v>0</v>
      </c>
      <c r="G307" s="8">
        <f t="shared" si="13"/>
        <v>0</v>
      </c>
    </row>
    <row r="308" spans="6:7" x14ac:dyDescent="0.25">
      <c r="F308" s="23">
        <f t="shared" si="12"/>
        <v>0</v>
      </c>
      <c r="G308" s="8">
        <f t="shared" si="13"/>
        <v>0</v>
      </c>
    </row>
    <row r="309" spans="6:7" x14ac:dyDescent="0.25">
      <c r="F309" s="23">
        <f t="shared" si="12"/>
        <v>0</v>
      </c>
      <c r="G309" s="8">
        <f t="shared" si="13"/>
        <v>0</v>
      </c>
    </row>
    <row r="310" spans="6:7" x14ac:dyDescent="0.25">
      <c r="F310" s="23">
        <f t="shared" si="12"/>
        <v>0</v>
      </c>
      <c r="G310" s="8">
        <f t="shared" si="13"/>
        <v>0</v>
      </c>
    </row>
    <row r="311" spans="6:7" x14ac:dyDescent="0.25">
      <c r="F311" s="23">
        <f t="shared" si="12"/>
        <v>0</v>
      </c>
      <c r="G311" s="8">
        <f t="shared" si="13"/>
        <v>0</v>
      </c>
    </row>
    <row r="312" spans="6:7" x14ac:dyDescent="0.25">
      <c r="F312" s="23">
        <f t="shared" si="12"/>
        <v>0</v>
      </c>
      <c r="G312" s="8">
        <f t="shared" si="13"/>
        <v>0</v>
      </c>
    </row>
    <row r="313" spans="6:7" x14ac:dyDescent="0.25">
      <c r="F313" s="23">
        <f t="shared" si="12"/>
        <v>0</v>
      </c>
      <c r="G313" s="8">
        <f t="shared" si="13"/>
        <v>0</v>
      </c>
    </row>
    <row r="314" spans="6:7" x14ac:dyDescent="0.25">
      <c r="F314" s="23">
        <f t="shared" si="12"/>
        <v>0</v>
      </c>
      <c r="G314" s="8">
        <f t="shared" si="13"/>
        <v>0</v>
      </c>
    </row>
    <row r="315" spans="6:7" x14ac:dyDescent="0.25">
      <c r="F315" s="23">
        <f t="shared" si="12"/>
        <v>0</v>
      </c>
      <c r="G315" s="8">
        <f t="shared" si="13"/>
        <v>0</v>
      </c>
    </row>
    <row r="316" spans="6:7" x14ac:dyDescent="0.25">
      <c r="F316" s="23">
        <f t="shared" si="12"/>
        <v>0</v>
      </c>
      <c r="G316" s="8">
        <f t="shared" si="13"/>
        <v>0</v>
      </c>
    </row>
    <row r="317" spans="6:7" x14ac:dyDescent="0.25">
      <c r="F317" s="23">
        <f t="shared" si="12"/>
        <v>0</v>
      </c>
      <c r="G317" s="8">
        <f t="shared" si="13"/>
        <v>0</v>
      </c>
    </row>
    <row r="318" spans="6:7" x14ac:dyDescent="0.25">
      <c r="F318" s="23">
        <f t="shared" si="12"/>
        <v>0</v>
      </c>
      <c r="G318" s="8">
        <f t="shared" si="13"/>
        <v>0</v>
      </c>
    </row>
    <row r="319" spans="6:7" x14ac:dyDescent="0.25">
      <c r="F319" s="23">
        <f t="shared" si="12"/>
        <v>0</v>
      </c>
      <c r="G319" s="8">
        <f t="shared" si="13"/>
        <v>0</v>
      </c>
    </row>
    <row r="320" spans="6:7" x14ac:dyDescent="0.25">
      <c r="F320" s="23">
        <f t="shared" si="12"/>
        <v>0</v>
      </c>
      <c r="G320" s="8">
        <f t="shared" si="13"/>
        <v>0</v>
      </c>
    </row>
    <row r="321" spans="6:7" x14ac:dyDescent="0.25">
      <c r="F321" s="23">
        <f t="shared" si="12"/>
        <v>0</v>
      </c>
      <c r="G321" s="8">
        <f t="shared" si="13"/>
        <v>0</v>
      </c>
    </row>
    <row r="322" spans="6:7" x14ac:dyDescent="0.25">
      <c r="F322" s="23">
        <f t="shared" si="12"/>
        <v>0</v>
      </c>
      <c r="G322" s="8">
        <f t="shared" si="13"/>
        <v>0</v>
      </c>
    </row>
    <row r="323" spans="6:7" x14ac:dyDescent="0.25">
      <c r="F323" s="23">
        <f t="shared" si="12"/>
        <v>0</v>
      </c>
      <c r="G323" s="8">
        <f t="shared" si="13"/>
        <v>0</v>
      </c>
    </row>
    <row r="324" spans="6:7" x14ac:dyDescent="0.25">
      <c r="F324" s="23">
        <f t="shared" si="12"/>
        <v>0</v>
      </c>
      <c r="G324" s="8">
        <f t="shared" si="13"/>
        <v>0</v>
      </c>
    </row>
    <row r="325" spans="6:7" x14ac:dyDescent="0.25">
      <c r="F325" s="23">
        <f t="shared" si="12"/>
        <v>0</v>
      </c>
      <c r="G325" s="8">
        <f t="shared" si="13"/>
        <v>0</v>
      </c>
    </row>
    <row r="326" spans="6:7" x14ac:dyDescent="0.25">
      <c r="F326" s="23">
        <f t="shared" si="12"/>
        <v>0</v>
      </c>
      <c r="G326" s="8">
        <f t="shared" si="13"/>
        <v>0</v>
      </c>
    </row>
    <row r="327" spans="6:7" x14ac:dyDescent="0.25">
      <c r="F327" s="23">
        <f t="shared" si="12"/>
        <v>0</v>
      </c>
      <c r="G327" s="8">
        <f t="shared" si="13"/>
        <v>0</v>
      </c>
    </row>
    <row r="328" spans="6:7" x14ac:dyDescent="0.25">
      <c r="F328" s="23">
        <f t="shared" si="12"/>
        <v>0</v>
      </c>
      <c r="G328" s="8">
        <f t="shared" si="13"/>
        <v>0</v>
      </c>
    </row>
    <row r="329" spans="6:7" x14ac:dyDescent="0.25">
      <c r="F329" s="23">
        <f t="shared" si="12"/>
        <v>0</v>
      </c>
      <c r="G329" s="8">
        <f t="shared" si="13"/>
        <v>0</v>
      </c>
    </row>
    <row r="330" spans="6:7" x14ac:dyDescent="0.25">
      <c r="F330" s="23">
        <f t="shared" si="12"/>
        <v>0</v>
      </c>
      <c r="G330" s="8">
        <f t="shared" si="13"/>
        <v>0</v>
      </c>
    </row>
    <row r="331" spans="6:7" x14ac:dyDescent="0.25">
      <c r="F331" s="23">
        <f t="shared" si="12"/>
        <v>0</v>
      </c>
      <c r="G331" s="8">
        <f t="shared" si="13"/>
        <v>0</v>
      </c>
    </row>
    <row r="332" spans="6:7" x14ac:dyDescent="0.25">
      <c r="F332" s="23">
        <f t="shared" si="12"/>
        <v>0</v>
      </c>
      <c r="G332" s="8">
        <f t="shared" si="13"/>
        <v>0</v>
      </c>
    </row>
    <row r="333" spans="6:7" x14ac:dyDescent="0.25">
      <c r="F333" s="23">
        <f t="shared" si="12"/>
        <v>0</v>
      </c>
      <c r="G333" s="8">
        <f t="shared" si="13"/>
        <v>0</v>
      </c>
    </row>
    <row r="334" spans="6:7" x14ac:dyDescent="0.25">
      <c r="F334" s="23">
        <f t="shared" si="12"/>
        <v>0</v>
      </c>
      <c r="G334" s="8">
        <f t="shared" si="13"/>
        <v>0</v>
      </c>
    </row>
    <row r="335" spans="6:7" x14ac:dyDescent="0.25">
      <c r="F335" s="23">
        <f t="shared" si="12"/>
        <v>0</v>
      </c>
      <c r="G335" s="8">
        <f t="shared" si="13"/>
        <v>0</v>
      </c>
    </row>
    <row r="336" spans="6:7" x14ac:dyDescent="0.25">
      <c r="F336" s="23">
        <f t="shared" si="12"/>
        <v>0</v>
      </c>
      <c r="G336" s="8">
        <f t="shared" si="13"/>
        <v>0</v>
      </c>
    </row>
    <row r="337" spans="6:7" x14ac:dyDescent="0.25">
      <c r="F337" s="23">
        <f t="shared" si="12"/>
        <v>0</v>
      </c>
      <c r="G337" s="8">
        <f t="shared" si="13"/>
        <v>0</v>
      </c>
    </row>
    <row r="338" spans="6:7" x14ac:dyDescent="0.25">
      <c r="F338" s="23">
        <f t="shared" si="12"/>
        <v>0</v>
      </c>
      <c r="G338" s="8">
        <f t="shared" si="13"/>
        <v>0</v>
      </c>
    </row>
    <row r="339" spans="6:7" x14ac:dyDescent="0.25">
      <c r="F339" s="23">
        <f t="shared" si="12"/>
        <v>0</v>
      </c>
      <c r="G339" s="8">
        <f t="shared" si="13"/>
        <v>0</v>
      </c>
    </row>
    <row r="340" spans="6:7" x14ac:dyDescent="0.25">
      <c r="F340" s="23">
        <f t="shared" si="12"/>
        <v>0</v>
      </c>
      <c r="G340" s="8">
        <f t="shared" si="13"/>
        <v>0</v>
      </c>
    </row>
    <row r="341" spans="6:7" x14ac:dyDescent="0.25">
      <c r="F341" s="23">
        <f t="shared" si="12"/>
        <v>0</v>
      </c>
      <c r="G341" s="8">
        <f t="shared" si="13"/>
        <v>0</v>
      </c>
    </row>
    <row r="342" spans="6:7" x14ac:dyDescent="0.25">
      <c r="F342" s="23">
        <f t="shared" si="12"/>
        <v>0</v>
      </c>
      <c r="G342" s="8">
        <f t="shared" si="13"/>
        <v>0</v>
      </c>
    </row>
    <row r="343" spans="6:7" x14ac:dyDescent="0.25">
      <c r="F343" s="23">
        <f t="shared" si="12"/>
        <v>0</v>
      </c>
      <c r="G343" s="8">
        <f t="shared" si="13"/>
        <v>0</v>
      </c>
    </row>
    <row r="344" spans="6:7" x14ac:dyDescent="0.25">
      <c r="F344" s="23">
        <f t="shared" si="12"/>
        <v>0</v>
      </c>
      <c r="G344" s="8">
        <f t="shared" si="13"/>
        <v>0</v>
      </c>
    </row>
    <row r="345" spans="6:7" x14ac:dyDescent="0.25">
      <c r="F345" s="23">
        <f t="shared" si="12"/>
        <v>0</v>
      </c>
      <c r="G345" s="8">
        <f t="shared" si="13"/>
        <v>0</v>
      </c>
    </row>
    <row r="346" spans="6:7" x14ac:dyDescent="0.25">
      <c r="F346" s="23">
        <f t="shared" ref="F346:F409" si="14">B346</f>
        <v>0</v>
      </c>
      <c r="G346" s="8">
        <f t="shared" ref="G346:G409" si="15">A346</f>
        <v>0</v>
      </c>
    </row>
    <row r="347" spans="6:7" x14ac:dyDescent="0.25">
      <c r="F347" s="23">
        <f t="shared" si="14"/>
        <v>0</v>
      </c>
      <c r="G347" s="8">
        <f t="shared" si="15"/>
        <v>0</v>
      </c>
    </row>
    <row r="348" spans="6:7" x14ac:dyDescent="0.25">
      <c r="F348" s="23">
        <f t="shared" si="14"/>
        <v>0</v>
      </c>
      <c r="G348" s="8">
        <f t="shared" si="15"/>
        <v>0</v>
      </c>
    </row>
    <row r="349" spans="6:7" x14ac:dyDescent="0.25">
      <c r="F349" s="23">
        <f t="shared" si="14"/>
        <v>0</v>
      </c>
      <c r="G349" s="8">
        <f t="shared" si="15"/>
        <v>0</v>
      </c>
    </row>
    <row r="350" spans="6:7" x14ac:dyDescent="0.25">
      <c r="F350" s="23">
        <f t="shared" si="14"/>
        <v>0</v>
      </c>
      <c r="G350" s="8">
        <f t="shared" si="15"/>
        <v>0</v>
      </c>
    </row>
    <row r="351" spans="6:7" x14ac:dyDescent="0.25">
      <c r="F351" s="23">
        <f t="shared" si="14"/>
        <v>0</v>
      </c>
      <c r="G351" s="8">
        <f t="shared" si="15"/>
        <v>0</v>
      </c>
    </row>
    <row r="352" spans="6:7" x14ac:dyDescent="0.25">
      <c r="F352" s="23">
        <f t="shared" si="14"/>
        <v>0</v>
      </c>
      <c r="G352" s="8">
        <f t="shared" si="15"/>
        <v>0</v>
      </c>
    </row>
    <row r="353" spans="6:7" x14ac:dyDescent="0.25">
      <c r="F353" s="23">
        <f t="shared" si="14"/>
        <v>0</v>
      </c>
      <c r="G353" s="8">
        <f t="shared" si="15"/>
        <v>0</v>
      </c>
    </row>
    <row r="354" spans="6:7" x14ac:dyDescent="0.25">
      <c r="F354" s="23">
        <f t="shared" si="14"/>
        <v>0</v>
      </c>
      <c r="G354" s="8">
        <f t="shared" si="15"/>
        <v>0</v>
      </c>
    </row>
    <row r="355" spans="6:7" x14ac:dyDescent="0.25">
      <c r="F355" s="23">
        <f t="shared" si="14"/>
        <v>0</v>
      </c>
      <c r="G355" s="8">
        <f t="shared" si="15"/>
        <v>0</v>
      </c>
    </row>
    <row r="356" spans="6:7" x14ac:dyDescent="0.25">
      <c r="F356" s="23">
        <f t="shared" si="14"/>
        <v>0</v>
      </c>
      <c r="G356" s="8">
        <f t="shared" si="15"/>
        <v>0</v>
      </c>
    </row>
    <row r="357" spans="6:7" x14ac:dyDescent="0.25">
      <c r="F357" s="23">
        <f t="shared" si="14"/>
        <v>0</v>
      </c>
      <c r="G357" s="8">
        <f t="shared" si="15"/>
        <v>0</v>
      </c>
    </row>
    <row r="358" spans="6:7" x14ac:dyDescent="0.25">
      <c r="F358" s="23">
        <f t="shared" si="14"/>
        <v>0</v>
      </c>
      <c r="G358" s="8">
        <f t="shared" si="15"/>
        <v>0</v>
      </c>
    </row>
    <row r="359" spans="6:7" x14ac:dyDescent="0.25">
      <c r="F359" s="23">
        <f t="shared" si="14"/>
        <v>0</v>
      </c>
      <c r="G359" s="8">
        <f t="shared" si="15"/>
        <v>0</v>
      </c>
    </row>
    <row r="360" spans="6:7" x14ac:dyDescent="0.25">
      <c r="F360" s="23">
        <f t="shared" si="14"/>
        <v>0</v>
      </c>
      <c r="G360" s="8">
        <f t="shared" si="15"/>
        <v>0</v>
      </c>
    </row>
    <row r="361" spans="6:7" x14ac:dyDescent="0.25">
      <c r="F361" s="23">
        <f t="shared" si="14"/>
        <v>0</v>
      </c>
      <c r="G361" s="8">
        <f t="shared" si="15"/>
        <v>0</v>
      </c>
    </row>
    <row r="362" spans="6:7" x14ac:dyDescent="0.25">
      <c r="F362" s="23">
        <f t="shared" si="14"/>
        <v>0</v>
      </c>
      <c r="G362" s="8">
        <f t="shared" si="15"/>
        <v>0</v>
      </c>
    </row>
    <row r="363" spans="6:7" x14ac:dyDescent="0.25">
      <c r="F363" s="23">
        <f t="shared" si="14"/>
        <v>0</v>
      </c>
      <c r="G363" s="8">
        <f t="shared" si="15"/>
        <v>0</v>
      </c>
    </row>
    <row r="364" spans="6:7" x14ac:dyDescent="0.25">
      <c r="F364" s="23">
        <f t="shared" si="14"/>
        <v>0</v>
      </c>
      <c r="G364" s="8">
        <f t="shared" si="15"/>
        <v>0</v>
      </c>
    </row>
    <row r="365" spans="6:7" x14ac:dyDescent="0.25">
      <c r="F365" s="23">
        <f t="shared" si="14"/>
        <v>0</v>
      </c>
      <c r="G365" s="8">
        <f t="shared" si="15"/>
        <v>0</v>
      </c>
    </row>
    <row r="366" spans="6:7" x14ac:dyDescent="0.25">
      <c r="F366" s="23">
        <f t="shared" si="14"/>
        <v>0</v>
      </c>
      <c r="G366" s="8">
        <f t="shared" si="15"/>
        <v>0</v>
      </c>
    </row>
    <row r="367" spans="6:7" x14ac:dyDescent="0.25">
      <c r="F367" s="23">
        <f t="shared" si="14"/>
        <v>0</v>
      </c>
      <c r="G367" s="8">
        <f t="shared" si="15"/>
        <v>0</v>
      </c>
    </row>
    <row r="368" spans="6:7" x14ac:dyDescent="0.25">
      <c r="F368" s="23">
        <f t="shared" si="14"/>
        <v>0</v>
      </c>
      <c r="G368" s="8">
        <f t="shared" si="15"/>
        <v>0</v>
      </c>
    </row>
    <row r="369" spans="6:7" x14ac:dyDescent="0.25">
      <c r="F369" s="23">
        <f t="shared" si="14"/>
        <v>0</v>
      </c>
      <c r="G369" s="8">
        <f t="shared" si="15"/>
        <v>0</v>
      </c>
    </row>
    <row r="370" spans="6:7" x14ac:dyDescent="0.25">
      <c r="F370" s="23">
        <f t="shared" si="14"/>
        <v>0</v>
      </c>
      <c r="G370" s="8">
        <f t="shared" si="15"/>
        <v>0</v>
      </c>
    </row>
    <row r="371" spans="6:7" x14ac:dyDescent="0.25">
      <c r="F371" s="23">
        <f t="shared" si="14"/>
        <v>0</v>
      </c>
      <c r="G371" s="8">
        <f t="shared" si="15"/>
        <v>0</v>
      </c>
    </row>
    <row r="372" spans="6:7" x14ac:dyDescent="0.25">
      <c r="F372" s="23">
        <f t="shared" si="14"/>
        <v>0</v>
      </c>
      <c r="G372" s="8">
        <f t="shared" si="15"/>
        <v>0</v>
      </c>
    </row>
    <row r="373" spans="6:7" x14ac:dyDescent="0.25">
      <c r="F373" s="23">
        <f t="shared" si="14"/>
        <v>0</v>
      </c>
      <c r="G373" s="8">
        <f t="shared" si="15"/>
        <v>0</v>
      </c>
    </row>
    <row r="374" spans="6:7" x14ac:dyDescent="0.25">
      <c r="F374" s="23">
        <f t="shared" si="14"/>
        <v>0</v>
      </c>
      <c r="G374" s="8">
        <f t="shared" si="15"/>
        <v>0</v>
      </c>
    </row>
    <row r="375" spans="6:7" x14ac:dyDescent="0.25">
      <c r="F375" s="23">
        <f t="shared" si="14"/>
        <v>0</v>
      </c>
      <c r="G375" s="8">
        <f t="shared" si="15"/>
        <v>0</v>
      </c>
    </row>
    <row r="376" spans="6:7" x14ac:dyDescent="0.25">
      <c r="F376" s="23">
        <f t="shared" si="14"/>
        <v>0</v>
      </c>
      <c r="G376" s="8">
        <f t="shared" si="15"/>
        <v>0</v>
      </c>
    </row>
    <row r="377" spans="6:7" x14ac:dyDescent="0.25">
      <c r="F377" s="23">
        <f t="shared" si="14"/>
        <v>0</v>
      </c>
      <c r="G377" s="8">
        <f t="shared" si="15"/>
        <v>0</v>
      </c>
    </row>
    <row r="378" spans="6:7" x14ac:dyDescent="0.25">
      <c r="F378" s="23">
        <f t="shared" si="14"/>
        <v>0</v>
      </c>
      <c r="G378" s="8">
        <f t="shared" si="15"/>
        <v>0</v>
      </c>
    </row>
    <row r="379" spans="6:7" x14ac:dyDescent="0.25">
      <c r="F379" s="23">
        <f t="shared" si="14"/>
        <v>0</v>
      </c>
      <c r="G379" s="8">
        <f t="shared" si="15"/>
        <v>0</v>
      </c>
    </row>
    <row r="380" spans="6:7" x14ac:dyDescent="0.25">
      <c r="F380" s="23">
        <f t="shared" si="14"/>
        <v>0</v>
      </c>
      <c r="G380" s="8">
        <f t="shared" si="15"/>
        <v>0</v>
      </c>
    </row>
    <row r="381" spans="6:7" x14ac:dyDescent="0.25">
      <c r="F381" s="23">
        <f t="shared" si="14"/>
        <v>0</v>
      </c>
      <c r="G381" s="8">
        <f t="shared" si="15"/>
        <v>0</v>
      </c>
    </row>
    <row r="382" spans="6:7" x14ac:dyDescent="0.25">
      <c r="F382" s="23">
        <f t="shared" si="14"/>
        <v>0</v>
      </c>
      <c r="G382" s="8">
        <f t="shared" si="15"/>
        <v>0</v>
      </c>
    </row>
    <row r="383" spans="6:7" x14ac:dyDescent="0.25">
      <c r="F383" s="23">
        <f t="shared" si="14"/>
        <v>0</v>
      </c>
      <c r="G383" s="8">
        <f t="shared" si="15"/>
        <v>0</v>
      </c>
    </row>
    <row r="384" spans="6:7" x14ac:dyDescent="0.25">
      <c r="F384" s="23">
        <f t="shared" si="14"/>
        <v>0</v>
      </c>
      <c r="G384" s="8">
        <f t="shared" si="15"/>
        <v>0</v>
      </c>
    </row>
    <row r="385" spans="6:7" x14ac:dyDescent="0.25">
      <c r="F385" s="23">
        <f t="shared" si="14"/>
        <v>0</v>
      </c>
      <c r="G385" s="8">
        <f t="shared" si="15"/>
        <v>0</v>
      </c>
    </row>
    <row r="386" spans="6:7" x14ac:dyDescent="0.25">
      <c r="F386" s="23">
        <f t="shared" si="14"/>
        <v>0</v>
      </c>
      <c r="G386" s="8">
        <f t="shared" si="15"/>
        <v>0</v>
      </c>
    </row>
    <row r="387" spans="6:7" x14ac:dyDescent="0.25">
      <c r="F387" s="23">
        <f t="shared" si="14"/>
        <v>0</v>
      </c>
      <c r="G387" s="8">
        <f t="shared" si="15"/>
        <v>0</v>
      </c>
    </row>
    <row r="388" spans="6:7" x14ac:dyDescent="0.25">
      <c r="F388" s="23">
        <f t="shared" si="14"/>
        <v>0</v>
      </c>
      <c r="G388" s="8">
        <f t="shared" si="15"/>
        <v>0</v>
      </c>
    </row>
    <row r="389" spans="6:7" x14ac:dyDescent="0.25">
      <c r="F389" s="23">
        <f t="shared" si="14"/>
        <v>0</v>
      </c>
      <c r="G389" s="8">
        <f t="shared" si="15"/>
        <v>0</v>
      </c>
    </row>
    <row r="390" spans="6:7" x14ac:dyDescent="0.25">
      <c r="F390" s="23">
        <f t="shared" si="14"/>
        <v>0</v>
      </c>
      <c r="G390" s="8">
        <f t="shared" si="15"/>
        <v>0</v>
      </c>
    </row>
    <row r="391" spans="6:7" x14ac:dyDescent="0.25">
      <c r="F391" s="23">
        <f t="shared" si="14"/>
        <v>0</v>
      </c>
      <c r="G391" s="8">
        <f t="shared" si="15"/>
        <v>0</v>
      </c>
    </row>
    <row r="392" spans="6:7" x14ac:dyDescent="0.25">
      <c r="F392" s="23">
        <f t="shared" si="14"/>
        <v>0</v>
      </c>
      <c r="G392" s="8">
        <f t="shared" si="15"/>
        <v>0</v>
      </c>
    </row>
    <row r="393" spans="6:7" x14ac:dyDescent="0.25">
      <c r="F393" s="23">
        <f t="shared" si="14"/>
        <v>0</v>
      </c>
      <c r="G393" s="8">
        <f t="shared" si="15"/>
        <v>0</v>
      </c>
    </row>
    <row r="394" spans="6:7" x14ac:dyDescent="0.25">
      <c r="F394" s="23">
        <f t="shared" si="14"/>
        <v>0</v>
      </c>
      <c r="G394" s="8">
        <f t="shared" si="15"/>
        <v>0</v>
      </c>
    </row>
    <row r="395" spans="6:7" x14ac:dyDescent="0.25">
      <c r="F395" s="23">
        <f t="shared" si="14"/>
        <v>0</v>
      </c>
      <c r="G395" s="8">
        <f t="shared" si="15"/>
        <v>0</v>
      </c>
    </row>
    <row r="396" spans="6:7" x14ac:dyDescent="0.25">
      <c r="F396" s="23">
        <f t="shared" si="14"/>
        <v>0</v>
      </c>
      <c r="G396" s="8">
        <f t="shared" si="15"/>
        <v>0</v>
      </c>
    </row>
    <row r="397" spans="6:7" x14ac:dyDescent="0.25">
      <c r="F397" s="23">
        <f t="shared" si="14"/>
        <v>0</v>
      </c>
      <c r="G397" s="8">
        <f t="shared" si="15"/>
        <v>0</v>
      </c>
    </row>
    <row r="398" spans="6:7" x14ac:dyDescent="0.25">
      <c r="F398" s="23">
        <f t="shared" si="14"/>
        <v>0</v>
      </c>
      <c r="G398" s="8">
        <f t="shared" si="15"/>
        <v>0</v>
      </c>
    </row>
    <row r="399" spans="6:7" x14ac:dyDescent="0.25">
      <c r="F399" s="23">
        <f t="shared" si="14"/>
        <v>0</v>
      </c>
      <c r="G399" s="8">
        <f t="shared" si="15"/>
        <v>0</v>
      </c>
    </row>
    <row r="400" spans="6:7" x14ac:dyDescent="0.25">
      <c r="F400" s="23">
        <f t="shared" si="14"/>
        <v>0</v>
      </c>
      <c r="G400" s="8">
        <f t="shared" si="15"/>
        <v>0</v>
      </c>
    </row>
    <row r="401" spans="6:7" x14ac:dyDescent="0.25">
      <c r="F401" s="23">
        <f t="shared" si="14"/>
        <v>0</v>
      </c>
      <c r="G401" s="8">
        <f t="shared" si="15"/>
        <v>0</v>
      </c>
    </row>
    <row r="402" spans="6:7" x14ac:dyDescent="0.25">
      <c r="F402" s="23">
        <f t="shared" si="14"/>
        <v>0</v>
      </c>
      <c r="G402" s="8">
        <f t="shared" si="15"/>
        <v>0</v>
      </c>
    </row>
    <row r="403" spans="6:7" x14ac:dyDescent="0.25">
      <c r="F403" s="23">
        <f t="shared" si="14"/>
        <v>0</v>
      </c>
      <c r="G403" s="8">
        <f t="shared" si="15"/>
        <v>0</v>
      </c>
    </row>
    <row r="404" spans="6:7" x14ac:dyDescent="0.25">
      <c r="F404" s="23">
        <f t="shared" si="14"/>
        <v>0</v>
      </c>
      <c r="G404" s="8">
        <f t="shared" si="15"/>
        <v>0</v>
      </c>
    </row>
    <row r="405" spans="6:7" x14ac:dyDescent="0.25">
      <c r="F405" s="23">
        <f t="shared" si="14"/>
        <v>0</v>
      </c>
      <c r="G405" s="8">
        <f t="shared" si="15"/>
        <v>0</v>
      </c>
    </row>
    <row r="406" spans="6:7" x14ac:dyDescent="0.25">
      <c r="F406" s="23">
        <f t="shared" si="14"/>
        <v>0</v>
      </c>
      <c r="G406" s="8">
        <f t="shared" si="15"/>
        <v>0</v>
      </c>
    </row>
    <row r="407" spans="6:7" x14ac:dyDescent="0.25">
      <c r="F407" s="23">
        <f t="shared" si="14"/>
        <v>0</v>
      </c>
      <c r="G407" s="8">
        <f t="shared" si="15"/>
        <v>0</v>
      </c>
    </row>
    <row r="408" spans="6:7" x14ac:dyDescent="0.25">
      <c r="F408" s="23">
        <f t="shared" si="14"/>
        <v>0</v>
      </c>
      <c r="G408" s="8">
        <f t="shared" si="15"/>
        <v>0</v>
      </c>
    </row>
    <row r="409" spans="6:7" x14ac:dyDescent="0.25">
      <c r="F409" s="23">
        <f t="shared" si="14"/>
        <v>0</v>
      </c>
      <c r="G409" s="8">
        <f t="shared" si="15"/>
        <v>0</v>
      </c>
    </row>
    <row r="410" spans="6:7" x14ac:dyDescent="0.25">
      <c r="F410" s="23">
        <f t="shared" ref="F410:F473" si="16">B410</f>
        <v>0</v>
      </c>
      <c r="G410" s="8">
        <f t="shared" ref="G410:G473" si="17">A410</f>
        <v>0</v>
      </c>
    </row>
    <row r="411" spans="6:7" x14ac:dyDescent="0.25">
      <c r="F411" s="23">
        <f t="shared" si="16"/>
        <v>0</v>
      </c>
      <c r="G411" s="8">
        <f t="shared" si="17"/>
        <v>0</v>
      </c>
    </row>
    <row r="412" spans="6:7" x14ac:dyDescent="0.25">
      <c r="F412" s="23">
        <f t="shared" si="16"/>
        <v>0</v>
      </c>
      <c r="G412" s="8">
        <f t="shared" si="17"/>
        <v>0</v>
      </c>
    </row>
    <row r="413" spans="6:7" x14ac:dyDescent="0.25">
      <c r="F413" s="23">
        <f t="shared" si="16"/>
        <v>0</v>
      </c>
      <c r="G413" s="8">
        <f t="shared" si="17"/>
        <v>0</v>
      </c>
    </row>
    <row r="414" spans="6:7" x14ac:dyDescent="0.25">
      <c r="F414" s="23">
        <f t="shared" si="16"/>
        <v>0</v>
      </c>
      <c r="G414" s="8">
        <f t="shared" si="17"/>
        <v>0</v>
      </c>
    </row>
    <row r="415" spans="6:7" x14ac:dyDescent="0.25">
      <c r="F415" s="23">
        <f t="shared" si="16"/>
        <v>0</v>
      </c>
      <c r="G415" s="8">
        <f t="shared" si="17"/>
        <v>0</v>
      </c>
    </row>
    <row r="416" spans="6:7" x14ac:dyDescent="0.25">
      <c r="F416" s="23">
        <f t="shared" si="16"/>
        <v>0</v>
      </c>
      <c r="G416" s="8">
        <f t="shared" si="17"/>
        <v>0</v>
      </c>
    </row>
    <row r="417" spans="6:7" x14ac:dyDescent="0.25">
      <c r="F417" s="23">
        <f t="shared" si="16"/>
        <v>0</v>
      </c>
      <c r="G417" s="8">
        <f t="shared" si="17"/>
        <v>0</v>
      </c>
    </row>
    <row r="418" spans="6:7" x14ac:dyDescent="0.25">
      <c r="F418" s="23">
        <f t="shared" si="16"/>
        <v>0</v>
      </c>
      <c r="G418" s="8">
        <f t="shared" si="17"/>
        <v>0</v>
      </c>
    </row>
    <row r="419" spans="6:7" x14ac:dyDescent="0.25">
      <c r="F419" s="23">
        <f t="shared" si="16"/>
        <v>0</v>
      </c>
      <c r="G419" s="8">
        <f t="shared" si="17"/>
        <v>0</v>
      </c>
    </row>
    <row r="420" spans="6:7" x14ac:dyDescent="0.25">
      <c r="F420" s="23">
        <f t="shared" si="16"/>
        <v>0</v>
      </c>
      <c r="G420" s="8">
        <f t="shared" si="17"/>
        <v>0</v>
      </c>
    </row>
    <row r="421" spans="6:7" x14ac:dyDescent="0.25">
      <c r="F421" s="23">
        <f t="shared" si="16"/>
        <v>0</v>
      </c>
      <c r="G421" s="8">
        <f t="shared" si="17"/>
        <v>0</v>
      </c>
    </row>
    <row r="422" spans="6:7" x14ac:dyDescent="0.25">
      <c r="F422" s="23">
        <f t="shared" si="16"/>
        <v>0</v>
      </c>
      <c r="G422" s="8">
        <f t="shared" si="17"/>
        <v>0</v>
      </c>
    </row>
    <row r="423" spans="6:7" x14ac:dyDescent="0.25">
      <c r="F423" s="23">
        <f t="shared" si="16"/>
        <v>0</v>
      </c>
      <c r="G423" s="8">
        <f t="shared" si="17"/>
        <v>0</v>
      </c>
    </row>
    <row r="424" spans="6:7" x14ac:dyDescent="0.25">
      <c r="F424" s="23">
        <f t="shared" si="16"/>
        <v>0</v>
      </c>
      <c r="G424" s="8">
        <f t="shared" si="17"/>
        <v>0</v>
      </c>
    </row>
    <row r="425" spans="6:7" x14ac:dyDescent="0.25">
      <c r="F425" s="23">
        <f t="shared" si="16"/>
        <v>0</v>
      </c>
      <c r="G425" s="8">
        <f t="shared" si="17"/>
        <v>0</v>
      </c>
    </row>
    <row r="426" spans="6:7" x14ac:dyDescent="0.25">
      <c r="F426" s="23">
        <f t="shared" si="16"/>
        <v>0</v>
      </c>
      <c r="G426" s="8">
        <f t="shared" si="17"/>
        <v>0</v>
      </c>
    </row>
    <row r="427" spans="6:7" x14ac:dyDescent="0.25">
      <c r="F427" s="23">
        <f t="shared" si="16"/>
        <v>0</v>
      </c>
      <c r="G427" s="8">
        <f t="shared" si="17"/>
        <v>0</v>
      </c>
    </row>
    <row r="428" spans="6:7" x14ac:dyDescent="0.25">
      <c r="F428" s="23">
        <f t="shared" si="16"/>
        <v>0</v>
      </c>
      <c r="G428" s="8">
        <f t="shared" si="17"/>
        <v>0</v>
      </c>
    </row>
    <row r="429" spans="6:7" x14ac:dyDescent="0.25">
      <c r="F429" s="23">
        <f t="shared" si="16"/>
        <v>0</v>
      </c>
      <c r="G429" s="8">
        <f t="shared" si="17"/>
        <v>0</v>
      </c>
    </row>
    <row r="430" spans="6:7" x14ac:dyDescent="0.25">
      <c r="F430" s="23">
        <f t="shared" si="16"/>
        <v>0</v>
      </c>
      <c r="G430" s="8">
        <f t="shared" si="17"/>
        <v>0</v>
      </c>
    </row>
    <row r="431" spans="6:7" x14ac:dyDescent="0.25">
      <c r="F431" s="23">
        <f t="shared" si="16"/>
        <v>0</v>
      </c>
      <c r="G431" s="8">
        <f t="shared" si="17"/>
        <v>0</v>
      </c>
    </row>
    <row r="432" spans="6:7" x14ac:dyDescent="0.25">
      <c r="F432" s="23">
        <f t="shared" si="16"/>
        <v>0</v>
      </c>
      <c r="G432" s="8">
        <f t="shared" si="17"/>
        <v>0</v>
      </c>
    </row>
    <row r="433" spans="6:7" x14ac:dyDescent="0.25">
      <c r="F433" s="23">
        <f t="shared" si="16"/>
        <v>0</v>
      </c>
      <c r="G433" s="8">
        <f t="shared" si="17"/>
        <v>0</v>
      </c>
    </row>
    <row r="434" spans="6:7" x14ac:dyDescent="0.25">
      <c r="F434" s="23">
        <f t="shared" si="16"/>
        <v>0</v>
      </c>
      <c r="G434" s="8">
        <f t="shared" si="17"/>
        <v>0</v>
      </c>
    </row>
    <row r="435" spans="6:7" x14ac:dyDescent="0.25">
      <c r="F435" s="23">
        <f t="shared" si="16"/>
        <v>0</v>
      </c>
      <c r="G435" s="8">
        <f t="shared" si="17"/>
        <v>0</v>
      </c>
    </row>
    <row r="436" spans="6:7" x14ac:dyDescent="0.25">
      <c r="F436" s="23">
        <f t="shared" si="16"/>
        <v>0</v>
      </c>
      <c r="G436" s="8">
        <f t="shared" si="17"/>
        <v>0</v>
      </c>
    </row>
    <row r="437" spans="6:7" x14ac:dyDescent="0.25">
      <c r="F437" s="23">
        <f t="shared" si="16"/>
        <v>0</v>
      </c>
      <c r="G437" s="8">
        <f t="shared" si="17"/>
        <v>0</v>
      </c>
    </row>
    <row r="438" spans="6:7" x14ac:dyDescent="0.25">
      <c r="F438" s="23">
        <f t="shared" si="16"/>
        <v>0</v>
      </c>
      <c r="G438" s="8">
        <f t="shared" si="17"/>
        <v>0</v>
      </c>
    </row>
    <row r="439" spans="6:7" x14ac:dyDescent="0.25">
      <c r="F439" s="23">
        <f t="shared" si="16"/>
        <v>0</v>
      </c>
      <c r="G439" s="8">
        <f t="shared" si="17"/>
        <v>0</v>
      </c>
    </row>
    <row r="440" spans="6:7" x14ac:dyDescent="0.25">
      <c r="F440" s="23">
        <f t="shared" si="16"/>
        <v>0</v>
      </c>
      <c r="G440" s="8">
        <f t="shared" si="17"/>
        <v>0</v>
      </c>
    </row>
    <row r="441" spans="6:7" x14ac:dyDescent="0.25">
      <c r="F441" s="23">
        <f t="shared" si="16"/>
        <v>0</v>
      </c>
      <c r="G441" s="8">
        <f t="shared" si="17"/>
        <v>0</v>
      </c>
    </row>
    <row r="442" spans="6:7" x14ac:dyDescent="0.25">
      <c r="F442" s="23">
        <f t="shared" si="16"/>
        <v>0</v>
      </c>
      <c r="G442" s="8">
        <f t="shared" si="17"/>
        <v>0</v>
      </c>
    </row>
    <row r="443" spans="6:7" x14ac:dyDescent="0.25">
      <c r="F443" s="23">
        <f t="shared" si="16"/>
        <v>0</v>
      </c>
      <c r="G443" s="8">
        <f t="shared" si="17"/>
        <v>0</v>
      </c>
    </row>
    <row r="444" spans="6:7" x14ac:dyDescent="0.25">
      <c r="F444" s="23">
        <f t="shared" si="16"/>
        <v>0</v>
      </c>
      <c r="G444" s="8">
        <f t="shared" si="17"/>
        <v>0</v>
      </c>
    </row>
    <row r="445" spans="6:7" x14ac:dyDescent="0.25">
      <c r="F445" s="23">
        <f t="shared" si="16"/>
        <v>0</v>
      </c>
      <c r="G445" s="8">
        <f t="shared" si="17"/>
        <v>0</v>
      </c>
    </row>
    <row r="446" spans="6:7" x14ac:dyDescent="0.25">
      <c r="F446" s="23">
        <f t="shared" si="16"/>
        <v>0</v>
      </c>
      <c r="G446" s="8">
        <f t="shared" si="17"/>
        <v>0</v>
      </c>
    </row>
    <row r="447" spans="6:7" x14ac:dyDescent="0.25">
      <c r="F447" s="23">
        <f t="shared" si="16"/>
        <v>0</v>
      </c>
      <c r="G447" s="8">
        <f t="shared" si="17"/>
        <v>0</v>
      </c>
    </row>
    <row r="448" spans="6:7" x14ac:dyDescent="0.25">
      <c r="F448" s="23">
        <f t="shared" si="16"/>
        <v>0</v>
      </c>
      <c r="G448" s="8">
        <f t="shared" si="17"/>
        <v>0</v>
      </c>
    </row>
    <row r="449" spans="6:7" x14ac:dyDescent="0.25">
      <c r="F449" s="23">
        <f t="shared" si="16"/>
        <v>0</v>
      </c>
      <c r="G449" s="8">
        <f t="shared" si="17"/>
        <v>0</v>
      </c>
    </row>
    <row r="450" spans="6:7" x14ac:dyDescent="0.25">
      <c r="F450" s="23">
        <f t="shared" si="16"/>
        <v>0</v>
      </c>
      <c r="G450" s="8">
        <f t="shared" si="17"/>
        <v>0</v>
      </c>
    </row>
    <row r="451" spans="6:7" x14ac:dyDescent="0.25">
      <c r="F451" s="23">
        <f t="shared" si="16"/>
        <v>0</v>
      </c>
      <c r="G451" s="8">
        <f t="shared" si="17"/>
        <v>0</v>
      </c>
    </row>
    <row r="452" spans="6:7" x14ac:dyDescent="0.25">
      <c r="F452" s="23">
        <f t="shared" si="16"/>
        <v>0</v>
      </c>
      <c r="G452" s="8">
        <f t="shared" si="17"/>
        <v>0</v>
      </c>
    </row>
    <row r="453" spans="6:7" x14ac:dyDescent="0.25">
      <c r="F453" s="23">
        <f t="shared" si="16"/>
        <v>0</v>
      </c>
      <c r="G453" s="8">
        <f t="shared" si="17"/>
        <v>0</v>
      </c>
    </row>
    <row r="454" spans="6:7" x14ac:dyDescent="0.25">
      <c r="F454" s="23">
        <f t="shared" si="16"/>
        <v>0</v>
      </c>
      <c r="G454" s="8">
        <f t="shared" si="17"/>
        <v>0</v>
      </c>
    </row>
    <row r="455" spans="6:7" x14ac:dyDescent="0.25">
      <c r="F455" s="23">
        <f t="shared" si="16"/>
        <v>0</v>
      </c>
      <c r="G455" s="8">
        <f t="shared" si="17"/>
        <v>0</v>
      </c>
    </row>
    <row r="456" spans="6:7" x14ac:dyDescent="0.25">
      <c r="F456" s="23">
        <f t="shared" si="16"/>
        <v>0</v>
      </c>
      <c r="G456" s="8">
        <f t="shared" si="17"/>
        <v>0</v>
      </c>
    </row>
    <row r="457" spans="6:7" x14ac:dyDescent="0.25">
      <c r="F457" s="23">
        <f t="shared" si="16"/>
        <v>0</v>
      </c>
      <c r="G457" s="8">
        <f t="shared" si="17"/>
        <v>0</v>
      </c>
    </row>
    <row r="458" spans="6:7" x14ac:dyDescent="0.25">
      <c r="F458" s="23">
        <f t="shared" si="16"/>
        <v>0</v>
      </c>
      <c r="G458" s="8">
        <f t="shared" si="17"/>
        <v>0</v>
      </c>
    </row>
    <row r="459" spans="6:7" x14ac:dyDescent="0.25">
      <c r="F459" s="23">
        <f t="shared" si="16"/>
        <v>0</v>
      </c>
      <c r="G459" s="8">
        <f t="shared" si="17"/>
        <v>0</v>
      </c>
    </row>
    <row r="460" spans="6:7" x14ac:dyDescent="0.25">
      <c r="F460" s="23">
        <f t="shared" si="16"/>
        <v>0</v>
      </c>
      <c r="G460" s="8">
        <f t="shared" si="17"/>
        <v>0</v>
      </c>
    </row>
    <row r="461" spans="6:7" x14ac:dyDescent="0.25">
      <c r="F461" s="23">
        <f t="shared" si="16"/>
        <v>0</v>
      </c>
      <c r="G461" s="8">
        <f t="shared" si="17"/>
        <v>0</v>
      </c>
    </row>
    <row r="462" spans="6:7" x14ac:dyDescent="0.25">
      <c r="F462" s="23">
        <f t="shared" si="16"/>
        <v>0</v>
      </c>
      <c r="G462" s="8">
        <f t="shared" si="17"/>
        <v>0</v>
      </c>
    </row>
    <row r="463" spans="6:7" x14ac:dyDescent="0.25">
      <c r="F463" s="23">
        <f t="shared" si="16"/>
        <v>0</v>
      </c>
      <c r="G463" s="8">
        <f t="shared" si="17"/>
        <v>0</v>
      </c>
    </row>
    <row r="464" spans="6:7" x14ac:dyDescent="0.25">
      <c r="F464" s="23">
        <f t="shared" si="16"/>
        <v>0</v>
      </c>
      <c r="G464" s="8">
        <f t="shared" si="17"/>
        <v>0</v>
      </c>
    </row>
    <row r="465" spans="6:7" x14ac:dyDescent="0.25">
      <c r="F465" s="23">
        <f t="shared" si="16"/>
        <v>0</v>
      </c>
      <c r="G465" s="8">
        <f t="shared" si="17"/>
        <v>0</v>
      </c>
    </row>
    <row r="466" spans="6:7" x14ac:dyDescent="0.25">
      <c r="F466" s="23">
        <f t="shared" si="16"/>
        <v>0</v>
      </c>
      <c r="G466" s="8">
        <f t="shared" si="17"/>
        <v>0</v>
      </c>
    </row>
    <row r="467" spans="6:7" x14ac:dyDescent="0.25">
      <c r="F467" s="23">
        <f t="shared" si="16"/>
        <v>0</v>
      </c>
      <c r="G467" s="8">
        <f t="shared" si="17"/>
        <v>0</v>
      </c>
    </row>
    <row r="468" spans="6:7" x14ac:dyDescent="0.25">
      <c r="F468" s="23">
        <f t="shared" si="16"/>
        <v>0</v>
      </c>
      <c r="G468" s="8">
        <f t="shared" si="17"/>
        <v>0</v>
      </c>
    </row>
    <row r="469" spans="6:7" x14ac:dyDescent="0.25">
      <c r="F469" s="23">
        <f t="shared" si="16"/>
        <v>0</v>
      </c>
      <c r="G469" s="8">
        <f t="shared" si="17"/>
        <v>0</v>
      </c>
    </row>
    <row r="470" spans="6:7" x14ac:dyDescent="0.25">
      <c r="F470" s="23">
        <f t="shared" si="16"/>
        <v>0</v>
      </c>
      <c r="G470" s="8">
        <f t="shared" si="17"/>
        <v>0</v>
      </c>
    </row>
    <row r="471" spans="6:7" x14ac:dyDescent="0.25">
      <c r="F471" s="23">
        <f t="shared" si="16"/>
        <v>0</v>
      </c>
      <c r="G471" s="8">
        <f t="shared" si="17"/>
        <v>0</v>
      </c>
    </row>
    <row r="472" spans="6:7" x14ac:dyDescent="0.25">
      <c r="F472" s="23">
        <f t="shared" si="16"/>
        <v>0</v>
      </c>
      <c r="G472" s="8">
        <f t="shared" si="17"/>
        <v>0</v>
      </c>
    </row>
    <row r="473" spans="6:7" x14ac:dyDescent="0.25">
      <c r="F473" s="23">
        <f t="shared" si="16"/>
        <v>0</v>
      </c>
      <c r="G473" s="8">
        <f t="shared" si="17"/>
        <v>0</v>
      </c>
    </row>
    <row r="474" spans="6:7" x14ac:dyDescent="0.25">
      <c r="F474" s="23">
        <f t="shared" ref="F474:F537" si="18">B474</f>
        <v>0</v>
      </c>
      <c r="G474" s="8">
        <f t="shared" ref="G474:G537" si="19">A474</f>
        <v>0</v>
      </c>
    </row>
    <row r="475" spans="6:7" x14ac:dyDescent="0.25">
      <c r="F475" s="23">
        <f t="shared" si="18"/>
        <v>0</v>
      </c>
      <c r="G475" s="8">
        <f t="shared" si="19"/>
        <v>0</v>
      </c>
    </row>
    <row r="476" spans="6:7" x14ac:dyDescent="0.25">
      <c r="F476" s="23">
        <f t="shared" si="18"/>
        <v>0</v>
      </c>
      <c r="G476" s="8">
        <f t="shared" si="19"/>
        <v>0</v>
      </c>
    </row>
    <row r="477" spans="6:7" x14ac:dyDescent="0.25">
      <c r="F477" s="23">
        <f t="shared" si="18"/>
        <v>0</v>
      </c>
      <c r="G477" s="8">
        <f t="shared" si="19"/>
        <v>0</v>
      </c>
    </row>
    <row r="478" spans="6:7" x14ac:dyDescent="0.25">
      <c r="F478" s="23">
        <f t="shared" si="18"/>
        <v>0</v>
      </c>
      <c r="G478" s="8">
        <f t="shared" si="19"/>
        <v>0</v>
      </c>
    </row>
    <row r="479" spans="6:7" x14ac:dyDescent="0.25">
      <c r="F479" s="23">
        <f t="shared" si="18"/>
        <v>0</v>
      </c>
      <c r="G479" s="8">
        <f t="shared" si="19"/>
        <v>0</v>
      </c>
    </row>
    <row r="480" spans="6:7" x14ac:dyDescent="0.25">
      <c r="F480" s="23">
        <f t="shared" si="18"/>
        <v>0</v>
      </c>
      <c r="G480" s="8">
        <f t="shared" si="19"/>
        <v>0</v>
      </c>
    </row>
    <row r="481" spans="6:7" x14ac:dyDescent="0.25">
      <c r="F481" s="23">
        <f t="shared" si="18"/>
        <v>0</v>
      </c>
      <c r="G481" s="8">
        <f t="shared" si="19"/>
        <v>0</v>
      </c>
    </row>
    <row r="482" spans="6:7" x14ac:dyDescent="0.25">
      <c r="F482" s="23">
        <f t="shared" si="18"/>
        <v>0</v>
      </c>
      <c r="G482" s="8">
        <f t="shared" si="19"/>
        <v>0</v>
      </c>
    </row>
    <row r="483" spans="6:7" x14ac:dyDescent="0.25">
      <c r="F483" s="23">
        <f t="shared" si="18"/>
        <v>0</v>
      </c>
      <c r="G483" s="8">
        <f t="shared" si="19"/>
        <v>0</v>
      </c>
    </row>
    <row r="484" spans="6:7" x14ac:dyDescent="0.25">
      <c r="F484" s="23">
        <f t="shared" si="18"/>
        <v>0</v>
      </c>
      <c r="G484" s="8">
        <f t="shared" si="19"/>
        <v>0</v>
      </c>
    </row>
    <row r="485" spans="6:7" x14ac:dyDescent="0.25">
      <c r="F485" s="23">
        <f t="shared" si="18"/>
        <v>0</v>
      </c>
      <c r="G485" s="8">
        <f t="shared" si="19"/>
        <v>0</v>
      </c>
    </row>
    <row r="486" spans="6:7" x14ac:dyDescent="0.25">
      <c r="F486" s="23">
        <f t="shared" si="18"/>
        <v>0</v>
      </c>
      <c r="G486" s="8">
        <f t="shared" si="19"/>
        <v>0</v>
      </c>
    </row>
    <row r="487" spans="6:7" x14ac:dyDescent="0.25">
      <c r="F487" s="23">
        <f t="shared" si="18"/>
        <v>0</v>
      </c>
      <c r="G487" s="8">
        <f t="shared" si="19"/>
        <v>0</v>
      </c>
    </row>
    <row r="488" spans="6:7" x14ac:dyDescent="0.25">
      <c r="F488" s="23">
        <f t="shared" si="18"/>
        <v>0</v>
      </c>
      <c r="G488" s="8">
        <f t="shared" si="19"/>
        <v>0</v>
      </c>
    </row>
    <row r="489" spans="6:7" x14ac:dyDescent="0.25">
      <c r="F489" s="23">
        <f t="shared" si="18"/>
        <v>0</v>
      </c>
      <c r="G489" s="8">
        <f t="shared" si="19"/>
        <v>0</v>
      </c>
    </row>
    <row r="490" spans="6:7" x14ac:dyDescent="0.25">
      <c r="F490" s="23">
        <f t="shared" si="18"/>
        <v>0</v>
      </c>
      <c r="G490" s="8">
        <f t="shared" si="19"/>
        <v>0</v>
      </c>
    </row>
    <row r="491" spans="6:7" x14ac:dyDescent="0.25">
      <c r="F491" s="23">
        <f t="shared" si="18"/>
        <v>0</v>
      </c>
      <c r="G491" s="8">
        <f t="shared" si="19"/>
        <v>0</v>
      </c>
    </row>
    <row r="492" spans="6:7" x14ac:dyDescent="0.25">
      <c r="F492" s="23">
        <f t="shared" si="18"/>
        <v>0</v>
      </c>
      <c r="G492" s="8">
        <f t="shared" si="19"/>
        <v>0</v>
      </c>
    </row>
    <row r="493" spans="6:7" x14ac:dyDescent="0.25">
      <c r="F493" s="23">
        <f t="shared" si="18"/>
        <v>0</v>
      </c>
      <c r="G493" s="8">
        <f t="shared" si="19"/>
        <v>0</v>
      </c>
    </row>
    <row r="494" spans="6:7" x14ac:dyDescent="0.25">
      <c r="F494" s="23">
        <f t="shared" si="18"/>
        <v>0</v>
      </c>
      <c r="G494" s="8">
        <f t="shared" si="19"/>
        <v>0</v>
      </c>
    </row>
    <row r="495" spans="6:7" x14ac:dyDescent="0.25">
      <c r="F495" s="23">
        <f t="shared" si="18"/>
        <v>0</v>
      </c>
      <c r="G495" s="8">
        <f t="shared" si="19"/>
        <v>0</v>
      </c>
    </row>
    <row r="496" spans="6:7" x14ac:dyDescent="0.25">
      <c r="F496" s="23">
        <f t="shared" si="18"/>
        <v>0</v>
      </c>
      <c r="G496" s="8">
        <f t="shared" si="19"/>
        <v>0</v>
      </c>
    </row>
    <row r="497" spans="6:7" x14ac:dyDescent="0.25">
      <c r="F497" s="23">
        <f t="shared" si="18"/>
        <v>0</v>
      </c>
      <c r="G497" s="8">
        <f t="shared" si="19"/>
        <v>0</v>
      </c>
    </row>
    <row r="498" spans="6:7" x14ac:dyDescent="0.25">
      <c r="F498" s="23">
        <f t="shared" si="18"/>
        <v>0</v>
      </c>
      <c r="G498" s="8">
        <f t="shared" si="19"/>
        <v>0</v>
      </c>
    </row>
    <row r="499" spans="6:7" x14ac:dyDescent="0.25">
      <c r="F499" s="23">
        <f t="shared" si="18"/>
        <v>0</v>
      </c>
      <c r="G499" s="8">
        <f t="shared" si="19"/>
        <v>0</v>
      </c>
    </row>
    <row r="500" spans="6:7" x14ac:dyDescent="0.25">
      <c r="F500" s="23">
        <f t="shared" si="18"/>
        <v>0</v>
      </c>
      <c r="G500" s="8">
        <f t="shared" si="19"/>
        <v>0</v>
      </c>
    </row>
    <row r="501" spans="6:7" x14ac:dyDescent="0.25">
      <c r="F501" s="23">
        <f t="shared" si="18"/>
        <v>0</v>
      </c>
      <c r="G501" s="8">
        <f t="shared" si="19"/>
        <v>0</v>
      </c>
    </row>
    <row r="502" spans="6:7" x14ac:dyDescent="0.25">
      <c r="F502" s="23">
        <f t="shared" si="18"/>
        <v>0</v>
      </c>
      <c r="G502" s="8">
        <f t="shared" si="19"/>
        <v>0</v>
      </c>
    </row>
    <row r="503" spans="6:7" x14ac:dyDescent="0.25">
      <c r="F503" s="23">
        <f t="shared" si="18"/>
        <v>0</v>
      </c>
      <c r="G503" s="8">
        <f t="shared" si="19"/>
        <v>0</v>
      </c>
    </row>
    <row r="504" spans="6:7" x14ac:dyDescent="0.25">
      <c r="F504" s="23">
        <f t="shared" si="18"/>
        <v>0</v>
      </c>
      <c r="G504" s="8">
        <f t="shared" si="19"/>
        <v>0</v>
      </c>
    </row>
    <row r="505" spans="6:7" x14ac:dyDescent="0.25">
      <c r="F505" s="23">
        <f t="shared" si="18"/>
        <v>0</v>
      </c>
      <c r="G505" s="8">
        <f t="shared" si="19"/>
        <v>0</v>
      </c>
    </row>
    <row r="506" spans="6:7" x14ac:dyDescent="0.25">
      <c r="F506" s="23">
        <f t="shared" si="18"/>
        <v>0</v>
      </c>
      <c r="G506" s="8">
        <f t="shared" si="19"/>
        <v>0</v>
      </c>
    </row>
    <row r="507" spans="6:7" x14ac:dyDescent="0.25">
      <c r="F507" s="23">
        <f t="shared" si="18"/>
        <v>0</v>
      </c>
      <c r="G507" s="8">
        <f t="shared" si="19"/>
        <v>0</v>
      </c>
    </row>
    <row r="508" spans="6:7" x14ac:dyDescent="0.25">
      <c r="F508" s="23">
        <f t="shared" si="18"/>
        <v>0</v>
      </c>
      <c r="G508" s="8">
        <f t="shared" si="19"/>
        <v>0</v>
      </c>
    </row>
    <row r="509" spans="6:7" x14ac:dyDescent="0.25">
      <c r="F509" s="23">
        <f t="shared" si="18"/>
        <v>0</v>
      </c>
      <c r="G509" s="8">
        <f t="shared" si="19"/>
        <v>0</v>
      </c>
    </row>
    <row r="510" spans="6:7" x14ac:dyDescent="0.25">
      <c r="F510" s="23">
        <f t="shared" si="18"/>
        <v>0</v>
      </c>
      <c r="G510" s="8">
        <f t="shared" si="19"/>
        <v>0</v>
      </c>
    </row>
    <row r="511" spans="6:7" x14ac:dyDescent="0.25">
      <c r="F511" s="23">
        <f t="shared" si="18"/>
        <v>0</v>
      </c>
      <c r="G511" s="8">
        <f t="shared" si="19"/>
        <v>0</v>
      </c>
    </row>
    <row r="512" spans="6:7" x14ac:dyDescent="0.25">
      <c r="F512" s="23">
        <f t="shared" si="18"/>
        <v>0</v>
      </c>
      <c r="G512" s="8">
        <f t="shared" si="19"/>
        <v>0</v>
      </c>
    </row>
    <row r="513" spans="6:7" x14ac:dyDescent="0.25">
      <c r="F513" s="23">
        <f t="shared" si="18"/>
        <v>0</v>
      </c>
      <c r="G513" s="8">
        <f t="shared" si="19"/>
        <v>0</v>
      </c>
    </row>
    <row r="514" spans="6:7" x14ac:dyDescent="0.25">
      <c r="F514" s="23">
        <f t="shared" si="18"/>
        <v>0</v>
      </c>
      <c r="G514" s="8">
        <f t="shared" si="19"/>
        <v>0</v>
      </c>
    </row>
    <row r="515" spans="6:7" x14ac:dyDescent="0.25">
      <c r="F515" s="23">
        <f t="shared" si="18"/>
        <v>0</v>
      </c>
      <c r="G515" s="8">
        <f t="shared" si="19"/>
        <v>0</v>
      </c>
    </row>
    <row r="516" spans="6:7" x14ac:dyDescent="0.25">
      <c r="F516" s="23">
        <f t="shared" si="18"/>
        <v>0</v>
      </c>
      <c r="G516" s="8">
        <f t="shared" si="19"/>
        <v>0</v>
      </c>
    </row>
    <row r="517" spans="6:7" x14ac:dyDescent="0.25">
      <c r="F517" s="23">
        <f t="shared" si="18"/>
        <v>0</v>
      </c>
      <c r="G517" s="8">
        <f t="shared" si="19"/>
        <v>0</v>
      </c>
    </row>
    <row r="518" spans="6:7" x14ac:dyDescent="0.25">
      <c r="F518" s="23">
        <f t="shared" si="18"/>
        <v>0</v>
      </c>
      <c r="G518" s="8">
        <f t="shared" si="19"/>
        <v>0</v>
      </c>
    </row>
    <row r="519" spans="6:7" x14ac:dyDescent="0.25">
      <c r="F519" s="23">
        <f t="shared" si="18"/>
        <v>0</v>
      </c>
      <c r="G519" s="8">
        <f t="shared" si="19"/>
        <v>0</v>
      </c>
    </row>
    <row r="520" spans="6:7" x14ac:dyDescent="0.25">
      <c r="F520" s="23">
        <f t="shared" si="18"/>
        <v>0</v>
      </c>
      <c r="G520" s="8">
        <f t="shared" si="19"/>
        <v>0</v>
      </c>
    </row>
    <row r="521" spans="6:7" x14ac:dyDescent="0.25">
      <c r="F521" s="23">
        <f t="shared" si="18"/>
        <v>0</v>
      </c>
      <c r="G521" s="8">
        <f t="shared" si="19"/>
        <v>0</v>
      </c>
    </row>
    <row r="522" spans="6:7" x14ac:dyDescent="0.25">
      <c r="F522" s="23">
        <f t="shared" si="18"/>
        <v>0</v>
      </c>
      <c r="G522" s="8">
        <f t="shared" si="19"/>
        <v>0</v>
      </c>
    </row>
    <row r="523" spans="6:7" x14ac:dyDescent="0.25">
      <c r="F523" s="23">
        <f t="shared" si="18"/>
        <v>0</v>
      </c>
      <c r="G523" s="8">
        <f t="shared" si="19"/>
        <v>0</v>
      </c>
    </row>
    <row r="524" spans="6:7" x14ac:dyDescent="0.25">
      <c r="F524" s="23">
        <f t="shared" si="18"/>
        <v>0</v>
      </c>
      <c r="G524" s="8">
        <f t="shared" si="19"/>
        <v>0</v>
      </c>
    </row>
    <row r="525" spans="6:7" x14ac:dyDescent="0.25">
      <c r="F525" s="23">
        <f t="shared" si="18"/>
        <v>0</v>
      </c>
      <c r="G525" s="8">
        <f t="shared" si="19"/>
        <v>0</v>
      </c>
    </row>
    <row r="526" spans="6:7" x14ac:dyDescent="0.25">
      <c r="F526" s="23">
        <f t="shared" si="18"/>
        <v>0</v>
      </c>
      <c r="G526" s="8">
        <f t="shared" si="19"/>
        <v>0</v>
      </c>
    </row>
    <row r="527" spans="6:7" x14ac:dyDescent="0.25">
      <c r="F527" s="23">
        <f t="shared" si="18"/>
        <v>0</v>
      </c>
      <c r="G527" s="8">
        <f t="shared" si="19"/>
        <v>0</v>
      </c>
    </row>
    <row r="528" spans="6:7" x14ac:dyDescent="0.25">
      <c r="F528" s="23">
        <f t="shared" si="18"/>
        <v>0</v>
      </c>
      <c r="G528" s="8">
        <f t="shared" si="19"/>
        <v>0</v>
      </c>
    </row>
    <row r="529" spans="6:7" x14ac:dyDescent="0.25">
      <c r="F529" s="23">
        <f t="shared" si="18"/>
        <v>0</v>
      </c>
      <c r="G529" s="8">
        <f t="shared" si="19"/>
        <v>0</v>
      </c>
    </row>
    <row r="530" spans="6:7" x14ac:dyDescent="0.25">
      <c r="F530" s="23">
        <f t="shared" si="18"/>
        <v>0</v>
      </c>
      <c r="G530" s="8">
        <f t="shared" si="19"/>
        <v>0</v>
      </c>
    </row>
    <row r="531" spans="6:7" x14ac:dyDescent="0.25">
      <c r="F531" s="23">
        <f t="shared" si="18"/>
        <v>0</v>
      </c>
      <c r="G531" s="8">
        <f t="shared" si="19"/>
        <v>0</v>
      </c>
    </row>
    <row r="532" spans="6:7" x14ac:dyDescent="0.25">
      <c r="F532" s="23">
        <f t="shared" si="18"/>
        <v>0</v>
      </c>
      <c r="G532" s="8">
        <f t="shared" si="19"/>
        <v>0</v>
      </c>
    </row>
    <row r="533" spans="6:7" x14ac:dyDescent="0.25">
      <c r="F533" s="23">
        <f t="shared" si="18"/>
        <v>0</v>
      </c>
      <c r="G533" s="8">
        <f t="shared" si="19"/>
        <v>0</v>
      </c>
    </row>
    <row r="534" spans="6:7" x14ac:dyDescent="0.25">
      <c r="F534" s="23">
        <f t="shared" si="18"/>
        <v>0</v>
      </c>
      <c r="G534" s="8">
        <f t="shared" si="19"/>
        <v>0</v>
      </c>
    </row>
    <row r="535" spans="6:7" x14ac:dyDescent="0.25">
      <c r="F535" s="23">
        <f t="shared" si="18"/>
        <v>0</v>
      </c>
      <c r="G535" s="8">
        <f t="shared" si="19"/>
        <v>0</v>
      </c>
    </row>
    <row r="536" spans="6:7" x14ac:dyDescent="0.25">
      <c r="F536" s="23">
        <f t="shared" si="18"/>
        <v>0</v>
      </c>
      <c r="G536" s="8">
        <f t="shared" si="19"/>
        <v>0</v>
      </c>
    </row>
    <row r="537" spans="6:7" x14ac:dyDescent="0.25">
      <c r="F537" s="23">
        <f t="shared" si="18"/>
        <v>0</v>
      </c>
      <c r="G537" s="8">
        <f t="shared" si="19"/>
        <v>0</v>
      </c>
    </row>
    <row r="538" spans="6:7" x14ac:dyDescent="0.25">
      <c r="F538" s="23">
        <f t="shared" ref="F538:F543" si="20">B538</f>
        <v>0</v>
      </c>
      <c r="G538" s="8">
        <f t="shared" ref="G538:G543" si="21">A538</f>
        <v>0</v>
      </c>
    </row>
    <row r="539" spans="6:7" x14ac:dyDescent="0.25">
      <c r="F539" s="23">
        <f t="shared" si="20"/>
        <v>0</v>
      </c>
      <c r="G539" s="8">
        <f t="shared" si="21"/>
        <v>0</v>
      </c>
    </row>
    <row r="540" spans="6:7" x14ac:dyDescent="0.25">
      <c r="F540" s="23">
        <f t="shared" si="20"/>
        <v>0</v>
      </c>
      <c r="G540" s="8">
        <f t="shared" si="21"/>
        <v>0</v>
      </c>
    </row>
    <row r="541" spans="6:7" x14ac:dyDescent="0.25">
      <c r="F541" s="23">
        <f t="shared" si="20"/>
        <v>0</v>
      </c>
      <c r="G541" s="8">
        <f t="shared" si="21"/>
        <v>0</v>
      </c>
    </row>
    <row r="542" spans="6:7" x14ac:dyDescent="0.25">
      <c r="F542" s="23">
        <f t="shared" si="20"/>
        <v>0</v>
      </c>
      <c r="G542" s="8">
        <f t="shared" si="21"/>
        <v>0</v>
      </c>
    </row>
    <row r="543" spans="6:7" x14ac:dyDescent="0.25">
      <c r="F543" s="23">
        <f t="shared" si="20"/>
        <v>0</v>
      </c>
      <c r="G543" s="8">
        <f t="shared" si="21"/>
        <v>0</v>
      </c>
    </row>
  </sheetData>
  <sortState ref="A1:E291">
    <sortCondition ref="C1:C291"/>
  </sortState>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0"/>
  </sheetPr>
  <dimension ref="A1:P26"/>
  <sheetViews>
    <sheetView workbookViewId="0">
      <selection activeCell="M3" sqref="M3:M14"/>
    </sheetView>
  </sheetViews>
  <sheetFormatPr defaultRowHeight="15" x14ac:dyDescent="0.25"/>
  <cols>
    <col min="1" max="1" width="32.140625" customWidth="1"/>
    <col min="3" max="3" width="24" customWidth="1"/>
    <col min="4" max="4" width="19.140625" customWidth="1"/>
    <col min="10" max="10" width="24.28515625" bestFit="1" customWidth="1"/>
    <col min="11" max="11" width="15.28515625" hidden="1" customWidth="1"/>
    <col min="12" max="12" width="13.5703125" hidden="1" customWidth="1"/>
    <col min="13" max="13" width="9" style="70" bestFit="1" customWidth="1"/>
  </cols>
  <sheetData>
    <row r="1" spans="1:16" ht="45.75" x14ac:dyDescent="0.3">
      <c r="A1" s="13" t="s">
        <v>25</v>
      </c>
      <c r="C1" s="73" t="s">
        <v>116</v>
      </c>
      <c r="D1" s="74" t="s">
        <v>117</v>
      </c>
      <c r="J1" s="34" t="s">
        <v>118</v>
      </c>
      <c r="K1" s="34" t="s">
        <v>72</v>
      </c>
      <c r="L1" s="34" t="s">
        <v>73</v>
      </c>
      <c r="O1" s="77" t="s">
        <v>119</v>
      </c>
    </row>
    <row r="2" spans="1:16" ht="15.75" thickBot="1" x14ac:dyDescent="0.3">
      <c r="A2" s="14">
        <v>42613</v>
      </c>
      <c r="B2" s="4"/>
      <c r="C2" s="75">
        <v>50</v>
      </c>
      <c r="D2" s="76">
        <v>25</v>
      </c>
      <c r="F2" t="s">
        <v>143</v>
      </c>
      <c r="J2" s="34"/>
      <c r="K2" s="34" t="s">
        <v>72</v>
      </c>
      <c r="L2" s="34" t="s">
        <v>73</v>
      </c>
    </row>
    <row r="3" spans="1:16" x14ac:dyDescent="0.25">
      <c r="F3" t="s">
        <v>58</v>
      </c>
      <c r="J3" s="35" t="s">
        <v>74</v>
      </c>
      <c r="K3" s="36">
        <v>2.7052</v>
      </c>
      <c r="L3" s="36">
        <v>2.7349999999999999</v>
      </c>
      <c r="M3" s="114">
        <f t="shared" ref="M3:M14" si="0">AVERAGE(K3:L3)</f>
        <v>2.7201</v>
      </c>
      <c r="O3" t="s">
        <v>120</v>
      </c>
      <c r="P3" s="70">
        <f>AVERAGE(1.0714,1.1016)</f>
        <v>1.0865</v>
      </c>
    </row>
    <row r="4" spans="1:16" x14ac:dyDescent="0.25">
      <c r="F4" t="s">
        <v>59</v>
      </c>
      <c r="J4" s="35" t="s">
        <v>75</v>
      </c>
      <c r="K4" s="36">
        <v>3.0830000000000002</v>
      </c>
      <c r="L4" s="36">
        <v>3.097</v>
      </c>
      <c r="M4" s="114">
        <f t="shared" si="0"/>
        <v>3.09</v>
      </c>
    </row>
    <row r="5" spans="1:16" x14ac:dyDescent="0.25">
      <c r="J5" s="35" t="s">
        <v>76</v>
      </c>
      <c r="K5" s="36">
        <v>3.3136000000000001</v>
      </c>
      <c r="L5" s="36">
        <v>3.3256999999999999</v>
      </c>
      <c r="M5" s="114">
        <f t="shared" si="0"/>
        <v>3.3196500000000002</v>
      </c>
    </row>
    <row r="6" spans="1:16" x14ac:dyDescent="0.25">
      <c r="F6" t="s">
        <v>144</v>
      </c>
      <c r="J6" s="35" t="s">
        <v>77</v>
      </c>
      <c r="K6" s="36">
        <v>4.2778999999999998</v>
      </c>
      <c r="L6" s="36">
        <v>4.2961</v>
      </c>
      <c r="M6" s="114">
        <f t="shared" si="0"/>
        <v>4.2869999999999999</v>
      </c>
    </row>
    <row r="7" spans="1:16" x14ac:dyDescent="0.25">
      <c r="F7" t="s">
        <v>145</v>
      </c>
      <c r="J7" s="35" t="s">
        <v>78</v>
      </c>
      <c r="K7" s="36">
        <v>4.7865000000000002</v>
      </c>
      <c r="L7" s="36">
        <v>4.8048000000000002</v>
      </c>
      <c r="M7" s="114">
        <f t="shared" si="0"/>
        <v>4.7956500000000002</v>
      </c>
    </row>
    <row r="8" spans="1:16" x14ac:dyDescent="0.25">
      <c r="F8" t="s">
        <v>146</v>
      </c>
      <c r="J8" s="35" t="s">
        <v>79</v>
      </c>
      <c r="K8" s="36">
        <v>5.3155000000000001</v>
      </c>
      <c r="L8" s="36">
        <v>5.3277000000000001</v>
      </c>
      <c r="M8" s="114">
        <f t="shared" si="0"/>
        <v>5.3216000000000001</v>
      </c>
    </row>
    <row r="9" spans="1:16" x14ac:dyDescent="0.25">
      <c r="J9" s="35" t="s">
        <v>80</v>
      </c>
      <c r="K9" s="36">
        <v>5.8117000000000001</v>
      </c>
      <c r="L9" s="36">
        <v>5.8300999999999998</v>
      </c>
      <c r="M9" s="114">
        <f t="shared" si="0"/>
        <v>5.8209</v>
      </c>
    </row>
    <row r="10" spans="1:16" x14ac:dyDescent="0.25">
      <c r="J10" s="35" t="s">
        <v>81</v>
      </c>
      <c r="K10" s="36">
        <v>5.8783000000000003</v>
      </c>
      <c r="L10" s="36">
        <v>5.8903999999999996</v>
      </c>
      <c r="M10" s="114">
        <f t="shared" si="0"/>
        <v>5.8843499999999995</v>
      </c>
    </row>
    <row r="11" spans="1:16" x14ac:dyDescent="0.25">
      <c r="J11" s="35" t="s">
        <v>82</v>
      </c>
      <c r="K11" s="36">
        <v>6.3068</v>
      </c>
      <c r="L11" s="36">
        <v>6.3308999999999997</v>
      </c>
      <c r="M11" s="114">
        <f t="shared" si="0"/>
        <v>6.3188499999999994</v>
      </c>
    </row>
    <row r="12" spans="1:16" x14ac:dyDescent="0.25">
      <c r="J12" s="35" t="s">
        <v>83</v>
      </c>
      <c r="K12" s="36">
        <v>7.8349000000000002</v>
      </c>
      <c r="L12" s="36">
        <v>7.8468999999999998</v>
      </c>
      <c r="M12" s="114">
        <f t="shared" si="0"/>
        <v>7.8408999999999995</v>
      </c>
    </row>
    <row r="13" spans="1:16" x14ac:dyDescent="0.25">
      <c r="J13" s="35" t="s">
        <v>84</v>
      </c>
      <c r="K13" s="36">
        <v>10.373799999999999</v>
      </c>
      <c r="L13" s="36">
        <v>10.38</v>
      </c>
      <c r="M13" s="114">
        <f t="shared" si="0"/>
        <v>10.376899999999999</v>
      </c>
    </row>
    <row r="14" spans="1:16" x14ac:dyDescent="0.25">
      <c r="J14" s="35" t="s">
        <v>85</v>
      </c>
      <c r="K14" s="36">
        <v>10.8954</v>
      </c>
      <c r="L14" s="36">
        <v>10.913500000000001</v>
      </c>
      <c r="M14" s="114">
        <f t="shared" si="0"/>
        <v>10.904450000000001</v>
      </c>
    </row>
    <row r="15" spans="1:16" x14ac:dyDescent="0.25">
      <c r="J15" s="35"/>
      <c r="K15" s="36"/>
      <c r="L15" s="36"/>
    </row>
    <row r="16" spans="1:16" x14ac:dyDescent="0.25">
      <c r="J16" s="35"/>
      <c r="K16" s="36"/>
      <c r="L16" s="36"/>
    </row>
    <row r="17" spans="10:13" x14ac:dyDescent="0.25">
      <c r="J17" s="35"/>
      <c r="K17" s="36"/>
      <c r="L17" s="36"/>
    </row>
    <row r="18" spans="10:13" x14ac:dyDescent="0.25">
      <c r="J18" s="35" t="s">
        <v>97</v>
      </c>
      <c r="K18" s="36"/>
      <c r="L18" s="36"/>
      <c r="M18" s="70" t="str">
        <f>"""C:\Program Files (x86)\AstroGrep\AstroGrep.exe"""</f>
        <v>"C:\Program Files (x86)\AstroGrep\AstroGrep.exe"</v>
      </c>
    </row>
    <row r="19" spans="10:13" x14ac:dyDescent="0.25">
      <c r="J19" s="35" t="s">
        <v>98</v>
      </c>
      <c r="K19" s="36"/>
      <c r="L19" s="36"/>
      <c r="M19" s="70" t="s">
        <v>130</v>
      </c>
    </row>
    <row r="20" spans="10:13" x14ac:dyDescent="0.25">
      <c r="J20" t="s">
        <v>99</v>
      </c>
      <c r="M20" s="70" t="s">
        <v>173</v>
      </c>
    </row>
    <row r="21" spans="10:13" x14ac:dyDescent="0.25">
      <c r="J21" s="23" t="s">
        <v>102</v>
      </c>
      <c r="K21" s="23" t="s">
        <v>103</v>
      </c>
      <c r="M21" s="70" t="s">
        <v>103</v>
      </c>
    </row>
    <row r="22" spans="10:13" x14ac:dyDescent="0.25">
      <c r="J22" s="23" t="s">
        <v>104</v>
      </c>
      <c r="K22" s="23" t="s">
        <v>105</v>
      </c>
      <c r="M22" s="70" t="s">
        <v>129</v>
      </c>
    </row>
    <row r="23" spans="10:13" x14ac:dyDescent="0.25">
      <c r="J23" s="31" t="s">
        <v>107</v>
      </c>
      <c r="K23" s="23"/>
      <c r="M23" s="114">
        <v>-6</v>
      </c>
    </row>
    <row r="24" spans="10:13" x14ac:dyDescent="0.25">
      <c r="J24" s="23" t="s">
        <v>126</v>
      </c>
      <c r="K24" s="23"/>
      <c r="M24" s="70" t="s">
        <v>128</v>
      </c>
    </row>
    <row r="25" spans="10:13" x14ac:dyDescent="0.25">
      <c r="J25" t="s">
        <v>230</v>
      </c>
      <c r="M25" s="70" t="b">
        <v>1</v>
      </c>
    </row>
    <row r="26" spans="10:13" x14ac:dyDescent="0.25">
      <c r="J26" t="s">
        <v>231</v>
      </c>
      <c r="M26" s="70" t="str">
        <f>"C:\Users\stu\Documents\GitHub\eaglep3-reporting\EC\"&amp;TEXT(A2,"yyyy-mm-dd")&amp;"-refined-times.txt"</f>
        <v>C:\Users\stu\Documents\GitHub\eaglep3-reporting\EC\2016-08-31-refined-times.txt</v>
      </c>
    </row>
  </sheetData>
  <pageMargins left="0.7" right="0.7" top="0.75" bottom="0.75" header="0.3" footer="0.3"/>
  <pageSetup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sheetPr>
  <dimension ref="A1:K13"/>
  <sheetViews>
    <sheetView workbookViewId="0"/>
  </sheetViews>
  <sheetFormatPr defaultRowHeight="15" x14ac:dyDescent="0.25"/>
  <cols>
    <col min="1" max="1" width="32.85546875" style="143" bestFit="1" customWidth="1"/>
    <col min="2" max="7" width="9.140625" style="143"/>
    <col min="8" max="8" width="17.7109375" style="143" bestFit="1" customWidth="1"/>
    <col min="9" max="9" width="9.140625" style="145"/>
    <col min="10" max="16384" width="9.140625" style="143"/>
  </cols>
  <sheetData>
    <row r="1" spans="1:11" x14ac:dyDescent="0.25">
      <c r="A1" s="142" t="s">
        <v>192</v>
      </c>
      <c r="B1" s="142" t="s">
        <v>193</v>
      </c>
      <c r="C1" s="143" t="s">
        <v>194</v>
      </c>
      <c r="H1" t="s">
        <v>188</v>
      </c>
      <c r="I1" s="144" t="s">
        <v>190</v>
      </c>
      <c r="J1"/>
    </row>
    <row r="2" spans="1:11" x14ac:dyDescent="0.25">
      <c r="A2" s="143" t="s">
        <v>195</v>
      </c>
      <c r="B2" s="143" t="s">
        <v>196</v>
      </c>
      <c r="C2" s="143" t="s">
        <v>197</v>
      </c>
      <c r="H2" t="s">
        <v>189</v>
      </c>
      <c r="I2" s="114" t="s">
        <v>191</v>
      </c>
      <c r="J2"/>
    </row>
    <row r="3" spans="1:11" x14ac:dyDescent="0.25">
      <c r="A3" s="143" t="s">
        <v>198</v>
      </c>
      <c r="B3" s="143" t="s">
        <v>199</v>
      </c>
      <c r="C3" s="143" t="s">
        <v>200</v>
      </c>
      <c r="H3" t="s">
        <v>215</v>
      </c>
      <c r="I3" s="114">
        <v>1</v>
      </c>
      <c r="J3"/>
      <c r="K3" s="70"/>
    </row>
    <row r="4" spans="1:11" x14ac:dyDescent="0.25">
      <c r="A4" s="143" t="s">
        <v>201</v>
      </c>
      <c r="C4" s="143" t="s">
        <v>202</v>
      </c>
      <c r="H4" t="s">
        <v>216</v>
      </c>
      <c r="I4" s="114">
        <v>2</v>
      </c>
      <c r="J4"/>
      <c r="K4" s="70"/>
    </row>
    <row r="5" spans="1:11" x14ac:dyDescent="0.25">
      <c r="A5" s="143" t="s">
        <v>203</v>
      </c>
      <c r="C5" s="143" t="s">
        <v>204</v>
      </c>
      <c r="H5" t="s">
        <v>217</v>
      </c>
      <c r="I5" s="114">
        <v>23</v>
      </c>
      <c r="J5"/>
      <c r="K5" s="70"/>
    </row>
    <row r="6" spans="1:11" x14ac:dyDescent="0.25">
      <c r="A6" s="143" t="s">
        <v>205</v>
      </c>
      <c r="C6" s="143" t="s">
        <v>206</v>
      </c>
      <c r="H6" s="146" t="s">
        <v>218</v>
      </c>
      <c r="I6" s="147" t="s">
        <v>196</v>
      </c>
    </row>
    <row r="7" spans="1:11" x14ac:dyDescent="0.25">
      <c r="A7" s="143" t="s">
        <v>207</v>
      </c>
      <c r="C7" s="143" t="s">
        <v>208</v>
      </c>
    </row>
    <row r="8" spans="1:11" x14ac:dyDescent="0.25">
      <c r="C8" s="143" t="s">
        <v>209</v>
      </c>
    </row>
    <row r="9" spans="1:11" x14ac:dyDescent="0.25">
      <c r="C9" s="143" t="s">
        <v>210</v>
      </c>
    </row>
    <row r="10" spans="1:11" x14ac:dyDescent="0.25">
      <c r="C10" s="143" t="s">
        <v>211</v>
      </c>
    </row>
    <row r="11" spans="1:11" x14ac:dyDescent="0.25">
      <c r="C11" s="143" t="s">
        <v>212</v>
      </c>
    </row>
    <row r="12" spans="1:11" x14ac:dyDescent="0.25">
      <c r="C12" s="143" t="s">
        <v>213</v>
      </c>
    </row>
    <row r="13" spans="1:11" x14ac:dyDescent="0.25">
      <c r="C13" s="143" t="s">
        <v>214</v>
      </c>
    </row>
  </sheetData>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16</vt:i4>
      </vt:variant>
    </vt:vector>
  </HeadingPairs>
  <TitlesOfParts>
    <vt:vector size="22" baseType="lpstr">
      <vt:lpstr>Train Runs</vt:lpstr>
      <vt:lpstr>Enforcements</vt:lpstr>
      <vt:lpstr>Missing Trips</vt:lpstr>
      <vt:lpstr>Trips&amp;Operators</vt:lpstr>
      <vt:lpstr>Variables</vt:lpstr>
      <vt:lpstr>Redmine List Values</vt:lpstr>
      <vt:lpstr>astrogrep_path</vt:lpstr>
      <vt:lpstr>'Train Runs'!Denver_Train_Runs_04122016</vt:lpstr>
      <vt:lpstr>outputrefinedruntimes</vt:lpstr>
      <vt:lpstr>redmine_api</vt:lpstr>
      <vt:lpstr>redmine_assignee</vt:lpstr>
      <vt:lpstr>redmine_op_impact</vt:lpstr>
      <vt:lpstr>redmine_priority</vt:lpstr>
      <vt:lpstr>redmine_status</vt:lpstr>
      <vt:lpstr>redmine_url</vt:lpstr>
      <vt:lpstr>RefinedRTDCRunTimesOutputFile</vt:lpstr>
      <vt:lpstr>refinertdcruntimes</vt:lpstr>
      <vt:lpstr>s3_bucket</vt:lpstr>
      <vt:lpstr>search_path</vt:lpstr>
      <vt:lpstr>search_regexp</vt:lpstr>
      <vt:lpstr>utc_offset</vt:lpstr>
      <vt:lpstr>walkandungz</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Whitlock, Robert;Tu, Steve</dc:creator>
  <cp:lastModifiedBy>Steve Tu</cp:lastModifiedBy>
  <dcterms:created xsi:type="dcterms:W3CDTF">2016-04-12T13:52:23Z</dcterms:created>
  <dcterms:modified xsi:type="dcterms:W3CDTF">2016-09-01T16:01:41Z</dcterms:modified>
</cp:coreProperties>
</file>