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Enforcements!$A$6:$AC$63</definedName>
    <definedName name="_xlnm._FilterDatabase" localSheetId="2" hidden="1">'Missing Trips'!$A$2:$J$81</definedName>
    <definedName name="_xlnm._FilterDatabase" localSheetId="0" hidden="1">'Train Runs'!$A$12:$AG$256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70" i="1" l="1"/>
  <c r="P165" i="1"/>
  <c r="P141" i="1"/>
  <c r="P139" i="1"/>
  <c r="X121" i="1"/>
  <c r="X122" i="1"/>
  <c r="X123" i="1"/>
  <c r="X124" i="1"/>
  <c r="X125" i="1"/>
  <c r="B11" i="6"/>
  <c r="F11" i="6" s="1"/>
  <c r="B12" i="6"/>
  <c r="H12" i="6" s="1"/>
  <c r="F12" i="6"/>
  <c r="G12" i="6"/>
  <c r="J12" i="6"/>
  <c r="B13" i="6"/>
  <c r="F13" i="6" s="1"/>
  <c r="I13" i="6"/>
  <c r="B14" i="6"/>
  <c r="H14" i="6" s="1"/>
  <c r="F14" i="6"/>
  <c r="G14" i="6"/>
  <c r="I14" i="6"/>
  <c r="J14" i="6"/>
  <c r="B15" i="6"/>
  <c r="F15" i="6" s="1"/>
  <c r="I15" i="6"/>
  <c r="B16" i="6"/>
  <c r="H16" i="6" s="1"/>
  <c r="J16" i="6"/>
  <c r="B17" i="6"/>
  <c r="F17" i="6" s="1"/>
  <c r="I17" i="6"/>
  <c r="B18" i="6"/>
  <c r="H18" i="6" s="1"/>
  <c r="F18" i="6"/>
  <c r="J18" i="6"/>
  <c r="I16" i="6" l="1"/>
  <c r="I18" i="6"/>
  <c r="G16" i="6"/>
  <c r="G18" i="6"/>
  <c r="F16" i="6"/>
  <c r="I12" i="6"/>
  <c r="I11" i="6"/>
  <c r="H17" i="6"/>
  <c r="H15" i="6"/>
  <c r="H13" i="6"/>
  <c r="H11" i="6"/>
  <c r="G17" i="6"/>
  <c r="G15" i="6"/>
  <c r="G13" i="6"/>
  <c r="G11" i="6"/>
  <c r="J17" i="6"/>
  <c r="J15" i="6"/>
  <c r="J13" i="6"/>
  <c r="J11" i="6"/>
  <c r="K14" i="1"/>
  <c r="L14" i="1"/>
  <c r="M14" i="1"/>
  <c r="N14" i="1" s="1"/>
  <c r="V14" i="1"/>
  <c r="S25" i="3" s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T20" i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S10" i="3" s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S8" i="3" s="1"/>
  <c r="Y32" i="1"/>
  <c r="Z32" i="1"/>
  <c r="AA32" i="1" s="1"/>
  <c r="AB32" i="1"/>
  <c r="AC32" i="1"/>
  <c r="AD32" i="1"/>
  <c r="AG32" i="1" s="1"/>
  <c r="AE32" i="1"/>
  <c r="R8" i="3" s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I36" i="1" s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I40" i="1" s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R18" i="3" s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S19" i="3" s="1"/>
  <c r="Y43" i="1"/>
  <c r="Z43" i="1"/>
  <c r="AB43" i="1"/>
  <c r="AC43" i="1"/>
  <c r="AD43" i="1"/>
  <c r="AE43" i="1"/>
  <c r="R19" i="3" s="1"/>
  <c r="AF43" i="1"/>
  <c r="AH43" i="1"/>
  <c r="AM43" i="1"/>
  <c r="AN43" i="1"/>
  <c r="K44" i="1"/>
  <c r="L44" i="1"/>
  <c r="M44" i="1"/>
  <c r="N44" i="1" s="1"/>
  <c r="V44" i="1"/>
  <c r="Y44" i="1"/>
  <c r="Z44" i="1"/>
  <c r="AI44" i="1" s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S23" i="3" s="1"/>
  <c r="Y47" i="1"/>
  <c r="Z47" i="1"/>
  <c r="AB47" i="1"/>
  <c r="AC47" i="1"/>
  <c r="AD47" i="1"/>
  <c r="AE47" i="1"/>
  <c r="R23" i="3" s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V49" i="1"/>
  <c r="S24" i="3" s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V50" i="1"/>
  <c r="Y50" i="1"/>
  <c r="Z50" i="1"/>
  <c r="AB50" i="1"/>
  <c r="AC50" i="1"/>
  <c r="AD50" i="1"/>
  <c r="T50" i="1" s="1"/>
  <c r="AE50" i="1"/>
  <c r="R24" i="3" s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R11" i="3" s="1"/>
  <c r="AF51" i="1"/>
  <c r="AH51" i="1"/>
  <c r="AM51" i="1"/>
  <c r="AN51" i="1"/>
  <c r="K52" i="1"/>
  <c r="L52" i="1"/>
  <c r="M52" i="1"/>
  <c r="N52" i="1" s="1"/>
  <c r="V52" i="1"/>
  <c r="S16" i="3" s="1"/>
  <c r="Y52" i="1"/>
  <c r="Z52" i="1"/>
  <c r="AB52" i="1"/>
  <c r="AC52" i="1"/>
  <c r="AD52" i="1"/>
  <c r="T52" i="1" s="1"/>
  <c r="AE52" i="1"/>
  <c r="R16" i="3" s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P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R27" i="3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R31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S32" i="3" s="1"/>
  <c r="Y72" i="1"/>
  <c r="Z72" i="1"/>
  <c r="AB72" i="1"/>
  <c r="AC72" i="1"/>
  <c r="AD72" i="1"/>
  <c r="T72" i="1" s="1"/>
  <c r="AE72" i="1"/>
  <c r="R32" i="3" s="1"/>
  <c r="AF72" i="1"/>
  <c r="AH72" i="1"/>
  <c r="AM72" i="1"/>
  <c r="AN72" i="1"/>
  <c r="K73" i="1"/>
  <c r="L73" i="1"/>
  <c r="M73" i="1"/>
  <c r="N73" i="1" s="1"/>
  <c r="V73" i="1"/>
  <c r="S20" i="3" s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X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P76" i="1" s="1"/>
  <c r="V76" i="1"/>
  <c r="Y76" i="1"/>
  <c r="Z76" i="1"/>
  <c r="AB76" i="1"/>
  <c r="AC76" i="1"/>
  <c r="AD76" i="1"/>
  <c r="X76" i="1" s="1"/>
  <c r="AE76" i="1"/>
  <c r="AF76" i="1"/>
  <c r="AH76" i="1"/>
  <c r="AM76" i="1"/>
  <c r="AN76" i="1"/>
  <c r="K77" i="1"/>
  <c r="L77" i="1"/>
  <c r="M77" i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P78" i="1" s="1"/>
  <c r="V78" i="1"/>
  <c r="S28" i="3" s="1"/>
  <c r="Y78" i="1"/>
  <c r="Z78" i="1"/>
  <c r="AB78" i="1"/>
  <c r="AC78" i="1"/>
  <c r="AD78" i="1"/>
  <c r="X78" i="1" s="1"/>
  <c r="AE78" i="1"/>
  <c r="R28" i="3" s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X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X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X86" i="1" s="1"/>
  <c r="AE86" i="1"/>
  <c r="AF86" i="1"/>
  <c r="AH86" i="1"/>
  <c r="AM86" i="1"/>
  <c r="AN86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87" i="1"/>
  <c r="AM87" i="1"/>
  <c r="AN87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88" i="1"/>
  <c r="AM88" i="1"/>
  <c r="AN88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K158" i="1"/>
  <c r="L158" i="1"/>
  <c r="M158" i="1"/>
  <c r="N158" i="1" s="1"/>
  <c r="V158" i="1"/>
  <c r="S39" i="3" s="1"/>
  <c r="Y158" i="1"/>
  <c r="Z158" i="1"/>
  <c r="AB158" i="1"/>
  <c r="AC158" i="1"/>
  <c r="AD158" i="1"/>
  <c r="AE158" i="1"/>
  <c r="AF158" i="1"/>
  <c r="AH89" i="1"/>
  <c r="AM89" i="1"/>
  <c r="AN89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0" i="1"/>
  <c r="AM90" i="1"/>
  <c r="AN90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91" i="1"/>
  <c r="AM91" i="1"/>
  <c r="AN91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2" i="1"/>
  <c r="AM92" i="1"/>
  <c r="AN9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3" i="1"/>
  <c r="AM93" i="1"/>
  <c r="AN9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94" i="1"/>
  <c r="AM94" i="1"/>
  <c r="AN94" i="1"/>
  <c r="K87" i="1"/>
  <c r="L87" i="1"/>
  <c r="M87" i="1"/>
  <c r="N87" i="1" s="1"/>
  <c r="V87" i="1"/>
  <c r="S12" i="3" s="1"/>
  <c r="Y87" i="1"/>
  <c r="Z87" i="1"/>
  <c r="AA87" i="1" s="1"/>
  <c r="AB87" i="1"/>
  <c r="AC87" i="1"/>
  <c r="AD87" i="1"/>
  <c r="AE87" i="1"/>
  <c r="R12" i="3" s="1"/>
  <c r="AF87" i="1"/>
  <c r="AH95" i="1"/>
  <c r="AM95" i="1"/>
  <c r="AN95" i="1"/>
  <c r="K165" i="1"/>
  <c r="L165" i="1"/>
  <c r="M165" i="1"/>
  <c r="V165" i="1"/>
  <c r="Y165" i="1"/>
  <c r="Z165" i="1"/>
  <c r="AB165" i="1"/>
  <c r="AC165" i="1"/>
  <c r="AD165" i="1"/>
  <c r="X165" i="1" s="1"/>
  <c r="AE165" i="1"/>
  <c r="AF165" i="1"/>
  <c r="AH96" i="1"/>
  <c r="AM96" i="1"/>
  <c r="AN96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97" i="1"/>
  <c r="AM97" i="1"/>
  <c r="AN97" i="1"/>
  <c r="K167" i="1"/>
  <c r="L167" i="1"/>
  <c r="M167" i="1"/>
  <c r="N167" i="1"/>
  <c r="V167" i="1"/>
  <c r="Y167" i="1"/>
  <c r="Z167" i="1"/>
  <c r="AB167" i="1"/>
  <c r="AC167" i="1"/>
  <c r="AD167" i="1"/>
  <c r="AG167" i="1" s="1"/>
  <c r="AE167" i="1"/>
  <c r="AF167" i="1"/>
  <c r="AH98" i="1"/>
  <c r="AM98" i="1"/>
  <c r="AN98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99" i="1"/>
  <c r="AM99" i="1"/>
  <c r="AN99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0" i="1"/>
  <c r="AM100" i="1"/>
  <c r="AN100" i="1"/>
  <c r="K170" i="1"/>
  <c r="L170" i="1"/>
  <c r="M170" i="1"/>
  <c r="V170" i="1"/>
  <c r="S40" i="3" s="1"/>
  <c r="Y170" i="1"/>
  <c r="Z170" i="1"/>
  <c r="AB170" i="1"/>
  <c r="AC170" i="1"/>
  <c r="AD170" i="1"/>
  <c r="T170" i="1" s="1"/>
  <c r="AE170" i="1"/>
  <c r="R40" i="3" s="1"/>
  <c r="AF170" i="1"/>
  <c r="AH101" i="1"/>
  <c r="AM101" i="1"/>
  <c r="AN101" i="1"/>
  <c r="K171" i="1"/>
  <c r="L171" i="1"/>
  <c r="M171" i="1"/>
  <c r="N171" i="1" s="1"/>
  <c r="V171" i="1"/>
  <c r="S41" i="3" s="1"/>
  <c r="Y171" i="1"/>
  <c r="Z171" i="1"/>
  <c r="AB171" i="1"/>
  <c r="AC171" i="1"/>
  <c r="AD171" i="1"/>
  <c r="AG171" i="1" s="1"/>
  <c r="AE171" i="1"/>
  <c r="R41" i="3" s="1"/>
  <c r="AF171" i="1"/>
  <c r="AH102" i="1"/>
  <c r="AM102" i="1"/>
  <c r="AN102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03" i="1"/>
  <c r="AM103" i="1"/>
  <c r="AN103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04" i="1"/>
  <c r="AM104" i="1"/>
  <c r="AN104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5" i="1"/>
  <c r="AM105" i="1"/>
  <c r="AN105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106" i="1"/>
  <c r="AM106" i="1"/>
  <c r="AN106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07" i="1"/>
  <c r="AM107" i="1"/>
  <c r="AN107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08" i="1"/>
  <c r="AM108" i="1"/>
  <c r="AN108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09" i="1"/>
  <c r="AM109" i="1"/>
  <c r="AN109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0" i="1"/>
  <c r="AM110" i="1"/>
  <c r="AN110" i="1"/>
  <c r="K179" i="1"/>
  <c r="L179" i="1"/>
  <c r="M179" i="1"/>
  <c r="N179" i="1" s="1"/>
  <c r="V179" i="1"/>
  <c r="S42" i="3" s="1"/>
  <c r="Y179" i="1"/>
  <c r="Z179" i="1"/>
  <c r="AB179" i="1"/>
  <c r="AC179" i="1"/>
  <c r="AD179" i="1"/>
  <c r="AG179" i="1" s="1"/>
  <c r="AE179" i="1"/>
  <c r="R42" i="3" s="1"/>
  <c r="AF179" i="1"/>
  <c r="AH111" i="1"/>
  <c r="AM111" i="1"/>
  <c r="AN111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2" i="1"/>
  <c r="AM112" i="1"/>
  <c r="AN112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3" i="1"/>
  <c r="AM113" i="1"/>
  <c r="AN113" i="1"/>
  <c r="K182" i="1"/>
  <c r="L182" i="1"/>
  <c r="M182" i="1"/>
  <c r="N182" i="1" s="1"/>
  <c r="V182" i="1"/>
  <c r="Y182" i="1"/>
  <c r="Z182" i="1"/>
  <c r="AA182" i="1" s="1"/>
  <c r="AB182" i="1"/>
  <c r="AC182" i="1"/>
  <c r="AD182" i="1"/>
  <c r="AE182" i="1"/>
  <c r="AF182" i="1"/>
  <c r="AH114" i="1"/>
  <c r="AM114" i="1"/>
  <c r="AN114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5" i="1"/>
  <c r="AM115" i="1"/>
  <c r="AN115" i="1"/>
  <c r="K184" i="1"/>
  <c r="L184" i="1"/>
  <c r="M184" i="1"/>
  <c r="P184" i="1" s="1"/>
  <c r="V184" i="1"/>
  <c r="Y184" i="1"/>
  <c r="Z184" i="1"/>
  <c r="AB184" i="1"/>
  <c r="AC184" i="1"/>
  <c r="AD184" i="1"/>
  <c r="AE184" i="1"/>
  <c r="AF184" i="1"/>
  <c r="AH116" i="1"/>
  <c r="AM116" i="1"/>
  <c r="AN116" i="1"/>
  <c r="AH117" i="1"/>
  <c r="AM117" i="1"/>
  <c r="AN117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118" i="1"/>
  <c r="AM118" i="1"/>
  <c r="AN118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19" i="1"/>
  <c r="AM119" i="1"/>
  <c r="AN11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0" i="1"/>
  <c r="AM120" i="1"/>
  <c r="AN120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1" i="1"/>
  <c r="AM121" i="1"/>
  <c r="AN12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122" i="1"/>
  <c r="AM122" i="1"/>
  <c r="AN122" i="1"/>
  <c r="K91" i="1"/>
  <c r="L91" i="1"/>
  <c r="M91" i="1"/>
  <c r="P91" i="1" s="1"/>
  <c r="V91" i="1"/>
  <c r="S21" i="3" s="1"/>
  <c r="Y91" i="1"/>
  <c r="Z91" i="1"/>
  <c r="AB91" i="1"/>
  <c r="AC91" i="1"/>
  <c r="AD91" i="1"/>
  <c r="X91" i="1" s="1"/>
  <c r="AE91" i="1"/>
  <c r="AF91" i="1"/>
  <c r="AH123" i="1"/>
  <c r="AM123" i="1"/>
  <c r="AN123" i="1"/>
  <c r="AH124" i="1"/>
  <c r="AM124" i="1"/>
  <c r="AN124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125" i="1"/>
  <c r="AM125" i="1"/>
  <c r="AN125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26" i="1"/>
  <c r="AM126" i="1"/>
  <c r="AN126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27" i="1"/>
  <c r="AM127" i="1"/>
  <c r="AN127" i="1"/>
  <c r="K95" i="1"/>
  <c r="L95" i="1"/>
  <c r="M95" i="1"/>
  <c r="N95" i="1" s="1"/>
  <c r="V95" i="1"/>
  <c r="Y95" i="1"/>
  <c r="Z95" i="1"/>
  <c r="AB95" i="1"/>
  <c r="AC95" i="1"/>
  <c r="AD95" i="1"/>
  <c r="X95" i="1" s="1"/>
  <c r="AE95" i="1"/>
  <c r="AF95" i="1"/>
  <c r="AH128" i="1"/>
  <c r="AM128" i="1"/>
  <c r="AN128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29" i="1"/>
  <c r="AM129" i="1"/>
  <c r="AN129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130" i="1"/>
  <c r="AM130" i="1"/>
  <c r="AN130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131" i="1"/>
  <c r="AM131" i="1"/>
  <c r="AN131" i="1"/>
  <c r="K97" i="1"/>
  <c r="L97" i="1"/>
  <c r="M97" i="1"/>
  <c r="N97" i="1" s="1"/>
  <c r="V97" i="1"/>
  <c r="S13" i="3" s="1"/>
  <c r="Y97" i="1"/>
  <c r="Z97" i="1"/>
  <c r="AB97" i="1"/>
  <c r="AC97" i="1"/>
  <c r="AD97" i="1"/>
  <c r="T97" i="1" s="1"/>
  <c r="AE97" i="1"/>
  <c r="AF97" i="1"/>
  <c r="AH132" i="1"/>
  <c r="AM132" i="1"/>
  <c r="AN132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3" i="1"/>
  <c r="AM133" i="1"/>
  <c r="AN133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34" i="1"/>
  <c r="AM134" i="1"/>
  <c r="AN134" i="1"/>
  <c r="K100" i="1"/>
  <c r="L100" i="1"/>
  <c r="M100" i="1"/>
  <c r="N100" i="1" s="1"/>
  <c r="V100" i="1"/>
  <c r="S26" i="3" s="1"/>
  <c r="Y100" i="1"/>
  <c r="Z100" i="1"/>
  <c r="AB100" i="1"/>
  <c r="AC100" i="1"/>
  <c r="AD100" i="1"/>
  <c r="T100" i="1" s="1"/>
  <c r="AE100" i="1"/>
  <c r="AF100" i="1"/>
  <c r="AH135" i="1"/>
  <c r="AM135" i="1"/>
  <c r="AN135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6" i="1"/>
  <c r="AM136" i="1"/>
  <c r="AN136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7" i="1"/>
  <c r="AM137" i="1"/>
  <c r="AN137" i="1"/>
  <c r="K103" i="1"/>
  <c r="L103" i="1"/>
  <c r="M103" i="1"/>
  <c r="N103" i="1" s="1"/>
  <c r="V103" i="1"/>
  <c r="S33" i="3" s="1"/>
  <c r="Y103" i="1"/>
  <c r="Z103" i="1"/>
  <c r="AB103" i="1"/>
  <c r="AC103" i="1"/>
  <c r="AD103" i="1"/>
  <c r="T103" i="1" s="1"/>
  <c r="AE103" i="1"/>
  <c r="AF103" i="1"/>
  <c r="AH138" i="1"/>
  <c r="AM138" i="1"/>
  <c r="AN138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39" i="1"/>
  <c r="AM139" i="1"/>
  <c r="AN139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0" i="1"/>
  <c r="AM140" i="1"/>
  <c r="AN140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1" i="1"/>
  <c r="AM141" i="1"/>
  <c r="AN141" i="1"/>
  <c r="K107" i="1"/>
  <c r="L107" i="1"/>
  <c r="M107" i="1"/>
  <c r="N107" i="1" s="1"/>
  <c r="V107" i="1"/>
  <c r="S34" i="3" s="1"/>
  <c r="Y107" i="1"/>
  <c r="Z107" i="1"/>
  <c r="AB107" i="1"/>
  <c r="AC107" i="1"/>
  <c r="AD107" i="1"/>
  <c r="T107" i="1" s="1"/>
  <c r="AE107" i="1"/>
  <c r="AF107" i="1"/>
  <c r="AH142" i="1"/>
  <c r="AM142" i="1"/>
  <c r="AN142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3" i="1"/>
  <c r="AM143" i="1"/>
  <c r="AN143" i="1"/>
  <c r="K109" i="1"/>
  <c r="L109" i="1"/>
  <c r="M109" i="1"/>
  <c r="N109" i="1" s="1"/>
  <c r="V109" i="1"/>
  <c r="S7" i="3" s="1"/>
  <c r="Y109" i="1"/>
  <c r="Z109" i="1"/>
  <c r="AB109" i="1"/>
  <c r="AC109" i="1"/>
  <c r="AD109" i="1"/>
  <c r="T109" i="1" s="1"/>
  <c r="AE109" i="1"/>
  <c r="AF109" i="1"/>
  <c r="AH144" i="1"/>
  <c r="AM144" i="1"/>
  <c r="AN144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5" i="1"/>
  <c r="AM145" i="1"/>
  <c r="AN145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6" i="1"/>
  <c r="AM146" i="1"/>
  <c r="AN146" i="1"/>
  <c r="K112" i="1"/>
  <c r="L112" i="1"/>
  <c r="M112" i="1"/>
  <c r="N112" i="1" s="1"/>
  <c r="V112" i="1"/>
  <c r="S17" i="3" s="1"/>
  <c r="Y112" i="1"/>
  <c r="Z112" i="1"/>
  <c r="AB112" i="1"/>
  <c r="AC112" i="1"/>
  <c r="AD112" i="1"/>
  <c r="T112" i="1" s="1"/>
  <c r="AE112" i="1"/>
  <c r="AF112" i="1"/>
  <c r="AH147" i="1"/>
  <c r="AM147" i="1"/>
  <c r="AN147" i="1"/>
  <c r="K113" i="1"/>
  <c r="L113" i="1"/>
  <c r="M113" i="1"/>
  <c r="N113" i="1" s="1"/>
  <c r="V113" i="1"/>
  <c r="S35" i="3" s="1"/>
  <c r="Y113" i="1"/>
  <c r="Z113" i="1"/>
  <c r="AB113" i="1"/>
  <c r="AC113" i="1"/>
  <c r="AD113" i="1"/>
  <c r="T113" i="1" s="1"/>
  <c r="AE113" i="1"/>
  <c r="AF113" i="1"/>
  <c r="AH148" i="1"/>
  <c r="AM148" i="1"/>
  <c r="AN148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49" i="1"/>
  <c r="AM149" i="1"/>
  <c r="AN149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50" i="1"/>
  <c r="AM150" i="1"/>
  <c r="AN150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1" i="1"/>
  <c r="AM151" i="1"/>
  <c r="AN151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2" i="1"/>
  <c r="AM152" i="1"/>
  <c r="AN152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3" i="1"/>
  <c r="AM153" i="1"/>
  <c r="AN153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4" i="1"/>
  <c r="AM154" i="1"/>
  <c r="AN154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5" i="1"/>
  <c r="AM155" i="1"/>
  <c r="AN155" i="1"/>
  <c r="AH156" i="1"/>
  <c r="AM156" i="1"/>
  <c r="AN156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7" i="1"/>
  <c r="AM157" i="1"/>
  <c r="AN157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58" i="1"/>
  <c r="AM158" i="1"/>
  <c r="AN158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59" i="1"/>
  <c r="AM159" i="1"/>
  <c r="AN159" i="1"/>
  <c r="K125" i="1"/>
  <c r="L125" i="1"/>
  <c r="M125" i="1"/>
  <c r="N125" i="1" s="1"/>
  <c r="V125" i="1"/>
  <c r="S36" i="3" s="1"/>
  <c r="Y125" i="1"/>
  <c r="Z125" i="1"/>
  <c r="AB125" i="1"/>
  <c r="AC125" i="1"/>
  <c r="AD125" i="1"/>
  <c r="T125" i="1" s="1"/>
  <c r="AE125" i="1"/>
  <c r="AF125" i="1"/>
  <c r="AH160" i="1"/>
  <c r="AM160" i="1"/>
  <c r="AN160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1" i="1"/>
  <c r="AM161" i="1"/>
  <c r="AN161" i="1"/>
  <c r="K127" i="1"/>
  <c r="L127" i="1"/>
  <c r="M127" i="1"/>
  <c r="N127" i="1" s="1"/>
  <c r="V127" i="1"/>
  <c r="S22" i="3" s="1"/>
  <c r="Y127" i="1"/>
  <c r="Z127" i="1"/>
  <c r="AB127" i="1"/>
  <c r="AC127" i="1"/>
  <c r="AD127" i="1"/>
  <c r="T127" i="1" s="1"/>
  <c r="AE127" i="1"/>
  <c r="AF127" i="1"/>
  <c r="AH162" i="1"/>
  <c r="AM162" i="1"/>
  <c r="AN162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3" i="1"/>
  <c r="AM163" i="1"/>
  <c r="AN163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4" i="1"/>
  <c r="AM164" i="1"/>
  <c r="AN164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65" i="1"/>
  <c r="AM165" i="1"/>
  <c r="AN165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6" i="1"/>
  <c r="AM166" i="1"/>
  <c r="AN166" i="1"/>
  <c r="K132" i="1"/>
  <c r="L132" i="1"/>
  <c r="M132" i="1"/>
  <c r="N132" i="1" s="1"/>
  <c r="V132" i="1"/>
  <c r="S15" i="3" s="1"/>
  <c r="Y132" i="1"/>
  <c r="Z132" i="1"/>
  <c r="AB132" i="1"/>
  <c r="AC132" i="1"/>
  <c r="AD132" i="1"/>
  <c r="T132" i="1" s="1"/>
  <c r="AE132" i="1"/>
  <c r="AF132" i="1"/>
  <c r="AH167" i="1"/>
  <c r="AM167" i="1"/>
  <c r="AN167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8" i="1"/>
  <c r="AM168" i="1"/>
  <c r="AN168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69" i="1"/>
  <c r="AM169" i="1"/>
  <c r="AN169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0" i="1"/>
  <c r="AM170" i="1"/>
  <c r="AN170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2" i="1"/>
  <c r="AM172" i="1"/>
  <c r="AN172" i="1"/>
  <c r="K138" i="1"/>
  <c r="L138" i="1"/>
  <c r="M138" i="1"/>
  <c r="V138" i="1"/>
  <c r="Y138" i="1"/>
  <c r="Z138" i="1"/>
  <c r="AB138" i="1"/>
  <c r="AC138" i="1"/>
  <c r="AD138" i="1"/>
  <c r="AG138" i="1" s="1"/>
  <c r="AE138" i="1"/>
  <c r="AF138" i="1"/>
  <c r="AH173" i="1"/>
  <c r="AM173" i="1"/>
  <c r="AN173" i="1"/>
  <c r="K139" i="1"/>
  <c r="L139" i="1"/>
  <c r="M139" i="1"/>
  <c r="V139" i="1"/>
  <c r="Y139" i="1"/>
  <c r="Z139" i="1"/>
  <c r="AB139" i="1"/>
  <c r="AC139" i="1"/>
  <c r="AD139" i="1"/>
  <c r="T139" i="1" s="1"/>
  <c r="AE139" i="1"/>
  <c r="AF139" i="1"/>
  <c r="AH174" i="1"/>
  <c r="AM174" i="1"/>
  <c r="AN174" i="1"/>
  <c r="K140" i="1"/>
  <c r="L140" i="1"/>
  <c r="M140" i="1"/>
  <c r="N140" i="1" s="1"/>
  <c r="V140" i="1"/>
  <c r="S37" i="3" s="1"/>
  <c r="Y140" i="1"/>
  <c r="Z140" i="1"/>
  <c r="AB140" i="1"/>
  <c r="AC140" i="1"/>
  <c r="AD140" i="1"/>
  <c r="T140" i="1" s="1"/>
  <c r="AE140" i="1"/>
  <c r="AF140" i="1"/>
  <c r="AH175" i="1"/>
  <c r="AM175" i="1"/>
  <c r="AN175" i="1"/>
  <c r="K141" i="1"/>
  <c r="L141" i="1"/>
  <c r="M141" i="1"/>
  <c r="V141" i="1"/>
  <c r="Y141" i="1"/>
  <c r="Z141" i="1"/>
  <c r="AB141" i="1"/>
  <c r="AC141" i="1"/>
  <c r="AD141" i="1"/>
  <c r="T141" i="1" s="1"/>
  <c r="AE141" i="1"/>
  <c r="AF141" i="1"/>
  <c r="AH176" i="1"/>
  <c r="AM176" i="1"/>
  <c r="AN176" i="1"/>
  <c r="K142" i="1"/>
  <c r="L142" i="1"/>
  <c r="M142" i="1"/>
  <c r="V142" i="1"/>
  <c r="Y142" i="1"/>
  <c r="Z142" i="1"/>
  <c r="AB142" i="1"/>
  <c r="AC142" i="1"/>
  <c r="AD142" i="1"/>
  <c r="AG142" i="1" s="1"/>
  <c r="AE142" i="1"/>
  <c r="AF142" i="1"/>
  <c r="AH177" i="1"/>
  <c r="AM177" i="1"/>
  <c r="AN177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78" i="1"/>
  <c r="AM178" i="1"/>
  <c r="AN178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9" i="1"/>
  <c r="AM179" i="1"/>
  <c r="AN179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0" i="1"/>
  <c r="AM180" i="1"/>
  <c r="AN180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3" i="1"/>
  <c r="AM183" i="1"/>
  <c r="AN183" i="1"/>
  <c r="K149" i="1"/>
  <c r="L149" i="1"/>
  <c r="M149" i="1"/>
  <c r="N149" i="1" s="1"/>
  <c r="V149" i="1"/>
  <c r="S14" i="3" s="1"/>
  <c r="Y149" i="1"/>
  <c r="Z149" i="1"/>
  <c r="AB149" i="1"/>
  <c r="AC149" i="1"/>
  <c r="AD149" i="1"/>
  <c r="AG149" i="1" s="1"/>
  <c r="AE149" i="1"/>
  <c r="AF149" i="1"/>
  <c r="AH184" i="1"/>
  <c r="AM184" i="1"/>
  <c r="AN184" i="1"/>
  <c r="K150" i="1"/>
  <c r="L150" i="1"/>
  <c r="M150" i="1"/>
  <c r="N150" i="1" s="1"/>
  <c r="V150" i="1"/>
  <c r="S30" i="3" s="1"/>
  <c r="Y150" i="1"/>
  <c r="Z150" i="1"/>
  <c r="AB150" i="1"/>
  <c r="AC150" i="1"/>
  <c r="AD150" i="1"/>
  <c r="T150" i="1" s="1"/>
  <c r="AE150" i="1"/>
  <c r="AF150" i="1"/>
  <c r="AH185" i="1"/>
  <c r="AM185" i="1"/>
  <c r="AN185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6" i="1"/>
  <c r="AM186" i="1"/>
  <c r="AN186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7" i="1"/>
  <c r="AM187" i="1"/>
  <c r="AN187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8" i="1"/>
  <c r="AM188" i="1"/>
  <c r="AN188" i="1"/>
  <c r="AH189" i="1"/>
  <c r="AM189" i="1"/>
  <c r="AN189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0" i="1"/>
  <c r="AM190" i="1"/>
  <c r="AN190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91" i="1"/>
  <c r="AM191" i="1"/>
  <c r="AN191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92" i="1"/>
  <c r="AM192" i="1"/>
  <c r="AN192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93" i="1"/>
  <c r="AM193" i="1"/>
  <c r="AN19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94" i="1"/>
  <c r="AM194" i="1"/>
  <c r="AN194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AM203" i="1"/>
  <c r="AN203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4" i="1"/>
  <c r="AM204" i="1"/>
  <c r="AN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5" i="1"/>
  <c r="AM205" i="1"/>
  <c r="AN205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6" i="1"/>
  <c r="AM206" i="1"/>
  <c r="AN206" i="1"/>
  <c r="K207" i="1"/>
  <c r="L207" i="1"/>
  <c r="M207" i="1"/>
  <c r="N207" i="1" s="1"/>
  <c r="V207" i="1"/>
  <c r="S46" i="3" s="1"/>
  <c r="Y207" i="1"/>
  <c r="Z207" i="1"/>
  <c r="AA207" i="1" s="1"/>
  <c r="W207" i="1" s="1"/>
  <c r="AB207" i="1"/>
  <c r="AC207" i="1"/>
  <c r="AD207" i="1"/>
  <c r="AG207" i="1" s="1"/>
  <c r="AE207" i="1"/>
  <c r="R46" i="3" s="1"/>
  <c r="AF207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9" i="1"/>
  <c r="AM209" i="1"/>
  <c r="AN209" i="1"/>
  <c r="K210" i="1"/>
  <c r="L210" i="1"/>
  <c r="M210" i="1"/>
  <c r="N210" i="1" s="1"/>
  <c r="V210" i="1"/>
  <c r="S45" i="3" s="1"/>
  <c r="Y210" i="1"/>
  <c r="Z210" i="1"/>
  <c r="AB210" i="1"/>
  <c r="AC210" i="1"/>
  <c r="AD210" i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R45" i="3" s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22" i="1"/>
  <c r="AM222" i="1"/>
  <c r="AN222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23" i="1"/>
  <c r="AM223" i="1"/>
  <c r="AN223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24" i="1"/>
  <c r="AM224" i="1"/>
  <c r="AN22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25" i="1"/>
  <c r="AM225" i="1"/>
  <c r="AN225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226" i="1"/>
  <c r="AM226" i="1"/>
  <c r="AN226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27" i="1"/>
  <c r="AM227" i="1"/>
  <c r="AN227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28" i="1"/>
  <c r="AM228" i="1"/>
  <c r="AN228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229" i="1"/>
  <c r="AM229" i="1"/>
  <c r="AN229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30" i="1"/>
  <c r="AM230" i="1"/>
  <c r="AN230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231" i="1"/>
  <c r="AM231" i="1"/>
  <c r="AN231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232" i="1"/>
  <c r="AM232" i="1"/>
  <c r="AN232" i="1"/>
  <c r="K233" i="1"/>
  <c r="L233" i="1"/>
  <c r="M233" i="1"/>
  <c r="N233" i="1" s="1"/>
  <c r="V233" i="1"/>
  <c r="S44" i="3" s="1"/>
  <c r="Y233" i="1"/>
  <c r="Z233" i="1"/>
  <c r="AB233" i="1"/>
  <c r="AC233" i="1"/>
  <c r="AD233" i="1"/>
  <c r="AE233" i="1"/>
  <c r="AF233" i="1"/>
  <c r="AH233" i="1"/>
  <c r="AM233" i="1"/>
  <c r="AN233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234" i="1"/>
  <c r="AM234" i="1"/>
  <c r="AN234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235" i="1"/>
  <c r="AM235" i="1"/>
  <c r="AN235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236" i="1"/>
  <c r="AM236" i="1"/>
  <c r="AN236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237" i="1"/>
  <c r="AM237" i="1"/>
  <c r="AN237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238" i="1"/>
  <c r="AM238" i="1"/>
  <c r="AN238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239" i="1"/>
  <c r="AM239" i="1"/>
  <c r="AN239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240" i="1"/>
  <c r="AM240" i="1"/>
  <c r="AN240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241" i="1"/>
  <c r="AM241" i="1"/>
  <c r="AN241" i="1"/>
  <c r="K242" i="1"/>
  <c r="L242" i="1"/>
  <c r="M242" i="1"/>
  <c r="N242" i="1" s="1"/>
  <c r="V242" i="1"/>
  <c r="Y242" i="1"/>
  <c r="Z242" i="1"/>
  <c r="AB242" i="1"/>
  <c r="AC242" i="1"/>
  <c r="AD242" i="1"/>
  <c r="AG242" i="1" s="1"/>
  <c r="AE242" i="1"/>
  <c r="AF242" i="1"/>
  <c r="AH242" i="1"/>
  <c r="AM242" i="1"/>
  <c r="AN242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243" i="1"/>
  <c r="AM243" i="1"/>
  <c r="AN243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244" i="1"/>
  <c r="AM244" i="1"/>
  <c r="AN244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245" i="1"/>
  <c r="AM245" i="1"/>
  <c r="AN245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246" i="1"/>
  <c r="AM246" i="1"/>
  <c r="AN246" i="1"/>
  <c r="K247" i="1"/>
  <c r="L247" i="1"/>
  <c r="M247" i="1"/>
  <c r="N247" i="1" s="1"/>
  <c r="V247" i="1"/>
  <c r="Y247" i="1"/>
  <c r="Z247" i="1"/>
  <c r="AB247" i="1"/>
  <c r="AC247" i="1"/>
  <c r="AD247" i="1"/>
  <c r="AG247" i="1" s="1"/>
  <c r="AE247" i="1"/>
  <c r="R44" i="3" s="1"/>
  <c r="AF247" i="1"/>
  <c r="AH247" i="1"/>
  <c r="AM247" i="1"/>
  <c r="AN247" i="1"/>
  <c r="K248" i="1"/>
  <c r="L248" i="1"/>
  <c r="M248" i="1"/>
  <c r="N248" i="1" s="1"/>
  <c r="V248" i="1"/>
  <c r="Y248" i="1"/>
  <c r="Z248" i="1"/>
  <c r="AB248" i="1"/>
  <c r="AC248" i="1"/>
  <c r="AD248" i="1"/>
  <c r="AE248" i="1"/>
  <c r="AF248" i="1"/>
  <c r="AH248" i="1"/>
  <c r="AM248" i="1"/>
  <c r="AN248" i="1"/>
  <c r="K249" i="1"/>
  <c r="L249" i="1"/>
  <c r="M249" i="1"/>
  <c r="N249" i="1" s="1"/>
  <c r="V249" i="1"/>
  <c r="S43" i="3" s="1"/>
  <c r="Y249" i="1"/>
  <c r="Z249" i="1"/>
  <c r="AB249" i="1"/>
  <c r="AC249" i="1"/>
  <c r="AD249" i="1"/>
  <c r="T249" i="1" s="1"/>
  <c r="AE249" i="1"/>
  <c r="AF249" i="1"/>
  <c r="AH249" i="1"/>
  <c r="AM249" i="1"/>
  <c r="AN249" i="1"/>
  <c r="K250" i="1"/>
  <c r="L250" i="1"/>
  <c r="M250" i="1"/>
  <c r="N250" i="1" s="1"/>
  <c r="V250" i="1"/>
  <c r="Y250" i="1"/>
  <c r="Z250" i="1"/>
  <c r="AB250" i="1"/>
  <c r="AC250" i="1"/>
  <c r="AD250" i="1"/>
  <c r="T250" i="1" s="1"/>
  <c r="AE250" i="1"/>
  <c r="AF250" i="1"/>
  <c r="AH250" i="1"/>
  <c r="AM250" i="1"/>
  <c r="AN250" i="1"/>
  <c r="K251" i="1"/>
  <c r="L251" i="1"/>
  <c r="M251" i="1"/>
  <c r="N251" i="1" s="1"/>
  <c r="V251" i="1"/>
  <c r="Y251" i="1"/>
  <c r="Z251" i="1"/>
  <c r="AB251" i="1"/>
  <c r="AC251" i="1"/>
  <c r="AD251" i="1"/>
  <c r="AG251" i="1" s="1"/>
  <c r="AE251" i="1"/>
  <c r="AF251" i="1"/>
  <c r="AH251" i="1"/>
  <c r="AM251" i="1"/>
  <c r="AN251" i="1"/>
  <c r="K252" i="1"/>
  <c r="L252" i="1"/>
  <c r="M252" i="1"/>
  <c r="N252" i="1" s="1"/>
  <c r="V252" i="1"/>
  <c r="Y252" i="1"/>
  <c r="Z252" i="1"/>
  <c r="AB252" i="1"/>
  <c r="AC252" i="1"/>
  <c r="AD252" i="1"/>
  <c r="T252" i="1" s="1"/>
  <c r="AE252" i="1"/>
  <c r="AF252" i="1"/>
  <c r="AH252" i="1"/>
  <c r="AM252" i="1"/>
  <c r="AN252" i="1"/>
  <c r="K253" i="1"/>
  <c r="L253" i="1"/>
  <c r="M253" i="1"/>
  <c r="N253" i="1" s="1"/>
  <c r="V253" i="1"/>
  <c r="Y253" i="1"/>
  <c r="Z253" i="1"/>
  <c r="AB253" i="1"/>
  <c r="AC253" i="1"/>
  <c r="AD253" i="1"/>
  <c r="T253" i="1" s="1"/>
  <c r="AE253" i="1"/>
  <c r="AF253" i="1"/>
  <c r="AH253" i="1"/>
  <c r="AM253" i="1"/>
  <c r="AN253" i="1"/>
  <c r="K254" i="1"/>
  <c r="L254" i="1"/>
  <c r="M254" i="1"/>
  <c r="N254" i="1" s="1"/>
  <c r="V254" i="1"/>
  <c r="Y254" i="1"/>
  <c r="Z254" i="1"/>
  <c r="AB254" i="1"/>
  <c r="AC254" i="1"/>
  <c r="AD254" i="1"/>
  <c r="T254" i="1" s="1"/>
  <c r="AE254" i="1"/>
  <c r="AF254" i="1"/>
  <c r="AH254" i="1"/>
  <c r="AM254" i="1"/>
  <c r="AN254" i="1"/>
  <c r="K255" i="1"/>
  <c r="L255" i="1"/>
  <c r="M255" i="1"/>
  <c r="N255" i="1" s="1"/>
  <c r="V255" i="1"/>
  <c r="Y255" i="1"/>
  <c r="Z255" i="1"/>
  <c r="AB255" i="1"/>
  <c r="AC255" i="1"/>
  <c r="AD255" i="1"/>
  <c r="AG255" i="1" s="1"/>
  <c r="AE255" i="1"/>
  <c r="AF255" i="1"/>
  <c r="AH255" i="1"/>
  <c r="AM255" i="1"/>
  <c r="AN255" i="1"/>
  <c r="K256" i="1"/>
  <c r="L256" i="1"/>
  <c r="M256" i="1"/>
  <c r="N256" i="1" s="1"/>
  <c r="V256" i="1"/>
  <c r="Y256" i="1"/>
  <c r="Z256" i="1"/>
  <c r="AB256" i="1"/>
  <c r="AC256" i="1"/>
  <c r="AD256" i="1"/>
  <c r="AE256" i="1"/>
  <c r="R43" i="3" s="1"/>
  <c r="AF256" i="1"/>
  <c r="AH256" i="1"/>
  <c r="AM256" i="1"/>
  <c r="AN256" i="1"/>
  <c r="K257" i="1"/>
  <c r="L257" i="1"/>
  <c r="M257" i="1"/>
  <c r="N257" i="1" s="1"/>
  <c r="V257" i="1"/>
  <c r="Y257" i="1"/>
  <c r="Z257" i="1"/>
  <c r="AB257" i="1"/>
  <c r="AC257" i="1"/>
  <c r="AD257" i="1"/>
  <c r="T257" i="1" s="1"/>
  <c r="AE257" i="1"/>
  <c r="AF257" i="1"/>
  <c r="AH257" i="1"/>
  <c r="AM257" i="1"/>
  <c r="AN257" i="1"/>
  <c r="K258" i="1"/>
  <c r="L258" i="1"/>
  <c r="M258" i="1"/>
  <c r="N258" i="1" s="1"/>
  <c r="V258" i="1"/>
  <c r="Y258" i="1"/>
  <c r="Z258" i="1"/>
  <c r="AB258" i="1"/>
  <c r="AC258" i="1"/>
  <c r="AD258" i="1"/>
  <c r="T258" i="1" s="1"/>
  <c r="AE258" i="1"/>
  <c r="AF258" i="1"/>
  <c r="AH258" i="1"/>
  <c r="AM258" i="1"/>
  <c r="AN258" i="1"/>
  <c r="K259" i="1"/>
  <c r="L259" i="1"/>
  <c r="M259" i="1"/>
  <c r="N259" i="1" s="1"/>
  <c r="V259" i="1"/>
  <c r="Y259" i="1"/>
  <c r="Z259" i="1"/>
  <c r="AB259" i="1"/>
  <c r="AC259" i="1"/>
  <c r="AD259" i="1"/>
  <c r="AG259" i="1" s="1"/>
  <c r="AE259" i="1"/>
  <c r="AF259" i="1"/>
  <c r="AH259" i="1"/>
  <c r="AM259" i="1"/>
  <c r="AN259" i="1"/>
  <c r="M25" i="3"/>
  <c r="R25" i="3"/>
  <c r="U25" i="3"/>
  <c r="T25" i="3" s="1"/>
  <c r="V25" i="3"/>
  <c r="W25" i="3"/>
  <c r="X25" i="3"/>
  <c r="Y25" i="3"/>
  <c r="M10" i="3"/>
  <c r="R10" i="3"/>
  <c r="U10" i="3"/>
  <c r="T10" i="3" s="1"/>
  <c r="V10" i="3"/>
  <c r="W10" i="3"/>
  <c r="X10" i="3"/>
  <c r="M8" i="3"/>
  <c r="U8" i="3"/>
  <c r="T8" i="3" s="1"/>
  <c r="V8" i="3"/>
  <c r="W8" i="3"/>
  <c r="X8" i="3"/>
  <c r="AC8" i="3"/>
  <c r="M39" i="3"/>
  <c r="R39" i="3"/>
  <c r="U39" i="3"/>
  <c r="AC39" i="3" s="1"/>
  <c r="V39" i="3"/>
  <c r="W39" i="3"/>
  <c r="X39" i="3"/>
  <c r="M18" i="3"/>
  <c r="S18" i="3"/>
  <c r="U18" i="3"/>
  <c r="T18" i="3" s="1"/>
  <c r="V18" i="3"/>
  <c r="W18" i="3"/>
  <c r="Y18" i="3" s="1"/>
  <c r="X18" i="3"/>
  <c r="M11" i="3"/>
  <c r="S11" i="3"/>
  <c r="U11" i="3"/>
  <c r="T11" i="3" s="1"/>
  <c r="V11" i="3"/>
  <c r="W11" i="3"/>
  <c r="X11" i="3"/>
  <c r="AC11" i="3"/>
  <c r="M19" i="3"/>
  <c r="U19" i="3"/>
  <c r="T19" i="3" s="1"/>
  <c r="V19" i="3"/>
  <c r="W19" i="3"/>
  <c r="X19" i="3"/>
  <c r="AC19" i="3"/>
  <c r="M24" i="3"/>
  <c r="U24" i="3"/>
  <c r="AD24" i="3" s="1"/>
  <c r="V24" i="3"/>
  <c r="W24" i="3"/>
  <c r="Y24" i="3" s="1"/>
  <c r="X24" i="3"/>
  <c r="M23" i="3"/>
  <c r="U23" i="3"/>
  <c r="T23" i="3" s="1"/>
  <c r="V23" i="3"/>
  <c r="W23" i="3"/>
  <c r="X23" i="3"/>
  <c r="AC23" i="3"/>
  <c r="M16" i="3"/>
  <c r="U16" i="3"/>
  <c r="T16" i="3" s="1"/>
  <c r="V16" i="3"/>
  <c r="W16" i="3"/>
  <c r="X16" i="3"/>
  <c r="AC16" i="3"/>
  <c r="M45" i="3"/>
  <c r="U45" i="3"/>
  <c r="V45" i="3"/>
  <c r="W45" i="3"/>
  <c r="X45" i="3"/>
  <c r="AC45" i="3"/>
  <c r="M46" i="3"/>
  <c r="U46" i="3"/>
  <c r="T46" i="3" s="1"/>
  <c r="V46" i="3"/>
  <c r="W46" i="3"/>
  <c r="X46" i="3"/>
  <c r="M27" i="3"/>
  <c r="S27" i="3"/>
  <c r="U27" i="3"/>
  <c r="T27" i="3" s="1"/>
  <c r="V27" i="3"/>
  <c r="W27" i="3"/>
  <c r="X27" i="3"/>
  <c r="AC27" i="3"/>
  <c r="M31" i="3"/>
  <c r="S31" i="3"/>
  <c r="U31" i="3"/>
  <c r="T31" i="3" s="1"/>
  <c r="V31" i="3"/>
  <c r="W31" i="3"/>
  <c r="X31" i="3"/>
  <c r="AC31" i="3"/>
  <c r="M32" i="3"/>
  <c r="U32" i="3"/>
  <c r="V32" i="3"/>
  <c r="W32" i="3"/>
  <c r="X32" i="3"/>
  <c r="AC32" i="3"/>
  <c r="M40" i="3"/>
  <c r="U40" i="3"/>
  <c r="V40" i="3"/>
  <c r="W40" i="3"/>
  <c r="X40" i="3"/>
  <c r="M20" i="3"/>
  <c r="R20" i="3"/>
  <c r="U20" i="3"/>
  <c r="T20" i="3" s="1"/>
  <c r="V20" i="3"/>
  <c r="W20" i="3"/>
  <c r="X20" i="3"/>
  <c r="AC20" i="3"/>
  <c r="M41" i="3"/>
  <c r="U41" i="3"/>
  <c r="V41" i="3"/>
  <c r="W41" i="3"/>
  <c r="X41" i="3"/>
  <c r="M12" i="3"/>
  <c r="U12" i="3"/>
  <c r="AC12" i="3" s="1"/>
  <c r="V12" i="3"/>
  <c r="W12" i="3"/>
  <c r="X12" i="3"/>
  <c r="M28" i="3"/>
  <c r="U28" i="3"/>
  <c r="V28" i="3"/>
  <c r="W28" i="3"/>
  <c r="X28" i="3"/>
  <c r="AC28" i="3"/>
  <c r="M29" i="3"/>
  <c r="U29" i="3"/>
  <c r="T29" i="3" s="1"/>
  <c r="V29" i="3"/>
  <c r="W29" i="3"/>
  <c r="X29" i="3"/>
  <c r="AD28" i="3"/>
  <c r="M21" i="3"/>
  <c r="R21" i="3"/>
  <c r="U21" i="3"/>
  <c r="V21" i="3"/>
  <c r="W21" i="3"/>
  <c r="X21" i="3"/>
  <c r="M13" i="3"/>
  <c r="R13" i="3"/>
  <c r="U13" i="3"/>
  <c r="AC13" i="3" s="1"/>
  <c r="V13" i="3"/>
  <c r="W13" i="3"/>
  <c r="X13" i="3"/>
  <c r="M33" i="3"/>
  <c r="R33" i="3"/>
  <c r="U33" i="3"/>
  <c r="V33" i="3"/>
  <c r="W33" i="3"/>
  <c r="X33" i="3"/>
  <c r="AC33" i="3"/>
  <c r="M7" i="3"/>
  <c r="R7" i="3"/>
  <c r="U7" i="3"/>
  <c r="T7" i="3" s="1"/>
  <c r="V7" i="3"/>
  <c r="W7" i="3"/>
  <c r="X7" i="3"/>
  <c r="AC7" i="3"/>
  <c r="M34" i="3"/>
  <c r="R34" i="3"/>
  <c r="U34" i="3"/>
  <c r="AC34" i="3" s="1"/>
  <c r="V34" i="3"/>
  <c r="W34" i="3"/>
  <c r="X34" i="3"/>
  <c r="M26" i="3"/>
  <c r="R26" i="3"/>
  <c r="U26" i="3"/>
  <c r="AC26" i="3" s="1"/>
  <c r="V26" i="3"/>
  <c r="W26" i="3"/>
  <c r="X26" i="3"/>
  <c r="M35" i="3"/>
  <c r="R35" i="3"/>
  <c r="U35" i="3"/>
  <c r="AD35" i="3" s="1"/>
  <c r="V35" i="3"/>
  <c r="W35" i="3"/>
  <c r="X35" i="3"/>
  <c r="AC35" i="3"/>
  <c r="M42" i="3"/>
  <c r="U42" i="3"/>
  <c r="T42" i="3" s="1"/>
  <c r="V42" i="3"/>
  <c r="W42" i="3"/>
  <c r="X42" i="3"/>
  <c r="AC42" i="3"/>
  <c r="M17" i="3"/>
  <c r="R17" i="3"/>
  <c r="U17" i="3"/>
  <c r="V17" i="3"/>
  <c r="W17" i="3"/>
  <c r="X17" i="3"/>
  <c r="AC17" i="3"/>
  <c r="M36" i="3"/>
  <c r="R36" i="3"/>
  <c r="U36" i="3"/>
  <c r="AC36" i="3" s="1"/>
  <c r="V36" i="3"/>
  <c r="W36" i="3"/>
  <c r="X36" i="3"/>
  <c r="M22" i="3"/>
  <c r="R22" i="3"/>
  <c r="U22" i="3"/>
  <c r="T22" i="3" s="1"/>
  <c r="V22" i="3"/>
  <c r="AE39" i="3" s="1"/>
  <c r="W22" i="3"/>
  <c r="X22" i="3"/>
  <c r="M15" i="3"/>
  <c r="R15" i="3"/>
  <c r="U15" i="3"/>
  <c r="T15" i="3" s="1"/>
  <c r="V15" i="3"/>
  <c r="W15" i="3"/>
  <c r="X15" i="3"/>
  <c r="AC15" i="3"/>
  <c r="M37" i="3"/>
  <c r="R37" i="3"/>
  <c r="U37" i="3"/>
  <c r="V37" i="3"/>
  <c r="W37" i="3"/>
  <c r="X37" i="3"/>
  <c r="M43" i="3"/>
  <c r="U43" i="3"/>
  <c r="T43" i="3" s="1"/>
  <c r="V43" i="3"/>
  <c r="W43" i="3"/>
  <c r="X43" i="3"/>
  <c r="M14" i="3"/>
  <c r="R14" i="3"/>
  <c r="U14" i="3"/>
  <c r="V14" i="3"/>
  <c r="W14" i="3"/>
  <c r="X14" i="3"/>
  <c r="AC14" i="3"/>
  <c r="M38" i="3"/>
  <c r="R38" i="3"/>
  <c r="U38" i="3"/>
  <c r="T38" i="3" s="1"/>
  <c r="V38" i="3"/>
  <c r="W38" i="3"/>
  <c r="X38" i="3"/>
  <c r="M30" i="3"/>
  <c r="R30" i="3"/>
  <c r="U30" i="3"/>
  <c r="V30" i="3"/>
  <c r="W30" i="3"/>
  <c r="X30" i="3"/>
  <c r="M44" i="3"/>
  <c r="U44" i="3"/>
  <c r="AC44" i="3" s="1"/>
  <c r="V44" i="3"/>
  <c r="W44" i="3"/>
  <c r="X44" i="3"/>
  <c r="Y13" i="3" l="1"/>
  <c r="AC38" i="3"/>
  <c r="AD39" i="3"/>
  <c r="AD23" i="3"/>
  <c r="AD10" i="3"/>
  <c r="T94" i="1"/>
  <c r="X94" i="1"/>
  <c r="T92" i="1"/>
  <c r="X92" i="1"/>
  <c r="AI51" i="1"/>
  <c r="X18" i="1"/>
  <c r="T93" i="1"/>
  <c r="X93" i="1"/>
  <c r="X120" i="1"/>
  <c r="AG90" i="1"/>
  <c r="X90" i="1"/>
  <c r="T89" i="1"/>
  <c r="X89" i="1"/>
  <c r="AA124" i="1"/>
  <c r="AA122" i="1"/>
  <c r="W122" i="1" s="1"/>
  <c r="AA89" i="1"/>
  <c r="AG84" i="1"/>
  <c r="AI84" i="1" s="1"/>
  <c r="X84" i="1"/>
  <c r="R29" i="3"/>
  <c r="AG85" i="1"/>
  <c r="AI85" i="1" s="1"/>
  <c r="X85" i="1"/>
  <c r="AG83" i="1"/>
  <c r="X83" i="1"/>
  <c r="P49" i="1"/>
  <c r="AA76" i="1"/>
  <c r="AI67" i="1"/>
  <c r="AI63" i="1"/>
  <c r="AA35" i="1"/>
  <c r="AA33" i="1"/>
  <c r="AA259" i="1"/>
  <c r="W259" i="1" s="1"/>
  <c r="AA238" i="1"/>
  <c r="X223" i="1"/>
  <c r="AI207" i="1"/>
  <c r="X143" i="1"/>
  <c r="X135" i="1"/>
  <c r="X173" i="1"/>
  <c r="X248" i="1"/>
  <c r="X231" i="1"/>
  <c r="X147" i="1"/>
  <c r="T248" i="1"/>
  <c r="T231" i="1"/>
  <c r="AA228" i="1"/>
  <c r="AA226" i="1"/>
  <c r="W226" i="1" s="1"/>
  <c r="AA224" i="1"/>
  <c r="T147" i="1"/>
  <c r="AA146" i="1"/>
  <c r="W146" i="1" s="1"/>
  <c r="AA177" i="1"/>
  <c r="AG81" i="1"/>
  <c r="X81" i="1"/>
  <c r="AG79" i="1"/>
  <c r="AI79" i="1" s="1"/>
  <c r="X79" i="1"/>
  <c r="AG77" i="1"/>
  <c r="X77" i="1"/>
  <c r="X75" i="1"/>
  <c r="X64" i="1"/>
  <c r="AA62" i="1"/>
  <c r="AA58" i="1"/>
  <c r="AA47" i="1"/>
  <c r="AG75" i="1"/>
  <c r="AG73" i="1"/>
  <c r="AI73" i="1" s="1"/>
  <c r="X73" i="1"/>
  <c r="S38" i="3"/>
  <c r="AG248" i="1"/>
  <c r="AA231" i="1"/>
  <c r="AA149" i="1"/>
  <c r="W149" i="1" s="1"/>
  <c r="AI142" i="1"/>
  <c r="AA142" i="1"/>
  <c r="AI138" i="1"/>
  <c r="AG135" i="1"/>
  <c r="T120" i="1"/>
  <c r="U120" i="1" s="1"/>
  <c r="S120" i="1" s="1"/>
  <c r="AA116" i="1"/>
  <c r="AA173" i="1"/>
  <c r="AA163" i="1"/>
  <c r="AA161" i="1"/>
  <c r="T74" i="1"/>
  <c r="AG71" i="1"/>
  <c r="AI71" i="1" s="1"/>
  <c r="X71" i="1"/>
  <c r="T64" i="1"/>
  <c r="U64" i="1" s="1"/>
  <c r="S64" i="1" s="1"/>
  <c r="T59" i="1"/>
  <c r="U59" i="1" s="1"/>
  <c r="S59" i="1" s="1"/>
  <c r="AA22" i="1"/>
  <c r="T247" i="1"/>
  <c r="AA246" i="1"/>
  <c r="X239" i="1"/>
  <c r="T207" i="1"/>
  <c r="U207" i="1" s="1"/>
  <c r="S207" i="1" s="1"/>
  <c r="AA206" i="1"/>
  <c r="AA198" i="1"/>
  <c r="W198" i="1" s="1"/>
  <c r="AA119" i="1"/>
  <c r="AA113" i="1"/>
  <c r="AA111" i="1"/>
  <c r="AA107" i="1"/>
  <c r="AA97" i="1"/>
  <c r="AA202" i="1"/>
  <c r="AA83" i="1"/>
  <c r="W83" i="1" s="1"/>
  <c r="AA79" i="1"/>
  <c r="AI77" i="1"/>
  <c r="X72" i="1"/>
  <c r="AI59" i="1"/>
  <c r="AA16" i="1"/>
  <c r="W16" i="1" s="1"/>
  <c r="X155" i="1"/>
  <c r="X131" i="1"/>
  <c r="AA183" i="1"/>
  <c r="X46" i="1"/>
  <c r="AG17" i="1"/>
  <c r="AI17" i="1" s="1"/>
  <c r="X17" i="1"/>
  <c r="S29" i="3"/>
  <c r="T143" i="1"/>
  <c r="U143" i="1" s="1"/>
  <c r="S143" i="1" s="1"/>
  <c r="X127" i="1"/>
  <c r="AG120" i="1"/>
  <c r="AG100" i="1"/>
  <c r="U100" i="1" s="1"/>
  <c r="S100" i="1" s="1"/>
  <c r="AA255" i="1"/>
  <c r="W255" i="1" s="1"/>
  <c r="AG231" i="1"/>
  <c r="U231" i="1" s="1"/>
  <c r="S231" i="1" s="1"/>
  <c r="AA211" i="1"/>
  <c r="W211" i="1" s="1"/>
  <c r="AG147" i="1"/>
  <c r="U147" i="1" s="1"/>
  <c r="S147" i="1" s="1"/>
  <c r="T131" i="1"/>
  <c r="AG124" i="1"/>
  <c r="W124" i="1" s="1"/>
  <c r="AA110" i="1"/>
  <c r="AG177" i="1"/>
  <c r="U177" i="1" s="1"/>
  <c r="AA164" i="1"/>
  <c r="W164" i="1" s="1"/>
  <c r="X161" i="1"/>
  <c r="AA66" i="1"/>
  <c r="AA55" i="1"/>
  <c r="W55" i="1" s="1"/>
  <c r="AA48" i="1"/>
  <c r="W48" i="1" s="1"/>
  <c r="T46" i="1"/>
  <c r="X42" i="1"/>
  <c r="AA39" i="1"/>
  <c r="AA37" i="1"/>
  <c r="W37" i="1" s="1"/>
  <c r="X30" i="1"/>
  <c r="T16" i="1"/>
  <c r="U16" i="1" s="1"/>
  <c r="S16" i="1" s="1"/>
  <c r="AA15" i="1"/>
  <c r="X156" i="1"/>
  <c r="X152" i="1"/>
  <c r="AA74" i="1"/>
  <c r="X29" i="1"/>
  <c r="X154" i="1"/>
  <c r="X256" i="1"/>
  <c r="AG173" i="1"/>
  <c r="U173" i="1" s="1"/>
  <c r="S173" i="1" s="1"/>
  <c r="AG64" i="1"/>
  <c r="X52" i="1"/>
  <c r="X38" i="1"/>
  <c r="T28" i="1"/>
  <c r="U28" i="1" s="1"/>
  <c r="S28" i="1" s="1"/>
  <c r="T21" i="1"/>
  <c r="X153" i="1"/>
  <c r="AC22" i="3"/>
  <c r="AD31" i="3"/>
  <c r="Y21" i="3"/>
  <c r="AD25" i="3"/>
  <c r="Y20" i="3"/>
  <c r="AD37" i="3"/>
  <c r="Y37" i="3"/>
  <c r="Y40" i="3"/>
  <c r="AD19" i="3"/>
  <c r="Y34" i="3"/>
  <c r="AC10" i="3"/>
  <c r="AG253" i="1"/>
  <c r="U253" i="1" s="1"/>
  <c r="S253" i="1" s="1"/>
  <c r="AG153" i="1"/>
  <c r="AG183" i="1"/>
  <c r="U183" i="1" s="1"/>
  <c r="S183" i="1" s="1"/>
  <c r="T183" i="1"/>
  <c r="T35" i="3"/>
  <c r="T216" i="1"/>
  <c r="AG216" i="1"/>
  <c r="AI216" i="1" s="1"/>
  <c r="AD45" i="3"/>
  <c r="AD43" i="3"/>
  <c r="Y36" i="3"/>
  <c r="Y26" i="3"/>
  <c r="Y41" i="3"/>
  <c r="AC40" i="3"/>
  <c r="AD40" i="3"/>
  <c r="AD21" i="3"/>
  <c r="AG236" i="1"/>
  <c r="AG230" i="1"/>
  <c r="U230" i="1" s="1"/>
  <c r="S230" i="1" s="1"/>
  <c r="AG197" i="1"/>
  <c r="T197" i="1"/>
  <c r="AA197" i="1"/>
  <c r="T219" i="1"/>
  <c r="X219" i="1"/>
  <c r="AG219" i="1"/>
  <c r="AI219" i="1" s="1"/>
  <c r="AG208" i="1"/>
  <c r="U208" i="1" s="1"/>
  <c r="X208" i="1"/>
  <c r="AA201" i="1"/>
  <c r="X198" i="1"/>
  <c r="AG198" i="1"/>
  <c r="AG190" i="1"/>
  <c r="U190" i="1" s="1"/>
  <c r="S190" i="1" s="1"/>
  <c r="X190" i="1"/>
  <c r="AG119" i="1"/>
  <c r="U119" i="1" s="1"/>
  <c r="S119" i="1" s="1"/>
  <c r="T119" i="1"/>
  <c r="T105" i="1"/>
  <c r="AG105" i="1"/>
  <c r="AG158" i="1"/>
  <c r="T158" i="1"/>
  <c r="T201" i="1"/>
  <c r="AG201" i="1"/>
  <c r="AI201" i="1" s="1"/>
  <c r="T194" i="1"/>
  <c r="X194" i="1"/>
  <c r="AG194" i="1"/>
  <c r="T95" i="1"/>
  <c r="AG95" i="1"/>
  <c r="AI95" i="1" s="1"/>
  <c r="T91" i="1"/>
  <c r="Y39" i="3"/>
  <c r="X204" i="1"/>
  <c r="AG127" i="1"/>
  <c r="AG112" i="1"/>
  <c r="U112" i="1" s="1"/>
  <c r="S112" i="1" s="1"/>
  <c r="X184" i="1"/>
  <c r="AG168" i="1"/>
  <c r="U168" i="1" s="1"/>
  <c r="S168" i="1" s="1"/>
  <c r="AI83" i="1"/>
  <c r="AA59" i="1"/>
  <c r="W59" i="1" s="1"/>
  <c r="AG49" i="1"/>
  <c r="AI49" i="1" s="1"/>
  <c r="AG46" i="1"/>
  <c r="AI46" i="1" s="1"/>
  <c r="AG42" i="1"/>
  <c r="AG14" i="1"/>
  <c r="U14" i="1" s="1"/>
  <c r="S14" i="1" s="1"/>
  <c r="Y30" i="3"/>
  <c r="AD41" i="3"/>
  <c r="Y22" i="3"/>
  <c r="Y12" i="3"/>
  <c r="Y46" i="3"/>
  <c r="Y19" i="3"/>
  <c r="Y10" i="3"/>
  <c r="AA253" i="1"/>
  <c r="AA251" i="1"/>
  <c r="W251" i="1" s="1"/>
  <c r="AA247" i="1"/>
  <c r="W247" i="1" s="1"/>
  <c r="AA245" i="1"/>
  <c r="AA236" i="1"/>
  <c r="W236" i="1" s="1"/>
  <c r="AA234" i="1"/>
  <c r="AG228" i="1"/>
  <c r="AA225" i="1"/>
  <c r="AA221" i="1"/>
  <c r="AA218" i="1"/>
  <c r="W218" i="1" s="1"/>
  <c r="AA208" i="1"/>
  <c r="W208" i="1" s="1"/>
  <c r="AA196" i="1"/>
  <c r="AA190" i="1"/>
  <c r="AA153" i="1"/>
  <c r="W153" i="1" s="1"/>
  <c r="AA152" i="1"/>
  <c r="AG143" i="1"/>
  <c r="AA138" i="1"/>
  <c r="W138" i="1" s="1"/>
  <c r="AG131" i="1"/>
  <c r="AI131" i="1" s="1"/>
  <c r="T126" i="1"/>
  <c r="AA118" i="1"/>
  <c r="AA114" i="1"/>
  <c r="AG97" i="1"/>
  <c r="AI97" i="1" s="1"/>
  <c r="AA95" i="1"/>
  <c r="AA90" i="1"/>
  <c r="AA187" i="1"/>
  <c r="AA185" i="1"/>
  <c r="W185" i="1" s="1"/>
  <c r="AA178" i="1"/>
  <c r="T176" i="1"/>
  <c r="AA175" i="1"/>
  <c r="W175" i="1" s="1"/>
  <c r="AA172" i="1"/>
  <c r="W172" i="1" s="1"/>
  <c r="AA170" i="1"/>
  <c r="AA158" i="1"/>
  <c r="X157" i="1"/>
  <c r="AA84" i="1"/>
  <c r="AA77" i="1"/>
  <c r="AA67" i="1"/>
  <c r="W67" i="1" s="1"/>
  <c r="X60" i="1"/>
  <c r="AA60" i="1"/>
  <c r="AG52" i="1"/>
  <c r="U52" i="1" s="1"/>
  <c r="S52" i="1" s="1"/>
  <c r="AA44" i="1"/>
  <c r="W44" i="1" s="1"/>
  <c r="AA40" i="1"/>
  <c r="W40" i="1" s="1"/>
  <c r="AA30" i="1"/>
  <c r="T30" i="1"/>
  <c r="AG29" i="1"/>
  <c r="AI29" i="1" s="1"/>
  <c r="AG22" i="1"/>
  <c r="W22" i="1" s="1"/>
  <c r="AG21" i="1"/>
  <c r="AI21" i="1" s="1"/>
  <c r="AA18" i="1"/>
  <c r="T18" i="1"/>
  <c r="AA179" i="1"/>
  <c r="W179" i="1" s="1"/>
  <c r="AA86" i="1"/>
  <c r="AA80" i="1"/>
  <c r="AA56" i="1"/>
  <c r="AA49" i="1"/>
  <c r="AA45" i="1"/>
  <c r="AA41" i="1"/>
  <c r="AG30" i="1"/>
  <c r="AG18" i="1"/>
  <c r="T256" i="1"/>
  <c r="T255" i="1"/>
  <c r="U255" i="1" s="1"/>
  <c r="S255" i="1" s="1"/>
  <c r="AA254" i="1"/>
  <c r="AA244" i="1"/>
  <c r="AA242" i="1"/>
  <c r="W242" i="1" s="1"/>
  <c r="AA239" i="1"/>
  <c r="T239" i="1"/>
  <c r="AG238" i="1"/>
  <c r="AI238" i="1" s="1"/>
  <c r="X235" i="1"/>
  <c r="T259" i="1"/>
  <c r="U259" i="1" s="1"/>
  <c r="S259" i="1" s="1"/>
  <c r="AG256" i="1"/>
  <c r="AA252" i="1"/>
  <c r="AG244" i="1"/>
  <c r="U244" i="1" s="1"/>
  <c r="S244" i="1" s="1"/>
  <c r="AG239" i="1"/>
  <c r="AI239" i="1" s="1"/>
  <c r="AA237" i="1"/>
  <c r="AA229" i="1"/>
  <c r="T224" i="1"/>
  <c r="AG224" i="1"/>
  <c r="T220" i="1"/>
  <c r="AG220" i="1"/>
  <c r="AI220" i="1" s="1"/>
  <c r="AA230" i="1"/>
  <c r="X222" i="1"/>
  <c r="AA220" i="1"/>
  <c r="AA217" i="1"/>
  <c r="AA216" i="1"/>
  <c r="X215" i="1"/>
  <c r="AA205" i="1"/>
  <c r="AA195" i="1"/>
  <c r="AA192" i="1"/>
  <c r="AA191" i="1"/>
  <c r="AA189" i="1"/>
  <c r="AG152" i="1"/>
  <c r="AI152" i="1" s="1"/>
  <c r="AG139" i="1"/>
  <c r="AI139" i="1" s="1"/>
  <c r="X139" i="1"/>
  <c r="AI134" i="1"/>
  <c r="AA134" i="1"/>
  <c r="W134" i="1" s="1"/>
  <c r="AA130" i="1"/>
  <c r="W130" i="1" s="1"/>
  <c r="AA126" i="1"/>
  <c r="W126" i="1" s="1"/>
  <c r="AA123" i="1"/>
  <c r="AA117" i="1"/>
  <c r="AA115" i="1"/>
  <c r="W115" i="1" s="1"/>
  <c r="AG113" i="1"/>
  <c r="AA109" i="1"/>
  <c r="AG104" i="1"/>
  <c r="X104" i="1"/>
  <c r="AA102" i="1"/>
  <c r="AA99" i="1"/>
  <c r="W99" i="1" s="1"/>
  <c r="AA203" i="1"/>
  <c r="AA92" i="1"/>
  <c r="AA188" i="1"/>
  <c r="AA171" i="1"/>
  <c r="W171" i="1" s="1"/>
  <c r="AG169" i="1"/>
  <c r="AI169" i="1" s="1"/>
  <c r="X169" i="1"/>
  <c r="AA168" i="1"/>
  <c r="AG166" i="1"/>
  <c r="U166" i="1" s="1"/>
  <c r="S166" i="1" s="1"/>
  <c r="AA165" i="1"/>
  <c r="X87" i="1"/>
  <c r="AA156" i="1"/>
  <c r="W156" i="1" s="1"/>
  <c r="AA78" i="1"/>
  <c r="AG74" i="1"/>
  <c r="U74" i="1" s="1"/>
  <c r="AA71" i="1"/>
  <c r="X68" i="1"/>
  <c r="AA68" i="1"/>
  <c r="AA65" i="1"/>
  <c r="W65" i="1" s="1"/>
  <c r="AA63" i="1"/>
  <c r="W63" i="1" s="1"/>
  <c r="AG57" i="1"/>
  <c r="AI55" i="1"/>
  <c r="AA51" i="1"/>
  <c r="W51" i="1" s="1"/>
  <c r="AI48" i="1"/>
  <c r="AG45" i="1"/>
  <c r="AI45" i="1" s="1"/>
  <c r="X45" i="1"/>
  <c r="AG41" i="1"/>
  <c r="AI41" i="1" s="1"/>
  <c r="X41" i="1"/>
  <c r="AA36" i="1"/>
  <c r="W36" i="1" s="1"/>
  <c r="AG34" i="1"/>
  <c r="AI34" i="1" s="1"/>
  <c r="X34" i="1"/>
  <c r="AA28" i="1"/>
  <c r="AA25" i="1"/>
  <c r="AA23" i="1"/>
  <c r="AA20" i="1"/>
  <c r="W20" i="1" s="1"/>
  <c r="T38" i="1"/>
  <c r="AA24" i="1"/>
  <c r="AA222" i="1"/>
  <c r="W222" i="1" s="1"/>
  <c r="AA215" i="1"/>
  <c r="W215" i="1" s="1"/>
  <c r="T215" i="1"/>
  <c r="AA214" i="1"/>
  <c r="W214" i="1" s="1"/>
  <c r="AG212" i="1"/>
  <c r="U212" i="1" s="1"/>
  <c r="S212" i="1" s="1"/>
  <c r="X212" i="1"/>
  <c r="AG205" i="1"/>
  <c r="U205" i="1" s="1"/>
  <c r="S205" i="1" s="1"/>
  <c r="AG195" i="1"/>
  <c r="AI195" i="1" s="1"/>
  <c r="AA193" i="1"/>
  <c r="W193" i="1" s="1"/>
  <c r="AG191" i="1"/>
  <c r="AI191" i="1" s="1"/>
  <c r="AG189" i="1"/>
  <c r="U189" i="1" s="1"/>
  <c r="S189" i="1" s="1"/>
  <c r="X189" i="1"/>
  <c r="AA148" i="1"/>
  <c r="AA125" i="1"/>
  <c r="AG117" i="1"/>
  <c r="X115" i="1"/>
  <c r="AG109" i="1"/>
  <c r="U109" i="1" s="1"/>
  <c r="S109" i="1" s="1"/>
  <c r="AA104" i="1"/>
  <c r="AA103" i="1"/>
  <c r="AA100" i="1"/>
  <c r="AA98" i="1"/>
  <c r="AA96" i="1"/>
  <c r="AA93" i="1"/>
  <c r="X186" i="1"/>
  <c r="AG180" i="1"/>
  <c r="U180" i="1" s="1"/>
  <c r="S180" i="1" s="1"/>
  <c r="X180" i="1"/>
  <c r="AA169" i="1"/>
  <c r="AA167" i="1"/>
  <c r="AA166" i="1"/>
  <c r="X162" i="1"/>
  <c r="AG161" i="1"/>
  <c r="AG159" i="1"/>
  <c r="U159" i="1" s="1"/>
  <c r="S159" i="1" s="1"/>
  <c r="AA157" i="1"/>
  <c r="AA155" i="1"/>
  <c r="T77" i="1"/>
  <c r="AA73" i="1"/>
  <c r="W73" i="1" s="1"/>
  <c r="X67" i="1"/>
  <c r="AA43" i="1"/>
  <c r="T40" i="1"/>
  <c r="U40" i="1" s="1"/>
  <c r="S40" i="1" s="1"/>
  <c r="AG33" i="1"/>
  <c r="AI33" i="1" s="1"/>
  <c r="AA31" i="1"/>
  <c r="AA19" i="1"/>
  <c r="U198" i="1"/>
  <c r="S198" i="1" s="1"/>
  <c r="AG107" i="1"/>
  <c r="X107" i="1"/>
  <c r="X100" i="1"/>
  <c r="T184" i="1"/>
  <c r="T165" i="1"/>
  <c r="W45" i="1"/>
  <c r="AI211" i="1"/>
  <c r="AI242" i="1"/>
  <c r="AI226" i="1"/>
  <c r="AI222" i="1"/>
  <c r="AI218" i="1"/>
  <c r="AI214" i="1"/>
  <c r="X234" i="1"/>
  <c r="X226" i="1"/>
  <c r="T222" i="1"/>
  <c r="U222" i="1" s="1"/>
  <c r="S222" i="1" s="1"/>
  <c r="X218" i="1"/>
  <c r="X214" i="1"/>
  <c r="X201" i="1"/>
  <c r="W195" i="1"/>
  <c r="X193" i="1"/>
  <c r="AA154" i="1"/>
  <c r="AG150" i="1"/>
  <c r="AI150" i="1" s="1"/>
  <c r="X149" i="1"/>
  <c r="AA147" i="1"/>
  <c r="AG144" i="1"/>
  <c r="X142" i="1"/>
  <c r="AG140" i="1"/>
  <c r="U140" i="1" s="1"/>
  <c r="S140" i="1" s="1"/>
  <c r="X138" i="1"/>
  <c r="AG136" i="1"/>
  <c r="AI136" i="1" s="1"/>
  <c r="X134" i="1"/>
  <c r="AG132" i="1"/>
  <c r="U132" i="1" s="1"/>
  <c r="S132" i="1" s="1"/>
  <c r="X130" i="1"/>
  <c r="AG128" i="1"/>
  <c r="U128" i="1" s="1"/>
  <c r="S128" i="1" s="1"/>
  <c r="T123" i="1"/>
  <c r="T122" i="1"/>
  <c r="U122" i="1" s="1"/>
  <c r="S122" i="1" s="1"/>
  <c r="AA121" i="1"/>
  <c r="AA120" i="1"/>
  <c r="W120" i="1" s="1"/>
  <c r="AG116" i="1"/>
  <c r="W116" i="1" s="1"/>
  <c r="X116" i="1"/>
  <c r="AA112" i="1"/>
  <c r="AG111" i="1"/>
  <c r="AG108" i="1"/>
  <c r="AI108" i="1" s="1"/>
  <c r="X108" i="1"/>
  <c r="AG103" i="1"/>
  <c r="AG101" i="1"/>
  <c r="U101" i="1" s="1"/>
  <c r="S101" i="1" s="1"/>
  <c r="X99" i="1"/>
  <c r="AG202" i="1"/>
  <c r="X202" i="1"/>
  <c r="AA258" i="1"/>
  <c r="AA257" i="1"/>
  <c r="AA256" i="1"/>
  <c r="AG252" i="1"/>
  <c r="X252" i="1"/>
  <c r="AG249" i="1"/>
  <c r="U249" i="1" s="1"/>
  <c r="S249" i="1" s="1"/>
  <c r="AG243" i="1"/>
  <c r="U243" i="1" s="1"/>
  <c r="X243" i="1"/>
  <c r="T242" i="1"/>
  <c r="U242" i="1" s="1"/>
  <c r="S242" i="1" s="1"/>
  <c r="AA241" i="1"/>
  <c r="AA240" i="1"/>
  <c r="AA235" i="1"/>
  <c r="T235" i="1"/>
  <c r="AG234" i="1"/>
  <c r="AG232" i="1"/>
  <c r="X230" i="1"/>
  <c r="AG227" i="1"/>
  <c r="U227" i="1" s="1"/>
  <c r="S227" i="1" s="1"/>
  <c r="X227" i="1"/>
  <c r="AA223" i="1"/>
  <c r="T223" i="1"/>
  <c r="AA213" i="1"/>
  <c r="W213" i="1" s="1"/>
  <c r="T211" i="1"/>
  <c r="U211" i="1" s="1"/>
  <c r="S211" i="1" s="1"/>
  <c r="AA210" i="1"/>
  <c r="AA209" i="1"/>
  <c r="AA204" i="1"/>
  <c r="T204" i="1"/>
  <c r="AG199" i="1"/>
  <c r="AI199" i="1" s="1"/>
  <c r="X197" i="1"/>
  <c r="T146" i="1"/>
  <c r="U146" i="1" s="1"/>
  <c r="S146" i="1" s="1"/>
  <c r="T115" i="1"/>
  <c r="U115" i="1" s="1"/>
  <c r="S115" i="1" s="1"/>
  <c r="X111" i="1"/>
  <c r="AA106" i="1"/>
  <c r="AA105" i="1"/>
  <c r="X103" i="1"/>
  <c r="X203" i="1"/>
  <c r="AG203" i="1"/>
  <c r="AI203" i="1" s="1"/>
  <c r="AG93" i="1"/>
  <c r="U93" i="1" s="1"/>
  <c r="S93" i="1" s="1"/>
  <c r="X242" i="1"/>
  <c r="T226" i="1"/>
  <c r="U226" i="1" s="1"/>
  <c r="S226" i="1" s="1"/>
  <c r="T218" i="1"/>
  <c r="U218" i="1" s="1"/>
  <c r="S218" i="1" s="1"/>
  <c r="T214" i="1"/>
  <c r="U214" i="1" s="1"/>
  <c r="S214" i="1" s="1"/>
  <c r="W205" i="1"/>
  <c r="T193" i="1"/>
  <c r="U193" i="1" s="1"/>
  <c r="S193" i="1" s="1"/>
  <c r="AA151" i="1"/>
  <c r="AA150" i="1"/>
  <c r="AA145" i="1"/>
  <c r="AA144" i="1"/>
  <c r="AA143" i="1"/>
  <c r="W143" i="1" s="1"/>
  <c r="T142" i="1"/>
  <c r="AA141" i="1"/>
  <c r="AA140" i="1"/>
  <c r="AA139" i="1"/>
  <c r="T138" i="1"/>
  <c r="AA137" i="1"/>
  <c r="AA136" i="1"/>
  <c r="AA135" i="1"/>
  <c r="W135" i="1" s="1"/>
  <c r="T134" i="1"/>
  <c r="AA133" i="1"/>
  <c r="AA132" i="1"/>
  <c r="AA131" i="1"/>
  <c r="W131" i="1" s="1"/>
  <c r="T130" i="1"/>
  <c r="AA129" i="1"/>
  <c r="AA128" i="1"/>
  <c r="AA127" i="1"/>
  <c r="W127" i="1" s="1"/>
  <c r="AG123" i="1"/>
  <c r="AG121" i="1"/>
  <c r="X112" i="1"/>
  <c r="AI146" i="1"/>
  <c r="AA108" i="1"/>
  <c r="AA101" i="1"/>
  <c r="AI99" i="1"/>
  <c r="T99" i="1"/>
  <c r="U99" i="1" s="1"/>
  <c r="S99" i="1" s="1"/>
  <c r="AG94" i="1"/>
  <c r="U94" i="1" s="1"/>
  <c r="S94" i="1" s="1"/>
  <c r="AA94" i="1"/>
  <c r="AI37" i="1"/>
  <c r="AG257" i="1"/>
  <c r="U257" i="1" s="1"/>
  <c r="S257" i="1" s="1"/>
  <c r="T251" i="1"/>
  <c r="U251" i="1" s="1"/>
  <c r="S251" i="1" s="1"/>
  <c r="AA250" i="1"/>
  <c r="AA249" i="1"/>
  <c r="AA248" i="1"/>
  <c r="AA243" i="1"/>
  <c r="AG240" i="1"/>
  <c r="U240" i="1" s="1"/>
  <c r="S240" i="1" s="1"/>
  <c r="X238" i="1"/>
  <c r="AG235" i="1"/>
  <c r="AI235" i="1" s="1"/>
  <c r="AA233" i="1"/>
  <c r="AA232" i="1"/>
  <c r="AA227" i="1"/>
  <c r="AG223" i="1"/>
  <c r="U223" i="1" s="1"/>
  <c r="AA219" i="1"/>
  <c r="AA212" i="1"/>
  <c r="AG209" i="1"/>
  <c r="X207" i="1"/>
  <c r="AG204" i="1"/>
  <c r="AI204" i="1" s="1"/>
  <c r="AA200" i="1"/>
  <c r="AA199" i="1"/>
  <c r="AA194" i="1"/>
  <c r="U152" i="1"/>
  <c r="S152" i="1" s="1"/>
  <c r="X146" i="1"/>
  <c r="AG187" i="1"/>
  <c r="AI187" i="1" s="1"/>
  <c r="X185" i="1"/>
  <c r="AA180" i="1"/>
  <c r="X179" i="1"/>
  <c r="X176" i="1"/>
  <c r="T175" i="1"/>
  <c r="U175" i="1" s="1"/>
  <c r="S175" i="1" s="1"/>
  <c r="AA88" i="1"/>
  <c r="W88" i="1" s="1"/>
  <c r="AA174" i="1"/>
  <c r="X172" i="1"/>
  <c r="AG170" i="1"/>
  <c r="U170" i="1" s="1"/>
  <c r="S170" i="1" s="1"/>
  <c r="AG165" i="1"/>
  <c r="AI165" i="1" s="1"/>
  <c r="AA162" i="1"/>
  <c r="T162" i="1"/>
  <c r="X158" i="1"/>
  <c r="T86" i="1"/>
  <c r="AA82" i="1"/>
  <c r="AA81" i="1"/>
  <c r="T80" i="1"/>
  <c r="AA75" i="1"/>
  <c r="AG72" i="1"/>
  <c r="U72" i="1" s="1"/>
  <c r="S72" i="1" s="1"/>
  <c r="T71" i="1"/>
  <c r="T55" i="1"/>
  <c r="U55" i="1" s="1"/>
  <c r="S55" i="1" s="1"/>
  <c r="X51" i="1"/>
  <c r="X37" i="1"/>
  <c r="T87" i="1"/>
  <c r="T157" i="1"/>
  <c r="AA85" i="1"/>
  <c r="T78" i="1"/>
  <c r="T73" i="1"/>
  <c r="AA70" i="1"/>
  <c r="AA69" i="1"/>
  <c r="W69" i="1" s="1"/>
  <c r="T68" i="1"/>
  <c r="AA61" i="1"/>
  <c r="W61" i="1" s="1"/>
  <c r="T60" i="1"/>
  <c r="AG56" i="1"/>
  <c r="X56" i="1"/>
  <c r="AA54" i="1"/>
  <c r="AA52" i="1"/>
  <c r="X49" i="1"/>
  <c r="AG38" i="1"/>
  <c r="U38" i="1" s="1"/>
  <c r="S38" i="1" s="1"/>
  <c r="X33" i="1"/>
  <c r="AG26" i="1"/>
  <c r="U26" i="1" s="1"/>
  <c r="S26" i="1" s="1"/>
  <c r="AG25" i="1"/>
  <c r="AI25" i="1" s="1"/>
  <c r="X25" i="1"/>
  <c r="AA21" i="1"/>
  <c r="AA91" i="1"/>
  <c r="T90" i="1"/>
  <c r="U90" i="1" s="1"/>
  <c r="S90" i="1" s="1"/>
  <c r="AA186" i="1"/>
  <c r="T185" i="1"/>
  <c r="AA184" i="1"/>
  <c r="X183" i="1"/>
  <c r="T179" i="1"/>
  <c r="U179" i="1" s="1"/>
  <c r="S179" i="1" s="1"/>
  <c r="AG174" i="1"/>
  <c r="U174" i="1" s="1"/>
  <c r="T172" i="1"/>
  <c r="U172" i="1" s="1"/>
  <c r="S172" i="1" s="1"/>
  <c r="AG87" i="1"/>
  <c r="U87" i="1" s="1"/>
  <c r="S87" i="1" s="1"/>
  <c r="AG162" i="1"/>
  <c r="AG157" i="1"/>
  <c r="AG86" i="1"/>
  <c r="W86" i="1" s="1"/>
  <c r="AG80" i="1"/>
  <c r="T79" i="1"/>
  <c r="T51" i="1"/>
  <c r="U51" i="1" s="1"/>
  <c r="S51" i="1" s="1"/>
  <c r="U45" i="1"/>
  <c r="S45" i="1" s="1"/>
  <c r="T37" i="1"/>
  <c r="U37" i="1" s="1"/>
  <c r="S37" i="1" s="1"/>
  <c r="AA14" i="1"/>
  <c r="AG91" i="1"/>
  <c r="AI91" i="1" s="1"/>
  <c r="AG186" i="1"/>
  <c r="U186" i="1" s="1"/>
  <c r="S186" i="1" s="1"/>
  <c r="AG184" i="1"/>
  <c r="AI184" i="1" s="1"/>
  <c r="AA176" i="1"/>
  <c r="W176" i="1" s="1"/>
  <c r="AG163" i="1"/>
  <c r="W163" i="1" s="1"/>
  <c r="AA160" i="1"/>
  <c r="W160" i="1" s="1"/>
  <c r="AA159" i="1"/>
  <c r="W159" i="1" s="1"/>
  <c r="AG155" i="1"/>
  <c r="T83" i="1"/>
  <c r="AG78" i="1"/>
  <c r="AA72" i="1"/>
  <c r="AG68" i="1"/>
  <c r="T67" i="1"/>
  <c r="U67" i="1" s="1"/>
  <c r="S67" i="1" s="1"/>
  <c r="AA64" i="1"/>
  <c r="W64" i="1" s="1"/>
  <c r="T63" i="1"/>
  <c r="U63" i="1" s="1"/>
  <c r="S63" i="1" s="1"/>
  <c r="AG60" i="1"/>
  <c r="AG53" i="1"/>
  <c r="AI53" i="1" s="1"/>
  <c r="AG50" i="1"/>
  <c r="AI50" i="1" s="1"/>
  <c r="X50" i="1"/>
  <c r="T36" i="1"/>
  <c r="U36" i="1" s="1"/>
  <c r="S36" i="1" s="1"/>
  <c r="T32" i="1"/>
  <c r="AA29" i="1"/>
  <c r="AA27" i="1"/>
  <c r="AA26" i="1"/>
  <c r="T24" i="1"/>
  <c r="U24" i="1" s="1"/>
  <c r="S24" i="1" s="1"/>
  <c r="AA17" i="1"/>
  <c r="W17" i="1" s="1"/>
  <c r="U215" i="1"/>
  <c r="S215" i="1" s="1"/>
  <c r="AI215" i="1"/>
  <c r="U247" i="1"/>
  <c r="S247" i="1" s="1"/>
  <c r="AI247" i="1"/>
  <c r="AI251" i="1"/>
  <c r="AI255" i="1"/>
  <c r="AI259" i="1"/>
  <c r="X259" i="1"/>
  <c r="X255" i="1"/>
  <c r="U252" i="1"/>
  <c r="S252" i="1" s="1"/>
  <c r="X251" i="1"/>
  <c r="X247" i="1"/>
  <c r="U236" i="1"/>
  <c r="S236" i="1" s="1"/>
  <c r="U232" i="1"/>
  <c r="S232" i="1" s="1"/>
  <c r="AG245" i="1"/>
  <c r="X244" i="1"/>
  <c r="AI243" i="1"/>
  <c r="S243" i="1"/>
  <c r="AG241" i="1"/>
  <c r="X240" i="1"/>
  <c r="AG237" i="1"/>
  <c r="X236" i="1"/>
  <c r="AG233" i="1"/>
  <c r="X232" i="1"/>
  <c r="AG229" i="1"/>
  <c r="X228" i="1"/>
  <c r="AG225" i="1"/>
  <c r="X224" i="1"/>
  <c r="S223" i="1"/>
  <c r="AG221" i="1"/>
  <c r="X220" i="1"/>
  <c r="AG217" i="1"/>
  <c r="X216" i="1"/>
  <c r="AG258" i="1"/>
  <c r="X257" i="1"/>
  <c r="AG254" i="1"/>
  <c r="X253" i="1"/>
  <c r="AI252" i="1"/>
  <c r="AG250" i="1"/>
  <c r="X249" i="1"/>
  <c r="AI248" i="1"/>
  <c r="AG246" i="1"/>
  <c r="X245" i="1"/>
  <c r="X241" i="1"/>
  <c r="T241" i="1"/>
  <c r="X237" i="1"/>
  <c r="T237" i="1"/>
  <c r="AI236" i="1"/>
  <c r="X233" i="1"/>
  <c r="T233" i="1"/>
  <c r="AI232" i="1"/>
  <c r="X229" i="1"/>
  <c r="T229" i="1"/>
  <c r="X225" i="1"/>
  <c r="X221" i="1"/>
  <c r="X217" i="1"/>
  <c r="AI213" i="1"/>
  <c r="X258" i="1"/>
  <c r="X254" i="1"/>
  <c r="X250" i="1"/>
  <c r="X246" i="1"/>
  <c r="T213" i="1"/>
  <c r="U213" i="1" s="1"/>
  <c r="S213" i="1" s="1"/>
  <c r="X213" i="1"/>
  <c r="X211" i="1"/>
  <c r="T210" i="1"/>
  <c r="X210" i="1"/>
  <c r="AG210" i="1"/>
  <c r="U209" i="1"/>
  <c r="S209" i="1" s="1"/>
  <c r="U195" i="1"/>
  <c r="S195" i="1" s="1"/>
  <c r="X209" i="1"/>
  <c r="AI208" i="1"/>
  <c r="S208" i="1"/>
  <c r="AG206" i="1"/>
  <c r="X205" i="1"/>
  <c r="AG200" i="1"/>
  <c r="AI200" i="1" s="1"/>
  <c r="X199" i="1"/>
  <c r="AG196" i="1"/>
  <c r="AI196" i="1" s="1"/>
  <c r="X195" i="1"/>
  <c r="AG192" i="1"/>
  <c r="AI192" i="1" s="1"/>
  <c r="X191" i="1"/>
  <c r="AG154" i="1"/>
  <c r="AI154" i="1" s="1"/>
  <c r="AG151" i="1"/>
  <c r="AI151" i="1" s="1"/>
  <c r="X150" i="1"/>
  <c r="W90" i="1"/>
  <c r="AI209" i="1"/>
  <c r="X206" i="1"/>
  <c r="T206" i="1"/>
  <c r="AI205" i="1"/>
  <c r="X200" i="1"/>
  <c r="T200" i="1"/>
  <c r="X196" i="1"/>
  <c r="T196" i="1"/>
  <c r="AI197" i="1"/>
  <c r="X192" i="1"/>
  <c r="AI193" i="1"/>
  <c r="AI189" i="1"/>
  <c r="X151" i="1"/>
  <c r="AI185" i="1"/>
  <c r="T149" i="1"/>
  <c r="U149" i="1" s="1"/>
  <c r="S149" i="1" s="1"/>
  <c r="W148" i="1"/>
  <c r="W142" i="1"/>
  <c r="AI157" i="1"/>
  <c r="U202" i="1"/>
  <c r="S202" i="1" s="1"/>
  <c r="AI130" i="1"/>
  <c r="AI126" i="1"/>
  <c r="AI122" i="1"/>
  <c r="U185" i="1"/>
  <c r="S185" i="1" s="1"/>
  <c r="AI119" i="1"/>
  <c r="AI115" i="1"/>
  <c r="T148" i="1"/>
  <c r="U148" i="1" s="1"/>
  <c r="S148" i="1" s="1"/>
  <c r="X148" i="1"/>
  <c r="U142" i="1"/>
  <c r="U138" i="1"/>
  <c r="U134" i="1"/>
  <c r="S134" i="1" s="1"/>
  <c r="U130" i="1"/>
  <c r="S130" i="1" s="1"/>
  <c r="U126" i="1"/>
  <c r="S126" i="1" s="1"/>
  <c r="U135" i="1"/>
  <c r="S135" i="1" s="1"/>
  <c r="U127" i="1"/>
  <c r="S127" i="1" s="1"/>
  <c r="X126" i="1"/>
  <c r="U123" i="1"/>
  <c r="S123" i="1" s="1"/>
  <c r="X119" i="1"/>
  <c r="U203" i="1"/>
  <c r="S203" i="1" s="1"/>
  <c r="AA181" i="1"/>
  <c r="AG178" i="1"/>
  <c r="AI178" i="1" s="1"/>
  <c r="T178" i="1"/>
  <c r="X178" i="1"/>
  <c r="U144" i="1"/>
  <c r="S144" i="1" s="1"/>
  <c r="U121" i="1"/>
  <c r="S121" i="1" s="1"/>
  <c r="U117" i="1"/>
  <c r="S117" i="1" s="1"/>
  <c r="U113" i="1"/>
  <c r="S113" i="1" s="1"/>
  <c r="U187" i="1"/>
  <c r="S187" i="1" s="1"/>
  <c r="T182" i="1"/>
  <c r="X182" i="1"/>
  <c r="T181" i="1"/>
  <c r="X181" i="1"/>
  <c r="AG145" i="1"/>
  <c r="W145" i="1" s="1"/>
  <c r="X144" i="1"/>
  <c r="AG141" i="1"/>
  <c r="X140" i="1"/>
  <c r="AI174" i="1"/>
  <c r="AG137" i="1"/>
  <c r="X136" i="1"/>
  <c r="AG133" i="1"/>
  <c r="X132" i="1"/>
  <c r="AG129" i="1"/>
  <c r="W129" i="1" s="1"/>
  <c r="X128" i="1"/>
  <c r="AI162" i="1"/>
  <c r="AG125" i="1"/>
  <c r="AG118" i="1"/>
  <c r="X117" i="1"/>
  <c r="AG114" i="1"/>
  <c r="X113" i="1"/>
  <c r="AG110" i="1"/>
  <c r="X109" i="1"/>
  <c r="AI143" i="1"/>
  <c r="AG106" i="1"/>
  <c r="AI106" i="1" s="1"/>
  <c r="X105" i="1"/>
  <c r="AG102" i="1"/>
  <c r="AI102" i="1" s="1"/>
  <c r="X101" i="1"/>
  <c r="AI135" i="1"/>
  <c r="AG98" i="1"/>
  <c r="X97" i="1"/>
  <c r="AG96" i="1"/>
  <c r="AI96" i="1" s="1"/>
  <c r="AI127" i="1"/>
  <c r="AG92" i="1"/>
  <c r="AI92" i="1" s="1"/>
  <c r="AI123" i="1"/>
  <c r="AG188" i="1"/>
  <c r="W188" i="1" s="1"/>
  <c r="X187" i="1"/>
  <c r="AI120" i="1"/>
  <c r="AG89" i="1"/>
  <c r="W89" i="1" s="1"/>
  <c r="AG182" i="1"/>
  <c r="AI182" i="1" s="1"/>
  <c r="AG181" i="1"/>
  <c r="AI181" i="1" s="1"/>
  <c r="AI88" i="1"/>
  <c r="X145" i="1"/>
  <c r="AI179" i="1"/>
  <c r="X141" i="1"/>
  <c r="AI175" i="1"/>
  <c r="X137" i="1"/>
  <c r="AI171" i="1"/>
  <c r="X133" i="1"/>
  <c r="AI167" i="1"/>
  <c r="X129" i="1"/>
  <c r="AI163" i="1"/>
  <c r="AI155" i="1"/>
  <c r="X118" i="1"/>
  <c r="X114" i="1"/>
  <c r="AI148" i="1"/>
  <c r="X110" i="1"/>
  <c r="AI144" i="1"/>
  <c r="X106" i="1"/>
  <c r="X102" i="1"/>
  <c r="X98" i="1"/>
  <c r="X96" i="1"/>
  <c r="X188" i="1"/>
  <c r="AI121" i="1"/>
  <c r="AI117" i="1"/>
  <c r="W167" i="1"/>
  <c r="U163" i="1"/>
  <c r="S163" i="1" s="1"/>
  <c r="U155" i="1"/>
  <c r="S155" i="1" s="1"/>
  <c r="S177" i="1"/>
  <c r="X88" i="1"/>
  <c r="T88" i="1"/>
  <c r="U88" i="1" s="1"/>
  <c r="S88" i="1" s="1"/>
  <c r="S174" i="1"/>
  <c r="X171" i="1"/>
  <c r="T171" i="1"/>
  <c r="U171" i="1" s="1"/>
  <c r="S171" i="1" s="1"/>
  <c r="X167" i="1"/>
  <c r="T167" i="1"/>
  <c r="U167" i="1" s="1"/>
  <c r="S167" i="1" s="1"/>
  <c r="X164" i="1"/>
  <c r="T164" i="1"/>
  <c r="U164" i="1" s="1"/>
  <c r="S164" i="1" s="1"/>
  <c r="X160" i="1"/>
  <c r="T160" i="1"/>
  <c r="U160" i="1" s="1"/>
  <c r="S160" i="1" s="1"/>
  <c r="AI90" i="1"/>
  <c r="T156" i="1"/>
  <c r="U156" i="1" s="1"/>
  <c r="S156" i="1" s="1"/>
  <c r="T82" i="1"/>
  <c r="AG82" i="1"/>
  <c r="W82" i="1" s="1"/>
  <c r="AI81" i="1"/>
  <c r="T70" i="1"/>
  <c r="X70" i="1"/>
  <c r="AG70" i="1"/>
  <c r="AI69" i="1"/>
  <c r="AI64" i="1"/>
  <c r="T54" i="1"/>
  <c r="X54" i="1"/>
  <c r="AG54" i="1"/>
  <c r="W54" i="1" s="1"/>
  <c r="X55" i="1"/>
  <c r="U176" i="1"/>
  <c r="S176" i="1" s="1"/>
  <c r="X175" i="1"/>
  <c r="X168" i="1"/>
  <c r="T75" i="1"/>
  <c r="AI68" i="1"/>
  <c r="T61" i="1"/>
  <c r="U61" i="1" s="1"/>
  <c r="S61" i="1" s="1"/>
  <c r="X61" i="1"/>
  <c r="T58" i="1"/>
  <c r="X58" i="1"/>
  <c r="AG58" i="1"/>
  <c r="AI57" i="1"/>
  <c r="T85" i="1"/>
  <c r="U85" i="1" s="1"/>
  <c r="S85" i="1" s="1"/>
  <c r="T76" i="1"/>
  <c r="AG76" i="1"/>
  <c r="AI75" i="1"/>
  <c r="AI72" i="1"/>
  <c r="T65" i="1"/>
  <c r="U65" i="1" s="1"/>
  <c r="S65" i="1" s="1"/>
  <c r="X65" i="1"/>
  <c r="T62" i="1"/>
  <c r="X62" i="1"/>
  <c r="AG62" i="1"/>
  <c r="AI61" i="1"/>
  <c r="X59" i="1"/>
  <c r="U57" i="1"/>
  <c r="S57" i="1" s="1"/>
  <c r="X177" i="1"/>
  <c r="X174" i="1"/>
  <c r="X170" i="1"/>
  <c r="AI100" i="1"/>
  <c r="X166" i="1"/>
  <c r="X163" i="1"/>
  <c r="X159" i="1"/>
  <c r="T84" i="1"/>
  <c r="U84" i="1" s="1"/>
  <c r="S84" i="1" s="1"/>
  <c r="U83" i="1"/>
  <c r="S83" i="1" s="1"/>
  <c r="T81" i="1"/>
  <c r="U71" i="1"/>
  <c r="S71" i="1" s="1"/>
  <c r="T69" i="1"/>
  <c r="U69" i="1" s="1"/>
  <c r="S69" i="1" s="1"/>
  <c r="X69" i="1"/>
  <c r="U68" i="1"/>
  <c r="S68" i="1" s="1"/>
  <c r="T66" i="1"/>
  <c r="X66" i="1"/>
  <c r="AG66" i="1"/>
  <c r="AI65" i="1"/>
  <c r="X63" i="1"/>
  <c r="AI60" i="1"/>
  <c r="AA57" i="1"/>
  <c r="W57" i="1" s="1"/>
  <c r="AA53" i="1"/>
  <c r="U50" i="1"/>
  <c r="U56" i="1"/>
  <c r="S56" i="1" s="1"/>
  <c r="AA46" i="1"/>
  <c r="T43" i="1"/>
  <c r="X43" i="1"/>
  <c r="AG43" i="1"/>
  <c r="W43" i="1" s="1"/>
  <c r="T39" i="1"/>
  <c r="X39" i="1"/>
  <c r="AG39" i="1"/>
  <c r="W39" i="1" s="1"/>
  <c r="X40" i="1"/>
  <c r="T35" i="1"/>
  <c r="X35" i="1"/>
  <c r="AG35" i="1"/>
  <c r="W35" i="1" s="1"/>
  <c r="X36" i="1"/>
  <c r="U32" i="1"/>
  <c r="S32" i="1" s="1"/>
  <c r="AI32" i="1"/>
  <c r="AI24" i="1"/>
  <c r="T47" i="1"/>
  <c r="X47" i="1"/>
  <c r="AG47" i="1"/>
  <c r="AI42" i="1"/>
  <c r="U20" i="1"/>
  <c r="S20" i="1" s="1"/>
  <c r="AI20" i="1"/>
  <c r="X57" i="1"/>
  <c r="AI56" i="1"/>
  <c r="X53" i="1"/>
  <c r="AI52" i="1"/>
  <c r="W28" i="1"/>
  <c r="AA50" i="1"/>
  <c r="W50" i="1" s="1"/>
  <c r="AA42" i="1"/>
  <c r="W42" i="1" s="1"/>
  <c r="U42" i="1"/>
  <c r="S42" i="1" s="1"/>
  <c r="AA38" i="1"/>
  <c r="AA34" i="1"/>
  <c r="W32" i="1"/>
  <c r="AI28" i="1"/>
  <c r="W24" i="1"/>
  <c r="AI16" i="1"/>
  <c r="X48" i="1"/>
  <c r="T48" i="1"/>
  <c r="U48" i="1" s="1"/>
  <c r="S48" i="1" s="1"/>
  <c r="X44" i="1"/>
  <c r="T44" i="1"/>
  <c r="U44" i="1" s="1"/>
  <c r="S44" i="1" s="1"/>
  <c r="X32" i="1"/>
  <c r="X28" i="1"/>
  <c r="U25" i="1"/>
  <c r="S25" i="1" s="1"/>
  <c r="X24" i="1"/>
  <c r="X20" i="1"/>
  <c r="U17" i="1"/>
  <c r="S17" i="1" s="1"/>
  <c r="X16" i="1"/>
  <c r="U22" i="1"/>
  <c r="S22" i="1" s="1"/>
  <c r="AG31" i="1"/>
  <c r="AG27" i="1"/>
  <c r="X26" i="1"/>
  <c r="AG23" i="1"/>
  <c r="X22" i="1"/>
  <c r="AG19" i="1"/>
  <c r="AG15" i="1"/>
  <c r="X31" i="1"/>
  <c r="AI30" i="1"/>
  <c r="X27" i="1"/>
  <c r="X23" i="1"/>
  <c r="AI22" i="1"/>
  <c r="X19" i="1"/>
  <c r="AI18" i="1"/>
  <c r="X15" i="1"/>
  <c r="AD14" i="3"/>
  <c r="Y15" i="3"/>
  <c r="Y17" i="3"/>
  <c r="AE35" i="3"/>
  <c r="Y35" i="3"/>
  <c r="T33" i="3"/>
  <c r="AD27" i="3"/>
  <c r="AE23" i="3"/>
  <c r="Y45" i="3"/>
  <c r="AD17" i="3"/>
  <c r="Y11" i="3"/>
  <c r="AC29" i="3"/>
  <c r="Y38" i="3"/>
  <c r="Y44" i="3"/>
  <c r="AD44" i="3"/>
  <c r="Y43" i="3"/>
  <c r="AD33" i="3"/>
  <c r="AD29" i="3"/>
  <c r="Y29" i="3"/>
  <c r="Y32" i="3"/>
  <c r="Y27" i="3"/>
  <c r="AD13" i="3"/>
  <c r="AE13" i="3"/>
  <c r="AD11" i="3"/>
  <c r="Y8" i="3"/>
  <c r="AD15" i="3"/>
  <c r="Y42" i="3"/>
  <c r="AE31" i="3"/>
  <c r="Y33" i="3"/>
  <c r="T28" i="3"/>
  <c r="Y31" i="3"/>
  <c r="AE17" i="3"/>
  <c r="Y23" i="3"/>
  <c r="T14" i="3"/>
  <c r="AC30" i="3"/>
  <c r="AE43" i="3"/>
  <c r="Y14" i="3"/>
  <c r="AD36" i="3"/>
  <c r="Y7" i="3"/>
  <c r="AC21" i="3"/>
  <c r="AE27" i="3"/>
  <c r="Y28" i="3"/>
  <c r="Y16" i="3"/>
  <c r="AC24" i="3"/>
  <c r="AC37" i="3"/>
  <c r="AD32" i="3"/>
  <c r="AC41" i="3"/>
  <c r="AD18" i="3"/>
  <c r="AE46" i="3"/>
  <c r="T44" i="3"/>
  <c r="AE30" i="3"/>
  <c r="T13" i="3"/>
  <c r="AD46" i="3"/>
  <c r="AD42" i="3"/>
  <c r="AD38" i="3"/>
  <c r="AD34" i="3"/>
  <c r="AE33" i="3"/>
  <c r="AD30" i="3"/>
  <c r="AE29" i="3"/>
  <c r="AD26" i="3"/>
  <c r="AE25" i="3"/>
  <c r="T41" i="3"/>
  <c r="AD22" i="3"/>
  <c r="AE21" i="3"/>
  <c r="T32" i="3"/>
  <c r="AD20" i="3"/>
  <c r="AE19" i="3"/>
  <c r="T45" i="3"/>
  <c r="AD16" i="3"/>
  <c r="AE15" i="3"/>
  <c r="T24" i="3"/>
  <c r="AD12" i="3"/>
  <c r="AE11" i="3"/>
  <c r="T39" i="3"/>
  <c r="AD8" i="3"/>
  <c r="AE38" i="3"/>
  <c r="T36" i="3"/>
  <c r="AE34" i="3"/>
  <c r="T26" i="3"/>
  <c r="AE26" i="3"/>
  <c r="T12" i="3"/>
  <c r="AE22" i="3"/>
  <c r="T40" i="3"/>
  <c r="AE45" i="3"/>
  <c r="T30" i="3"/>
  <c r="AE41" i="3"/>
  <c r="T37" i="3"/>
  <c r="AE37" i="3"/>
  <c r="T17" i="3"/>
  <c r="T34" i="3"/>
  <c r="T21" i="3"/>
  <c r="AE44" i="3"/>
  <c r="AC43" i="3"/>
  <c r="AE40" i="3"/>
  <c r="AE36" i="3"/>
  <c r="AE32" i="3"/>
  <c r="AE28" i="3"/>
  <c r="AE24" i="3"/>
  <c r="AC46" i="3"/>
  <c r="AE18" i="3"/>
  <c r="AE14" i="3"/>
  <c r="AC18" i="3"/>
  <c r="AE10" i="3"/>
  <c r="AC25" i="3"/>
  <c r="AE42" i="3"/>
  <c r="AE20" i="3"/>
  <c r="AE16" i="3"/>
  <c r="AE12" i="3"/>
  <c r="AE8" i="3"/>
  <c r="U21" i="1" l="1"/>
  <c r="S21" i="1" s="1"/>
  <c r="U136" i="1"/>
  <c r="S136" i="1" s="1"/>
  <c r="AI253" i="1"/>
  <c r="W243" i="1"/>
  <c r="W161" i="1"/>
  <c r="W95" i="1"/>
  <c r="W228" i="1"/>
  <c r="U131" i="1"/>
  <c r="S131" i="1" s="1"/>
  <c r="AI257" i="1"/>
  <c r="AI244" i="1"/>
  <c r="W21" i="1"/>
  <c r="W244" i="1"/>
  <c r="W107" i="1"/>
  <c r="W18" i="1"/>
  <c r="W190" i="1"/>
  <c r="W253" i="1"/>
  <c r="AI74" i="1"/>
  <c r="AI128" i="1"/>
  <c r="U97" i="1"/>
  <c r="S97" i="1" s="1"/>
  <c r="W60" i="1"/>
  <c r="W155" i="1"/>
  <c r="U79" i="1"/>
  <c r="S79" i="1" s="1"/>
  <c r="W158" i="1"/>
  <c r="W202" i="1"/>
  <c r="W113" i="1"/>
  <c r="U77" i="1"/>
  <c r="W81" i="1"/>
  <c r="U18" i="1"/>
  <c r="S18" i="1" s="1"/>
  <c r="U81" i="1"/>
  <c r="S81" i="1" s="1"/>
  <c r="W70" i="1"/>
  <c r="W93" i="1"/>
  <c r="U73" i="1"/>
  <c r="S73" i="1" s="1"/>
  <c r="U248" i="1"/>
  <c r="S248" i="1" s="1"/>
  <c r="W229" i="1"/>
  <c r="W123" i="1"/>
  <c r="W71" i="1"/>
  <c r="W191" i="1"/>
  <c r="W224" i="1"/>
  <c r="W77" i="1"/>
  <c r="AI26" i="1"/>
  <c r="U86" i="1"/>
  <c r="S86" i="1" s="1"/>
  <c r="AI93" i="1"/>
  <c r="W217" i="1"/>
  <c r="U238" i="1"/>
  <c r="S238" i="1" s="1"/>
  <c r="W165" i="1"/>
  <c r="W230" i="1"/>
  <c r="W84" i="1"/>
  <c r="W38" i="1"/>
  <c r="U53" i="1"/>
  <c r="S53" i="1" s="1"/>
  <c r="U75" i="1"/>
  <c r="S75" i="1" s="1"/>
  <c r="U169" i="1"/>
  <c r="S169" i="1" s="1"/>
  <c r="W92" i="1"/>
  <c r="U108" i="1"/>
  <c r="S108" i="1" s="1"/>
  <c r="AI173" i="1"/>
  <c r="AI228" i="1"/>
  <c r="U228" i="1"/>
  <c r="S228" i="1" s="1"/>
  <c r="U46" i="1"/>
  <c r="S46" i="1" s="1"/>
  <c r="U78" i="1"/>
  <c r="S78" i="1" s="1"/>
  <c r="W85" i="1"/>
  <c r="U33" i="1"/>
  <c r="S33" i="1" s="1"/>
  <c r="W219" i="1"/>
  <c r="W100" i="1"/>
  <c r="W132" i="1"/>
  <c r="W140" i="1"/>
  <c r="U219" i="1"/>
  <c r="S219" i="1" s="1"/>
  <c r="W216" i="1"/>
  <c r="U95" i="1"/>
  <c r="S95" i="1" s="1"/>
  <c r="AI132" i="1"/>
  <c r="AI140" i="1"/>
  <c r="AI116" i="1"/>
  <c r="U116" i="1"/>
  <c r="S116" i="1" s="1"/>
  <c r="AI183" i="1"/>
  <c r="AI240" i="1"/>
  <c r="W52" i="1"/>
  <c r="W248" i="1"/>
  <c r="U194" i="1"/>
  <c r="S194" i="1" s="1"/>
  <c r="AI38" i="1"/>
  <c r="W46" i="1"/>
  <c r="W53" i="1"/>
  <c r="U158" i="1"/>
  <c r="S158" i="1" s="1"/>
  <c r="AI147" i="1"/>
  <c r="AI158" i="1"/>
  <c r="AI170" i="1"/>
  <c r="U184" i="1"/>
  <c r="S184" i="1" s="1"/>
  <c r="AI224" i="1"/>
  <c r="W75" i="1"/>
  <c r="W180" i="1"/>
  <c r="U256" i="1"/>
  <c r="S256" i="1" s="1"/>
  <c r="W30" i="1"/>
  <c r="W197" i="1"/>
  <c r="U216" i="1"/>
  <c r="S216" i="1" s="1"/>
  <c r="W183" i="1"/>
  <c r="W79" i="1"/>
  <c r="W97" i="1"/>
  <c r="W119" i="1"/>
  <c r="W220" i="1"/>
  <c r="U220" i="1"/>
  <c r="S220" i="1" s="1"/>
  <c r="W239" i="1"/>
  <c r="W41" i="1"/>
  <c r="W72" i="1"/>
  <c r="W173" i="1"/>
  <c r="W104" i="1"/>
  <c r="AI14" i="1"/>
  <c r="W31" i="1"/>
  <c r="U29" i="1"/>
  <c r="S29" i="1" s="1"/>
  <c r="AI86" i="1"/>
  <c r="AI101" i="1"/>
  <c r="W178" i="1"/>
  <c r="AI159" i="1"/>
  <c r="W29" i="1"/>
  <c r="W177" i="1"/>
  <c r="W14" i="1"/>
  <c r="W194" i="1"/>
  <c r="W101" i="1"/>
  <c r="W252" i="1"/>
  <c r="W112" i="1"/>
  <c r="W169" i="1"/>
  <c r="W168" i="1"/>
  <c r="W152" i="1"/>
  <c r="AI230" i="1"/>
  <c r="U165" i="1"/>
  <c r="S165" i="1" s="1"/>
  <c r="W78" i="1"/>
  <c r="AI89" i="1"/>
  <c r="AI112" i="1"/>
  <c r="AI94" i="1"/>
  <c r="W114" i="1"/>
  <c r="U91" i="1"/>
  <c r="S91" i="1" s="1"/>
  <c r="AI177" i="1"/>
  <c r="U150" i="1"/>
  <c r="S150" i="1" s="1"/>
  <c r="AI249" i="1"/>
  <c r="U224" i="1"/>
  <c r="S224" i="1" s="1"/>
  <c r="U162" i="1"/>
  <c r="S162" i="1" s="1"/>
  <c r="W227" i="1"/>
  <c r="W150" i="1"/>
  <c r="W147" i="1"/>
  <c r="U191" i="1"/>
  <c r="S191" i="1" s="1"/>
  <c r="AI227" i="1"/>
  <c r="U41" i="1"/>
  <c r="S41" i="1" s="1"/>
  <c r="W80" i="1"/>
  <c r="W74" i="1"/>
  <c r="W139" i="1"/>
  <c r="U105" i="1"/>
  <c r="S105" i="1" s="1"/>
  <c r="U30" i="1"/>
  <c r="S30" i="1" s="1"/>
  <c r="S74" i="1"/>
  <c r="U80" i="1"/>
  <c r="S80" i="1" s="1"/>
  <c r="AI104" i="1"/>
  <c r="AI78" i="1"/>
  <c r="AI105" i="1"/>
  <c r="AI109" i="1"/>
  <c r="AI161" i="1"/>
  <c r="AI212" i="1"/>
  <c r="AI223" i="1"/>
  <c r="AI231" i="1"/>
  <c r="W241" i="1"/>
  <c r="W68" i="1"/>
  <c r="W56" i="1"/>
  <c r="W199" i="1"/>
  <c r="W249" i="1"/>
  <c r="AI107" i="1"/>
  <c r="W128" i="1"/>
  <c r="W136" i="1"/>
  <c r="W144" i="1"/>
  <c r="W231" i="1"/>
  <c r="U201" i="1"/>
  <c r="S201" i="1" s="1"/>
  <c r="U153" i="1"/>
  <c r="S153" i="1" s="1"/>
  <c r="W23" i="1"/>
  <c r="U34" i="1"/>
  <c r="S34" i="1" s="1"/>
  <c r="W34" i="1"/>
  <c r="AI80" i="1"/>
  <c r="AI87" i="1"/>
  <c r="AI124" i="1"/>
  <c r="U104" i="1"/>
  <c r="S104" i="1" s="1"/>
  <c r="U139" i="1"/>
  <c r="S139" i="1" s="1"/>
  <c r="U199" i="1"/>
  <c r="S199" i="1" s="1"/>
  <c r="AI256" i="1"/>
  <c r="W237" i="1"/>
  <c r="U49" i="1"/>
  <c r="S49" i="1" s="1"/>
  <c r="W212" i="1"/>
  <c r="U107" i="1"/>
  <c r="S107" i="1" s="1"/>
  <c r="W105" i="1"/>
  <c r="W98" i="1"/>
  <c r="AI166" i="1"/>
  <c r="U124" i="1"/>
  <c r="S124" i="1" s="1"/>
  <c r="W166" i="1"/>
  <c r="U161" i="1"/>
  <c r="S161" i="1" s="1"/>
  <c r="W256" i="1"/>
  <c r="W49" i="1"/>
  <c r="W203" i="1"/>
  <c r="U239" i="1"/>
  <c r="S239" i="1" s="1"/>
  <c r="W187" i="1"/>
  <c r="W232" i="1"/>
  <c r="W94" i="1"/>
  <c r="W201" i="1"/>
  <c r="U197" i="1"/>
  <c r="S197" i="1" s="1"/>
  <c r="U157" i="1"/>
  <c r="S157" i="1" s="1"/>
  <c r="W184" i="1"/>
  <c r="W25" i="1"/>
  <c r="W33" i="1"/>
  <c r="W91" i="1"/>
  <c r="W174" i="1"/>
  <c r="U235" i="1"/>
  <c r="S235" i="1" s="1"/>
  <c r="W108" i="1"/>
  <c r="W117" i="1"/>
  <c r="W109" i="1"/>
  <c r="AI188" i="1"/>
  <c r="W87" i="1"/>
  <c r="W189" i="1"/>
  <c r="W238" i="1"/>
  <c r="W162" i="1"/>
  <c r="W235" i="1"/>
  <c r="U103" i="1"/>
  <c r="S103" i="1" s="1"/>
  <c r="AI103" i="1"/>
  <c r="U111" i="1"/>
  <c r="S111" i="1" s="1"/>
  <c r="AI111" i="1"/>
  <c r="W103" i="1"/>
  <c r="AI98" i="1"/>
  <c r="W181" i="1"/>
  <c r="W170" i="1"/>
  <c r="W186" i="1"/>
  <c r="U60" i="1"/>
  <c r="S60" i="1" s="1"/>
  <c r="W204" i="1"/>
  <c r="W223" i="1"/>
  <c r="W240" i="1"/>
  <c r="W121" i="1"/>
  <c r="W209" i="1"/>
  <c r="U234" i="1"/>
  <c r="S234" i="1" s="1"/>
  <c r="AI234" i="1"/>
  <c r="W257" i="1"/>
  <c r="W111" i="1"/>
  <c r="W26" i="1"/>
  <c r="U204" i="1"/>
  <c r="S204" i="1" s="1"/>
  <c r="W157" i="1"/>
  <c r="W234" i="1"/>
  <c r="U54" i="1"/>
  <c r="S54" i="1" s="1"/>
  <c r="AI54" i="1"/>
  <c r="U182" i="1"/>
  <c r="S182" i="1" s="1"/>
  <c r="AI114" i="1"/>
  <c r="U96" i="1"/>
  <c r="S96" i="1" s="1"/>
  <c r="AI129" i="1"/>
  <c r="U110" i="1"/>
  <c r="S110" i="1" s="1"/>
  <c r="AI145" i="1"/>
  <c r="U125" i="1"/>
  <c r="S125" i="1" s="1"/>
  <c r="AI160" i="1"/>
  <c r="U141" i="1"/>
  <c r="S141" i="1" s="1"/>
  <c r="AI176" i="1"/>
  <c r="W96" i="1"/>
  <c r="AI186" i="1"/>
  <c r="U151" i="1"/>
  <c r="S151" i="1" s="1"/>
  <c r="AI190" i="1"/>
  <c r="U154" i="1"/>
  <c r="S154" i="1" s="1"/>
  <c r="AI194" i="1"/>
  <c r="U192" i="1"/>
  <c r="S192" i="1" s="1"/>
  <c r="AI198" i="1"/>
  <c r="U196" i="1"/>
  <c r="S196" i="1" s="1"/>
  <c r="AI202" i="1"/>
  <c r="U200" i="1"/>
  <c r="S200" i="1" s="1"/>
  <c r="AI206" i="1"/>
  <c r="U206" i="1"/>
  <c r="S206" i="1" s="1"/>
  <c r="AI210" i="1"/>
  <c r="U210" i="1"/>
  <c r="S210" i="1" s="1"/>
  <c r="W210" i="1"/>
  <c r="U250" i="1"/>
  <c r="S250" i="1" s="1"/>
  <c r="AI250" i="1"/>
  <c r="U82" i="1"/>
  <c r="S82" i="1" s="1"/>
  <c r="AI82" i="1"/>
  <c r="U92" i="1"/>
  <c r="S92" i="1" s="1"/>
  <c r="AI125" i="1"/>
  <c r="U106" i="1"/>
  <c r="S106" i="1" s="1"/>
  <c r="AI141" i="1"/>
  <c r="AI156" i="1"/>
  <c r="U137" i="1"/>
  <c r="S137" i="1" s="1"/>
  <c r="AI172" i="1"/>
  <c r="W182" i="1"/>
  <c r="W110" i="1"/>
  <c r="W192" i="1"/>
  <c r="U246" i="1"/>
  <c r="S246" i="1" s="1"/>
  <c r="AI246" i="1"/>
  <c r="W154" i="1"/>
  <c r="W250" i="1"/>
  <c r="U15" i="1"/>
  <c r="S15" i="1" s="1"/>
  <c r="AI15" i="1"/>
  <c r="U19" i="1"/>
  <c r="S19" i="1" s="1"/>
  <c r="AI19" i="1"/>
  <c r="U27" i="1"/>
  <c r="S27" i="1" s="1"/>
  <c r="AI27" i="1"/>
  <c r="W15" i="1"/>
  <c r="U47" i="1"/>
  <c r="S47" i="1" s="1"/>
  <c r="AI47" i="1"/>
  <c r="U43" i="1"/>
  <c r="S43" i="1" s="1"/>
  <c r="AI43" i="1"/>
  <c r="W47" i="1"/>
  <c r="U188" i="1"/>
  <c r="S188" i="1" s="1"/>
  <c r="U102" i="1"/>
  <c r="S102" i="1" s="1"/>
  <c r="AI137" i="1"/>
  <c r="U118" i="1"/>
  <c r="S118" i="1" s="1"/>
  <c r="AI153" i="1"/>
  <c r="U133" i="1"/>
  <c r="S133" i="1" s="1"/>
  <c r="AI168" i="1"/>
  <c r="U178" i="1"/>
  <c r="S178" i="1" s="1"/>
  <c r="AI110" i="1"/>
  <c r="W133" i="1"/>
  <c r="W137" i="1"/>
  <c r="W141" i="1"/>
  <c r="W106" i="1"/>
  <c r="W125" i="1"/>
  <c r="U258" i="1"/>
  <c r="S258" i="1" s="1"/>
  <c r="AI258" i="1"/>
  <c r="AI217" i="1"/>
  <c r="U217" i="1"/>
  <c r="S217" i="1" s="1"/>
  <c r="AI221" i="1"/>
  <c r="U221" i="1"/>
  <c r="S221" i="1" s="1"/>
  <c r="AI225" i="1"/>
  <c r="U225" i="1"/>
  <c r="S225" i="1" s="1"/>
  <c r="AI229" i="1"/>
  <c r="U229" i="1"/>
  <c r="S229" i="1" s="1"/>
  <c r="AI233" i="1"/>
  <c r="U233" i="1"/>
  <c r="S233" i="1" s="1"/>
  <c r="AI237" i="1"/>
  <c r="U237" i="1"/>
  <c r="S237" i="1" s="1"/>
  <c r="AI241" i="1"/>
  <c r="U241" i="1"/>
  <c r="S241" i="1" s="1"/>
  <c r="AI245" i="1"/>
  <c r="U245" i="1"/>
  <c r="S245" i="1" s="1"/>
  <c r="W225" i="1"/>
  <c r="W246" i="1"/>
  <c r="W258" i="1"/>
  <c r="W221" i="1"/>
  <c r="W245" i="1"/>
  <c r="W233" i="1"/>
  <c r="W27" i="1"/>
  <c r="U76" i="1"/>
  <c r="S76" i="1" s="1"/>
  <c r="AI76" i="1"/>
  <c r="W76" i="1"/>
  <c r="U31" i="1"/>
  <c r="S31" i="1" s="1"/>
  <c r="AI31" i="1"/>
  <c r="U23" i="1"/>
  <c r="S23" i="1" s="1"/>
  <c r="AI23" i="1"/>
  <c r="W19" i="1"/>
  <c r="U35" i="1"/>
  <c r="S35" i="1" s="1"/>
  <c r="AI35" i="1"/>
  <c r="U39" i="1"/>
  <c r="S39" i="1" s="1"/>
  <c r="AI39" i="1"/>
  <c r="U66" i="1"/>
  <c r="S66" i="1" s="1"/>
  <c r="AI66" i="1"/>
  <c r="W66" i="1"/>
  <c r="U62" i="1"/>
  <c r="S62" i="1" s="1"/>
  <c r="AI62" i="1"/>
  <c r="W62" i="1"/>
  <c r="U58" i="1"/>
  <c r="S58" i="1" s="1"/>
  <c r="AI58" i="1"/>
  <c r="U70" i="1"/>
  <c r="S70" i="1" s="1"/>
  <c r="AI70" i="1"/>
  <c r="W58" i="1"/>
  <c r="AI113" i="1"/>
  <c r="U181" i="1"/>
  <c r="S181" i="1" s="1"/>
  <c r="U89" i="1"/>
  <c r="S89" i="1" s="1"/>
  <c r="AI118" i="1"/>
  <c r="U98" i="1"/>
  <c r="S98" i="1" s="1"/>
  <c r="AI133" i="1"/>
  <c r="U114" i="1"/>
  <c r="S114" i="1" s="1"/>
  <c r="AI149" i="1"/>
  <c r="U129" i="1"/>
  <c r="S129" i="1" s="1"/>
  <c r="AI164" i="1"/>
  <c r="U145" i="1"/>
  <c r="S145" i="1" s="1"/>
  <c r="AI180" i="1"/>
  <c r="W102" i="1"/>
  <c r="W118" i="1"/>
  <c r="W151" i="1"/>
  <c r="W206" i="1"/>
  <c r="U254" i="1"/>
  <c r="S254" i="1" s="1"/>
  <c r="AI254" i="1"/>
  <c r="W196" i="1"/>
  <c r="W200" i="1"/>
  <c r="W254" i="1"/>
  <c r="S9" i="3"/>
  <c r="M9" i="3"/>
  <c r="R9" i="3"/>
  <c r="U9" i="3"/>
  <c r="V9" i="3"/>
  <c r="W9" i="3"/>
  <c r="X9" i="3"/>
  <c r="AE9" i="3" l="1"/>
  <c r="AD9" i="3"/>
  <c r="AC9" i="3"/>
  <c r="Y9" i="3"/>
  <c r="T9" i="3"/>
  <c r="O2" i="3" l="1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N25" i="3" s="1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N10" i="3" s="1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N8" i="3" s="1"/>
  <c r="G49" i="4"/>
  <c r="N39" i="3" s="1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N18" i="3" s="1"/>
  <c r="G68" i="4"/>
  <c r="G69" i="4"/>
  <c r="G70" i="4"/>
  <c r="N19" i="3" s="1"/>
  <c r="G71" i="4"/>
  <c r="G72" i="4"/>
  <c r="N11" i="3" s="1"/>
  <c r="G73" i="4"/>
  <c r="N23" i="3" s="1"/>
  <c r="G74" i="4"/>
  <c r="G75" i="4"/>
  <c r="G76" i="4"/>
  <c r="G77" i="4"/>
  <c r="G78" i="4"/>
  <c r="G79" i="4"/>
  <c r="G80" i="4"/>
  <c r="G81" i="4"/>
  <c r="N16" i="3" s="1"/>
  <c r="G82" i="4"/>
  <c r="G83" i="4"/>
  <c r="G84" i="4"/>
  <c r="G85" i="4"/>
  <c r="G86" i="4"/>
  <c r="G87" i="4"/>
  <c r="G88" i="4"/>
  <c r="G89" i="4"/>
  <c r="G90" i="4"/>
  <c r="G91" i="4"/>
  <c r="G92" i="4"/>
  <c r="N45" i="3" s="1"/>
  <c r="G93" i="4"/>
  <c r="N27" i="3" s="1"/>
  <c r="G94" i="4"/>
  <c r="G95" i="4"/>
  <c r="N9" i="3" s="1"/>
  <c r="G96" i="4"/>
  <c r="G97" i="4"/>
  <c r="G98" i="4"/>
  <c r="G99" i="4"/>
  <c r="N46" i="3" s="1"/>
  <c r="G100" i="4"/>
  <c r="G101" i="4"/>
  <c r="G102" i="4"/>
  <c r="G103" i="4"/>
  <c r="N31" i="3" s="1"/>
  <c r="G104" i="4"/>
  <c r="G105" i="4"/>
  <c r="N32" i="3" s="1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N40" i="3" s="1"/>
  <c r="G128" i="4"/>
  <c r="G129" i="4"/>
  <c r="G130" i="4"/>
  <c r="G131" i="4"/>
  <c r="G132" i="4"/>
  <c r="N41" i="3" s="1"/>
  <c r="G133" i="4"/>
  <c r="G134" i="4"/>
  <c r="G135" i="4"/>
  <c r="G136" i="4"/>
  <c r="N12" i="3" s="1"/>
  <c r="G137" i="4"/>
  <c r="G138" i="4"/>
  <c r="G139" i="4"/>
  <c r="G140" i="4"/>
  <c r="G141" i="4"/>
  <c r="G142" i="4"/>
  <c r="N21" i="3" s="1"/>
  <c r="G143" i="4"/>
  <c r="G144" i="4"/>
  <c r="G145" i="4"/>
  <c r="G146" i="4"/>
  <c r="G147" i="4"/>
  <c r="G148" i="4"/>
  <c r="G149" i="4"/>
  <c r="G150" i="4"/>
  <c r="G151" i="4"/>
  <c r="G152" i="4"/>
  <c r="N13" i="3" s="1"/>
  <c r="G153" i="4"/>
  <c r="G154" i="4"/>
  <c r="G155" i="4"/>
  <c r="G156" i="4"/>
  <c r="G157" i="4"/>
  <c r="G158" i="4"/>
  <c r="G159" i="4"/>
  <c r="G160" i="4"/>
  <c r="N33" i="3" s="1"/>
  <c r="G161" i="4"/>
  <c r="G162" i="4"/>
  <c r="G163" i="4"/>
  <c r="G164" i="4"/>
  <c r="N26" i="3" s="1"/>
  <c r="G165" i="4"/>
  <c r="N34" i="3" s="1"/>
  <c r="G166" i="4"/>
  <c r="G167" i="4"/>
  <c r="G168" i="4"/>
  <c r="N7" i="3" s="1"/>
  <c r="G169" i="4"/>
  <c r="G170" i="4"/>
  <c r="G171" i="4"/>
  <c r="G172" i="4"/>
  <c r="G173" i="4"/>
  <c r="N35" i="3" s="1"/>
  <c r="G174" i="4"/>
  <c r="G175" i="4"/>
  <c r="G176" i="4"/>
  <c r="G177" i="4"/>
  <c r="G178" i="4"/>
  <c r="G179" i="4"/>
  <c r="N17" i="3" s="1"/>
  <c r="G180" i="4"/>
  <c r="N42" i="3" s="1"/>
  <c r="G181" i="4"/>
  <c r="G182" i="4"/>
  <c r="G183" i="4"/>
  <c r="G184" i="4"/>
  <c r="G185" i="4"/>
  <c r="G186" i="4"/>
  <c r="G187" i="4"/>
  <c r="G188" i="4"/>
  <c r="G189" i="4"/>
  <c r="G190" i="4"/>
  <c r="G191" i="4"/>
  <c r="G192" i="4"/>
  <c r="N36" i="3" s="1"/>
  <c r="G193" i="4"/>
  <c r="G194" i="4"/>
  <c r="G195" i="4"/>
  <c r="G196" i="4"/>
  <c r="G197" i="4"/>
  <c r="G198" i="4"/>
  <c r="G199" i="4"/>
  <c r="N22" i="3" s="1"/>
  <c r="G200" i="4"/>
  <c r="G201" i="4"/>
  <c r="G202" i="4"/>
  <c r="G203" i="4"/>
  <c r="G204" i="4"/>
  <c r="G205" i="4"/>
  <c r="G206" i="4"/>
  <c r="G207" i="4"/>
  <c r="G208" i="4"/>
  <c r="G209" i="4"/>
  <c r="G210" i="4"/>
  <c r="G211" i="4"/>
  <c r="N44" i="3" s="1"/>
  <c r="G212" i="4"/>
  <c r="G213" i="4"/>
  <c r="G214" i="4"/>
  <c r="G215" i="4"/>
  <c r="G216" i="4"/>
  <c r="G217" i="4"/>
  <c r="N43" i="3" s="1"/>
  <c r="G218" i="4"/>
  <c r="G219" i="4"/>
  <c r="G220" i="4"/>
  <c r="N15" i="3" s="1"/>
  <c r="G221" i="4"/>
  <c r="G222" i="4"/>
  <c r="G223" i="4"/>
  <c r="G224" i="4"/>
  <c r="G225" i="4"/>
  <c r="G226" i="4"/>
  <c r="G227" i="4"/>
  <c r="N37" i="3" s="1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4" i="3" l="1"/>
  <c r="N28" i="3"/>
  <c r="N29" i="3"/>
  <c r="N20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N30" i="3" s="1"/>
  <c r="G279" i="4"/>
  <c r="G280" i="4"/>
  <c r="G281" i="4"/>
  <c r="G259" i="4" l="1"/>
  <c r="G260" i="4"/>
  <c r="G261" i="4"/>
  <c r="G262" i="4"/>
  <c r="G263" i="4"/>
  <c r="G264" i="4"/>
  <c r="G265" i="4"/>
  <c r="N14" i="3" l="1"/>
  <c r="N38" i="3"/>
  <c r="M14" i="5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3" i="3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B4" i="6"/>
  <c r="G3" i="6"/>
  <c r="J3" i="6"/>
  <c r="H3" i="6"/>
  <c r="I4" i="6" l="1"/>
  <c r="F4" i="6"/>
  <c r="G4" i="6"/>
  <c r="H4" i="6"/>
  <c r="J4" i="6"/>
  <c r="B5" i="6"/>
  <c r="I5" i="6" l="1"/>
  <c r="F5" i="6"/>
  <c r="J5" i="6"/>
  <c r="G5" i="6"/>
  <c r="H5" i="6"/>
  <c r="B6" i="6"/>
  <c r="I6" i="6" l="1"/>
  <c r="F6" i="6"/>
  <c r="G6" i="6"/>
  <c r="H6" i="6"/>
  <c r="J6" i="6"/>
  <c r="B7" i="6"/>
  <c r="I7" i="6" l="1"/>
  <c r="F7" i="6"/>
  <c r="B8" i="6"/>
  <c r="J7" i="6"/>
  <c r="H7" i="6"/>
  <c r="G7" i="6"/>
  <c r="I8" i="6" l="1"/>
  <c r="F8" i="6"/>
  <c r="J8" i="6"/>
  <c r="G8" i="6"/>
  <c r="H8" i="6"/>
  <c r="B9" i="6"/>
  <c r="I9" i="6" l="1"/>
  <c r="F9" i="6"/>
  <c r="B10" i="6"/>
  <c r="G9" i="6"/>
  <c r="J9" i="6"/>
  <c r="H9" i="6"/>
  <c r="I10" i="6" l="1"/>
  <c r="F10" i="6"/>
  <c r="G10" i="6"/>
  <c r="J10" i="6"/>
  <c r="H10" i="6"/>
  <c r="B72" i="6" l="1"/>
  <c r="I72" i="6" l="1"/>
  <c r="F72" i="6"/>
  <c r="B73" i="6"/>
  <c r="H72" i="6"/>
  <c r="G72" i="6"/>
  <c r="J72" i="6"/>
  <c r="I73" i="6" l="1"/>
  <c r="F73" i="6"/>
  <c r="B74" i="6"/>
  <c r="J73" i="6"/>
  <c r="G73" i="6"/>
  <c r="H73" i="6"/>
  <c r="I74" i="6" l="1"/>
  <c r="F74" i="6"/>
  <c r="H74" i="6"/>
  <c r="G74" i="6"/>
  <c r="J74" i="6"/>
  <c r="B75" i="6"/>
  <c r="I75" i="6" l="1"/>
  <c r="F75" i="6"/>
  <c r="H75" i="6"/>
  <c r="J75" i="6"/>
  <c r="G75" i="6"/>
  <c r="B76" i="6"/>
  <c r="I76" i="6" l="1"/>
  <c r="F76" i="6"/>
  <c r="G76" i="6"/>
  <c r="J76" i="6"/>
  <c r="H76" i="6"/>
  <c r="B77" i="6"/>
  <c r="I77" i="6" l="1"/>
  <c r="F77" i="6"/>
  <c r="B78" i="6"/>
  <c r="H77" i="6"/>
  <c r="J77" i="6"/>
  <c r="G77" i="6"/>
  <c r="I78" i="6" l="1"/>
  <c r="F78" i="6"/>
  <c r="B79" i="6"/>
  <c r="J78" i="6"/>
  <c r="H78" i="6"/>
  <c r="G78" i="6"/>
  <c r="I79" i="6" l="1"/>
  <c r="F79" i="6"/>
  <c r="B81" i="6"/>
  <c r="B80" i="6"/>
  <c r="G79" i="6"/>
  <c r="H79" i="6"/>
  <c r="J79" i="6"/>
  <c r="I80" i="6" l="1"/>
  <c r="F80" i="6"/>
  <c r="I81" i="6"/>
  <c r="F81" i="6"/>
  <c r="G80" i="6"/>
  <c r="H80" i="6"/>
  <c r="J80" i="6"/>
  <c r="J81" i="6"/>
  <c r="G81" i="6"/>
  <c r="H8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<sst xmlns="http://schemas.openxmlformats.org/spreadsheetml/2006/main" count="2945" uniqueCount="1048">
  <si>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</si>
  <si>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</si>
  <si>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</si>
  <si>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</si>
  <si>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</si>
  <si>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</si>
  <si>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</si>
  <si>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</si>
  <si>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</si>
  <si>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</si>
  <si>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</si>
  <si>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</si>
  <si>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</si>
  <si>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</si>
  <si>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</si>
  <si>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</si>
  <si>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</si>
  <si>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</si>
  <si>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</si>
  <si>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</si>
  <si>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</si>
  <si>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</si>
  <si>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</si>
  <si>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</si>
  <si>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</si>
  <si>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</si>
  <si>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</si>
  <si>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</si>
  <si>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</si>
  <si>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</si>
  <si>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</si>
  <si>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</si>
  <si>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</si>
  <si>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</si>
  <si>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</si>
  <si>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</si>
  <si>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</si>
  <si>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</si>
  <si>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</si>
  <si>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</si>
  <si>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</si>
  <si>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</si>
  <si>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</si>
  <si>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</si>
  <si>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</si>
  <si>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</si>
  <si>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</si>
  <si>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</si>
  <si>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</si>
  <si>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</si>
  <si>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</si>
  <si>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</si>
  <si>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</si>
  <si>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</si>
  <si>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</si>
  <si>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</si>
  <si>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</si>
  <si>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</si>
  <si>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</si>
  <si>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</si>
  <si>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</si>
  <si>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</si>
  <si>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</si>
  <si>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</si>
  <si>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</si>
  <si>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</si>
  <si>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</si>
  <si>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</si>
  <si>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</si>
  <si>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</si>
  <si>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</si>
  <si>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</si>
  <si>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</si>
  <si>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</si>
  <si>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</si>
  <si>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</si>
  <si>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</si>
  <si>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</si>
  <si>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</si>
  <si>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</si>
  <si>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</si>
  <si>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</si>
  <si>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</si>
  <si>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</si>
  <si>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</si>
  <si>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</si>
  <si>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</si>
  <si>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</si>
  <si>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</si>
  <si>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</si>
  <si>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</si>
  <si>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</si>
  <si>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</si>
  <si>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</si>
  <si>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</si>
  <si>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</si>
  <si>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</si>
  <si>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</si>
  <si>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</si>
  <si>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</si>
  <si>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</si>
  <si>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</si>
  <si>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</si>
  <si>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</si>
  <si>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</si>
  <si>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</si>
  <si>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</si>
  <si>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</si>
  <si>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</si>
  <si>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</si>
  <si>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</si>
  <si>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</si>
  <si>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</si>
  <si>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</si>
  <si>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</si>
  <si>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</si>
  <si>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</si>
  <si>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</si>
  <si>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</si>
  <si>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</si>
  <si>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</si>
  <si>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</si>
  <si>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</si>
  <si>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</si>
  <si>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</si>
  <si>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</si>
  <si>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</si>
  <si>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</si>
  <si>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</si>
  <si>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</si>
  <si>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</si>
  <si>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</si>
  <si>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</si>
  <si>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</si>
  <si>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</si>
  <si>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</si>
  <si>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</si>
  <si>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</si>
  <si>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</si>
  <si>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</si>
  <si>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</si>
  <si>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</si>
  <si>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</si>
  <si>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</si>
  <si>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</si>
  <si>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</si>
  <si>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</si>
  <si>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</si>
  <si>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</si>
  <si>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</si>
  <si>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</si>
  <si>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</si>
  <si>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</si>
  <si>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</si>
  <si>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</si>
  <si>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</si>
  <si>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</si>
  <si>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</si>
  <si>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</si>
  <si>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</si>
  <si>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</si>
  <si>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</si>
  <si>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</si>
  <si>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</si>
  <si>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</si>
  <si>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</si>
  <si>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</si>
  <si>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</si>
  <si>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</si>
  <si>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</si>
  <si>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</si>
  <si>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</si>
  <si>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</si>
  <si>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</si>
  <si>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</si>
  <si>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</si>
  <si>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</si>
  <si>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</si>
  <si>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</si>
  <si>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</si>
  <si>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</si>
  <si>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</si>
  <si>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</si>
  <si>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</si>
  <si>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</si>
  <si>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</si>
  <si>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</si>
  <si>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</si>
  <si>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</si>
  <si>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</si>
  <si>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</si>
  <si>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</si>
  <si>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</si>
  <si>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</si>
  <si>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</si>
  <si>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</si>
  <si>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</si>
  <si>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</si>
  <si>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</si>
  <si>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</si>
  <si>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</si>
  <si>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</si>
  <si>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</si>
  <si>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</si>
  <si>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</si>
  <si>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</si>
  <si>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</si>
  <si>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</si>
  <si>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</si>
  <si>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</si>
  <si>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</si>
  <si>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</si>
  <si>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</si>
  <si>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</si>
  <si>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</si>
  <si>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</si>
  <si>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</si>
  <si>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</si>
  <si>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</si>
  <si>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</si>
  <si>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</si>
  <si>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</si>
  <si>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</si>
  <si>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</si>
  <si>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</si>
  <si>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</si>
  <si>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</si>
  <si>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</si>
  <si>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</si>
  <si>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</si>
  <si>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</si>
  <si>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</si>
  <si>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</si>
  <si>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</si>
  <si>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</si>
  <si>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</si>
  <si>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</si>
  <si>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</si>
  <si>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</si>
  <si>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</si>
  <si>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</si>
  <si>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</si>
  <si>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</si>
  <si>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</si>
  <si>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</si>
  <si>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</si>
  <si>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</si>
  <si>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</si>
  <si>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</si>
  <si>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</si>
  <si>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</si>
  <si>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</si>
  <si>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</si>
  <si>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</si>
  <si>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</si>
  <si>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</si>
  <si>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</si>
  <si>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</si>
  <si>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</si>
  <si>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</si>
  <si>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</si>
  <si>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</si>
  <si>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</si>
  <si>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</si>
  <si>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</si>
  <si>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</si>
  <si>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</si>
  <si>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</si>
  <si>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</si>
  <si>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</si>
  <si>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</si>
  <si>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</si>
  <si>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</si>
  <si>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</si>
  <si>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</si>
  <si>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</si>
  <si>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</si>
  <si>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</si>
  <si>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</si>
  <si>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</si>
  <si>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</si>
  <si>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</si>
  <si>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</si>
  <si>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</si>
  <si>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</si>
  <si>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</si>
  <si>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</si>
  <si>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</si>
  <si>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</si>
  <si>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</si>
  <si>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</si>
  <si>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</si>
  <si>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</si>
  <si>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</si>
  <si>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</si>
  <si>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</si>
  <si>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</si>
  <si>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</si>
  <si>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</si>
  <si>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</si>
  <si>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</si>
  <si>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</si>
  <si>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</si>
  <si>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</si>
  <si>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</si>
  <si>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</si>
  <si>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</si>
  <si>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</si>
  <si>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</si>
  <si>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</si>
  <si>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</si>
  <si>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</si>
  <si>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</si>
  <si>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</si>
  <si>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</si>
  <si>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</si>
  <si>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</si>
  <si>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</si>
  <si>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</si>
  <si>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</si>
  <si>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</si>
  <si>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</si>
  <si>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</si>
  <si>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</si>
  <si>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</si>
  <si>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</si>
  <si>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</si>
  <si>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</si>
  <si>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</si>
  <si>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</si>
  <si>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</si>
  <si>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</si>
  <si>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</si>
  <si>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</si>
  <si>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</si>
  <si>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</si>
  <si>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</si>
  <si>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</si>
  <si>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</si>
  <si>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</si>
  <si>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</si>
  <si>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</si>
  <si>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</si>
  <si>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</si>
  <si>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</si>
  <si>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</si>
  <si>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</si>
  <si>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</si>
  <si>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</si>
  <si>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</si>
  <si>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</si>
  <si>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</si>
  <si>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rtdc.l.rtdc.4022:itc</t>
  </si>
  <si>
    <t>SMITH</t>
  </si>
  <si>
    <t>rtdc.l.rtdc.4029:itc</t>
  </si>
  <si>
    <t>246-18</t>
  </si>
  <si>
    <t>313-18</t>
  </si>
  <si>
    <t>315-18</t>
  </si>
  <si>
    <t>204:449</t>
  </si>
  <si>
    <t>STORY</t>
  </si>
  <si>
    <t>SAMANTHA</t>
  </si>
  <si>
    <t>rtdc.l.rtdc.4014:itc</t>
  </si>
  <si>
    <t>rtdc.l.rtdc.4013:itc</t>
  </si>
  <si>
    <t>204:138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</si>
  <si>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</si>
  <si>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</si>
  <si>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</si>
  <si>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</si>
  <si>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</si>
  <si>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204:446</t>
  </si>
  <si>
    <t>rtdc.l.rtdc.4009:itc</t>
  </si>
  <si>
    <t>204:145</t>
  </si>
  <si>
    <t>204:160</t>
  </si>
  <si>
    <t>DUNCAN</t>
  </si>
  <si>
    <t>SHEILA</t>
  </si>
  <si>
    <t>204:458</t>
  </si>
  <si>
    <t>rtdc.l.rtdc.4004:itc</t>
  </si>
  <si>
    <t>rtdc.l.rtdc.4003:itc</t>
  </si>
  <si>
    <t>rtdc.l.rtdc.4054:itc</t>
  </si>
  <si>
    <t>204:150</t>
  </si>
  <si>
    <t>204:149</t>
  </si>
  <si>
    <t>204:143</t>
  </si>
  <si>
    <t>204:466</t>
  </si>
  <si>
    <t>204:469</t>
  </si>
  <si>
    <t>204:451</t>
  </si>
  <si>
    <t>300:23346</t>
  </si>
  <si>
    <t>rtdc.l.rtdc.4018:itc</t>
  </si>
  <si>
    <t>204:233314</t>
  </si>
  <si>
    <t>204:464</t>
  </si>
  <si>
    <t>rtdc.l.rtdc.4053:itc</t>
  </si>
  <si>
    <t>204:156</t>
  </si>
  <si>
    <t>204:233310</t>
  </si>
  <si>
    <t>rtdc.l.rtdc.4017:itc</t>
  </si>
  <si>
    <t>204:453</t>
  </si>
  <si>
    <t>204:232973</t>
  </si>
  <si>
    <t>204:232969</t>
  </si>
  <si>
    <t>204:440</t>
  </si>
  <si>
    <t>204:232982</t>
  </si>
  <si>
    <t>204:232993</t>
  </si>
  <si>
    <t>204:232984</t>
  </si>
  <si>
    <t>rtdc.l.rtdc.4061:itc</t>
  </si>
  <si>
    <t>204:233293</t>
  </si>
  <si>
    <t>204:444</t>
  </si>
  <si>
    <t>204:161</t>
  </si>
  <si>
    <t>204:447</t>
  </si>
  <si>
    <t>204:139</t>
  </si>
  <si>
    <t>rtdc.l.rtdc.4042:itc</t>
  </si>
  <si>
    <t>rtdc.l.rtdc.4060:itc</t>
  </si>
  <si>
    <t>204:165</t>
  </si>
  <si>
    <t>204:232986</t>
  </si>
  <si>
    <t>204:141</t>
  </si>
  <si>
    <t>204:163</t>
  </si>
  <si>
    <t>300:58933</t>
  </si>
  <si>
    <t>300:58628</t>
  </si>
  <si>
    <t>204:233282</t>
  </si>
  <si>
    <t>204:233308</t>
  </si>
  <si>
    <t>204:147</t>
  </si>
  <si>
    <t>204:233291</t>
  </si>
  <si>
    <t>204:232965</t>
  </si>
  <si>
    <t>204:233332</t>
  </si>
  <si>
    <t>204:233302</t>
  </si>
  <si>
    <t>300:58619</t>
  </si>
  <si>
    <t>:.+((SYSTEM_STATE.+slice.+state.+changed )|(ment ac)|(multiple cpu faults)|(system.+state.+changed )|(\[timeout)|(PRM\|1\|D)|(kpr)|(kdp)|(train st.+moving)|(\|lc)|(penalty))</t>
  </si>
  <si>
    <t>LOZA</t>
  </si>
  <si>
    <t>FIDEL</t>
  </si>
  <si>
    <t>FRANK</t>
  </si>
  <si>
    <t>204:233289</t>
  </si>
  <si>
    <t>204:442</t>
  </si>
  <si>
    <t>204:233319</t>
  </si>
  <si>
    <t>204:437</t>
  </si>
  <si>
    <t>204:232980</t>
  </si>
  <si>
    <t>204:473</t>
  </si>
  <si>
    <t>204:427</t>
  </si>
  <si>
    <t>300:58939</t>
  </si>
  <si>
    <t>rtdc.l.rtdc.4023:itc</t>
  </si>
  <si>
    <t>SIGNAL</t>
  </si>
  <si>
    <t>Signal based authority (5)</t>
  </si>
  <si>
    <t>rtdc.l.rtdc.4051:itc</t>
  </si>
  <si>
    <t>rtdc.l.rtdc.4024:itc</t>
  </si>
  <si>
    <t>Y</t>
  </si>
  <si>
    <t>BADERTSCHER</t>
  </si>
  <si>
    <t>DIANE</t>
  </si>
  <si>
    <t>GEBRETEKLE</t>
  </si>
  <si>
    <t>DAGNEW</t>
  </si>
  <si>
    <t>rtdc.l.rtdc.4052:itc</t>
  </si>
  <si>
    <t>MOSES</t>
  </si>
  <si>
    <t>BRADLEY</t>
  </si>
  <si>
    <t>BRUDER</t>
  </si>
  <si>
    <t>RICHARD</t>
  </si>
  <si>
    <t>FORTUNATO</t>
  </si>
  <si>
    <t>Clear</t>
  </si>
  <si>
    <t>clear-night</t>
  </si>
  <si>
    <t>204:119</t>
  </si>
  <si>
    <t>204:233306</t>
  </si>
  <si>
    <t>204:233010</t>
  </si>
  <si>
    <t>204:233297</t>
  </si>
  <si>
    <t>204:233325</t>
  </si>
  <si>
    <t>204:1162</t>
  </si>
  <si>
    <t>204:232959</t>
  </si>
  <si>
    <t>204:233276</t>
  </si>
  <si>
    <t>204:172</t>
  </si>
  <si>
    <t>204:233311</t>
  </si>
  <si>
    <t>204:233321</t>
  </si>
  <si>
    <t>204:232987</t>
  </si>
  <si>
    <t>204:233298</t>
  </si>
  <si>
    <t>204:232991</t>
  </si>
  <si>
    <t>300:58931</t>
  </si>
  <si>
    <t>300:58954</t>
  </si>
  <si>
    <t>204:1007</t>
  </si>
  <si>
    <t>204:678</t>
  </si>
  <si>
    <t>rtdc.l.rtdc.4041:itc</t>
  </si>
  <si>
    <t>rtdc.l.rtdc.4020:itc</t>
  </si>
  <si>
    <t>rtdc.l.rtdc.4043:itc</t>
  </si>
  <si>
    <t>ROBINSON</t>
  </si>
  <si>
    <t>KADDIBA</t>
  </si>
  <si>
    <t>rtdc.l.rtdc.4019:itc</t>
  </si>
  <si>
    <t>rtdc.l.rtdc.4044:itc</t>
  </si>
  <si>
    <t>BRANDNER</t>
  </si>
  <si>
    <t>MELINDA</t>
  </si>
  <si>
    <t>204:480</t>
  </si>
  <si>
    <t>204:233040</t>
  </si>
  <si>
    <t>204:233006</t>
  </si>
  <si>
    <t>204:232955</t>
  </si>
  <si>
    <t>204:233301</t>
  </si>
  <si>
    <t>204:233295</t>
  </si>
  <si>
    <t>204:232988</t>
  </si>
  <si>
    <t>204:134</t>
  </si>
  <si>
    <t>204:233299</t>
  </si>
  <si>
    <t>204:232967</t>
  </si>
  <si>
    <t>204:233283</t>
  </si>
  <si>
    <t>204:233315</t>
  </si>
  <si>
    <t>204:233324</t>
  </si>
  <si>
    <t>204:438</t>
  </si>
  <si>
    <t>204:233048</t>
  </si>
  <si>
    <t>204:455</t>
  </si>
  <si>
    <t>204:233370</t>
  </si>
  <si>
    <t>204:125</t>
  </si>
  <si>
    <t>204:233000</t>
  </si>
  <si>
    <t>204:233305</t>
  </si>
  <si>
    <t>204:110</t>
  </si>
  <si>
    <t>204:129</t>
  </si>
  <si>
    <t>204:1152</t>
  </si>
  <si>
    <t>300:58623</t>
  </si>
  <si>
    <t>204:717</t>
  </si>
  <si>
    <t>300:58624</t>
  </si>
  <si>
    <t>204:671</t>
  </si>
  <si>
    <t>204:965</t>
  </si>
  <si>
    <t>300:58941</t>
  </si>
  <si>
    <t>300:58608</t>
  </si>
  <si>
    <t>204:734</t>
  </si>
  <si>
    <t>300:58653</t>
  </si>
  <si>
    <t>300:24214</t>
  </si>
  <si>
    <t>300:58613</t>
  </si>
  <si>
    <t>107-06</t>
  </si>
  <si>
    <t>rtdc.l.rtdc.4005:itc</t>
  </si>
  <si>
    <t>102-06</t>
  </si>
  <si>
    <t>121-06</t>
  </si>
  <si>
    <t>127-06</t>
  </si>
  <si>
    <t>1803-06</t>
  </si>
  <si>
    <t>136-06</t>
  </si>
  <si>
    <t>rtdc.l.rtdc.4002:itc</t>
  </si>
  <si>
    <t>145-06</t>
  </si>
  <si>
    <t>138-06</t>
  </si>
  <si>
    <t>144-06</t>
  </si>
  <si>
    <t>SWITCH UNKNOWN</t>
  </si>
  <si>
    <t>Track device (7)</t>
  </si>
  <si>
    <t>142-06</t>
  </si>
  <si>
    <t>rtdc.l.rtdc.4001:itc</t>
  </si>
  <si>
    <t>146-06</t>
  </si>
  <si>
    <t>55-06</t>
  </si>
  <si>
    <t>52-06</t>
  </si>
  <si>
    <t>154-06</t>
  </si>
  <si>
    <t>165-06</t>
  </si>
  <si>
    <t>167-06</t>
  </si>
  <si>
    <t>1815-06</t>
  </si>
  <si>
    <t>168-06</t>
  </si>
  <si>
    <t>1816-06</t>
  </si>
  <si>
    <t>181-06</t>
  </si>
  <si>
    <t>172-06</t>
  </si>
  <si>
    <t>185-06</t>
  </si>
  <si>
    <t>191-06</t>
  </si>
  <si>
    <t>197-06</t>
  </si>
  <si>
    <t>203-06</t>
  </si>
  <si>
    <t>201-06</t>
  </si>
  <si>
    <t>194-06</t>
  </si>
  <si>
    <t>207-06</t>
  </si>
  <si>
    <t>1824-06</t>
  </si>
  <si>
    <t>206-06</t>
  </si>
  <si>
    <t>219-06</t>
  </si>
  <si>
    <t>221-06</t>
  </si>
  <si>
    <t>226-06</t>
  </si>
  <si>
    <t>233-06</t>
  </si>
  <si>
    <t>81-06</t>
  </si>
  <si>
    <t>241-06</t>
  </si>
  <si>
    <t>242-06</t>
  </si>
  <si>
    <t>rtdc.l.rtdc.4033:itc</t>
  </si>
  <si>
    <t>79-06</t>
  </si>
  <si>
    <t>242-05</t>
  </si>
  <si>
    <t>245-05</t>
  </si>
  <si>
    <t>76-05</t>
  </si>
  <si>
    <t>309-05</t>
  </si>
  <si>
    <t>rtdc.l.rtdc.4007:itc</t>
  </si>
  <si>
    <t>244-05</t>
  </si>
  <si>
    <t>311-05</t>
  </si>
  <si>
    <t>246-05</t>
  </si>
  <si>
    <t>rtdc.l.rtdc.4034:itc</t>
  </si>
  <si>
    <t>77-05</t>
  </si>
  <si>
    <t>79-05</t>
  </si>
  <si>
    <t>SULLIVAN</t>
  </si>
  <si>
    <t>BRANDON</t>
  </si>
  <si>
    <t>rtdc.l.rtdc.4008:itc</t>
  </si>
  <si>
    <t>313-05</t>
  </si>
  <si>
    <t>315-05</t>
  </si>
  <si>
    <t>302-06</t>
  </si>
  <si>
    <t>101-06</t>
  </si>
  <si>
    <t>304-06</t>
  </si>
  <si>
    <t>103-06</t>
  </si>
  <si>
    <t>306-06</t>
  </si>
  <si>
    <t>MAELZER</t>
  </si>
  <si>
    <t>KURT</t>
  </si>
  <si>
    <t>308-06</t>
  </si>
  <si>
    <t>DAVIS</t>
  </si>
  <si>
    <t>WENDY</t>
  </si>
  <si>
    <t>104-06</t>
  </si>
  <si>
    <t>111-06</t>
  </si>
  <si>
    <t>115-06</t>
  </si>
  <si>
    <t>108-06</t>
  </si>
  <si>
    <t>1901-06</t>
  </si>
  <si>
    <t>DELGADO</t>
  </si>
  <si>
    <t>DIANAH</t>
  </si>
  <si>
    <t>1800-06</t>
  </si>
  <si>
    <t>112-06</t>
  </si>
  <si>
    <t>119-06</t>
  </si>
  <si>
    <t>1801-06</t>
  </si>
  <si>
    <t>123-06</t>
  </si>
  <si>
    <t>116-06</t>
  </si>
  <si>
    <t>51-06</t>
  </si>
  <si>
    <t>COOLAHAN</t>
  </si>
  <si>
    <t>JOHN</t>
  </si>
  <si>
    <t>1802-06</t>
  </si>
  <si>
    <t>118-06</t>
  </si>
  <si>
    <t>125-06</t>
  </si>
  <si>
    <t>120-06</t>
  </si>
  <si>
    <t>SANTIZO</t>
  </si>
  <si>
    <t>D. EDY</t>
  </si>
  <si>
    <t>122-06</t>
  </si>
  <si>
    <t>rtdc.l.rtdc.4006:itc</t>
  </si>
  <si>
    <t>129-06</t>
  </si>
  <si>
    <t>124-06</t>
  </si>
  <si>
    <t>131-06</t>
  </si>
  <si>
    <t>1804-06</t>
  </si>
  <si>
    <t>126-06</t>
  </si>
  <si>
    <t>128-06</t>
  </si>
  <si>
    <t>133-06</t>
  </si>
  <si>
    <t>135-06</t>
  </si>
  <si>
    <t>1805-06</t>
  </si>
  <si>
    <t>130-06</t>
  </si>
  <si>
    <t>137-06</t>
  </si>
  <si>
    <t>132-06</t>
  </si>
  <si>
    <t>139-06</t>
  </si>
  <si>
    <t>1806-06</t>
  </si>
  <si>
    <t>134-06</t>
  </si>
  <si>
    <t>141-06</t>
  </si>
  <si>
    <t>143-06</t>
  </si>
  <si>
    <t>1807-06</t>
  </si>
  <si>
    <t>50-06</t>
  </si>
  <si>
    <t>LOPES</t>
  </si>
  <si>
    <t>KIMBERLY</t>
  </si>
  <si>
    <t>140-06</t>
  </si>
  <si>
    <t>147-06</t>
  </si>
  <si>
    <t>1808-06</t>
  </si>
  <si>
    <t>149-06</t>
  </si>
  <si>
    <t>151-06</t>
  </si>
  <si>
    <t>53-06</t>
  </si>
  <si>
    <t>1809-06</t>
  </si>
  <si>
    <t>148-06</t>
  </si>
  <si>
    <t>155-06</t>
  </si>
  <si>
    <t>ROMERO</t>
  </si>
  <si>
    <t>CHAD</t>
  </si>
  <si>
    <t>1810-06</t>
  </si>
  <si>
    <t>150-06</t>
  </si>
  <si>
    <t>152-06</t>
  </si>
  <si>
    <t>157-06</t>
  </si>
  <si>
    <t>MCREYNOLDS</t>
  </si>
  <si>
    <t>KYLE</t>
  </si>
  <si>
    <t>ARNOLD</t>
  </si>
  <si>
    <t>PAUL</t>
  </si>
  <si>
    <t>159-06</t>
  </si>
  <si>
    <t>STEWART</t>
  </si>
  <si>
    <t>156-06</t>
  </si>
  <si>
    <t>161-06</t>
  </si>
  <si>
    <t>1811-06</t>
  </si>
  <si>
    <t>LEVIN</t>
  </si>
  <si>
    <t>SCOTT</t>
  </si>
  <si>
    <t>163-06</t>
  </si>
  <si>
    <t>158-06</t>
  </si>
  <si>
    <t>1812-06</t>
  </si>
  <si>
    <t>54-06</t>
  </si>
  <si>
    <t>160-06</t>
  </si>
  <si>
    <t>1813-06</t>
  </si>
  <si>
    <t>162-06</t>
  </si>
  <si>
    <t>169-06</t>
  </si>
  <si>
    <t>57-06</t>
  </si>
  <si>
    <t>164-06</t>
  </si>
  <si>
    <t>171-06</t>
  </si>
  <si>
    <t>166-06</t>
  </si>
  <si>
    <t>1814-06</t>
  </si>
  <si>
    <t>173-06</t>
  </si>
  <si>
    <t>60-06</t>
  </si>
  <si>
    <t>170-06</t>
  </si>
  <si>
    <t>175-06</t>
  </si>
  <si>
    <t>177-06</t>
  </si>
  <si>
    <t>179-06</t>
  </si>
  <si>
    <t>174-06</t>
  </si>
  <si>
    <t>59-06</t>
  </si>
  <si>
    <t>176-06</t>
  </si>
  <si>
    <t>183-06</t>
  </si>
  <si>
    <t>178-06</t>
  </si>
  <si>
    <t>56-06</t>
  </si>
  <si>
    <t>1817-06</t>
  </si>
  <si>
    <t>HELVIE</t>
  </si>
  <si>
    <t>ADAM</t>
  </si>
  <si>
    <t>180-06</t>
  </si>
  <si>
    <t>187-06</t>
  </si>
  <si>
    <t>182-06</t>
  </si>
  <si>
    <t>1818-06</t>
  </si>
  <si>
    <t>189-06</t>
  </si>
  <si>
    <t>184-06</t>
  </si>
  <si>
    <t>186-06</t>
  </si>
  <si>
    <t>193-06</t>
  </si>
  <si>
    <t>1819-06</t>
  </si>
  <si>
    <t>188-06</t>
  </si>
  <si>
    <t>195-06</t>
  </si>
  <si>
    <t>1820-06</t>
  </si>
  <si>
    <t>190-06</t>
  </si>
  <si>
    <t>192-06</t>
  </si>
  <si>
    <t>199-06</t>
  </si>
  <si>
    <t>1821-06</t>
  </si>
  <si>
    <t>196-06</t>
  </si>
  <si>
    <t>198-06</t>
  </si>
  <si>
    <t>200-06</t>
  </si>
  <si>
    <t>1822-06</t>
  </si>
  <si>
    <t>205-06</t>
  </si>
  <si>
    <t>202-06</t>
  </si>
  <si>
    <t>209-06</t>
  </si>
  <si>
    <t>1823-06</t>
  </si>
  <si>
    <t>204-06</t>
  </si>
  <si>
    <t>211-06</t>
  </si>
  <si>
    <t>213-06</t>
  </si>
  <si>
    <t>208-06</t>
  </si>
  <si>
    <t>70-06</t>
  </si>
  <si>
    <t>SAFIEF</t>
  </si>
  <si>
    <t>AEIMEN</t>
  </si>
  <si>
    <t>215-06</t>
  </si>
  <si>
    <t>210-06</t>
  </si>
  <si>
    <t>63-06</t>
  </si>
  <si>
    <t>217-06</t>
  </si>
  <si>
    <t>1825-06</t>
  </si>
  <si>
    <t>212-06</t>
  </si>
  <si>
    <t>214-06</t>
  </si>
  <si>
    <t>1826-06</t>
  </si>
  <si>
    <t>73-06</t>
  </si>
  <si>
    <t>303-06</t>
  </si>
  <si>
    <t>216-06</t>
  </si>
  <si>
    <t>218-06</t>
  </si>
  <si>
    <t>305-06</t>
  </si>
  <si>
    <t>220-06</t>
  </si>
  <si>
    <t>1827-06</t>
  </si>
  <si>
    <t>223-06</t>
  </si>
  <si>
    <t>1828-06</t>
  </si>
  <si>
    <t>78-06</t>
  </si>
  <si>
    <t>307-06</t>
  </si>
  <si>
    <t>222-06</t>
  </si>
  <si>
    <t>225-06</t>
  </si>
  <si>
    <t>71-06</t>
  </si>
  <si>
    <t>80-06</t>
  </si>
  <si>
    <t>224-06</t>
  </si>
  <si>
    <t>1829-06</t>
  </si>
  <si>
    <t>227-06</t>
  </si>
  <si>
    <t>1830-06</t>
  </si>
  <si>
    <t>229-06</t>
  </si>
  <si>
    <t>231-06</t>
  </si>
  <si>
    <t>1831-06</t>
  </si>
  <si>
    <t>228-06</t>
  </si>
  <si>
    <t>1832-06</t>
  </si>
  <si>
    <t>230-06</t>
  </si>
  <si>
    <t>235-06</t>
  </si>
  <si>
    <t>232-06</t>
  </si>
  <si>
    <t>1833-06</t>
  </si>
  <si>
    <t>1902-06</t>
  </si>
  <si>
    <t>234-06</t>
  </si>
  <si>
    <t>237-06</t>
  </si>
  <si>
    <t>236-06</t>
  </si>
  <si>
    <t>239-06</t>
  </si>
  <si>
    <t>82-06</t>
  </si>
  <si>
    <t>238-06</t>
  </si>
  <si>
    <t>243-06</t>
  </si>
  <si>
    <t>240-06</t>
  </si>
  <si>
    <t>245-06</t>
  </si>
  <si>
    <t>244-06</t>
  </si>
  <si>
    <t>309-06</t>
  </si>
  <si>
    <t>311-06</t>
  </si>
  <si>
    <t>246-06</t>
  </si>
  <si>
    <t>313-06</t>
  </si>
  <si>
    <t>partly-cloudy-day</t>
  </si>
  <si>
    <t>Partly Cloudy</t>
  </si>
  <si>
    <t>Mostly Cloudy</t>
  </si>
  <si>
    <t>partly-cloudy-night</t>
  </si>
  <si>
    <t>204:775</t>
  </si>
  <si>
    <t>204:232668</t>
  </si>
  <si>
    <t>204:765</t>
  </si>
  <si>
    <t>204:233339</t>
  </si>
  <si>
    <t>204:232702</t>
  </si>
  <si>
    <t>204:743</t>
  </si>
  <si>
    <t>204:232687</t>
  </si>
  <si>
    <t>204:233327</t>
  </si>
  <si>
    <t>204:794</t>
  </si>
  <si>
    <t>204:233274</t>
  </si>
  <si>
    <t>204:232637</t>
  </si>
  <si>
    <t>204:127</t>
  </si>
  <si>
    <t>204:754</t>
  </si>
  <si>
    <t>204:233015</t>
  </si>
  <si>
    <t>204:761</t>
  </si>
  <si>
    <t>204:233312</t>
  </si>
  <si>
    <t>204:232994</t>
  </si>
  <si>
    <t>204:788</t>
  </si>
  <si>
    <t>204:136</t>
  </si>
  <si>
    <t>204:233329</t>
  </si>
  <si>
    <t>204:233017</t>
  </si>
  <si>
    <t>204:233318</t>
  </si>
  <si>
    <t>204:232996</t>
  </si>
  <si>
    <t>204:233344</t>
  </si>
  <si>
    <t>204:233023</t>
  </si>
  <si>
    <t>204:102800</t>
  </si>
  <si>
    <t>204:86353</t>
  </si>
  <si>
    <t>204:130</t>
  </si>
  <si>
    <t>204:127852</t>
  </si>
  <si>
    <t>204:233343</t>
  </si>
  <si>
    <t>204:233030</t>
  </si>
  <si>
    <t>204:1062</t>
  </si>
  <si>
    <t>204:467</t>
  </si>
  <si>
    <t>204:233380</t>
  </si>
  <si>
    <t>204:233076</t>
  </si>
  <si>
    <t>204:233261</t>
  </si>
  <si>
    <t>204:695</t>
  </si>
  <si>
    <t>204:233307</t>
  </si>
  <si>
    <t>204:424</t>
  </si>
  <si>
    <t>204:212</t>
  </si>
  <si>
    <t>204:416</t>
  </si>
  <si>
    <t>204:233383</t>
  </si>
  <si>
    <t>204:233064</t>
  </si>
  <si>
    <t>204:233393</t>
  </si>
  <si>
    <t>204:37214</t>
  </si>
  <si>
    <t>204:19147</t>
  </si>
  <si>
    <t>204:153999</t>
  </si>
  <si>
    <t>204:962</t>
  </si>
  <si>
    <t>204:1179</t>
  </si>
  <si>
    <t>204:517</t>
  </si>
  <si>
    <t>204:233098</t>
  </si>
  <si>
    <t>300:58615</t>
  </si>
  <si>
    <t>204:957</t>
  </si>
  <si>
    <t>204:652</t>
  </si>
  <si>
    <t>204:950</t>
  </si>
  <si>
    <t>300:58992</t>
  </si>
  <si>
    <t>300:58677</t>
  </si>
  <si>
    <t>204:948</t>
  </si>
  <si>
    <t>204:673</t>
  </si>
  <si>
    <t>204:964</t>
  </si>
  <si>
    <t>300:58967</t>
  </si>
  <si>
    <t>300:58655</t>
  </si>
  <si>
    <t>204:649</t>
  </si>
  <si>
    <t>204:932</t>
  </si>
  <si>
    <t>300:58995</t>
  </si>
  <si>
    <t>204:478</t>
  </si>
  <si>
    <t>300:58668</t>
  </si>
  <si>
    <t>204:1235</t>
  </si>
  <si>
    <t>204:902</t>
  </si>
  <si>
    <t>204:1189</t>
  </si>
  <si>
    <t>300:58975</t>
  </si>
  <si>
    <t>204:941</t>
  </si>
  <si>
    <t>300:34733</t>
  </si>
  <si>
    <t>300:58673</t>
  </si>
  <si>
    <t>300:58929</t>
  </si>
  <si>
    <t>204:1020</t>
  </si>
  <si>
    <t>300:58935</t>
  </si>
  <si>
    <t>204:233007</t>
  </si>
  <si>
    <t>204:747</t>
  </si>
  <si>
    <t>204:1046</t>
  </si>
  <si>
    <t>300:57567</t>
  </si>
  <si>
    <t>300:58632</t>
  </si>
  <si>
    <t>204:741</t>
  </si>
  <si>
    <t>204:1014</t>
  </si>
  <si>
    <t>300:58617</t>
  </si>
  <si>
    <t>204:937</t>
  </si>
  <si>
    <t>204:1224</t>
  </si>
  <si>
    <t>204:768</t>
  </si>
  <si>
    <t>204:1070</t>
  </si>
  <si>
    <t>204:832</t>
  </si>
  <si>
    <t>204:1093</t>
  </si>
  <si>
    <t>204:233378</t>
  </si>
  <si>
    <t>204:839</t>
  </si>
  <si>
    <t>204:1128</t>
  </si>
  <si>
    <t>300:58621</t>
  </si>
  <si>
    <t>204:682</t>
  </si>
  <si>
    <t>300:58926</t>
  </si>
  <si>
    <t>204:233072</t>
  </si>
  <si>
    <t>204:19145</t>
  </si>
  <si>
    <t>204:233353</t>
  </si>
  <si>
    <t>204:233019</t>
  </si>
  <si>
    <t>204:535</t>
  </si>
  <si>
    <t>300:21867</t>
  </si>
  <si>
    <t>300:21719</t>
  </si>
  <si>
    <t>204:233320</t>
  </si>
  <si>
    <t>204:1001</t>
  </si>
  <si>
    <t>204:418</t>
  </si>
  <si>
    <t>204:433</t>
  </si>
  <si>
    <t>204:233349</t>
  </si>
  <si>
    <t>204:233045</t>
  </si>
  <si>
    <t>204:233009</t>
  </si>
  <si>
    <t>204:169</t>
  </si>
  <si>
    <t>204:1484</t>
  </si>
  <si>
    <t>204:233227</t>
  </si>
  <si>
    <t>204:232917</t>
  </si>
  <si>
    <t>204:930</t>
  </si>
  <si>
    <t>204:233245</t>
  </si>
  <si>
    <t>204:232927</t>
  </si>
  <si>
    <t>204:233364</t>
  </si>
  <si>
    <t>204:233083</t>
  </si>
  <si>
    <t>204:233414</t>
  </si>
  <si>
    <t>204:233111</t>
  </si>
  <si>
    <t>204:233300</t>
  </si>
  <si>
    <t>204:429</t>
  </si>
  <si>
    <t>204:233458</t>
  </si>
  <si>
    <t>204:233147</t>
  </si>
  <si>
    <t>204:233117</t>
  </si>
  <si>
    <t>204:18772</t>
  </si>
  <si>
    <t>204:59115</t>
  </si>
  <si>
    <t>204:233430</t>
  </si>
  <si>
    <t>204:233124</t>
  </si>
  <si>
    <t>204:233130</t>
  </si>
  <si>
    <t>204:233401</t>
  </si>
  <si>
    <t>204:233316</t>
  </si>
  <si>
    <t>204:232998</t>
  </si>
  <si>
    <t>204:174</t>
  </si>
  <si>
    <t>204:233453</t>
  </si>
  <si>
    <t>204:233128</t>
  </si>
  <si>
    <t>204:233416</t>
  </si>
  <si>
    <t>204:233069</t>
  </si>
  <si>
    <t>204:232992</t>
  </si>
  <si>
    <t>204:227</t>
  </si>
  <si>
    <t>300:22681</t>
  </si>
  <si>
    <t>204:123</t>
  </si>
  <si>
    <t>300:23299</t>
  </si>
  <si>
    <t>300:23860</t>
  </si>
  <si>
    <t>300:22838</t>
  </si>
  <si>
    <t>204:488</t>
  </si>
  <si>
    <t>300:23629</t>
  </si>
  <si>
    <t>300:23301</t>
  </si>
  <si>
    <t>300:23302</t>
  </si>
  <si>
    <t>204:1205</t>
  </si>
  <si>
    <t>300:22066</t>
  </si>
  <si>
    <t>204:3378</t>
  </si>
  <si>
    <t>204:1148</t>
  </si>
  <si>
    <t>204:3679</t>
  </si>
  <si>
    <t>300:23798</t>
  </si>
  <si>
    <t>204:926</t>
  </si>
  <si>
    <t>204:233326</t>
  </si>
  <si>
    <t>204:1249</t>
  </si>
  <si>
    <t>300:4959</t>
  </si>
  <si>
    <t>204:924</t>
  </si>
  <si>
    <t>300:5247</t>
  </si>
  <si>
    <t>204:3026</t>
  </si>
  <si>
    <t>204:3339</t>
  </si>
  <si>
    <t>300:5147</t>
  </si>
  <si>
    <t>204:1171</t>
  </si>
  <si>
    <t>204:876</t>
  </si>
  <si>
    <t>300:5418</t>
  </si>
  <si>
    <t>204:2995</t>
  </si>
  <si>
    <t>204:1481</t>
  </si>
  <si>
    <t>204:3473</t>
  </si>
  <si>
    <t>204:448</t>
  </si>
  <si>
    <t>300:24224</t>
  </si>
  <si>
    <t>300:5028</t>
  </si>
  <si>
    <t>204:1307</t>
  </si>
  <si>
    <t>204:1158</t>
  </si>
  <si>
    <t>204:4642</t>
  </si>
  <si>
    <t>300:5403</t>
  </si>
  <si>
    <t>300:23440</t>
  </si>
  <si>
    <t>300:5264</t>
  </si>
  <si>
    <t>204:889</t>
  </si>
  <si>
    <t>204:1167</t>
  </si>
  <si>
    <t>300:5579</t>
  </si>
  <si>
    <t>204:3288</t>
  </si>
  <si>
    <t>204:132</t>
  </si>
  <si>
    <t>300:5325</t>
  </si>
  <si>
    <t>204:958</t>
  </si>
  <si>
    <t>204:1156</t>
  </si>
  <si>
    <t>204:3595</t>
  </si>
  <si>
    <t>204:372</t>
  </si>
  <si>
    <t>300:5624</t>
  </si>
  <si>
    <t>204:1623</t>
  </si>
  <si>
    <t>300:23034</t>
  </si>
  <si>
    <t>204:1305</t>
  </si>
  <si>
    <t>300:23324</t>
  </si>
  <si>
    <t>204:900</t>
  </si>
  <si>
    <t>204:1286</t>
  </si>
  <si>
    <t>204:189397</t>
  </si>
  <si>
    <t>204:232836</t>
  </si>
  <si>
    <t>204:189564</t>
  </si>
  <si>
    <t>204:232849</t>
  </si>
  <si>
    <t>204:153996</t>
  </si>
  <si>
    <t>204:232966</t>
  </si>
  <si>
    <t>204:189623</t>
  </si>
  <si>
    <t>204:232976</t>
  </si>
  <si>
    <t>204:231</t>
  </si>
  <si>
    <t>204:189527</t>
  </si>
  <si>
    <t>204:189583</t>
  </si>
  <si>
    <t>204:1223</t>
  </si>
  <si>
    <t>204:233013</t>
  </si>
  <si>
    <t>204:154282</t>
  </si>
  <si>
    <t>204:189546</t>
  </si>
  <si>
    <t>204:233317</t>
  </si>
  <si>
    <t>204:189827</t>
  </si>
  <si>
    <t>204:233149</t>
  </si>
  <si>
    <t>204:189874</t>
  </si>
  <si>
    <t>204:233170</t>
  </si>
  <si>
    <t>204:189900</t>
  </si>
  <si>
    <t>204:189939</t>
  </si>
  <si>
    <t>204:524</t>
  </si>
  <si>
    <t>300:23312</t>
  </si>
  <si>
    <t>300:23603</t>
  </si>
  <si>
    <t>204:100</t>
  </si>
  <si>
    <t>204:1268</t>
  </si>
  <si>
    <t>300:44345</t>
  </si>
  <si>
    <t>204:701</t>
  </si>
  <si>
    <t>300:45145</t>
  </si>
  <si>
    <t>204:719</t>
  </si>
  <si>
    <t>300:44946</t>
  </si>
  <si>
    <t>204:18708</t>
  </si>
  <si>
    <t>204:666</t>
  </si>
  <si>
    <t>204:232652</t>
  </si>
  <si>
    <t>204:69945</t>
  </si>
  <si>
    <t>300:44508</t>
  </si>
  <si>
    <t>300:39617</t>
  </si>
  <si>
    <t>300:43705</t>
  </si>
  <si>
    <t>204:144</t>
  </si>
  <si>
    <t>300:44313</t>
  </si>
  <si>
    <t>300:41134</t>
  </si>
  <si>
    <t>start /low /b %USERPROFILE%\Documents\GitHub\eaglep3\Utilities\DownloadLogsFromS3.py --loco 4005 --day 2017-05-06</t>
  </si>
  <si>
    <t>start /low /b %USERPROFILE%\Documents\GitHub\eaglep3\Utilities\DownloadLogsFromS3.py --loco 4009 --day 2017-05-06</t>
  </si>
  <si>
    <t>start /low /b %USERPROFILE%\Documents\GitHub\eaglep3\Utilities\DownloadLogsFromS3.py --loco 4006 --day 2017-05-06</t>
  </si>
  <si>
    <t>start /low /b %USERPROFILE%\Documents\GitHub\eaglep3\Utilities\DownloadLogsFromS3.py --loco 4023 --day 2017-05-06</t>
  </si>
  <si>
    <t>start /low /b %USERPROFILE%\Documents\GitHub\eaglep3\Utilities\DownloadLogsFromS3.py --loco 4044 --day 2017-05-06</t>
  </si>
  <si>
    <t>start /low /b %USERPROFILE%\Documents\GitHub\eaglep3\Utilities\DownloadLogsFromS3.py --loco 4054 --day 2017-05-06</t>
  </si>
  <si>
    <t>start /low /b %USERPROFILE%\Documents\GitHub\eaglep3\Utilities\DownloadLogsFromS3.py --loco 4042 --day 2017-05-06</t>
  </si>
  <si>
    <t>start /low /b %USERPROFILE%\Documents\GitHub\eaglep3\Utilities\DownloadLogsFromS3.py --loco 4053 --day 2017-05-06</t>
  </si>
  <si>
    <t>start /low /b %USERPROFILE%\Documents\GitHub\eaglep3\Utilities\DownloadLogsFromS3.py --loco 4009 --day 2017-05-07</t>
  </si>
  <si>
    <t>start /low /b %USERPROFILE%\Documents\GitHub\eaglep3\Utilities\DownloadLogsFromS3.py --loco 4017 --day 2017-05-06</t>
  </si>
  <si>
    <t>start /low /b %USERPROFILE%\Documents\GitHub\eaglep3\Utilities\DownloadLogsFromS3.py --loco 4014 --day 2017-05-06</t>
  </si>
  <si>
    <t>start /low /b %USERPROFILE%\Documents\GitHub\eaglep3\Utilities\DownloadLogsFromS3.py --loco 4010 --day 2017-05-06</t>
  </si>
  <si>
    <t>start /low /b %USERPROFILE%\Documents\GitHub\eaglep3\Utilities\DownloadLogsFromS3.py --loco 4004 --day 2017-05-06</t>
  </si>
  <si>
    <t>start /low /b %USERPROFILE%\Documents\GitHub\eaglep3\Utilities\DownloadLogsFromS3.py --loco 4024 --day 2017-05-06</t>
  </si>
  <si>
    <t>start /low /b %USERPROFILE%\Documents\GitHub\eaglep3\Utilities\DownloadLogsFromS3.py --loco 4002 --day 2017-05-06</t>
  </si>
  <si>
    <t>start /low /b %USERPROFILE%\Documents\GitHub\eaglep3\Utilities\DownloadLogsFromS3.py --loco 4018 --day 2017-05-06</t>
  </si>
  <si>
    <t>start /low /b %USERPROFILE%\Documents\GitHub\eaglep3\Utilities\DownloadLogsFromS3.py --loco 4020 --day 2017-05-07</t>
  </si>
  <si>
    <t>start /low /b %USERPROFILE%\Documents\GitHub\eaglep3\Utilities\DownloadLogsFromS3.py --loco 4001 --day 2017-05-06</t>
  </si>
  <si>
    <t>start /low /b %USERPROFILE%\Documents\GitHub\eaglep3\Utilities\DownloadLogsFromS3.py --loco 4003 --day 2017-05-06</t>
  </si>
  <si>
    <t>start /low /b %USERPROFILE%\Documents\GitHub\eaglep3\Utilities\DownloadLogsFromS3.py --loco 4043 --day 2017-05-06</t>
  </si>
  <si>
    <t>start /low /b %USERPROFILE%\Documents\GitHub\eaglep3\Utilities\DownloadLogsFromS3.py --loco 4018 --day 2017-05-07</t>
  </si>
  <si>
    <t>start /low /b %USERPROFILE%\Documents\GitHub\eaglep3\Utilities\DownloadLogsFromS3.py --loco 4041 --day 2017-05-06</t>
  </si>
  <si>
    <t>start /low /b %USERPROFILE%\Documents\GitHub\eaglep3\Utilities\DownloadLogsFromS3.py --loco 4019 --day 2017-05-07</t>
  </si>
  <si>
    <t>start /low /b %USERPROFILE%\Documents\GitHub\eaglep3\Utilities\DownloadLogsFromS3.py --loco 4024 --day 2017-05-07</t>
  </si>
  <si>
    <t>start /low /b %USERPROFILE%\Documents\GitHub\eaglep3\Utilities\DownloadLogsFromS3.py --loco 4010 --day 2017-05-07</t>
  </si>
  <si>
    <t>start /low /b %USERPROFILE%\Documents\GitHub\eaglep3\Utilities\DownloadLogsFromS3.py --loco 4013 --day 2017-05-06</t>
  </si>
  <si>
    <t>Cancelled due to truck accident</t>
  </si>
  <si>
    <t>Delayed due to truck accident</t>
  </si>
  <si>
    <t>http://stevetu21.github.io/eaglep3/load_kml.html?kml=http://rtdc.gmaps-snips.s3.amazonaws.com/ad6a207a-6716-4a46-9d59-4e38a2b1f16e.kml</t>
  </si>
  <si>
    <t>Wi-MAX data drop</t>
  </si>
  <si>
    <t>Early arrival</t>
  </si>
  <si>
    <t>Form C</t>
  </si>
  <si>
    <t>Onboard in-route failure</t>
  </si>
  <si>
    <t>Delayed by onboard in-route failure</t>
  </si>
  <si>
    <t>Test train prevented signal from clearing - cut out to pass</t>
  </si>
  <si>
    <t>Foul time at Quebec 2S - truck accident repairs</t>
  </si>
  <si>
    <t>Delayed due to foul time - truck accident repairs</t>
  </si>
  <si>
    <t>Cut out due to observing banner without braking against speed restricton target</t>
  </si>
  <si>
    <t>Chambers 2S STOP</t>
  </si>
  <si>
    <t>Incident report on Form C - received red fence for Form C and logged incident, train crept closer and was able to proceed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</si>
</sst>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2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42861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42861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138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34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COUNTIFS($N$13:$N$9321,"&gt;0",$AG$13:$AG$9321,I1)</f>
        <v>131</v>
      </c>
      <c r="K5" s="39"/>
      <c r="L5" s="39"/>
      <c r="M5" s="40">
        <f>AVERAGEIFS($N$13:$N$9321,$AG$13:$AG$9321,I1)</f>
        <v>41.02213740471452</v>
      </c>
      <c r="N5" s="38">
        <f t="array" ref="N5">MIN(IF($AG$13:$AG$9321=I1,IF(ISNUMBER($N$13:$N$9321),IF($N$13:$N$9321&gt;0,$N$13:$N$9321))))</f>
        <v>35.066666670609266</v>
      </c>
      <c r="O5" s="3">
        <f t="array" ref="O5">MAX(IF($AG$13:$AG$9321=I1,IF(ISNUMBER($N$13:$N$9321),IF($N$13:$N$9321&gt;0,$N$13:$N$9321))))</f>
        <v>60.966666669119149</v>
      </c>
      <c r="P5" s="2"/>
      <c r="R5" s="177" t="s">
        <v>17</v>
      </c>
      <c r="S5" s="199">
        <f>COUNTIFS($N$13:$N$9321,"&gt;0",$AG$13:$AG$9321,R1)</f>
        <v>31</v>
      </c>
      <c r="T5" s="179"/>
      <c r="U5" s="179"/>
      <c r="V5" s="176">
        <f>AVERAGEIFS($N$13:$N$9321,$AG$13:$AG$9321,R1)</f>
        <v>14.199462364570447</v>
      </c>
      <c r="W5" s="177">
        <f t="array" ref="W5">MIN(IF($AG$13:$AG$9321=R1,IF(ISNUMBER($N$13:$N$9321),IF($N$13:$N$9321&gt;0,$N$13:$N$9321))))</f>
        <v>12.033333338331431</v>
      </c>
      <c r="X5" s="178">
        <f t="array" ref="X5">MAX(IF($AG$13:$AG$9321=R1,IF(ISNUMBER($N$13:$N$9321),IF($N$13:$N$9321&gt;0,$N$13:$N$9321))))</f>
        <v>16.983333332464099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COUNT($O$13:$O$109)</f>
        <v>0</v>
      </c>
      <c r="K6" s="39"/>
      <c r="L6" s="39"/>
      <c r="M6" s="40">
        <f>IFERROR(AVERAGE($O$13:$O$109),0)</f>
        <v>0</v>
      </c>
      <c r="N6" s="38">
        <f>MIN($O$13:$O$109)</f>
        <v>0</v>
      </c>
      <c r="O6" s="3">
        <f>MAX($O$13:$O$109)</f>
        <v>0</v>
      </c>
      <c r="P6" s="2"/>
      <c r="R6" s="180" t="s">
        <v>43</v>
      </c>
      <c r="S6" s="199">
        <f>COUNT($O$13:$O$109)</f>
        <v>0</v>
      </c>
      <c r="T6" s="179"/>
      <c r="U6" s="179"/>
      <c r="V6" s="176">
        <f>IFERROR(AVERAGE($O$13:$O$109),0)</f>
        <v>0</v>
      </c>
      <c r="W6" s="177">
        <f>MIN($O$13:$O$109)</f>
        <v>0</v>
      </c>
      <c r="X6" s="178">
        <f>MAX($O$13:$O$109)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COUNTIFS($P$13:$P$9321,"&gt;0",$AG$13:$AG$9321,I1)</f>
        <v>7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COUNTIFS($P$13:$P$9321,"&gt;0",$AG$13:$AG$9321,R1)</f>
        <v>3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131</v>
      </c>
      <c r="K8" s="39"/>
      <c r="L8" s="39"/>
      <c r="M8" s="40">
        <f>M5</f>
        <v>41.02213740471452</v>
      </c>
      <c r="N8" s="38">
        <f>N5</f>
        <v>35.066666670609266</v>
      </c>
      <c r="O8" s="3">
        <f>O5</f>
        <v>60.966666669119149</v>
      </c>
      <c r="P8" s="2"/>
      <c r="R8" s="177" t="s">
        <v>16</v>
      </c>
      <c r="S8" s="199">
        <f>S5</f>
        <v>31</v>
      </c>
      <c r="T8" s="179"/>
      <c r="U8" s="179"/>
      <c r="V8" s="176">
        <f>V5</f>
        <v>14.199462364570447</v>
      </c>
      <c r="W8" s="177">
        <f>W5</f>
        <v>12.033333338331431</v>
      </c>
      <c r="X8" s="178">
        <f>X5</f>
        <v>16.983333332464099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0.94927536231884058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0.91176470588235292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- 2017-05-06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AVERAGE(S13:S83)</f>
        <v>0.98188405797101452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200</v>
      </c>
      <c r="AN12" s="46" t="s">
        <v>364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574</v>
      </c>
      <c r="B13" s="7">
        <v>4002</v>
      </c>
      <c r="C13" s="21" t="s">
        <v>210</v>
      </c>
      <c r="D13" s="21" t="s">
        <v>768</v>
      </c>
      <c r="E13" s="13">
        <v>42861.132025462961</v>
      </c>
      <c r="F13" s="13">
        <v>42861.135601851849</v>
      </c>
      <c r="G13" s="7">
        <v>2</v>
      </c>
      <c r="H13" s="21" t="s">
        <v>489</v>
      </c>
      <c r="I13" s="13">
        <v>42861.164837962962</v>
      </c>
      <c r="J13" s="7">
        <v>0</v>
      </c>
      <c r="K13" s="92" t="str">
        <f t="shared" ref="K13:K74" si="0">IF(ISEVEN(B13),(B13-1)&amp;"/"&amp;B13,B13&amp;"/"&amp;(B13+1))</f>
        <v>4001/4002</v>
      </c>
      <c r="L13" s="21" t="str">
        <f>VLOOKUP(A13,'Trips&amp;Operators'!$C$1:$G$99999,5,FALSE)</f>
        <v>BADERTSCHER DIANE</v>
      </c>
      <c r="M13" s="6">
        <f t="shared" ref="M13:M74" si="1">I13-F13</f>
        <v>2.923611111327773E-2</v>
      </c>
      <c r="N13" s="7">
        <f t="shared" ref="N13:P74" si="2">24*60*SUM($M13:$M13)</f>
        <v>42.100000003119931</v>
      </c>
      <c r="O13" s="7"/>
      <c r="P13" s="7"/>
      <c r="Q13" s="22"/>
      <c r="R13" s="190"/>
      <c r="S13" s="196">
        <f t="shared" ref="S13:S74" si="3">SUM(U13:U13)/IF(AG13="EC",12,1)</f>
        <v>1</v>
      </c>
      <c r="T13" s="190" t="str">
        <f t="shared" ref="T13:T74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4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-06T02:10:07-0600',mode:absolute,to:'2017-05-06T04:57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" s="192" t="str">
        <f t="shared" ref="W13:W74" si="6">IF(AA13&lt;IF(AG13="EC",23,5.65),"Y","N")</f>
        <v>N</v>
      </c>
      <c r="X13" s="192" t="e">
        <f t="shared" ref="X13:X44" si="7">VALUE(LEFT(AD13,4))-VALUE(LEFT(AD12,4))</f>
        <v>#VALUE!</v>
      </c>
      <c r="Y13" s="192">
        <f t="shared" ref="Y13:Y74" si="8">RIGHT(D13,LEN(D13)-4)/10000</f>
        <v>7.7499999999999999E-2</v>
      </c>
      <c r="Z13" s="192">
        <f t="shared" ref="Z13:Z74" si="9">RIGHT(H13,LEN(H13)-4)/10000</f>
        <v>23.328299999999999</v>
      </c>
      <c r="AA13" s="192">
        <f t="shared" ref="AA13:AA74" si="10">ABS(Z13-Y13)</f>
        <v>23.250799999999998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4" si="11">IF(LEN(A13)=6,"0"&amp;A13,A13)</f>
        <v>0101-06</v>
      </c>
      <c r="AE13" s="80" t="str">
        <f t="shared" ref="AE13:AE74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 &amp; aws s3 cp s3://rtdc.mdm.uploadarchive.raw/RTDC4002/ "%USERPROFILE%\AppData\Local\Temp\OnboardLogs"\RTDC4002\2017-05-07 --exclude "*" --recursive --include "*20170507*" &amp; "%USERPROFILE%\Documents\GitHub\mrs-test-scripts\Headless Mode &amp; Sideloading\WalkAndUnGZ.bat" "%USERPROFILE%\AppData\Local\Temp\OnboardLogs"\RTDC4002\2017-05-07</v>
      </c>
      <c r="AF13" s="77" t="str">
        <f t="shared" ref="AF13:AF74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/stypes="app*4002*20170506*" /stext=" 09:.+((SYSTEM_STATE.+slice.+state.+changed )|(ment ac)|(multiple cpu faults)|(system.+state.+changed )|(\[timeout)|(PRM\|1\|D)|(kpr)|(kdp)|(train st.+moving)|(\|lc)|(penalty))"</v>
      </c>
      <c r="AG13" s="1" t="str">
        <f t="shared" ref="AG13:AG74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4002 --swversion DE.1.0.9.0 --startMP 204:775 --initTime 2017-05-06T03:10:07 --startdatetime 2017-05-06T03:15:16 --delay 2 --endMP 204:233283 --enddatetime 2017-05-06T03:57:22 --enforcementcount 0 &gt;&gt;C:\Users\stu\Documents\GitHub\eaglep3-reporting\EC\2017-05-06-refined-times.txt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{"issue":{"subject":"","project_id":79,"tracker_id":40,"status_id":1,"priority_id":2,"assigned_to_id":23,"start_date":"2017-05-06","description":"","custom_fields":[{"id":1,"name":"Subdivision","value":"EC"},{"id":4,"name":"Milepost","value":"23.3283"},{"id":17,"name":"Train ID","value":"101-06"},{"id":16,"name":"Locomotive ID","value":"4002"},{"id":130,"name":"Impact","value":""},{"id":150,"name":"Time of Event (Mountain Time)","value":"03:57:22"},{"id":151,"name":"Denver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4002 --day 2017-05-06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09:57:22"},{"id":29,"name":"Sharepoint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515</v>
      </c>
      <c r="B14" s="7">
        <v>4005</v>
      </c>
      <c r="C14" s="21" t="s">
        <v>210</v>
      </c>
      <c r="D14" s="21" t="s">
        <v>769</v>
      </c>
      <c r="E14" s="13">
        <v>42861.171423611115</v>
      </c>
      <c r="F14" s="13">
        <v>42861.174525462964</v>
      </c>
      <c r="G14" s="7">
        <v>2</v>
      </c>
      <c r="H14" s="21" t="s">
        <v>416</v>
      </c>
      <c r="I14" s="13">
        <v>42861.215891203705</v>
      </c>
      <c r="J14" s="7">
        <v>0</v>
      </c>
      <c r="K14" s="92" t="str">
        <f t="shared" si="0"/>
        <v>4005/4006</v>
      </c>
      <c r="L14" s="21" t="str">
        <f>VLOOKUP(A14,'Trips&amp;Operators'!$C$1:$G$99999,5,FALSE)</f>
        <v>BADERTSCHER DIANE</v>
      </c>
      <c r="M14" s="6">
        <f t="shared" si="1"/>
        <v>4.1365740740729962E-2</v>
      </c>
      <c r="N14" s="7">
        <f t="shared" si="2"/>
        <v>59.566666666651145</v>
      </c>
      <c r="O14" s="7"/>
      <c r="P14" s="7"/>
      <c r="Q14" s="22"/>
      <c r="R14" s="190" t="s">
        <v>1035</v>
      </c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-06T03:06:51-0600',mode:absolute,to:'2017-05-06T06:10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23.2668</v>
      </c>
      <c r="Z14" s="192">
        <f t="shared" si="9"/>
        <v>1.47E-2</v>
      </c>
      <c r="AA14" s="192">
        <f t="shared" si="10"/>
        <v>23.252099999999999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0102-06</v>
      </c>
      <c r="AE14" s="80" t="str">
        <f t="shared" si="12"/>
        <v>aws s3 cp s3://rtdc.mdm.uploadarchive.raw/RTDC4005/ "%USERPROFILE%\AppData\Local\Temp\OnboardLogs"\RTDC4005\2017-05-06 --exclude "*" --recursive --include "*20170506*" &amp; "%USERPROFILE%\Documents\GitHub\mrs-test-scripts\Headless Mode &amp; Sideloading\WalkAndUnGZ.bat" "%USERPROFILE%\AppData\Local\Temp\OnboardLogs"\RTDC4005\2017-05-06 &amp; 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</v>
      </c>
      <c r="AF14" s="77" t="str">
        <f t="shared" si="13"/>
        <v>"C:\Program Files (x86)\AstroGrep\AstroGrep.exe" /e /r /s /spath="%USERPROFILE%\AppData\Local\Temp\OnboardLogs" /stypes="app*4005*20170506*" /stext=" 11:.+((SYSTEM_STATE.+slice.+state.+changed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5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4005 --swversion DE.1.0.9.0 --startMP 204:232668 --initTime 2017-05-06T04:06:51 --startdatetime 2017-05-06T04:11:19 --delay 2 --endMP 204:147 --enddatetime 2017-05-06T05:10:53 --enforcementcount 0 &gt;&gt;C:\Users\stu\Documents\GitHub\eaglep3-reporting\EC\2017-05-06-refined-times.txt</v>
      </c>
      <c r="AI14" s="99" t="str">
        <f t="shared" ref="AI14:AI75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{"issue":{"subject":"Delayed due to truck accident","project_id":79,"tracker_id":40,"status_id":1,"priority_id":2,"assigned_to_id":23,"start_date":"2017-05-06","description":"","custom_fields":[{"id":1,"name":"Subdivision","value":"EC"},{"id":4,"name":"Milepost","value":"0.0147"},{"id":17,"name":"Train ID","value":"102-06"},{"id":16,"name":"Locomotive ID","value":"4005"},{"id":130,"name":"Impact","value":""},{"id":150,"name":"Time of Event (Mountain Time)","value":"05:10:53"},{"id":151,"name":"Denver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5" si="21">"start /low /b "&amp;dls3logs&amp;" --loco "&amp;B14&amp;" --day "&amp;TEXT(F14,"YYYY-MM-DD")</f>
        <v>start /low /b %USERPROFILE%\Documents\GitHub\eaglep3\Utilities\DownloadLogsFromS3.py --loco 4005 --day 2017-05-06</v>
      </c>
      <c r="AN14" s="154" t="str">
        <f t="shared" ref="AN14:AN75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{"issue":{"subject":"Delayed due to truck accident","project_id":30,"tracker_id":4,"status_id":1,"priority_id":1,"assigned_to_id":10,"start_date":"2017-05-06","description":"","custom_fields":[{"id":30,"name":"Category","value":"Issue"},{"id":3,"name":"Functional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11:10:53"},{"id":29,"name":"Sharepoint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576</v>
      </c>
      <c r="B15" s="7">
        <v>4010</v>
      </c>
      <c r="C15" s="21" t="s">
        <v>210</v>
      </c>
      <c r="D15" s="21" t="s">
        <v>770</v>
      </c>
      <c r="E15" s="13">
        <v>42861.148912037039</v>
      </c>
      <c r="F15" s="13">
        <v>42861.156423611108</v>
      </c>
      <c r="G15" s="7">
        <v>1</v>
      </c>
      <c r="H15" s="21" t="s">
        <v>771</v>
      </c>
      <c r="I15" s="13">
        <v>42861.183611111112</v>
      </c>
      <c r="J15" s="7">
        <v>0</v>
      </c>
      <c r="K15" s="92" t="str">
        <f t="shared" si="0"/>
        <v>4009/4010</v>
      </c>
      <c r="L15" s="21" t="str">
        <f>VLOOKUP(A15,'Trips&amp;Operators'!$C$1:$G$99999,5,FALSE)</f>
        <v>ROBINSON KADDIBA</v>
      </c>
      <c r="M15" s="6">
        <f t="shared" si="1"/>
        <v>2.718750000349246E-2</v>
      </c>
      <c r="N15" s="7">
        <f t="shared" si="2"/>
        <v>39.150000005029142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-06T02:34:26-0600',mode:absolute,to:'2017-05-06T05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7.6499999999999999E-2</v>
      </c>
      <c r="Z15" s="192">
        <f t="shared" si="9"/>
        <v>23.3339</v>
      </c>
      <c r="AA15" s="192">
        <f t="shared" si="10"/>
        <v>23.257400000000001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0103-06</v>
      </c>
      <c r="AE15" s="80" t="str">
        <f t="shared" si="12"/>
        <v>aws s3 cp s3://rtdc.mdm.uploadarchive.raw/RTDC4010/ "%USERPROFILE%\AppData\Local\Temp\OnboardLogs"\RTDC4010\2017-05-06 --exclude "*" --recursive --include "*20170506*" &amp; "%USERPROFILE%\Documents\GitHub\mrs-test-scripts\Headless Mode &amp; Sideloading\WalkAndUnGZ.bat" "%USERPROFILE%\AppData\Local\Temp\OnboardLogs"\RTDC4010\2017-05-06 &amp; aws s3 cp s3://rtdc.mdm.uploadarchive.raw/RTDC4010/ "%USERPROFILE%\AppData\Local\Temp\OnboardLogs"\RTDC4010\2017-05-07 --exclude "*" --recursive --include "*20170507*" &amp; "%USERPROFILE%\Documents\GitHub\mrs-test-scripts\Headless Mode &amp; Sideloading\WalkAndUnGZ.bat" "%USERPROFILE%\AppData\Local\Temp\OnboardLogs"\RTDC4010\2017-05-07</v>
      </c>
      <c r="AF15" s="77" t="str">
        <f t="shared" si="13"/>
        <v>"C:\Program Files (x86)\AstroGrep\AstroGrep.exe" /e /r /s /spath="%USERPROFILE%\AppData\Local\Temp\OnboardLogs" /stypes="app*4010*20170506*"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103-06 --locoid 4010 --swversion DE.1.0.9.0 --startMP 204:765 --initTime 2017-05-06T03:34:26 --startdatetime 2017-05-06T03:45:15 --delay 1 --endMP 204:233339 --enddatetime 2017-05-06T04:24:24 --enforcementcount 0 &gt;&gt;C:\Users\stu\Documents\GitHub\eaglep3-reporting\EC\2017-05-06-refined-times.txt</v>
      </c>
      <c r="AI15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{"issue":{"subject":"","project_id":79,"tracker_id":40,"status_id":1,"priority_id":2,"assigned_to_id":23,"start_date":"2017-05-06","description":"","custom_fields":[{"id":1,"name":"Subdivision","value":"EC"},{"id":4,"name":"Milepost","value":"23.3339"},{"id":17,"name":"Train ID","value":"103-06"},{"id":16,"name":"Locomotive ID","value":"4010"},{"id":130,"name":"Impact","value":""},{"id":150,"name":"Time of Event (Mountain Time)","value":"04:24:24"},{"id":151,"name":"Denver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4010 --day 2017-05-06</v>
      </c>
      <c r="AN15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10:24:24"},{"id":29,"name":"Sharepoint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583</v>
      </c>
      <c r="B16" s="7">
        <v>4023</v>
      </c>
      <c r="C16" s="21" t="s">
        <v>210</v>
      </c>
      <c r="D16" s="21" t="s">
        <v>772</v>
      </c>
      <c r="E16" s="13">
        <v>42861.191701388889</v>
      </c>
      <c r="F16" s="13">
        <v>42861.205729166664</v>
      </c>
      <c r="G16" s="7">
        <v>2</v>
      </c>
      <c r="H16" s="21" t="s">
        <v>371</v>
      </c>
      <c r="I16" s="13">
        <v>42861.244050925925</v>
      </c>
      <c r="J16" s="7">
        <v>0</v>
      </c>
      <c r="K16" s="92" t="str">
        <f t="shared" si="0"/>
        <v>4023/4024</v>
      </c>
      <c r="L16" s="21" t="str">
        <f>VLOOKUP(A16,'Trips&amp;Operators'!$C$1:$G$99999,5,FALSE)</f>
        <v>ROBINSON KADDIBA</v>
      </c>
      <c r="M16" s="6">
        <f t="shared" si="1"/>
        <v>3.832175926072523E-2</v>
      </c>
      <c r="N16" s="7">
        <f t="shared" si="2"/>
        <v>55.183333335444331</v>
      </c>
      <c r="O16" s="7"/>
      <c r="P16" s="7"/>
      <c r="Q16" s="22"/>
      <c r="R16" s="190" t="s">
        <v>1035</v>
      </c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-06T03:36:03-0600',mode:absolute,to:'2017-05-06T06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23.270199999999999</v>
      </c>
      <c r="Z16" s="192">
        <f t="shared" si="9"/>
        <v>1.4500000000000001E-2</v>
      </c>
      <c r="AA16" s="192">
        <f t="shared" si="10"/>
        <v>23.255699999999997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0104-06</v>
      </c>
      <c r="AE16" s="80" t="str">
        <f t="shared" si="12"/>
        <v>aws s3 cp s3://rtdc.mdm.uploadarchive.raw/RTDC4023/ "%USERPROFILE%\AppData\Local\Temp\OnboardLogs"\RTDC4023\2017-05-06 --exclude "*" --recursive --include "*20170506*" &amp; "%USERPROFILE%\Documents\GitHub\mrs-test-scripts\Headless Mode &amp; Sideloading\WalkAndUnGZ.bat" "%USERPROFILE%\AppData\Local\Temp\OnboardLogs"\RTDC4023\2017-05-06 &amp; aws s3 cp s3://rtdc.mdm.uploadarchive.raw/RTDC4023/ "%USERPROFILE%\AppData\Local\Temp\OnboardLogs"\RTDC4023\2017-05-07 --exclude "*" --recursive --include "*20170507*" &amp; "%USERPROFILE%\Documents\GitHub\mrs-test-scripts\Headless Mode &amp; Sideloading\WalkAndUnGZ.bat" "%USERPROFILE%\AppData\Local\Temp\OnboardLogs"\RTDC4023\2017-05-07</v>
      </c>
      <c r="AF16" s="77" t="str">
        <f t="shared" si="13"/>
        <v>"C:\Program Files (x86)\AstroGrep\AstroGrep.exe" /e /r /s /spath="%USERPROFILE%\AppData\Local\Temp\OnboardLogs" /stypes="app*4023*20170506*"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104-06 --locoid 4023 --swversion DE.1.0.9.0 --startMP 204:232702 --initTime 2017-05-06T04:36:03 --startdatetime 2017-05-06T04:56:15 --delay 2 --endMP 204:145 --enddatetime 2017-05-06T05:51:26 --enforcementcount 0 &gt;&gt;C:\Users\stu\Documents\GitHub\eaglep3-reporting\EC\2017-05-06-refined-times.txt</v>
      </c>
      <c r="AI16" s="99" t="str">
        <f t="shared" si="20"/>
        <v>echo {"issue":{"subject":"Delayed due to truck accident","project_id":79,"tracker_id":40,"status_id":1,"priority_id":2,"assigned_to_id":23,"start_date":"2017-05-06","description":"","custom_fields":[{"id":1,"name":"Subdivision","value":"EC"},{"id":4,"name":"Milepost","value":"0.0145"},{"id":17,"name":"Train ID","value":"104-06"},{"id":16,"name":"Locomotive ID","value":"4023"},{"id":130,"name":"Impact","value":""},{"id":150,"name":"Time of Event (Mountain Time)","value":"05:51:26"},{"id":151,"name":"Denver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4023 --day 2017-05-06</v>
      </c>
      <c r="AN16" s="154" t="str">
        <f t="shared" si="22"/>
        <v>echo {"issue":{"subject":"Delayed due to truck accident","project_id":30,"tracker_id":4,"status_id":1,"priority_id":1,"assigned_to_id":10,"start_date":"2017-05-06","description":"","custom_fields":[{"id":30,"name":"Category","value":"Issue"},{"id":3,"name":"Functional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11:51:26"},{"id":29,"name":"Sharepoint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513</v>
      </c>
      <c r="B17" s="7">
        <v>4004</v>
      </c>
      <c r="C17" s="21" t="s">
        <v>210</v>
      </c>
      <c r="D17" s="21" t="s">
        <v>773</v>
      </c>
      <c r="E17" s="13">
        <v>42861.17597222222</v>
      </c>
      <c r="F17" s="13">
        <v>42861.187789351854</v>
      </c>
      <c r="G17" s="7">
        <v>2</v>
      </c>
      <c r="H17" s="21" t="s">
        <v>456</v>
      </c>
      <c r="I17" s="13">
        <v>42861.215243055558</v>
      </c>
      <c r="J17" s="7">
        <v>0</v>
      </c>
      <c r="K17" s="92" t="str">
        <f t="shared" si="0"/>
        <v>4003/4004</v>
      </c>
      <c r="L17" s="21" t="str">
        <f>VLOOKUP(A17,'Trips&amp;Operators'!$C$1:$G$99999,5,FALSE)</f>
        <v>MAELZER KURT</v>
      </c>
      <c r="M17" s="6">
        <f t="shared" si="1"/>
        <v>2.7453703703940846E-2</v>
      </c>
      <c r="N17" s="7">
        <f t="shared" si="2"/>
        <v>39.533333333674818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-06T03:13:24-0600',mode:absolute,to:'2017-05-06T06:09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" s="192" t="str">
        <f t="shared" si="6"/>
        <v>N</v>
      </c>
      <c r="X17" s="192">
        <f t="shared" si="7"/>
        <v>3</v>
      </c>
      <c r="Y17" s="192">
        <f t="shared" si="8"/>
        <v>7.4300000000000005E-2</v>
      </c>
      <c r="Z17" s="192">
        <f t="shared" si="9"/>
        <v>23.3325</v>
      </c>
      <c r="AA17" s="192">
        <f t="shared" si="10"/>
        <v>23.258199999999999</v>
      </c>
      <c r="AB17" s="57" t="str">
        <f>VLOOKUP(A17,Enforcements!$C$7:$K$13,8,0)</f>
        <v>Bulletin (2)</v>
      </c>
      <c r="AC17" s="53" t="str">
        <f>VLOOKUP(A17,Enforcements!$C$7:$E$13,3,0)</f>
        <v>GRADE CROSSING</v>
      </c>
      <c r="AD17" s="54" t="str">
        <f t="shared" si="11"/>
        <v>0107-06</v>
      </c>
      <c r="AE17" s="80" t="str">
        <f t="shared" si="12"/>
        <v>aws s3 cp s3://rtdc.mdm.uploadarchive.raw/RTDC4004/ "%USERPROFILE%\AppData\Local\Temp\OnboardLogs"\RTDC4004\2017-05-06 --exclude "*" --recursive --include "*20170506*" &amp; "%USERPROFILE%\Documents\GitHub\mrs-test-scripts\Headless Mode &amp; Sideloading\WalkAndUnGZ.bat" "%USERPROFILE%\AppData\Local\Temp\OnboardLogs"\RTDC4004\2017-05-06 &amp; 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</v>
      </c>
      <c r="AF17" s="77" t="str">
        <f t="shared" si="13"/>
        <v>"C:\Program Files (x86)\AstroGrep\AstroGrep.exe" /e /r /s /spath="%USERPROFILE%\AppData\Local\Temp\OnboardLogs" /stypes="app*4004*20170506*" /stext=" 11:.+((SYSTEM_STATE.+slice.+state.+changed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107-06 --locoid 4004 --swversion DE.1.0.9.0 --startMP 204:743 --initTime 2017-05-06T04:13:24 --startdatetime 2017-05-06T04:30:25 --delay 2 --endMP 204:233325 --enddatetime 2017-05-06T05:09:57 --enforcementcount 0 &gt;&gt;C:\Users\stu\Documents\GitHub\eaglep3-reporting\EC\2017-05-06-refined-times.txt</v>
      </c>
      <c r="AI17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{"issue":{"subject":"","project_id":79,"tracker_id":40,"status_id":1,"priority_id":2,"assigned_to_id":23,"start_date":"2017-05-06","description":"","custom_fields":[{"id":1,"name":"Subdivision","value":"EC"},{"id":4,"name":"Milepost","value":"23.3325"},{"id":17,"name":"Train ID","value":"107-06"},{"id":16,"name":"Locomotive ID","value":"4004"},{"id":130,"name":"Impact","value":""},{"id":150,"name":"Time of Event (Mountain Time)","value":"05:09:57"},{"id":151,"name":"Denver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4004 --day 2017-05-06</v>
      </c>
      <c r="AN17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11:09:57"},{"id":29,"name":"Sharepoint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586</v>
      </c>
      <c r="B18" s="7">
        <v>4041</v>
      </c>
      <c r="C18" s="21" t="s">
        <v>210</v>
      </c>
      <c r="D18" s="21" t="s">
        <v>774</v>
      </c>
      <c r="E18" s="13">
        <v>42861.224027777775</v>
      </c>
      <c r="F18" s="13">
        <v>42861.226712962962</v>
      </c>
      <c r="G18" s="7">
        <v>1</v>
      </c>
      <c r="H18" s="21" t="s">
        <v>379</v>
      </c>
      <c r="I18" s="13">
        <v>42861.255231481482</v>
      </c>
      <c r="J18" s="7">
        <v>0</v>
      </c>
      <c r="K18" s="92" t="str">
        <f t="shared" si="0"/>
        <v>4041/4042</v>
      </c>
      <c r="L18" s="21" t="str">
        <f>VLOOKUP(A18,'Trips&amp;Operators'!$C$1:$G$99999,5,FALSE)</f>
        <v>MAELZER KURT</v>
      </c>
      <c r="M18" s="6">
        <f t="shared" si="1"/>
        <v>2.8518518520286307E-2</v>
      </c>
      <c r="N18" s="7">
        <f t="shared" si="2"/>
        <v>41.066666669212282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-06T04:22:36-0600',mode:absolute,to:'2017-05-06T07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23.268699999999999</v>
      </c>
      <c r="Z18" s="192">
        <f t="shared" si="9"/>
        <v>1.4999999999999999E-2</v>
      </c>
      <c r="AA18" s="192">
        <f t="shared" si="10"/>
        <v>23.253699999999998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0108-06</v>
      </c>
      <c r="AE18" s="80" t="str">
        <f t="shared" si="12"/>
        <v>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 &amp; 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</v>
      </c>
      <c r="AF18" s="77" t="str">
        <f t="shared" si="13"/>
        <v>"C:\Program Files (x86)\AstroGrep\AstroGrep.exe" /e /r /s /spath="%USERPROFILE%\AppData\Local\Temp\OnboardLogs" /stypes="app*4041*20170506*" /stext=" 12:.+((SYSTEM_STATE.+slice.+state.+changed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108-06 --locoid 4041 --swversion DE.1.0.9.0 --startMP 204:232687 --initTime 2017-05-06T05:22:36 --startdatetime 2017-05-06T05:26:28 --delay 1 --endMP 204:150 --enddatetime 2017-05-06T06:07:32 --enforcementcount 0 &gt;&gt;C:\Users\stu\Documents\GitHub\eaglep3-reporting\EC\2017-05-06-refined-times.txt</v>
      </c>
      <c r="AI18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{"issue":{"subject":"","project_id":79,"tracker_id":40,"status_id":1,"priority_id":2,"assigned_to_id":23,"start_date":"2017-05-06","description":"","custom_fields":[{"id":1,"name":"Subdivision","value":"EC"},{"id":4,"name":"Milepost","value":"0.015"},{"id":17,"name":"Train ID","value":"108-06"},{"id":16,"name":"Locomotive ID","value":"4041"},{"id":130,"name":"Impact","value":""},{"id":150,"name":"Time of Event (Mountain Time)","value":"06:07:32"},{"id":151,"name":"Denver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4041 --day 2017-05-06</v>
      </c>
      <c r="AN18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12:07:32"},{"id":29,"name":"Sharepoint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584</v>
      </c>
      <c r="B19" s="7">
        <v>4044</v>
      </c>
      <c r="C19" s="21" t="s">
        <v>210</v>
      </c>
      <c r="D19" s="21" t="s">
        <v>773</v>
      </c>
      <c r="E19" s="13">
        <v>42861.200011574074</v>
      </c>
      <c r="F19" s="13">
        <v>42861.215682870374</v>
      </c>
      <c r="G19" s="7">
        <v>1</v>
      </c>
      <c r="H19" s="21" t="s">
        <v>775</v>
      </c>
      <c r="I19" s="13">
        <v>42861.244768518518</v>
      </c>
      <c r="J19" s="7">
        <v>0</v>
      </c>
      <c r="K19" s="92" t="str">
        <f t="shared" si="0"/>
        <v>4043/4044</v>
      </c>
      <c r="L19" s="21" t="str">
        <f>VLOOKUP(A19,'Trips&amp;Operators'!$C$1:$G$99999,5,FALSE)</f>
        <v>DAVIS WENDY</v>
      </c>
      <c r="M19" s="6">
        <f t="shared" si="1"/>
        <v>2.9085648144246079E-2</v>
      </c>
      <c r="N19" s="7">
        <f t="shared" si="2"/>
        <v>41.883333327714354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-06T03:48:01-0600',mode:absolute,to:'2017-05-06T06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" s="192" t="str">
        <f t="shared" si="6"/>
        <v>N</v>
      </c>
      <c r="X19" s="192">
        <f t="shared" si="7"/>
        <v>3</v>
      </c>
      <c r="Y19" s="192">
        <f t="shared" si="8"/>
        <v>7.4300000000000005E-2</v>
      </c>
      <c r="Z19" s="192">
        <f t="shared" si="9"/>
        <v>23.332699999999999</v>
      </c>
      <c r="AA19" s="192">
        <f t="shared" si="10"/>
        <v>23.258399999999998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0111-06</v>
      </c>
      <c r="AE19" s="80" t="str">
        <f t="shared" si="12"/>
        <v>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 &amp; 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</v>
      </c>
      <c r="AF19" s="77" t="str">
        <f t="shared" si="13"/>
        <v>"C:\Program Files (x86)\AstroGrep\AstroGrep.exe" /e /r /s /spath="%USERPROFILE%\AppData\Local\Temp\OnboardLogs" /stypes="app*4044*20170506*"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111-06 --locoid 4044 --swversion DE.1.0.9.0 --startMP 204:743 --initTime 2017-05-06T04:48:01 --startdatetime 2017-05-06T05:10:35 --delay 1 --endMP 204:233327 --enddatetime 2017-05-06T05:52:28 --enforcementcount 0 &gt;&gt;C:\Users\stu\Documents\GitHub\eaglep3-reporting\EC\2017-05-06-refined-times.txt</v>
      </c>
      <c r="AI19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{"issue":{"subject":"","project_id":79,"tracker_id":40,"status_id":1,"priority_id":2,"assigned_to_id":23,"start_date":"2017-05-06","description":"","custom_fields":[{"id":1,"name":"Subdivision","value":"EC"},{"id":4,"name":"Milepost","value":"23.3327"},{"id":17,"name":"Train ID","value":"111-06"},{"id":16,"name":"Locomotive ID","value":"4044"},{"id":130,"name":"Impact","value":""},{"id":150,"name":"Time of Event (Mountain Time)","value":"05:52:28"},{"id":151,"name":"Denver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4044 --day 2017-05-06</v>
      </c>
      <c r="AN19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11:52:28"},{"id":29,"name":"Sharepoint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591</v>
      </c>
      <c r="B20" s="7">
        <v>4053</v>
      </c>
      <c r="C20" s="21" t="s">
        <v>210</v>
      </c>
      <c r="D20" s="21" t="s">
        <v>774</v>
      </c>
      <c r="E20" s="13">
        <v>42861.248657407406</v>
      </c>
      <c r="F20" s="13">
        <v>42861.250173611108</v>
      </c>
      <c r="G20" s="7">
        <v>1</v>
      </c>
      <c r="H20" s="21" t="s">
        <v>380</v>
      </c>
      <c r="I20" s="13">
        <v>42861.279872685183</v>
      </c>
      <c r="J20" s="7">
        <v>0</v>
      </c>
      <c r="K20" s="92" t="str">
        <f t="shared" si="0"/>
        <v>4053/4054</v>
      </c>
      <c r="L20" s="21" t="str">
        <f>VLOOKUP(A20,'Trips&amp;Operators'!$C$1:$G$99999,5,FALSE)</f>
        <v>DAVIS WENDY</v>
      </c>
      <c r="M20" s="6">
        <f t="shared" si="1"/>
        <v>2.9699074075324461E-2</v>
      </c>
      <c r="N20" s="7">
        <f t="shared" si="2"/>
        <v>42.766666668467224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-06T04:58:04-0600',mode:absolute,to:'2017-05-06T07:43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23.268699999999999</v>
      </c>
      <c r="Z20" s="192">
        <f t="shared" si="9"/>
        <v>1.49E-2</v>
      </c>
      <c r="AA20" s="192">
        <f t="shared" si="10"/>
        <v>23.253799999999998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0112-06</v>
      </c>
      <c r="AE20" s="80" t="str">
        <f t="shared" si="12"/>
        <v>aws s3 cp s3://rtdc.mdm.uploadarchive.raw/RTDC4053/ "%USERPROFILE%\AppData\Local\Temp\OnboardLogs"\RTDC4053\2017-05-06 --exclude "*" --recursive --include "*20170506*" &amp; "%USERPROFILE%\Documents\GitHub\mrs-test-scripts\Headless Mode &amp; Sideloading\WalkAndUnGZ.bat" "%USERPROFILE%\AppData\Local\Temp\OnboardLogs"\RTDC4053\2017-05-06 &amp; aws s3 cp s3://rtdc.mdm.uploadarchive.raw/RTDC4053/ "%USERPROFILE%\AppData\Local\Temp\OnboardLogs"\RTDC4053\2017-05-07 --exclude "*" --recursive --include "*20170507*" &amp; "%USERPROFILE%\Documents\GitHub\mrs-test-scripts\Headless Mode &amp; Sideloading\WalkAndUnGZ.bat" "%USERPROFILE%\AppData\Local\Temp\OnboardLogs"\RTDC4053\2017-05-07</v>
      </c>
      <c r="AF20" s="77" t="str">
        <f t="shared" si="13"/>
        <v>"C:\Program Files (x86)\AstroGrep\AstroGrep.exe" /e /r /s /spath="%USERPROFILE%\AppData\Local\Temp\OnboardLogs" /stypes="app*4053*20170506*"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112-06 --locoid 4053 --swversion DE.1.0.9.0 --startMP 204:232687 --initTime 2017-05-06T05:58:04 --startdatetime 2017-05-06T06:00:15 --delay 1 --endMP 204:149 --enddatetime 2017-05-06T06:43:01 --enforcementcount 0 &gt;&gt;C:\Users\stu\Documents\GitHub\eaglep3-reporting\EC\2017-05-06-refined-times.txt</v>
      </c>
      <c r="AI20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{"issue":{"subject":"","project_id":79,"tracker_id":40,"status_id":1,"priority_id":2,"assigned_to_id":23,"start_date":"2017-05-06","description":"","custom_fields":[{"id":1,"name":"Subdivision","value":"EC"},{"id":4,"name":"Milepost","value":"0.0149"},{"id":17,"name":"Train ID","value":"112-06"},{"id":16,"name":"Locomotive ID","value":"4053"},{"id":130,"name":"Impact","value":""},{"id":150,"name":"Time of Event (Mountain Time)","value":"06:43:01"},{"id":151,"name":"Denver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4053 --day 2017-05-06</v>
      </c>
      <c r="AN20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12:43:01"},{"id":29,"name":"Sharepoint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585</v>
      </c>
      <c r="B21" s="7">
        <v>4002</v>
      </c>
      <c r="C21" s="21" t="s">
        <v>210</v>
      </c>
      <c r="D21" s="21" t="s">
        <v>776</v>
      </c>
      <c r="E21" s="13">
        <v>42861.222291666665</v>
      </c>
      <c r="F21" s="13">
        <v>42861.238622685189</v>
      </c>
      <c r="G21" s="7">
        <v>1</v>
      </c>
      <c r="H21" s="21" t="s">
        <v>777</v>
      </c>
      <c r="I21" s="13">
        <v>42861.266215277778</v>
      </c>
      <c r="J21" s="7">
        <v>0</v>
      </c>
      <c r="K21" s="92" t="str">
        <f t="shared" si="0"/>
        <v>4001/4002</v>
      </c>
      <c r="L21" s="21" t="str">
        <f>VLOOKUP(A21,'Trips&amp;Operators'!$C$1:$G$99999,5,FALSE)</f>
        <v>BADERTSCHER DIANE</v>
      </c>
      <c r="M21" s="6">
        <f t="shared" si="1"/>
        <v>2.7592592588916887E-2</v>
      </c>
      <c r="N21" s="7">
        <f t="shared" si="2"/>
        <v>39.733333328040317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-06T04:20:06-0600',mode:absolute,to:'2017-05-06T07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192" t="str">
        <f t="shared" si="6"/>
        <v>N</v>
      </c>
      <c r="X21" s="192">
        <f t="shared" si="7"/>
        <v>3</v>
      </c>
      <c r="Y21" s="192">
        <f t="shared" si="8"/>
        <v>7.9399999999999998E-2</v>
      </c>
      <c r="Z21" s="192">
        <f t="shared" si="9"/>
        <v>23.327400000000001</v>
      </c>
      <c r="AA21" s="192">
        <f t="shared" si="10"/>
        <v>23.248000000000001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0115-06</v>
      </c>
      <c r="AE21" s="80" t="str">
        <f t="shared" si="12"/>
        <v>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 &amp; aws s3 cp s3://rtdc.mdm.uploadarchive.raw/RTDC4002/ "%USERPROFILE%\AppData\Local\Temp\OnboardLogs"\RTDC4002\2017-05-07 --exclude "*" --recursive --include "*20170507*" &amp; "%USERPROFILE%\Documents\GitHub\mrs-test-scripts\Headless Mode &amp; Sideloading\WalkAndUnGZ.bat" "%USERPROFILE%\AppData\Local\Temp\OnboardLogs"\RTDC4002\2017-05-07</v>
      </c>
      <c r="AF21" s="77" t="str">
        <f t="shared" si="13"/>
        <v>"C:\Program Files (x86)\AstroGrep\AstroGrep.exe" /e /r /s /spath="%USERPROFILE%\AppData\Local\Temp\OnboardLogs" /stypes="app*4002*20170506*" /stext=" 12:.+((SYSTEM_STATE.+slice.+state.+changed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115-06 --locoid 4002 --swversion DE.1.0.9.0 --startMP 204:794 --initTime 2017-05-06T05:20:06 --startdatetime 2017-05-06T05:43:37 --delay 1 --endMP 204:233274 --enddatetime 2017-05-06T06:23:21 --enforcementcount 0 &gt;&gt;C:\Users\stu\Documents\GitHub\eaglep3-reporting\EC\2017-05-06-refined-times.txt</v>
      </c>
      <c r="AI21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{"issue":{"subject":"","project_id":79,"tracker_id":40,"status_id":1,"priority_id":2,"assigned_to_id":23,"start_date":"2017-05-06","description":"","custom_fields":[{"id":1,"name":"Subdivision","value":"EC"},{"id":4,"name":"Milepost","value":"23.3274"},{"id":17,"name":"Train ID","value":"115-06"},{"id":16,"name":"Locomotive ID","value":"4002"},{"id":130,"name":"Impact","value":""},{"id":150,"name":"Time of Event (Mountain Time)","value":"06:23:21"},{"id":151,"name":"Denver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4002 --day 2017-05-06</v>
      </c>
      <c r="AN21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12:23:21"},{"id":29,"name":"Sharepoint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595</v>
      </c>
      <c r="B22" s="7">
        <v>4005</v>
      </c>
      <c r="C22" s="21" t="s">
        <v>210</v>
      </c>
      <c r="D22" s="21" t="s">
        <v>778</v>
      </c>
      <c r="E22" s="13">
        <v>42861.271724537037</v>
      </c>
      <c r="F22" s="13">
        <v>42861.273564814815</v>
      </c>
      <c r="G22" s="7">
        <v>1</v>
      </c>
      <c r="H22" s="21" t="s">
        <v>379</v>
      </c>
      <c r="I22" s="13">
        <v>42861.300775462965</v>
      </c>
      <c r="J22" s="7">
        <v>0</v>
      </c>
      <c r="K22" s="92" t="str">
        <f t="shared" si="0"/>
        <v>4005/4006</v>
      </c>
      <c r="L22" s="21" t="str">
        <f>VLOOKUP(A22,'Trips&amp;Operators'!$C$1:$G$99999,5,FALSE)</f>
        <v>LOZA FIDEL</v>
      </c>
      <c r="M22" s="6">
        <f t="shared" si="1"/>
        <v>2.7210648149775807E-2</v>
      </c>
      <c r="N22" s="7">
        <f t="shared" si="2"/>
        <v>39.183333335677162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-06T05:31:17-0600',mode:absolute,to:'2017-05-06T08:13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23.2637</v>
      </c>
      <c r="Z22" s="192">
        <f t="shared" si="9"/>
        <v>1.4999999999999999E-2</v>
      </c>
      <c r="AA22" s="192">
        <f t="shared" si="10"/>
        <v>23.248699999999999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0116-06</v>
      </c>
      <c r="AE22" s="80" t="str">
        <f t="shared" si="12"/>
        <v>aws s3 cp s3://rtdc.mdm.uploadarchive.raw/RTDC4005/ "%USERPROFILE%\AppData\Local\Temp\OnboardLogs"\RTDC4005\2017-05-06 --exclude "*" --recursive --include "*20170506*" &amp; "%USERPROFILE%\Documents\GitHub\mrs-test-scripts\Headless Mode &amp; Sideloading\WalkAndUnGZ.bat" "%USERPROFILE%\AppData\Local\Temp\OnboardLogs"\RTDC4005\2017-05-06 &amp; 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</v>
      </c>
      <c r="AF22" s="77" t="str">
        <f t="shared" si="13"/>
        <v>"C:\Program Files (x86)\AstroGrep\AstroGrep.exe" /e /r /s /spath="%USERPROFILE%\AppData\Local\Temp\OnboardLogs" /stypes="app*4005*20170506*" /stext=" 13:.+((SYSTEM_STATE.+slice.+state.+changed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116-06 --locoid 4005 --swversion DE.1.0.9.0 --startMP 204:232637 --initTime 2017-05-06T06:31:17 --startdatetime 2017-05-06T06:33:56 --delay 1 --endMP 204:150 --enddatetime 2017-05-06T07:13:07 --enforcementcount 0 &gt;&gt;C:\Users\stu\Documents\GitHub\eaglep3-reporting\EC\2017-05-06-refined-times.txt</v>
      </c>
      <c r="AI22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{"issue":{"subject":"","project_id":79,"tracker_id":40,"status_id":1,"priority_id":2,"assigned_to_id":23,"start_date":"2017-05-06","description":"","custom_fields":[{"id":1,"name":"Subdivision","value":"EC"},{"id":4,"name":"Milepost","value":"0.015"},{"id":17,"name":"Train ID","value":"116-06"},{"id":16,"name":"Locomotive ID","value":"4005"},{"id":130,"name":"Impact","value":""},{"id":150,"name":"Time of Event (Mountain Time)","value":"07:13:07"},{"id":151,"name":"Denver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4005 --day 2017-05-06</v>
      </c>
      <c r="AN22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13:13:07"},{"id":29,"name":"Sharepoint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600</v>
      </c>
      <c r="B23" s="7">
        <v>4001</v>
      </c>
      <c r="C23" s="21" t="s">
        <v>210</v>
      </c>
      <c r="D23" s="21" t="s">
        <v>395</v>
      </c>
      <c r="E23" s="13">
        <v>42861.276435185187</v>
      </c>
      <c r="F23" s="13">
        <v>42861.278645833336</v>
      </c>
      <c r="G23" s="7">
        <v>1</v>
      </c>
      <c r="H23" s="21" t="s">
        <v>779</v>
      </c>
      <c r="I23" s="13">
        <v>42861.308240740742</v>
      </c>
      <c r="J23" s="7">
        <v>0</v>
      </c>
      <c r="K23" s="92" t="str">
        <f t="shared" si="0"/>
        <v>4001/4002</v>
      </c>
      <c r="L23" s="21" t="str">
        <f>VLOOKUP(A23,'Trips&amp;Operators'!$C$1:$G$99999,5,FALSE)</f>
        <v>BADERTSCHER DIANE</v>
      </c>
      <c r="M23" s="6">
        <f t="shared" si="1"/>
        <v>2.9594907406135462E-2</v>
      </c>
      <c r="N23" s="7">
        <f t="shared" si="2"/>
        <v>42.616666664835066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Southbound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-06T05:38:04-0600',mode:absolute,to:'2017-05-06T08:23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" s="192" t="str">
        <f t="shared" si="6"/>
        <v>N</v>
      </c>
      <c r="X23" s="192">
        <f t="shared" si="7"/>
        <v>2</v>
      </c>
      <c r="Y23" s="192">
        <f t="shared" si="8"/>
        <v>23.296900000000001</v>
      </c>
      <c r="Z23" s="192">
        <f t="shared" si="9"/>
        <v>1.2699999999999999E-2</v>
      </c>
      <c r="AA23" s="192">
        <f t="shared" si="10"/>
        <v>23.284200000000002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0118-06</v>
      </c>
      <c r="AE23" s="80" t="str">
        <f t="shared" si="12"/>
        <v>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 &amp; aws s3 cp s3://rtdc.mdm.uploadarchive.raw/RTDC4001/ "%USERPROFILE%\AppData\Local\Temp\OnboardLogs"\RTDC4001\2017-05-07 --exclude "*" --recursive --include "*20170507*" &amp; "%USERPROFILE%\Documents\GitHub\mrs-test-scripts\Headless Mode &amp; Sideloading\WalkAndUnGZ.bat" "%USERPROFILE%\AppData\Local\Temp\OnboardLogs"\RTDC4001\2017-05-07</v>
      </c>
      <c r="AF23" s="77" t="str">
        <f t="shared" si="13"/>
        <v>"C:\Program Files (x86)\AstroGrep\AstroGrep.exe" /e /r /s /spath="%USERPROFILE%\AppData\Local\Temp\OnboardLogs" /stypes="app*4001*20170506*" /stext=" 13:.+((SYSTEM_STATE.+slice.+state.+changed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118-06 --locoid 4001 --swversion DE.1.0.9.0 --startMP 204:232969 --initTime 2017-05-06T06:38:04 --startdatetime 2017-05-06T06:41:15 --delay 1 --endMP 204:127 --enddatetime 2017-05-06T07:23:52 --enforcementcount 0 &gt;&gt;C:\Users\stu\Documents\GitHub\eaglep3-reporting\EC\2017-05-06-refined-times.txt</v>
      </c>
      <c r="AI23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{"issue":{"subject":"","project_id":79,"tracker_id":40,"status_id":1,"priority_id":2,"assigned_to_id":23,"start_date":"2017-05-06","description":"","custom_fields":[{"id":1,"name":"Subdivision","value":"EC"},{"id":4,"name":"Milepost","value":"0.0127"},{"id":17,"name":"Train ID","value":"118-06"},{"id":16,"name":"Locomotive ID","value":"4001"},{"id":130,"name":"Impact","value":""},{"id":150,"name":"Time of Event (Mountain Time)","value":"07:23:52"},{"id":151,"name":"Denver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4001 --day 2017-05-06</v>
      </c>
      <c r="AN23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13:23:52"},{"id":29,"name":"Sharepoint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592</v>
      </c>
      <c r="B24" s="7">
        <v>4010</v>
      </c>
      <c r="C24" s="21" t="s">
        <v>210</v>
      </c>
      <c r="D24" s="21" t="s">
        <v>780</v>
      </c>
      <c r="E24" s="13">
        <v>42861.248518518521</v>
      </c>
      <c r="F24" s="13">
        <v>42861.250891203701</v>
      </c>
      <c r="G24" s="7">
        <v>1</v>
      </c>
      <c r="H24" s="21" t="s">
        <v>387</v>
      </c>
      <c r="I24" s="13">
        <v>42861.276238425926</v>
      </c>
      <c r="J24" s="7">
        <v>0</v>
      </c>
      <c r="K24" s="92" t="str">
        <f t="shared" si="0"/>
        <v>4009/4010</v>
      </c>
      <c r="L24" s="21" t="str">
        <f>VLOOKUP(A24,'Trips&amp;Operators'!$C$1:$G$99999,5,FALSE)</f>
        <v>GEBRETEKLE DAGNEW</v>
      </c>
      <c r="M24" s="6">
        <f t="shared" si="1"/>
        <v>2.5347222224809229E-2</v>
      </c>
      <c r="N24" s="7">
        <f t="shared" si="2"/>
        <v>36.50000000372529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NorthBound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-06T04:57:52-0600',mode:absolute,to:'2017-05-06T07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7.5399999999999995E-2</v>
      </c>
      <c r="Z24" s="192">
        <f t="shared" si="9"/>
        <v>23.331399999999999</v>
      </c>
      <c r="AA24" s="192">
        <f t="shared" si="10"/>
        <v>23.256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0119-06</v>
      </c>
      <c r="AE24" s="80" t="str">
        <f t="shared" si="12"/>
        <v>aws s3 cp s3://rtdc.mdm.uploadarchive.raw/RTDC4010/ "%USERPROFILE%\AppData\Local\Temp\OnboardLogs"\RTDC4010\2017-05-06 --exclude "*" --recursive --include "*20170506*" &amp; "%USERPROFILE%\Documents\GitHub\mrs-test-scripts\Headless Mode &amp; Sideloading\WalkAndUnGZ.bat" "%USERPROFILE%\AppData\Local\Temp\OnboardLogs"\RTDC4010\2017-05-06 &amp; aws s3 cp s3://rtdc.mdm.uploadarchive.raw/RTDC4010/ "%USERPROFILE%\AppData\Local\Temp\OnboardLogs"\RTDC4010\2017-05-07 --exclude "*" --recursive --include "*20170507*" &amp; "%USERPROFILE%\Documents\GitHub\mrs-test-scripts\Headless Mode &amp; Sideloading\WalkAndUnGZ.bat" "%USERPROFILE%\AppData\Local\Temp\OnboardLogs"\RTDC4010\2017-05-07</v>
      </c>
      <c r="AF24" s="77" t="str">
        <f t="shared" si="13"/>
        <v>"C:\Program Files (x86)\AstroGrep\AstroGrep.exe" /e /r /s /spath="%USERPROFILE%\AppData\Local\Temp\OnboardLogs" /stypes="app*4010*20170506*"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119-06 --locoid 4010 --swversion DE.1.0.9.0 --startMP 204:754 --initTime 2017-05-06T05:57:52 --startdatetime 2017-05-06T06:01:17 --delay 1 --endMP 204:233314 --enddatetime 2017-05-06T06:37:47 --enforcementcount 0 &gt;&gt;C:\Users\stu\Documents\GitHub\eaglep3-reporting\EC\2017-05-06-refined-times.txt</v>
      </c>
      <c r="AI24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{"issue":{"subject":"","project_id":79,"tracker_id":40,"status_id":1,"priority_id":2,"assigned_to_id":23,"start_date":"2017-05-06","description":"","custom_fields":[{"id":1,"name":"Subdivision","value":"EC"},{"id":4,"name":"Milepost","value":"23.3314"},{"id":17,"name":"Train ID","value":"119-06"},{"id":16,"name":"Locomotive ID","value":"4010"},{"id":130,"name":"Impact","value":""},{"id":150,"name":"Time of Event (Mountain Time)","value":"06:37:47"},{"id":151,"name":"Denver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4010 --day 2017-05-06</v>
      </c>
      <c r="AN24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12:37:47"},{"id":29,"name":"Sharepoint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602</v>
      </c>
      <c r="B25" s="7">
        <v>4009</v>
      </c>
      <c r="C25" s="21" t="s">
        <v>210</v>
      </c>
      <c r="D25" s="21" t="s">
        <v>781</v>
      </c>
      <c r="E25" s="13">
        <v>42861.285277777781</v>
      </c>
      <c r="F25" s="13">
        <v>42861.289097222223</v>
      </c>
      <c r="G25" s="7">
        <v>1</v>
      </c>
      <c r="H25" s="21" t="s">
        <v>372</v>
      </c>
      <c r="I25" s="13">
        <v>42861.319351851853</v>
      </c>
      <c r="J25" s="7">
        <v>0</v>
      </c>
      <c r="K25" s="92" t="str">
        <f t="shared" si="0"/>
        <v>4009/4010</v>
      </c>
      <c r="L25" s="21" t="str">
        <f>VLOOKUP(A25,'Trips&amp;Operators'!$C$1:$G$99999,5,FALSE)</f>
        <v>GEBRETEKLE DAGNEW</v>
      </c>
      <c r="M25" s="6">
        <f t="shared" si="1"/>
        <v>3.0254629629780538E-2</v>
      </c>
      <c r="N25" s="7">
        <f t="shared" si="2"/>
        <v>43.566666666883975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Southbound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-06T05:50:48-0600',mode:absolute,to:'2017-05-06T08:39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23.301500000000001</v>
      </c>
      <c r="Z25" s="192">
        <f t="shared" si="9"/>
        <v>1.6E-2</v>
      </c>
      <c r="AA25" s="192">
        <f t="shared" si="10"/>
        <v>23.285500000000003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0120-06</v>
      </c>
      <c r="AE25" s="80" t="str">
        <f t="shared" si="12"/>
        <v>aws s3 cp s3://rtdc.mdm.uploadarchive.raw/RTDC4009/ "%USERPROFILE%\AppData\Local\Temp\OnboardLogs"\RTDC4009\2017-05-06 --exclude "*" --recursive --include "*20170506*" &amp; "%USERPROFILE%\Documents\GitHub\mrs-test-scripts\Headless Mode &amp; Sideloading\WalkAndUnGZ.bat" "%USERPROFILE%\AppData\Local\Temp\OnboardLogs"\RTDC4009\2017-05-06 &amp; aws s3 cp s3://rtdc.mdm.uploadarchive.raw/RTDC4009/ "%USERPROFILE%\AppData\Local\Temp\OnboardLogs"\RTDC4009\2017-05-07 --exclude "*" --recursive --include "*20170507*" &amp; "%USERPROFILE%\Documents\GitHub\mrs-test-scripts\Headless Mode &amp; Sideloading\WalkAndUnGZ.bat" "%USERPROFILE%\AppData\Local\Temp\OnboardLogs"\RTDC4009\2017-05-07</v>
      </c>
      <c r="AF25" s="77" t="str">
        <f t="shared" si="13"/>
        <v>"C:\Program Files (x86)\AstroGrep\AstroGrep.exe" /e /r /s /spath="%USERPROFILE%\AppData\Local\Temp\OnboardLogs" /stypes="app*4009*20170506*" /stext=" 13:.+((SYSTEM_STATE.+slice.+state.+changed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120-06 --locoid 4009 --swversion DE.1.0.9.0 --startMP 204:233015 --initTime 2017-05-06T06:50:48 --startdatetime 2017-05-06T06:56:18 --delay 1 --endMP 204:160 --enddatetime 2017-05-06T07:39:52 --enforcementcount 0 &gt;&gt;C:\Users\stu\Documents\GitHub\eaglep3-reporting\EC\2017-05-06-refined-times.txt</v>
      </c>
      <c r="AI25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{"issue":{"subject":"","project_id":79,"tracker_id":40,"status_id":1,"priority_id":2,"assigned_to_id":23,"start_date":"2017-05-06","description":"","custom_fields":[{"id":1,"name":"Subdivision","value":"EC"},{"id":4,"name":"Milepost","value":"0.016"},{"id":17,"name":"Train ID","value":"120-06"},{"id":16,"name":"Locomotive ID","value":"4009"},{"id":130,"name":"Impact","value":""},{"id":150,"name":"Time of Event (Mountain Time)","value":"07:39:52"},{"id":151,"name":"Denver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4009 --day 2017-05-06</v>
      </c>
      <c r="AN25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13:39:52"},{"id":29,"name":"Sharepoint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516</v>
      </c>
      <c r="B26" s="7">
        <v>4024</v>
      </c>
      <c r="C26" s="21" t="s">
        <v>210</v>
      </c>
      <c r="D26" s="21" t="s">
        <v>205</v>
      </c>
      <c r="E26" s="13">
        <v>42861.25608796296</v>
      </c>
      <c r="F26" s="13">
        <v>42861.260578703703</v>
      </c>
      <c r="G26" s="7">
        <v>1</v>
      </c>
      <c r="H26" s="21" t="s">
        <v>417</v>
      </c>
      <c r="I26" s="13">
        <v>42861.28702546296</v>
      </c>
      <c r="J26" s="7">
        <v>0</v>
      </c>
      <c r="K26" s="92" t="str">
        <f t="shared" si="0"/>
        <v>4023/4024</v>
      </c>
      <c r="L26" s="21" t="str">
        <f>VLOOKUP(A26,'Trips&amp;Operators'!$C$1:$G$99999,5,FALSE)</f>
        <v>ROBINSON KADDIBA</v>
      </c>
      <c r="M26" s="6">
        <f t="shared" si="1"/>
        <v>2.6446759256941732E-2</v>
      </c>
      <c r="N26" s="7">
        <f t="shared" si="2"/>
        <v>38.083333329996094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NorthBound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-06T05:08:46-0600',mode:absolute,to:'2017-05-06T07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4.5999999999999999E-2</v>
      </c>
      <c r="Z26" s="192">
        <f t="shared" si="9"/>
        <v>23.3291</v>
      </c>
      <c r="AA26" s="192">
        <f t="shared" si="10"/>
        <v>23.283100000000001</v>
      </c>
      <c r="AB26" s="57" t="str">
        <f>VLOOKUP(A26,Enforcements!$C$7:$K$13,8,0)</f>
        <v>Bulletin (2)</v>
      </c>
      <c r="AC26" s="53" t="str">
        <f>VLOOKUP(A26,Enforcements!$C$7:$E$13,3,0)</f>
        <v>GRADE CROSSING</v>
      </c>
      <c r="AD26" s="54" t="str">
        <f t="shared" si="11"/>
        <v>0121-06</v>
      </c>
      <c r="AE26" s="80" t="str">
        <f t="shared" si="12"/>
        <v>aws s3 cp s3://rtdc.mdm.uploadarchive.raw/RTDC4024/ "%USERPROFILE%\AppData\Local\Temp\OnboardLogs"\RTDC4024\2017-05-06 --exclude "*" --recursive --include "*20170506*" &amp; "%USERPROFILE%\Documents\GitHub\mrs-test-scripts\Headless Mode &amp; Sideloading\WalkAndUnGZ.bat" "%USERPROFILE%\AppData\Local\Temp\OnboardLogs"\RTDC4024\2017-05-06 &amp; aws s3 cp s3://rtdc.mdm.uploadarchive.raw/RTDC4024/ "%USERPROFILE%\AppData\Local\Temp\OnboardLogs"\RTDC4024\2017-05-07 --exclude "*" --recursive --include "*20170507*" &amp; "%USERPROFILE%\Documents\GitHub\mrs-test-scripts\Headless Mode &amp; Sideloading\WalkAndUnGZ.bat" "%USERPROFILE%\AppData\Local\Temp\OnboardLogs"\RTDC4024\2017-05-07</v>
      </c>
      <c r="AF26" s="77" t="str">
        <f t="shared" si="13"/>
        <v>"C:\Program Files (x86)\AstroGrep\AstroGrep.exe" /e /r /s /spath="%USERPROFILE%\AppData\Local\Temp\OnboardLogs" /stypes="app*4024*20170506*"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121-06 --locoid 4024 --swversion DE.1.0.9.0 --startMP 204:460 --initTime 2017-05-06T06:08:46 --startdatetime 2017-05-06T06:15:14 --delay 1 --endMP 204:233291 --enddatetime 2017-05-06T06:53:19 --enforcementcount 0 &gt;&gt;C:\Users\stu\Documents\GitHub\eaglep3-reporting\EC\2017-05-06-refined-times.txt</v>
      </c>
      <c r="AI26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{"issue":{"subject":"","project_id":79,"tracker_id":40,"status_id":1,"priority_id":2,"assigned_to_id":23,"start_date":"2017-05-06","description":"","custom_fields":[{"id":1,"name":"Subdivision","value":"EC"},{"id":4,"name":"Milepost","value":"23.3291"},{"id":17,"name":"Train ID","value":"121-06"},{"id":16,"name":"Locomotive ID","value":"4024"},{"id":130,"name":"Impact","value":""},{"id":150,"name":"Time of Event (Mountain Time)","value":"06:53:19"},{"id":151,"name":"Denver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4024 --day 2017-05-06</v>
      </c>
      <c r="AN26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12:53:19"},{"id":29,"name":"Sharepoint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605</v>
      </c>
      <c r="B27" s="7">
        <v>4023</v>
      </c>
      <c r="C27" s="21" t="s">
        <v>210</v>
      </c>
      <c r="D27" s="21" t="s">
        <v>430</v>
      </c>
      <c r="E27" s="13">
        <v>42861.29724537037</v>
      </c>
      <c r="F27" s="13">
        <v>42861.299479166664</v>
      </c>
      <c r="G27" s="7">
        <v>1</v>
      </c>
      <c r="H27" s="21" t="s">
        <v>197</v>
      </c>
      <c r="I27" s="13">
        <v>42861.326678240737</v>
      </c>
      <c r="J27" s="7">
        <v>0</v>
      </c>
      <c r="K27" s="92" t="str">
        <f t="shared" si="0"/>
        <v>4023/4024</v>
      </c>
      <c r="L27" s="21" t="str">
        <f>VLOOKUP(A27,'Trips&amp;Operators'!$C$1:$G$99999,5,FALSE)</f>
        <v>ROBINSON KADDIBA</v>
      </c>
      <c r="M27" s="6">
        <f t="shared" si="1"/>
        <v>2.7199074072996154E-2</v>
      </c>
      <c r="N27" s="7">
        <f t="shared" si="2"/>
        <v>39.166666665114462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Southbound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-06T06:08:02-0600',mode:absolute,to:'2017-05-06T08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23.297999999999998</v>
      </c>
      <c r="Z27" s="192">
        <f t="shared" si="9"/>
        <v>1.52E-2</v>
      </c>
      <c r="AA27" s="192">
        <f t="shared" si="10"/>
        <v>23.282799999999998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0122-06</v>
      </c>
      <c r="AE27" s="80" t="str">
        <f t="shared" si="12"/>
        <v>aws s3 cp s3://rtdc.mdm.uploadarchive.raw/RTDC4023/ "%USERPROFILE%\AppData\Local\Temp\OnboardLogs"\RTDC4023\2017-05-06 --exclude "*" --recursive --include "*20170506*" &amp; "%USERPROFILE%\Documents\GitHub\mrs-test-scripts\Headless Mode &amp; Sideloading\WalkAndUnGZ.bat" "%USERPROFILE%\AppData\Local\Temp\OnboardLogs"\RTDC4023\2017-05-06 &amp; aws s3 cp s3://rtdc.mdm.uploadarchive.raw/RTDC4023/ "%USERPROFILE%\AppData\Local\Temp\OnboardLogs"\RTDC4023\2017-05-07 --exclude "*" --recursive --include "*20170507*" &amp; "%USERPROFILE%\Documents\GitHub\mrs-test-scripts\Headless Mode &amp; Sideloading\WalkAndUnGZ.bat" "%USERPROFILE%\AppData\Local\Temp\OnboardLogs"\RTDC4023\2017-05-07</v>
      </c>
      <c r="AF27" s="77" t="str">
        <f t="shared" si="13"/>
        <v>"C:\Program Files (x86)\AstroGrep\AstroGrep.exe" /e /r /s /spath="%USERPROFILE%\AppData\Local\Temp\OnboardLogs" /stypes="app*4023*20170506*" /stext=" 13:.+((SYSTEM_STATE.+slice.+state.+changed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122-06 --locoid 4023 --swversion DE.1.0.9.0 --startMP 204:232980 --initTime 2017-05-06T07:08:02 --startdatetime 2017-05-06T07:11:15 --delay 1 --endMP 204:152 --enddatetime 2017-05-06T07:50:25 --enforcementcount 0 &gt;&gt;C:\Users\stu\Documents\GitHub\eaglep3-reporting\EC\2017-05-06-refined-times.txt</v>
      </c>
      <c r="AI27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{"issue":{"subject":"","project_id":79,"tracker_id":40,"status_id":1,"priority_id":2,"assigned_to_id":23,"start_date":"2017-05-06","description":"","custom_fields":[{"id":1,"name":"Subdivision","value":"EC"},{"id":4,"name":"Milepost","value":"0.0152"},{"id":17,"name":"Train ID","value":"122-06"},{"id":16,"name":"Locomotive ID","value":"4023"},{"id":130,"name":"Impact","value":""},{"id":150,"name":"Time of Event (Mountain Time)","value":"07:50:25"},{"id":151,"name":"Denver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4023 --day 2017-05-06</v>
      </c>
      <c r="AN27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13:50:25"},{"id":29,"name":"Sharepoint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594</v>
      </c>
      <c r="B28" s="7">
        <v>4004</v>
      </c>
      <c r="C28" s="21" t="s">
        <v>210</v>
      </c>
      <c r="D28" s="21" t="s">
        <v>782</v>
      </c>
      <c r="E28" s="13">
        <v>42861.266250000001</v>
      </c>
      <c r="F28" s="13">
        <v>42861.271087962959</v>
      </c>
      <c r="G28" s="7">
        <v>1</v>
      </c>
      <c r="H28" s="21" t="s">
        <v>783</v>
      </c>
      <c r="I28" s="13">
        <v>42861.297881944447</v>
      </c>
      <c r="J28" s="7">
        <v>0</v>
      </c>
      <c r="K28" s="92" t="str">
        <f t="shared" si="0"/>
        <v>4003/4004</v>
      </c>
      <c r="L28" s="21" t="str">
        <f>VLOOKUP(A28,'Trips&amp;Operators'!$C$1:$G$99999,5,FALSE)</f>
        <v>MAELZER KURT</v>
      </c>
      <c r="M28" s="6">
        <f t="shared" si="1"/>
        <v>2.6793981487571727E-2</v>
      </c>
      <c r="N28" s="7">
        <f t="shared" si="2"/>
        <v>38.583333342103288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NorthBound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-06T05:23:24-0600',mode:absolute,to:'2017-05-06T08:08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8" s="192" t="str">
        <f t="shared" si="6"/>
        <v>N</v>
      </c>
      <c r="X28" s="192">
        <f t="shared" si="7"/>
        <v>1</v>
      </c>
      <c r="Y28" s="192">
        <f t="shared" si="8"/>
        <v>7.6100000000000001E-2</v>
      </c>
      <c r="Z28" s="192">
        <f t="shared" si="9"/>
        <v>23.331199999999999</v>
      </c>
      <c r="AA28" s="192">
        <f t="shared" si="10"/>
        <v>23.255099999999999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0123-06</v>
      </c>
      <c r="AE28" s="80" t="str">
        <f t="shared" si="12"/>
        <v>aws s3 cp s3://rtdc.mdm.uploadarchive.raw/RTDC4004/ "%USERPROFILE%\AppData\Local\Temp\OnboardLogs"\RTDC4004\2017-05-06 --exclude "*" --recursive --include "*20170506*" &amp; "%USERPROFILE%\Documents\GitHub\mrs-test-scripts\Headless Mode &amp; Sideloading\WalkAndUnGZ.bat" "%USERPROFILE%\AppData\Local\Temp\OnboardLogs"\RTDC4004\2017-05-06 &amp; 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</v>
      </c>
      <c r="AF28" s="77" t="str">
        <f t="shared" si="13"/>
        <v>"C:\Program Files (x86)\AstroGrep\AstroGrep.exe" /e /r /s /spath="%USERPROFILE%\AppData\Local\Temp\OnboardLogs" /stypes="app*4004*20170506*"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123-06 --locoid 4004 --swversion DE.1.0.9.0 --startMP 204:761 --initTime 2017-05-06T06:23:24 --startdatetime 2017-05-06T06:30:22 --delay 1 --endMP 204:233312 --enddatetime 2017-05-06T07:08:57 --enforcementcount 0 &gt;&gt;C:\Users\stu\Documents\GitHub\eaglep3-reporting\EC\2017-05-06-refined-times.txt</v>
      </c>
      <c r="AI28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{"issue":{"subject":"","project_id":79,"tracker_id":40,"status_id":1,"priority_id":2,"assigned_to_id":23,"start_date":"2017-05-06","description":"","custom_fields":[{"id":1,"name":"Subdivision","value":"EC"},{"id":4,"name":"Milepost","value":"23.3312"},{"id":17,"name":"Train ID","value":"123-06"},{"id":16,"name":"Locomotive ID","value":"4004"},{"id":130,"name":"Impact","value":""},{"id":150,"name":"Time of Event (Mountain Time)","value":"07:08:57"},{"id":151,"name":"Denver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4004 --day 2017-05-06</v>
      </c>
      <c r="AN28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13:08:57"},{"id":29,"name":"Sharepoint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608</v>
      </c>
      <c r="B29" s="7">
        <v>4003</v>
      </c>
      <c r="C29" s="21" t="s">
        <v>210</v>
      </c>
      <c r="D29" s="21" t="s">
        <v>784</v>
      </c>
      <c r="E29" s="13">
        <v>42861.305335648147</v>
      </c>
      <c r="F29" s="13">
        <v>42861.31009259259</v>
      </c>
      <c r="G29" s="7">
        <v>0</v>
      </c>
      <c r="H29" s="21" t="s">
        <v>381</v>
      </c>
      <c r="I29" s="13">
        <v>42861.338495370372</v>
      </c>
      <c r="J29" s="7">
        <v>0</v>
      </c>
      <c r="K29" s="92" t="str">
        <f t="shared" si="0"/>
        <v>4003/4004</v>
      </c>
      <c r="L29" s="21" t="str">
        <f>VLOOKUP(A29,'Trips&amp;Operators'!$C$1:$G$99999,5,FALSE)</f>
        <v>MAELZER KURT</v>
      </c>
      <c r="M29" s="6">
        <f t="shared" si="1"/>
        <v>2.8402777781593613E-2</v>
      </c>
      <c r="N29" s="7">
        <f t="shared" si="2"/>
        <v>40.900000005494803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Southbound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-06T06:19:41-0600',mode:absolute,to:'2017-05-06T09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23.299399999999999</v>
      </c>
      <c r="Z29" s="192">
        <f t="shared" si="9"/>
        <v>1.43E-2</v>
      </c>
      <c r="AA29" s="192">
        <f t="shared" si="10"/>
        <v>23.2851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0124-06</v>
      </c>
      <c r="AE29" s="80" t="str">
        <f t="shared" si="12"/>
        <v>aws s3 cp s3://rtdc.mdm.uploadarchive.raw/RTDC4003/ "%USERPROFILE%\AppData\Local\Temp\OnboardLogs"\RTDC4003\2017-05-06 --exclude "*" --recursive --include "*20170506*" &amp; "%USERPROFILE%\Documents\GitHub\mrs-test-scripts\Headless Mode &amp; Sideloading\WalkAndUnGZ.bat" "%USERPROFILE%\AppData\Local\Temp\OnboardLogs"\RTDC4003\2017-05-06 &amp; 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</v>
      </c>
      <c r="AF29" s="77" t="str">
        <f t="shared" si="13"/>
        <v>"C:\Program Files (x86)\AstroGrep\AstroGrep.exe" /e /r /s /spath="%USERPROFILE%\AppData\Local\Temp\OnboardLogs" /stypes="app*4003*20170506*" /stext=" 14:.+((SYSTEM_STATE.+slice.+state.+changed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124-06 --locoid 4003 --swversion DE.1.0.9.0 --startMP 204:232994 --initTime 2017-05-06T07:19:41 --startdatetime 2017-05-06T07:26:32 --delay 0 --endMP 204:143 --enddatetime 2017-05-06T08:07:26 --enforcementcount 0 &gt;&gt;C:\Users\stu\Documents\GitHub\eaglep3-reporting\EC\2017-05-06-refined-times.txt</v>
      </c>
      <c r="AI29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{"issue":{"subject":"","project_id":79,"tracker_id":40,"status_id":1,"priority_id":2,"assigned_to_id":23,"start_date":"2017-05-06","description":"","custom_fields":[{"id":1,"name":"Subdivision","value":"EC"},{"id":4,"name":"Milepost","value":"0.0143"},{"id":17,"name":"Train ID","value":"124-06"},{"id":16,"name":"Locomotive ID","value":"4003"},{"id":130,"name":"Impact","value":""},{"id":150,"name":"Time of Event (Mountain Time)","value":"08:07:26"},{"id":151,"name":"Denver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4003 --day 2017-05-06</v>
      </c>
      <c r="AN29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14:07:26"},{"id":29,"name":"Sharepoint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601</v>
      </c>
      <c r="B30" s="7">
        <v>4044</v>
      </c>
      <c r="C30" s="21" t="s">
        <v>210</v>
      </c>
      <c r="D30" s="21" t="s">
        <v>785</v>
      </c>
      <c r="E30" s="13">
        <v>42861.284826388888</v>
      </c>
      <c r="F30" s="13">
        <v>42861.286030092589</v>
      </c>
      <c r="G30" s="7">
        <v>1</v>
      </c>
      <c r="H30" s="21" t="s">
        <v>498</v>
      </c>
      <c r="I30" s="13">
        <v>42861.313414351855</v>
      </c>
      <c r="J30" s="7">
        <v>0</v>
      </c>
      <c r="K30" s="92" t="str">
        <f t="shared" si="0"/>
        <v>4043/4044</v>
      </c>
      <c r="L30" s="21" t="str">
        <f>VLOOKUP(A30,'Trips&amp;Operators'!$C$1:$G$99999,5,FALSE)</f>
        <v>DAVIS WENDY</v>
      </c>
      <c r="M30" s="6">
        <f t="shared" si="1"/>
        <v>2.7384259265090805E-2</v>
      </c>
      <c r="N30" s="7">
        <f t="shared" si="2"/>
        <v>39.433333341730759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NorthBound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-06T05:50:09-0600',mode:absolute,to:'2017-05-06T08:31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0" s="192" t="str">
        <f t="shared" si="6"/>
        <v>N</v>
      </c>
      <c r="X30" s="192">
        <f t="shared" si="7"/>
        <v>1</v>
      </c>
      <c r="Y30" s="192">
        <f t="shared" si="8"/>
        <v>7.8799999999999995E-2</v>
      </c>
      <c r="Z30" s="192">
        <f t="shared" si="9"/>
        <v>23.330500000000001</v>
      </c>
      <c r="AA30" s="192">
        <f t="shared" si="10"/>
        <v>23.2517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0125-06</v>
      </c>
      <c r="AE30" s="80" t="str">
        <f t="shared" si="12"/>
        <v>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 &amp; 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</v>
      </c>
      <c r="AF30" s="77" t="str">
        <f t="shared" si="13"/>
        <v>"C:\Program Files (x86)\AstroGrep\AstroGrep.exe" /e /r /s /spath="%USERPROFILE%\AppData\Local\Temp\OnboardLogs" /stypes="app*4044*20170506*"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125-06 --locoid 4044 --swversion DE.1.0.9.0 --startMP 204:788 --initTime 2017-05-06T06:50:09 --startdatetime 2017-05-06T06:51:53 --delay 1 --endMP 204:233305 --enddatetime 2017-05-06T07:31:19 --enforcementcount 0 &gt;&gt;C:\Users\stu\Documents\GitHub\eaglep3-reporting\EC\2017-05-06-refined-times.txt</v>
      </c>
      <c r="AI30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{"issue":{"subject":"","project_id":79,"tracker_id":40,"status_id":1,"priority_id":2,"assigned_to_id":23,"start_date":"2017-05-06","description":"","custom_fields":[{"id":1,"name":"Subdivision","value":"EC"},{"id":4,"name":"Milepost","value":"23.3305"},{"id":17,"name":"Train ID","value":"125-06"},{"id":16,"name":"Locomotive ID","value":"4044"},{"id":130,"name":"Impact","value":""},{"id":150,"name":"Time of Event (Mountain Time)","value":"07:31:19"},{"id":151,"name":"Denver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4044 --day 2017-05-06</v>
      </c>
      <c r="AN30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13:31:19"},{"id":29,"name":"Sharepoint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611</v>
      </c>
      <c r="B31" s="7">
        <v>4043</v>
      </c>
      <c r="C31" s="21" t="s">
        <v>210</v>
      </c>
      <c r="D31" s="21" t="s">
        <v>399</v>
      </c>
      <c r="E31" s="13">
        <v>42861.317974537036</v>
      </c>
      <c r="F31" s="13">
        <v>42861.320300925923</v>
      </c>
      <c r="G31" s="7">
        <v>1</v>
      </c>
      <c r="H31" s="21" t="s">
        <v>379</v>
      </c>
      <c r="I31" s="13">
        <v>42861.349733796298</v>
      </c>
      <c r="J31" s="7">
        <v>0</v>
      </c>
      <c r="K31" s="92" t="str">
        <f t="shared" si="0"/>
        <v>4043/4044</v>
      </c>
      <c r="L31" s="21" t="str">
        <f>VLOOKUP(A31,'Trips&amp;Operators'!$C$1:$G$99999,5,FALSE)</f>
        <v>DAVIS WENDY</v>
      </c>
      <c r="M31" s="6">
        <f t="shared" si="1"/>
        <v>2.9432870374876074E-2</v>
      </c>
      <c r="N31" s="7">
        <f t="shared" si="2"/>
        <v>42.383333339821547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Southbound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-06T06:37:53-0600',mode:absolute,to:'2017-05-06T09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1" s="192" t="str">
        <f t="shared" si="6"/>
        <v>N</v>
      </c>
      <c r="X31" s="192">
        <f t="shared" si="7"/>
        <v>1</v>
      </c>
      <c r="Y31" s="192">
        <f t="shared" si="8"/>
        <v>23.298400000000001</v>
      </c>
      <c r="Z31" s="192">
        <f t="shared" si="9"/>
        <v>1.4999999999999999E-2</v>
      </c>
      <c r="AA31" s="192">
        <f t="shared" si="10"/>
        <v>23.2834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0126-06</v>
      </c>
      <c r="AE31" s="80" t="str">
        <f t="shared" si="12"/>
        <v>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 &amp; 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</v>
      </c>
      <c r="AF31" s="77" t="str">
        <f t="shared" si="13"/>
        <v>"C:\Program Files (x86)\AstroGrep\AstroGrep.exe" /e /r /s /spath="%USERPROFILE%\AppData\Local\Temp\OnboardLogs" /stypes="app*4043*20170506*" /stext=" 14:.+((SYSTEM_STATE.+slice.+state.+changed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126-06 --locoid 4043 --swversion DE.1.0.9.0 --startMP 204:232984 --initTime 2017-05-06T07:37:53 --startdatetime 2017-05-06T07:41:14 --delay 1 --endMP 204:150 --enddatetime 2017-05-06T08:23:37 --enforcementcount 0 &gt;&gt;C:\Users\stu\Documents\GitHub\eaglep3-reporting\EC\2017-05-06-refined-times.txt</v>
      </c>
      <c r="AI31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{"issue":{"subject":"","project_id":79,"tracker_id":40,"status_id":1,"priority_id":2,"assigned_to_id":23,"start_date":"2017-05-06","description":"","custom_fields":[{"id":1,"name":"Subdivision","value":"EC"},{"id":4,"name":"Milepost","value":"0.015"},{"id":17,"name":"Train ID","value":"126-06"},{"id":16,"name":"Locomotive ID","value":"4043"},{"id":130,"name":"Impact","value":""},{"id":150,"name":"Time of Event (Mountain Time)","value":"08:23:37"},{"id":151,"name":"Denver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4043 --day 2017-05-06</v>
      </c>
      <c r="AN31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14:23:37"},{"id":29,"name":"Sharepoint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517</v>
      </c>
      <c r="B32" s="7">
        <v>4054</v>
      </c>
      <c r="C32" s="21" t="s">
        <v>210</v>
      </c>
      <c r="D32" s="21" t="s">
        <v>431</v>
      </c>
      <c r="E32" s="13">
        <v>42861.28802083333</v>
      </c>
      <c r="F32" s="13">
        <v>42861.292314814818</v>
      </c>
      <c r="G32" s="7">
        <v>1</v>
      </c>
      <c r="H32" s="21" t="s">
        <v>391</v>
      </c>
      <c r="I32" s="13">
        <v>42861.318171296298</v>
      </c>
      <c r="J32" s="7">
        <v>0</v>
      </c>
      <c r="K32" s="92" t="str">
        <f t="shared" si="0"/>
        <v>4053/4054</v>
      </c>
      <c r="L32" s="21" t="str">
        <f>VLOOKUP(A32,'Trips&amp;Operators'!$C$1:$G$99999,5,FALSE)</f>
        <v>SANTIZO D. EDY</v>
      </c>
      <c r="M32" s="6">
        <f t="shared" si="1"/>
        <v>2.5856481479422655E-2</v>
      </c>
      <c r="N32" s="7">
        <f t="shared" si="2"/>
        <v>37.233333330368623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NorthBound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-06T05:54:45-0600',mode:absolute,to:'2017-05-06T08:38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2" s="192" t="str">
        <f t="shared" si="6"/>
        <v>N</v>
      </c>
      <c r="X32" s="192">
        <f t="shared" si="7"/>
        <v>1</v>
      </c>
      <c r="Y32" s="192">
        <f t="shared" si="8"/>
        <v>4.7300000000000002E-2</v>
      </c>
      <c r="Z32" s="192">
        <f t="shared" si="9"/>
        <v>23.331</v>
      </c>
      <c r="AA32" s="192">
        <f t="shared" si="10"/>
        <v>23.2837</v>
      </c>
      <c r="AB32" s="57" t="str">
        <f>VLOOKUP(A32,Enforcements!$C$7:$K$13,8,0)</f>
        <v>Bulletin (2)</v>
      </c>
      <c r="AC32" s="53" t="str">
        <f>VLOOKUP(A32,Enforcements!$C$7:$E$13,3,0)</f>
        <v>GRADE CROSSING</v>
      </c>
      <c r="AD32" s="54" t="str">
        <f t="shared" si="11"/>
        <v>0127-06</v>
      </c>
      <c r="AE32" s="80" t="str">
        <f t="shared" si="12"/>
        <v>aws s3 cp s3://rtdc.mdm.uploadarchive.raw/RTDC4054/ "%USERPROFILE%\AppData\Local\Temp\OnboardLogs"\RTDC4054\2017-05-06 --exclude "*" --recursive --include "*20170506*" &amp; "%USERPROFILE%\Documents\GitHub\mrs-test-scripts\Headless Mode &amp; Sideloading\WalkAndUnGZ.bat" "%USERPROFILE%\AppData\Local\Temp\OnboardLogs"\RTDC4054\2017-05-06 &amp; aws s3 cp s3://rtdc.mdm.uploadarchive.raw/RTDC4054/ "%USERPROFILE%\AppData\Local\Temp\OnboardLogs"\RTDC4054\2017-05-07 --exclude "*" --recursive --include "*20170507*" &amp; "%USERPROFILE%\Documents\GitHub\mrs-test-scripts\Headless Mode &amp; Sideloading\WalkAndUnGZ.bat" "%USERPROFILE%\AppData\Local\Temp\OnboardLogs"\RTDC4054\2017-05-07</v>
      </c>
      <c r="AF32" s="77" t="str">
        <f t="shared" si="13"/>
        <v>"C:\Program Files (x86)\AstroGrep\AstroGrep.exe" /e /r /s /spath="%USERPROFILE%\AppData\Local\Temp\OnboardLogs" /stypes="app*4054*20170506*"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127-06 --locoid 4054 --swversion DE.1.0.9.0 --startMP 204:473 --initTime 2017-05-06T06:54:45 --startdatetime 2017-05-06T07:00:56 --delay 1 --endMP 204:233310 --enddatetime 2017-05-06T07:38:10 --enforcementcount 0 &gt;&gt;C:\Users\stu\Documents\GitHub\eaglep3-reporting\EC\2017-05-06-refined-times.txt</v>
      </c>
      <c r="AI32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{"issue":{"subject":"","project_id":79,"tracker_id":40,"status_id":1,"priority_id":2,"assigned_to_id":23,"start_date":"2017-05-06","description":"","custom_fields":[{"id":1,"name":"Subdivision","value":"EC"},{"id":4,"name":"Milepost","value":"23.331"},{"id":17,"name":"Train ID","value":"127-06"},{"id":16,"name":"Locomotive ID","value":"4054"},{"id":130,"name":"Impact","value":""},{"id":150,"name":"Time of Event (Mountain Time)","value":"07:38:10"},{"id":151,"name":"Denver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4054 --day 2017-05-06</v>
      </c>
      <c r="AN32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13:38:10"},{"id":29,"name":"Sharepoint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612</v>
      </c>
      <c r="B33" s="7">
        <v>4053</v>
      </c>
      <c r="C33" s="21" t="s">
        <v>210</v>
      </c>
      <c r="D33" s="21" t="s">
        <v>463</v>
      </c>
      <c r="E33" s="13">
        <v>42861.319039351853</v>
      </c>
      <c r="F33" s="13">
        <v>42861.330810185187</v>
      </c>
      <c r="G33" s="7">
        <v>1</v>
      </c>
      <c r="H33" s="21" t="s">
        <v>203</v>
      </c>
      <c r="I33" s="13">
        <v>42861.358576388891</v>
      </c>
      <c r="J33" s="7">
        <v>0</v>
      </c>
      <c r="K33" s="92" t="str">
        <f t="shared" si="0"/>
        <v>4053/4054</v>
      </c>
      <c r="L33" s="21" t="str">
        <f>VLOOKUP(A33,'Trips&amp;Operators'!$C$1:$G$99999,5,FALSE)</f>
        <v>SANTIZO D. EDY</v>
      </c>
      <c r="M33" s="6">
        <f t="shared" si="1"/>
        <v>2.7766203704231884E-2</v>
      </c>
      <c r="N33" s="7">
        <f t="shared" si="2"/>
        <v>39.983333334093913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Southbound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-06T06:39:25-0600',mode:absolute,to:'2017-05-06T09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3" s="192" t="str">
        <f t="shared" si="6"/>
        <v>N</v>
      </c>
      <c r="X33" s="192">
        <f t="shared" si="7"/>
        <v>1</v>
      </c>
      <c r="Y33" s="192">
        <f t="shared" si="8"/>
        <v>23.2987</v>
      </c>
      <c r="Z33" s="192">
        <f t="shared" si="9"/>
        <v>1.54E-2</v>
      </c>
      <c r="AA33" s="192">
        <f t="shared" si="10"/>
        <v>23.283300000000001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0128-06</v>
      </c>
      <c r="AE33" s="80" t="str">
        <f t="shared" si="12"/>
        <v>aws s3 cp s3://rtdc.mdm.uploadarchive.raw/RTDC4053/ "%USERPROFILE%\AppData\Local\Temp\OnboardLogs"\RTDC4053\2017-05-06 --exclude "*" --recursive --include "*20170506*" &amp; "%USERPROFILE%\Documents\GitHub\mrs-test-scripts\Headless Mode &amp; Sideloading\WalkAndUnGZ.bat" "%USERPROFILE%\AppData\Local\Temp\OnboardLogs"\RTDC4053\2017-05-06 &amp; aws s3 cp s3://rtdc.mdm.uploadarchive.raw/RTDC4053/ "%USERPROFILE%\AppData\Local\Temp\OnboardLogs"\RTDC4053\2017-05-07 --exclude "*" --recursive --include "*20170507*" &amp; "%USERPROFILE%\Documents\GitHub\mrs-test-scripts\Headless Mode &amp; Sideloading\WalkAndUnGZ.bat" "%USERPROFILE%\AppData\Local\Temp\OnboardLogs"\RTDC4053\2017-05-07</v>
      </c>
      <c r="AF33" s="77" t="str">
        <f t="shared" si="13"/>
        <v>"C:\Program Files (x86)\AstroGrep\AstroGrep.exe" /e /r /s /spath="%USERPROFILE%\AppData\Local\Temp\OnboardLogs" /stypes="app*4053*20170506*" /stext=" 14:.+((SYSTEM_STATE.+slice.+state.+changed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128-06 --locoid 4053 --swversion DE.1.0.9.0 --startMP 204:232987 --initTime 2017-05-06T07:39:25 --startdatetime 2017-05-06T07:56:22 --delay 1 --endMP 204:154 --enddatetime 2017-05-06T08:36:21 --enforcementcount 0 &gt;&gt;C:\Users\stu\Documents\GitHub\eaglep3-reporting\EC\2017-05-06-refined-times.txt</v>
      </c>
      <c r="AI33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{"issue":{"subject":"","project_id":79,"tracker_id":40,"status_id":1,"priority_id":2,"assigned_to_id":23,"start_date":"2017-05-06","description":"","custom_fields":[{"id":1,"name":"Subdivision","value":"EC"},{"id":4,"name":"Milepost","value":"0.0154"},{"id":17,"name":"Train ID","value":"128-06"},{"id":16,"name":"Locomotive ID","value":"4053"},{"id":130,"name":"Impact","value":""},{"id":150,"name":"Time of Event (Mountain Time)","value":"08:36:21"},{"id":151,"name":"Denver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4053 --day 2017-05-06</v>
      </c>
      <c r="AN33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14:36:21"},{"id":29,"name":"Sharepoint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607</v>
      </c>
      <c r="B34" s="7">
        <v>4006</v>
      </c>
      <c r="C34" s="21" t="s">
        <v>210</v>
      </c>
      <c r="D34" s="21" t="s">
        <v>393</v>
      </c>
      <c r="E34" s="13">
        <v>42861.301388888889</v>
      </c>
      <c r="F34" s="13">
        <v>42861.302916666667</v>
      </c>
      <c r="G34" s="7">
        <v>1</v>
      </c>
      <c r="H34" s="21" t="s">
        <v>483</v>
      </c>
      <c r="I34" s="13">
        <v>42861.329085648147</v>
      </c>
      <c r="J34" s="7">
        <v>0</v>
      </c>
      <c r="K34" s="92" t="str">
        <f t="shared" si="0"/>
        <v>4005/4006</v>
      </c>
      <c r="L34" s="21" t="str">
        <f>VLOOKUP(A34,'Trips&amp;Operators'!$C$1:$G$99999,5,FALSE)</f>
        <v>LOZA FIDEL</v>
      </c>
      <c r="M34" s="6">
        <f t="shared" si="1"/>
        <v>2.6168981479713693E-2</v>
      </c>
      <c r="N34" s="7">
        <f t="shared" si="2"/>
        <v>37.683333330787718</v>
      </c>
      <c r="O34" s="7"/>
      <c r="P34" s="7"/>
      <c r="Q34" s="22"/>
      <c r="R34" s="190"/>
      <c r="S34" s="196">
        <f t="shared" si="3"/>
        <v>1</v>
      </c>
      <c r="T34" s="190" t="str">
        <f t="shared" si="4"/>
        <v>NorthBound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-06T06:14:00-0600',mode:absolute,to:'2017-05-06T08:53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4" s="192" t="str">
        <f t="shared" si="6"/>
        <v>N</v>
      </c>
      <c r="X34" s="192">
        <f t="shared" si="7"/>
        <v>1</v>
      </c>
      <c r="Y34" s="192">
        <f t="shared" si="8"/>
        <v>4.53E-2</v>
      </c>
      <c r="Z34" s="192">
        <f t="shared" si="9"/>
        <v>23.330100000000002</v>
      </c>
      <c r="AA34" s="192">
        <f t="shared" si="10"/>
        <v>23.284800000000001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0129-06</v>
      </c>
      <c r="AE34" s="80" t="str">
        <f t="shared" si="12"/>
        <v>aws s3 cp s3://rtdc.mdm.uploadarchive.raw/RTDC4006/ "%USERPROFILE%\AppData\Local\Temp\OnboardLogs"\RTDC4006\2017-05-06 --exclude "*" --recursive --include "*20170506*" &amp; "%USERPROFILE%\Documents\GitHub\mrs-test-scripts\Headless Mode &amp; Sideloading\WalkAndUnGZ.bat" "%USERPROFILE%\AppData\Local\Temp\OnboardLogs"\RTDC4006\2017-05-06 &amp; 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</v>
      </c>
      <c r="AF34" s="77" t="str">
        <f t="shared" si="13"/>
        <v>"C:\Program Files (x86)\AstroGrep\AstroGrep.exe" /e /r /s /spath="%USERPROFILE%\AppData\Local\Temp\OnboardLogs" /stypes="app*4006*20170506*"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129-06 --locoid 4006 --swversion DE.1.0.9.0 --startMP 204:453 --initTime 2017-05-06T07:14:00 --startdatetime 2017-05-06T07:16:12 --delay 1 --endMP 204:233301 --enddatetime 2017-05-06T07:53:53 --enforcementcount 0 &gt;&gt;C:\Users\stu\Documents\GitHub\eaglep3-reporting\EC\2017-05-06-refined-times.txt</v>
      </c>
      <c r="AI34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{"issue":{"subject":"","project_id":79,"tracker_id":40,"status_id":1,"priority_id":2,"assigned_to_id":23,"start_date":"2017-05-06","description":"","custom_fields":[{"id":1,"name":"Subdivision","value":"EC"},{"id":4,"name":"Milepost","value":"23.3301"},{"id":17,"name":"Train ID","value":"129-06"},{"id":16,"name":"Locomotive ID","value":"4006"},{"id":130,"name":"Impact","value":""},{"id":150,"name":"Time of Event (Mountain Time)","value":"07:53:53"},{"id":151,"name":"Denver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4006 --day 2017-05-06</v>
      </c>
      <c r="AN34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13:53:53"},{"id":29,"name":"Sharepoint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616</v>
      </c>
      <c r="B35" s="7">
        <v>4005</v>
      </c>
      <c r="C35" s="21" t="s">
        <v>210</v>
      </c>
      <c r="D35" s="21" t="s">
        <v>485</v>
      </c>
      <c r="E35" s="13">
        <v>42861.338263888887</v>
      </c>
      <c r="F35" s="13">
        <v>42861.341192129628</v>
      </c>
      <c r="G35" s="7">
        <v>2</v>
      </c>
      <c r="H35" s="21" t="s">
        <v>197</v>
      </c>
      <c r="I35" s="13">
        <v>42861.368761574071</v>
      </c>
      <c r="J35" s="7">
        <v>0</v>
      </c>
      <c r="K35" s="92" t="str">
        <f t="shared" si="0"/>
        <v>4005/4006</v>
      </c>
      <c r="L35" s="21" t="str">
        <f>VLOOKUP(A35,'Trips&amp;Operators'!$C$1:$G$99999,5,FALSE)</f>
        <v>LOZA FIDEL</v>
      </c>
      <c r="M35" s="6">
        <f t="shared" si="1"/>
        <v>2.7569444442633539E-2</v>
      </c>
      <c r="N35" s="7">
        <f t="shared" si="2"/>
        <v>39.699999997392297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Southbound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-06T07:07:06-0600',mode:absolute,to:'2017-05-06T09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5" s="192" t="str">
        <f t="shared" si="6"/>
        <v>N</v>
      </c>
      <c r="X35" s="192">
        <f t="shared" si="7"/>
        <v>1</v>
      </c>
      <c r="Y35" s="192">
        <f t="shared" si="8"/>
        <v>23.2988</v>
      </c>
      <c r="Z35" s="192">
        <f t="shared" si="9"/>
        <v>1.52E-2</v>
      </c>
      <c r="AA35" s="192">
        <f t="shared" si="10"/>
        <v>23.2836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0130-06</v>
      </c>
      <c r="AE35" s="80" t="str">
        <f t="shared" si="12"/>
        <v>aws s3 cp s3://rtdc.mdm.uploadarchive.raw/RTDC4005/ "%USERPROFILE%\AppData\Local\Temp\OnboardLogs"\RTDC4005\2017-05-06 --exclude "*" --recursive --include "*20170506*" &amp; "%USERPROFILE%\Documents\GitHub\mrs-test-scripts\Headless Mode &amp; Sideloading\WalkAndUnGZ.bat" "%USERPROFILE%\AppData\Local\Temp\OnboardLogs"\RTDC4005\2017-05-06 &amp; 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</v>
      </c>
      <c r="AF35" s="77" t="str">
        <f t="shared" si="13"/>
        <v>"C:\Program Files (x86)\AstroGrep\AstroGrep.exe" /e /r /s /spath="%USERPROFILE%\AppData\Local\Temp\OnboardLogs" /stypes="app*4005*20170506*" /stext=" 14:.+((SYSTEM_STATE.+slice.+state.+changed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130-06 --locoid 4005 --swversion DE.1.0.9.0 --startMP 204:232988 --initTime 2017-05-06T08:07:06 --startdatetime 2017-05-06T08:11:19 --delay 2 --endMP 204:152 --enddatetime 2017-05-06T08:51:01 --enforcementcount 0 &gt;&gt;C:\Users\stu\Documents\GitHub\eaglep3-reporting\EC\2017-05-06-refined-times.txt</v>
      </c>
      <c r="AI35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{"issue":{"subject":"","project_id":79,"tracker_id":40,"status_id":1,"priority_id":2,"assigned_to_id":23,"start_date":"2017-05-06","description":"","custom_fields":[{"id":1,"name":"Subdivision","value":"EC"},{"id":4,"name":"Milepost","value":"0.0152"},{"id":17,"name":"Train ID","value":"130-06"},{"id":16,"name":"Locomotive ID","value":"4005"},{"id":130,"name":"Impact","value":""},{"id":150,"name":"Time of Event (Mountain Time)","value":"08:51:01"},{"id":151,"name":"Denver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4005 --day 2017-05-06</v>
      </c>
      <c r="AN35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14:51:01"},{"id":29,"name":"Sharepoint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609</v>
      </c>
      <c r="B36" s="7">
        <v>4002</v>
      </c>
      <c r="C36" s="21" t="s">
        <v>210</v>
      </c>
      <c r="D36" s="21" t="s">
        <v>429</v>
      </c>
      <c r="E36" s="13">
        <v>42861.309108796297</v>
      </c>
      <c r="F36" s="13">
        <v>42861.312789351854</v>
      </c>
      <c r="G36" s="7">
        <v>1</v>
      </c>
      <c r="H36" s="21" t="s">
        <v>453</v>
      </c>
      <c r="I36" s="13">
        <v>42861.340185185189</v>
      </c>
      <c r="J36" s="7">
        <v>0</v>
      </c>
      <c r="K36" s="92" t="str">
        <f t="shared" si="0"/>
        <v>4001/4002</v>
      </c>
      <c r="L36" s="21" t="str">
        <f>VLOOKUP(A36,'Trips&amp;Operators'!$C$1:$G$99999,5,FALSE)</f>
        <v>BADERTSCHER DIANE</v>
      </c>
      <c r="M36" s="6">
        <f t="shared" si="1"/>
        <v>2.7395833334594499E-2</v>
      </c>
      <c r="N36" s="7">
        <f t="shared" si="2"/>
        <v>39.450000001816079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NorthBound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-06T06:25:07-0600',mode:absolute,to:'2017-05-06T09:09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6" s="192" t="str">
        <f t="shared" si="6"/>
        <v>N</v>
      </c>
      <c r="X36" s="192">
        <f t="shared" si="7"/>
        <v>1</v>
      </c>
      <c r="Y36" s="192">
        <f t="shared" si="8"/>
        <v>4.3700000000000003E-2</v>
      </c>
      <c r="Z36" s="192">
        <f t="shared" si="9"/>
        <v>23.3306</v>
      </c>
      <c r="AA36" s="192">
        <f t="shared" si="10"/>
        <v>23.286899999999999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0131-06</v>
      </c>
      <c r="AE36" s="80" t="str">
        <f t="shared" si="12"/>
        <v>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 &amp; aws s3 cp s3://rtdc.mdm.uploadarchive.raw/RTDC4002/ "%USERPROFILE%\AppData\Local\Temp\OnboardLogs"\RTDC4002\2017-05-07 --exclude "*" --recursive --include "*20170507*" &amp; "%USERPROFILE%\Documents\GitHub\mrs-test-scripts\Headless Mode &amp; Sideloading\WalkAndUnGZ.bat" "%USERPROFILE%\AppData\Local\Temp\OnboardLogs"\RTDC4002\2017-05-07</v>
      </c>
      <c r="AF36" s="77" t="str">
        <f t="shared" si="13"/>
        <v>"C:\Program Files (x86)\AstroGrep\AstroGrep.exe" /e /r /s /spath="%USERPROFILE%\AppData\Local\Temp\OnboardLogs" /stypes="app*4002*20170506*"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131-06 --locoid 4002 --swversion DE.1.0.9.0 --startMP 204:437 --initTime 2017-05-06T07:25:07 --startdatetime 2017-05-06T07:30:25 --delay 1 --endMP 204:233306 --enddatetime 2017-05-06T08:09:52 --enforcementcount 0 &gt;&gt;C:\Users\stu\Documents\GitHub\eaglep3-reporting\EC\2017-05-06-refined-times.txt</v>
      </c>
      <c r="AI36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{"issue":{"subject":"","project_id":79,"tracker_id":40,"status_id":1,"priority_id":2,"assigned_to_id":23,"start_date":"2017-05-06","description":"","custom_fields":[{"id":1,"name":"Subdivision","value":"EC"},{"id":4,"name":"Milepost","value":"23.3306"},{"id":17,"name":"Train ID","value":"131-06"},{"id":16,"name":"Locomotive ID","value":"4002"},{"id":130,"name":"Impact","value":""},{"id":150,"name":"Time of Event (Mountain Time)","value":"08:09:52"},{"id":151,"name":"Denver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4002 --day 2017-05-06</v>
      </c>
      <c r="AN36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14:09:52"},{"id":29,"name":"Sharepoint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618</v>
      </c>
      <c r="B37" s="7">
        <v>4001</v>
      </c>
      <c r="C37" s="21" t="s">
        <v>210</v>
      </c>
      <c r="D37" s="21" t="s">
        <v>784</v>
      </c>
      <c r="E37" s="13">
        <v>42861.347013888888</v>
      </c>
      <c r="F37" s="13">
        <v>42861.351574074077</v>
      </c>
      <c r="G37" s="7">
        <v>1</v>
      </c>
      <c r="H37" s="21" t="s">
        <v>786</v>
      </c>
      <c r="I37" s="13">
        <v>42861.380023148151</v>
      </c>
      <c r="J37" s="7">
        <v>0</v>
      </c>
      <c r="K37" s="92" t="str">
        <f t="shared" si="0"/>
        <v>4001/4002</v>
      </c>
      <c r="L37" s="21" t="str">
        <f>VLOOKUP(A37,'Trips&amp;Operators'!$C$1:$G$99999,5,FALSE)</f>
        <v>BADERTSCHER DIANE</v>
      </c>
      <c r="M37" s="6">
        <f t="shared" si="1"/>
        <v>2.8449074074160308E-2</v>
      </c>
      <c r="N37" s="7">
        <f t="shared" si="2"/>
        <v>40.966666666790843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Southbound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-06T07:19:42-0600',mode:absolute,to:'2017-05-06T10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7" s="192" t="str">
        <f t="shared" si="6"/>
        <v>N</v>
      </c>
      <c r="X37" s="192">
        <f t="shared" si="7"/>
        <v>1</v>
      </c>
      <c r="Y37" s="192">
        <f t="shared" si="8"/>
        <v>23.299399999999999</v>
      </c>
      <c r="Z37" s="192">
        <f t="shared" si="9"/>
        <v>1.3599999999999999E-2</v>
      </c>
      <c r="AA37" s="192">
        <f t="shared" si="10"/>
        <v>23.285799999999998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0132-06</v>
      </c>
      <c r="AE37" s="80" t="str">
        <f t="shared" si="12"/>
        <v>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 &amp; aws s3 cp s3://rtdc.mdm.uploadarchive.raw/RTDC4001/ "%USERPROFILE%\AppData\Local\Temp\OnboardLogs"\RTDC4001\2017-05-07 --exclude "*" --recursive --include "*20170507*" &amp; "%USERPROFILE%\Documents\GitHub\mrs-test-scripts\Headless Mode &amp; Sideloading\WalkAndUnGZ.bat" "%USERPROFILE%\AppData\Local\Temp\OnboardLogs"\RTDC4001\2017-05-07</v>
      </c>
      <c r="AF37" s="77" t="str">
        <f t="shared" si="13"/>
        <v>"C:\Program Files (x86)\AstroGrep\AstroGrep.exe" /e /r /s /spath="%USERPROFILE%\AppData\Local\Temp\OnboardLogs" /stypes="app*4001*20170506*" /stext=" 15:.+((SYSTEM_STATE.+slice.+state.+changed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132-06 --locoid 4001 --swversion DE.1.0.9.0 --startMP 204:232994 --initTime 2017-05-06T08:19:42 --startdatetime 2017-05-06T08:26:16 --delay 1 --endMP 204:136 --enddatetime 2017-05-06T09:07:14 --enforcementcount 0 &gt;&gt;C:\Users\stu\Documents\GitHub\eaglep3-reporting\EC\2017-05-06-refined-times.txt</v>
      </c>
      <c r="AI37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{"issue":{"subject":"","project_id":79,"tracker_id":40,"status_id":1,"priority_id":2,"assigned_to_id":23,"start_date":"2017-05-06","description":"","custom_fields":[{"id":1,"name":"Subdivision","value":"EC"},{"id":4,"name":"Milepost","value":"0.0136"},{"id":17,"name":"Train ID","value":"132-06"},{"id":16,"name":"Locomotive ID","value":"4001"},{"id":130,"name":"Impact","value":""},{"id":150,"name":"Time of Event (Mountain Time)","value":"09:07:14"},{"id":151,"name":"Denver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4001 --day 2017-05-06</v>
      </c>
      <c r="AN37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15:07:14"},{"id":29,"name":"Sharepoint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613</v>
      </c>
      <c r="B38" s="7">
        <v>4010</v>
      </c>
      <c r="C38" s="21" t="s">
        <v>210</v>
      </c>
      <c r="D38" s="21" t="s">
        <v>393</v>
      </c>
      <c r="E38" s="13">
        <v>42861.319710648146</v>
      </c>
      <c r="F38" s="13">
        <v>42861.323113425926</v>
      </c>
      <c r="G38" s="7">
        <v>1</v>
      </c>
      <c r="H38" s="21" t="s">
        <v>461</v>
      </c>
      <c r="I38" s="13">
        <v>42861.348645833335</v>
      </c>
      <c r="J38" s="7">
        <v>0</v>
      </c>
      <c r="K38" s="92" t="str">
        <f t="shared" si="0"/>
        <v>4009/4010</v>
      </c>
      <c r="L38" s="21" t="str">
        <f>VLOOKUP(A38,'Trips&amp;Operators'!$C$1:$G$99999,5,FALSE)</f>
        <v>GEBRETEKLE DAGNEW</v>
      </c>
      <c r="M38" s="6">
        <f t="shared" si="1"/>
        <v>2.5532407409627922E-2</v>
      </c>
      <c r="N38" s="7">
        <f t="shared" si="2"/>
        <v>36.766666669864208</v>
      </c>
      <c r="O38" s="7"/>
      <c r="P38" s="7"/>
      <c r="Q38" s="22"/>
      <c r="R38" s="190"/>
      <c r="S38" s="196">
        <f t="shared" si="3"/>
        <v>1</v>
      </c>
      <c r="T38" s="190" t="str">
        <f t="shared" si="4"/>
        <v>NorthBound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-06T06:40:23-0600',mode:absolute,to:'2017-05-06T09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8" s="192" t="str">
        <f t="shared" si="6"/>
        <v>N</v>
      </c>
      <c r="X38" s="192">
        <f t="shared" si="7"/>
        <v>1</v>
      </c>
      <c r="Y38" s="192">
        <f t="shared" si="8"/>
        <v>4.53E-2</v>
      </c>
      <c r="Z38" s="192">
        <f t="shared" si="9"/>
        <v>23.331099999999999</v>
      </c>
      <c r="AA38" s="192">
        <f t="shared" si="10"/>
        <v>23.285799999999998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0133-06</v>
      </c>
      <c r="AE38" s="80" t="str">
        <f t="shared" si="12"/>
        <v>aws s3 cp s3://rtdc.mdm.uploadarchive.raw/RTDC4010/ "%USERPROFILE%\AppData\Local\Temp\OnboardLogs"\RTDC4010\2017-05-06 --exclude "*" --recursive --include "*20170506*" &amp; "%USERPROFILE%\Documents\GitHub\mrs-test-scripts\Headless Mode &amp; Sideloading\WalkAndUnGZ.bat" "%USERPROFILE%\AppData\Local\Temp\OnboardLogs"\RTDC4010\2017-05-06 &amp; aws s3 cp s3://rtdc.mdm.uploadarchive.raw/RTDC4010/ "%USERPROFILE%\AppData\Local\Temp\OnboardLogs"\RTDC4010\2017-05-07 --exclude "*" --recursive --include "*20170507*" &amp; "%USERPROFILE%\Documents\GitHub\mrs-test-scripts\Headless Mode &amp; Sideloading\WalkAndUnGZ.bat" "%USERPROFILE%\AppData\Local\Temp\OnboardLogs"\RTDC4010\2017-05-07</v>
      </c>
      <c r="AF38" s="77" t="str">
        <f t="shared" si="13"/>
        <v>"C:\Program Files (x86)\AstroGrep\AstroGrep.exe" /e /r /s /spath="%USERPROFILE%\AppData\Local\Temp\OnboardLogs" /stypes="app*4010*20170506*"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133-06 --locoid 4010 --swversion DE.1.0.9.0 --startMP 204:453 --initTime 2017-05-06T07:40:23 --startdatetime 2017-05-06T07:45:17 --delay 1 --endMP 204:233311 --enddatetime 2017-05-06T08:22:03 --enforcementcount 0 &gt;&gt;C:\Users\stu\Documents\GitHub\eaglep3-reporting\EC\2017-05-06-refined-times.txt</v>
      </c>
      <c r="AI38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{"issue":{"subject":"","project_id":79,"tracker_id":40,"status_id":1,"priority_id":2,"assigned_to_id":23,"start_date":"2017-05-06","description":"","custom_fields":[{"id":1,"name":"Subdivision","value":"EC"},{"id":4,"name":"Milepost","value":"23.3311"},{"id":17,"name":"Train ID","value":"133-06"},{"id":16,"name":"Locomotive ID","value":"4010"},{"id":130,"name":"Impact","value":""},{"id":150,"name":"Time of Event (Mountain Time)","value":"08:22:03"},{"id":151,"name":"Denver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4010 --day 2017-05-06</v>
      </c>
      <c r="AN38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14:22:03"},{"id":29,"name":"Sharepoint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621</v>
      </c>
      <c r="B39" s="7">
        <v>4009</v>
      </c>
      <c r="C39" s="21" t="s">
        <v>210</v>
      </c>
      <c r="D39" s="21" t="s">
        <v>784</v>
      </c>
      <c r="E39" s="13">
        <v>42861.359317129631</v>
      </c>
      <c r="F39" s="13">
        <v>42861.361990740741</v>
      </c>
      <c r="G39" s="7">
        <v>2</v>
      </c>
      <c r="H39" s="21" t="s">
        <v>372</v>
      </c>
      <c r="I39" s="13">
        <v>42861.389293981483</v>
      </c>
      <c r="J39" s="7">
        <v>0</v>
      </c>
      <c r="K39" s="92" t="str">
        <f t="shared" si="0"/>
        <v>4009/4010</v>
      </c>
      <c r="L39" s="21" t="str">
        <f>VLOOKUP(A39,'Trips&amp;Operators'!$C$1:$G$99999,5,FALSE)</f>
        <v>GEBRETEKLE DAGNEW</v>
      </c>
      <c r="M39" s="6">
        <f t="shared" si="1"/>
        <v>2.7303240742185153E-2</v>
      </c>
      <c r="N39" s="7">
        <f t="shared" si="2"/>
        <v>39.31666666874662</v>
      </c>
      <c r="O39" s="7"/>
      <c r="P39" s="7"/>
      <c r="Q39" s="22"/>
      <c r="R39" s="190"/>
      <c r="S39" s="196">
        <f t="shared" si="3"/>
        <v>1</v>
      </c>
      <c r="T39" s="190" t="str">
        <f t="shared" si="4"/>
        <v>Southbound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-06T07:37:25-0600',mode:absolute,to:'2017-05-06T10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9" s="192" t="str">
        <f t="shared" si="6"/>
        <v>N</v>
      </c>
      <c r="X39" s="192">
        <f t="shared" si="7"/>
        <v>1</v>
      </c>
      <c r="Y39" s="192">
        <f t="shared" si="8"/>
        <v>23.299399999999999</v>
      </c>
      <c r="Z39" s="192">
        <f t="shared" si="9"/>
        <v>1.6E-2</v>
      </c>
      <c r="AA39" s="192">
        <f t="shared" si="10"/>
        <v>23.2834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0134-06</v>
      </c>
      <c r="AE39" s="80" t="str">
        <f t="shared" si="12"/>
        <v>aws s3 cp s3://rtdc.mdm.uploadarchive.raw/RTDC4009/ "%USERPROFILE%\AppData\Local\Temp\OnboardLogs"\RTDC4009\2017-05-06 --exclude "*" --recursive --include "*20170506*" &amp; "%USERPROFILE%\Documents\GitHub\mrs-test-scripts\Headless Mode &amp; Sideloading\WalkAndUnGZ.bat" "%USERPROFILE%\AppData\Local\Temp\OnboardLogs"\RTDC4009\2017-05-06 &amp; aws s3 cp s3://rtdc.mdm.uploadarchive.raw/RTDC4009/ "%USERPROFILE%\AppData\Local\Temp\OnboardLogs"\RTDC4009\2017-05-07 --exclude "*" --recursive --include "*20170507*" &amp; "%USERPROFILE%\Documents\GitHub\mrs-test-scripts\Headless Mode &amp; Sideloading\WalkAndUnGZ.bat" "%USERPROFILE%\AppData\Local\Temp\OnboardLogs"\RTDC4009\2017-05-07</v>
      </c>
      <c r="AF39" s="77" t="str">
        <f t="shared" si="13"/>
        <v>"C:\Program Files (x86)\AstroGrep\AstroGrep.exe" /e /r /s /spath="%USERPROFILE%\AppData\Local\Temp\OnboardLogs" /stypes="app*4009*20170506*" /stext=" 15:.+((SYSTEM_STATE.+slice.+state.+changed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134-06 --locoid 4009 --swversion DE.1.0.9.0 --startMP 204:232994 --initTime 2017-05-06T08:37:25 --startdatetime 2017-05-06T08:41:16 --delay 2 --endMP 204:160 --enddatetime 2017-05-06T09:20:35 --enforcementcount 0 &gt;&gt;C:\Users\stu\Documents\GitHub\eaglep3-reporting\EC\2017-05-06-refined-times.txt</v>
      </c>
      <c r="AI39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{"issue":{"subject":"","project_id":79,"tracker_id":40,"status_id":1,"priority_id":2,"assigned_to_id":23,"start_date":"2017-05-06","description":"","custom_fields":[{"id":1,"name":"Subdivision","value":"EC"},{"id":4,"name":"Milepost","value":"0.016"},{"id":17,"name":"Train ID","value":"134-06"},{"id":16,"name":"Locomotive ID","value":"4009"},{"id":130,"name":"Impact","value":""},{"id":150,"name":"Time of Event (Mountain Time)","value":"09:20:35"},{"id":151,"name":"Denver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4009 --day 2017-05-06</v>
      </c>
      <c r="AN39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15:20:35"},{"id":29,"name":"Sharepoint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614</v>
      </c>
      <c r="B40" s="7">
        <v>4024</v>
      </c>
      <c r="C40" s="21" t="s">
        <v>210</v>
      </c>
      <c r="D40" s="21" t="s">
        <v>494</v>
      </c>
      <c r="E40" s="13">
        <v>42861.328645833331</v>
      </c>
      <c r="F40" s="13">
        <v>42861.33353009259</v>
      </c>
      <c r="G40" s="7">
        <v>1</v>
      </c>
      <c r="H40" s="21" t="s">
        <v>787</v>
      </c>
      <c r="I40" s="13">
        <v>42861.358935185184</v>
      </c>
      <c r="J40" s="7">
        <v>0</v>
      </c>
      <c r="K40" s="92" t="str">
        <f t="shared" si="0"/>
        <v>4023/4024</v>
      </c>
      <c r="L40" s="21" t="str">
        <f>VLOOKUP(A40,'Trips&amp;Operators'!$C$1:$G$99999,5,FALSE)</f>
        <v>ROBINSON KADDIBA</v>
      </c>
      <c r="M40" s="6">
        <f t="shared" si="1"/>
        <v>2.5405092594155576E-2</v>
      </c>
      <c r="N40" s="7">
        <f t="shared" si="2"/>
        <v>36.58333333558403</v>
      </c>
      <c r="O40" s="7"/>
      <c r="P40" s="7"/>
      <c r="Q40" s="22"/>
      <c r="R40" s="190"/>
      <c r="S40" s="196">
        <f t="shared" si="3"/>
        <v>1</v>
      </c>
      <c r="T40" s="190" t="str">
        <f t="shared" si="4"/>
        <v>NorthBound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-06T06:53:15-0600',mode:absolute,to:'2017-05-06T09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0" s="192" t="str">
        <f t="shared" si="6"/>
        <v>N</v>
      </c>
      <c r="X40" s="192">
        <f t="shared" si="7"/>
        <v>1</v>
      </c>
      <c r="Y40" s="192">
        <f t="shared" si="8"/>
        <v>4.5499999999999999E-2</v>
      </c>
      <c r="Z40" s="192">
        <f t="shared" si="9"/>
        <v>23.332899999999999</v>
      </c>
      <c r="AA40" s="192">
        <f t="shared" si="10"/>
        <v>23.287399999999998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0135-06</v>
      </c>
      <c r="AE40" s="80" t="str">
        <f t="shared" si="12"/>
        <v>aws s3 cp s3://rtdc.mdm.uploadarchive.raw/RTDC4024/ "%USERPROFILE%\AppData\Local\Temp\OnboardLogs"\RTDC4024\2017-05-06 --exclude "*" --recursive --include "*20170506*" &amp; "%USERPROFILE%\Documents\GitHub\mrs-test-scripts\Headless Mode &amp; Sideloading\WalkAndUnGZ.bat" "%USERPROFILE%\AppData\Local\Temp\OnboardLogs"\RTDC4024\2017-05-06 &amp; aws s3 cp s3://rtdc.mdm.uploadarchive.raw/RTDC4024/ "%USERPROFILE%\AppData\Local\Temp\OnboardLogs"\RTDC4024\2017-05-07 --exclude "*" --recursive --include "*20170507*" &amp; "%USERPROFILE%\Documents\GitHub\mrs-test-scripts\Headless Mode &amp; Sideloading\WalkAndUnGZ.bat" "%USERPROFILE%\AppData\Local\Temp\OnboardLogs"\RTDC4024\2017-05-07</v>
      </c>
      <c r="AF40" s="77" t="str">
        <f t="shared" si="13"/>
        <v>"C:\Program Files (x86)\AstroGrep\AstroGrep.exe" /e /r /s /spath="%USERPROFILE%\AppData\Local\Temp\OnboardLogs" /stypes="app*4024*20170506*"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135-06 --locoid 4024 --swversion DE.1.0.9.0 --startMP 204:455 --initTime 2017-05-06T07:53:15 --startdatetime 2017-05-06T08:00:17 --delay 1 --endMP 204:233329 --enddatetime 2017-05-06T08:36:52 --enforcementcount 0 &gt;&gt;C:\Users\stu\Documents\GitHub\eaglep3-reporting\EC\2017-05-06-refined-times.txt</v>
      </c>
      <c r="AI40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{"issue":{"subject":"","project_id":79,"tracker_id":40,"status_id":1,"priority_id":2,"assigned_to_id":23,"start_date":"2017-05-06","description":"","custom_fields":[{"id":1,"name":"Subdivision","value":"EC"},{"id":4,"name":"Milepost","value":"23.3329"},{"id":17,"name":"Train ID","value":"135-06"},{"id":16,"name":"Locomotive ID","value":"4024"},{"id":130,"name":"Impact","value":""},{"id":150,"name":"Time of Event (Mountain Time)","value":"08:36:52"},{"id":151,"name":"Denver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4024 --day 2017-05-06</v>
      </c>
      <c r="AN40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14:36:52"},{"id":29,"name":"Sharepoint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519</v>
      </c>
      <c r="B41" s="7">
        <v>4023</v>
      </c>
      <c r="C41" s="21" t="s">
        <v>210</v>
      </c>
      <c r="D41" s="21" t="s">
        <v>788</v>
      </c>
      <c r="E41" s="13">
        <v>42861.364363425928</v>
      </c>
      <c r="F41" s="13">
        <v>42861.372395833336</v>
      </c>
      <c r="G41" s="7">
        <v>1</v>
      </c>
      <c r="H41" s="21" t="s">
        <v>786</v>
      </c>
      <c r="I41" s="13">
        <v>42861.400347222225</v>
      </c>
      <c r="J41" s="7">
        <v>0</v>
      </c>
      <c r="K41" s="92" t="str">
        <f t="shared" si="0"/>
        <v>4023/4024</v>
      </c>
      <c r="L41" s="21" t="str">
        <f>VLOOKUP(A41,'Trips&amp;Operators'!$C$1:$G$99999,5,FALSE)</f>
        <v>ROBINSON KADDIBA</v>
      </c>
      <c r="M41" s="6">
        <f t="shared" si="1"/>
        <v>2.7951388889050577E-2</v>
      </c>
      <c r="N41" s="7">
        <f t="shared" si="2"/>
        <v>40.250000000232831</v>
      </c>
      <c r="O41" s="7"/>
      <c r="P41" s="7"/>
      <c r="Q41" s="22"/>
      <c r="R41" s="190"/>
      <c r="S41" s="196">
        <f t="shared" si="3"/>
        <v>1</v>
      </c>
      <c r="T41" s="190" t="str">
        <f t="shared" si="4"/>
        <v>Southbound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-06T07:44:41-0600',mode:absolute,to:'2017-05-06T10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1" s="192" t="str">
        <f t="shared" si="6"/>
        <v>N</v>
      </c>
      <c r="X41" s="192">
        <f t="shared" si="7"/>
        <v>1</v>
      </c>
      <c r="Y41" s="192">
        <f t="shared" si="8"/>
        <v>23.3017</v>
      </c>
      <c r="Z41" s="192">
        <f t="shared" si="9"/>
        <v>1.3599999999999999E-2</v>
      </c>
      <c r="AA41" s="192">
        <f t="shared" si="10"/>
        <v>23.2881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0136-06</v>
      </c>
      <c r="AE41" s="80" t="str">
        <f t="shared" si="12"/>
        <v>aws s3 cp s3://rtdc.mdm.uploadarchive.raw/RTDC4023/ "%USERPROFILE%\AppData\Local\Temp\OnboardLogs"\RTDC4023\2017-05-06 --exclude "*" --recursive --include "*20170506*" &amp; "%USERPROFILE%\Documents\GitHub\mrs-test-scripts\Headless Mode &amp; Sideloading\WalkAndUnGZ.bat" "%USERPROFILE%\AppData\Local\Temp\OnboardLogs"\RTDC4023\2017-05-06 &amp; aws s3 cp s3://rtdc.mdm.uploadarchive.raw/RTDC4023/ "%USERPROFILE%\AppData\Local\Temp\OnboardLogs"\RTDC4023\2017-05-07 --exclude "*" --recursive --include "*20170507*" &amp; "%USERPROFILE%\Documents\GitHub\mrs-test-scripts\Headless Mode &amp; Sideloading\WalkAndUnGZ.bat" "%USERPROFILE%\AppData\Local\Temp\OnboardLogs"\RTDC4023\2017-05-07</v>
      </c>
      <c r="AF41" s="77" t="str">
        <f t="shared" si="13"/>
        <v>"C:\Program Files (x86)\AstroGrep\AstroGrep.exe" /e /r /s /spath="%USERPROFILE%\AppData\Local\Temp\OnboardLogs" /stypes="app*4023*20170506*" /stext=" 15:.+((SYSTEM_STATE.+slice.+state.+changed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136-06 --locoid 4023 --swversion DE.1.0.9.0 --startMP 204:233017 --initTime 2017-05-06T08:44:41 --startdatetime 2017-05-06T08:56:15 --delay 1 --endMP 204:136 --enddatetime 2017-05-06T09:36:30 --enforcementcount 0 &gt;&gt;C:\Users\stu\Documents\GitHub\eaglep3-reporting\EC\2017-05-06-refined-times.txt</v>
      </c>
      <c r="AI41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{"issue":{"subject":"","project_id":79,"tracker_id":40,"status_id":1,"priority_id":2,"assigned_to_id":23,"start_date":"2017-05-06","description":"","custom_fields":[{"id":1,"name":"Subdivision","value":"EC"},{"id":4,"name":"Milepost","value":"0.0136"},{"id":17,"name":"Train ID","value":"136-06"},{"id":16,"name":"Locomotive ID","value":"4023"},{"id":130,"name":"Impact","value":""},{"id":150,"name":"Time of Event (Mountain Time)","value":"09:36:30"},{"id":151,"name":"Denver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4023 --day 2017-05-06</v>
      </c>
      <c r="AN41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15:36:30"},{"id":29,"name":"Sharepoint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617</v>
      </c>
      <c r="B42" s="7">
        <v>4004</v>
      </c>
      <c r="C42" s="21" t="s">
        <v>210</v>
      </c>
      <c r="D42" s="21" t="s">
        <v>375</v>
      </c>
      <c r="E42" s="13">
        <v>42861.340740740743</v>
      </c>
      <c r="F42" s="13">
        <v>42861.3440625</v>
      </c>
      <c r="G42" s="7">
        <v>1</v>
      </c>
      <c r="H42" s="21" t="s">
        <v>789</v>
      </c>
      <c r="I42" s="13">
        <v>42861.369363425925</v>
      </c>
      <c r="J42" s="7">
        <v>0</v>
      </c>
      <c r="K42" s="92" t="str">
        <f t="shared" si="0"/>
        <v>4003/4004</v>
      </c>
      <c r="L42" s="21" t="str">
        <f>VLOOKUP(A42,'Trips&amp;Operators'!$C$1:$G$99999,5,FALSE)</f>
        <v>MAELZER KURT</v>
      </c>
      <c r="M42" s="6">
        <f t="shared" si="1"/>
        <v>2.5300925924966577E-2</v>
      </c>
      <c r="N42" s="7">
        <f t="shared" si="2"/>
        <v>36.433333331951872</v>
      </c>
      <c r="O42" s="7"/>
      <c r="P42" s="7"/>
      <c r="Q42" s="22"/>
      <c r="R42" s="190"/>
      <c r="S42" s="196">
        <f t="shared" si="3"/>
        <v>1</v>
      </c>
      <c r="T42" s="190" t="str">
        <f t="shared" si="4"/>
        <v>NorthBound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-06T07:10:40-0600',mode:absolute,to:'2017-05-06T09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2" s="192" t="str">
        <f t="shared" si="6"/>
        <v>N</v>
      </c>
      <c r="X42" s="192">
        <f t="shared" si="7"/>
        <v>1</v>
      </c>
      <c r="Y42" s="192">
        <f t="shared" si="8"/>
        <v>4.58E-2</v>
      </c>
      <c r="Z42" s="192">
        <f t="shared" si="9"/>
        <v>23.331800000000001</v>
      </c>
      <c r="AA42" s="192">
        <f t="shared" si="10"/>
        <v>23.286000000000001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0137-06</v>
      </c>
      <c r="AE42" s="80" t="str">
        <f t="shared" si="12"/>
        <v>aws s3 cp s3://rtdc.mdm.uploadarchive.raw/RTDC4004/ "%USERPROFILE%\AppData\Local\Temp\OnboardLogs"\RTDC4004\2017-05-06 --exclude "*" --recursive --include "*20170506*" &amp; "%USERPROFILE%\Documents\GitHub\mrs-test-scripts\Headless Mode &amp; Sideloading\WalkAndUnGZ.bat" "%USERPROFILE%\AppData\Local\Temp\OnboardLogs"\RTDC4004\2017-05-06 &amp; 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</v>
      </c>
      <c r="AF42" s="77" t="str">
        <f t="shared" si="13"/>
        <v>"C:\Program Files (x86)\AstroGrep\AstroGrep.exe" /e /r /s /spath="%USERPROFILE%\AppData\Local\Temp\OnboardLogs" /stypes="app*4004*20170506*"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137-06 --locoid 4004 --swversion DE.1.0.9.0 --startMP 204:458 --initTime 2017-05-06T08:10:40 --startdatetime 2017-05-06T08:15:27 --delay 1 --endMP 204:233318 --enddatetime 2017-05-06T08:51:53 --enforcementcount 0 &gt;&gt;C:\Users\stu\Documents\GitHub\eaglep3-reporting\EC\2017-05-06-refined-times.txt</v>
      </c>
      <c r="AI42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{"issue":{"subject":"","project_id":79,"tracker_id":40,"status_id":1,"priority_id":2,"assigned_to_id":23,"start_date":"2017-05-06","description":"","custom_fields":[{"id":1,"name":"Subdivision","value":"EC"},{"id":4,"name":"Milepost","value":"23.3318"},{"id":17,"name":"Train ID","value":"137-06"},{"id":16,"name":"Locomotive ID","value":"4004"},{"id":130,"name":"Impact","value":""},{"id":150,"name":"Time of Event (Mountain Time)","value":"08:51:53"},{"id":151,"name":"Denver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4004 --day 2017-05-06</v>
      </c>
      <c r="AN42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14:51:53"},{"id":29,"name":"Sharepoint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522</v>
      </c>
      <c r="B43" s="7">
        <v>4003</v>
      </c>
      <c r="C43" s="21" t="s">
        <v>210</v>
      </c>
      <c r="D43" s="21" t="s">
        <v>790</v>
      </c>
      <c r="E43" s="13">
        <v>42861.373888888891</v>
      </c>
      <c r="F43" s="13">
        <v>42861.38318287037</v>
      </c>
      <c r="G43" s="7">
        <v>1</v>
      </c>
      <c r="H43" s="21" t="s">
        <v>203</v>
      </c>
      <c r="I43" s="13">
        <v>42861.41207175926</v>
      </c>
      <c r="J43" s="7">
        <v>0</v>
      </c>
      <c r="K43" s="92" t="str">
        <f t="shared" si="0"/>
        <v>4003/4004</v>
      </c>
      <c r="L43" s="21" t="str">
        <f>VLOOKUP(A43,'Trips&amp;Operators'!$C$1:$G$99999,5,FALSE)</f>
        <v>MAELZER KURT</v>
      </c>
      <c r="M43" s="6">
        <f t="shared" si="1"/>
        <v>2.8888888889923692E-2</v>
      </c>
      <c r="N43" s="7">
        <f t="shared" si="2"/>
        <v>41.600000001490116</v>
      </c>
      <c r="O43" s="7"/>
      <c r="P43" s="7"/>
      <c r="Q43" s="22"/>
      <c r="R43" s="190"/>
      <c r="S43" s="196">
        <f t="shared" si="3"/>
        <v>1</v>
      </c>
      <c r="T43" s="190" t="str">
        <f t="shared" si="4"/>
        <v>Southbound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-06T07:58:24-0600',mode:absolute,to:'2017-05-06T10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3" s="192" t="str">
        <f t="shared" si="6"/>
        <v>N</v>
      </c>
      <c r="X43" s="192">
        <f t="shared" si="7"/>
        <v>1</v>
      </c>
      <c r="Y43" s="192">
        <f t="shared" si="8"/>
        <v>23.299600000000002</v>
      </c>
      <c r="Z43" s="192">
        <f t="shared" si="9"/>
        <v>1.54E-2</v>
      </c>
      <c r="AA43" s="192">
        <f t="shared" si="10"/>
        <v>23.284200000000002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0138-06</v>
      </c>
      <c r="AE43" s="80" t="str">
        <f t="shared" si="12"/>
        <v>aws s3 cp s3://rtdc.mdm.uploadarchive.raw/RTDC4003/ "%USERPROFILE%\AppData\Local\Temp\OnboardLogs"\RTDC4003\2017-05-06 --exclude "*" --recursive --include "*20170506*" &amp; "%USERPROFILE%\Documents\GitHub\mrs-test-scripts\Headless Mode &amp; Sideloading\WalkAndUnGZ.bat" "%USERPROFILE%\AppData\Local\Temp\OnboardLogs"\RTDC4003\2017-05-06 &amp; 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</v>
      </c>
      <c r="AF43" s="77" t="str">
        <f t="shared" si="13"/>
        <v>"C:\Program Files (x86)\AstroGrep\AstroGrep.exe" /e /r /s /spath="%USERPROFILE%\AppData\Local\Temp\OnboardLogs" /stypes="app*4003*20170506*" /stext=" 15:.+((SYSTEM_STATE.+slice.+state.+changed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138-06 --locoid 4003 --swversion DE.1.0.9.0 --startMP 204:232996 --initTime 2017-05-06T08:58:24 --startdatetime 2017-05-06T09:11:47 --delay 1 --endMP 204:154 --enddatetime 2017-05-06T09:53:23 --enforcementcount 0 &gt;&gt;C:\Users\stu\Documents\GitHub\eaglep3-reporting\EC\2017-05-06-refined-times.txt</v>
      </c>
      <c r="AI43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{"issue":{"subject":"","project_id":79,"tracker_id":40,"status_id":1,"priority_id":2,"assigned_to_id":23,"start_date":"2017-05-06","description":"","custom_fields":[{"id":1,"name":"Subdivision","value":"EC"},{"id":4,"name":"Milepost","value":"0.0154"},{"id":17,"name":"Train ID","value":"138-06"},{"id":16,"name":"Locomotive ID","value":"4003"},{"id":130,"name":"Impact","value":""},{"id":150,"name":"Time of Event (Mountain Time)","value":"09:53:23"},{"id":151,"name":"Denver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4003 --day 2017-05-06</v>
      </c>
      <c r="AN43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15:53:23"},{"id":29,"name":"Sharepoint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619</v>
      </c>
      <c r="B44" s="7">
        <v>4044</v>
      </c>
      <c r="C44" s="21" t="s">
        <v>210</v>
      </c>
      <c r="D44" s="21" t="s">
        <v>494</v>
      </c>
      <c r="E44" s="13">
        <v>42861.352731481478</v>
      </c>
      <c r="F44" s="13">
        <v>42861.354328703703</v>
      </c>
      <c r="G44" s="7">
        <v>1</v>
      </c>
      <c r="H44" s="21" t="s">
        <v>791</v>
      </c>
      <c r="I44" s="13">
        <v>42861.381122685183</v>
      </c>
      <c r="J44" s="7">
        <v>0</v>
      </c>
      <c r="K44" s="92" t="str">
        <f t="shared" si="0"/>
        <v>4043/4044</v>
      </c>
      <c r="L44" s="21" t="str">
        <f>VLOOKUP(A44,'Trips&amp;Operators'!$C$1:$G$99999,5,FALSE)</f>
        <v>DAVIS WENDY</v>
      </c>
      <c r="M44" s="6">
        <f t="shared" si="1"/>
        <v>2.679398148029577E-2</v>
      </c>
      <c r="N44" s="7">
        <f t="shared" si="2"/>
        <v>38.583333331625909</v>
      </c>
      <c r="O44" s="7"/>
      <c r="P44" s="7"/>
      <c r="Q44" s="22"/>
      <c r="R44" s="190"/>
      <c r="S44" s="196">
        <f t="shared" si="3"/>
        <v>1</v>
      </c>
      <c r="T44" s="190" t="str">
        <f t="shared" si="4"/>
        <v>NorthBound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-06T07:27:56-0600',mode:absolute,to:'2017-05-06T10:08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4" s="192" t="str">
        <f t="shared" si="6"/>
        <v>N</v>
      </c>
      <c r="X44" s="192">
        <f t="shared" si="7"/>
        <v>1</v>
      </c>
      <c r="Y44" s="192">
        <f t="shared" si="8"/>
        <v>4.5499999999999999E-2</v>
      </c>
      <c r="Z44" s="192">
        <f t="shared" si="9"/>
        <v>23.334399999999999</v>
      </c>
      <c r="AA44" s="192">
        <f t="shared" si="10"/>
        <v>23.288899999999998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0139-06</v>
      </c>
      <c r="AE44" s="80" t="str">
        <f t="shared" si="12"/>
        <v>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 &amp; 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</v>
      </c>
      <c r="AF44" s="77" t="str">
        <f t="shared" si="13"/>
        <v>"C:\Program Files (x86)\AstroGrep\AstroGrep.exe" /e /r /s /spath="%USERPROFILE%\AppData\Local\Temp\OnboardLogs" /stypes="app*4044*20170506*"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139-06 --locoid 4044 --swversion DE.1.0.9.0 --startMP 204:455 --initTime 2017-05-06T08:27:56 --startdatetime 2017-05-06T08:30:14 --delay 1 --endMP 204:233344 --enddatetime 2017-05-06T09:08:49 --enforcementcount 0 &gt;&gt;C:\Users\stu\Documents\GitHub\eaglep3-reporting\EC\2017-05-06-refined-times.txt</v>
      </c>
      <c r="AI44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{"issue":{"subject":"","project_id":79,"tracker_id":40,"status_id":1,"priority_id":2,"assigned_to_id":23,"start_date":"2017-05-06","description":"","custom_fields":[{"id":1,"name":"Subdivision","value":"EC"},{"id":4,"name":"Milepost","value":"23.3344"},{"id":17,"name":"Train ID","value":"139-06"},{"id":16,"name":"Locomotive ID","value":"4044"},{"id":130,"name":"Impact","value":""},{"id":150,"name":"Time of Event (Mountain Time)","value":"09:08:49"},{"id":151,"name":"Denver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4044 --day 2017-05-06</v>
      </c>
      <c r="AN44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15:08:49"},{"id":29,"name":"Sharepoint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628</v>
      </c>
      <c r="B45" s="7">
        <v>4043</v>
      </c>
      <c r="C45" s="21" t="s">
        <v>210</v>
      </c>
      <c r="D45" s="21" t="s">
        <v>792</v>
      </c>
      <c r="E45" s="13">
        <v>42861.391273148147</v>
      </c>
      <c r="F45" s="13">
        <v>42861.393206018518</v>
      </c>
      <c r="G45" s="7">
        <v>1</v>
      </c>
      <c r="H45" s="21" t="s">
        <v>416</v>
      </c>
      <c r="I45" s="13">
        <v>42861.423946759256</v>
      </c>
      <c r="J45" s="7">
        <v>0</v>
      </c>
      <c r="K45" s="92" t="str">
        <f t="shared" si="0"/>
        <v>4043/4044</v>
      </c>
      <c r="L45" s="21" t="str">
        <f>VLOOKUP(A45,'Trips&amp;Operators'!$C$1:$G$99999,5,FALSE)</f>
        <v>DAVIS WENDY</v>
      </c>
      <c r="M45" s="6">
        <f t="shared" si="1"/>
        <v>3.0740740738110617E-2</v>
      </c>
      <c r="N45" s="7">
        <f t="shared" si="2"/>
        <v>44.266666662879288</v>
      </c>
      <c r="O45" s="7"/>
      <c r="P45" s="7"/>
      <c r="Q45" s="22"/>
      <c r="R45" s="190"/>
      <c r="S45" s="196">
        <f t="shared" si="3"/>
        <v>1</v>
      </c>
      <c r="T45" s="190" t="str">
        <f t="shared" si="4"/>
        <v>Southbound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-05-06T08:23:26-0600',mode:absolute,to:'2017-05-06T11:10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5" s="192" t="str">
        <f t="shared" si="6"/>
        <v>N</v>
      </c>
      <c r="X45" s="192">
        <f t="shared" ref="X45:X86" si="23">VALUE(LEFT(AD45,4))-VALUE(LEFT(AD44,4))</f>
        <v>1</v>
      </c>
      <c r="Y45" s="192">
        <f t="shared" si="8"/>
        <v>23.302299999999999</v>
      </c>
      <c r="Z45" s="192">
        <f t="shared" si="9"/>
        <v>1.47E-2</v>
      </c>
      <c r="AA45" s="192">
        <f t="shared" si="10"/>
        <v>23.287599999999998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0140-06</v>
      </c>
      <c r="AE45" s="80" t="str">
        <f t="shared" si="12"/>
        <v>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 &amp; 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</v>
      </c>
      <c r="AF45" s="77" t="str">
        <f t="shared" si="13"/>
        <v>"C:\Program Files (x86)\AstroGrep\AstroGrep.exe" /e /r /s /spath="%USERPROFILE%\AppData\Local\Temp\OnboardLogs" /stypes="app*4043*20170506*" /stext=" 16:.+((SYSTEM_STATE.+slice.+state.+changed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140-06 --locoid 4043 --swversion DE.1.0.9.0 --startMP 204:233023 --initTime 2017-05-06T09:23:26 --startdatetime 2017-05-06T09:26:13 --delay 1 --endMP 204:147 --enddatetime 2017-05-06T10:10:29 --enforcementcount 0 &gt;&gt;C:\Users\stu\Documents\GitHub\eaglep3-reporting\EC\2017-05-06-refined-times.txt</v>
      </c>
      <c r="AI45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{"issue":{"subject":"","project_id":79,"tracker_id":40,"status_id":1,"priority_id":2,"assigned_to_id":23,"start_date":"2017-05-06","description":"","custom_fields":[{"id":1,"name":"Subdivision","value":"EC"},{"id":4,"name":"Milepost","value":"0.0147"},{"id":17,"name":"Train ID","value":"140-06"},{"id":16,"name":"Locomotive ID","value":"4043"},{"id":130,"name":"Impact","value":""},{"id":150,"name":"Time of Event (Mountain Time)","value":"10:10:29"},{"id":151,"name":"Denver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4043 --day 2017-05-06</v>
      </c>
      <c r="AN45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16:10:29"},{"id":29,"name":"Sharepoint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622</v>
      </c>
      <c r="B46" s="7">
        <v>4054</v>
      </c>
      <c r="C46" s="21" t="s">
        <v>210</v>
      </c>
      <c r="D46" s="21" t="s">
        <v>402</v>
      </c>
      <c r="E46" s="13">
        <v>42861.362245370372</v>
      </c>
      <c r="F46" s="13">
        <v>42861.365046296298</v>
      </c>
      <c r="G46" s="7">
        <v>1</v>
      </c>
      <c r="H46" s="21" t="s">
        <v>484</v>
      </c>
      <c r="I46" s="13">
        <v>42861.390127314815</v>
      </c>
      <c r="J46" s="7">
        <v>0</v>
      </c>
      <c r="K46" s="92" t="str">
        <f t="shared" si="0"/>
        <v>4053/4054</v>
      </c>
      <c r="L46" s="21" t="str">
        <f>VLOOKUP(A46,'Trips&amp;Operators'!$C$1:$G$99999,5,FALSE)</f>
        <v>SANTIZO D. EDY</v>
      </c>
      <c r="M46" s="6">
        <f t="shared" si="1"/>
        <v>2.5081018517084885E-2</v>
      </c>
      <c r="N46" s="7">
        <f t="shared" si="2"/>
        <v>36.116666664602235</v>
      </c>
      <c r="O46" s="7"/>
      <c r="P46" s="7"/>
      <c r="Q46" s="22"/>
      <c r="R46" s="190"/>
      <c r="S46" s="196">
        <f t="shared" si="3"/>
        <v>1</v>
      </c>
      <c r="T46" s="190" t="str">
        <f t="shared" si="4"/>
        <v>NorthBound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-06T07:41:38-0600',mode:absolute,to:'2017-05-06T10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6" s="192" t="str">
        <f t="shared" si="6"/>
        <v>N</v>
      </c>
      <c r="X46" s="192">
        <f t="shared" si="23"/>
        <v>1</v>
      </c>
      <c r="Y46" s="192">
        <f t="shared" si="8"/>
        <v>4.4400000000000002E-2</v>
      </c>
      <c r="Z46" s="192">
        <f t="shared" si="9"/>
        <v>23.329499999999999</v>
      </c>
      <c r="AA46" s="192">
        <f t="shared" si="10"/>
        <v>23.2851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0141-06</v>
      </c>
      <c r="AE46" s="80" t="str">
        <f t="shared" si="12"/>
        <v>aws s3 cp s3://rtdc.mdm.uploadarchive.raw/RTDC4054/ "%USERPROFILE%\AppData\Local\Temp\OnboardLogs"\RTDC4054\2017-05-06 --exclude "*" --recursive --include "*20170506*" &amp; "%USERPROFILE%\Documents\GitHub\mrs-test-scripts\Headless Mode &amp; Sideloading\WalkAndUnGZ.bat" "%USERPROFILE%\AppData\Local\Temp\OnboardLogs"\RTDC4054\2017-05-06 &amp; aws s3 cp s3://rtdc.mdm.uploadarchive.raw/RTDC4054/ "%USERPROFILE%\AppData\Local\Temp\OnboardLogs"\RTDC4054\2017-05-07 --exclude "*" --recursive --include "*20170507*" &amp; "%USERPROFILE%\Documents\GitHub\mrs-test-scripts\Headless Mode &amp; Sideloading\WalkAndUnGZ.bat" "%USERPROFILE%\AppData\Local\Temp\OnboardLogs"\RTDC4054\2017-05-07</v>
      </c>
      <c r="AF46" s="77" t="str">
        <f t="shared" si="13"/>
        <v>"C:\Program Files (x86)\AstroGrep\AstroGrep.exe" /e /r /s /spath="%USERPROFILE%\AppData\Local\Temp\OnboardLogs" /stypes="app*4054*20170506*"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141-06 --locoid 4054 --swversion DE.1.0.9.0 --startMP 204:444 --initTime 2017-05-06T08:41:38 --startdatetime 2017-05-06T08:45:40 --delay 1 --endMP 204:233295 --enddatetime 2017-05-06T09:21:47 --enforcementcount 0 &gt;&gt;C:\Users\stu\Documents\GitHub\eaglep3-reporting\EC\2017-05-06-refined-times.txt</v>
      </c>
      <c r="AI46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{"issue":{"subject":"","project_id":79,"tracker_id":40,"status_id":1,"priority_id":2,"assigned_to_id":23,"start_date":"2017-05-06","description":"","custom_fields":[{"id":1,"name":"Subdivision","value":"EC"},{"id":4,"name":"Milepost","value":"23.3295"},{"id":17,"name":"Train ID","value":"141-06"},{"id":16,"name":"Locomotive ID","value":"4054"},{"id":130,"name":"Impact","value":""},{"id":150,"name":"Time of Event (Mountain Time)","value":"09:21:47"},{"id":151,"name":"Denver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4054 --day 2017-05-06</v>
      </c>
      <c r="AN46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15:21:47"},{"id":29,"name":"Sharepoint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526</v>
      </c>
      <c r="B47" s="7">
        <v>4053</v>
      </c>
      <c r="C47" s="21" t="s">
        <v>210</v>
      </c>
      <c r="D47" s="21" t="s">
        <v>485</v>
      </c>
      <c r="E47" s="13">
        <v>42861.391030092593</v>
      </c>
      <c r="F47" s="13">
        <v>42861.403634259259</v>
      </c>
      <c r="G47" s="7">
        <v>0</v>
      </c>
      <c r="H47" s="21" t="s">
        <v>380</v>
      </c>
      <c r="I47" s="13">
        <v>42861.433298611111</v>
      </c>
      <c r="J47" s="7">
        <v>0</v>
      </c>
      <c r="K47" s="92" t="str">
        <f t="shared" si="0"/>
        <v>4053/4054</v>
      </c>
      <c r="L47" s="21" t="str">
        <f>VLOOKUP(A47,'Trips&amp;Operators'!$C$1:$G$99999,5,FALSE)</f>
        <v>SANTIZO D. EDY</v>
      </c>
      <c r="M47" s="6">
        <f t="shared" si="1"/>
        <v>2.9664351852261461E-2</v>
      </c>
      <c r="N47" s="7">
        <f t="shared" si="2"/>
        <v>42.716666667256504</v>
      </c>
      <c r="O47" s="7"/>
      <c r="P47" s="7"/>
      <c r="Q47" s="22"/>
      <c r="R47" s="190"/>
      <c r="S47" s="196">
        <f t="shared" si="3"/>
        <v>1</v>
      </c>
      <c r="T47" s="190" t="str">
        <f t="shared" si="4"/>
        <v>Southbound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-06T08:23:05-0600',mode:absolute,to:'2017-05-06T11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7" s="192" t="str">
        <f t="shared" si="6"/>
        <v>N</v>
      </c>
      <c r="X47" s="192">
        <f t="shared" si="23"/>
        <v>1</v>
      </c>
      <c r="Y47" s="192">
        <f t="shared" si="8"/>
        <v>23.2988</v>
      </c>
      <c r="Z47" s="192">
        <f t="shared" si="9"/>
        <v>1.49E-2</v>
      </c>
      <c r="AA47" s="192">
        <f t="shared" si="10"/>
        <v>23.283899999999999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0142-06</v>
      </c>
      <c r="AE47" s="80" t="str">
        <f t="shared" si="12"/>
        <v>aws s3 cp s3://rtdc.mdm.uploadarchive.raw/RTDC4053/ "%USERPROFILE%\AppData\Local\Temp\OnboardLogs"\RTDC4053\2017-05-06 --exclude "*" --recursive --include "*20170506*" &amp; "%USERPROFILE%\Documents\GitHub\mrs-test-scripts\Headless Mode &amp; Sideloading\WalkAndUnGZ.bat" "%USERPROFILE%\AppData\Local\Temp\OnboardLogs"\RTDC4053\2017-05-06 &amp; aws s3 cp s3://rtdc.mdm.uploadarchive.raw/RTDC4053/ "%USERPROFILE%\AppData\Local\Temp\OnboardLogs"\RTDC4053\2017-05-07 --exclude "*" --recursive --include "*20170507*" &amp; "%USERPROFILE%\Documents\GitHub\mrs-test-scripts\Headless Mode &amp; Sideloading\WalkAndUnGZ.bat" "%USERPROFILE%\AppData\Local\Temp\OnboardLogs"\RTDC4053\2017-05-07</v>
      </c>
      <c r="AF47" s="77" t="str">
        <f t="shared" si="13"/>
        <v>"C:\Program Files (x86)\AstroGrep\AstroGrep.exe" /e /r /s /spath="%USERPROFILE%\AppData\Local\Temp\OnboardLogs" /stypes="app*4053*20170506*" /stext=" 16:.+((SYSTEM_STATE.+slice.+state.+changed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142-06 --locoid 4053 --swversion DE.1.0.9.0 --startMP 204:232988 --initTime 2017-05-06T09:23:05 --startdatetime 2017-05-06T09:41:14 --delay 0 --endMP 204:149 --enddatetime 2017-05-06T10:23:57 --enforcementcount 0 &gt;&gt;C:\Users\stu\Documents\GitHub\eaglep3-reporting\EC\2017-05-06-refined-times.txt</v>
      </c>
      <c r="AI47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{"issue":{"subject":"","project_id":79,"tracker_id":40,"status_id":1,"priority_id":2,"assigned_to_id":23,"start_date":"2017-05-06","description":"","custom_fields":[{"id":1,"name":"Subdivision","value":"EC"},{"id":4,"name":"Milepost","value":"0.0149"},{"id":17,"name":"Train ID","value":"142-06"},{"id":16,"name":"Locomotive ID","value":"4053"},{"id":130,"name":"Impact","value":""},{"id":150,"name":"Time of Event (Mountain Time)","value":"10:23:57"},{"id":151,"name":"Denver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4053 --day 2017-05-06</v>
      </c>
      <c r="AN47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16:23:57"},{"id":29,"name":"Sharepoint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623</v>
      </c>
      <c r="B48" s="7">
        <v>4006</v>
      </c>
      <c r="C48" s="21" t="s">
        <v>210</v>
      </c>
      <c r="D48" s="21" t="s">
        <v>375</v>
      </c>
      <c r="E48" s="13">
        <v>42861.371342592596</v>
      </c>
      <c r="F48" s="13">
        <v>42861.376134259262</v>
      </c>
      <c r="G48" s="7">
        <v>1</v>
      </c>
      <c r="H48" s="21" t="s">
        <v>783</v>
      </c>
      <c r="I48" s="13">
        <v>42861.400717592594</v>
      </c>
      <c r="J48" s="7">
        <v>0</v>
      </c>
      <c r="K48" s="92" t="str">
        <f t="shared" si="0"/>
        <v>4005/4006</v>
      </c>
      <c r="L48" s="21" t="str">
        <f>VLOOKUP(A48,'Trips&amp;Operators'!$C$1:$G$99999,5,FALSE)</f>
        <v>LOZA FIDEL</v>
      </c>
      <c r="M48" s="6">
        <f t="shared" si="1"/>
        <v>2.4583333331975155E-2</v>
      </c>
      <c r="N48" s="7">
        <f t="shared" si="2"/>
        <v>35.399999998044223</v>
      </c>
      <c r="O48" s="7"/>
      <c r="P48" s="7"/>
      <c r="Q48" s="22"/>
      <c r="R48" s="190"/>
      <c r="S48" s="196">
        <f t="shared" si="3"/>
        <v>1</v>
      </c>
      <c r="T48" s="190" t="str">
        <f t="shared" si="4"/>
        <v>NorthBound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-06T07:54:44-0600',mode:absolute,to:'2017-05-06T10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8" s="192" t="str">
        <f t="shared" si="6"/>
        <v>N</v>
      </c>
      <c r="X48" s="192">
        <f t="shared" si="23"/>
        <v>1</v>
      </c>
      <c r="Y48" s="192">
        <f t="shared" si="8"/>
        <v>4.58E-2</v>
      </c>
      <c r="Z48" s="192">
        <f t="shared" si="9"/>
        <v>23.331199999999999</v>
      </c>
      <c r="AA48" s="192">
        <f t="shared" si="10"/>
        <v>23.285399999999999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0143-06</v>
      </c>
      <c r="AE48" s="80" t="str">
        <f t="shared" si="12"/>
        <v>aws s3 cp s3://rtdc.mdm.uploadarchive.raw/RTDC4006/ "%USERPROFILE%\AppData\Local\Temp\OnboardLogs"\RTDC4006\2017-05-06 --exclude "*" --recursive --include "*20170506*" &amp; "%USERPROFILE%\Documents\GitHub\mrs-test-scripts\Headless Mode &amp; Sideloading\WalkAndUnGZ.bat" "%USERPROFILE%\AppData\Local\Temp\OnboardLogs"\RTDC4006\2017-05-06 &amp; 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</v>
      </c>
      <c r="AF48" s="77" t="str">
        <f t="shared" si="13"/>
        <v>"C:\Program Files (x86)\AstroGrep\AstroGrep.exe" /e /r /s /spath="%USERPROFILE%\AppData\Local\Temp\OnboardLogs" /stypes="app*4006*20170506*"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143-06 --locoid 4006 --swversion DE.1.0.9.0 --startMP 204:458 --initTime 2017-05-06T08:54:44 --startdatetime 2017-05-06T09:01:38 --delay 1 --endMP 204:233312 --enddatetime 2017-05-06T09:37:02 --enforcementcount 0 &gt;&gt;C:\Users\stu\Documents\GitHub\eaglep3-reporting\EC\2017-05-06-refined-times.txt</v>
      </c>
      <c r="AI48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{"issue":{"subject":"","project_id":79,"tracker_id":40,"status_id":1,"priority_id":2,"assigned_to_id":23,"start_date":"2017-05-06","description":"","custom_fields":[{"id":1,"name":"Subdivision","value":"EC"},{"id":4,"name":"Milepost","value":"23.3312"},{"id":17,"name":"Train ID","value":"143-06"},{"id":16,"name":"Locomotive ID","value":"4006"},{"id":130,"name":"Impact","value":""},{"id":150,"name":"Time of Event (Mountain Time)","value":"09:37:02"},{"id":151,"name":"Denver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4006 --day 2017-05-06</v>
      </c>
      <c r="AN48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15:37:02"},{"id":29,"name":"Sharepoint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523</v>
      </c>
      <c r="B49" s="7">
        <v>4005</v>
      </c>
      <c r="C49" s="21" t="s">
        <v>210</v>
      </c>
      <c r="D49" s="21" t="s">
        <v>790</v>
      </c>
      <c r="E49" s="13">
        <v>42861.411076388889</v>
      </c>
      <c r="F49" s="13">
        <v>42861.412083333336</v>
      </c>
      <c r="G49" s="7">
        <v>1</v>
      </c>
      <c r="H49" s="21" t="s">
        <v>793</v>
      </c>
      <c r="I49" s="13">
        <v>42861.428842592592</v>
      </c>
      <c r="J49" s="7">
        <v>2</v>
      </c>
      <c r="K49" s="92" t="str">
        <f t="shared" si="0"/>
        <v>4005/4006</v>
      </c>
      <c r="L49" s="21" t="str">
        <f>VLOOKUP(A49,'Trips&amp;Operators'!$C$1:$G$99999,5,FALSE)</f>
        <v>LOZA FIDEL</v>
      </c>
      <c r="M49" s="6">
        <f t="shared" si="1"/>
        <v>1.6759259255195502E-2</v>
      </c>
      <c r="N49" s="7"/>
      <c r="O49" s="7"/>
      <c r="P49" s="7">
        <f>24*60*SUM($M49:$M50)</f>
        <v>45.749999997206032</v>
      </c>
      <c r="Q49" s="22"/>
      <c r="R49" s="190" t="s">
        <v>1037</v>
      </c>
      <c r="S49" s="196">
        <f>SUM(U49:U50)/IF(AG49="EC",12,1)</f>
        <v>1</v>
      </c>
      <c r="T49" s="190" t="str">
        <f t="shared" si="4"/>
        <v>Southbound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-06T08:51:57-0600',mode:absolute,to:'2017-05-06T11:17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9" s="192" t="str">
        <f t="shared" si="6"/>
        <v>Y</v>
      </c>
      <c r="X49" s="192">
        <f t="shared" si="23"/>
        <v>1</v>
      </c>
      <c r="Y49" s="192">
        <f t="shared" si="8"/>
        <v>23.299600000000002</v>
      </c>
      <c r="Z49" s="192">
        <f t="shared" si="9"/>
        <v>10.28</v>
      </c>
      <c r="AA49" s="192">
        <f t="shared" si="10"/>
        <v>13.019600000000002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0144-06</v>
      </c>
      <c r="AE49" s="80" t="str">
        <f t="shared" si="12"/>
        <v>aws s3 cp s3://rtdc.mdm.uploadarchive.raw/RTDC4005/ "%USERPROFILE%\AppData\Local\Temp\OnboardLogs"\RTDC4005\2017-05-06 --exclude "*" --recursive --include "*20170506*" &amp; "%USERPROFILE%\Documents\GitHub\mrs-test-scripts\Headless Mode &amp; Sideloading\WalkAndUnGZ.bat" "%USERPROFILE%\AppData\Local\Temp\OnboardLogs"\RTDC4005\2017-05-06 &amp; 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</v>
      </c>
      <c r="AF49" s="77" t="str">
        <f t="shared" si="13"/>
        <v>"C:\Program Files (x86)\AstroGrep\AstroGrep.exe" /e /r /s /spath="%USERPROFILE%\AppData\Local\Temp\OnboardLogs" /stypes="app*4005*20170506*" /stext=" 16:.+((SYSTEM_STATE.+slice.+state.+changed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144-06 --locoid 4005 --swversion DE.1.0.9.0 --startMP 204:232996 --initTime 2017-05-06T09:51:57 --startdatetime 2017-05-06T09:53:24 --delay 1 --endMP 204:102800 --enddatetime 2017-05-06T10:17:32 --enforcementcount 2 &gt;&gt;C:\Users\stu\Documents\GitHub\eaglep3-reporting\EC\2017-05-06-refined-times.txt</v>
      </c>
      <c r="AI49" s="99" t="str">
        <f t="shared" si="20"/>
        <v>echo {"issue":{"subject":"Wi-MAX data drop","project_id":79,"tracker_id":40,"status_id":1,"priority_id":2,"assigned_to_id":23,"start_date":"2017-05-06","description":"","custom_fields":[{"id":1,"name":"Subdivision","value":"EC"},{"id":4,"name":"Milepost","value":"10.28"},{"id":17,"name":"Train ID","value":"144-06"},{"id":16,"name":"Locomotive ID","value":"4005"},{"id":130,"name":"Impact","value":""},{"id":150,"name":"Time of Event (Mountain Time)","value":"10:17:32"},{"id":151,"name":"Denver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4005 --day 2017-05-06</v>
      </c>
      <c r="AN49" s="154" t="str">
        <f t="shared" si="22"/>
        <v>echo {"issue":{"subject":"Wi-MAX data drop","project_id":30,"tracker_id":4,"status_id":1,"priority_id":1,"assigned_to_id":10,"start_date":"2017-05-06","description":"","custom_fields":[{"id":30,"name":"Category","value":"Issue"},{"id":3,"name":"Functional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16:17:32"},{"id":29,"name":"Sharepoint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523</v>
      </c>
      <c r="B50" s="7">
        <v>4005</v>
      </c>
      <c r="C50" s="21" t="s">
        <v>210</v>
      </c>
      <c r="D50" s="21" t="s">
        <v>794</v>
      </c>
      <c r="E50" s="13">
        <v>42861.430486111109</v>
      </c>
      <c r="F50" s="13">
        <v>42861.431342592594</v>
      </c>
      <c r="G50" s="7">
        <v>1</v>
      </c>
      <c r="H50" s="21" t="s">
        <v>795</v>
      </c>
      <c r="I50" s="13">
        <v>42861.44635416667</v>
      </c>
      <c r="J50" s="7">
        <v>0</v>
      </c>
      <c r="K50" s="92" t="str">
        <f t="shared" si="0"/>
        <v>4005/4006</v>
      </c>
      <c r="L50" s="21" t="str">
        <f>VLOOKUP(A50,'Trips&amp;Operators'!$C$1:$G$99999,5,FALSE)</f>
        <v>LOZA FIDEL</v>
      </c>
      <c r="M50" s="6">
        <f t="shared" si="1"/>
        <v>1.5011574076197576E-2</v>
      </c>
      <c r="N50" s="7"/>
      <c r="O50" s="7"/>
      <c r="P50" s="7"/>
      <c r="Q50" s="22"/>
      <c r="R50" s="190"/>
      <c r="S50" s="196"/>
      <c r="T50" s="190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10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-06T09:19:54-0600',mode:absolute,to:'2017-05-06T11:42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0" s="192" t="str">
        <f t="shared" si="6"/>
        <v>Y</v>
      </c>
      <c r="X50" s="192">
        <f t="shared" si="23"/>
        <v>0</v>
      </c>
      <c r="Y50" s="192">
        <f t="shared" si="8"/>
        <v>8.6353000000000009</v>
      </c>
      <c r="Z50" s="192">
        <f t="shared" si="9"/>
        <v>1.2999999999999999E-2</v>
      </c>
      <c r="AA50" s="192">
        <f t="shared" si="10"/>
        <v>8.622300000000001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0144-06</v>
      </c>
      <c r="AE50" s="80" t="str">
        <f t="shared" si="12"/>
        <v>aws s3 cp s3://rtdc.mdm.uploadarchive.raw/RTDC4005/ "%USERPROFILE%\AppData\Local\Temp\OnboardLogs"\RTDC4005\2017-05-06 --exclude "*" --recursive --include "*20170506*" &amp; "%USERPROFILE%\Documents\GitHub\mrs-test-scripts\Headless Mode &amp; Sideloading\WalkAndUnGZ.bat" "%USERPROFILE%\AppData\Local\Temp\OnboardLogs"\RTDC4005\2017-05-06 &amp; 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</v>
      </c>
      <c r="AF50" s="77" t="str">
        <f t="shared" si="13"/>
        <v>"C:\Program Files (x86)\AstroGrep\AstroGrep.exe" /e /r /s /spath="%USERPROFILE%\AppData\Local\Temp\OnboardLogs" /stypes="app*4005*20170506*" /stext=" 16:.+((SYSTEM_STATE.+slice.+state.+changed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144-06 --locoid 4005 --swversion DE.1.0.9.0 --startMP 204:86353 --initTime 2017-05-06T10:19:54 --startdatetime 2017-05-06T10:21:08 --delay 1 --endMP 204:130 --enddatetime 2017-05-06T10:42:45 --enforcementcount 0 &gt;&gt;C:\Users\stu\Documents\GitHub\eaglep3-reporting\EC\2017-05-06-refined-times.txt</v>
      </c>
      <c r="AI50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{"issue":{"subject":"","project_id":79,"tracker_id":40,"status_id":1,"priority_id":2,"assigned_to_id":23,"start_date":"2017-05-06","description":"","custom_fields":[{"id":1,"name":"Subdivision","value":"EC"},{"id":4,"name":"Milepost","value":"0.013"},{"id":17,"name":"Train ID","value":"144-06"},{"id":16,"name":"Locomotive ID","value":"4005"},{"id":130,"name":"Impact","value":""},{"id":150,"name":"Time of Event (Mountain Time)","value":"10:42:45"},{"id":151,"name":"Denver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4005 --day 2017-05-06</v>
      </c>
      <c r="AN50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16:42:45"},{"id":29,"name":"Sharepoint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521</v>
      </c>
      <c r="B51" s="7">
        <v>4002</v>
      </c>
      <c r="C51" s="21" t="s">
        <v>210</v>
      </c>
      <c r="D51" s="21" t="s">
        <v>404</v>
      </c>
      <c r="E51" s="13">
        <v>42861.383287037039</v>
      </c>
      <c r="F51" s="13">
        <v>42861.385601851849</v>
      </c>
      <c r="G51" s="7">
        <v>1</v>
      </c>
      <c r="H51" s="21" t="s">
        <v>417</v>
      </c>
      <c r="I51" s="13">
        <v>42861.413923611108</v>
      </c>
      <c r="J51" s="7">
        <v>0</v>
      </c>
      <c r="K51" s="92" t="str">
        <f t="shared" si="0"/>
        <v>4001/4002</v>
      </c>
      <c r="L51" s="21" t="str">
        <f>VLOOKUP(A51,'Trips&amp;Operators'!$C$1:$G$99999,5,FALSE)</f>
        <v>BADERTSCHER DIANE</v>
      </c>
      <c r="M51" s="6">
        <f t="shared" si="1"/>
        <v>2.8321759258687962E-2</v>
      </c>
      <c r="N51" s="7">
        <f t="shared" si="2"/>
        <v>40.783333332510665</v>
      </c>
      <c r="O51" s="7"/>
      <c r="P51" s="7"/>
      <c r="Q51" s="22"/>
      <c r="R51" s="190"/>
      <c r="S51" s="196">
        <f t="shared" si="3"/>
        <v>1</v>
      </c>
      <c r="T51" s="190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-06T08:11:56-0600',mode:absolute,to:'2017-05-06T10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1" s="192" t="str">
        <f t="shared" si="6"/>
        <v>N</v>
      </c>
      <c r="X51" s="192">
        <f t="shared" si="23"/>
        <v>1</v>
      </c>
      <c r="Y51" s="192">
        <f t="shared" si="8"/>
        <v>4.4699999999999997E-2</v>
      </c>
      <c r="Z51" s="192">
        <f t="shared" si="9"/>
        <v>23.3291</v>
      </c>
      <c r="AA51" s="192">
        <f t="shared" si="10"/>
        <v>23.284400000000002</v>
      </c>
      <c r="AB51" s="57" t="str">
        <f>VLOOKUP(A51,Enforcements!$C$7:$K$13,8,0)</f>
        <v>Bulletin (2)</v>
      </c>
      <c r="AC51" s="53" t="str">
        <f>VLOOKUP(A51,Enforcements!$C$7:$E$13,3,0)</f>
        <v>GRADE CROSSING</v>
      </c>
      <c r="AD51" s="54" t="str">
        <f t="shared" si="11"/>
        <v>0145-06</v>
      </c>
      <c r="AE51" s="80" t="str">
        <f t="shared" si="12"/>
        <v>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 &amp; aws s3 cp s3://rtdc.mdm.uploadarchive.raw/RTDC4002/ "%USERPROFILE%\AppData\Local\Temp\OnboardLogs"\RTDC4002\2017-05-07 --exclude "*" --recursive --include "*20170507*" &amp; "%USERPROFILE%\Documents\GitHub\mrs-test-scripts\Headless Mode &amp; Sideloading\WalkAndUnGZ.bat" "%USERPROFILE%\AppData\Local\Temp\OnboardLogs"\RTDC4002\2017-05-07</v>
      </c>
      <c r="AF51" s="77" t="str">
        <f t="shared" si="13"/>
        <v>"C:\Program Files (x86)\AstroGrep\AstroGrep.exe" /e /r /s /spath="%USERPROFILE%\AppData\Local\Temp\OnboardLogs" /stypes="app*4002*20170506*"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145-06 --locoid 4002 --swversion DE.1.0.9.0 --startMP 204:447 --initTime 2017-05-06T09:11:56 --startdatetime 2017-05-06T09:15:16 --delay 1 --endMP 204:233291 --enddatetime 2017-05-06T09:56:03 --enforcementcount 0 &gt;&gt;C:\Users\stu\Documents\GitHub\eaglep3-reporting\EC\2017-05-06-refined-times.txt</v>
      </c>
      <c r="AI51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{"issue":{"subject":"","project_id":79,"tracker_id":40,"status_id":1,"priority_id":2,"assigned_to_id":23,"start_date":"2017-05-06","description":"","custom_fields":[{"id":1,"name":"Subdivision","value":"EC"},{"id":4,"name":"Milepost","value":"23.3291"},{"id":17,"name":"Train ID","value":"145-06"},{"id":16,"name":"Locomotive ID","value":"4002"},{"id":130,"name":"Impact","value":""},{"id":150,"name":"Time of Event (Mountain Time)","value":"09:56:03"},{"id":151,"name":"Denver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4002 --day 2017-05-06</v>
      </c>
      <c r="AN51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15:56:03"},{"id":29,"name":"Sharepoint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528</v>
      </c>
      <c r="B52" s="7">
        <v>4001</v>
      </c>
      <c r="C52" s="21" t="s">
        <v>210</v>
      </c>
      <c r="D52" s="21" t="s">
        <v>430</v>
      </c>
      <c r="E52" s="13">
        <v>42861.420300925929</v>
      </c>
      <c r="F52" s="13">
        <v>42861.424467592595</v>
      </c>
      <c r="G52" s="7">
        <v>1</v>
      </c>
      <c r="H52" s="21" t="s">
        <v>795</v>
      </c>
      <c r="I52" s="13">
        <v>42861.45784722222</v>
      </c>
      <c r="J52" s="7">
        <v>0</v>
      </c>
      <c r="K52" s="92" t="str">
        <f t="shared" si="0"/>
        <v>4001/4002</v>
      </c>
      <c r="L52" s="21" t="str">
        <f>VLOOKUP(A52,'Trips&amp;Operators'!$C$1:$G$99999,5,FALSE)</f>
        <v>BADERTSCHER DIANE</v>
      </c>
      <c r="M52" s="6">
        <f t="shared" si="1"/>
        <v>3.3379629625414964E-2</v>
      </c>
      <c r="N52" s="7">
        <f t="shared" si="2"/>
        <v>48.066666660597548</v>
      </c>
      <c r="O52" s="7"/>
      <c r="P52" s="7"/>
      <c r="Q52" s="22"/>
      <c r="R52" s="190"/>
      <c r="S52" s="196">
        <f t="shared" si="3"/>
        <v>1</v>
      </c>
      <c r="T52" s="190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-06T09:05:14-0600',mode:absolute,to:'2017-05-06T11:59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2" s="192" t="str">
        <f t="shared" si="6"/>
        <v>N</v>
      </c>
      <c r="X52" s="192">
        <f t="shared" si="23"/>
        <v>1</v>
      </c>
      <c r="Y52" s="192">
        <f t="shared" si="8"/>
        <v>23.297999999999998</v>
      </c>
      <c r="Z52" s="192">
        <f t="shared" si="9"/>
        <v>1.2999999999999999E-2</v>
      </c>
      <c r="AA52" s="192">
        <f t="shared" si="10"/>
        <v>23.284999999999997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0146-06</v>
      </c>
      <c r="AE52" s="80" t="str">
        <f t="shared" si="12"/>
        <v>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 &amp; aws s3 cp s3://rtdc.mdm.uploadarchive.raw/RTDC4001/ "%USERPROFILE%\AppData\Local\Temp\OnboardLogs"\RTDC4001\2017-05-07 --exclude "*" --recursive --include "*20170507*" &amp; "%USERPROFILE%\Documents\GitHub\mrs-test-scripts\Headless Mode &amp; Sideloading\WalkAndUnGZ.bat" "%USERPROFILE%\AppData\Local\Temp\OnboardLogs"\RTDC4001\2017-05-07</v>
      </c>
      <c r="AF52" s="77" t="str">
        <f t="shared" si="13"/>
        <v>"C:\Program Files (x86)\AstroGrep\AstroGrep.exe" /e /r /s /spath="%USERPROFILE%\AppData\Local\Temp\OnboardLogs" /stypes="app*4001*20170506*"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146-06 --locoid 4001 --swversion DE.1.0.9.0 --startMP 204:232980 --initTime 2017-05-06T10:05:14 --startdatetime 2017-05-06T10:11:14 --delay 1 --endMP 204:130 --enddatetime 2017-05-06T10:59:18 --enforcementcount 0 &gt;&gt;C:\Users\stu\Documents\GitHub\eaglep3-reporting\EC\2017-05-06-refined-times.txt</v>
      </c>
      <c r="AI52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{"issue":{"subject":"","project_id":79,"tracker_id":40,"status_id":1,"priority_id":2,"assigned_to_id":23,"start_date":"2017-05-06","description":"","custom_fields":[{"id":1,"name":"Subdivision","value":"EC"},{"id":4,"name":"Milepost","value":"0.013"},{"id":17,"name":"Train ID","value":"146-06"},{"id":16,"name":"Locomotive ID","value":"4001"},{"id":130,"name":"Impact","value":""},{"id":150,"name":"Time of Event (Mountain Time)","value":"10:59:18"},{"id":151,"name":"Denver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4001 --day 2017-05-06</v>
      </c>
      <c r="AN52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16:59:18"},{"id":29,"name":"Sharepoint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629</v>
      </c>
      <c r="B53" s="7">
        <v>4010</v>
      </c>
      <c r="C53" s="21" t="s">
        <v>210</v>
      </c>
      <c r="D53" s="21" t="s">
        <v>375</v>
      </c>
      <c r="E53" s="13">
        <v>42861.392210648148</v>
      </c>
      <c r="F53" s="13">
        <v>42861.39603009259</v>
      </c>
      <c r="G53" s="7">
        <v>1</v>
      </c>
      <c r="H53" s="21" t="s">
        <v>787</v>
      </c>
      <c r="I53" s="13">
        <v>42861.420925925922</v>
      </c>
      <c r="J53" s="7">
        <v>0</v>
      </c>
      <c r="K53" s="92" t="str">
        <f t="shared" si="0"/>
        <v>4009/4010</v>
      </c>
      <c r="L53" s="21" t="str">
        <f>VLOOKUP(A53,'Trips&amp;Operators'!$C$1:$G$99999,5,FALSE)</f>
        <v>GEBRETEKLE DAGNEW</v>
      </c>
      <c r="M53" s="6">
        <f t="shared" si="1"/>
        <v>2.4895833332266193E-2</v>
      </c>
      <c r="N53" s="7">
        <f t="shared" si="2"/>
        <v>35.849999998463318</v>
      </c>
      <c r="O53" s="7"/>
      <c r="P53" s="7"/>
      <c r="Q53" s="22"/>
      <c r="R53" s="190"/>
      <c r="S53" s="196">
        <f t="shared" si="3"/>
        <v>1</v>
      </c>
      <c r="T53" s="190" t="str">
        <f t="shared" si="4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-06T08:24:47-0600',mode:absolute,to:'2017-05-06T11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3" s="192" t="str">
        <f t="shared" si="6"/>
        <v>N</v>
      </c>
      <c r="X53" s="192">
        <f t="shared" si="23"/>
        <v>1</v>
      </c>
      <c r="Y53" s="192">
        <f t="shared" si="8"/>
        <v>4.58E-2</v>
      </c>
      <c r="Z53" s="192">
        <f t="shared" si="9"/>
        <v>23.332899999999999</v>
      </c>
      <c r="AA53" s="192">
        <f t="shared" si="10"/>
        <v>23.287099999999999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0147-06</v>
      </c>
      <c r="AE53" s="80" t="str">
        <f t="shared" si="12"/>
        <v>aws s3 cp s3://rtdc.mdm.uploadarchive.raw/RTDC4010/ "%USERPROFILE%\AppData\Local\Temp\OnboardLogs"\RTDC4010\2017-05-06 --exclude "*" --recursive --include "*20170506*" &amp; "%USERPROFILE%\Documents\GitHub\mrs-test-scripts\Headless Mode &amp; Sideloading\WalkAndUnGZ.bat" "%USERPROFILE%\AppData\Local\Temp\OnboardLogs"\RTDC4010\2017-05-06 &amp; aws s3 cp s3://rtdc.mdm.uploadarchive.raw/RTDC4010/ "%USERPROFILE%\AppData\Local\Temp\OnboardLogs"\RTDC4010\2017-05-07 --exclude "*" --recursive --include "*20170507*" &amp; "%USERPROFILE%\Documents\GitHub\mrs-test-scripts\Headless Mode &amp; Sideloading\WalkAndUnGZ.bat" "%USERPROFILE%\AppData\Local\Temp\OnboardLogs"\RTDC4010\2017-05-07</v>
      </c>
      <c r="AF53" s="77" t="str">
        <f t="shared" si="13"/>
        <v>"C:\Program Files (x86)\AstroGrep\AstroGrep.exe" /e /r /s /spath="%USERPROFILE%\AppData\Local\Temp\OnboardLogs" /stypes="app*4010*20170506*" /stext=" 16:.+((SYSTEM_STATE.+slice.+state.+changed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147-06 --locoid 4010 --swversion DE.1.0.9.0 --startMP 204:458 --initTime 2017-05-06T09:24:47 --startdatetime 2017-05-06T09:30:17 --delay 1 --endMP 204:233329 --enddatetime 2017-05-06T10:06:08 --enforcementcount 0 &gt;&gt;C:\Users\stu\Documents\GitHub\eaglep3-reporting\EC\2017-05-06-refined-times.txt</v>
      </c>
      <c r="AI53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{"issue":{"subject":"","project_id":79,"tracker_id":40,"status_id":1,"priority_id":2,"assigned_to_id":23,"start_date":"2017-05-06","description":"","custom_fields":[{"id":1,"name":"Subdivision","value":"EC"},{"id":4,"name":"Milepost","value":"23.3329"},{"id":17,"name":"Train ID","value":"147-06"},{"id":16,"name":"Locomotive ID","value":"4010"},{"id":130,"name":"Impact","value":""},{"id":150,"name":"Time of Event (Mountain Time)","value":"10:06:08"},{"id":151,"name":"Denver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4010 --day 2017-05-06</v>
      </c>
      <c r="AN53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16:06:08"},{"id":29,"name":"Sharepoint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635</v>
      </c>
      <c r="B54" s="7">
        <v>4009</v>
      </c>
      <c r="C54" s="21" t="s">
        <v>210</v>
      </c>
      <c r="D54" s="21" t="s">
        <v>796</v>
      </c>
      <c r="E54" s="13">
        <v>42861.430590277778</v>
      </c>
      <c r="F54" s="13">
        <v>42861.446400462963</v>
      </c>
      <c r="G54" s="7">
        <v>22</v>
      </c>
      <c r="H54" s="21" t="s">
        <v>454</v>
      </c>
      <c r="I54" s="13">
        <v>42861.466331018521</v>
      </c>
      <c r="J54" s="7">
        <v>0</v>
      </c>
      <c r="K54" s="92" t="str">
        <f t="shared" si="0"/>
        <v>4009/4010</v>
      </c>
      <c r="L54" s="21" t="str">
        <f>VLOOKUP(A54,'Trips&amp;Operators'!$C$1:$G$99999,5,FALSE)</f>
        <v>GEBRETEKLE DAGNEW</v>
      </c>
      <c r="M54" s="6">
        <f t="shared" si="1"/>
        <v>1.9930555557948537E-2</v>
      </c>
      <c r="N54" s="7"/>
      <c r="O54" s="7"/>
      <c r="P54" s="7">
        <f t="shared" si="2"/>
        <v>28.700000003445894</v>
      </c>
      <c r="Q54" s="22"/>
      <c r="R54" s="190" t="s">
        <v>1040</v>
      </c>
      <c r="S54" s="196">
        <f t="shared" si="3"/>
        <v>0</v>
      </c>
      <c r="T54" s="190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0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-06T09:20:03-0600',mode:absolute,to:'2017-05-06T12:11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4" s="192" t="str">
        <f t="shared" si="6"/>
        <v>Y</v>
      </c>
      <c r="X54" s="192">
        <f t="shared" si="23"/>
        <v>1</v>
      </c>
      <c r="Y54" s="192">
        <f t="shared" si="8"/>
        <v>12.7852</v>
      </c>
      <c r="Z54" s="192">
        <f t="shared" si="9"/>
        <v>23.300999999999998</v>
      </c>
      <c r="AA54" s="192">
        <f t="shared" si="10"/>
        <v>10.515799999999999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0148-06</v>
      </c>
      <c r="AE54" s="80" t="str">
        <f t="shared" si="12"/>
        <v>aws s3 cp s3://rtdc.mdm.uploadarchive.raw/RTDC4009/ "%USERPROFILE%\AppData\Local\Temp\OnboardLogs"\RTDC4009\2017-05-06 --exclude "*" --recursive --include "*20170506*" &amp; "%USERPROFILE%\Documents\GitHub\mrs-test-scripts\Headless Mode &amp; Sideloading\WalkAndUnGZ.bat" "%USERPROFILE%\AppData\Local\Temp\OnboardLogs"\RTDC4009\2017-05-06 &amp; aws s3 cp s3://rtdc.mdm.uploadarchive.raw/RTDC4009/ "%USERPROFILE%\AppData\Local\Temp\OnboardLogs"\RTDC4009\2017-05-07 --exclude "*" --recursive --include "*20170507*" &amp; "%USERPROFILE%\Documents\GitHub\mrs-test-scripts\Headless Mode &amp; Sideloading\WalkAndUnGZ.bat" "%USERPROFILE%\AppData\Local\Temp\OnboardLogs"\RTDC4009\2017-05-07</v>
      </c>
      <c r="AF54" s="77" t="str">
        <f t="shared" si="13"/>
        <v>"C:\Program Files (x86)\AstroGrep\AstroGrep.exe" /e /r /s /spath="%USERPROFILE%\AppData\Local\Temp\OnboardLogs" /stypes="app*4009*20170506*" /stext=" 17:.+((SYSTEM_STATE.+slice.+state.+changed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148-06 --locoid 4009 --swversion DE.1.0.9.0 --startMP 204:127852 --initTime 2017-05-06T10:20:03 --startdatetime 2017-05-06T10:42:49 --delay 22 --endMP 204:233010 --enddatetime 2017-05-06T11:11:31 --enforcementcount 0 &gt;&gt;C:\Users\stu\Documents\GitHub\eaglep3-reporting\EC\2017-05-06-refined-times.txt</v>
      </c>
      <c r="AI54" s="99" t="str">
        <f t="shared" si="20"/>
        <v>echo {"issue":{"subject":"Onboard in-route failure","project_id":79,"tracker_id":40,"status_id":1,"priority_id":2,"assigned_to_id":23,"start_date":"2017-05-06","description":"","custom_fields":[{"id":1,"name":"Subdivision","value":"EC"},{"id":4,"name":"Milepost","value":"23.301"},{"id":17,"name":"Train ID","value":"148-06"},{"id":16,"name":"Locomotive ID","value":"4009"},{"id":130,"name":"Impact","value":""},{"id":150,"name":"Time of Event (Mountain Time)","value":"11:11:31"},{"id":151,"name":"Denver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4009 --day 2017-05-06</v>
      </c>
      <c r="AN54" s="154" t="str">
        <f t="shared" si="22"/>
        <v>echo {"issue":{"subject":"Onboard in-route failure","project_id":30,"tracker_id":4,"status_id":1,"priority_id":1,"assigned_to_id":10,"start_date":"2017-05-06","description":"","custom_fields":[{"id":30,"name":"Category","value":"Issue"},{"id":3,"name":"Functional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17:11:31"},{"id":29,"name":"Sharepoint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631</v>
      </c>
      <c r="B55" s="7">
        <v>4024</v>
      </c>
      <c r="C55" s="21" t="s">
        <v>210</v>
      </c>
      <c r="D55" s="21" t="s">
        <v>393</v>
      </c>
      <c r="E55" s="13">
        <v>42861.403148148151</v>
      </c>
      <c r="F55" s="13">
        <v>42861.406446759262</v>
      </c>
      <c r="G55" s="7">
        <v>1</v>
      </c>
      <c r="H55" s="21" t="s">
        <v>797</v>
      </c>
      <c r="I55" s="13">
        <v>42861.434444444443</v>
      </c>
      <c r="J55" s="7">
        <v>0</v>
      </c>
      <c r="K55" s="92" t="str">
        <f t="shared" si="0"/>
        <v>4023/4024</v>
      </c>
      <c r="L55" s="21" t="str">
        <f>VLOOKUP(A55,'Trips&amp;Operators'!$C$1:$G$99999,5,FALSE)</f>
        <v>ROBINSON KADDIBA</v>
      </c>
      <c r="M55" s="6">
        <f t="shared" si="1"/>
        <v>2.7997685181617271E-2</v>
      </c>
      <c r="N55" s="7">
        <f t="shared" si="2"/>
        <v>40.31666666152887</v>
      </c>
      <c r="O55" s="7"/>
      <c r="P55" s="7"/>
      <c r="Q55" s="22"/>
      <c r="R55" s="190"/>
      <c r="S55" s="196">
        <f t="shared" si="3"/>
        <v>1</v>
      </c>
      <c r="T55" s="190" t="str">
        <f t="shared" si="4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-06T08:40:32-0600',mode:absolute,to:'2017-05-06T11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5" s="192" t="str">
        <f t="shared" si="6"/>
        <v>N</v>
      </c>
      <c r="X55" s="192">
        <f t="shared" si="23"/>
        <v>1</v>
      </c>
      <c r="Y55" s="192">
        <f t="shared" si="8"/>
        <v>4.53E-2</v>
      </c>
      <c r="Z55" s="192">
        <f t="shared" si="9"/>
        <v>23.334299999999999</v>
      </c>
      <c r="AA55" s="192">
        <f t="shared" si="10"/>
        <v>23.288999999999998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0149-06</v>
      </c>
      <c r="AE55" s="80" t="str">
        <f t="shared" si="12"/>
        <v>aws s3 cp s3://rtdc.mdm.uploadarchive.raw/RTDC4024/ "%USERPROFILE%\AppData\Local\Temp\OnboardLogs"\RTDC4024\2017-05-06 --exclude "*" --recursive --include "*20170506*" &amp; "%USERPROFILE%\Documents\GitHub\mrs-test-scripts\Headless Mode &amp; Sideloading\WalkAndUnGZ.bat" "%USERPROFILE%\AppData\Local\Temp\OnboardLogs"\RTDC4024\2017-05-06 &amp; aws s3 cp s3://rtdc.mdm.uploadarchive.raw/RTDC4024/ "%USERPROFILE%\AppData\Local\Temp\OnboardLogs"\RTDC4024\2017-05-07 --exclude "*" --recursive --include "*20170507*" &amp; "%USERPROFILE%\Documents\GitHub\mrs-test-scripts\Headless Mode &amp; Sideloading\WalkAndUnGZ.bat" "%USERPROFILE%\AppData\Local\Temp\OnboardLogs"\RTDC4024\2017-05-07</v>
      </c>
      <c r="AF55" s="77" t="str">
        <f t="shared" si="13"/>
        <v>"C:\Program Files (x86)\AstroGrep\AstroGrep.exe" /e /r /s /spath="%USERPROFILE%\AppData\Local\Temp\OnboardLogs" /stypes="app*4024*20170506*" /stext=" 16:.+((SYSTEM_STATE.+slice.+state.+changed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149-06 --locoid 4024 --swversion DE.1.0.9.0 --startMP 204:453 --initTime 2017-05-06T09:40:32 --startdatetime 2017-05-06T09:45:17 --delay 1 --endMP 204:233343 --enddatetime 2017-05-06T10:25:36 --enforcementcount 0 &gt;&gt;C:\Users\stu\Documents\GitHub\eaglep3-reporting\EC\2017-05-06-refined-times.txt</v>
      </c>
      <c r="AI55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{"issue":{"subject":"","project_id":79,"tracker_id":40,"status_id":1,"priority_id":2,"assigned_to_id":23,"start_date":"2017-05-06","description":"","custom_fields":[{"id":1,"name":"Subdivision","value":"EC"},{"id":4,"name":"Milepost","value":"23.3343"},{"id":17,"name":"Train ID","value":"149-06"},{"id":16,"name":"Locomotive ID","value":"4024"},{"id":130,"name":"Impact","value":""},{"id":150,"name":"Time of Event (Mountain Time)","value":"10:25:36"},{"id":151,"name":"Denver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4024 --day 2017-05-06</v>
      </c>
      <c r="AN55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16:25:36"},{"id":29,"name":"Sharepoint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640</v>
      </c>
      <c r="B56" s="7">
        <v>4023</v>
      </c>
      <c r="C56" s="21" t="s">
        <v>210</v>
      </c>
      <c r="D56" s="21" t="s">
        <v>798</v>
      </c>
      <c r="E56" s="13">
        <v>42861.443599537037</v>
      </c>
      <c r="F56" s="13">
        <v>42861.445370370369</v>
      </c>
      <c r="G56" s="7">
        <v>1</v>
      </c>
      <c r="H56" s="21" t="s">
        <v>411</v>
      </c>
      <c r="I56" s="13">
        <v>42861.473634259259</v>
      </c>
      <c r="J56" s="7">
        <v>0</v>
      </c>
      <c r="K56" s="92" t="str">
        <f t="shared" si="0"/>
        <v>4023/4024</v>
      </c>
      <c r="L56" s="21" t="str">
        <f>VLOOKUP(A56,'Trips&amp;Operators'!$C$1:$G$99999,5,FALSE)</f>
        <v>ROBINSON KADDIBA</v>
      </c>
      <c r="M56" s="6">
        <f t="shared" si="1"/>
        <v>2.8263888889341615E-2</v>
      </c>
      <c r="N56" s="7">
        <f t="shared" si="2"/>
        <v>40.700000000651926</v>
      </c>
      <c r="O56" s="7"/>
      <c r="P56" s="7"/>
      <c r="Q56" s="22"/>
      <c r="R56" s="190"/>
      <c r="S56" s="196">
        <f t="shared" si="3"/>
        <v>1</v>
      </c>
      <c r="T56" s="190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-06T09:38:47-0600',mode:absolute,to:'2017-05-06T12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6" s="192" t="str">
        <f t="shared" si="6"/>
        <v>N</v>
      </c>
      <c r="X56" s="192">
        <f t="shared" si="23"/>
        <v>1</v>
      </c>
      <c r="Y56" s="192">
        <f t="shared" si="8"/>
        <v>23.303000000000001</v>
      </c>
      <c r="Z56" s="192">
        <f t="shared" si="9"/>
        <v>1.6299999999999999E-2</v>
      </c>
      <c r="AA56" s="192">
        <f t="shared" si="10"/>
        <v>23.2867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0150-06</v>
      </c>
      <c r="AE56" s="80" t="str">
        <f t="shared" si="12"/>
        <v>aws s3 cp s3://rtdc.mdm.uploadarchive.raw/RTDC4023/ "%USERPROFILE%\AppData\Local\Temp\OnboardLogs"\RTDC4023\2017-05-06 --exclude "*" --recursive --include "*20170506*" &amp; "%USERPROFILE%\Documents\GitHub\mrs-test-scripts\Headless Mode &amp; Sideloading\WalkAndUnGZ.bat" "%USERPROFILE%\AppData\Local\Temp\OnboardLogs"\RTDC4023\2017-05-06 &amp; aws s3 cp s3://rtdc.mdm.uploadarchive.raw/RTDC4023/ "%USERPROFILE%\AppData\Local\Temp\OnboardLogs"\RTDC4023\2017-05-07 --exclude "*" --recursive --include "*20170507*" &amp; "%USERPROFILE%\Documents\GitHub\mrs-test-scripts\Headless Mode &amp; Sideloading\WalkAndUnGZ.bat" "%USERPROFILE%\AppData\Local\Temp\OnboardLogs"\RTDC4023\2017-05-07</v>
      </c>
      <c r="AF56" s="77" t="str">
        <f t="shared" si="13"/>
        <v>"C:\Program Files (x86)\AstroGrep\AstroGrep.exe" /e /r /s /spath="%USERPROFILE%\AppData\Local\Temp\OnboardLogs" /stypes="app*4023*20170506*" /stext=" 17:.+((SYSTEM_STATE.+slice.+state.+changed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150-06 --locoid 4023 --swversion DE.1.0.9.0 --startMP 204:233030 --initTime 2017-05-06T10:38:47 --startdatetime 2017-05-06T10:41:20 --delay 1 --endMP 204:163 --enddatetime 2017-05-06T11:22:02 --enforcementcount 0 &gt;&gt;C:\Users\stu\Documents\GitHub\eaglep3-reporting\EC\2017-05-06-refined-times.txt</v>
      </c>
      <c r="AI56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{"issue":{"subject":"","project_id":79,"tracker_id":40,"status_id":1,"priority_id":2,"assigned_to_id":23,"start_date":"2017-05-06","description":"","custom_fields":[{"id":1,"name":"Subdivision","value":"EC"},{"id":4,"name":"Milepost","value":"0.0163"},{"id":17,"name":"Train ID","value":"150-06"},{"id":16,"name":"Locomotive ID","value":"4023"},{"id":130,"name":"Impact","value":""},{"id":150,"name":"Time of Event (Mountain Time)","value":"11:22:02"},{"id":151,"name":"Denver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4023 --day 2017-05-06</v>
      </c>
      <c r="AN56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17:22:02"},{"id":29,"name":"Sharepoint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632</v>
      </c>
      <c r="B57" s="7">
        <v>4004</v>
      </c>
      <c r="C57" s="21" t="s">
        <v>210</v>
      </c>
      <c r="D57" s="21" t="s">
        <v>375</v>
      </c>
      <c r="E57" s="13">
        <v>42861.414259259262</v>
      </c>
      <c r="F57" s="13">
        <v>42861.416909722226</v>
      </c>
      <c r="G57" s="7">
        <v>1</v>
      </c>
      <c r="H57" s="21" t="s">
        <v>791</v>
      </c>
      <c r="I57" s="13">
        <v>42861.44295138889</v>
      </c>
      <c r="J57" s="7">
        <v>0</v>
      </c>
      <c r="K57" s="92" t="str">
        <f t="shared" si="0"/>
        <v>4003/4004</v>
      </c>
      <c r="L57" s="21" t="str">
        <f>VLOOKUP(A57,'Trips&amp;Operators'!$C$1:$G$99999,5,FALSE)</f>
        <v>MAELZER KURT</v>
      </c>
      <c r="M57" s="6">
        <f t="shared" si="1"/>
        <v>2.6041666664241347E-2</v>
      </c>
      <c r="N57" s="7">
        <f t="shared" si="2"/>
        <v>37.49999999650754</v>
      </c>
      <c r="O57" s="7"/>
      <c r="P57" s="7"/>
      <c r="Q57" s="22"/>
      <c r="R57" s="190"/>
      <c r="S57" s="196">
        <f t="shared" si="3"/>
        <v>1</v>
      </c>
      <c r="T57" s="190" t="str">
        <f t="shared" si="4"/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-06T08:56:32-0600',mode:absolute,to:'2017-05-06T11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7" s="192" t="str">
        <f t="shared" si="6"/>
        <v>N</v>
      </c>
      <c r="X57" s="192">
        <f t="shared" si="23"/>
        <v>1</v>
      </c>
      <c r="Y57" s="192">
        <f t="shared" si="8"/>
        <v>4.58E-2</v>
      </c>
      <c r="Z57" s="192">
        <f t="shared" si="9"/>
        <v>23.334399999999999</v>
      </c>
      <c r="AA57" s="192">
        <f t="shared" si="10"/>
        <v>23.288599999999999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0151-06</v>
      </c>
      <c r="AE57" s="80" t="str">
        <f t="shared" si="12"/>
        <v>aws s3 cp s3://rtdc.mdm.uploadarchive.raw/RTDC4004/ "%USERPROFILE%\AppData\Local\Temp\OnboardLogs"\RTDC4004\2017-05-06 --exclude "*" --recursive --include "*20170506*" &amp; "%USERPROFILE%\Documents\GitHub\mrs-test-scripts\Headless Mode &amp; Sideloading\WalkAndUnGZ.bat" "%USERPROFILE%\AppData\Local\Temp\OnboardLogs"\RTDC4004\2017-05-06 &amp; 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</v>
      </c>
      <c r="AF57" s="77" t="str">
        <f t="shared" si="13"/>
        <v>"C:\Program Files (x86)\AstroGrep\AstroGrep.exe" /e /r /s /spath="%USERPROFILE%\AppData\Local\Temp\OnboardLogs" /stypes="app*4004*20170506*" /stext=" 16:.+((SYSTEM_STATE.+slice.+state.+changed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151-06 --locoid 4004 --swversion DE.1.0.9.0 --startMP 204:458 --initTime 2017-05-06T09:56:32 --startdatetime 2017-05-06T10:00:21 --delay 1 --endMP 204:233344 --enddatetime 2017-05-06T10:37:51 --enforcementcount 0 &gt;&gt;C:\Users\stu\Documents\GitHub\eaglep3-reporting\EC\2017-05-06-refined-times.txt</v>
      </c>
      <c r="AI57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{"issue":{"subject":"","project_id":79,"tracker_id":40,"status_id":1,"priority_id":2,"assigned_to_id":23,"start_date":"2017-05-06","description":"","custom_fields":[{"id":1,"name":"Subdivision","value":"EC"},{"id":4,"name":"Milepost","value":"23.3344"},{"id":17,"name":"Train ID","value":"151-06"},{"id":16,"name":"Locomotive ID","value":"4004"},{"id":130,"name":"Impact","value":""},{"id":150,"name":"Time of Event (Mountain Time)","value":"10:37:51"},{"id":151,"name":"Denver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4004 --day 2017-05-06</v>
      </c>
      <c r="AN57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16:37:51"},{"id":29,"name":"Sharepoint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641</v>
      </c>
      <c r="B58" s="7">
        <v>4003</v>
      </c>
      <c r="C58" s="21" t="s">
        <v>210</v>
      </c>
      <c r="D58" s="21" t="s">
        <v>480</v>
      </c>
      <c r="E58" s="13">
        <v>42861.446840277778</v>
      </c>
      <c r="F58" s="13">
        <v>42861.455995370372</v>
      </c>
      <c r="G58" s="7">
        <v>1</v>
      </c>
      <c r="H58" s="21" t="s">
        <v>416</v>
      </c>
      <c r="I58" s="13">
        <v>42861.485509259262</v>
      </c>
      <c r="J58" s="7">
        <v>0</v>
      </c>
      <c r="K58" s="92" t="str">
        <f t="shared" si="0"/>
        <v>4003/4004</v>
      </c>
      <c r="L58" s="21" t="str">
        <f>VLOOKUP(A58,'Trips&amp;Operators'!$C$1:$G$99999,5,FALSE)</f>
        <v>MAELZER KURT</v>
      </c>
      <c r="M58" s="6">
        <f t="shared" si="1"/>
        <v>2.9513888890505768E-2</v>
      </c>
      <c r="N58" s="7">
        <f t="shared" si="2"/>
        <v>42.500000002328306</v>
      </c>
      <c r="O58" s="7"/>
      <c r="P58" s="7"/>
      <c r="Q58" s="22"/>
      <c r="R58" s="190"/>
      <c r="S58" s="196">
        <f t="shared" si="3"/>
        <v>1</v>
      </c>
      <c r="T58" s="190" t="str">
        <f t="shared" si="4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-06T09:43:27-0600',mode:absolute,to:'2017-05-06T12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8" s="192" t="str">
        <f t="shared" si="6"/>
        <v>N</v>
      </c>
      <c r="X58" s="192">
        <f t="shared" si="23"/>
        <v>1</v>
      </c>
      <c r="Y58" s="192">
        <f t="shared" si="8"/>
        <v>23.303999999999998</v>
      </c>
      <c r="Z58" s="192">
        <f t="shared" si="9"/>
        <v>1.47E-2</v>
      </c>
      <c r="AA58" s="192">
        <f t="shared" si="10"/>
        <v>23.289299999999997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0152-06</v>
      </c>
      <c r="AE58" s="80" t="str">
        <f t="shared" si="12"/>
        <v>aws s3 cp s3://rtdc.mdm.uploadarchive.raw/RTDC4003/ "%USERPROFILE%\AppData\Local\Temp\OnboardLogs"\RTDC4003\2017-05-06 --exclude "*" --recursive --include "*20170506*" &amp; "%USERPROFILE%\Documents\GitHub\mrs-test-scripts\Headless Mode &amp; Sideloading\WalkAndUnGZ.bat" "%USERPROFILE%\AppData\Local\Temp\OnboardLogs"\RTDC4003\2017-05-06 &amp; 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</v>
      </c>
      <c r="AF58" s="77" t="str">
        <f t="shared" si="13"/>
        <v>"C:\Program Files (x86)\AstroGrep\AstroGrep.exe" /e /r /s /spath="%USERPROFILE%\AppData\Local\Temp\OnboardLogs" /stypes="app*4003*20170506*" /stext=" 17:.+((SYSTEM_STATE.+slice.+state.+changed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152-06 --locoid 4003 --swversion DE.1.0.9.0 --startMP 204:233040 --initTime 2017-05-06T10:43:27 --startdatetime 2017-05-06T10:56:38 --delay 1 --endMP 204:147 --enddatetime 2017-05-06T11:39:08 --enforcementcount 0 &gt;&gt;C:\Users\stu\Documents\GitHub\eaglep3-reporting\EC\2017-05-06-refined-times.txt</v>
      </c>
      <c r="AI58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{"issue":{"subject":"","project_id":79,"tracker_id":40,"status_id":1,"priority_id":2,"assigned_to_id":23,"start_date":"2017-05-06","description":"","custom_fields":[{"id":1,"name":"Subdivision","value":"EC"},{"id":4,"name":"Milepost","value":"0.0147"},{"id":17,"name":"Train ID","value":"152-06"},{"id":16,"name":"Locomotive ID","value":"4003"},{"id":130,"name":"Impact","value":""},{"id":150,"name":"Time of Event (Mountain Time)","value":"11:39:08"},{"id":151,"name":"Denver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4003 --day 2017-05-06</v>
      </c>
      <c r="AN58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17:39:08"},{"id":29,"name":"Sharepoint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531</v>
      </c>
      <c r="B59" s="7">
        <v>4041</v>
      </c>
      <c r="C59" s="21" t="s">
        <v>210</v>
      </c>
      <c r="D59" s="21" t="s">
        <v>784</v>
      </c>
      <c r="E59" s="13">
        <v>42861.454050925924</v>
      </c>
      <c r="F59" s="13">
        <v>42861.466168981482</v>
      </c>
      <c r="G59" s="7">
        <v>1</v>
      </c>
      <c r="H59" s="21" t="s">
        <v>799</v>
      </c>
      <c r="I59" s="13">
        <v>42861.496192129627</v>
      </c>
      <c r="J59" s="7">
        <v>0</v>
      </c>
      <c r="K59" s="92" t="str">
        <f t="shared" si="0"/>
        <v>4041/4042</v>
      </c>
      <c r="L59" s="21" t="str">
        <f>VLOOKUP(A59,'Trips&amp;Operators'!$C$1:$G$99999,5,FALSE)</f>
        <v>LOPES KIMBERLY</v>
      </c>
      <c r="M59" s="6">
        <f t="shared" si="1"/>
        <v>3.0023148145119194E-2</v>
      </c>
      <c r="N59" s="7">
        <f t="shared" si="2"/>
        <v>43.233333328971639</v>
      </c>
      <c r="O59" s="7"/>
      <c r="P59" s="7"/>
      <c r="Q59" s="22"/>
      <c r="R59" s="190"/>
      <c r="S59" s="196">
        <f t="shared" si="3"/>
        <v>1</v>
      </c>
      <c r="T59" s="190" t="str">
        <f t="shared" si="4"/>
        <v>Southbound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-06T09:53:50-0600',mode:absolute,to:'2017-05-06T12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9" s="192" t="str">
        <f t="shared" si="6"/>
        <v>N</v>
      </c>
      <c r="X59" s="192">
        <f t="shared" si="23"/>
        <v>2</v>
      </c>
      <c r="Y59" s="192">
        <f t="shared" si="8"/>
        <v>23.299399999999999</v>
      </c>
      <c r="Z59" s="192">
        <f t="shared" si="9"/>
        <v>0.1062</v>
      </c>
      <c r="AA59" s="192">
        <f t="shared" si="10"/>
        <v>23.193199999999997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0154-06</v>
      </c>
      <c r="AE59" s="80" t="str">
        <f t="shared" si="12"/>
        <v>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 &amp; 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</v>
      </c>
      <c r="AF59" s="77" t="str">
        <f t="shared" si="13"/>
        <v>"C:\Program Files (x86)\AstroGrep\AstroGrep.exe" /e /r /s /spath="%USERPROFILE%\AppData\Local\Temp\OnboardLogs" /stypes="app*4041*20170506*" /stext=" 17:.+((SYSTEM_STATE.+slice.+state.+changed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154-06 --locoid 4041 --swversion DE.1.0.9.0 --startMP 204:232994 --initTime 2017-05-06T10:53:50 --startdatetime 2017-05-06T11:11:17 --delay 1 --endMP 204:1062 --enddatetime 2017-05-06T11:54:31 --enforcementcount 0 &gt;&gt;C:\Users\stu\Documents\GitHub\eaglep3-reporting\EC\2017-05-06-refined-times.txt</v>
      </c>
      <c r="AI59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{"issue":{"subject":"","project_id":79,"tracker_id":40,"status_id":1,"priority_id":2,"assigned_to_id":23,"start_date":"2017-05-06","description":"","custom_fields":[{"id":1,"name":"Subdivision","value":"EC"},{"id":4,"name":"Milepost","value":"0.1062"},{"id":17,"name":"Train ID","value":"154-06"},{"id":16,"name":"Locomotive ID","value":"4041"},{"id":130,"name":"Impact","value":""},{"id":150,"name":"Time of Event (Mountain Time)","value":"11:54:31"},{"id":151,"name":"Denver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4041 --day 2017-05-06</v>
      </c>
      <c r="AN59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17:54:31"},{"id":29,"name":"Sharepoint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636</v>
      </c>
      <c r="B60" s="7">
        <v>4054</v>
      </c>
      <c r="C60" s="21" t="s">
        <v>210</v>
      </c>
      <c r="D60" s="21" t="s">
        <v>800</v>
      </c>
      <c r="E60" s="13">
        <v>42861.435381944444</v>
      </c>
      <c r="F60" s="13">
        <v>42861.440567129626</v>
      </c>
      <c r="G60" s="7">
        <v>2</v>
      </c>
      <c r="H60" s="21" t="s">
        <v>801</v>
      </c>
      <c r="I60" s="13">
        <v>42861.465428240743</v>
      </c>
      <c r="J60" s="7">
        <v>0</v>
      </c>
      <c r="K60" s="92" t="str">
        <f t="shared" si="0"/>
        <v>4053/4054</v>
      </c>
      <c r="L60" s="21" t="str">
        <f>VLOOKUP(A60,'Trips&amp;Operators'!$C$1:$G$99999,5,FALSE)</f>
        <v>ROMERO CHAD</v>
      </c>
      <c r="M60" s="6">
        <f t="shared" si="1"/>
        <v>2.4861111116479151E-2</v>
      </c>
      <c r="N60" s="7">
        <f t="shared" si="2"/>
        <v>35.800000007729977</v>
      </c>
      <c r="O60" s="7"/>
      <c r="P60" s="7"/>
      <c r="Q60" s="22"/>
      <c r="R60" s="190"/>
      <c r="S60" s="196">
        <f t="shared" si="3"/>
        <v>1</v>
      </c>
      <c r="T60" s="190" t="str">
        <f t="shared" si="4"/>
        <v>NorthBound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-06T09:26:57-0600',mode:absolute,to:'2017-05-06T12:10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0" s="192" t="str">
        <f t="shared" si="6"/>
        <v>N</v>
      </c>
      <c r="X60" s="192">
        <f t="shared" si="23"/>
        <v>1</v>
      </c>
      <c r="Y60" s="192">
        <f t="shared" si="8"/>
        <v>4.6699999999999998E-2</v>
      </c>
      <c r="Z60" s="192">
        <f t="shared" si="9"/>
        <v>23.338000000000001</v>
      </c>
      <c r="AA60" s="192">
        <f t="shared" si="10"/>
        <v>23.2913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0155-06</v>
      </c>
      <c r="AE60" s="80" t="str">
        <f t="shared" si="12"/>
        <v>aws s3 cp s3://rtdc.mdm.uploadarchive.raw/RTDC4054/ "%USERPROFILE%\AppData\Local\Temp\OnboardLogs"\RTDC4054\2017-05-06 --exclude "*" --recursive --include "*20170506*" &amp; "%USERPROFILE%\Documents\GitHub\mrs-test-scripts\Headless Mode &amp; Sideloading\WalkAndUnGZ.bat" "%USERPROFILE%\AppData\Local\Temp\OnboardLogs"\RTDC4054\2017-05-06 &amp; aws s3 cp s3://rtdc.mdm.uploadarchive.raw/RTDC4054/ "%USERPROFILE%\AppData\Local\Temp\OnboardLogs"\RTDC4054\2017-05-07 --exclude "*" --recursive --include "*20170507*" &amp; "%USERPROFILE%\Documents\GitHub\mrs-test-scripts\Headless Mode &amp; Sideloading\WalkAndUnGZ.bat" "%USERPROFILE%\AppData\Local\Temp\OnboardLogs"\RTDC4054\2017-05-07</v>
      </c>
      <c r="AF60" s="77" t="str">
        <f t="shared" si="13"/>
        <v>"C:\Program Files (x86)\AstroGrep\AstroGrep.exe" /e /r /s /spath="%USERPROFILE%\AppData\Local\Temp\OnboardLogs" /stypes="app*4054*20170506*" /stext=" 17:.+((SYSTEM_STATE.+slice.+state.+changed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155-06 --locoid 4054 --swversion DE.1.0.9.0 --startMP 204:467 --initTime 2017-05-06T10:26:57 --startdatetime 2017-05-06T10:34:25 --delay 2 --endMP 204:233380 --enddatetime 2017-05-06T11:10:13 --enforcementcount 0 &gt;&gt;C:\Users\stu\Documents\GitHub\eaglep3-reporting\EC\2017-05-06-refined-times.txt</v>
      </c>
      <c r="AI60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{"issue":{"subject":"","project_id":79,"tracker_id":40,"status_id":1,"priority_id":2,"assigned_to_id":23,"start_date":"2017-05-06","description":"","custom_fields":[{"id":1,"name":"Subdivision","value":"EC"},{"id":4,"name":"Milepost","value":"23.338"},{"id":17,"name":"Train ID","value":"155-06"},{"id":16,"name":"Locomotive ID","value":"4054"},{"id":130,"name":"Impact","value":""},{"id":150,"name":"Time of Event (Mountain Time)","value":"11:10:13"},{"id":151,"name":"Denver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4054 --day 2017-05-06</v>
      </c>
      <c r="AN60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17:10:13"},{"id":29,"name":"Sharepoint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649</v>
      </c>
      <c r="B61" s="7">
        <v>4053</v>
      </c>
      <c r="C61" s="21" t="s">
        <v>210</v>
      </c>
      <c r="D61" s="21" t="s">
        <v>802</v>
      </c>
      <c r="E61" s="13">
        <v>42861.467037037037</v>
      </c>
      <c r="F61" s="13">
        <v>42861.476631944446</v>
      </c>
      <c r="G61" s="7">
        <v>1</v>
      </c>
      <c r="H61" s="21" t="s">
        <v>486</v>
      </c>
      <c r="I61" s="13">
        <v>42861.502928240741</v>
      </c>
      <c r="J61" s="7">
        <v>0</v>
      </c>
      <c r="K61" s="92" t="str">
        <f t="shared" si="0"/>
        <v>4053/4054</v>
      </c>
      <c r="L61" s="21" t="str">
        <f>VLOOKUP(A61,'Trips&amp;Operators'!$C$1:$G$99999,5,FALSE)</f>
        <v>ROMERO CHAD</v>
      </c>
      <c r="M61" s="6">
        <f t="shared" si="1"/>
        <v>2.6296296295186039E-2</v>
      </c>
      <c r="N61" s="7">
        <f t="shared" si="2"/>
        <v>37.866666665067896</v>
      </c>
      <c r="O61" s="7"/>
      <c r="P61" s="7"/>
      <c r="Q61" s="22"/>
      <c r="R61" s="190"/>
      <c r="S61" s="196">
        <f t="shared" si="3"/>
        <v>1</v>
      </c>
      <c r="T61" s="190" t="str">
        <f t="shared" si="4"/>
        <v>Southbound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-06T10:12:32-0600',mode:absolute,to:'2017-05-06T13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1" s="192" t="str">
        <f t="shared" si="6"/>
        <v>N</v>
      </c>
      <c r="X61" s="192">
        <f t="shared" si="23"/>
        <v>1</v>
      </c>
      <c r="Y61" s="192">
        <f t="shared" si="8"/>
        <v>23.307600000000001</v>
      </c>
      <c r="Z61" s="192">
        <f t="shared" si="9"/>
        <v>1.34E-2</v>
      </c>
      <c r="AA61" s="192">
        <f t="shared" si="10"/>
        <v>23.2942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0156-06</v>
      </c>
      <c r="AE61" s="80" t="str">
        <f t="shared" si="12"/>
        <v>aws s3 cp s3://rtdc.mdm.uploadarchive.raw/RTDC4053/ "%USERPROFILE%\AppData\Local\Temp\OnboardLogs"\RTDC4053\2017-05-06 --exclude "*" --recursive --include "*20170506*" &amp; "%USERPROFILE%\Documents\GitHub\mrs-test-scripts\Headless Mode &amp; Sideloading\WalkAndUnGZ.bat" "%USERPROFILE%\AppData\Local\Temp\OnboardLogs"\RTDC4053\2017-05-06 &amp; aws s3 cp s3://rtdc.mdm.uploadarchive.raw/RTDC4053/ "%USERPROFILE%\AppData\Local\Temp\OnboardLogs"\RTDC4053\2017-05-07 --exclude "*" --recursive --include "*20170507*" &amp; "%USERPROFILE%\Documents\GitHub\mrs-test-scripts\Headless Mode &amp; Sideloading\WalkAndUnGZ.bat" "%USERPROFILE%\AppData\Local\Temp\OnboardLogs"\RTDC4053\2017-05-07</v>
      </c>
      <c r="AF61" s="77" t="str">
        <f t="shared" si="13"/>
        <v>"C:\Program Files (x86)\AstroGrep\AstroGrep.exe" /e /r /s /spath="%USERPROFILE%\AppData\Local\Temp\OnboardLogs" /stypes="app*4053*20170506*" /stext=" 18:.+((SYSTEM_STATE.+slice.+state.+changed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156-06 --locoid 4053 --swversion DE.1.0.9.0 --startMP 204:233076 --initTime 2017-05-06T11:12:32 --startdatetime 2017-05-06T11:26:21 --delay 1 --endMP 204:134 --enddatetime 2017-05-06T12:04:13 --enforcementcount 0 &gt;&gt;C:\Users\stu\Documents\GitHub\eaglep3-reporting\EC\2017-05-06-refined-times.txt</v>
      </c>
      <c r="AI61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{"issue":{"subject":"","project_id":79,"tracker_id":40,"status_id":1,"priority_id":2,"assigned_to_id":23,"start_date":"2017-05-06","description":"","custom_fields":[{"id":1,"name":"Subdivision","value":"EC"},{"id":4,"name":"Milepost","value":"0.0134"},{"id":17,"name":"Train ID","value":"156-06"},{"id":16,"name":"Locomotive ID","value":"4053"},{"id":130,"name":"Impact","value":""},{"id":150,"name":"Time of Event (Mountain Time)","value":"12:04:13"},{"id":151,"name":"Denver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4053 --day 2017-05-06</v>
      </c>
      <c r="AN61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18:04:13"},{"id":29,"name":"Sharepoint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642</v>
      </c>
      <c r="B62" s="7">
        <v>4006</v>
      </c>
      <c r="C62" s="21" t="s">
        <v>210</v>
      </c>
      <c r="D62" s="21" t="s">
        <v>382</v>
      </c>
      <c r="E62" s="13">
        <v>42861.448645833334</v>
      </c>
      <c r="F62" s="13">
        <v>42861.450219907405</v>
      </c>
      <c r="G62" s="7">
        <v>1</v>
      </c>
      <c r="H62" s="21" t="s">
        <v>803</v>
      </c>
      <c r="I62" s="13">
        <v>42861.475023148145</v>
      </c>
      <c r="J62" s="7">
        <v>0</v>
      </c>
      <c r="K62" s="92" t="str">
        <f t="shared" si="0"/>
        <v>4005/4006</v>
      </c>
      <c r="L62" s="21" t="str">
        <f>VLOOKUP(A62,'Trips&amp;Operators'!$C$1:$G$99999,5,FALSE)</f>
        <v>MCREYNOLDS KYLE</v>
      </c>
      <c r="M62" s="6">
        <f t="shared" si="1"/>
        <v>2.4803240739856847E-2</v>
      </c>
      <c r="N62" s="7">
        <f t="shared" si="2"/>
        <v>35.716666665393859</v>
      </c>
      <c r="O62" s="7"/>
      <c r="P62" s="7"/>
      <c r="Q62" s="22"/>
      <c r="R62" s="190"/>
      <c r="S62" s="196">
        <f t="shared" si="3"/>
        <v>1</v>
      </c>
      <c r="T62" s="190" t="str">
        <f t="shared" si="4"/>
        <v>NorthBound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-06T09:46:03-0600',mode:absolute,to:'2017-05-06T12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2" s="192" t="str">
        <f t="shared" si="6"/>
        <v>N</v>
      </c>
      <c r="X62" s="192">
        <f t="shared" si="23"/>
        <v>1</v>
      </c>
      <c r="Y62" s="192">
        <f t="shared" si="8"/>
        <v>4.6600000000000003E-2</v>
      </c>
      <c r="Z62" s="192">
        <f t="shared" si="9"/>
        <v>23.3261</v>
      </c>
      <c r="AA62" s="192">
        <f t="shared" si="10"/>
        <v>23.279499999999999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0157-06</v>
      </c>
      <c r="AE62" s="80" t="str">
        <f t="shared" si="12"/>
        <v>aws s3 cp s3://rtdc.mdm.uploadarchive.raw/RTDC4006/ "%USERPROFILE%\AppData\Local\Temp\OnboardLogs"\RTDC4006\2017-05-06 --exclude "*" --recursive --include "*20170506*" &amp; "%USERPROFILE%\Documents\GitHub\mrs-test-scripts\Headless Mode &amp; Sideloading\WalkAndUnGZ.bat" "%USERPROFILE%\AppData\Local\Temp\OnboardLogs"\RTDC4006\2017-05-06 &amp; 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</v>
      </c>
      <c r="AF62" s="77" t="str">
        <f t="shared" si="13"/>
        <v>"C:\Program Files (x86)\AstroGrep\AstroGrep.exe" /e /r /s /spath="%USERPROFILE%\AppData\Local\Temp\OnboardLogs" /stypes="app*4006*20170506*" /stext=" 17:.+((SYSTEM_STATE.+slice.+state.+changed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157-06 --locoid 4006 --swversion DE.1.0.9.0 --startMP 204:466 --initTime 2017-05-06T10:46:03 --startdatetime 2017-05-06T10:48:19 --delay 1 --endMP 204:233261 --enddatetime 2017-05-06T11:24:02 --enforcementcount 0 &gt;&gt;C:\Users\stu\Documents\GitHub\eaglep3-reporting\EC\2017-05-06-refined-times.txt</v>
      </c>
      <c r="AI62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{"issue":{"subject":"","project_id":79,"tracker_id":40,"status_id":1,"priority_id":2,"assigned_to_id":23,"start_date":"2017-05-06","description":"","custom_fields":[{"id":1,"name":"Subdivision","value":"EC"},{"id":4,"name":"Milepost","value":"23.3261"},{"id":17,"name":"Train ID","value":"157-06"},{"id":16,"name":"Locomotive ID","value":"4006"},{"id":130,"name":"Impact","value":""},{"id":150,"name":"Time of Event (Mountain Time)","value":"11:24:02"},{"id":151,"name":"Denver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4006 --day 2017-05-06</v>
      </c>
      <c r="AN62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17:24:02"},{"id":29,"name":"Sharepoint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655</v>
      </c>
      <c r="B63" s="7">
        <v>4005</v>
      </c>
      <c r="C63" s="21" t="s">
        <v>210</v>
      </c>
      <c r="D63" s="21" t="s">
        <v>482</v>
      </c>
      <c r="E63" s="13">
        <v>42861.476817129631</v>
      </c>
      <c r="F63" s="13">
        <v>42861.487291666665</v>
      </c>
      <c r="G63" s="7">
        <v>1</v>
      </c>
      <c r="H63" s="21" t="s">
        <v>197</v>
      </c>
      <c r="I63" s="13">
        <v>42861.514236111114</v>
      </c>
      <c r="J63" s="7">
        <v>0</v>
      </c>
      <c r="K63" s="92" t="str">
        <f t="shared" si="0"/>
        <v>4005/4006</v>
      </c>
      <c r="L63" s="21" t="str">
        <f>VLOOKUP(A63,'Trips&amp;Operators'!$C$1:$G$99999,5,FALSE)</f>
        <v>MCREYNOLDS KYLE</v>
      </c>
      <c r="M63" s="6">
        <f t="shared" si="1"/>
        <v>2.694444444932742E-2</v>
      </c>
      <c r="N63" s="7">
        <f t="shared" si="2"/>
        <v>38.800000007031485</v>
      </c>
      <c r="O63" s="7"/>
      <c r="P63" s="7"/>
      <c r="Q63" s="22"/>
      <c r="R63" s="190"/>
      <c r="S63" s="196">
        <f t="shared" si="3"/>
        <v>1</v>
      </c>
      <c r="T63" s="190" t="str">
        <f t="shared" si="4"/>
        <v>Southbound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-06T10:26:37-0600',mode:absolute,to:'2017-05-06T13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3" s="192" t="str">
        <f t="shared" si="6"/>
        <v>N</v>
      </c>
      <c r="X63" s="192">
        <f t="shared" si="23"/>
        <v>1</v>
      </c>
      <c r="Y63" s="192">
        <f t="shared" si="8"/>
        <v>23.295500000000001</v>
      </c>
      <c r="Z63" s="192">
        <f t="shared" si="9"/>
        <v>1.52E-2</v>
      </c>
      <c r="AA63" s="192">
        <f t="shared" si="10"/>
        <v>23.2803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0158-06</v>
      </c>
      <c r="AE63" s="80" t="str">
        <f t="shared" si="12"/>
        <v>aws s3 cp s3://rtdc.mdm.uploadarchive.raw/RTDC4005/ "%USERPROFILE%\AppData\Local\Temp\OnboardLogs"\RTDC4005\2017-05-06 --exclude "*" --recursive --include "*20170506*" &amp; "%USERPROFILE%\Documents\GitHub\mrs-test-scripts\Headless Mode &amp; Sideloading\WalkAndUnGZ.bat" "%USERPROFILE%\AppData\Local\Temp\OnboardLogs"\RTDC4005\2017-05-06 &amp; 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</v>
      </c>
      <c r="AF63" s="77" t="str">
        <f t="shared" si="13"/>
        <v>"C:\Program Files (x86)\AstroGrep\AstroGrep.exe" /e /r /s /spath="%USERPROFILE%\AppData\Local\Temp\OnboardLogs" /stypes="app*4005*20170506*" /stext=" 18:.+((SYSTEM_STATE.+slice.+state.+changed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158-06 --locoid 4005 --swversion DE.1.0.9.0 --startMP 204:232955 --initTime 2017-05-06T11:26:37 --startdatetime 2017-05-06T11:41:42 --delay 1 --endMP 204:152 --enddatetime 2017-05-06T12:20:30 --enforcementcount 0 &gt;&gt;C:\Users\stu\Documents\GitHub\eaglep3-reporting\EC\2017-05-06-refined-times.txt</v>
      </c>
      <c r="AI63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{"issue":{"subject":"","project_id":79,"tracker_id":40,"status_id":1,"priority_id":2,"assigned_to_id":23,"start_date":"2017-05-06","description":"","custom_fields":[{"id":1,"name":"Subdivision","value":"EC"},{"id":4,"name":"Milepost","value":"0.0152"},{"id":17,"name":"Train ID","value":"158-06"},{"id":16,"name":"Locomotive ID","value":"4005"},{"id":130,"name":"Impact","value":""},{"id":150,"name":"Time of Event (Mountain Time)","value":"12:20:30"},{"id":151,"name":"Denver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4005 --day 2017-05-06</v>
      </c>
      <c r="AN63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18:20:30"},{"id":29,"name":"Sharepoint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647</v>
      </c>
      <c r="B64" s="7">
        <v>4002</v>
      </c>
      <c r="C64" s="21" t="s">
        <v>210</v>
      </c>
      <c r="D64" s="21" t="s">
        <v>492</v>
      </c>
      <c r="E64" s="13">
        <v>42861.460289351853</v>
      </c>
      <c r="F64" s="13">
        <v>42861.462569444448</v>
      </c>
      <c r="G64" s="7">
        <v>1</v>
      </c>
      <c r="H64" s="21" t="s">
        <v>464</v>
      </c>
      <c r="I64" s="13">
        <v>42861.492361111108</v>
      </c>
      <c r="J64" s="7">
        <v>0</v>
      </c>
      <c r="K64" s="92" t="str">
        <f t="shared" si="0"/>
        <v>4001/4002</v>
      </c>
      <c r="L64" s="21" t="str">
        <f>VLOOKUP(A64,'Trips&amp;Operators'!$C$1:$G$99999,5,FALSE)</f>
        <v>STEWART MICHAEL</v>
      </c>
      <c r="M64" s="6">
        <f t="shared" si="1"/>
        <v>2.979166666045785E-2</v>
      </c>
      <c r="N64" s="7">
        <f t="shared" si="2"/>
        <v>42.899999991059303</v>
      </c>
      <c r="O64" s="7"/>
      <c r="P64" s="7"/>
      <c r="Q64" s="22"/>
      <c r="R64" s="190"/>
      <c r="S64" s="196">
        <f t="shared" si="3"/>
        <v>1</v>
      </c>
      <c r="T64" s="190" t="str">
        <f t="shared" si="4"/>
        <v>NorthBound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-06T10:02:49-0600',mode:absolute,to:'2017-05-06T12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4" s="192" t="str">
        <f t="shared" si="6"/>
        <v>N</v>
      </c>
      <c r="X64" s="192">
        <f t="shared" si="23"/>
        <v>1</v>
      </c>
      <c r="Y64" s="192">
        <f t="shared" si="8"/>
        <v>4.3799999999999999E-2</v>
      </c>
      <c r="Z64" s="192">
        <f t="shared" si="9"/>
        <v>23.329799999999999</v>
      </c>
      <c r="AA64" s="192">
        <f t="shared" si="10"/>
        <v>23.285999999999998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0159-06</v>
      </c>
      <c r="AE64" s="80" t="str">
        <f t="shared" si="12"/>
        <v>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 &amp; aws s3 cp s3://rtdc.mdm.uploadarchive.raw/RTDC4002/ "%USERPROFILE%\AppData\Local\Temp\OnboardLogs"\RTDC4002\2017-05-07 --exclude "*" --recursive --include "*20170507*" &amp; "%USERPROFILE%\Documents\GitHub\mrs-test-scripts\Headless Mode &amp; Sideloading\WalkAndUnGZ.bat" "%USERPROFILE%\AppData\Local\Temp\OnboardLogs"\RTDC4002\2017-05-07</v>
      </c>
      <c r="AF64" s="77" t="str">
        <f t="shared" si="13"/>
        <v>"C:\Program Files (x86)\AstroGrep\AstroGrep.exe" /e /r /s /spath="%USERPROFILE%\AppData\Local\Temp\OnboardLogs" /stypes="app*4002*20170506*"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159-06 --locoid 4002 --swversion DE.1.0.9.0 --startMP 204:438 --initTime 2017-05-06T11:02:49 --startdatetime 2017-05-06T11:06:06 --delay 1 --endMP 204:233298 --enddatetime 2017-05-06T11:49:00 --enforcementcount 0 &gt;&gt;C:\Users\stu\Documents\GitHub\eaglep3-reporting\EC\2017-05-06-refined-times.txt</v>
      </c>
      <c r="AI64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{"issue":{"subject":"","project_id":79,"tracker_id":40,"status_id":1,"priority_id":2,"assigned_to_id":23,"start_date":"2017-05-06","description":"","custom_fields":[{"id":1,"name":"Subdivision","value":"EC"},{"id":4,"name":"Milepost","value":"23.3298"},{"id":17,"name":"Train ID","value":"159-06"},{"id":16,"name":"Locomotive ID","value":"4002"},{"id":130,"name":"Impact","value":""},{"id":150,"name":"Time of Event (Mountain Time)","value":"11:49:00"},{"id":151,"name":"Denver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4002 --day 2017-05-06</v>
      </c>
      <c r="AN64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17:49:00"},{"id":29,"name":"Sharepoint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658</v>
      </c>
      <c r="B65" s="7">
        <v>4001</v>
      </c>
      <c r="C65" s="21" t="s">
        <v>210</v>
      </c>
      <c r="D65" s="21" t="s">
        <v>465</v>
      </c>
      <c r="E65" s="13">
        <v>42861.495520833334</v>
      </c>
      <c r="F65" s="13">
        <v>42861.497511574074</v>
      </c>
      <c r="G65" s="7">
        <v>1</v>
      </c>
      <c r="H65" s="21" t="s">
        <v>381</v>
      </c>
      <c r="I65" s="13">
        <v>42861.525231481479</v>
      </c>
      <c r="J65" s="7">
        <v>0</v>
      </c>
      <c r="K65" s="92" t="str">
        <f t="shared" si="0"/>
        <v>4001/4002</v>
      </c>
      <c r="L65" s="21" t="str">
        <f>VLOOKUP(A65,'Trips&amp;Operators'!$C$1:$G$99999,5,FALSE)</f>
        <v>STEWART MICHAEL</v>
      </c>
      <c r="M65" s="6">
        <f t="shared" si="1"/>
        <v>2.7719907404389232E-2</v>
      </c>
      <c r="N65" s="7">
        <f t="shared" si="2"/>
        <v>39.916666662320495</v>
      </c>
      <c r="O65" s="7"/>
      <c r="P65" s="7"/>
      <c r="Q65" s="22"/>
      <c r="R65" s="190"/>
      <c r="S65" s="196">
        <f t="shared" si="3"/>
        <v>1</v>
      </c>
      <c r="T65" s="190" t="str">
        <f t="shared" si="4"/>
        <v>Southbound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-06T10:53:33-0600',mode:absolute,to:'2017-05-06T13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5" s="192" t="str">
        <f t="shared" si="6"/>
        <v>N</v>
      </c>
      <c r="X65" s="192">
        <f t="shared" si="23"/>
        <v>1</v>
      </c>
      <c r="Y65" s="192">
        <f t="shared" si="8"/>
        <v>23.299099999999999</v>
      </c>
      <c r="Z65" s="192">
        <f t="shared" si="9"/>
        <v>1.43E-2</v>
      </c>
      <c r="AA65" s="192">
        <f t="shared" si="10"/>
        <v>23.284800000000001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0160-06</v>
      </c>
      <c r="AE65" s="80" t="str">
        <f t="shared" si="12"/>
        <v>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 &amp; aws s3 cp s3://rtdc.mdm.uploadarchive.raw/RTDC4001/ "%USERPROFILE%\AppData\Local\Temp\OnboardLogs"\RTDC4001\2017-05-07 --exclude "*" --recursive --include "*20170507*" &amp; "%USERPROFILE%\Documents\GitHub\mrs-test-scripts\Headless Mode &amp; Sideloading\WalkAndUnGZ.bat" "%USERPROFILE%\AppData\Local\Temp\OnboardLogs"\RTDC4001\2017-05-07</v>
      </c>
      <c r="AF65" s="77" t="str">
        <f t="shared" si="13"/>
        <v>"C:\Program Files (x86)\AstroGrep\AstroGrep.exe" /e /r /s /spath="%USERPROFILE%\AppData\Local\Temp\OnboardLogs" /stypes="app*4001*20170506*" /stext=" 18:.+((SYSTEM_STATE.+slice.+state.+changed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160-06 --locoid 4001 --swversion DE.1.0.9.0 --startMP 204:232991 --initTime 2017-05-06T11:53:33 --startdatetime 2017-05-06T11:56:25 --delay 1 --endMP 204:143 --enddatetime 2017-05-06T12:36:20 --enforcementcount 0 &gt;&gt;C:\Users\stu\Documents\GitHub\eaglep3-reporting\EC\2017-05-06-refined-times.txt</v>
      </c>
      <c r="AI65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{"issue":{"subject":"","project_id":79,"tracker_id":40,"status_id":1,"priority_id":2,"assigned_to_id":23,"start_date":"2017-05-06","description":"","custom_fields":[{"id":1,"name":"Subdivision","value":"EC"},{"id":4,"name":"Milepost","value":"0.0143"},{"id":17,"name":"Train ID","value":"160-06"},{"id":16,"name":"Locomotive ID","value":"4001"},{"id":130,"name":"Impact","value":""},{"id":150,"name":"Time of Event (Mountain Time)","value":"12:36:20"},{"id":151,"name":"Denver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4001 --day 2017-05-06</v>
      </c>
      <c r="AN65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18:36:20"},{"id":29,"name":"Sharepoint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650</v>
      </c>
      <c r="B66" s="7">
        <v>4010</v>
      </c>
      <c r="C66" s="21" t="s">
        <v>210</v>
      </c>
      <c r="D66" s="21" t="s">
        <v>804</v>
      </c>
      <c r="E66" s="13">
        <v>42861.469108796293</v>
      </c>
      <c r="F66" s="13">
        <v>42861.472187500003</v>
      </c>
      <c r="G66" s="7">
        <v>2</v>
      </c>
      <c r="H66" s="21" t="s">
        <v>805</v>
      </c>
      <c r="I66" s="13">
        <v>42861.501226851855</v>
      </c>
      <c r="J66" s="7">
        <v>0</v>
      </c>
      <c r="K66" s="92" t="str">
        <f t="shared" si="0"/>
        <v>4009/4010</v>
      </c>
      <c r="L66" s="21" t="str">
        <f>VLOOKUP(A66,'Trips&amp;Operators'!$C$1:$G$99999,5,FALSE)</f>
        <v>DAVIS MICHAEL</v>
      </c>
      <c r="M66" s="6">
        <f t="shared" si="1"/>
        <v>2.9039351851679385E-2</v>
      </c>
      <c r="N66" s="7">
        <f t="shared" si="2"/>
        <v>41.816666666418314</v>
      </c>
      <c r="O66" s="7"/>
      <c r="P66" s="7"/>
      <c r="Q66" s="22"/>
      <c r="R66" s="190"/>
      <c r="S66" s="196">
        <f t="shared" si="3"/>
        <v>1</v>
      </c>
      <c r="T66" s="190" t="str">
        <f t="shared" si="4"/>
        <v>NorthBound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-06T10:15:31-0600',mode:absolute,to:'2017-05-06T13:01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6" s="192" t="str">
        <f t="shared" si="6"/>
        <v>N</v>
      </c>
      <c r="X66" s="192">
        <f t="shared" si="23"/>
        <v>1</v>
      </c>
      <c r="Y66" s="192">
        <f t="shared" si="8"/>
        <v>6.9500000000000006E-2</v>
      </c>
      <c r="Z66" s="192">
        <f t="shared" si="9"/>
        <v>23.3307</v>
      </c>
      <c r="AA66" s="192">
        <f t="shared" si="10"/>
        <v>23.261199999999999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0161-06</v>
      </c>
      <c r="AE66" s="80" t="str">
        <f t="shared" si="12"/>
        <v>aws s3 cp s3://rtdc.mdm.uploadarchive.raw/RTDC4010/ "%USERPROFILE%\AppData\Local\Temp\OnboardLogs"\RTDC4010\2017-05-06 --exclude "*" --recursive --include "*20170506*" &amp; "%USERPROFILE%\Documents\GitHub\mrs-test-scripts\Headless Mode &amp; Sideloading\WalkAndUnGZ.bat" "%USERPROFILE%\AppData\Local\Temp\OnboardLogs"\RTDC4010\2017-05-06 &amp; aws s3 cp s3://rtdc.mdm.uploadarchive.raw/RTDC4010/ "%USERPROFILE%\AppData\Local\Temp\OnboardLogs"\RTDC4010\2017-05-07 --exclude "*" --recursive --include "*20170507*" &amp; "%USERPROFILE%\Documents\GitHub\mrs-test-scripts\Headless Mode &amp; Sideloading\WalkAndUnGZ.bat" "%USERPROFILE%\AppData\Local\Temp\OnboardLogs"\RTDC4010\2017-05-07</v>
      </c>
      <c r="AF66" s="77" t="str">
        <f t="shared" si="13"/>
        <v>"C:\Program Files (x86)\AstroGrep\AstroGrep.exe" /e /r /s /spath="%USERPROFILE%\AppData\Local\Temp\OnboardLogs" /stypes="app*4010*20170506*" /stext=" 18:.+((SYSTEM_STATE.+slice.+state.+changed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161-06 --locoid 4010 --swversion DE.1.0.9.0 --startMP 204:695 --initTime 2017-05-06T11:15:31 --startdatetime 2017-05-06T11:19:57 --delay 2 --endMP 204:233307 --enddatetime 2017-05-06T12:01:46 --enforcementcount 0 &gt;&gt;C:\Users\stu\Documents\GitHub\eaglep3-reporting\EC\2017-05-06-refined-times.txt</v>
      </c>
      <c r="AI66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{"issue":{"subject":"","project_id":79,"tracker_id":40,"status_id":1,"priority_id":2,"assigned_to_id":23,"start_date":"2017-05-06","description":"","custom_fields":[{"id":1,"name":"Subdivision","value":"EC"},{"id":4,"name":"Milepost","value":"23.3307"},{"id":17,"name":"Train ID","value":"161-06"},{"id":16,"name":"Locomotive ID","value":"4010"},{"id":130,"name":"Impact","value":""},{"id":150,"name":"Time of Event (Mountain Time)","value":"12:01:46"},{"id":151,"name":"Denver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4010 --day 2017-05-06</v>
      </c>
      <c r="AN66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18:01:46"},{"id":29,"name":"Sharepoint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660</v>
      </c>
      <c r="B67" s="7">
        <v>4009</v>
      </c>
      <c r="C67" s="21" t="s">
        <v>210</v>
      </c>
      <c r="D67" s="21" t="s">
        <v>409</v>
      </c>
      <c r="E67" s="13">
        <v>42861.50403935185</v>
      </c>
      <c r="F67" s="13">
        <v>42861.507951388892</v>
      </c>
      <c r="G67" s="7">
        <v>1</v>
      </c>
      <c r="H67" s="21" t="s">
        <v>371</v>
      </c>
      <c r="I67" s="13">
        <v>42861.539039351854</v>
      </c>
      <c r="J67" s="7">
        <v>0</v>
      </c>
      <c r="K67" s="92" t="str">
        <f t="shared" si="0"/>
        <v>4009/4010</v>
      </c>
      <c r="L67" s="21" t="str">
        <f>VLOOKUP(A67,'Trips&amp;Operators'!$C$1:$G$99999,5,FALSE)</f>
        <v>DAVIS MICHAEL</v>
      </c>
      <c r="M67" s="6">
        <f t="shared" si="1"/>
        <v>3.1087962961464655E-2</v>
      </c>
      <c r="N67" s="7">
        <f t="shared" si="2"/>
        <v>44.766666664509103</v>
      </c>
      <c r="O67" s="7"/>
      <c r="P67" s="7"/>
      <c r="Q67" s="22"/>
      <c r="R67" s="190"/>
      <c r="S67" s="196">
        <f t="shared" si="3"/>
        <v>1</v>
      </c>
      <c r="T67" s="190" t="str">
        <f t="shared" si="4"/>
        <v>Southbound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-06T11:05:49-0600',mode:absolute,to:'2017-05-06T13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7" s="192" t="str">
        <f t="shared" si="6"/>
        <v>N</v>
      </c>
      <c r="X67" s="192">
        <f t="shared" si="23"/>
        <v>1</v>
      </c>
      <c r="Y67" s="192">
        <f t="shared" si="8"/>
        <v>23.2986</v>
      </c>
      <c r="Z67" s="192">
        <f t="shared" si="9"/>
        <v>1.4500000000000001E-2</v>
      </c>
      <c r="AA67" s="192">
        <f t="shared" si="10"/>
        <v>23.284099999999999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0162-06</v>
      </c>
      <c r="AE67" s="80" t="str">
        <f t="shared" si="12"/>
        <v>aws s3 cp s3://rtdc.mdm.uploadarchive.raw/RTDC4009/ "%USERPROFILE%\AppData\Local\Temp\OnboardLogs"\RTDC4009\2017-05-06 --exclude "*" --recursive --include "*20170506*" &amp; "%USERPROFILE%\Documents\GitHub\mrs-test-scripts\Headless Mode &amp; Sideloading\WalkAndUnGZ.bat" "%USERPROFILE%\AppData\Local\Temp\OnboardLogs"\RTDC4009\2017-05-06 &amp; aws s3 cp s3://rtdc.mdm.uploadarchive.raw/RTDC4009/ "%USERPROFILE%\AppData\Local\Temp\OnboardLogs"\RTDC4009\2017-05-07 --exclude "*" --recursive --include "*20170507*" &amp; "%USERPROFILE%\Documents\GitHub\mrs-test-scripts\Headless Mode &amp; Sideloading\WalkAndUnGZ.bat" "%USERPROFILE%\AppData\Local\Temp\OnboardLogs"\RTDC4009\2017-05-07</v>
      </c>
      <c r="AF67" s="77" t="str">
        <f t="shared" si="13"/>
        <v>"C:\Program Files (x86)\AstroGrep\AstroGrep.exe" /e /r /s /spath="%USERPROFILE%\AppData\Local\Temp\OnboardLogs" /stypes="app*4009*20170506*" /stext=" 18:.+((SYSTEM_STATE.+slice.+state.+changed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162-06 --locoid 4009 --swversion DE.1.0.9.0 --startMP 204:232986 --initTime 2017-05-06T12:05:49 --startdatetime 2017-05-06T12:11:27 --delay 1 --endMP 204:145 --enddatetime 2017-05-06T12:56:13 --enforcementcount 0 &gt;&gt;C:\Users\stu\Documents\GitHub\eaglep3-reporting\EC\2017-05-06-refined-times.txt</v>
      </c>
      <c r="AI67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{"issue":{"subject":"","project_id":79,"tracker_id":40,"status_id":1,"priority_id":2,"assigned_to_id":23,"start_date":"2017-05-06","description":"","custom_fields":[{"id":1,"name":"Subdivision","value":"EC"},{"id":4,"name":"Milepost","value":"0.0145"},{"id":17,"name":"Train ID","value":"162-06"},{"id":16,"name":"Locomotive ID","value":"4009"},{"id":130,"name":"Impact","value":""},{"id":150,"name":"Time of Event (Mountain Time)","value":"12:56:13"},{"id":151,"name":"Denver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4009 --day 2017-05-06</v>
      </c>
      <c r="AN67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18:56:13"},{"id":29,"name":"Sharepoint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654</v>
      </c>
      <c r="B68" s="7">
        <v>4024</v>
      </c>
      <c r="C68" s="21" t="s">
        <v>210</v>
      </c>
      <c r="D68" s="21" t="s">
        <v>806</v>
      </c>
      <c r="E68" s="13">
        <v>42861.476087962961</v>
      </c>
      <c r="F68" s="13">
        <v>42861.47934027778</v>
      </c>
      <c r="G68" s="7">
        <v>1</v>
      </c>
      <c r="H68" s="21" t="s">
        <v>490</v>
      </c>
      <c r="I68" s="13">
        <v>42861.504942129628</v>
      </c>
      <c r="J68" s="7">
        <v>0</v>
      </c>
      <c r="K68" s="92" t="str">
        <f t="shared" si="0"/>
        <v>4023/4024</v>
      </c>
      <c r="L68" s="21" t="str">
        <f>VLOOKUP(A68,'Trips&amp;Operators'!$C$1:$G$99999,5,FALSE)</f>
        <v>BRUDER RICHARD</v>
      </c>
      <c r="M68" s="6">
        <f t="shared" si="1"/>
        <v>2.5601851848477963E-2</v>
      </c>
      <c r="N68" s="7">
        <f t="shared" si="2"/>
        <v>36.866666661808267</v>
      </c>
      <c r="O68" s="7"/>
      <c r="P68" s="7"/>
      <c r="Q68" s="22"/>
      <c r="R68" s="190"/>
      <c r="S68" s="196">
        <f t="shared" si="3"/>
        <v>1</v>
      </c>
      <c r="T68" s="190" t="str">
        <f t="shared" si="4"/>
        <v>NorthBound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-06T10:25:34-0600',mode:absolute,to:'2017-05-06T13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8" s="192" t="str">
        <f t="shared" si="6"/>
        <v>N</v>
      </c>
      <c r="X68" s="192">
        <f t="shared" si="23"/>
        <v>1</v>
      </c>
      <c r="Y68" s="192">
        <f t="shared" si="8"/>
        <v>4.24E-2</v>
      </c>
      <c r="Z68" s="192">
        <f t="shared" si="9"/>
        <v>23.331499999999998</v>
      </c>
      <c r="AA68" s="192">
        <f t="shared" si="10"/>
        <v>23.289099999999998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0163-06</v>
      </c>
      <c r="AE68" s="80" t="str">
        <f t="shared" si="12"/>
        <v>aws s3 cp s3://rtdc.mdm.uploadarchive.raw/RTDC4024/ "%USERPROFILE%\AppData\Local\Temp\OnboardLogs"\RTDC4024\2017-05-06 --exclude "*" --recursive --include "*20170506*" &amp; "%USERPROFILE%\Documents\GitHub\mrs-test-scripts\Headless Mode &amp; Sideloading\WalkAndUnGZ.bat" "%USERPROFILE%\AppData\Local\Temp\OnboardLogs"\RTDC4024\2017-05-06 &amp; aws s3 cp s3://rtdc.mdm.uploadarchive.raw/RTDC4024/ "%USERPROFILE%\AppData\Local\Temp\OnboardLogs"\RTDC4024\2017-05-07 --exclude "*" --recursive --include "*20170507*" &amp; "%USERPROFILE%\Documents\GitHub\mrs-test-scripts\Headless Mode &amp; Sideloading\WalkAndUnGZ.bat" "%USERPROFILE%\AppData\Local\Temp\OnboardLogs"\RTDC4024\2017-05-07</v>
      </c>
      <c r="AF68" s="77" t="str">
        <f t="shared" si="13"/>
        <v>"C:\Program Files (x86)\AstroGrep\AstroGrep.exe" /e /r /s /spath="%USERPROFILE%\AppData\Local\Temp\OnboardLogs" /stypes="app*4024*20170506*" /stext=" 18:.+((SYSTEM_STATE.+slice.+state.+changed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163-06 --locoid 4024 --swversion DE.1.0.9.0 --startMP 204:424 --initTime 2017-05-06T11:25:34 --startdatetime 2017-05-06T11:30:15 --delay 1 --endMP 204:233315 --enddatetime 2017-05-06T12:07:07 --enforcementcount 0 &gt;&gt;C:\Users\stu\Documents\GitHub\eaglep3-reporting\EC\2017-05-06-refined-times.txt</v>
      </c>
      <c r="AI68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{"issue":{"subject":"","project_id":79,"tracker_id":40,"status_id":1,"priority_id":2,"assigned_to_id":23,"start_date":"2017-05-06","description":"","custom_fields":[{"id":1,"name":"Subdivision","value":"EC"},{"id":4,"name":"Milepost","value":"23.3315"},{"id":17,"name":"Train ID","value":"163-06"},{"id":16,"name":"Locomotive ID","value":"4024"},{"id":130,"name":"Impact","value":""},{"id":150,"name":"Time of Event (Mountain Time)","value":"12:07:07"},{"id":151,"name":"Denver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4024 --day 2017-05-06</v>
      </c>
      <c r="AN68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18:07:07"},{"id":29,"name":"Sharepoint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663</v>
      </c>
      <c r="B69" s="7">
        <v>4023</v>
      </c>
      <c r="C69" s="21" t="s">
        <v>210</v>
      </c>
      <c r="D69" s="21" t="s">
        <v>784</v>
      </c>
      <c r="E69" s="13">
        <v>42861.514444444445</v>
      </c>
      <c r="F69" s="13">
        <v>42861.518275462964</v>
      </c>
      <c r="G69" s="7">
        <v>2</v>
      </c>
      <c r="H69" s="21" t="s">
        <v>807</v>
      </c>
      <c r="I69" s="13">
        <v>42861.5471875</v>
      </c>
      <c r="J69" s="7">
        <v>0</v>
      </c>
      <c r="K69" s="92" t="str">
        <f t="shared" si="0"/>
        <v>4023/4024</v>
      </c>
      <c r="L69" s="21" t="str">
        <f>VLOOKUP(A69,'Trips&amp;Operators'!$C$1:$G$99999,5,FALSE)</f>
        <v>BRUDER RICHARD</v>
      </c>
      <c r="M69" s="6">
        <f t="shared" si="1"/>
        <v>2.8912037036207039E-2</v>
      </c>
      <c r="N69" s="7">
        <f t="shared" si="2"/>
        <v>41.633333332138136</v>
      </c>
      <c r="O69" s="7"/>
      <c r="P69" s="7"/>
      <c r="Q69" s="22"/>
      <c r="R69" s="190"/>
      <c r="S69" s="196">
        <f t="shared" si="3"/>
        <v>1</v>
      </c>
      <c r="T69" s="190" t="str">
        <f t="shared" si="4"/>
        <v>Southbound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-06T11:20:48-0600',mode:absolute,to:'2017-05-06T14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9" s="192" t="str">
        <f t="shared" si="6"/>
        <v>N</v>
      </c>
      <c r="X69" s="192">
        <f t="shared" si="23"/>
        <v>1</v>
      </c>
      <c r="Y69" s="192">
        <f t="shared" si="8"/>
        <v>23.299399999999999</v>
      </c>
      <c r="Z69" s="192">
        <f t="shared" si="9"/>
        <v>2.12E-2</v>
      </c>
      <c r="AA69" s="192">
        <f t="shared" si="10"/>
        <v>23.278199999999998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0164-06</v>
      </c>
      <c r="AE69" s="80" t="str">
        <f t="shared" si="12"/>
        <v>aws s3 cp s3://rtdc.mdm.uploadarchive.raw/RTDC4023/ "%USERPROFILE%\AppData\Local\Temp\OnboardLogs"\RTDC4023\2017-05-06 --exclude "*" --recursive --include "*20170506*" &amp; "%USERPROFILE%\Documents\GitHub\mrs-test-scripts\Headless Mode &amp; Sideloading\WalkAndUnGZ.bat" "%USERPROFILE%\AppData\Local\Temp\OnboardLogs"\RTDC4023\2017-05-06 &amp; aws s3 cp s3://rtdc.mdm.uploadarchive.raw/RTDC4023/ "%USERPROFILE%\AppData\Local\Temp\OnboardLogs"\RTDC4023\2017-05-07 --exclude "*" --recursive --include "*20170507*" &amp; "%USERPROFILE%\Documents\GitHub\mrs-test-scripts\Headless Mode &amp; Sideloading\WalkAndUnGZ.bat" "%USERPROFILE%\AppData\Local\Temp\OnboardLogs"\RTDC4023\2017-05-07</v>
      </c>
      <c r="AF69" s="77" t="str">
        <f t="shared" si="13"/>
        <v>"C:\Program Files (x86)\AstroGrep\AstroGrep.exe" /e /r /s /spath="%USERPROFILE%\AppData\Local\Temp\OnboardLogs" /stypes="app*4023*20170506*" /stext=" 19:.+((SYSTEM_STATE.+slice.+state.+changed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164-06 --locoid 4023 --swversion DE.1.0.9.0 --startMP 204:232994 --initTime 2017-05-06T12:20:48 --startdatetime 2017-05-06T12:26:19 --delay 2 --endMP 204:212 --enddatetime 2017-05-06T13:07:57 --enforcementcount 0 &gt;&gt;C:\Users\stu\Documents\GitHub\eaglep3-reporting\EC\2017-05-06-refined-times.txt</v>
      </c>
      <c r="AI69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{"issue":{"subject":"","project_id":79,"tracker_id":40,"status_id":1,"priority_id":2,"assigned_to_id":23,"start_date":"2017-05-06","description":"","custom_fields":[{"id":1,"name":"Subdivision","value":"EC"},{"id":4,"name":"Milepost","value":"0.0212"},{"id":17,"name":"Train ID","value":"164-06"},{"id":16,"name":"Locomotive ID","value":"4023"},{"id":130,"name":"Impact","value":""},{"id":150,"name":"Time of Event (Mountain Time)","value":"13:07:57"},{"id":151,"name":"Denver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4023 --day 2017-05-06</v>
      </c>
      <c r="AN69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19:07:57"},{"id":29,"name":"Sharepoint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532</v>
      </c>
      <c r="B70" s="7">
        <v>4004</v>
      </c>
      <c r="C70" s="21" t="s">
        <v>210</v>
      </c>
      <c r="D70" s="21" t="s">
        <v>808</v>
      </c>
      <c r="E70" s="13">
        <v>42861.487476851849</v>
      </c>
      <c r="F70" s="13">
        <v>42861.489814814813</v>
      </c>
      <c r="G70" s="7">
        <v>1</v>
      </c>
      <c r="H70" s="21" t="s">
        <v>789</v>
      </c>
      <c r="I70" s="13">
        <v>42861.516076388885</v>
      </c>
      <c r="J70" s="7">
        <v>0</v>
      </c>
      <c r="K70" s="92" t="str">
        <f t="shared" si="0"/>
        <v>4003/4004</v>
      </c>
      <c r="L70" s="21" t="str">
        <f>VLOOKUP(A70,'Trips&amp;Operators'!$C$1:$G$99999,5,FALSE)</f>
        <v>BRANDNER MELINDA</v>
      </c>
      <c r="M70" s="6">
        <f t="shared" si="1"/>
        <v>2.626157407212304E-2</v>
      </c>
      <c r="N70" s="7">
        <f t="shared" si="2"/>
        <v>37.816666663857177</v>
      </c>
      <c r="O70" s="7"/>
      <c r="P70" s="7"/>
      <c r="Q70" s="22"/>
      <c r="R70" s="190"/>
      <c r="S70" s="196">
        <f t="shared" si="3"/>
        <v>1</v>
      </c>
      <c r="T70" s="190" t="str">
        <f t="shared" si="4"/>
        <v>NorthBound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-06T10:41:58-0600',mode:absolute,to:'2017-05-06T13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0" s="192" t="str">
        <f t="shared" si="6"/>
        <v>N</v>
      </c>
      <c r="X70" s="192">
        <f t="shared" si="23"/>
        <v>1</v>
      </c>
      <c r="Y70" s="192">
        <f t="shared" si="8"/>
        <v>4.1599999999999998E-2</v>
      </c>
      <c r="Z70" s="192">
        <f t="shared" si="9"/>
        <v>23.331800000000001</v>
      </c>
      <c r="AA70" s="192">
        <f t="shared" si="10"/>
        <v>23.290200000000002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0165-06</v>
      </c>
      <c r="AE70" s="80" t="str">
        <f t="shared" si="12"/>
        <v>aws s3 cp s3://rtdc.mdm.uploadarchive.raw/RTDC4004/ "%USERPROFILE%\AppData\Local\Temp\OnboardLogs"\RTDC4004\2017-05-06 --exclude "*" --recursive --include "*20170506*" &amp; "%USERPROFILE%\Documents\GitHub\mrs-test-scripts\Headless Mode &amp; Sideloading\WalkAndUnGZ.bat" "%USERPROFILE%\AppData\Local\Temp\OnboardLogs"\RTDC4004\2017-05-06 &amp; 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</v>
      </c>
      <c r="AF70" s="77" t="str">
        <f t="shared" si="13"/>
        <v>"C:\Program Files (x86)\AstroGrep\AstroGrep.exe" /e /r /s /spath="%USERPROFILE%\AppData\Local\Temp\OnboardLogs" /stypes="app*4004*20170506*"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165-06 --locoid 4004 --swversion DE.1.0.9.0 --startMP 204:416 --initTime 2017-05-06T11:41:58 --startdatetime 2017-05-06T11:45:20 --delay 1 --endMP 204:233318 --enddatetime 2017-05-06T12:23:09 --enforcementcount 0 &gt;&gt;C:\Users\stu\Documents\GitHub\eaglep3-reporting\EC\2017-05-06-refined-times.txt</v>
      </c>
      <c r="AI70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{"issue":{"subject":"","project_id":79,"tracker_id":40,"status_id":1,"priority_id":2,"assigned_to_id":23,"start_date":"2017-05-06","description":"","custom_fields":[{"id":1,"name":"Subdivision","value":"EC"},{"id":4,"name":"Milepost","value":"23.3318"},{"id":17,"name":"Train ID","value":"165-06"},{"id":16,"name":"Locomotive ID","value":"4004"},{"id":130,"name":"Impact","value":""},{"id":150,"name":"Time of Event (Mountain Time)","value":"12:23:09"},{"id":151,"name":"Denver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4004 --day 2017-05-06</v>
      </c>
      <c r="AN70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18:23:09"},{"id":29,"name":"Sharepoint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665</v>
      </c>
      <c r="B71" s="7">
        <v>4003</v>
      </c>
      <c r="C71" s="21" t="s">
        <v>210</v>
      </c>
      <c r="D71" s="21" t="s">
        <v>418</v>
      </c>
      <c r="E71" s="13">
        <v>42861.525046296294</v>
      </c>
      <c r="F71" s="13">
        <v>42861.528668981482</v>
      </c>
      <c r="G71" s="7">
        <v>1</v>
      </c>
      <c r="H71" s="21" t="s">
        <v>405</v>
      </c>
      <c r="I71" s="13">
        <v>42861.560555555552</v>
      </c>
      <c r="J71" s="7">
        <v>0</v>
      </c>
      <c r="K71" s="92" t="str">
        <f t="shared" si="0"/>
        <v>4003/4004</v>
      </c>
      <c r="L71" s="21" t="str">
        <f>VLOOKUP(A71,'Trips&amp;Operators'!$C$1:$G$99999,5,FALSE)</f>
        <v>BRANDNER MELINDA</v>
      </c>
      <c r="M71" s="6">
        <f t="shared" si="1"/>
        <v>3.1886574070085771E-2</v>
      </c>
      <c r="N71" s="7">
        <f t="shared" si="2"/>
        <v>45.916666660923511</v>
      </c>
      <c r="O71" s="7"/>
      <c r="P71" s="7"/>
      <c r="Q71" s="22"/>
      <c r="R71" s="190"/>
      <c r="S71" s="196">
        <f t="shared" si="3"/>
        <v>1</v>
      </c>
      <c r="T71" s="190" t="str">
        <f t="shared" si="4"/>
        <v>Southbound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-06T11:36:04-0600',mode:absolute,to:'2017-05-06T14:27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1" s="192" t="str">
        <f t="shared" si="6"/>
        <v>N</v>
      </c>
      <c r="X71" s="192">
        <f t="shared" si="23"/>
        <v>1</v>
      </c>
      <c r="Y71" s="192">
        <f t="shared" si="8"/>
        <v>23.296500000000002</v>
      </c>
      <c r="Z71" s="192">
        <f t="shared" si="9"/>
        <v>1.3899999999999999E-2</v>
      </c>
      <c r="AA71" s="192">
        <f t="shared" si="10"/>
        <v>23.282600000000002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0166-06</v>
      </c>
      <c r="AE71" s="80" t="str">
        <f t="shared" si="12"/>
        <v>aws s3 cp s3://rtdc.mdm.uploadarchive.raw/RTDC4003/ "%USERPROFILE%\AppData\Local\Temp\OnboardLogs"\RTDC4003\2017-05-06 --exclude "*" --recursive --include "*20170506*" &amp; "%USERPROFILE%\Documents\GitHub\mrs-test-scripts\Headless Mode &amp; Sideloading\WalkAndUnGZ.bat" "%USERPROFILE%\AppData\Local\Temp\OnboardLogs"\RTDC4003\2017-05-06 &amp; 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</v>
      </c>
      <c r="AF71" s="77" t="str">
        <f t="shared" si="13"/>
        <v>"C:\Program Files (x86)\AstroGrep\AstroGrep.exe" /e /r /s /spath="%USERPROFILE%\AppData\Local\Temp\OnboardLogs" /stypes="app*4003*20170506*" /stext=" 19:.+((SYSTEM_STATE.+slice.+state.+changed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166-06 --locoid 4003 --swversion DE.1.0.9.0 --startMP 204:232965 --initTime 2017-05-06T12:36:04 --startdatetime 2017-05-06T12:41:17 --delay 1 --endMP 204:139 --enddatetime 2017-05-06T13:27:12 --enforcementcount 0 &gt;&gt;C:\Users\stu\Documents\GitHub\eaglep3-reporting\EC\2017-05-06-refined-times.txt</v>
      </c>
      <c r="AI71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{"issue":{"subject":"","project_id":79,"tracker_id":40,"status_id":1,"priority_id":2,"assigned_to_id":23,"start_date":"2017-05-06","description":"","custom_fields":[{"id":1,"name":"Subdivision","value":"EC"},{"id":4,"name":"Milepost","value":"0.0139"},{"id":17,"name":"Train ID","value":"166-06"},{"id":16,"name":"Locomotive ID","value":"4003"},{"id":130,"name":"Impact","value":""},{"id":150,"name":"Time of Event (Mountain Time)","value":"13:27:12"},{"id":151,"name":"Denver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4003 --day 2017-05-06</v>
      </c>
      <c r="AN71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19:27:12"},{"id":29,"name":"Sharepoint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533</v>
      </c>
      <c r="B72" s="7">
        <v>4044</v>
      </c>
      <c r="C72" s="21" t="s">
        <v>210</v>
      </c>
      <c r="D72" s="21" t="s">
        <v>358</v>
      </c>
      <c r="E72" s="13">
        <v>42861.492685185185</v>
      </c>
      <c r="F72" s="13">
        <v>42861.49318287037</v>
      </c>
      <c r="G72" s="7">
        <v>1</v>
      </c>
      <c r="H72" s="21" t="s">
        <v>809</v>
      </c>
      <c r="I72" s="13">
        <v>42861.528368055559</v>
      </c>
      <c r="J72" s="7">
        <v>0</v>
      </c>
      <c r="K72" s="92" t="str">
        <f t="shared" si="0"/>
        <v>4043/4044</v>
      </c>
      <c r="L72" s="21" t="str">
        <f>VLOOKUP(A72,'Trips&amp;Operators'!$C$1:$G$99999,5,FALSE)</f>
        <v>LEVIN SCOTT</v>
      </c>
      <c r="M72" s="6">
        <f t="shared" si="1"/>
        <v>3.5185185188311152E-2</v>
      </c>
      <c r="N72" s="7">
        <f t="shared" si="2"/>
        <v>50.666666671168059</v>
      </c>
      <c r="O72" s="7"/>
      <c r="P72" s="7"/>
      <c r="Q72" s="22"/>
      <c r="R72" s="190" t="s">
        <v>1041</v>
      </c>
      <c r="S72" s="196">
        <f t="shared" si="3"/>
        <v>1</v>
      </c>
      <c r="T72" s="190" t="str">
        <f t="shared" si="4"/>
        <v>NorthBound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-06T10:49:28-0600',mode:absolute,to:'2017-05-06T13:40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2" s="192" t="str">
        <f t="shared" si="6"/>
        <v>N</v>
      </c>
      <c r="X72" s="192">
        <f t="shared" si="23"/>
        <v>1</v>
      </c>
      <c r="Y72" s="192">
        <f t="shared" si="8"/>
        <v>4.4900000000000002E-2</v>
      </c>
      <c r="Z72" s="192">
        <f t="shared" si="9"/>
        <v>23.3383</v>
      </c>
      <c r="AA72" s="192">
        <f t="shared" si="10"/>
        <v>23.293400000000002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0167-06</v>
      </c>
      <c r="AE72" s="80" t="str">
        <f t="shared" si="12"/>
        <v>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 &amp; 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</v>
      </c>
      <c r="AF72" s="77" t="str">
        <f t="shared" si="13"/>
        <v>"C:\Program Files (x86)\AstroGrep\AstroGrep.exe" /e /r /s /spath="%USERPROFILE%\AppData\Local\Temp\OnboardLogs" /stypes="app*4044*20170506*" /stext=" 18:.+((SYSTEM_STATE.+slice.+state.+changed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167-06 --locoid 4044 --swversion DE.1.0.9.0 --startMP 204:449 --initTime 2017-05-06T11:49:28 --startdatetime 2017-05-06T11:50:11 --delay 1 --endMP 204:233383 --enddatetime 2017-05-06T12:40:51 --enforcementcount 0 &gt;&gt;C:\Users\stu\Documents\GitHub\eaglep3-reporting\EC\2017-05-06-refined-times.txt</v>
      </c>
      <c r="AI72" s="99" t="str">
        <f t="shared" si="20"/>
        <v>echo {"issue":{"subject":"Delayed by onboard in-route failure","project_id":79,"tracker_id":40,"status_id":1,"priority_id":2,"assigned_to_id":23,"start_date":"2017-05-06","description":"","custom_fields":[{"id":1,"name":"Subdivision","value":"EC"},{"id":4,"name":"Milepost","value":"23.3383"},{"id":17,"name":"Train ID","value":"167-06"},{"id":16,"name":"Locomotive ID","value":"4044"},{"id":130,"name":"Impact","value":""},{"id":150,"name":"Time of Event (Mountain Time)","value":"12:40:51"},{"id":151,"name":"Denver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4044 --day 2017-05-06</v>
      </c>
      <c r="AN72" s="154" t="str">
        <f t="shared" si="22"/>
        <v>echo {"issue":{"subject":"Delayed by onboard in-route failure","project_id":30,"tracker_id":4,"status_id":1,"priority_id":1,"assigned_to_id":10,"start_date":"2017-05-06","description":"","custom_fields":[{"id":30,"name":"Category","value":"Issue"},{"id":3,"name":"Functional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18:40:51"},{"id":29,"name":"Sharepoint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535</v>
      </c>
      <c r="B73" s="7">
        <v>4043</v>
      </c>
      <c r="C73" s="21" t="s">
        <v>210</v>
      </c>
      <c r="D73" s="21" t="s">
        <v>810</v>
      </c>
      <c r="E73" s="13">
        <v>42861.536469907405</v>
      </c>
      <c r="F73" s="13">
        <v>42861.539097222223</v>
      </c>
      <c r="G73" s="7">
        <v>1</v>
      </c>
      <c r="H73" s="21" t="s">
        <v>795</v>
      </c>
      <c r="I73" s="13">
        <v>42861.579861111109</v>
      </c>
      <c r="J73" s="7">
        <v>0</v>
      </c>
      <c r="K73" s="92" t="str">
        <f t="shared" si="0"/>
        <v>4043/4044</v>
      </c>
      <c r="L73" s="21" t="str">
        <f>VLOOKUP(A73,'Trips&amp;Operators'!$C$1:$G$99999,5,FALSE)</f>
        <v>LEVIN SCOTT</v>
      </c>
      <c r="M73" s="6">
        <f t="shared" si="1"/>
        <v>4.0763888886431232E-2</v>
      </c>
      <c r="N73" s="7">
        <f t="shared" si="2"/>
        <v>58.699999996460974</v>
      </c>
      <c r="O73" s="7"/>
      <c r="P73" s="7"/>
      <c r="Q73" s="22"/>
      <c r="R73" s="190" t="s">
        <v>1044</v>
      </c>
      <c r="S73" s="196">
        <f t="shared" si="3"/>
        <v>1</v>
      </c>
      <c r="T73" s="190" t="str">
        <f t="shared" si="4"/>
        <v>Southbound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-06T11:52:31-0600',mode:absolute,to:'2017-05-06T14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3" s="192" t="str">
        <f t="shared" si="6"/>
        <v>N</v>
      </c>
      <c r="X73" s="192">
        <f t="shared" si="23"/>
        <v>1</v>
      </c>
      <c r="Y73" s="192">
        <f t="shared" si="8"/>
        <v>23.3064</v>
      </c>
      <c r="Z73" s="192">
        <f t="shared" si="9"/>
        <v>1.2999999999999999E-2</v>
      </c>
      <c r="AA73" s="192">
        <f t="shared" si="10"/>
        <v>23.293399999999998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0168-06</v>
      </c>
      <c r="AE73" s="80" t="str">
        <f t="shared" si="12"/>
        <v>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 &amp; 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</v>
      </c>
      <c r="AF73" s="77" t="str">
        <f t="shared" si="13"/>
        <v>"C:\Program Files (x86)\AstroGrep\AstroGrep.exe" /e /r /s /spath="%USERPROFILE%\AppData\Local\Temp\OnboardLogs" /stypes="app*4043*20170506*" /stext=" 19:.+((SYSTEM_STATE.+slice.+state.+changed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168-06 --locoid 4043 --swversion DE.1.0.9.0 --startMP 204:233064 --initTime 2017-05-06T12:52:31 --startdatetime 2017-05-06T12:56:18 --delay 1 --endMP 204:130 --enddatetime 2017-05-06T13:55:00 --enforcementcount 0 &gt;&gt;C:\Users\stu\Documents\GitHub\eaglep3-reporting\EC\2017-05-06-refined-times.txt</v>
      </c>
      <c r="AI73" s="99" t="str">
        <f t="shared" si="20"/>
        <v>echo {"issue":{"subject":"Delayed due to foul time - truck accident repairs","project_id":79,"tracker_id":40,"status_id":1,"priority_id":2,"assigned_to_id":23,"start_date":"2017-05-06","description":"","custom_fields":[{"id":1,"name":"Subdivision","value":"EC"},{"id":4,"name":"Milepost","value":"0.013"},{"id":17,"name":"Train ID","value":"168-06"},{"id":16,"name":"Locomotive ID","value":"4043"},{"id":130,"name":"Impact","value":""},{"id":150,"name":"Time of Event (Mountain Time)","value":"13:55:00"},{"id":151,"name":"Denver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4043 --day 2017-05-06</v>
      </c>
      <c r="AN73" s="154" t="str">
        <f t="shared" si="22"/>
        <v>echo {"issue":{"subject":"Delayed due to foul time - truck accident repairs","project_id":30,"tracker_id":4,"status_id":1,"priority_id":1,"assigned_to_id":10,"start_date":"2017-05-06","description":"","custom_fields":[{"id":30,"name":"Category","value":"Issue"},{"id":3,"name":"Functional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19:55:00"},{"id":29,"name":"Sharepoint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661</v>
      </c>
      <c r="B74" s="7">
        <v>4054</v>
      </c>
      <c r="C74" s="21" t="s">
        <v>210</v>
      </c>
      <c r="D74" s="21" t="s">
        <v>432</v>
      </c>
      <c r="E74" s="13">
        <v>42861.505312499998</v>
      </c>
      <c r="F74" s="13">
        <v>42861.510567129626</v>
      </c>
      <c r="G74" s="7">
        <v>1</v>
      </c>
      <c r="H74" s="21" t="s">
        <v>811</v>
      </c>
      <c r="I74" s="13">
        <v>42861.534988425927</v>
      </c>
      <c r="J74" s="7">
        <v>0</v>
      </c>
      <c r="K74" s="92" t="str">
        <f t="shared" si="0"/>
        <v>4053/4054</v>
      </c>
      <c r="L74" s="21" t="str">
        <f>VLOOKUP(A74,'Trips&amp;Operators'!$C$1:$G$99999,5,FALSE)</f>
        <v>ROMERO CHAD</v>
      </c>
      <c r="M74" s="6">
        <f t="shared" si="1"/>
        <v>2.4421296300715767E-2</v>
      </c>
      <c r="N74" s="7">
        <f t="shared" si="2"/>
        <v>35.166666673030704</v>
      </c>
      <c r="O74" s="7"/>
      <c r="P74" s="7"/>
      <c r="Q74" s="22"/>
      <c r="R74" s="190"/>
      <c r="S74" s="196">
        <f t="shared" si="3"/>
        <v>1</v>
      </c>
      <c r="T74" s="190" t="str">
        <f t="shared" si="4"/>
        <v>NorthBound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-06T11:07:39-0600',mode:absolute,to:'2017-05-06T13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4" s="192" t="str">
        <f t="shared" si="6"/>
        <v>N</v>
      </c>
      <c r="X74" s="192">
        <f t="shared" si="23"/>
        <v>1</v>
      </c>
      <c r="Y74" s="192">
        <f t="shared" si="8"/>
        <v>4.2700000000000002E-2</v>
      </c>
      <c r="Z74" s="192">
        <f t="shared" si="9"/>
        <v>23.339300000000001</v>
      </c>
      <c r="AA74" s="192">
        <f t="shared" si="10"/>
        <v>23.296600000000002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0169-06</v>
      </c>
      <c r="AE74" s="80" t="str">
        <f t="shared" si="12"/>
        <v>aws s3 cp s3://rtdc.mdm.uploadarchive.raw/RTDC4054/ "%USERPROFILE%\AppData\Local\Temp\OnboardLogs"\RTDC4054\2017-05-06 --exclude "*" --recursive --include "*20170506*" &amp; "%USERPROFILE%\Documents\GitHub\mrs-test-scripts\Headless Mode &amp; Sideloading\WalkAndUnGZ.bat" "%USERPROFILE%\AppData\Local\Temp\OnboardLogs"\RTDC4054\2017-05-06 &amp; aws s3 cp s3://rtdc.mdm.uploadarchive.raw/RTDC4054/ "%USERPROFILE%\AppData\Local\Temp\OnboardLogs"\RTDC4054\2017-05-07 --exclude "*" --recursive --include "*20170507*" &amp; "%USERPROFILE%\Documents\GitHub\mrs-test-scripts\Headless Mode &amp; Sideloading\WalkAndUnGZ.bat" "%USERPROFILE%\AppData\Local\Temp\OnboardLogs"\RTDC4054\2017-05-07</v>
      </c>
      <c r="AF74" s="77" t="str">
        <f t="shared" si="13"/>
        <v>"C:\Program Files (x86)\AstroGrep\AstroGrep.exe" /e /r /s /spath="%USERPROFILE%\AppData\Local\Temp\OnboardLogs" /stypes="app*4054*20170506*"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169-06 --locoid 4054 --swversion DE.1.0.9.0 --startMP 204:427 --initTime 2017-05-06T12:07:39 --startdatetime 2017-05-06T12:15:13 --delay 1 --endMP 204:233393 --enddatetime 2017-05-06T12:50:23 --enforcementcount 0 &gt;&gt;C:\Users\stu\Documents\GitHub\eaglep3-reporting\EC\2017-05-06-refined-times.txt</v>
      </c>
      <c r="AI74" s="99" t="str">
        <f t="shared" si="20"/>
        <v>echo {"issue":{"subject":"","project_id":79,"tracker_id":40,"status_id":1,"priority_id":2,"assigned_to_id":23,"start_date":"2017-05-06","description":"","custom_fields":[{"id":1,"name":"Subdivision","value":"EC"},{"id":4,"name":"Milepost","value":"23.3393"},{"id":17,"name":"Train ID","value":"169-06"},{"id":16,"name":"Locomotive ID","value":"4054"},{"id":130,"name":"Impact","value":""},{"id":150,"name":"Time of Event (Mountain Time)","value":"12:50:23"},{"id":151,"name":"Denver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4054 --day 2017-05-06</v>
      </c>
      <c r="AN74" s="154" t="str">
        <f t="shared" si="2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18:50:23"},{"id":29,"name":"Sharepoint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669</v>
      </c>
      <c r="B75" s="7">
        <v>4053</v>
      </c>
      <c r="C75" s="21" t="s">
        <v>210</v>
      </c>
      <c r="D75" s="21" t="s">
        <v>493</v>
      </c>
      <c r="E75" s="13">
        <v>42861.536562499998</v>
      </c>
      <c r="F75" s="13">
        <v>42861.54960648148</v>
      </c>
      <c r="G75" s="7">
        <v>1</v>
      </c>
      <c r="H75" s="21" t="s">
        <v>405</v>
      </c>
      <c r="I75" s="13">
        <v>42861.591944444444</v>
      </c>
      <c r="J75" s="7">
        <v>0</v>
      </c>
      <c r="K75" s="92" t="str">
        <f t="shared" ref="K75:K131" si="24">IF(ISEVEN(B75),(B75-1)&amp;"/"&amp;B75,B75&amp;"/"&amp;(B75+1))</f>
        <v>4053/4054</v>
      </c>
      <c r="L75" s="21" t="str">
        <f>VLOOKUP(A75,'Trips&amp;Operators'!$C$1:$G$99999,5,FALSE)</f>
        <v>ROMERO CHAD</v>
      </c>
      <c r="M75" s="6">
        <f t="shared" ref="M75:M131" si="25">I75-F75</f>
        <v>4.2337962964666076E-2</v>
      </c>
      <c r="N75" s="7">
        <f t="shared" ref="N75:P131" si="26">24*60*SUM($M75:$M75)</f>
        <v>60.966666669119149</v>
      </c>
      <c r="O75" s="7"/>
      <c r="P75" s="7"/>
      <c r="Q75" s="22"/>
      <c r="R75" s="190" t="s">
        <v>1044</v>
      </c>
      <c r="S75" s="196">
        <f t="shared" ref="S75:S131" si="27">SUM(U75:U75)/IF(AG75="EC",12,1)</f>
        <v>1</v>
      </c>
      <c r="T75" s="190" t="str">
        <f t="shared" ref="T75:T131" si="28">IF(ISEVEN(LEFT(AD75,4)),"Southbound","NorthBound")</f>
        <v>Southbound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ref="V75:V131" si="29"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-05-06T11:52:39-0600',mode:absolute,to:'2017-05-06T15:12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5" s="192" t="str">
        <f t="shared" ref="W75:W131" si="30">IF(AA75&lt;IF(AG75="EC",23,5.65),"Y","N")</f>
        <v>N</v>
      </c>
      <c r="X75" s="192">
        <f t="shared" si="23"/>
        <v>1</v>
      </c>
      <c r="Y75" s="192">
        <f t="shared" ref="Y75:Y131" si="31">RIGHT(D75,LEN(D75)-4)/10000</f>
        <v>23.3048</v>
      </c>
      <c r="Z75" s="192">
        <f t="shared" ref="Z75:Z131" si="32">RIGHT(H75,LEN(H75)-4)/10000</f>
        <v>1.3899999999999999E-2</v>
      </c>
      <c r="AA75" s="192">
        <f t="shared" ref="AA75:AA131" si="33">ABS(Z75-Y75)</f>
        <v>23.290900000000001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ref="AD75:AD131" si="34">IF(LEN(A75)=6,"0"&amp;A75,A75)</f>
        <v>0170-06</v>
      </c>
      <c r="AE75" s="80" t="str">
        <f t="shared" ref="AE75:AE131" si="35"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s3://rtdc.mdm.uploadarchive.raw/RTDC4053/ "%USERPROFILE%\AppData\Local\Temp\OnboardLogs"\RTDC4053\2017-05-06 --exclude "*" --recursive --include "*20170506*" &amp; "%USERPROFILE%\Documents\GitHub\mrs-test-scripts\Headless Mode &amp; Sideloading\WalkAndUnGZ.bat" "%USERPROFILE%\AppData\Local\Temp\OnboardLogs"\RTDC4053\2017-05-06 &amp; aws s3 cp s3://rtdc.mdm.uploadarchive.raw/RTDC4053/ "%USERPROFILE%\AppData\Local\Temp\OnboardLogs"\RTDC4053\2017-05-07 --exclude "*" --recursive --include "*20170507*" &amp; "%USERPROFILE%\Documents\GitHub\mrs-test-scripts\Headless Mode &amp; Sideloading\WalkAndUnGZ.bat" "%USERPROFILE%\AppData\Local\Temp\OnboardLogs"\RTDC4053\2017-05-07</v>
      </c>
      <c r="AF75" s="77" t="str">
        <f t="shared" ref="AF75:AF131" si="36"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/stypes="app*4053*20170506*" /stext=" 20:.+((SYSTEM_STATE.+slice.+state.+changed )|(ment ac)|(multiple cpu faults)|(system.+state.+changed )|(\[timeout)|(PRM\|1\|D)|(kpr)|(kdp)|(train st.+moving)|(\|lc)|(penalty))"</v>
      </c>
      <c r="AG75" s="1" t="str">
        <f t="shared" ref="AG75:AG131" si="37">IFERROR(IF(VALUE(LEFT(AD75,2))&lt;=2,"EC",IF(OR(VALUE(LEFT(AD75,2))=8,VALUE(LEFT(AD75,2))=18),"NW","Other")),"Other")</f>
        <v>EC</v>
      </c>
      <c r="AH75" s="81" t="str">
        <f t="shared" si="19"/>
        <v>"%USERPROFILE%\Documents\GitHub\eaglep3\Utilities\RefineRTDCRunTimes.py" --tripid 170-06 --locoid 4053 --swversion DE.1.0.9.0 --startMP 204:233048 --initTime 2017-05-06T12:52:39 --startdatetime 2017-05-06T13:11:26 --delay 1 --endMP 204:139 --enddatetime 2017-05-06T14:12:24 --enforcementcount 0 &gt;&gt;C:\Users\stu\Documents\GitHub\eaglep3-reporting\EC\2017-05-06-refined-times.txt</v>
      </c>
      <c r="AI75" s="99" t="str">
        <f t="shared" si="20"/>
        <v>echo {"issue":{"subject":"Delayed due to foul time - truck accident repairs","project_id":79,"tracker_id":40,"status_id":1,"priority_id":2,"assigned_to_id":23,"start_date":"2017-05-06","description":"","custom_fields":[{"id":1,"name":"Subdivision","value":"EC"},{"id":4,"name":"Milepost","value":"0.0139"},{"id":17,"name":"Train ID","value":"170-06"},{"id":16,"name":"Locomotive ID","value":"4053"},{"id":130,"name":"Impact","value":""},{"id":150,"name":"Time of Event (Mountain Time)","value":"14:12:24"},{"id":151,"name":"Denver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4053 --day 2017-05-06</v>
      </c>
      <c r="AN75" s="154" t="str">
        <f t="shared" si="22"/>
        <v>echo {"issue":{"subject":"Delayed due to foul time - truck accident repairs","project_id":30,"tracker_id":4,"status_id":1,"priority_id":1,"assigned_to_id":10,"start_date":"2017-05-06","description":"","custom_fields":[{"id":30,"name":"Category","value":"Issue"},{"id":3,"name":"Functional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20:12:24"},{"id":29,"name":"Sharepoint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664</v>
      </c>
      <c r="B76" s="7">
        <v>4006</v>
      </c>
      <c r="C76" s="21" t="s">
        <v>210</v>
      </c>
      <c r="D76" s="21" t="s">
        <v>812</v>
      </c>
      <c r="E76" s="13">
        <v>42861.531157407408</v>
      </c>
      <c r="F76" s="13">
        <v>42861.532048611109</v>
      </c>
      <c r="G76" s="7">
        <v>1</v>
      </c>
      <c r="H76" s="21" t="s">
        <v>462</v>
      </c>
      <c r="I76" s="13">
        <v>42861.552777777775</v>
      </c>
      <c r="J76" s="7">
        <v>0</v>
      </c>
      <c r="K76" s="92" t="str">
        <f t="shared" si="24"/>
        <v>4005/4006</v>
      </c>
      <c r="L76" s="21" t="str">
        <f>VLOOKUP(A76,'Trips&amp;Operators'!$C$1:$G$99999,5,FALSE)</f>
        <v>MOSES BRADLEY</v>
      </c>
      <c r="M76" s="6">
        <f t="shared" si="25"/>
        <v>2.0729166666569654E-2</v>
      </c>
      <c r="N76" s="7"/>
      <c r="O76" s="7"/>
      <c r="P76" s="7">
        <f t="shared" si="26"/>
        <v>29.849999999860302</v>
      </c>
      <c r="Q76" s="22"/>
      <c r="R76" s="190" t="s">
        <v>1045</v>
      </c>
      <c r="S76" s="196">
        <f t="shared" si="27"/>
        <v>0.75</v>
      </c>
      <c r="T76" s="190" t="str">
        <f t="shared" si="28"/>
        <v>NorthBound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9</v>
      </c>
      <c r="V76" s="191" t="str">
        <f t="shared" si="29"/>
        <v>https://d0f6bd738d7f1b3e5a7ca70fe4ff75f0.us-east-1.aws.found.io/app/kibana#/discover/Steve-Slow-Train-Analysis-(2080s-and-2083s)?_g=(refreshInterval:(display:Off,pause:!f,section:0,value:0),time:(from:'2017-05-06T11:44:52-0600',mode:absolute,to:'2017-05-06T14:16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6" s="192" t="str">
        <f t="shared" si="30"/>
        <v>Y</v>
      </c>
      <c r="X76" s="192">
        <f t="shared" si="23"/>
        <v>1</v>
      </c>
      <c r="Y76" s="192">
        <f t="shared" si="31"/>
        <v>3.7214</v>
      </c>
      <c r="Z76" s="192">
        <f t="shared" si="32"/>
        <v>23.332100000000001</v>
      </c>
      <c r="AA76" s="192">
        <f t="shared" si="33"/>
        <v>19.610700000000001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34"/>
        <v>0171-06</v>
      </c>
      <c r="AE76" s="80" t="str">
        <f t="shared" si="35"/>
        <v>aws s3 cp s3://rtdc.mdm.uploadarchive.raw/RTDC4006/ "%USERPROFILE%\AppData\Local\Temp\OnboardLogs"\RTDC4006\2017-05-06 --exclude "*" --recursive --include "*20170506*" &amp; "%USERPROFILE%\Documents\GitHub\mrs-test-scripts\Headless Mode &amp; Sideloading\WalkAndUnGZ.bat" "%USERPROFILE%\AppData\Local\Temp\OnboardLogs"\RTDC4006\2017-05-06 &amp; 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</v>
      </c>
      <c r="AF76" s="77" t="str">
        <f t="shared" si="36"/>
        <v>"C:\Program Files (x86)\AstroGrep\AstroGrep.exe" /e /r /s /spath="%USERPROFILE%\AppData\Local\Temp\OnboardLogs" /stypes="app*4006*20170506*" /stext=" 19:.+((SYSTEM_STATE.+slice.+state.+changed )|(ment ac)|(multiple cpu faults)|(system.+state.+changed )|(\[timeout)|(PRM\|1\|D)|(kpr)|(kdp)|(train st.+moving)|(\|lc)|(penalty))"</v>
      </c>
      <c r="AG76" s="1" t="str">
        <f t="shared" si="37"/>
        <v>EC</v>
      </c>
      <c r="AH76" s="81" t="str">
        <f t="shared" ref="AH76:AH132" si="38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171-06 --locoid 4006 --swversion DE.1.0.9.0 --startMP 204:37214 --initTime 2017-05-06T12:44:52 --startdatetime 2017-05-06T12:46:09 --delay 1 --endMP 204:233321 --enddatetime 2017-05-06T13:16:00 --enforcementcount 0 &gt;&gt;C:\Users\stu\Documents\GitHub\eaglep3-reporting\EC\2017-05-06-refined-times.txt</v>
      </c>
      <c r="AI76" s="99" t="str">
        <f t="shared" ref="AI76:AI132" si="39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{"issue":{"subject":"Cut out due to observing banner without braking against speed restricton target","project_id":79,"tracker_id":40,"status_id":1,"priority_id":2,"assigned_to_id":23,"start_date":"2017-05-06","description":"","custom_fields":[{"id":1,"name":"Subdivision","value":"EC"},{"id":4,"name":"Milepost","value":"23.3321"},{"id":17,"name":"Train ID","value":"171-06"},{"id":16,"name":"Locomotive ID","value":"4006"},{"id":130,"name":"Impact","value":""},{"id":150,"name":"Time of Event (Mountain Time)","value":"13:16:00"},{"id":151,"name":"Denver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ref="AM76:AM132" si="40">"start /low /b "&amp;dls3logs&amp;" --loco "&amp;B76&amp;" --day "&amp;TEXT(F76,"YYYY-MM-DD")</f>
        <v>start /low /b %USERPROFILE%\Documents\GitHub\eaglep3\Utilities\DownloadLogsFromS3.py --loco 4006 --day 2017-05-06</v>
      </c>
      <c r="AN76" s="154" t="str">
        <f t="shared" ref="AN76:AN132" si="41">"echo {""issue"":{""subject"":"""&amp;R76&amp;""",""project_id"":30,""tracker_id"":4,""status_id"":"&amp;redmine_status_wcr&amp;",""priority_id"":"&amp;redmine_priority_wcr&amp;",""assigned_to_id"":"&amp;redmine_assignee_wcr&amp;",""start_date"":"""&amp;TEXT(I76-utc_offset/24,"YYYY-mm-dd")&amp;""",""description"":"""&amp;AJ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{"issue":{"subject":"Cut out due to observing banner without braking against speed restricton target","project_id":30,"tracker_id":4,"status_id":1,"priority_id":1,"assigned_to_id":10,"start_date":"2017-05-06","description":"","custom_fields":[{"id":30,"name":"Category","value":"Issue"},{"id":3,"name":"Functional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19:16:00"},{"id":29,"name":"Sharepoint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664</v>
      </c>
      <c r="B77" s="7">
        <v>4006</v>
      </c>
      <c r="C77" s="21" t="s">
        <v>210</v>
      </c>
      <c r="D77" s="21" t="s">
        <v>205</v>
      </c>
      <c r="E77" s="13">
        <v>42861.516504629632</v>
      </c>
      <c r="F77" s="13">
        <v>42861.532048611109</v>
      </c>
      <c r="G77" s="7">
        <v>1</v>
      </c>
      <c r="H77" s="21" t="s">
        <v>813</v>
      </c>
      <c r="I77" s="13">
        <v>42861.552777777775</v>
      </c>
      <c r="J77" s="7">
        <v>0</v>
      </c>
      <c r="K77" s="92" t="str">
        <f t="shared" si="24"/>
        <v>4005/4006</v>
      </c>
      <c r="L77" s="21" t="str">
        <f>VLOOKUP(A77,'Trips&amp;Operators'!$C$1:$G$99999,5,FALSE)</f>
        <v>MOSES BRADLEY</v>
      </c>
      <c r="M77" s="6">
        <f t="shared" si="25"/>
        <v>2.0729166666569654E-2</v>
      </c>
      <c r="N77" s="7"/>
      <c r="O77" s="7"/>
      <c r="P77" s="7"/>
      <c r="Q77" s="22"/>
      <c r="R77" s="190"/>
      <c r="S77" s="196"/>
      <c r="T77" s="190" t="str">
        <f t="shared" si="28"/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0</v>
      </c>
      <c r="V77" s="191" t="str">
        <f t="shared" si="29"/>
        <v>https://d0f6bd738d7f1b3e5a7ca70fe4ff75f0.us-east-1.aws.found.io/app/kibana#/discover/Steve-Slow-Train-Analysis-(2080s-and-2083s)?_g=(refreshInterval:(display:Off,pause:!f,section:0,value:0),time:(from:'2017-05-06T11:23:46-0600',mode:absolute,to:'2017-05-06T14:16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7" s="192" t="str">
        <f t="shared" si="30"/>
        <v>Y</v>
      </c>
      <c r="X77" s="192">
        <f t="shared" si="23"/>
        <v>0</v>
      </c>
      <c r="Y77" s="192">
        <f t="shared" si="31"/>
        <v>4.5999999999999999E-2</v>
      </c>
      <c r="Z77" s="192">
        <f t="shared" si="32"/>
        <v>1.9147000000000001</v>
      </c>
      <c r="AA77" s="192">
        <f t="shared" si="33"/>
        <v>1.8687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si="34"/>
        <v>0171-06</v>
      </c>
      <c r="AE77" s="80" t="str">
        <f t="shared" si="35"/>
        <v>aws s3 cp s3://rtdc.mdm.uploadarchive.raw/RTDC4006/ "%USERPROFILE%\AppData\Local\Temp\OnboardLogs"\RTDC4006\2017-05-06 --exclude "*" --recursive --include "*20170506*" &amp; "%USERPROFILE%\Documents\GitHub\mrs-test-scripts\Headless Mode &amp; Sideloading\WalkAndUnGZ.bat" "%USERPROFILE%\AppData\Local\Temp\OnboardLogs"\RTDC4006\2017-05-06 &amp; 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</v>
      </c>
      <c r="AF77" s="77" t="str">
        <f t="shared" si="36"/>
        <v>"C:\Program Files (x86)\AstroGrep\AstroGrep.exe" /e /r /s /spath="%USERPROFILE%\AppData\Local\Temp\OnboardLogs" /stypes="app*4006*20170506*" /stext=" 19:.+((SYSTEM_STATE.+slice.+state.+changed )|(ment ac)|(multiple cpu faults)|(system.+state.+changed )|(\[timeout)|(PRM\|1\|D)|(kpr)|(kdp)|(train st.+moving)|(\|lc)|(penalty))"</v>
      </c>
      <c r="AG77" s="1" t="str">
        <f t="shared" si="37"/>
        <v>EC</v>
      </c>
      <c r="AH77" s="81" t="str">
        <f t="shared" si="38"/>
        <v>"%USERPROFILE%\Documents\GitHub\eaglep3\Utilities\RefineRTDCRunTimes.py" --tripid 171-06 --locoid 4006 --swversion DE.1.0.9.0 --startMP 204:460 --initTime 2017-05-06T12:23:46 --startdatetime 2017-05-06T12:46:09 --delay 1 --endMP 204:19147 --enddatetime 2017-05-06T13:16:00 --enforcementcount 0 &gt;&gt;C:\Users\stu\Documents\GitHub\eaglep3-reporting\EC\2017-05-06-refined-times.txt</v>
      </c>
      <c r="AI77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{"issue":{"subject":"","project_id":79,"tracker_id":40,"status_id":1,"priority_id":2,"assigned_to_id":23,"start_date":"2017-05-06","description":"","custom_fields":[{"id":1,"name":"Subdivision","value":"EC"},{"id":4,"name":"Milepost","value":"1.9147"},{"id":17,"name":"Train ID","value":"171-06"},{"id":16,"name":"Locomotive ID","value":"4006"},{"id":130,"name":"Impact","value":""},{"id":150,"name":"Time of Event (Mountain Time)","value":"13:16:00"},{"id":151,"name":"Denver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40"/>
        <v>start /low /b %USERPROFILE%\Documents\GitHub\eaglep3\Utilities\DownloadLogsFromS3.py --loco 4006 --day 2017-05-06</v>
      </c>
      <c r="AN77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19:16:00"},{"id":29,"name":"Sharepoint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538</v>
      </c>
      <c r="B78" s="7">
        <v>4005</v>
      </c>
      <c r="C78" s="21" t="s">
        <v>210</v>
      </c>
      <c r="D78" s="21" t="s">
        <v>814</v>
      </c>
      <c r="E78" s="13">
        <v>42861.570150462961</v>
      </c>
      <c r="F78" s="13">
        <v>42861.571608796294</v>
      </c>
      <c r="G78" s="7">
        <v>1</v>
      </c>
      <c r="H78" s="21" t="s">
        <v>815</v>
      </c>
      <c r="I78" s="13">
        <v>42861.600613425922</v>
      </c>
      <c r="J78" s="7">
        <v>0</v>
      </c>
      <c r="K78" s="92" t="str">
        <f t="shared" si="24"/>
        <v>4005/4006</v>
      </c>
      <c r="L78" s="21" t="str">
        <f>VLOOKUP(A78,'Trips&amp;Operators'!$C$1:$G$99999,5,FALSE)</f>
        <v>MOSES BRADLEY</v>
      </c>
      <c r="M78" s="6">
        <f t="shared" si="25"/>
        <v>2.9004629628616385E-2</v>
      </c>
      <c r="N78" s="7"/>
      <c r="O78" s="7"/>
      <c r="P78" s="7">
        <f t="shared" si="26"/>
        <v>41.766666665207595</v>
      </c>
      <c r="Q78" s="22"/>
      <c r="R78" s="190" t="s">
        <v>1040</v>
      </c>
      <c r="S78" s="196">
        <f t="shared" si="27"/>
        <v>1</v>
      </c>
      <c r="T78" s="190" t="str">
        <f t="shared" si="28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29"/>
        <v>https://d0f6bd738d7f1b3e5a7ca70fe4ff75f0.us-east-1.aws.found.io/app/kibana#/discover/Steve-Slow-Train-Analysis-(2080s-and-2083s)?_g=(refreshInterval:(display:Off,pause:!f,section:0,value:0),time:(from:'2017-05-06T12:41:01-0600',mode:absolute,to:'2017-05-06T15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8" s="192" t="str">
        <f t="shared" si="30"/>
        <v>Y</v>
      </c>
      <c r="X78" s="192">
        <f t="shared" si="23"/>
        <v>1</v>
      </c>
      <c r="Y78" s="192">
        <f t="shared" si="31"/>
        <v>15.399900000000001</v>
      </c>
      <c r="Z78" s="192">
        <f t="shared" si="32"/>
        <v>9.6199999999999994E-2</v>
      </c>
      <c r="AA78" s="192">
        <f t="shared" si="33"/>
        <v>15.303700000000001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4"/>
        <v>0172-06</v>
      </c>
      <c r="AE78" s="80" t="str">
        <f t="shared" si="35"/>
        <v>aws s3 cp s3://rtdc.mdm.uploadarchive.raw/RTDC4005/ "%USERPROFILE%\AppData\Local\Temp\OnboardLogs"\RTDC4005\2017-05-06 --exclude "*" --recursive --include "*20170506*" &amp; "%USERPROFILE%\Documents\GitHub\mrs-test-scripts\Headless Mode &amp; Sideloading\WalkAndUnGZ.bat" "%USERPROFILE%\AppData\Local\Temp\OnboardLogs"\RTDC4005\2017-05-06 &amp; 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</v>
      </c>
      <c r="AF78" s="77" t="str">
        <f t="shared" si="36"/>
        <v>"C:\Program Files (x86)\AstroGrep\AstroGrep.exe" /e /r /s /spath="%USERPROFILE%\AppData\Local\Temp\OnboardLogs" /stypes="app*4005*20170506*" /stext=" 20:.+((SYSTEM_STATE.+slice.+state.+changed )|(ment ac)|(multiple cpu faults)|(system.+state.+changed )|(\[timeout)|(PRM\|1\|D)|(kpr)|(kdp)|(train st.+moving)|(\|lc)|(penalty))"</v>
      </c>
      <c r="AG78" s="1" t="str">
        <f t="shared" si="37"/>
        <v>EC</v>
      </c>
      <c r="AH78" s="81" t="str">
        <f t="shared" si="38"/>
        <v>"%USERPROFILE%\Documents\GitHub\eaglep3\Utilities\RefineRTDCRunTimes.py" --tripid 172-06 --locoid 4005 --swversion DE.1.0.9.0 --startMP 204:153999 --initTime 2017-05-06T13:41:01 --startdatetime 2017-05-06T13:43:07 --delay 1 --endMP 204:962 --enddatetime 2017-05-06T14:24:53 --enforcementcount 0 &gt;&gt;C:\Users\stu\Documents\GitHub\eaglep3-reporting\EC\2017-05-06-refined-times.txt</v>
      </c>
      <c r="AI78" s="99" t="str">
        <f t="shared" si="39"/>
        <v>echo {"issue":{"subject":"Onboard in-route failure","project_id":79,"tracker_id":40,"status_id":1,"priority_id":2,"assigned_to_id":23,"start_date":"2017-05-06","description":"","custom_fields":[{"id":1,"name":"Subdivision","value":"EC"},{"id":4,"name":"Milepost","value":"0.0962"},{"id":17,"name":"Train ID","value":"172-06"},{"id":16,"name":"Locomotive ID","value":"4005"},{"id":130,"name":"Impact","value":""},{"id":150,"name":"Time of Event (Mountain Time)","value":"14:24:53"},{"id":151,"name":"Denver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40"/>
        <v>start /low /b %USERPROFILE%\Documents\GitHub\eaglep3\Utilities\DownloadLogsFromS3.py --loco 4005 --day 2017-05-06</v>
      </c>
      <c r="AN78" s="154" t="str">
        <f t="shared" si="41"/>
        <v>echo {"issue":{"subject":"Onboard in-route failure","project_id":30,"tracker_id":4,"status_id":1,"priority_id":1,"assigned_to_id":10,"start_date":"2017-05-06","description":"","custom_fields":[{"id":30,"name":"Category","value":"Issue"},{"id":3,"name":"Functional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20:24:53"},{"id":29,"name":"Sharepoint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667</v>
      </c>
      <c r="B79" s="7">
        <v>4002</v>
      </c>
      <c r="C79" s="21" t="s">
        <v>210</v>
      </c>
      <c r="D79" s="21" t="s">
        <v>204</v>
      </c>
      <c r="E79" s="13">
        <v>42861.528333333335</v>
      </c>
      <c r="F79" s="13">
        <v>42861.531481481485</v>
      </c>
      <c r="G79" s="7">
        <v>1</v>
      </c>
      <c r="H79" s="21" t="s">
        <v>498</v>
      </c>
      <c r="I79" s="13">
        <v>42861.557627314818</v>
      </c>
      <c r="J79" s="7">
        <v>0</v>
      </c>
      <c r="K79" s="92" t="str">
        <f t="shared" si="24"/>
        <v>4001/4002</v>
      </c>
      <c r="L79" s="21" t="str">
        <f>VLOOKUP(A79,'Trips&amp;Operators'!$C$1:$G$99999,5,FALSE)</f>
        <v>STEWART MICHAEL</v>
      </c>
      <c r="M79" s="6">
        <f t="shared" si="25"/>
        <v>2.6145833333430346E-2</v>
      </c>
      <c r="N79" s="7">
        <f t="shared" si="26"/>
        <v>37.650000000139698</v>
      </c>
      <c r="O79" s="7"/>
      <c r="P79" s="7"/>
      <c r="Q79" s="22"/>
      <c r="R79" s="190"/>
      <c r="S79" s="196">
        <f t="shared" si="27"/>
        <v>1</v>
      </c>
      <c r="T79" s="190" t="str">
        <f t="shared" si="28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29"/>
        <v>https://d0f6bd738d7f1b3e5a7ca70fe4ff75f0.us-east-1.aws.found.io/app/kibana#/discover/Steve-Slow-Train-Analysis-(2080s-and-2083s)?_g=(refreshInterval:(display:Off,pause:!f,section:0,value:0),time:(from:'2017-05-06T11:40:48-0600',mode:absolute,to:'2017-05-06T14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9" s="192" t="str">
        <f t="shared" si="30"/>
        <v>N</v>
      </c>
      <c r="X79" s="192">
        <f t="shared" si="23"/>
        <v>1</v>
      </c>
      <c r="Y79" s="192">
        <f t="shared" si="31"/>
        <v>4.5699999999999998E-2</v>
      </c>
      <c r="Z79" s="192">
        <f t="shared" si="32"/>
        <v>23.330500000000001</v>
      </c>
      <c r="AA79" s="192">
        <f t="shared" si="33"/>
        <v>23.284800000000001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4"/>
        <v>0173-06</v>
      </c>
      <c r="AE79" s="80" t="str">
        <f t="shared" si="35"/>
        <v>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 &amp; aws s3 cp s3://rtdc.mdm.uploadarchive.raw/RTDC4002/ "%USERPROFILE%\AppData\Local\Temp\OnboardLogs"\RTDC4002\2017-05-07 --exclude "*" --recursive --include "*20170507*" &amp; "%USERPROFILE%\Documents\GitHub\mrs-test-scripts\Headless Mode &amp; Sideloading\WalkAndUnGZ.bat" "%USERPROFILE%\AppData\Local\Temp\OnboardLogs"\RTDC4002\2017-05-07</v>
      </c>
      <c r="AF79" s="77" t="str">
        <f t="shared" si="36"/>
        <v>"C:\Program Files (x86)\AstroGrep\AstroGrep.exe" /e /r /s /spath="%USERPROFILE%\AppData\Local\Temp\OnboardLogs" /stypes="app*4002*20170506*" /stext=" 19:.+((SYSTEM_STATE.+slice.+state.+changed )|(ment ac)|(multiple cpu faults)|(system.+state.+changed )|(\[timeout)|(PRM\|1\|D)|(kpr)|(kdp)|(train st.+moving)|(\|lc)|(penalty))"</v>
      </c>
      <c r="AG79" s="1" t="str">
        <f t="shared" si="37"/>
        <v>EC</v>
      </c>
      <c r="AH79" s="81" t="str">
        <f t="shared" si="38"/>
        <v>"%USERPROFILE%\Documents\GitHub\eaglep3\Utilities\RefineRTDCRunTimes.py" --tripid 173-06 --locoid 4002 --swversion DE.1.0.9.0 --startMP 204:457 --initTime 2017-05-06T12:40:48 --startdatetime 2017-05-06T12:45:20 --delay 1 --endMP 204:233305 --enddatetime 2017-05-06T13:22:59 --enforcementcount 0 &gt;&gt;C:\Users\stu\Documents\GitHub\eaglep3-reporting\EC\2017-05-06-refined-times.txt</v>
      </c>
      <c r="AI79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{"issue":{"subject":"","project_id":79,"tracker_id":40,"status_id":1,"priority_id":2,"assigned_to_id":23,"start_date":"2017-05-06","description":"","custom_fields":[{"id":1,"name":"Subdivision","value":"EC"},{"id":4,"name":"Milepost","value":"23.3305"},{"id":17,"name":"Train ID","value":"173-06"},{"id":16,"name":"Locomotive ID","value":"4002"},{"id":130,"name":"Impact","value":""},{"id":150,"name":"Time of Event (Mountain Time)","value":"13:22:59"},{"id":151,"name":"Denver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0"/>
        <v>start /low /b %USERPROFILE%\Documents\GitHub\eaglep3\Utilities\DownloadLogsFromS3.py --loco 4002 --day 2017-05-06</v>
      </c>
      <c r="AN79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19:22:59"},{"id":29,"name":"Sharepoint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2" t="s">
        <v>673</v>
      </c>
      <c r="B80" s="7">
        <v>4001</v>
      </c>
      <c r="C80" s="21" t="s">
        <v>210</v>
      </c>
      <c r="D80" s="21" t="s">
        <v>397</v>
      </c>
      <c r="E80" s="13">
        <v>42861.565185185187</v>
      </c>
      <c r="F80" s="13">
        <v>42861.570474537039</v>
      </c>
      <c r="G80" s="7">
        <v>1</v>
      </c>
      <c r="H80" s="21" t="s">
        <v>816</v>
      </c>
      <c r="I80" s="13">
        <v>42861.605567129627</v>
      </c>
      <c r="J80" s="7">
        <v>0</v>
      </c>
      <c r="K80" s="92" t="str">
        <f t="shared" si="24"/>
        <v>4001/4002</v>
      </c>
      <c r="L80" s="21" t="str">
        <f>VLOOKUP(A80,'Trips&amp;Operators'!$C$1:$G$99999,5,FALSE)</f>
        <v>STEWART MICHAEL</v>
      </c>
      <c r="M80" s="6">
        <f t="shared" si="25"/>
        <v>3.5092592588625848E-2</v>
      </c>
      <c r="N80" s="7">
        <f t="shared" si="26"/>
        <v>50.533333327621222</v>
      </c>
      <c r="O80" s="7"/>
      <c r="P80" s="7"/>
      <c r="Q80" s="22"/>
      <c r="R80" s="190"/>
      <c r="S80" s="196">
        <f t="shared" si="27"/>
        <v>1</v>
      </c>
      <c r="T80" s="190" t="str">
        <f t="shared" si="28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29"/>
        <v>https://d0f6bd738d7f1b3e5a7ca70fe4ff75f0.us-east-1.aws.found.io/app/kibana#/discover/Steve-Slow-Train-Analysis-(2080s-and-2083s)?_g=(refreshInterval:(display:Off,pause:!f,section:0,value:0),time:(from:'2017-05-06T12:33:52-0600',mode:absolute,to:'2017-05-06T15:32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0" s="192" t="str">
        <f t="shared" si="30"/>
        <v>N</v>
      </c>
      <c r="X80" s="192">
        <f t="shared" si="23"/>
        <v>1</v>
      </c>
      <c r="Y80" s="192">
        <f t="shared" si="31"/>
        <v>23.298200000000001</v>
      </c>
      <c r="Z80" s="192">
        <f t="shared" si="32"/>
        <v>0.1179</v>
      </c>
      <c r="AA80" s="192">
        <f t="shared" si="33"/>
        <v>23.180300000000003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4"/>
        <v>0174-06</v>
      </c>
      <c r="AE80" s="80" t="str">
        <f t="shared" si="35"/>
        <v>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 &amp; aws s3 cp s3://rtdc.mdm.uploadarchive.raw/RTDC4001/ "%USERPROFILE%\AppData\Local\Temp\OnboardLogs"\RTDC4001\2017-05-07 --exclude "*" --recursive --include "*20170507*" &amp; "%USERPROFILE%\Documents\GitHub\mrs-test-scripts\Headless Mode &amp; Sideloading\WalkAndUnGZ.bat" "%USERPROFILE%\AppData\Local\Temp\OnboardLogs"\RTDC4001\2017-05-07</v>
      </c>
      <c r="AF80" s="77" t="str">
        <f t="shared" si="36"/>
        <v>"C:\Program Files (x86)\AstroGrep\AstroGrep.exe" /e /r /s /spath="%USERPROFILE%\AppData\Local\Temp\OnboardLogs" /stypes="app*4001*20170506*" /stext=" 20:.+((SYSTEM_STATE.+slice.+state.+changed )|(ment ac)|(multiple cpu faults)|(system.+state.+changed )|(\[timeout)|(PRM\|1\|D)|(kpr)|(kdp)|(train st.+moving)|(\|lc)|(penalty))"</v>
      </c>
      <c r="AG80" s="1" t="str">
        <f t="shared" si="37"/>
        <v>EC</v>
      </c>
      <c r="AH80" s="81" t="str">
        <f t="shared" si="38"/>
        <v>"%USERPROFILE%\Documents\GitHub\eaglep3\Utilities\RefineRTDCRunTimes.py" --tripid 174-06 --locoid 4001 --swversion DE.1.0.9.0 --startMP 204:232982 --initTime 2017-05-06T13:33:52 --startdatetime 2017-05-06T13:41:29 --delay 1 --endMP 204:1179 --enddatetime 2017-05-06T14:32:01 --enforcementcount 0 &gt;&gt;C:\Users\stu\Documents\GitHub\eaglep3-reporting\EC\2017-05-06-refined-times.txt</v>
      </c>
      <c r="AI80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{"issue":{"subject":"","project_id":79,"tracker_id":40,"status_id":1,"priority_id":2,"assigned_to_id":23,"start_date":"2017-05-06","description":"","custom_fields":[{"id":1,"name":"Subdivision","value":"EC"},{"id":4,"name":"Milepost","value":"0.1179"},{"id":17,"name":"Train ID","value":"174-06"},{"id":16,"name":"Locomotive ID","value":"4001"},{"id":130,"name":"Impact","value":""},{"id":150,"name":"Time of Event (Mountain Time)","value":"14:32:01"},{"id":151,"name":"Denver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0" s="47"/>
      <c r="AL80" s="47"/>
      <c r="AM80" s="145" t="str">
        <f t="shared" si="40"/>
        <v>start /low /b %USERPROFILE%\Documents\GitHub\eaglep3\Utilities\DownloadLogsFromS3.py --loco 4001 --day 2017-05-06</v>
      </c>
      <c r="AN80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20:32:01"},{"id":29,"name":"Sharepoint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2" t="s">
        <v>670</v>
      </c>
      <c r="B81" s="7">
        <v>4010</v>
      </c>
      <c r="C81" s="21" t="s">
        <v>210</v>
      </c>
      <c r="D81" s="21" t="s">
        <v>384</v>
      </c>
      <c r="E81" s="13">
        <v>42861.540648148148</v>
      </c>
      <c r="F81" s="13">
        <v>42861.542407407411</v>
      </c>
      <c r="G81" s="7">
        <v>1</v>
      </c>
      <c r="H81" s="21" t="s">
        <v>777</v>
      </c>
      <c r="I81" s="13">
        <v>42861.569340277776</v>
      </c>
      <c r="J81" s="7">
        <v>0</v>
      </c>
      <c r="K81" s="92" t="str">
        <f t="shared" si="24"/>
        <v>4009/4010</v>
      </c>
      <c r="L81" s="21" t="str">
        <f>VLOOKUP(A81,'Trips&amp;Operators'!$C$1:$G$99999,5,FALSE)</f>
        <v>DAVIS MICHAEL</v>
      </c>
      <c r="M81" s="6">
        <f t="shared" si="25"/>
        <v>2.693287036527181E-2</v>
      </c>
      <c r="N81" s="7">
        <f t="shared" si="26"/>
        <v>38.783333325991407</v>
      </c>
      <c r="O81" s="7"/>
      <c r="P81" s="7"/>
      <c r="Q81" s="22"/>
      <c r="R81" s="190"/>
      <c r="S81" s="196">
        <f t="shared" si="27"/>
        <v>1</v>
      </c>
      <c r="T81" s="190" t="str">
        <f t="shared" si="28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29"/>
        <v>https://d0f6bd738d7f1b3e5a7ca70fe4ff75f0.us-east-1.aws.found.io/app/kibana#/discover/Steve-Slow-Train-Analysis-(2080s-and-2083s)?_g=(refreshInterval:(display:Off,pause:!f,section:0,value:0),time:(from:'2017-05-06T11:58:32-0600',mode:absolute,to:'2017-05-06T14:39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1" s="192" t="str">
        <f t="shared" si="30"/>
        <v>N</v>
      </c>
      <c r="X81" s="192">
        <f t="shared" si="23"/>
        <v>1</v>
      </c>
      <c r="Y81" s="192">
        <f t="shared" si="31"/>
        <v>4.5100000000000001E-2</v>
      </c>
      <c r="Z81" s="192">
        <f t="shared" si="32"/>
        <v>23.327400000000001</v>
      </c>
      <c r="AA81" s="192">
        <f t="shared" si="33"/>
        <v>23.282299999999999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4"/>
        <v>0175-06</v>
      </c>
      <c r="AE81" s="80" t="str">
        <f t="shared" si="35"/>
        <v>aws s3 cp s3://rtdc.mdm.uploadarchive.raw/RTDC4010/ "%USERPROFILE%\AppData\Local\Temp\OnboardLogs"\RTDC4010\2017-05-06 --exclude "*" --recursive --include "*20170506*" &amp; "%USERPROFILE%\Documents\GitHub\mrs-test-scripts\Headless Mode &amp; Sideloading\WalkAndUnGZ.bat" "%USERPROFILE%\AppData\Local\Temp\OnboardLogs"\RTDC4010\2017-05-06 &amp; aws s3 cp s3://rtdc.mdm.uploadarchive.raw/RTDC4010/ "%USERPROFILE%\AppData\Local\Temp\OnboardLogs"\RTDC4010\2017-05-07 --exclude "*" --recursive --include "*20170507*" &amp; "%USERPROFILE%\Documents\GitHub\mrs-test-scripts\Headless Mode &amp; Sideloading\WalkAndUnGZ.bat" "%USERPROFILE%\AppData\Local\Temp\OnboardLogs"\RTDC4010\2017-05-07</v>
      </c>
      <c r="AF81" s="77" t="str">
        <f t="shared" si="36"/>
        <v>"C:\Program Files (x86)\AstroGrep\AstroGrep.exe" /e /r /s /spath="%USERPROFILE%\AppData\Local\Temp\OnboardLogs" /stypes="app*4010*20170506*" /stext=" 19:.+((SYSTEM_STATE.+slice.+state.+changed )|(ment ac)|(multiple cpu faults)|(system.+state.+changed )|(\[timeout)|(PRM\|1\|D)|(kpr)|(kdp)|(train st.+moving)|(\|lc)|(penalty))"</v>
      </c>
      <c r="AG81" s="1" t="str">
        <f t="shared" si="37"/>
        <v>EC</v>
      </c>
      <c r="AH81" s="81" t="str">
        <f t="shared" si="38"/>
        <v>"%USERPROFILE%\Documents\GitHub\eaglep3\Utilities\RefineRTDCRunTimes.py" --tripid 175-06 --locoid 4010 --swversion DE.1.0.9.0 --startMP 204:451 --initTime 2017-05-06T12:58:32 --startdatetime 2017-05-06T13:01:04 --delay 1 --endMP 204:233274 --enddatetime 2017-05-06T13:39:51 --enforcementcount 0 &gt;&gt;C:\Users\stu\Documents\GitHub\eaglep3-reporting\EC\2017-05-06-refined-times.txt</v>
      </c>
      <c r="AI81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{"issue":{"subject":"","project_id":79,"tracker_id":40,"status_id":1,"priority_id":2,"assigned_to_id":23,"start_date":"2017-05-06","description":"","custom_fields":[{"id":1,"name":"Subdivision","value":"EC"},{"id":4,"name":"Milepost","value":"23.3274"},{"id":17,"name":"Train ID","value":"175-06"},{"id":16,"name":"Locomotive ID","value":"4010"},{"id":130,"name":"Impact","value":""},{"id":150,"name":"Time of Event (Mountain Time)","value":"13:39:51"},{"id":151,"name":"Denver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1" s="47"/>
      <c r="AL81" s="47"/>
      <c r="AM81" s="145" t="str">
        <f t="shared" si="40"/>
        <v>start /low /b %USERPROFILE%\Documents\GitHub\eaglep3\Utilities\DownloadLogsFromS3.py --loco 4010 --day 2017-05-06</v>
      </c>
      <c r="AN81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19:39:51"},{"id":29,"name":"Sharepoint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x14ac:dyDescent="0.25">
      <c r="A82" s="32" t="s">
        <v>675</v>
      </c>
      <c r="B82" s="7">
        <v>4009</v>
      </c>
      <c r="C82" s="21" t="s">
        <v>210</v>
      </c>
      <c r="D82" s="21" t="s">
        <v>465</v>
      </c>
      <c r="E82" s="13">
        <v>42861.5783912037</v>
      </c>
      <c r="F82" s="13">
        <v>42861.58090277778</v>
      </c>
      <c r="G82" s="7">
        <v>1</v>
      </c>
      <c r="H82" s="21" t="s">
        <v>371</v>
      </c>
      <c r="I82" s="13">
        <v>42861.614317129628</v>
      </c>
      <c r="J82" s="7">
        <v>0</v>
      </c>
      <c r="K82" s="92" t="str">
        <f t="shared" si="24"/>
        <v>4009/4010</v>
      </c>
      <c r="L82" s="21" t="str">
        <f>VLOOKUP(A82,'Trips&amp;Operators'!$C$1:$G$99999,5,FALSE)</f>
        <v>DAVIS MICHAEL</v>
      </c>
      <c r="M82" s="6">
        <f t="shared" si="25"/>
        <v>3.3414351848477963E-2</v>
      </c>
      <c r="N82" s="7">
        <f t="shared" si="26"/>
        <v>48.116666661808267</v>
      </c>
      <c r="O82" s="7"/>
      <c r="P82" s="7"/>
      <c r="Q82" s="22"/>
      <c r="R82" s="190"/>
      <c r="S82" s="196">
        <f t="shared" si="27"/>
        <v>1</v>
      </c>
      <c r="T82" s="190" t="str">
        <f t="shared" si="28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29"/>
        <v>https://d0f6bd738d7f1b3e5a7ca70fe4ff75f0.us-east-1.aws.found.io/app/kibana#/discover/Steve-Slow-Train-Analysis-(2080s-and-2083s)?_g=(refreshInterval:(display:Off,pause:!f,section:0,value:0),time:(from:'2017-05-06T12:52:53-0600',mode:absolute,to:'2017-05-06T15:44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2" s="192" t="str">
        <f t="shared" si="30"/>
        <v>N</v>
      </c>
      <c r="X82" s="192">
        <f t="shared" si="23"/>
        <v>1</v>
      </c>
      <c r="Y82" s="192">
        <f t="shared" si="31"/>
        <v>23.299099999999999</v>
      </c>
      <c r="Z82" s="192">
        <f t="shared" si="32"/>
        <v>1.4500000000000001E-2</v>
      </c>
      <c r="AA82" s="192">
        <f t="shared" si="33"/>
        <v>23.284599999999998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4"/>
        <v>0176-06</v>
      </c>
      <c r="AE82" s="80" t="str">
        <f t="shared" si="35"/>
        <v>aws s3 cp s3://rtdc.mdm.uploadarchive.raw/RTDC4009/ "%USERPROFILE%\AppData\Local\Temp\OnboardLogs"\RTDC4009\2017-05-06 --exclude "*" --recursive --include "*20170506*" &amp; "%USERPROFILE%\Documents\GitHub\mrs-test-scripts\Headless Mode &amp; Sideloading\WalkAndUnGZ.bat" "%USERPROFILE%\AppData\Local\Temp\OnboardLogs"\RTDC4009\2017-05-06 &amp; aws s3 cp s3://rtdc.mdm.uploadarchive.raw/RTDC4009/ "%USERPROFILE%\AppData\Local\Temp\OnboardLogs"\RTDC4009\2017-05-07 --exclude "*" --recursive --include "*20170507*" &amp; "%USERPROFILE%\Documents\GitHub\mrs-test-scripts\Headless Mode &amp; Sideloading\WalkAndUnGZ.bat" "%USERPROFILE%\AppData\Local\Temp\OnboardLogs"\RTDC4009\2017-05-07</v>
      </c>
      <c r="AF82" s="77" t="str">
        <f t="shared" si="36"/>
        <v>"C:\Program Files (x86)\AstroGrep\AstroGrep.exe" /e /r /s /spath="%USERPROFILE%\AppData\Local\Temp\OnboardLogs" /stypes="app*4009*20170506*" /stext=" 20:.+((SYSTEM_STATE.+slice.+state.+changed )|(ment ac)|(multiple cpu faults)|(system.+state.+changed )|(\[timeout)|(PRM\|1\|D)|(kpr)|(kdp)|(train st.+moving)|(\|lc)|(penalty))"</v>
      </c>
      <c r="AG82" s="1" t="str">
        <f t="shared" si="37"/>
        <v>EC</v>
      </c>
      <c r="AH82" s="81" t="str">
        <f t="shared" si="38"/>
        <v>"%USERPROFILE%\Documents\GitHub\eaglep3\Utilities\RefineRTDCRunTimes.py" --tripid 176-06 --locoid 4009 --swversion DE.1.0.9.0 --startMP 204:232991 --initTime 2017-05-06T13:52:53 --startdatetime 2017-05-06T13:56:30 --delay 1 --endMP 204:145 --enddatetime 2017-05-06T14:44:37 --enforcementcount 0 &gt;&gt;C:\Users\stu\Documents\GitHub\eaglep3-reporting\EC\2017-05-06-refined-times.txt</v>
      </c>
      <c r="AI82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{"issue":{"subject":"","project_id":79,"tracker_id":40,"status_id":1,"priority_id":2,"assigned_to_id":23,"start_date":"2017-05-06","description":"","custom_fields":[{"id":1,"name":"Subdivision","value":"EC"},{"id":4,"name":"Milepost","value":"0.0145"},{"id":17,"name":"Train ID","value":"176-06"},{"id":16,"name":"Locomotive ID","value":"4009"},{"id":130,"name":"Impact","value":""},{"id":150,"name":"Time of Event (Mountain Time)","value":"14:44:37"},{"id":151,"name":"Denver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0"/>
        <v>start /low /b %USERPROFILE%\Documents\GitHub\eaglep3\Utilities\DownloadLogsFromS3.py --loco 4009 --day 2017-05-06</v>
      </c>
      <c r="AN82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20:44:37"},{"id":29,"name":"Sharepoint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3" spans="1:91" s="20" customFormat="1" x14ac:dyDescent="0.25">
      <c r="A83" s="32" t="s">
        <v>671</v>
      </c>
      <c r="B83" s="7">
        <v>4024</v>
      </c>
      <c r="C83" s="21" t="s">
        <v>210</v>
      </c>
      <c r="D83" s="21" t="s">
        <v>817</v>
      </c>
      <c r="E83" s="13">
        <v>42861.548888888887</v>
      </c>
      <c r="F83" s="13">
        <v>42861.552245370367</v>
      </c>
      <c r="G83" s="7">
        <v>1</v>
      </c>
      <c r="H83" s="21" t="s">
        <v>426</v>
      </c>
      <c r="I83" s="13">
        <v>42861.576898148145</v>
      </c>
      <c r="J83" s="7">
        <v>0</v>
      </c>
      <c r="K83" s="92" t="str">
        <f t="shared" si="24"/>
        <v>4023/4024</v>
      </c>
      <c r="L83" s="21" t="str">
        <f>VLOOKUP(A83,'Trips&amp;Operators'!$C$1:$G$99999,5,FALSE)</f>
        <v>BRUDER RICHARD</v>
      </c>
      <c r="M83" s="6">
        <f t="shared" si="25"/>
        <v>2.4652777778101154E-2</v>
      </c>
      <c r="N83" s="7">
        <f t="shared" si="26"/>
        <v>35.500000000465661</v>
      </c>
      <c r="O83" s="7"/>
      <c r="P83" s="7"/>
      <c r="Q83" s="22"/>
      <c r="R83" s="190"/>
      <c r="S83" s="196">
        <f t="shared" si="27"/>
        <v>1</v>
      </c>
      <c r="T83" s="190" t="str">
        <f t="shared" si="28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29"/>
        <v>https://d0f6bd738d7f1b3e5a7ca70fe4ff75f0.us-east-1.aws.found.io/app/kibana#/discover/Steve-Slow-Train-Analysis-(2080s-and-2083s)?_g=(refreshInterval:(display:Off,pause:!f,section:0,value:0),time:(from:'2017-05-06T12:10:24-0600',mode:absolute,to:'2017-05-06T14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3" s="192" t="str">
        <f t="shared" si="30"/>
        <v>N</v>
      </c>
      <c r="X83" s="192">
        <f t="shared" si="23"/>
        <v>1</v>
      </c>
      <c r="Y83" s="192">
        <f t="shared" si="31"/>
        <v>5.1700000000000003E-2</v>
      </c>
      <c r="Z83" s="192">
        <f t="shared" si="32"/>
        <v>23.328900000000001</v>
      </c>
      <c r="AA83" s="192">
        <f t="shared" si="33"/>
        <v>23.277200000000001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4"/>
        <v>0177-06</v>
      </c>
      <c r="AE83" s="80" t="str">
        <f t="shared" si="35"/>
        <v>aws s3 cp s3://rtdc.mdm.uploadarchive.raw/RTDC4024/ "%USERPROFILE%\AppData\Local\Temp\OnboardLogs"\RTDC4024\2017-05-06 --exclude "*" --recursive --include "*20170506*" &amp; "%USERPROFILE%\Documents\GitHub\mrs-test-scripts\Headless Mode &amp; Sideloading\WalkAndUnGZ.bat" "%USERPROFILE%\AppData\Local\Temp\OnboardLogs"\RTDC4024\2017-05-06 &amp; aws s3 cp s3://rtdc.mdm.uploadarchive.raw/RTDC4024/ "%USERPROFILE%\AppData\Local\Temp\OnboardLogs"\RTDC4024\2017-05-07 --exclude "*" --recursive --include "*20170507*" &amp; "%USERPROFILE%\Documents\GitHub\mrs-test-scripts\Headless Mode &amp; Sideloading\WalkAndUnGZ.bat" "%USERPROFILE%\AppData\Local\Temp\OnboardLogs"\RTDC4024\2017-05-07</v>
      </c>
      <c r="AF83" s="77" t="str">
        <f t="shared" si="36"/>
        <v>"C:\Program Files (x86)\AstroGrep\AstroGrep.exe" /e /r /s /spath="%USERPROFILE%\AppData\Local\Temp\OnboardLogs" /stypes="app*4024*20170506*" /stext=" 19:.+((SYSTEM_STATE.+slice.+state.+changed )|(ment ac)|(multiple cpu faults)|(system.+state.+changed )|(\[timeout)|(PRM\|1\|D)|(kpr)|(kdp)|(train st.+moving)|(\|lc)|(penalty))"</v>
      </c>
      <c r="AG83" s="1" t="str">
        <f t="shared" si="37"/>
        <v>EC</v>
      </c>
      <c r="AH83" s="81" t="str">
        <f t="shared" si="38"/>
        <v>"%USERPROFILE%\Documents\GitHub\eaglep3\Utilities\RefineRTDCRunTimes.py" --tripid 177-06 --locoid 4024 --swversion DE.1.0.9.0 --startMP 204:517 --initTime 2017-05-06T13:10:24 --startdatetime 2017-05-06T13:15:14 --delay 1 --endMP 204:233289 --enddatetime 2017-05-06T13:50:44 --enforcementcount 0 &gt;&gt;C:\Users\stu\Documents\GitHub\eaglep3-reporting\EC\2017-05-06-refined-times.txt</v>
      </c>
      <c r="AI83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{"issue":{"subject":"","project_id":79,"tracker_id":40,"status_id":1,"priority_id":2,"assigned_to_id":23,"start_date":"2017-05-06","description":"","custom_fields":[{"id":1,"name":"Subdivision","value":"EC"},{"id":4,"name":"Milepost","value":"23.3289"},{"id":17,"name":"Train ID","value":"177-06"},{"id":16,"name":"Locomotive ID","value":"4024"},{"id":130,"name":"Impact","value":""},{"id":150,"name":"Time of Event (Mountain Time)","value":"13:50:44"},{"id":151,"name":"Denver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7"/>
      <c r="AL83" s="47"/>
      <c r="AM83" s="145" t="str">
        <f t="shared" si="40"/>
        <v>start /low /b %USERPROFILE%\Documents\GitHub\eaglep3\Utilities\DownloadLogsFromS3.py --loco 4024 --day 2017-05-06</v>
      </c>
      <c r="AN83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19:50:44"},{"id":29,"name":"Sharepoint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2" t="s">
        <v>677</v>
      </c>
      <c r="B84" s="7">
        <v>4023</v>
      </c>
      <c r="C84" s="21" t="s">
        <v>210</v>
      </c>
      <c r="D84" s="21" t="s">
        <v>409</v>
      </c>
      <c r="E84" s="13">
        <v>42861.594212962962</v>
      </c>
      <c r="F84" s="13">
        <v>42861.589375000003</v>
      </c>
      <c r="G84" s="7">
        <v>2</v>
      </c>
      <c r="H84" s="21" t="s">
        <v>198</v>
      </c>
      <c r="I84" s="13">
        <v>42861.623692129629</v>
      </c>
      <c r="J84" s="7">
        <v>0</v>
      </c>
      <c r="K84" s="92" t="str">
        <f t="shared" si="24"/>
        <v>4023/4024</v>
      </c>
      <c r="L84" s="21" t="str">
        <f>VLOOKUP(A84,'Trips&amp;Operators'!$C$1:$G$99999,5,FALSE)</f>
        <v>BRUDER RICHARD</v>
      </c>
      <c r="M84" s="6">
        <f t="shared" si="25"/>
        <v>3.4317129626288079E-2</v>
      </c>
      <c r="N84" s="7">
        <f t="shared" si="26"/>
        <v>49.416666661854833</v>
      </c>
      <c r="O84" s="7"/>
      <c r="P84" s="7"/>
      <c r="Q84" s="22"/>
      <c r="R84" s="190" t="s">
        <v>1041</v>
      </c>
      <c r="S84" s="196">
        <f t="shared" si="27"/>
        <v>1</v>
      </c>
      <c r="T84" s="190" t="str">
        <f t="shared" si="28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29"/>
        <v>https://d0f6bd738d7f1b3e5a7ca70fe4ff75f0.us-east-1.aws.found.io/app/kibana#/discover/Steve-Slow-Train-Analysis-(2080s-and-2083s)?_g=(refreshInterval:(display:Off,pause:!f,section:0,value:0),time:(from:'2017-05-06T13:15:40-0600',mode:absolute,to:'2017-05-06T15:58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4" s="192" t="str">
        <f t="shared" si="30"/>
        <v>N</v>
      </c>
      <c r="X84" s="192">
        <f t="shared" si="23"/>
        <v>1</v>
      </c>
      <c r="Y84" s="192">
        <f t="shared" si="31"/>
        <v>23.2986</v>
      </c>
      <c r="Z84" s="192">
        <f t="shared" si="32"/>
        <v>1.5800000000000002E-2</v>
      </c>
      <c r="AA84" s="192">
        <f t="shared" si="33"/>
        <v>23.282800000000002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4"/>
        <v>0178-06</v>
      </c>
      <c r="AE84" s="80" t="str">
        <f t="shared" si="35"/>
        <v>aws s3 cp s3://rtdc.mdm.uploadarchive.raw/RTDC4023/ "%USERPROFILE%\AppData\Local\Temp\OnboardLogs"\RTDC4023\2017-05-06 --exclude "*" --recursive --include "*20170506*" &amp; "%USERPROFILE%\Documents\GitHub\mrs-test-scripts\Headless Mode &amp; Sideloading\WalkAndUnGZ.bat" "%USERPROFILE%\AppData\Local\Temp\OnboardLogs"\RTDC4023\2017-05-06 &amp; aws s3 cp s3://rtdc.mdm.uploadarchive.raw/RTDC4023/ "%USERPROFILE%\AppData\Local\Temp\OnboardLogs"\RTDC4023\2017-05-07 --exclude "*" --recursive --include "*20170507*" &amp; "%USERPROFILE%\Documents\GitHub\mrs-test-scripts\Headless Mode &amp; Sideloading\WalkAndUnGZ.bat" "%USERPROFILE%\AppData\Local\Temp\OnboardLogs"\RTDC4023\2017-05-07</v>
      </c>
      <c r="AF84" s="77" t="str">
        <f t="shared" si="36"/>
        <v>"C:\Program Files (x86)\AstroGrep\AstroGrep.exe" /e /r /s /spath="%USERPROFILE%\AppData\Local\Temp\OnboardLogs" /stypes="app*4023*20170506*" /stext=" 20:.+((SYSTEM_STATE.+slice.+state.+changed )|(ment ac)|(multiple cpu faults)|(system.+state.+changed )|(\[timeout)|(PRM\|1\|D)|(kpr)|(kdp)|(train st.+moving)|(\|lc)|(penalty))"</v>
      </c>
      <c r="AG84" s="1" t="str">
        <f t="shared" si="37"/>
        <v>EC</v>
      </c>
      <c r="AH84" s="81" t="str">
        <f t="shared" si="38"/>
        <v>"%USERPROFILE%\Documents\GitHub\eaglep3\Utilities\RefineRTDCRunTimes.py" --tripid 178-06 --locoid 4023 --swversion DE.1.0.9.0 --startMP 204:232986 --initTime 2017-05-06T14:15:40 --startdatetime 2017-05-06T14:08:42 --delay 2 --endMP 204:158 --enddatetime 2017-05-06T14:58:07 --enforcementcount 0 &gt;&gt;C:\Users\stu\Documents\GitHub\eaglep3-reporting\EC\2017-05-06-refined-times.txt</v>
      </c>
      <c r="AI84" s="99" t="str">
        <f t="shared" si="39"/>
        <v>echo {"issue":{"subject":"Delayed by onboard in-route failure","project_id":79,"tracker_id":40,"status_id":1,"priority_id":2,"assigned_to_id":23,"start_date":"2017-05-06","description":"","custom_fields":[{"id":1,"name":"Subdivision","value":"EC"},{"id":4,"name":"Milepost","value":"0.0158"},{"id":17,"name":"Train ID","value":"178-06"},{"id":16,"name":"Locomotive ID","value":"4023"},{"id":130,"name":"Impact","value":""},{"id":150,"name":"Time of Event (Mountain Time)","value":"14:58:07"},{"id":151,"name":"Denver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7"/>
      <c r="AL84" s="47"/>
      <c r="AM84" s="145" t="str">
        <f t="shared" si="40"/>
        <v>start /low /b %USERPROFILE%\Documents\GitHub\eaglep3\Utilities\DownloadLogsFromS3.py --loco 4023 --day 2017-05-06</v>
      </c>
      <c r="AN84" s="154" t="str">
        <f t="shared" si="41"/>
        <v>echo {"issue":{"subject":"Delayed by onboard in-route failure","project_id":30,"tracker_id":4,"status_id":1,"priority_id":1,"assigned_to_id":10,"start_date":"2017-05-06","description":"","custom_fields":[{"id":30,"name":"Category","value":"Issue"},{"id":3,"name":"Functional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20:58:07"},{"id":29,"name":"Sharepoint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2" t="s">
        <v>672</v>
      </c>
      <c r="B85" s="7">
        <v>4004</v>
      </c>
      <c r="C85" s="21" t="s">
        <v>210</v>
      </c>
      <c r="D85" s="21" t="s">
        <v>402</v>
      </c>
      <c r="E85" s="13">
        <v>42861.561226851853</v>
      </c>
      <c r="F85" s="13">
        <v>42861.562789351854</v>
      </c>
      <c r="G85" s="7">
        <v>2</v>
      </c>
      <c r="H85" s="21" t="s">
        <v>495</v>
      </c>
      <c r="I85" s="13">
        <v>42861.59065972222</v>
      </c>
      <c r="J85" s="7">
        <v>0</v>
      </c>
      <c r="K85" s="92" t="str">
        <f t="shared" si="24"/>
        <v>4003/4004</v>
      </c>
      <c r="L85" s="21" t="str">
        <f>VLOOKUP(A85,'Trips&amp;Operators'!$C$1:$G$99999,5,FALSE)</f>
        <v>BRANDNER MELINDA</v>
      </c>
      <c r="M85" s="6">
        <f t="shared" si="25"/>
        <v>2.7870370366144925E-2</v>
      </c>
      <c r="N85" s="7">
        <f t="shared" si="26"/>
        <v>40.133333327248693</v>
      </c>
      <c r="O85" s="7"/>
      <c r="P85" s="7"/>
      <c r="Q85" s="22"/>
      <c r="R85" s="190"/>
      <c r="S85" s="196">
        <f t="shared" si="27"/>
        <v>1</v>
      </c>
      <c r="T85" s="190" t="str">
        <f t="shared" si="28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29"/>
        <v>https://d0f6bd738d7f1b3e5a7ca70fe4ff75f0.us-east-1.aws.found.io/app/kibana#/discover/Steve-Slow-Train-Analysis-(2080s-and-2083s)?_g=(refreshInterval:(display:Off,pause:!f,section:0,value:0),time:(from:'2017-05-06T12:28:10-0600',mode:absolute,to:'2017-05-06T15:10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5" s="192" t="str">
        <f t="shared" si="30"/>
        <v>N</v>
      </c>
      <c r="X85" s="192">
        <f t="shared" si="23"/>
        <v>1</v>
      </c>
      <c r="Y85" s="192">
        <f t="shared" si="31"/>
        <v>4.4400000000000002E-2</v>
      </c>
      <c r="Z85" s="192">
        <f t="shared" si="32"/>
        <v>23.337</v>
      </c>
      <c r="AA85" s="192">
        <f t="shared" si="33"/>
        <v>23.2926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4"/>
        <v>0179-06</v>
      </c>
      <c r="AE85" s="80" t="str">
        <f t="shared" si="35"/>
        <v>aws s3 cp s3://rtdc.mdm.uploadarchive.raw/RTDC4004/ "%USERPROFILE%\AppData\Local\Temp\OnboardLogs"\RTDC4004\2017-05-06 --exclude "*" --recursive --include "*20170506*" &amp; "%USERPROFILE%\Documents\GitHub\mrs-test-scripts\Headless Mode &amp; Sideloading\WalkAndUnGZ.bat" "%USERPROFILE%\AppData\Local\Temp\OnboardLogs"\RTDC4004\2017-05-06 &amp; 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</v>
      </c>
      <c r="AF85" s="77" t="str">
        <f t="shared" si="36"/>
        <v>"C:\Program Files (x86)\AstroGrep\AstroGrep.exe" /e /r /s /spath="%USERPROFILE%\AppData\Local\Temp\OnboardLogs" /stypes="app*4004*20170506*" /stext=" 20:.+((SYSTEM_STATE.+slice.+state.+changed )|(ment ac)|(multiple cpu faults)|(system.+state.+changed )|(\[timeout)|(PRM\|1\|D)|(kpr)|(kdp)|(train st.+moving)|(\|lc)|(penalty))"</v>
      </c>
      <c r="AG85" s="1" t="str">
        <f t="shared" si="37"/>
        <v>EC</v>
      </c>
      <c r="AH85" s="81" t="str">
        <f t="shared" si="38"/>
        <v>"%USERPROFILE%\Documents\GitHub\eaglep3\Utilities\RefineRTDCRunTimes.py" --tripid 179-06 --locoid 4004 --swversion DE.1.0.9.0 --startMP 204:444 --initTime 2017-05-06T13:28:10 --startdatetime 2017-05-06T13:30:25 --delay 2 --endMP 204:233370 --enddatetime 2017-05-06T14:10:33 --enforcementcount 0 &gt;&gt;C:\Users\stu\Documents\GitHub\eaglep3-reporting\EC\2017-05-06-refined-times.txt</v>
      </c>
      <c r="AI85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{"issue":{"subject":"","project_id":79,"tracker_id":40,"status_id":1,"priority_id":2,"assigned_to_id":23,"start_date":"2017-05-06","description":"","custom_fields":[{"id":1,"name":"Subdivision","value":"EC"},{"id":4,"name":"Milepost","value":"23.337"},{"id":17,"name":"Train ID","value":"179-06"},{"id":16,"name":"Locomotive ID","value":"4004"},{"id":130,"name":"Impact","value":""},{"id":150,"name":"Time of Event (Mountain Time)","value":"14:10:33"},{"id":151,"name":"Denver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40"/>
        <v>start /low /b %USERPROFILE%\Documents\GitHub\eaglep3\Utilities\DownloadLogsFromS3.py --loco 4004 --day 2017-05-06</v>
      </c>
      <c r="AN85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20:10:33"},{"id":29,"name":"Sharepoint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6" spans="1:91" s="1" customFormat="1" x14ac:dyDescent="0.25">
      <c r="A86" s="32" t="s">
        <v>682</v>
      </c>
      <c r="B86" s="7">
        <v>4003</v>
      </c>
      <c r="C86" s="21" t="s">
        <v>210</v>
      </c>
      <c r="D86" s="21" t="s">
        <v>818</v>
      </c>
      <c r="E86" s="13">
        <v>42861.59679398148</v>
      </c>
      <c r="F86" s="13">
        <v>42861.601620370369</v>
      </c>
      <c r="G86" s="7">
        <v>1</v>
      </c>
      <c r="H86" s="21" t="s">
        <v>381</v>
      </c>
      <c r="I86" s="13">
        <v>42861.632592592592</v>
      </c>
      <c r="J86" s="7">
        <v>0</v>
      </c>
      <c r="K86" s="92" t="str">
        <f t="shared" si="24"/>
        <v>4003/4004</v>
      </c>
      <c r="L86" s="21" t="str">
        <f>VLOOKUP(A86,'Trips&amp;Operators'!$C$1:$G$99999,5,FALSE)</f>
        <v>BRANDNER MELINDA</v>
      </c>
      <c r="M86" s="6">
        <f t="shared" si="25"/>
        <v>3.0972222222771961E-2</v>
      </c>
      <c r="N86" s="7">
        <f t="shared" si="26"/>
        <v>44.600000000791624</v>
      </c>
      <c r="O86" s="7"/>
      <c r="P86" s="7"/>
      <c r="Q86" s="22"/>
      <c r="R86" s="190"/>
      <c r="S86" s="196">
        <f t="shared" si="27"/>
        <v>1</v>
      </c>
      <c r="T86" s="190" t="str">
        <f t="shared" si="28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29"/>
        <v>https://d0f6bd738d7f1b3e5a7ca70fe4ff75f0.us-east-1.aws.found.io/app/kibana#/discover/Steve-Slow-Train-Analysis-(2080s-and-2083s)?_g=(refreshInterval:(display:Off,pause:!f,section:0,value:0),time:(from:'2017-05-06T13:19:23-0600',mode:absolute,to:'2017-05-06T16:10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6" s="192" t="str">
        <f t="shared" si="30"/>
        <v>N</v>
      </c>
      <c r="X86" s="192">
        <f t="shared" si="23"/>
        <v>1</v>
      </c>
      <c r="Y86" s="192">
        <f t="shared" si="31"/>
        <v>23.309799999999999</v>
      </c>
      <c r="Z86" s="192">
        <f t="shared" si="32"/>
        <v>1.43E-2</v>
      </c>
      <c r="AA86" s="192">
        <f t="shared" si="33"/>
        <v>23.295500000000001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4"/>
        <v>0180-06</v>
      </c>
      <c r="AE86" s="80" t="str">
        <f t="shared" si="35"/>
        <v>aws s3 cp s3://rtdc.mdm.uploadarchive.raw/RTDC4003/ "%USERPROFILE%\AppData\Local\Temp\OnboardLogs"\RTDC4003\2017-05-06 --exclude "*" --recursive --include "*20170506*" &amp; "%USERPROFILE%\Documents\GitHub\mrs-test-scripts\Headless Mode &amp; Sideloading\WalkAndUnGZ.bat" "%USERPROFILE%\AppData\Local\Temp\OnboardLogs"\RTDC4003\2017-05-06 &amp; 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</v>
      </c>
      <c r="AF86" s="77" t="str">
        <f t="shared" si="36"/>
        <v>"C:\Program Files (x86)\AstroGrep\AstroGrep.exe" /e /r /s /spath="%USERPROFILE%\AppData\Local\Temp\OnboardLogs" /stypes="app*4003*20170506*" /stext=" 21:.+((SYSTEM_STATE.+slice.+state.+changed )|(ment ac)|(multiple cpu faults)|(system.+state.+changed )|(\[timeout)|(PRM\|1\|D)|(kpr)|(kdp)|(train st.+moving)|(\|lc)|(penalty))"</v>
      </c>
      <c r="AG86" s="1" t="str">
        <f t="shared" si="37"/>
        <v>EC</v>
      </c>
      <c r="AH86" s="81" t="str">
        <f t="shared" si="38"/>
        <v>"%USERPROFILE%\Documents\GitHub\eaglep3\Utilities\RefineRTDCRunTimes.py" --tripid 180-06 --locoid 4003 --swversion DE.1.0.9.0 --startMP 204:233098 --initTime 2017-05-06T14:19:23 --startdatetime 2017-05-06T14:26:20 --delay 1 --endMP 204:143 --enddatetime 2017-05-06T15:10:56 --enforcementcount 0 &gt;&gt;C:\Users\stu\Documents\GitHub\eaglep3-reporting\EC\2017-05-06-refined-times.txt</v>
      </c>
      <c r="AI86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{"issue":{"subject":"","project_id":79,"tracker_id":40,"status_id":1,"priority_id":2,"assigned_to_id":23,"start_date":"2017-05-06","description":"","custom_fields":[{"id":1,"name":"Subdivision","value":"EC"},{"id":4,"name":"Milepost","value":"0.0143"},{"id":17,"name":"Train ID","value":"180-06"},{"id":16,"name":"Locomotive ID","value":"4003"},{"id":130,"name":"Impact","value":""},{"id":150,"name":"Time of Event (Mountain Time)","value":"15:10:56"},{"id":151,"name":"Denver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40"/>
        <v>start /low /b %USERPROFILE%\Documents\GitHub\eaglep3\Utilities\DownloadLogsFromS3.py --loco 4003 --day 2017-05-06</v>
      </c>
      <c r="AN86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21:10:56"},{"id":29,"name":"Sharepoint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2" t="s">
        <v>537</v>
      </c>
      <c r="B87" s="7">
        <v>4018</v>
      </c>
      <c r="C87" s="21" t="s">
        <v>210</v>
      </c>
      <c r="D87" s="21" t="s">
        <v>833</v>
      </c>
      <c r="E87" s="13">
        <v>42861.577557870369</v>
      </c>
      <c r="F87" s="13">
        <v>42861.579016203701</v>
      </c>
      <c r="G87" s="7">
        <v>1</v>
      </c>
      <c r="H87" s="21" t="s">
        <v>491</v>
      </c>
      <c r="I87" s="13">
        <v>42861.605162037034</v>
      </c>
      <c r="J87" s="7">
        <v>0</v>
      </c>
      <c r="K87" s="92" t="str">
        <f t="shared" si="24"/>
        <v>4017/4018</v>
      </c>
      <c r="L87" s="21" t="str">
        <f>VLOOKUP(A87,'Trips&amp;Operators'!$C$1:$G$99999,5,FALSE)</f>
        <v>MCREYNOLDS KYLE</v>
      </c>
      <c r="M87" s="6">
        <f t="shared" si="25"/>
        <v>2.6145833333430346E-2</v>
      </c>
      <c r="N87" s="7">
        <f t="shared" si="26"/>
        <v>37.650000000139698</v>
      </c>
      <c r="O87" s="7"/>
      <c r="P87" s="7"/>
      <c r="Q87" s="22"/>
      <c r="R87" s="190"/>
      <c r="S87" s="196">
        <f t="shared" si="27"/>
        <v>1</v>
      </c>
      <c r="T87" s="190" t="str">
        <f t="shared" si="28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29"/>
        <v>https://d0f6bd738d7f1b3e5a7ca70fe4ff75f0.us-east-1.aws.found.io/app/kibana#/discover/Steve-Slow-Train-Analysis-(2080s-and-2083s)?_g=(refreshInterval:(display:Off,pause:!f,section:0,value:0),time:(from:'2017-05-06T12:51:41-0600',mode:absolute,to:'2017-05-06T15:31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7" s="192" t="str">
        <f t="shared" si="30"/>
        <v>N</v>
      </c>
      <c r="X87" s="192">
        <f t="shared" ref="X87:X100" si="42">VALUE(LEFT(AD87,4))-VALUE(LEFT(AD86,4))</f>
        <v>1</v>
      </c>
      <c r="Y87" s="192">
        <f t="shared" si="31"/>
        <v>4.7800000000000002E-2</v>
      </c>
      <c r="Z87" s="192">
        <f t="shared" si="32"/>
        <v>23.3324</v>
      </c>
      <c r="AA87" s="192">
        <f t="shared" si="33"/>
        <v>23.284600000000001</v>
      </c>
      <c r="AB87" s="57" t="str">
        <f>VLOOKUP(A87,Enforcements!$C$7:$K$13,8,0)</f>
        <v>Bulletin (2)</v>
      </c>
      <c r="AC87" s="53" t="str">
        <f>VLOOKUP(A87,Enforcements!$C$7:$E$13,3,0)</f>
        <v>GRADE CROSSING</v>
      </c>
      <c r="AD87" s="54" t="str">
        <f t="shared" si="34"/>
        <v>0181-06</v>
      </c>
      <c r="AE87" s="80" t="str">
        <f t="shared" si="35"/>
        <v>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 &amp; aws s3 cp s3://rtdc.mdm.uploadarchive.raw/RTDC4018/ "%USERPROFILE%\AppData\Local\Temp\OnboardLogs"\RTDC4018\2017-05-07 --exclude "*" --recursive --include "*20170507*" &amp; "%USERPROFILE%\Documents\GitHub\mrs-test-scripts\Headless Mode &amp; Sideloading\WalkAndUnGZ.bat" "%USERPROFILE%\AppData\Local\Temp\OnboardLogs"\RTDC4018\2017-05-07</v>
      </c>
      <c r="AF87" s="77" t="str">
        <f t="shared" si="36"/>
        <v>"C:\Program Files (x86)\AstroGrep\AstroGrep.exe" /e /r /s /spath="%USERPROFILE%\AppData\Local\Temp\OnboardLogs" /stypes="app*4018*20170506*" /stext=" 20:.+((SYSTEM_STATE.+slice.+state.+changed )|(ment ac)|(multiple cpu faults)|(system.+state.+changed )|(\[timeout)|(PRM\|1\|D)|(kpr)|(kdp)|(train st.+moving)|(\|lc)|(penalty))"</v>
      </c>
      <c r="AG87" s="1" t="str">
        <f t="shared" si="37"/>
        <v>EC</v>
      </c>
      <c r="AH87" s="81" t="str">
        <f t="shared" si="38"/>
        <v>"%USERPROFILE%\Documents\GitHub\eaglep3\Utilities\RefineRTDCRunTimes.py" --tripid 181-06 --locoid 4018 --swversion DE.1.0.9.0 --startMP 204:478 --initTime 2017-05-06T13:51:41 --startdatetime 2017-05-06T13:53:47 --delay 1 --endMP 204:233324 --enddatetime 2017-05-06T14:31:26 --enforcementcount 0 &gt;&gt;C:\Users\stu\Documents\GitHub\eaglep3-reporting\EC\2017-05-06-refined-times.txt</v>
      </c>
      <c r="AI87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{"issue":{"subject":"","project_id":79,"tracker_id":40,"status_id":1,"priority_id":2,"assigned_to_id":23,"start_date":"2017-05-06","description":"","custom_fields":[{"id":1,"name":"Subdivision","value":"EC"},{"id":4,"name":"Milepost","value":"23.3324"},{"id":17,"name":"Train ID","value":"181-06"},{"id":16,"name":"Locomotive ID","value":"4018"},{"id":130,"name":"Impact","value":""},{"id":150,"name":"Time of Event (Mountain Time)","value":"14:31:26"},{"id":151,"name":"Denver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40"/>
        <v>start /low /b %USERPROFILE%\Documents\GitHub\eaglep3\Utilities\DownloadLogsFromS3.py --loco 4018 --day 2017-05-06</v>
      </c>
      <c r="AN87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20:31:26"},{"id":29,"name":"Sharepoint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2" t="s">
        <v>684</v>
      </c>
      <c r="B88" s="7">
        <v>4017</v>
      </c>
      <c r="C88" s="21" t="s">
        <v>210</v>
      </c>
      <c r="D88" s="21" t="s">
        <v>845</v>
      </c>
      <c r="E88" s="13">
        <v>42861.607233796298</v>
      </c>
      <c r="F88" s="13">
        <v>42861.611979166664</v>
      </c>
      <c r="G88" s="7">
        <v>1</v>
      </c>
      <c r="H88" s="21" t="s">
        <v>198</v>
      </c>
      <c r="I88" s="13">
        <v>42861.639560185184</v>
      </c>
      <c r="J88" s="7">
        <v>0</v>
      </c>
      <c r="K88" s="92" t="str">
        <f t="shared" si="24"/>
        <v>4017/4018</v>
      </c>
      <c r="L88" s="21" t="str">
        <f>VLOOKUP(A88,'Trips&amp;Operators'!$C$1:$G$99999,5,FALSE)</f>
        <v>MCREYNOLDS KYLE</v>
      </c>
      <c r="M88" s="6">
        <f t="shared" si="25"/>
        <v>2.7581018519413192E-2</v>
      </c>
      <c r="N88" s="7">
        <f t="shared" si="26"/>
        <v>39.716666667954996</v>
      </c>
      <c r="O88" s="7"/>
      <c r="P88" s="7"/>
      <c r="Q88" s="22"/>
      <c r="R88" s="190"/>
      <c r="S88" s="196">
        <f t="shared" si="27"/>
        <v>1</v>
      </c>
      <c r="T88" s="190" t="str">
        <f t="shared" si="28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29"/>
        <v>https://d0f6bd738d7f1b3e5a7ca70fe4ff75f0.us-east-1.aws.found.io/app/kibana#/discover/Steve-Slow-Train-Analysis-(2080s-and-2083s)?_g=(refreshInterval:(display:Off,pause:!f,section:0,value:0),time:(from:'2017-05-06T13:34:25-0600',mode:absolute,to:'2017-05-06T16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8" s="192" t="str">
        <f t="shared" si="30"/>
        <v>N</v>
      </c>
      <c r="X88" s="192">
        <f t="shared" si="42"/>
        <v>1</v>
      </c>
      <c r="Y88" s="192">
        <f t="shared" si="31"/>
        <v>23.300699999999999</v>
      </c>
      <c r="Z88" s="192">
        <f t="shared" si="32"/>
        <v>1.5800000000000002E-2</v>
      </c>
      <c r="AA88" s="192">
        <f t="shared" si="33"/>
        <v>23.2849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4"/>
        <v>0182-06</v>
      </c>
      <c r="AE88" s="80" t="str">
        <f t="shared" si="35"/>
        <v>aws s3 cp s3://rtdc.mdm.uploadarchive.raw/RTDC4017/ "%USERPROFILE%\AppData\Local\Temp\OnboardLogs"\RTDC4017\2017-05-06 --exclude "*" --recursive --include "*20170506*" &amp; "%USERPROFILE%\Documents\GitHub\mrs-test-scripts\Headless Mode &amp; Sideloading\WalkAndUnGZ.bat" "%USERPROFILE%\AppData\Local\Temp\OnboardLogs"\RTDC4017\2017-05-06 &amp; aws s3 cp s3://rtdc.mdm.uploadarchive.raw/RTDC4017/ "%USERPROFILE%\AppData\Local\Temp\OnboardLogs"\RTDC4017\2017-05-07 --exclude "*" --recursive --include "*20170507*" &amp; "%USERPROFILE%\Documents\GitHub\mrs-test-scripts\Headless Mode &amp; Sideloading\WalkAndUnGZ.bat" "%USERPROFILE%\AppData\Local\Temp\OnboardLogs"\RTDC4017\2017-05-07</v>
      </c>
      <c r="AF88" s="77" t="str">
        <f t="shared" si="36"/>
        <v>"C:\Program Files (x86)\AstroGrep\AstroGrep.exe" /e /r /s /spath="%USERPROFILE%\AppData\Local\Temp\OnboardLogs" /stypes="app*4017*20170506*" /stext=" 21:.+((SYSTEM_STATE.+slice.+state.+changed )|(ment ac)|(multiple cpu faults)|(system.+state.+changed )|(\[timeout)|(PRM\|1\|D)|(kpr)|(kdp)|(train st.+moving)|(\|lc)|(penalty))"</v>
      </c>
      <c r="AG88" s="1" t="str">
        <f t="shared" si="37"/>
        <v>EC</v>
      </c>
      <c r="AH88" s="81" t="str">
        <f t="shared" si="38"/>
        <v>"%USERPROFILE%\Documents\GitHub\eaglep3\Utilities\RefineRTDCRunTimes.py" --tripid 182-06 --locoid 4017 --swversion DE.1.0.9.0 --startMP 204:233007 --initTime 2017-05-06T14:34:25 --startdatetime 2017-05-06T14:41:15 --delay 1 --endMP 204:158 --enddatetime 2017-05-06T15:20:58 --enforcementcount 0 &gt;&gt;C:\Users\stu\Documents\GitHub\eaglep3-reporting\EC\2017-05-06-refined-times.txt</v>
      </c>
      <c r="AI88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{"issue":{"subject":"","project_id":79,"tracker_id":40,"status_id":1,"priority_id":2,"assigned_to_id":23,"start_date":"2017-05-06","description":"","custom_fields":[{"id":1,"name":"Subdivision","value":"EC"},{"id":4,"name":"Milepost","value":"0.0158"},{"id":17,"name":"Train ID","value":"182-06"},{"id":16,"name":"Locomotive ID","value":"4017"},{"id":130,"name":"Impact","value":""},{"id":150,"name":"Time of Event (Mountain Time)","value":"15:20:58"},{"id":151,"name":"Denver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40"/>
        <v>start /low /b %USERPROFILE%\Documents\GitHub\eaglep3\Utilities\DownloadLogsFromS3.py --loco 4017 --day 2017-05-06</v>
      </c>
      <c r="AN88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21:20:58"},{"id":29,"name":"Sharepoint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676</v>
      </c>
      <c r="B89" s="7">
        <v>4044</v>
      </c>
      <c r="C89" s="21" t="s">
        <v>210</v>
      </c>
      <c r="D89" s="21" t="s">
        <v>492</v>
      </c>
      <c r="E89" s="13">
        <v>42861.583634259259</v>
      </c>
      <c r="F89" s="13">
        <v>42861.585324074076</v>
      </c>
      <c r="G89" s="7">
        <v>1</v>
      </c>
      <c r="H89" s="21" t="s">
        <v>859</v>
      </c>
      <c r="I89" s="13">
        <v>42861.611261574071</v>
      </c>
      <c r="J89" s="7">
        <v>0</v>
      </c>
      <c r="K89" s="92" t="str">
        <f t="shared" si="24"/>
        <v>4043/4044</v>
      </c>
      <c r="L89" s="21" t="str">
        <f>VLOOKUP(A89,'Trips&amp;Operators'!$C$1:$G$99999,5,FALSE)</f>
        <v>LEVIN SCOTT</v>
      </c>
      <c r="M89" s="6">
        <f t="shared" si="25"/>
        <v>2.5937499995052349E-2</v>
      </c>
      <c r="N89" s="7">
        <f t="shared" si="26"/>
        <v>37.349999992875382</v>
      </c>
      <c r="O89" s="7"/>
      <c r="P89" s="7"/>
      <c r="Q89" s="22"/>
      <c r="R89" s="190"/>
      <c r="S89" s="196">
        <f t="shared" si="27"/>
        <v>1</v>
      </c>
      <c r="T89" s="190" t="str">
        <f t="shared" si="28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29"/>
        <v>https://d0f6bd738d7f1b3e5a7ca70fe4ff75f0.us-east-1.aws.found.io/app/kibana#/discover/Steve-Slow-Train-Analysis-(2080s-and-2083s)?_g=(refreshInterval:(display:Off,pause:!f,section:0,value:0),time:(from:'2017-05-06T13:00:26-0600',mode:absolute,to:'2017-05-06T15:40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9" s="192" t="str">
        <f t="shared" si="30"/>
        <v>N</v>
      </c>
      <c r="X89" s="192">
        <f t="shared" si="42"/>
        <v>1</v>
      </c>
      <c r="Y89" s="192">
        <f t="shared" si="31"/>
        <v>4.3799999999999999E-2</v>
      </c>
      <c r="Z89" s="192">
        <f t="shared" si="32"/>
        <v>23.337800000000001</v>
      </c>
      <c r="AA89" s="192">
        <f t="shared" si="33"/>
        <v>23.294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4"/>
        <v>0183-06</v>
      </c>
      <c r="AE89" s="80" t="str">
        <f t="shared" si="35"/>
        <v>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 &amp; 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</v>
      </c>
      <c r="AF89" s="77" t="str">
        <f t="shared" si="36"/>
        <v>"C:\Program Files (x86)\AstroGrep\AstroGrep.exe" /e /r /s /spath="%USERPROFILE%\AppData\Local\Temp\OnboardLogs" /stypes="app*4044*20170506*" /stext=" 20:.+((SYSTEM_STATE.+slice.+state.+changed )|(ment ac)|(multiple cpu faults)|(system.+state.+changed )|(\[timeout)|(PRM\|1\|D)|(kpr)|(kdp)|(train st.+moving)|(\|lc)|(penalty))"</v>
      </c>
      <c r="AG89" s="1" t="str">
        <f t="shared" si="37"/>
        <v>EC</v>
      </c>
      <c r="AH89" s="81" t="str">
        <f t="shared" si="38"/>
        <v>"%USERPROFILE%\Documents\GitHub\eaglep3\Utilities\RefineRTDCRunTimes.py" --tripid 183-06 --locoid 4044 --swversion DE.1.0.9.0 --startMP 204:438 --initTime 2017-05-06T14:00:26 --startdatetime 2017-05-06T14:02:52 --delay 1 --endMP 204:233378 --enddatetime 2017-05-06T14:40:13 --enforcementcount 0 &gt;&gt;C:\Users\stu\Documents\GitHub\eaglep3-reporting\EC\2017-05-06-refined-times.txt</v>
      </c>
      <c r="AI89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{"issue":{"subject":"","project_id":79,"tracker_id":40,"status_id":1,"priority_id":2,"assigned_to_id":23,"start_date":"2017-05-06","description":"","custom_fields":[{"id":1,"name":"Subdivision","value":"EC"},{"id":4,"name":"Milepost","value":"23.3378"},{"id":17,"name":"Train ID","value":"183-06"},{"id":16,"name":"Locomotive ID","value":"4044"},{"id":130,"name":"Impact","value":""},{"id":150,"name":"Time of Event (Mountain Time)","value":"14:40:13"},{"id":151,"name":"Denver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40"/>
        <v>start /low /b %USERPROFILE%\Documents\GitHub\eaglep3\Utilities\DownloadLogsFromS3.py --loco 4044 --day 2017-05-06</v>
      </c>
      <c r="AN89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20:40:13"},{"id":29,"name":"Sharepoint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687</v>
      </c>
      <c r="B90" s="7">
        <v>4043</v>
      </c>
      <c r="C90" s="21" t="s">
        <v>210</v>
      </c>
      <c r="D90" s="21" t="s">
        <v>865</v>
      </c>
      <c r="E90" s="13">
        <v>42861.61855324074</v>
      </c>
      <c r="F90" s="13">
        <v>42861.622395833336</v>
      </c>
      <c r="G90" s="7">
        <v>1</v>
      </c>
      <c r="H90" s="21" t="s">
        <v>496</v>
      </c>
      <c r="I90" s="13">
        <v>42861.649201388886</v>
      </c>
      <c r="J90" s="7">
        <v>0</v>
      </c>
      <c r="K90" s="92" t="str">
        <f t="shared" si="24"/>
        <v>4043/4044</v>
      </c>
      <c r="L90" s="21" t="str">
        <f>VLOOKUP(A90,'Trips&amp;Operators'!$C$1:$G$99999,5,FALSE)</f>
        <v>LEVIN SCOTT</v>
      </c>
      <c r="M90" s="6">
        <f t="shared" si="25"/>
        <v>2.6805555549799465E-2</v>
      </c>
      <c r="N90" s="7">
        <f t="shared" si="26"/>
        <v>38.599999991711229</v>
      </c>
      <c r="O90" s="7"/>
      <c r="P90" s="7"/>
      <c r="Q90" s="22"/>
      <c r="R90" s="190"/>
      <c r="S90" s="196">
        <f t="shared" si="27"/>
        <v>1</v>
      </c>
      <c r="T90" s="190" t="str">
        <f t="shared" si="28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29"/>
        <v>https://d0f6bd738d7f1b3e5a7ca70fe4ff75f0.us-east-1.aws.found.io/app/kibana#/discover/Steve-Slow-Train-Analysis-(2080s-and-2083s)?_g=(refreshInterval:(display:Off,pause:!f,section:0,value:0),time:(from:'2017-05-06T13:50:43-0600',mode:absolute,to:'2017-05-06T16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0" s="192" t="str">
        <f t="shared" si="30"/>
        <v>N</v>
      </c>
      <c r="X90" s="192">
        <f t="shared" si="42"/>
        <v>1</v>
      </c>
      <c r="Y90" s="192">
        <f t="shared" si="31"/>
        <v>23.307200000000002</v>
      </c>
      <c r="Z90" s="192">
        <f t="shared" si="32"/>
        <v>1.2500000000000001E-2</v>
      </c>
      <c r="AA90" s="192">
        <f t="shared" si="33"/>
        <v>23.294700000000002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4"/>
        <v>0184-06</v>
      </c>
      <c r="AE90" s="80" t="str">
        <f t="shared" si="35"/>
        <v>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 &amp; 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</v>
      </c>
      <c r="AF90" s="77" t="str">
        <f t="shared" si="36"/>
        <v>"C:\Program Files (x86)\AstroGrep\AstroGrep.exe" /e /r /s /spath="%USERPROFILE%\AppData\Local\Temp\OnboardLogs" /stypes="app*4043*20170506*" /stext=" 21:.+((SYSTEM_STATE.+slice.+state.+changed )|(ment ac)|(multiple cpu faults)|(system.+state.+changed )|(\[timeout)|(PRM\|1\|D)|(kpr)|(kdp)|(train st.+moving)|(\|lc)|(penalty))"</v>
      </c>
      <c r="AG90" s="1" t="str">
        <f t="shared" si="37"/>
        <v>EC</v>
      </c>
      <c r="AH90" s="81" t="str">
        <f t="shared" si="38"/>
        <v>"%USERPROFILE%\Documents\GitHub\eaglep3\Utilities\RefineRTDCRunTimes.py" --tripid 184-06 --locoid 4043 --swversion DE.1.0.9.0 --startMP 204:233072 --initTime 2017-05-06T14:50:43 --startdatetime 2017-05-06T14:56:15 --delay 1 --endMP 204:125 --enddatetime 2017-05-06T15:34:51 --enforcementcount 0 &gt;&gt;C:\Users\stu\Documents\GitHub\eaglep3-reporting\EC\2017-05-06-refined-times.txt</v>
      </c>
      <c r="AI90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{"issue":{"subject":"","project_id":79,"tracker_id":40,"status_id":1,"priority_id":2,"assigned_to_id":23,"start_date":"2017-05-06","description":"","custom_fields":[{"id":1,"name":"Subdivision","value":"EC"},{"id":4,"name":"Milepost","value":"0.0125"},{"id":17,"name":"Train ID","value":"184-06"},{"id":16,"name":"Locomotive ID","value":"4043"},{"id":130,"name":"Impact","value":""},{"id":150,"name":"Time of Event (Mountain Time)","value":"15:34:51"},{"id":151,"name":"Denver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40"/>
        <v>start /low /b %USERPROFILE%\Documents\GitHub\eaglep3\Utilities\DownloadLogsFromS3.py --loco 4043 --day 2017-05-06</v>
      </c>
      <c r="AN90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21:34:51"},{"id":29,"name":"Sharepoint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539</v>
      </c>
      <c r="B91" s="7">
        <v>4054</v>
      </c>
      <c r="C91" s="21" t="s">
        <v>210</v>
      </c>
      <c r="D91" s="21" t="s">
        <v>866</v>
      </c>
      <c r="E91" s="13">
        <v>42861.601284722223</v>
      </c>
      <c r="F91" s="13">
        <v>42861.603333333333</v>
      </c>
      <c r="G91" s="7">
        <v>2</v>
      </c>
      <c r="H91" s="21" t="s">
        <v>867</v>
      </c>
      <c r="I91" s="13">
        <v>42861.627696759257</v>
      </c>
      <c r="J91" s="7">
        <v>0</v>
      </c>
      <c r="K91" s="92" t="str">
        <f t="shared" si="24"/>
        <v>4053/4054</v>
      </c>
      <c r="L91" s="21" t="str">
        <f>VLOOKUP(A91,'Trips&amp;Operators'!$C$1:$G$99999,5,FALSE)</f>
        <v>ROMERO CHAD</v>
      </c>
      <c r="M91" s="6">
        <f t="shared" si="25"/>
        <v>2.4363425924093463E-2</v>
      </c>
      <c r="N91" s="7"/>
      <c r="O91" s="7"/>
      <c r="P91" s="7">
        <f t="shared" si="26"/>
        <v>35.083333330694586</v>
      </c>
      <c r="Q91" s="22"/>
      <c r="R91" s="190" t="s">
        <v>1040</v>
      </c>
      <c r="S91" s="196">
        <f t="shared" si="27"/>
        <v>1</v>
      </c>
      <c r="T91" s="190" t="str">
        <f t="shared" si="28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29"/>
        <v>https://d0f6bd738d7f1b3e5a7ca70fe4ff75f0.us-east-1.aws.found.io/app/kibana#/discover/Steve-Slow-Train-Analysis-(2080s-and-2083s)?_g=(refreshInterval:(display:Off,pause:!f,section:0,value:0),time:(from:'2017-05-06T13:25:51-0600',mode:absolute,to:'2017-05-06T16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1" s="192" t="str">
        <f t="shared" si="30"/>
        <v>Y</v>
      </c>
      <c r="X91" s="192">
        <f t="shared" si="42"/>
        <v>1</v>
      </c>
      <c r="Y91" s="192">
        <f t="shared" si="31"/>
        <v>1.9145000000000001</v>
      </c>
      <c r="Z91" s="192">
        <f t="shared" si="32"/>
        <v>23.3353</v>
      </c>
      <c r="AA91" s="192">
        <f t="shared" si="33"/>
        <v>21.4208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4"/>
        <v>0185-06</v>
      </c>
      <c r="AE91" s="80" t="str">
        <f t="shared" si="35"/>
        <v>aws s3 cp s3://rtdc.mdm.uploadarchive.raw/RTDC4054/ "%USERPROFILE%\AppData\Local\Temp\OnboardLogs"\RTDC4054\2017-05-06 --exclude "*" --recursive --include "*20170506*" &amp; "%USERPROFILE%\Documents\GitHub\mrs-test-scripts\Headless Mode &amp; Sideloading\WalkAndUnGZ.bat" "%USERPROFILE%\AppData\Local\Temp\OnboardLogs"\RTDC4054\2017-05-06 &amp; aws s3 cp s3://rtdc.mdm.uploadarchive.raw/RTDC4054/ "%USERPROFILE%\AppData\Local\Temp\OnboardLogs"\RTDC4054\2017-05-07 --exclude "*" --recursive --include "*20170507*" &amp; "%USERPROFILE%\Documents\GitHub\mrs-test-scripts\Headless Mode &amp; Sideloading\WalkAndUnGZ.bat" "%USERPROFILE%\AppData\Local\Temp\OnboardLogs"\RTDC4054\2017-05-07</v>
      </c>
      <c r="AF91" s="77" t="str">
        <f t="shared" si="36"/>
        <v>"C:\Program Files (x86)\AstroGrep\AstroGrep.exe" /e /r /s /spath="%USERPROFILE%\AppData\Local\Temp\OnboardLogs" /stypes="app*4054*20170506*" /stext=" 21:.+((SYSTEM_STATE.+slice.+state.+changed )|(ment ac)|(multiple cpu faults)|(system.+state.+changed )|(\[timeout)|(PRM\|1\|D)|(kpr)|(kdp)|(train st.+moving)|(\|lc)|(penalty))"</v>
      </c>
      <c r="AG91" s="1" t="str">
        <f t="shared" si="37"/>
        <v>EC</v>
      </c>
      <c r="AH91" s="81" t="str">
        <f t="shared" si="38"/>
        <v>"%USERPROFILE%\Documents\GitHub\eaglep3\Utilities\RefineRTDCRunTimes.py" --tripid 185-06 --locoid 4054 --swversion DE.1.0.9.0 --startMP 204:19145 --initTime 2017-05-06T14:25:51 --startdatetime 2017-05-06T14:28:48 --delay 2 --endMP 204:233353 --enddatetime 2017-05-06T15:03:53 --enforcementcount 0 &gt;&gt;C:\Users\stu\Documents\GitHub\eaglep3-reporting\EC\2017-05-06-refined-times.txt</v>
      </c>
      <c r="AI91" s="99" t="str">
        <f t="shared" si="39"/>
        <v>echo {"issue":{"subject":"Onboard in-route failure","project_id":79,"tracker_id":40,"status_id":1,"priority_id":2,"assigned_to_id":23,"start_date":"2017-05-06","description":"","custom_fields":[{"id":1,"name":"Subdivision","value":"EC"},{"id":4,"name":"Milepost","value":"23.3353"},{"id":17,"name":"Train ID","value":"185-06"},{"id":16,"name":"Locomotive ID","value":"4054"},{"id":130,"name":"Impact","value":""},{"id":150,"name":"Time of Event (Mountain Time)","value":"15:03:53"},{"id":151,"name":"Denver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40"/>
        <v>start /low /b %USERPROFILE%\Documents\GitHub\eaglep3\Utilities\DownloadLogsFromS3.py --loco 4054 --day 2017-05-06</v>
      </c>
      <c r="AN91" s="154" t="str">
        <f t="shared" si="41"/>
        <v>echo {"issue":{"subject":"Onboard in-route failure","project_id":30,"tracker_id":4,"status_id":1,"priority_id":1,"assigned_to_id":10,"start_date":"2017-05-06","description":"","custom_fields":[{"id":30,"name":"Category","value":"Issue"},{"id":3,"name":"Functional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21:03:53"},{"id":29,"name":"Sharepoint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2" spans="1:91" s="20" customFormat="1" x14ac:dyDescent="0.25">
      <c r="A92" s="32" t="s">
        <v>688</v>
      </c>
      <c r="B92" s="7">
        <v>4053</v>
      </c>
      <c r="C92" s="21" t="s">
        <v>210</v>
      </c>
      <c r="D92" s="21" t="s">
        <v>868</v>
      </c>
      <c r="E92" s="13">
        <v>42861.629247685189</v>
      </c>
      <c r="F92" s="13">
        <v>42861.666828703703</v>
      </c>
      <c r="G92" s="7">
        <v>1</v>
      </c>
      <c r="H92" s="21" t="s">
        <v>795</v>
      </c>
      <c r="I92" s="13">
        <v>42861.691180555557</v>
      </c>
      <c r="J92" s="7">
        <v>0</v>
      </c>
      <c r="K92" s="92" t="str">
        <f t="shared" si="24"/>
        <v>4053/4054</v>
      </c>
      <c r="L92" s="21" t="str">
        <f>VLOOKUP(A92,'Trips&amp;Operators'!$C$1:$G$99999,5,FALSE)</f>
        <v>ROMERO CHAD</v>
      </c>
      <c r="M92" s="6">
        <f t="shared" si="25"/>
        <v>2.4351851854589768E-2</v>
      </c>
      <c r="N92" s="7">
        <f t="shared" si="26"/>
        <v>35.066666670609266</v>
      </c>
      <c r="O92" s="7"/>
      <c r="P92" s="7"/>
      <c r="Q92" s="22"/>
      <c r="R92" s="190"/>
      <c r="S92" s="196">
        <f t="shared" si="27"/>
        <v>1</v>
      </c>
      <c r="T92" s="190" t="str">
        <f t="shared" si="28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29"/>
        <v>https://d0f6bd738d7f1b3e5a7ca70fe4ff75f0.us-east-1.aws.found.io/app/kibana#/discover/Steve-Slow-Train-Analysis-(2080s-and-2083s)?_g=(refreshInterval:(display:Off,pause:!f,section:0,value:0),time:(from:'2017-05-06T14:06:07-0600',mode:absolute,to:'2017-05-06T17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2" s="192" t="str">
        <f t="shared" si="30"/>
        <v>N</v>
      </c>
      <c r="X92" s="192">
        <f t="shared" si="42"/>
        <v>1</v>
      </c>
      <c r="Y92" s="192">
        <f t="shared" si="31"/>
        <v>23.3019</v>
      </c>
      <c r="Z92" s="192">
        <f t="shared" si="32"/>
        <v>1.2999999999999999E-2</v>
      </c>
      <c r="AA92" s="192">
        <f t="shared" si="33"/>
        <v>23.288899999999998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4"/>
        <v>0186-06</v>
      </c>
      <c r="AE92" s="80" t="str">
        <f t="shared" si="35"/>
        <v>aws s3 cp s3://rtdc.mdm.uploadarchive.raw/RTDC4053/ "%USERPROFILE%\AppData\Local\Temp\OnboardLogs"\RTDC4053\2017-05-06 --exclude "*" --recursive --include "*20170506*" &amp; "%USERPROFILE%\Documents\GitHub\mrs-test-scripts\Headless Mode &amp; Sideloading\WalkAndUnGZ.bat" "%USERPROFILE%\AppData\Local\Temp\OnboardLogs"\RTDC4053\2017-05-06 &amp; aws s3 cp s3://rtdc.mdm.uploadarchive.raw/RTDC4053/ "%USERPROFILE%\AppData\Local\Temp\OnboardLogs"\RTDC4053\2017-05-07 --exclude "*" --recursive --include "*20170507*" &amp; "%USERPROFILE%\Documents\GitHub\mrs-test-scripts\Headless Mode &amp; Sideloading\WalkAndUnGZ.bat" "%USERPROFILE%\AppData\Local\Temp\OnboardLogs"\RTDC4053\2017-05-07</v>
      </c>
      <c r="AF92" s="77" t="str">
        <f t="shared" si="36"/>
        <v>"C:\Program Files (x86)\AstroGrep\AstroGrep.exe" /e /r /s /spath="%USERPROFILE%\AppData\Local\Temp\OnboardLogs" /stypes="app*4053*20170506*" /stext=" 22:.+((SYSTEM_STATE.+slice.+state.+changed )|(ment ac)|(multiple cpu faults)|(system.+state.+changed )|(\[timeout)|(PRM\|1\|D)|(kpr)|(kdp)|(train st.+moving)|(\|lc)|(penalty))"</v>
      </c>
      <c r="AG92" s="1" t="str">
        <f t="shared" si="37"/>
        <v>EC</v>
      </c>
      <c r="AH92" s="81" t="str">
        <f t="shared" si="38"/>
        <v>"%USERPROFILE%\Documents\GitHub\eaglep3\Utilities\RefineRTDCRunTimes.py" --tripid 186-06 --locoid 4053 --swversion DE.1.0.9.0 --startMP 204:233019 --initTime 2017-05-06T15:06:07 --startdatetime 2017-05-06T16:00:14 --delay 1 --endMP 204:130 --enddatetime 2017-05-06T16:35:18 --enforcementcount 0 &gt;&gt;C:\Users\stu\Documents\GitHub\eaglep3-reporting\EC\2017-05-06-refined-times.txt</v>
      </c>
      <c r="AI92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{"issue":{"subject":"","project_id":79,"tracker_id":40,"status_id":1,"priority_id":2,"assigned_to_id":23,"start_date":"2017-05-06","description":"","custom_fields":[{"id":1,"name":"Subdivision","value":"EC"},{"id":4,"name":"Milepost","value":"0.013"},{"id":17,"name":"Train ID","value":"186-06"},{"id":16,"name":"Locomotive ID","value":"4053"},{"id":130,"name":"Impact","value":""},{"id":150,"name":"Time of Event (Mountain Time)","value":"16:35:18"},{"id":151,"name":"Denver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40"/>
        <v>start /low /b %USERPROFILE%\Documents\GitHub\eaglep3\Utilities\DownloadLogsFromS3.py --loco 4053 --day 2017-05-06</v>
      </c>
      <c r="AN92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22:35:18"},{"id":29,"name":"Sharepoint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683</v>
      </c>
      <c r="B93" s="7">
        <v>4042</v>
      </c>
      <c r="C93" s="21" t="s">
        <v>210</v>
      </c>
      <c r="D93" s="21" t="s">
        <v>869</v>
      </c>
      <c r="E93" s="13">
        <v>42861.60533564815</v>
      </c>
      <c r="F93" s="13">
        <v>42861.607210648152</v>
      </c>
      <c r="G93" s="7">
        <v>2</v>
      </c>
      <c r="H93" s="21" t="s">
        <v>428</v>
      </c>
      <c r="I93" s="13">
        <v>42861.636793981481</v>
      </c>
      <c r="J93" s="7">
        <v>0</v>
      </c>
      <c r="K93" s="92" t="str">
        <f t="shared" si="24"/>
        <v>4041/4042</v>
      </c>
      <c r="L93" s="21" t="str">
        <f>VLOOKUP(A93,'Trips&amp;Operators'!$C$1:$G$99999,5,FALSE)</f>
        <v>MOSES BRADLEY</v>
      </c>
      <c r="M93" s="6">
        <f t="shared" si="25"/>
        <v>2.958333332935581E-2</v>
      </c>
      <c r="N93" s="7">
        <f t="shared" si="26"/>
        <v>42.599999994272366</v>
      </c>
      <c r="O93" s="7"/>
      <c r="P93" s="7"/>
      <c r="Q93" s="22"/>
      <c r="R93" s="190"/>
      <c r="S93" s="196">
        <f t="shared" si="27"/>
        <v>1</v>
      </c>
      <c r="T93" s="190" t="str">
        <f t="shared" si="28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29"/>
        <v>https://d0f6bd738d7f1b3e5a7ca70fe4ff75f0.us-east-1.aws.found.io/app/kibana#/discover/Steve-Slow-Train-Analysis-(2080s-and-2083s)?_g=(refreshInterval:(display:Off,pause:!f,section:0,value:0),time:(from:'2017-05-06T13:31:41-0600',mode:absolute,to:'2017-05-06T16:16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3" s="192" t="str">
        <f t="shared" si="30"/>
        <v>N</v>
      </c>
      <c r="X93" s="192">
        <f t="shared" si="42"/>
        <v>1</v>
      </c>
      <c r="Y93" s="192">
        <f t="shared" si="31"/>
        <v>5.3499999999999999E-2</v>
      </c>
      <c r="Z93" s="192">
        <f t="shared" si="32"/>
        <v>23.331900000000001</v>
      </c>
      <c r="AA93" s="192">
        <f t="shared" si="33"/>
        <v>23.278400000000001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4"/>
        <v>0187-06</v>
      </c>
      <c r="AE93" s="80" t="str">
        <f t="shared" si="35"/>
        <v>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 &amp; aws s3 cp s3://rtdc.mdm.uploadarchive.raw/RTDC4042/ "%USERPROFILE%\AppData\Local\Temp\OnboardLogs"\RTDC4042\2017-05-07 --exclude "*" --recursive --include "*20170507*" &amp; "%USERPROFILE%\Documents\GitHub\mrs-test-scripts\Headless Mode &amp; Sideloading\WalkAndUnGZ.bat" "%USERPROFILE%\AppData\Local\Temp\OnboardLogs"\RTDC4042\2017-05-07</v>
      </c>
      <c r="AF93" s="77" t="str">
        <f t="shared" si="36"/>
        <v>"C:\Program Files (x86)\AstroGrep\AstroGrep.exe" /e /r /s /spath="%USERPROFILE%\AppData\Local\Temp\OnboardLogs" /stypes="app*4042*20170506*" /stext=" 21:.+((SYSTEM_STATE.+slice.+state.+changed )|(ment ac)|(multiple cpu faults)|(system.+state.+changed )|(\[timeout)|(PRM\|1\|D)|(kpr)|(kdp)|(train st.+moving)|(\|lc)|(penalty))"</v>
      </c>
      <c r="AG93" s="1" t="str">
        <f t="shared" si="37"/>
        <v>EC</v>
      </c>
      <c r="AH93" s="81" t="str">
        <f t="shared" si="38"/>
        <v>"%USERPROFILE%\Documents\GitHub\eaglep3\Utilities\RefineRTDCRunTimes.py" --tripid 187-06 --locoid 4042 --swversion DE.1.0.9.0 --startMP 204:535 --initTime 2017-05-06T14:31:41 --startdatetime 2017-05-06T14:34:23 --delay 2 --endMP 204:233319 --enddatetime 2017-05-06T15:16:59 --enforcementcount 0 &gt;&gt;C:\Users\stu\Documents\GitHub\eaglep3-reporting\EC\2017-05-06-refined-times.txt</v>
      </c>
      <c r="AI93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{"issue":{"subject":"","project_id":79,"tracker_id":40,"status_id":1,"priority_id":2,"assigned_to_id":23,"start_date":"2017-05-06","description":"","custom_fields":[{"id":1,"name":"Subdivision","value":"EC"},{"id":4,"name":"Milepost","value":"23.3319"},{"id":17,"name":"Train ID","value":"187-06"},{"id":16,"name":"Locomotive ID","value":"4042"},{"id":130,"name":"Impact","value":""},{"id":150,"name":"Time of Event (Mountain Time)","value":"15:16:59"},{"id":151,"name":"Denver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40"/>
        <v>start /low /b %USERPROFILE%\Documents\GitHub\eaglep3\Utilities\DownloadLogsFromS3.py --loco 4042 --day 2017-05-06</v>
      </c>
      <c r="AN93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21:16:59"},{"id":29,"name":"Sharepoint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691</v>
      </c>
      <c r="B94" s="7">
        <v>4041</v>
      </c>
      <c r="C94" s="21" t="s">
        <v>210</v>
      </c>
      <c r="D94" s="21" t="s">
        <v>481</v>
      </c>
      <c r="E94" s="13">
        <v>42861.640798611108</v>
      </c>
      <c r="F94" s="13">
        <v>42861.643460648149</v>
      </c>
      <c r="G94" s="7">
        <v>2</v>
      </c>
      <c r="H94" s="21" t="s">
        <v>372</v>
      </c>
      <c r="I94" s="13">
        <v>42861.673564814817</v>
      </c>
      <c r="J94" s="7">
        <v>0</v>
      </c>
      <c r="K94" s="92" t="str">
        <f t="shared" si="24"/>
        <v>4041/4042</v>
      </c>
      <c r="L94" s="21" t="str">
        <f>VLOOKUP(A94,'Trips&amp;Operators'!$C$1:$G$99999,5,FALSE)</f>
        <v>MOSES BRADLEY</v>
      </c>
      <c r="M94" s="6">
        <f t="shared" si="25"/>
        <v>3.0104166668024845E-2</v>
      </c>
      <c r="N94" s="7">
        <f t="shared" si="26"/>
        <v>43.350000001955777</v>
      </c>
      <c r="O94" s="7"/>
      <c r="P94" s="7"/>
      <c r="Q94" s="22"/>
      <c r="R94" s="190"/>
      <c r="S94" s="196">
        <f t="shared" si="27"/>
        <v>1</v>
      </c>
      <c r="T94" s="190" t="str">
        <f t="shared" si="28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29"/>
        <v>https://d0f6bd738d7f1b3e5a7ca70fe4ff75f0.us-east-1.aws.found.io/app/kibana#/discover/Steve-Slow-Train-Analysis-(2080s-and-2083s)?_g=(refreshInterval:(display:Off,pause:!f,section:0,value:0),time:(from:'2017-05-06T14:22:45-0600',mode:absolute,to:'2017-05-06T17:09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192" t="str">
        <f t="shared" si="30"/>
        <v>N</v>
      </c>
      <c r="X94" s="192">
        <f t="shared" si="42"/>
        <v>1</v>
      </c>
      <c r="Y94" s="192">
        <f t="shared" si="31"/>
        <v>23.300599999999999</v>
      </c>
      <c r="Z94" s="192">
        <f t="shared" si="32"/>
        <v>1.6E-2</v>
      </c>
      <c r="AA94" s="192">
        <f t="shared" si="33"/>
        <v>23.284600000000001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4"/>
        <v>0188-06</v>
      </c>
      <c r="AE94" s="80" t="str">
        <f t="shared" si="35"/>
        <v>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 &amp; 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</v>
      </c>
      <c r="AF94" s="77" t="str">
        <f t="shared" si="36"/>
        <v>"C:\Program Files (x86)\AstroGrep\AstroGrep.exe" /e /r /s /spath="%USERPROFILE%\AppData\Local\Temp\OnboardLogs" /stypes="app*4041*20170506*" /stext=" 22:.+((SYSTEM_STATE.+slice.+state.+changed )|(ment ac)|(multiple cpu faults)|(system.+state.+changed )|(\[timeout)|(PRM\|1\|D)|(kpr)|(kdp)|(train st.+moving)|(\|lc)|(penalty))"</v>
      </c>
      <c r="AG94" s="1" t="str">
        <f t="shared" si="37"/>
        <v>EC</v>
      </c>
      <c r="AH94" s="81" t="str">
        <f t="shared" si="38"/>
        <v>"%USERPROFILE%\Documents\GitHub\eaglep3\Utilities\RefineRTDCRunTimes.py" --tripid 188-06 --locoid 4041 --swversion DE.1.0.9.0 --startMP 204:233006 --initTime 2017-05-06T15:22:45 --startdatetime 2017-05-06T15:26:35 --delay 2 --endMP 204:160 --enddatetime 2017-05-06T16:09:56 --enforcementcount 0 &gt;&gt;C:\Users\stu\Documents\GitHub\eaglep3-reporting\EC\2017-05-06-refined-times.txt</v>
      </c>
      <c r="AI94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{"issue":{"subject":"","project_id":79,"tracker_id":40,"status_id":1,"priority_id":2,"assigned_to_id":23,"start_date":"2017-05-06","description":"","custom_fields":[{"id":1,"name":"Subdivision","value":"EC"},{"id":4,"name":"Milepost","value":"0.016"},{"id":17,"name":"Train ID","value":"188-06"},{"id":16,"name":"Locomotive ID","value":"4041"},{"id":130,"name":"Impact","value":""},{"id":150,"name":"Time of Event (Mountain Time)","value":"16:09:56"},{"id":151,"name":"Denver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40"/>
        <v>start /low /b %USERPROFILE%\Documents\GitHub\eaglep3\Utilities\DownloadLogsFromS3.py --loco 4041 --day 2017-05-06</v>
      </c>
      <c r="AN94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22:09:56"},{"id":29,"name":"Sharepoint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686</v>
      </c>
      <c r="B95" s="7">
        <v>4010</v>
      </c>
      <c r="C95" s="21" t="s">
        <v>210</v>
      </c>
      <c r="D95" s="21" t="s">
        <v>375</v>
      </c>
      <c r="E95" s="13">
        <v>42861.616053240738</v>
      </c>
      <c r="F95" s="13">
        <v>42861.617951388886</v>
      </c>
      <c r="G95" s="7">
        <v>1</v>
      </c>
      <c r="H95" s="21" t="s">
        <v>805</v>
      </c>
      <c r="I95" s="13">
        <v>42861.64702546296</v>
      </c>
      <c r="J95" s="7">
        <v>0</v>
      </c>
      <c r="K95" s="92" t="str">
        <f t="shared" si="24"/>
        <v>4009/4010</v>
      </c>
      <c r="L95" s="21" t="str">
        <f>VLOOKUP(A95,'Trips&amp;Operators'!$C$1:$G$99999,5,FALSE)</f>
        <v>DAVIS MICHAEL</v>
      </c>
      <c r="M95" s="6">
        <f t="shared" si="25"/>
        <v>2.9074074074742384E-2</v>
      </c>
      <c r="N95" s="7">
        <f t="shared" si="26"/>
        <v>41.866666667629033</v>
      </c>
      <c r="O95" s="7"/>
      <c r="P95" s="7"/>
      <c r="Q95" s="22"/>
      <c r="R95" s="190"/>
      <c r="S95" s="196">
        <f t="shared" si="27"/>
        <v>1</v>
      </c>
      <c r="T95" s="190" t="str">
        <f t="shared" si="28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29"/>
        <v>https://d0f6bd738d7f1b3e5a7ca70fe4ff75f0.us-east-1.aws.found.io/app/kibana#/discover/Steve-Slow-Train-Analysis-(2080s-and-2083s)?_g=(refreshInterval:(display:Off,pause:!f,section:0,value:0),time:(from:'2017-05-06T13:47:07-0600',mode:absolute,to:'2017-05-06T16:31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5" s="192" t="str">
        <f t="shared" si="30"/>
        <v>N</v>
      </c>
      <c r="X95" s="192">
        <f t="shared" si="42"/>
        <v>1</v>
      </c>
      <c r="Y95" s="192">
        <f t="shared" si="31"/>
        <v>4.58E-2</v>
      </c>
      <c r="Z95" s="192">
        <f t="shared" si="32"/>
        <v>23.3307</v>
      </c>
      <c r="AA95" s="192">
        <f t="shared" si="33"/>
        <v>23.2849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4"/>
        <v>0189-06</v>
      </c>
      <c r="AE95" s="80" t="str">
        <f t="shared" si="35"/>
        <v>aws s3 cp s3://rtdc.mdm.uploadarchive.raw/RTDC4010/ "%USERPROFILE%\AppData\Local\Temp\OnboardLogs"\RTDC4010\2017-05-06 --exclude "*" --recursive --include "*20170506*" &amp; "%USERPROFILE%\Documents\GitHub\mrs-test-scripts\Headless Mode &amp; Sideloading\WalkAndUnGZ.bat" "%USERPROFILE%\AppData\Local\Temp\OnboardLogs"\RTDC4010\2017-05-06 &amp; aws s3 cp s3://rtdc.mdm.uploadarchive.raw/RTDC4010/ "%USERPROFILE%\AppData\Local\Temp\OnboardLogs"\RTDC4010\2017-05-07 --exclude "*" --recursive --include "*20170507*" &amp; "%USERPROFILE%\Documents\GitHub\mrs-test-scripts\Headless Mode &amp; Sideloading\WalkAndUnGZ.bat" "%USERPROFILE%\AppData\Local\Temp\OnboardLogs"\RTDC4010\2017-05-07</v>
      </c>
      <c r="AF95" s="77" t="str">
        <f t="shared" si="36"/>
        <v>"C:\Program Files (x86)\AstroGrep\AstroGrep.exe" /e /r /s /spath="%USERPROFILE%\AppData\Local\Temp\OnboardLogs" /stypes="app*4010*20170506*" /stext=" 21:.+((SYSTEM_STATE.+slice.+state.+changed )|(ment ac)|(multiple cpu faults)|(system.+state.+changed )|(\[timeout)|(PRM\|1\|D)|(kpr)|(kdp)|(train st.+moving)|(\|lc)|(penalty))"</v>
      </c>
      <c r="AG95" s="1" t="str">
        <f t="shared" si="37"/>
        <v>EC</v>
      </c>
      <c r="AH95" s="81" t="str">
        <f t="shared" si="38"/>
        <v>"%USERPROFILE%\Documents\GitHub\eaglep3\Utilities\RefineRTDCRunTimes.py" --tripid 189-06 --locoid 4010 --swversion DE.1.0.9.0 --startMP 204:458 --initTime 2017-05-06T14:47:07 --startdatetime 2017-05-06T14:49:51 --delay 1 --endMP 204:233307 --enddatetime 2017-05-06T15:31:43 --enforcementcount 0 &gt;&gt;C:\Users\stu\Documents\GitHub\eaglep3-reporting\EC\2017-05-06-refined-times.txt</v>
      </c>
      <c r="AI95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{"issue":{"subject":"","project_id":79,"tracker_id":40,"status_id":1,"priority_id":2,"assigned_to_id":23,"start_date":"2017-05-06","description":"","custom_fields":[{"id":1,"name":"Subdivision","value":"EC"},{"id":4,"name":"Milepost","value":"23.3307"},{"id":17,"name":"Train ID","value":"189-06"},{"id":16,"name":"Locomotive ID","value":"4010"},{"id":130,"name":"Impact","value":""},{"id":150,"name":"Time of Event (Mountain Time)","value":"15:31:43"},{"id":151,"name":"Denver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0"/>
        <v>start /low /b %USERPROFILE%\Documents\GitHub\eaglep3\Utilities\DownloadLogsFromS3.py --loco 4010 --day 2017-05-06</v>
      </c>
      <c r="AN95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21:31:43"},{"id":29,"name":"Sharepoint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694</v>
      </c>
      <c r="B96" s="7">
        <v>4009</v>
      </c>
      <c r="C96" s="21" t="s">
        <v>210</v>
      </c>
      <c r="D96" s="21" t="s">
        <v>784</v>
      </c>
      <c r="E96" s="13">
        <v>42861.651180555556</v>
      </c>
      <c r="F96" s="13">
        <v>42861.653796296298</v>
      </c>
      <c r="G96" s="7">
        <v>1</v>
      </c>
      <c r="H96" s="21" t="s">
        <v>363</v>
      </c>
      <c r="I96" s="13">
        <v>42861.6877662037</v>
      </c>
      <c r="J96" s="7">
        <v>0</v>
      </c>
      <c r="K96" s="92" t="str">
        <f t="shared" si="24"/>
        <v>4009/4010</v>
      </c>
      <c r="L96" s="21" t="str">
        <f>VLOOKUP(A96,'Trips&amp;Operators'!$C$1:$G$99999,5,FALSE)</f>
        <v>DAVIS MICHAEL</v>
      </c>
      <c r="M96" s="6">
        <f t="shared" si="25"/>
        <v>3.3969907402934041E-2</v>
      </c>
      <c r="N96" s="7">
        <f t="shared" si="26"/>
        <v>48.916666660225019</v>
      </c>
      <c r="O96" s="7"/>
      <c r="P96" s="7"/>
      <c r="Q96" s="22"/>
      <c r="R96" s="190"/>
      <c r="S96" s="196">
        <f t="shared" si="27"/>
        <v>1</v>
      </c>
      <c r="T96" s="190" t="str">
        <f t="shared" si="28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29"/>
        <v>https://d0f6bd738d7f1b3e5a7ca70fe4ff75f0.us-east-1.aws.found.io/app/kibana#/discover/Steve-Slow-Train-Analysis-(2080s-and-2083s)?_g=(refreshInterval:(display:Off,pause:!f,section:0,value:0),time:(from:'2017-05-06T14:37:42-0600',mode:absolute,to:'2017-05-06T17:30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6" s="192" t="str">
        <f t="shared" si="30"/>
        <v>N</v>
      </c>
      <c r="X96" s="192">
        <f t="shared" si="42"/>
        <v>1</v>
      </c>
      <c r="Y96" s="192">
        <f t="shared" si="31"/>
        <v>23.299399999999999</v>
      </c>
      <c r="Z96" s="192">
        <f t="shared" si="32"/>
        <v>1.38E-2</v>
      </c>
      <c r="AA96" s="192">
        <f t="shared" si="33"/>
        <v>23.285599999999999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4"/>
        <v>0190-06</v>
      </c>
      <c r="AE96" s="80" t="str">
        <f t="shared" si="35"/>
        <v>aws s3 cp s3://rtdc.mdm.uploadarchive.raw/RTDC4009/ "%USERPROFILE%\AppData\Local\Temp\OnboardLogs"\RTDC4009\2017-05-06 --exclude "*" --recursive --include "*20170506*" &amp; "%USERPROFILE%\Documents\GitHub\mrs-test-scripts\Headless Mode &amp; Sideloading\WalkAndUnGZ.bat" "%USERPROFILE%\AppData\Local\Temp\OnboardLogs"\RTDC4009\2017-05-06 &amp; aws s3 cp s3://rtdc.mdm.uploadarchive.raw/RTDC4009/ "%USERPROFILE%\AppData\Local\Temp\OnboardLogs"\RTDC4009\2017-05-07 --exclude "*" --recursive --include "*20170507*" &amp; "%USERPROFILE%\Documents\GitHub\mrs-test-scripts\Headless Mode &amp; Sideloading\WalkAndUnGZ.bat" "%USERPROFILE%\AppData\Local\Temp\OnboardLogs"\RTDC4009\2017-05-07</v>
      </c>
      <c r="AF96" s="77" t="str">
        <f t="shared" si="36"/>
        <v>"C:\Program Files (x86)\AstroGrep\AstroGrep.exe" /e /r /s /spath="%USERPROFILE%\AppData\Local\Temp\OnboardLogs" /stypes="app*4009*20170506*" /stext=" 22:.+((SYSTEM_STATE.+slice.+state.+changed )|(ment ac)|(multiple cpu faults)|(system.+state.+changed )|(\[timeout)|(PRM\|1\|D)|(kpr)|(kdp)|(train st.+moving)|(\|lc)|(penalty))"</v>
      </c>
      <c r="AG96" s="1" t="str">
        <f t="shared" si="37"/>
        <v>EC</v>
      </c>
      <c r="AH96" s="81" t="str">
        <f t="shared" si="38"/>
        <v>"%USERPROFILE%\Documents\GitHub\eaglep3\Utilities\RefineRTDCRunTimes.py" --tripid 190-06 --locoid 4009 --swversion DE.1.0.9.0 --startMP 204:232994 --initTime 2017-05-06T15:37:42 --startdatetime 2017-05-06T15:41:28 --delay 1 --endMP 204:138 --enddatetime 2017-05-06T16:30:23 --enforcementcount 0 &gt;&gt;C:\Users\stu\Documents\GitHub\eaglep3-reporting\EC\2017-05-06-refined-times.txt</v>
      </c>
      <c r="AI96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{"issue":{"subject":"","project_id":79,"tracker_id":40,"status_id":1,"priority_id":2,"assigned_to_id":23,"start_date":"2017-05-06","description":"","custom_fields":[{"id":1,"name":"Subdivision","value":"EC"},{"id":4,"name":"Milepost","value":"0.0138"},{"id":17,"name":"Train ID","value":"190-06"},{"id":16,"name":"Locomotive ID","value":"4009"},{"id":130,"name":"Impact","value":""},{"id":150,"name":"Time of Event (Mountain Time)","value":"16:30:23"},{"id":151,"name":"Denver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0"/>
        <v>start /low /b %USERPROFILE%\Documents\GitHub\eaglep3\Utilities\DownloadLogsFromS3.py --loco 4009 --day 2017-05-06</v>
      </c>
      <c r="AN96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22:30:23"},{"id":29,"name":"Sharepoint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540</v>
      </c>
      <c r="B97" s="7">
        <v>4024</v>
      </c>
      <c r="C97" s="21" t="s">
        <v>210</v>
      </c>
      <c r="D97" s="21" t="s">
        <v>382</v>
      </c>
      <c r="E97" s="13">
        <v>42861.624502314815</v>
      </c>
      <c r="F97" s="13">
        <v>42861.626030092593</v>
      </c>
      <c r="G97" s="7">
        <v>1</v>
      </c>
      <c r="H97" s="21" t="s">
        <v>415</v>
      </c>
      <c r="I97" s="13">
        <v>42861.650925925926</v>
      </c>
      <c r="J97" s="7">
        <v>0</v>
      </c>
      <c r="K97" s="92" t="str">
        <f t="shared" si="24"/>
        <v>4023/4024</v>
      </c>
      <c r="L97" s="21" t="str">
        <f>VLOOKUP(A97,'Trips&amp;Operators'!$C$1:$G$99999,5,FALSE)</f>
        <v>BRUDER RICHARD</v>
      </c>
      <c r="M97" s="6">
        <f t="shared" si="25"/>
        <v>2.4895833332266193E-2</v>
      </c>
      <c r="N97" s="7">
        <f t="shared" si="26"/>
        <v>35.849999998463318</v>
      </c>
      <c r="O97" s="7"/>
      <c r="P97" s="7"/>
      <c r="Q97" s="22"/>
      <c r="R97" s="190"/>
      <c r="S97" s="196">
        <f t="shared" si="27"/>
        <v>1</v>
      </c>
      <c r="T97" s="190" t="str">
        <f t="shared" si="28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29"/>
        <v>https://d0f6bd738d7f1b3e5a7ca70fe4ff75f0.us-east-1.aws.found.io/app/kibana#/discover/Steve-Slow-Train-Analysis-(2080s-and-2083s)?_g=(refreshInterval:(display:Off,pause:!f,section:0,value:0),time:(from:'2017-05-06T13:59:17-0600',mode:absolute,to:'2017-05-06T16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7" s="192" t="str">
        <f t="shared" si="30"/>
        <v>N</v>
      </c>
      <c r="X97" s="192">
        <f t="shared" si="42"/>
        <v>1</v>
      </c>
      <c r="Y97" s="192">
        <f t="shared" si="31"/>
        <v>4.6600000000000003E-2</v>
      </c>
      <c r="Z97" s="192">
        <f t="shared" si="32"/>
        <v>23.3308</v>
      </c>
      <c r="AA97" s="192">
        <f t="shared" si="33"/>
        <v>23.284199999999998</v>
      </c>
      <c r="AB97" s="57" t="str">
        <f>VLOOKUP(A97,Enforcements!$C$7:$K$13,8,0)</f>
        <v>Bulletin (2)</v>
      </c>
      <c r="AC97" s="53" t="str">
        <f>VLOOKUP(A97,Enforcements!$C$7:$E$13,3,0)</f>
        <v>GRADE CROSSING</v>
      </c>
      <c r="AD97" s="54" t="str">
        <f t="shared" si="34"/>
        <v>0191-06</v>
      </c>
      <c r="AE97" s="80" t="str">
        <f t="shared" si="35"/>
        <v>aws s3 cp s3://rtdc.mdm.uploadarchive.raw/RTDC4024/ "%USERPROFILE%\AppData\Local\Temp\OnboardLogs"\RTDC4024\2017-05-06 --exclude "*" --recursive --include "*20170506*" &amp; "%USERPROFILE%\Documents\GitHub\mrs-test-scripts\Headless Mode &amp; Sideloading\WalkAndUnGZ.bat" "%USERPROFILE%\AppData\Local\Temp\OnboardLogs"\RTDC4024\2017-05-06 &amp; aws s3 cp s3://rtdc.mdm.uploadarchive.raw/RTDC4024/ "%USERPROFILE%\AppData\Local\Temp\OnboardLogs"\RTDC4024\2017-05-07 --exclude "*" --recursive --include "*20170507*" &amp; "%USERPROFILE%\Documents\GitHub\mrs-test-scripts\Headless Mode &amp; Sideloading\WalkAndUnGZ.bat" "%USERPROFILE%\AppData\Local\Temp\OnboardLogs"\RTDC4024\2017-05-07</v>
      </c>
      <c r="AF97" s="77" t="str">
        <f t="shared" si="36"/>
        <v>"C:\Program Files (x86)\AstroGrep\AstroGrep.exe" /e /r /s /spath="%USERPROFILE%\AppData\Local\Temp\OnboardLogs" /stypes="app*4024*20170506*" /stext=" 21:.+((SYSTEM_STATE.+slice.+state.+changed )|(ment ac)|(multiple cpu faults)|(system.+state.+changed )|(\[timeout)|(PRM\|1\|D)|(kpr)|(kdp)|(train st.+moving)|(\|lc)|(penalty))"</v>
      </c>
      <c r="AG97" s="1" t="str">
        <f t="shared" si="37"/>
        <v>EC</v>
      </c>
      <c r="AH97" s="81" t="str">
        <f t="shared" si="38"/>
        <v>"%USERPROFILE%\Documents\GitHub\eaglep3\Utilities\RefineRTDCRunTimes.py" --tripid 191-06 --locoid 4024 --swversion DE.1.0.9.0 --startMP 204:466 --initTime 2017-05-06T14:59:17 --startdatetime 2017-05-06T15:01:29 --delay 1 --endMP 204:233308 --enddatetime 2017-05-06T15:37:20 --enforcementcount 0 &gt;&gt;C:\Users\stu\Documents\GitHub\eaglep3-reporting\EC\2017-05-06-refined-times.txt</v>
      </c>
      <c r="AI97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{"issue":{"subject":"","project_id":79,"tracker_id":40,"status_id":1,"priority_id":2,"assigned_to_id":23,"start_date":"2017-05-06","description":"","custom_fields":[{"id":1,"name":"Subdivision","value":"EC"},{"id":4,"name":"Milepost","value":"23.3308"},{"id":17,"name":"Train ID","value":"191-06"},{"id":16,"name":"Locomotive ID","value":"4024"},{"id":130,"name":"Impact","value":""},{"id":150,"name":"Time of Event (Mountain Time)","value":"15:37:20"},{"id":151,"name":"Denver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0"/>
        <v>start /low /b %USERPROFILE%\Documents\GitHub\eaglep3\Utilities\DownloadLogsFromS3.py --loco 4024 --day 2017-05-06</v>
      </c>
      <c r="AN97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21:37:20"},{"id":29,"name":"Sharepoint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695</v>
      </c>
      <c r="B98" s="7">
        <v>4023</v>
      </c>
      <c r="C98" s="21" t="s">
        <v>210</v>
      </c>
      <c r="D98" s="21" t="s">
        <v>497</v>
      </c>
      <c r="E98" s="13">
        <v>42861.660451388889</v>
      </c>
      <c r="F98" s="13">
        <v>42861.664120370369</v>
      </c>
      <c r="G98" s="7">
        <v>1</v>
      </c>
      <c r="H98" s="21" t="s">
        <v>390</v>
      </c>
      <c r="I98" s="13">
        <v>42861.692187499997</v>
      </c>
      <c r="J98" s="7">
        <v>0</v>
      </c>
      <c r="K98" s="92" t="str">
        <f t="shared" si="24"/>
        <v>4023/4024</v>
      </c>
      <c r="L98" s="21" t="str">
        <f>VLOOKUP(A98,'Trips&amp;Operators'!$C$1:$G$99999,5,FALSE)</f>
        <v>BRUDER RICHARD</v>
      </c>
      <c r="M98" s="6">
        <f t="shared" si="25"/>
        <v>2.806712962774327E-2</v>
      </c>
      <c r="N98" s="7">
        <f t="shared" si="26"/>
        <v>40.416666663950309</v>
      </c>
      <c r="O98" s="7"/>
      <c r="P98" s="7"/>
      <c r="Q98" s="22"/>
      <c r="R98" s="190"/>
      <c r="S98" s="196">
        <f t="shared" si="27"/>
        <v>1</v>
      </c>
      <c r="T98" s="190" t="str">
        <f t="shared" si="28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29"/>
        <v>https://d0f6bd738d7f1b3e5a7ca70fe4ff75f0.us-east-1.aws.found.io/app/kibana#/discover/Steve-Slow-Train-Analysis-(2080s-and-2083s)?_g=(refreshInterval:(display:Off,pause:!f,section:0,value:0),time:(from:'2017-05-06T14:51:03-0600',mode:absolute,to:'2017-05-06T17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8" s="192" t="str">
        <f t="shared" si="30"/>
        <v>N</v>
      </c>
      <c r="X98" s="192">
        <f t="shared" si="42"/>
        <v>1</v>
      </c>
      <c r="Y98" s="192">
        <f t="shared" si="31"/>
        <v>23.3</v>
      </c>
      <c r="Z98" s="192">
        <f t="shared" si="32"/>
        <v>1.5599999999999999E-2</v>
      </c>
      <c r="AA98" s="192">
        <f t="shared" si="33"/>
        <v>23.284400000000002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4"/>
        <v>0192-06</v>
      </c>
      <c r="AE98" s="80" t="str">
        <f t="shared" si="35"/>
        <v>aws s3 cp s3://rtdc.mdm.uploadarchive.raw/RTDC4023/ "%USERPROFILE%\AppData\Local\Temp\OnboardLogs"\RTDC4023\2017-05-06 --exclude "*" --recursive --include "*20170506*" &amp; "%USERPROFILE%\Documents\GitHub\mrs-test-scripts\Headless Mode &amp; Sideloading\WalkAndUnGZ.bat" "%USERPROFILE%\AppData\Local\Temp\OnboardLogs"\RTDC4023\2017-05-06 &amp; aws s3 cp s3://rtdc.mdm.uploadarchive.raw/RTDC4023/ "%USERPROFILE%\AppData\Local\Temp\OnboardLogs"\RTDC4023\2017-05-07 --exclude "*" --recursive --include "*20170507*" &amp; "%USERPROFILE%\Documents\GitHub\mrs-test-scripts\Headless Mode &amp; Sideloading\WalkAndUnGZ.bat" "%USERPROFILE%\AppData\Local\Temp\OnboardLogs"\RTDC4023\2017-05-07</v>
      </c>
      <c r="AF98" s="77" t="str">
        <f t="shared" si="36"/>
        <v>"C:\Program Files (x86)\AstroGrep\AstroGrep.exe" /e /r /s /spath="%USERPROFILE%\AppData\Local\Temp\OnboardLogs" /stypes="app*4023*20170506*" /stext=" 22:.+((SYSTEM_STATE.+slice.+state.+changed )|(ment ac)|(multiple cpu faults)|(system.+state.+changed )|(\[timeout)|(PRM\|1\|D)|(kpr)|(kdp)|(train st.+moving)|(\|lc)|(penalty))"</v>
      </c>
      <c r="AG98" s="1" t="str">
        <f t="shared" si="37"/>
        <v>EC</v>
      </c>
      <c r="AH98" s="81" t="str">
        <f t="shared" si="38"/>
        <v>"%USERPROFILE%\Documents\GitHub\eaglep3\Utilities\RefineRTDCRunTimes.py" --tripid 192-06 --locoid 4023 --swversion DE.1.0.9.0 --startMP 204:233000 --initTime 2017-05-06T15:51:03 --startdatetime 2017-05-06T15:56:20 --delay 1 --endMP 204:156 --enddatetime 2017-05-06T16:36:45 --enforcementcount 0 &gt;&gt;C:\Users\stu\Documents\GitHub\eaglep3-reporting\EC\2017-05-06-refined-times.txt</v>
      </c>
      <c r="AI98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{"issue":{"subject":"","project_id":79,"tracker_id":40,"status_id":1,"priority_id":2,"assigned_to_id":23,"start_date":"2017-05-06","description":"","custom_fields":[{"id":1,"name":"Subdivision","value":"EC"},{"id":4,"name":"Milepost","value":"0.0156"},{"id":17,"name":"Train ID","value":"192-06"},{"id":16,"name":"Locomotive ID","value":"4023"},{"id":130,"name":"Impact","value":""},{"id":150,"name":"Time of Event (Mountain Time)","value":"16:36:45"},{"id":151,"name":"Denver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0"/>
        <v>start /low /b %USERPROFILE%\Documents\GitHub\eaglep3\Utilities\DownloadLogsFromS3.py --loco 4023 --day 2017-05-06</v>
      </c>
      <c r="AN98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22:36:45"},{"id":29,"name":"Sharepoint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689</v>
      </c>
      <c r="B99" s="7">
        <v>4004</v>
      </c>
      <c r="C99" s="21" t="s">
        <v>210</v>
      </c>
      <c r="D99" s="21" t="s">
        <v>427</v>
      </c>
      <c r="E99" s="13">
        <v>42861.634409722225</v>
      </c>
      <c r="F99" s="13">
        <v>42861.636296296296</v>
      </c>
      <c r="G99" s="7">
        <v>1</v>
      </c>
      <c r="H99" s="21" t="s">
        <v>872</v>
      </c>
      <c r="I99" s="13">
        <v>42861.664606481485</v>
      </c>
      <c r="J99" s="7">
        <v>0</v>
      </c>
      <c r="K99" s="92" t="str">
        <f t="shared" si="24"/>
        <v>4003/4004</v>
      </c>
      <c r="L99" s="21" t="str">
        <f>VLOOKUP(A99,'Trips&amp;Operators'!$C$1:$G$99999,5,FALSE)</f>
        <v>BRANDNER MELINDA</v>
      </c>
      <c r="M99" s="6">
        <f t="shared" si="25"/>
        <v>2.8310185189184267E-2</v>
      </c>
      <c r="N99" s="7">
        <f t="shared" si="26"/>
        <v>40.766666672425345</v>
      </c>
      <c r="O99" s="7"/>
      <c r="P99" s="7"/>
      <c r="Q99" s="22"/>
      <c r="R99" s="190"/>
      <c r="S99" s="196">
        <f t="shared" si="27"/>
        <v>1</v>
      </c>
      <c r="T99" s="190" t="str">
        <f t="shared" si="28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29"/>
        <v>https://d0f6bd738d7f1b3e5a7ca70fe4ff75f0.us-east-1.aws.found.io/app/kibana#/discover/Steve-Slow-Train-Analysis-(2080s-and-2083s)?_g=(refreshInterval:(display:Off,pause:!f,section:0,value:0),time:(from:'2017-05-06T14:13:33-0600',mode:absolute,to:'2017-05-06T16:57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9" s="192" t="str">
        <f t="shared" si="30"/>
        <v>N</v>
      </c>
      <c r="X99" s="192">
        <f t="shared" si="42"/>
        <v>1</v>
      </c>
      <c r="Y99" s="192">
        <f t="shared" si="31"/>
        <v>4.4200000000000003E-2</v>
      </c>
      <c r="Z99" s="192">
        <f t="shared" si="32"/>
        <v>23.332000000000001</v>
      </c>
      <c r="AA99" s="192">
        <f t="shared" si="33"/>
        <v>23.287800000000001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4"/>
        <v>0193-06</v>
      </c>
      <c r="AE99" s="80" t="str">
        <f t="shared" si="35"/>
        <v>aws s3 cp s3://rtdc.mdm.uploadarchive.raw/RTDC4004/ "%USERPROFILE%\AppData\Local\Temp\OnboardLogs"\RTDC4004\2017-05-06 --exclude "*" --recursive --include "*20170506*" &amp; "%USERPROFILE%\Documents\GitHub\mrs-test-scripts\Headless Mode &amp; Sideloading\WalkAndUnGZ.bat" "%USERPROFILE%\AppData\Local\Temp\OnboardLogs"\RTDC4004\2017-05-06 &amp; 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</v>
      </c>
      <c r="AF99" s="77" t="str">
        <f t="shared" si="36"/>
        <v>"C:\Program Files (x86)\AstroGrep\AstroGrep.exe" /e /r /s /spath="%USERPROFILE%\AppData\Local\Temp\OnboardLogs" /stypes="app*4004*20170506*" /stext=" 21:.+((SYSTEM_STATE.+slice.+state.+changed )|(ment ac)|(multiple cpu faults)|(system.+state.+changed )|(\[timeout)|(PRM\|1\|D)|(kpr)|(kdp)|(train st.+moving)|(\|lc)|(penalty))"</v>
      </c>
      <c r="AG99" s="1" t="str">
        <f t="shared" si="37"/>
        <v>EC</v>
      </c>
      <c r="AH99" s="81" t="str">
        <f t="shared" si="38"/>
        <v>"%USERPROFILE%\Documents\GitHub\eaglep3\Utilities\RefineRTDCRunTimes.py" --tripid 193-06 --locoid 4004 --swversion DE.1.0.9.0 --startMP 204:442 --initTime 2017-05-06T15:13:33 --startdatetime 2017-05-06T15:16:16 --delay 1 --endMP 204:233320 --enddatetime 2017-05-06T15:57:02 --enforcementcount 0 &gt;&gt;C:\Users\stu\Documents\GitHub\eaglep3-reporting\EC\2017-05-06-refined-times.txt</v>
      </c>
      <c r="AI99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{"issue":{"subject":"","project_id":79,"tracker_id":40,"status_id":1,"priority_id":2,"assigned_to_id":23,"start_date":"2017-05-06","description":"","custom_fields":[{"id":1,"name":"Subdivision","value":"EC"},{"id":4,"name":"Milepost","value":"23.332"},{"id":17,"name":"Train ID","value":"193-06"},{"id":16,"name":"Locomotive ID","value":"4004"},{"id":130,"name":"Impact","value":""},{"id":150,"name":"Time of Event (Mountain Time)","value":"15:57:02"},{"id":151,"name":"Denver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0"/>
        <v>start /low /b %USERPROFILE%\Documents\GitHub\eaglep3\Utilities\DownloadLogsFromS3.py --loco 4004 --day 2017-05-06</v>
      </c>
      <c r="AN99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21:57:02"},{"id":29,"name":"Sharepoint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544</v>
      </c>
      <c r="B100" s="7">
        <v>4003</v>
      </c>
      <c r="C100" s="21" t="s">
        <v>210</v>
      </c>
      <c r="D100" s="21" t="s">
        <v>845</v>
      </c>
      <c r="E100" s="13">
        <v>42861.671226851853</v>
      </c>
      <c r="F100" s="13">
        <v>42861.674467592595</v>
      </c>
      <c r="G100" s="7">
        <v>1</v>
      </c>
      <c r="H100" s="21" t="s">
        <v>873</v>
      </c>
      <c r="I100" s="13">
        <v>42861.709062499998</v>
      </c>
      <c r="J100" s="7">
        <v>0</v>
      </c>
      <c r="K100" s="92" t="str">
        <f t="shared" si="24"/>
        <v>4003/4004</v>
      </c>
      <c r="L100" s="21" t="str">
        <f>VLOOKUP(A100,'Trips&amp;Operators'!$C$1:$G$99999,5,FALSE)</f>
        <v>BRANDNER MELINDA</v>
      </c>
      <c r="M100" s="6">
        <f t="shared" si="25"/>
        <v>3.4594907403516117E-2</v>
      </c>
      <c r="N100" s="7">
        <f t="shared" si="26"/>
        <v>49.816666661063209</v>
      </c>
      <c r="O100" s="7"/>
      <c r="P100" s="7"/>
      <c r="Q100" s="22"/>
      <c r="R100" s="190"/>
      <c r="S100" s="196">
        <f t="shared" si="27"/>
        <v>1</v>
      </c>
      <c r="T100" s="190" t="str">
        <f t="shared" si="28"/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29"/>
        <v>https://d0f6bd738d7f1b3e5a7ca70fe4ff75f0.us-east-1.aws.found.io/app/kibana#/discover/Steve-Slow-Train-Analysis-(2080s-and-2083s)?_g=(refreshInterval:(display:Off,pause:!f,section:0,value:0),time:(from:'2017-05-06T15:06:34-0600',mode:absolute,to:'2017-05-06T18:01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0" s="192" t="str">
        <f t="shared" si="30"/>
        <v>N</v>
      </c>
      <c r="X100" s="192">
        <f t="shared" si="42"/>
        <v>1</v>
      </c>
      <c r="Y100" s="192">
        <f t="shared" si="31"/>
        <v>23.300699999999999</v>
      </c>
      <c r="Z100" s="192">
        <f t="shared" si="32"/>
        <v>0.10009999999999999</v>
      </c>
      <c r="AA100" s="192">
        <f t="shared" si="33"/>
        <v>23.200599999999998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4"/>
        <v>0194-06</v>
      </c>
      <c r="AE100" s="80" t="str">
        <f t="shared" si="35"/>
        <v>aws s3 cp s3://rtdc.mdm.uploadarchive.raw/RTDC4003/ "%USERPROFILE%\AppData\Local\Temp\OnboardLogs"\RTDC4003\2017-05-06 --exclude "*" --recursive --include "*20170506*" &amp; "%USERPROFILE%\Documents\GitHub\mrs-test-scripts\Headless Mode &amp; Sideloading\WalkAndUnGZ.bat" "%USERPROFILE%\AppData\Local\Temp\OnboardLogs"\RTDC4003\2017-05-06 &amp; 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</v>
      </c>
      <c r="AF100" s="77" t="str">
        <f t="shared" si="36"/>
        <v>"C:\Program Files (x86)\AstroGrep\AstroGrep.exe" /e /r /s /spath="%USERPROFILE%\AppData\Local\Temp\OnboardLogs" /stypes="app*4003*20170506*" /stext=" 23:.+((SYSTEM_STATE.+slice.+state.+changed )|(ment ac)|(multiple cpu faults)|(system.+state.+changed )|(\[timeout)|(PRM\|1\|D)|(kpr)|(kdp)|(train st.+moving)|(\|lc)|(penalty))"</v>
      </c>
      <c r="AG100" s="1" t="str">
        <f t="shared" si="37"/>
        <v>EC</v>
      </c>
      <c r="AH100" s="81" t="str">
        <f t="shared" si="38"/>
        <v>"%USERPROFILE%\Documents\GitHub\eaglep3\Utilities\RefineRTDCRunTimes.py" --tripid 194-06 --locoid 4003 --swversion DE.1.0.9.0 --startMP 204:233007 --initTime 2017-05-06T16:06:34 --startdatetime 2017-05-06T16:11:14 --delay 1 --endMP 204:1001 --enddatetime 2017-05-06T17:01:03 --enforcementcount 0 &gt;&gt;C:\Users\stu\Documents\GitHub\eaglep3-reporting\EC\2017-05-06-refined-times.txt</v>
      </c>
      <c r="AI100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{"issue":{"subject":"","project_id":79,"tracker_id":40,"status_id":1,"priority_id":2,"assigned_to_id":23,"start_date":"2017-05-06","description":"","custom_fields":[{"id":1,"name":"Subdivision","value":"EC"},{"id":4,"name":"Milepost","value":"0.1001"},{"id":17,"name":"Train ID","value":"194-06"},{"id":16,"name":"Locomotive ID","value":"4003"},{"id":130,"name":"Impact","value":""},{"id":150,"name":"Time of Event (Mountain Time)","value":"17:01:03"},{"id":151,"name":"Denver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0"/>
        <v>start /low /b %USERPROFILE%\Documents\GitHub\eaglep3\Utilities\DownloadLogsFromS3.py --loco 4003 --day 2017-05-06</v>
      </c>
      <c r="AN100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23:01:03"},{"id":29,"name":"Sharepoint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692</v>
      </c>
      <c r="B101" s="7">
        <v>4018</v>
      </c>
      <c r="C101" s="21" t="s">
        <v>210</v>
      </c>
      <c r="D101" s="21" t="s">
        <v>205</v>
      </c>
      <c r="E101" s="13">
        <v>42861.642083333332</v>
      </c>
      <c r="F101" s="13">
        <v>42861.646099537036</v>
      </c>
      <c r="G101" s="7">
        <v>1</v>
      </c>
      <c r="H101" s="21" t="s">
        <v>419</v>
      </c>
      <c r="I101" s="13">
        <v>42861.677569444444</v>
      </c>
      <c r="J101" s="7">
        <v>0</v>
      </c>
      <c r="K101" s="92" t="str">
        <f t="shared" si="24"/>
        <v>4017/4018</v>
      </c>
      <c r="L101" s="21" t="str">
        <f>VLOOKUP(A101,'Trips&amp;Operators'!$C$1:$G$99999,5,FALSE)</f>
        <v>MCREYNOLDS KYLE</v>
      </c>
      <c r="M101" s="6">
        <f t="shared" si="25"/>
        <v>3.1469907407881692E-2</v>
      </c>
      <c r="N101" s="7">
        <f t="shared" si="26"/>
        <v>45.316666667349637</v>
      </c>
      <c r="O101" s="7"/>
      <c r="P101" s="7"/>
      <c r="Q101" s="22"/>
      <c r="R101" s="190"/>
      <c r="S101" s="196">
        <f t="shared" si="27"/>
        <v>1</v>
      </c>
      <c r="T101" s="190" t="str">
        <f t="shared" si="28"/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29"/>
        <v>https://d0f6bd738d7f1b3e5a7ca70fe4ff75f0.us-east-1.aws.found.io/app/kibana#/discover/Steve-Slow-Train-Analysis-(2080s-and-2083s)?_g=(refreshInterval:(display:Off,pause:!f,section:0,value:0),time:(from:'2017-05-06T14:24:36-0600',mode:absolute,to:'2017-05-06T17:15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1" s="192" t="str">
        <f t="shared" si="30"/>
        <v>N</v>
      </c>
      <c r="X101" s="192">
        <f t="shared" ref="X101:X131" si="43">VALUE(LEFT(AD101,4))-VALUE(LEFT(AD100,4))</f>
        <v>1</v>
      </c>
      <c r="Y101" s="192">
        <f t="shared" si="31"/>
        <v>4.5999999999999999E-2</v>
      </c>
      <c r="Z101" s="192">
        <f t="shared" si="32"/>
        <v>23.333200000000001</v>
      </c>
      <c r="AA101" s="192">
        <f t="shared" si="33"/>
        <v>23.287200000000002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4"/>
        <v>0195-06</v>
      </c>
      <c r="AE101" s="80" t="str">
        <f t="shared" si="35"/>
        <v>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 &amp; aws s3 cp s3://rtdc.mdm.uploadarchive.raw/RTDC4018/ "%USERPROFILE%\AppData\Local\Temp\OnboardLogs"\RTDC4018\2017-05-07 --exclude "*" --recursive --include "*20170507*" &amp; "%USERPROFILE%\Documents\GitHub\mrs-test-scripts\Headless Mode &amp; Sideloading\WalkAndUnGZ.bat" "%USERPROFILE%\AppData\Local\Temp\OnboardLogs"\RTDC4018\2017-05-07</v>
      </c>
      <c r="AF101" s="77" t="str">
        <f t="shared" si="36"/>
        <v>"C:\Program Files (x86)\AstroGrep\AstroGrep.exe" /e /r /s /spath="%USERPROFILE%\AppData\Local\Temp\OnboardLogs" /stypes="app*4018*20170506*" /stext=" 22:.+((SYSTEM_STATE.+slice.+state.+changed )|(ment ac)|(multiple cpu faults)|(system.+state.+changed )|(\[timeout)|(PRM\|1\|D)|(kpr)|(kdp)|(train st.+moving)|(\|lc)|(penalty))"</v>
      </c>
      <c r="AG101" s="1" t="str">
        <f t="shared" si="37"/>
        <v>EC</v>
      </c>
      <c r="AH101" s="81" t="str">
        <f t="shared" si="38"/>
        <v>"%USERPROFILE%\Documents\GitHub\eaglep3\Utilities\RefineRTDCRunTimes.py" --tripid 195-06 --locoid 4018 --swversion DE.1.0.9.0 --startMP 204:460 --initTime 2017-05-06T15:24:36 --startdatetime 2017-05-06T15:30:23 --delay 1 --endMP 204:233332 --enddatetime 2017-05-06T16:15:42 --enforcementcount 0 &gt;&gt;C:\Users\stu\Documents\GitHub\eaglep3-reporting\EC\2017-05-06-refined-times.txt</v>
      </c>
      <c r="AI101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{"issue":{"subject":"","project_id":79,"tracker_id":40,"status_id":1,"priority_id":2,"assigned_to_id":23,"start_date":"2017-05-06","description":"","custom_fields":[{"id":1,"name":"Subdivision","value":"EC"},{"id":4,"name":"Milepost","value":"23.3332"},{"id":17,"name":"Train ID","value":"195-06"},{"id":16,"name":"Locomotive ID","value":"4018"},{"id":130,"name":"Impact","value":""},{"id":150,"name":"Time of Event (Mountain Time)","value":"16:15:42"},{"id":151,"name":"Denver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0"/>
        <v>start /low /b %USERPROFILE%\Documents\GitHub\eaglep3\Utilities\DownloadLogsFromS3.py --loco 4018 --day 2017-05-06</v>
      </c>
      <c r="AN101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22:15:42"},{"id":29,"name":"Sharepoint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698</v>
      </c>
      <c r="B102" s="7">
        <v>4017</v>
      </c>
      <c r="C102" s="21" t="s">
        <v>210</v>
      </c>
      <c r="D102" s="21" t="s">
        <v>798</v>
      </c>
      <c r="E102" s="13">
        <v>42861.68105324074</v>
      </c>
      <c r="F102" s="13">
        <v>42861.684942129628</v>
      </c>
      <c r="G102" s="7">
        <v>1</v>
      </c>
      <c r="H102" s="21" t="s">
        <v>408</v>
      </c>
      <c r="I102" s="13">
        <v>42861.714375000003</v>
      </c>
      <c r="J102" s="7">
        <v>0</v>
      </c>
      <c r="K102" s="92" t="str">
        <f t="shared" si="24"/>
        <v>4017/4018</v>
      </c>
      <c r="L102" s="21" t="str">
        <f>VLOOKUP(A102,'Trips&amp;Operators'!$C$1:$G$99999,5,FALSE)</f>
        <v>MCREYNOLDS KYLE</v>
      </c>
      <c r="M102" s="6">
        <f t="shared" si="25"/>
        <v>2.9432870374876074E-2</v>
      </c>
      <c r="N102" s="7">
        <f t="shared" si="26"/>
        <v>42.383333339821547</v>
      </c>
      <c r="O102" s="7"/>
      <c r="P102" s="7"/>
      <c r="Q102" s="22"/>
      <c r="R102" s="190"/>
      <c r="S102" s="196">
        <f t="shared" si="27"/>
        <v>1</v>
      </c>
      <c r="T102" s="190" t="str">
        <f t="shared" si="28"/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29"/>
        <v>https://d0f6bd738d7f1b3e5a7ca70fe4ff75f0.us-east-1.aws.found.io/app/kibana#/discover/Steve-Slow-Train-Analysis-(2080s-and-2083s)?_g=(refreshInterval:(display:Off,pause:!f,section:0,value:0),time:(from:'2017-05-06T15:20:43-0600',mode:absolute,to:'2017-05-06T18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2" s="192" t="str">
        <f t="shared" si="30"/>
        <v>N</v>
      </c>
      <c r="X102" s="192">
        <f t="shared" si="43"/>
        <v>1</v>
      </c>
      <c r="Y102" s="192">
        <f t="shared" si="31"/>
        <v>23.303000000000001</v>
      </c>
      <c r="Z102" s="192">
        <f t="shared" si="32"/>
        <v>1.6500000000000001E-2</v>
      </c>
      <c r="AA102" s="192">
        <f t="shared" si="33"/>
        <v>23.2865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4"/>
        <v>0196-06</v>
      </c>
      <c r="AE102" s="80" t="str">
        <f t="shared" si="35"/>
        <v>aws s3 cp s3://rtdc.mdm.uploadarchive.raw/RTDC4017/ "%USERPROFILE%\AppData\Local\Temp\OnboardLogs"\RTDC4017\2017-05-06 --exclude "*" --recursive --include "*20170506*" &amp; "%USERPROFILE%\Documents\GitHub\mrs-test-scripts\Headless Mode &amp; Sideloading\WalkAndUnGZ.bat" "%USERPROFILE%\AppData\Local\Temp\OnboardLogs"\RTDC4017\2017-05-06 &amp; aws s3 cp s3://rtdc.mdm.uploadarchive.raw/RTDC4017/ "%USERPROFILE%\AppData\Local\Temp\OnboardLogs"\RTDC4017\2017-05-07 --exclude "*" --recursive --include "*20170507*" &amp; "%USERPROFILE%\Documents\GitHub\mrs-test-scripts\Headless Mode &amp; Sideloading\WalkAndUnGZ.bat" "%USERPROFILE%\AppData\Local\Temp\OnboardLogs"\RTDC4017\2017-05-07</v>
      </c>
      <c r="AF102" s="77" t="str">
        <f t="shared" si="36"/>
        <v>"C:\Program Files (x86)\AstroGrep\AstroGrep.exe" /e /r /s /spath="%USERPROFILE%\AppData\Local\Temp\OnboardLogs" /stypes="app*4017*20170506*" /stext=" 23:.+((SYSTEM_STATE.+slice.+state.+changed )|(ment ac)|(multiple cpu faults)|(system.+state.+changed )|(\[timeout)|(PRM\|1\|D)|(kpr)|(kdp)|(train st.+moving)|(\|lc)|(penalty))"</v>
      </c>
      <c r="AG102" s="1" t="str">
        <f t="shared" si="37"/>
        <v>EC</v>
      </c>
      <c r="AH102" s="81" t="str">
        <f t="shared" si="38"/>
        <v>"%USERPROFILE%\Documents\GitHub\eaglep3\Utilities\RefineRTDCRunTimes.py" --tripid 196-06 --locoid 4017 --swversion DE.1.0.9.0 --startMP 204:233030 --initTime 2017-05-06T16:20:43 --startdatetime 2017-05-06T16:26:19 --delay 1 --endMP 204:165 --enddatetime 2017-05-06T17:08:42 --enforcementcount 0 &gt;&gt;C:\Users\stu\Documents\GitHub\eaglep3-reporting\EC\2017-05-06-refined-times.txt</v>
      </c>
      <c r="AI102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{"issue":{"subject":"","project_id":79,"tracker_id":40,"status_id":1,"priority_id":2,"assigned_to_id":23,"start_date":"2017-05-06","description":"","custom_fields":[{"id":1,"name":"Subdivision","value":"EC"},{"id":4,"name":"Milepost","value":"0.0165"},{"id":17,"name":"Train ID","value":"196-06"},{"id":16,"name":"Locomotive ID","value":"4017"},{"id":130,"name":"Impact","value":""},{"id":150,"name":"Time of Event (Mountain Time)","value":"17:08:42"},{"id":151,"name":"Denver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0"/>
        <v>start /low /b %USERPROFILE%\Documents\GitHub\eaglep3\Utilities\DownloadLogsFromS3.py --loco 4017 --day 2017-05-06</v>
      </c>
      <c r="AN102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23:08:42"},{"id":29,"name":"Sharepoint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541</v>
      </c>
      <c r="B103" s="7">
        <v>4044</v>
      </c>
      <c r="C103" s="21" t="s">
        <v>210</v>
      </c>
      <c r="D103" s="21" t="s">
        <v>874</v>
      </c>
      <c r="E103" s="13">
        <v>42861.651180555556</v>
      </c>
      <c r="F103" s="13">
        <v>42861.656423611108</v>
      </c>
      <c r="G103" s="7">
        <v>2</v>
      </c>
      <c r="H103" s="21" t="s">
        <v>771</v>
      </c>
      <c r="I103" s="13">
        <v>42861.682673611111</v>
      </c>
      <c r="J103" s="7">
        <v>0</v>
      </c>
      <c r="K103" s="92" t="str">
        <f t="shared" si="24"/>
        <v>4043/4044</v>
      </c>
      <c r="L103" s="21" t="str">
        <f>VLOOKUP(A103,'Trips&amp;Operators'!$C$1:$G$99999,5,FALSE)</f>
        <v>LEVIN SCOTT</v>
      </c>
      <c r="M103" s="6">
        <f t="shared" si="25"/>
        <v>2.6250000002619345E-2</v>
      </c>
      <c r="N103" s="7">
        <f t="shared" si="26"/>
        <v>37.800000003771856</v>
      </c>
      <c r="O103" s="7"/>
      <c r="P103" s="7"/>
      <c r="Q103" s="22"/>
      <c r="R103" s="190"/>
      <c r="S103" s="196">
        <f t="shared" si="27"/>
        <v>1</v>
      </c>
      <c r="T103" s="190" t="str">
        <f t="shared" si="28"/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29"/>
        <v>https://d0f6bd738d7f1b3e5a7ca70fe4ff75f0.us-east-1.aws.found.io/app/kibana#/discover/Steve-Slow-Train-Analysis-(2080s-and-2083s)?_g=(refreshInterval:(display:Off,pause:!f,section:0,value:0),time:(from:'2017-05-06T14:37:42-0600',mode:absolute,to:'2017-05-06T17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3" s="192" t="str">
        <f t="shared" si="30"/>
        <v>N</v>
      </c>
      <c r="X103" s="192">
        <f t="shared" si="43"/>
        <v>1</v>
      </c>
      <c r="Y103" s="192">
        <f t="shared" si="31"/>
        <v>4.1799999999999997E-2</v>
      </c>
      <c r="Z103" s="192">
        <f t="shared" si="32"/>
        <v>23.3339</v>
      </c>
      <c r="AA103" s="192">
        <f t="shared" si="33"/>
        <v>23.292100000000001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4"/>
        <v>0197-06</v>
      </c>
      <c r="AE103" s="80" t="str">
        <f t="shared" si="35"/>
        <v>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 &amp; 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</v>
      </c>
      <c r="AF103" s="77" t="str">
        <f t="shared" si="36"/>
        <v>"C:\Program Files (x86)\AstroGrep\AstroGrep.exe" /e /r /s /spath="%USERPROFILE%\AppData\Local\Temp\OnboardLogs" /stypes="app*4044*20170506*" /stext=" 22:.+((SYSTEM_STATE.+slice.+state.+changed )|(ment ac)|(multiple cpu faults)|(system.+state.+changed )|(\[timeout)|(PRM\|1\|D)|(kpr)|(kdp)|(train st.+moving)|(\|lc)|(penalty))"</v>
      </c>
      <c r="AG103" s="1" t="str">
        <f t="shared" si="37"/>
        <v>EC</v>
      </c>
      <c r="AH103" s="81" t="str">
        <f t="shared" si="38"/>
        <v>"%USERPROFILE%\Documents\GitHub\eaglep3\Utilities\RefineRTDCRunTimes.py" --tripid 197-06 --locoid 4044 --swversion DE.1.0.9.0 --startMP 204:418 --initTime 2017-05-06T15:37:42 --startdatetime 2017-05-06T15:45:15 --delay 2 --endMP 204:233339 --enddatetime 2017-05-06T16:23:03 --enforcementcount 0 &gt;&gt;C:\Users\stu\Documents\GitHub\eaglep3-reporting\EC\2017-05-06-refined-times.txt</v>
      </c>
      <c r="AI103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{"issue":{"subject":"","project_id":79,"tracker_id":40,"status_id":1,"priority_id":2,"assigned_to_id":23,"start_date":"2017-05-06","description":"","custom_fields":[{"id":1,"name":"Subdivision","value":"EC"},{"id":4,"name":"Milepost","value":"23.3339"},{"id":17,"name":"Train ID","value":"197-06"},{"id":16,"name":"Locomotive ID","value":"4044"},{"id":130,"name":"Impact","value":""},{"id":150,"name":"Time of Event (Mountain Time)","value":"16:23:03"},{"id":151,"name":"Denver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0"/>
        <v>start /low /b %USERPROFILE%\Documents\GitHub\eaglep3\Utilities\DownloadLogsFromS3.py --loco 4044 --day 2017-05-06</v>
      </c>
      <c r="AN103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22:23:03"},{"id":29,"name":"Sharepoint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699</v>
      </c>
      <c r="B104" s="7">
        <v>4043</v>
      </c>
      <c r="C104" s="21" t="s">
        <v>210</v>
      </c>
      <c r="D104" s="21" t="s">
        <v>480</v>
      </c>
      <c r="E104" s="13">
        <v>42861.691724537035</v>
      </c>
      <c r="F104" s="13">
        <v>42861.6953125</v>
      </c>
      <c r="G104" s="7">
        <v>1</v>
      </c>
      <c r="H104" s="21" t="s">
        <v>786</v>
      </c>
      <c r="I104" s="13">
        <v>42861.724780092591</v>
      </c>
      <c r="J104" s="7">
        <v>0</v>
      </c>
      <c r="K104" s="92" t="str">
        <f t="shared" si="24"/>
        <v>4043/4044</v>
      </c>
      <c r="L104" s="21" t="str">
        <f>VLOOKUP(A104,'Trips&amp;Operators'!$C$1:$G$99999,5,FALSE)</f>
        <v>LEVIN SCOTT</v>
      </c>
      <c r="M104" s="6">
        <f t="shared" si="25"/>
        <v>2.9467592590663116E-2</v>
      </c>
      <c r="N104" s="7">
        <f t="shared" si="26"/>
        <v>42.433333330554888</v>
      </c>
      <c r="O104" s="7"/>
      <c r="P104" s="7"/>
      <c r="Q104" s="22"/>
      <c r="R104" s="190"/>
      <c r="S104" s="196">
        <f t="shared" si="27"/>
        <v>1</v>
      </c>
      <c r="T104" s="190" t="str">
        <f t="shared" si="28"/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29"/>
        <v>https://d0f6bd738d7f1b3e5a7ca70fe4ff75f0.us-east-1.aws.found.io/app/kibana#/discover/Steve-Slow-Train-Analysis-(2080s-and-2083s)?_g=(refreshInterval:(display:Off,pause:!f,section:0,value:0),time:(from:'2017-05-06T15:36:05-0600',mode:absolute,to:'2017-05-06T18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4" s="192" t="str">
        <f t="shared" si="30"/>
        <v>N</v>
      </c>
      <c r="X104" s="192">
        <f t="shared" si="43"/>
        <v>1</v>
      </c>
      <c r="Y104" s="192">
        <f t="shared" si="31"/>
        <v>23.303999999999998</v>
      </c>
      <c r="Z104" s="192">
        <f t="shared" si="32"/>
        <v>1.3599999999999999E-2</v>
      </c>
      <c r="AA104" s="192">
        <f t="shared" si="33"/>
        <v>23.290399999999998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4"/>
        <v>0198-06</v>
      </c>
      <c r="AE104" s="80" t="str">
        <f t="shared" si="35"/>
        <v>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 &amp; 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</v>
      </c>
      <c r="AF104" s="77" t="str">
        <f t="shared" si="36"/>
        <v>"C:\Program Files (x86)\AstroGrep\AstroGrep.exe" /e /r /s /spath="%USERPROFILE%\AppData\Local\Temp\OnboardLogs" /stypes="app*4043*20170506*" /stext=" 23:.+((SYSTEM_STATE.+slice.+state.+changed )|(ment ac)|(multiple cpu faults)|(system.+state.+changed )|(\[timeout)|(PRM\|1\|D)|(kpr)|(kdp)|(train st.+moving)|(\|lc)|(penalty))"</v>
      </c>
      <c r="AG104" s="1" t="str">
        <f t="shared" si="37"/>
        <v>EC</v>
      </c>
      <c r="AH104" s="81" t="str">
        <f t="shared" si="38"/>
        <v>"%USERPROFILE%\Documents\GitHub\eaglep3\Utilities\RefineRTDCRunTimes.py" --tripid 198-06 --locoid 4043 --swversion DE.1.0.9.0 --startMP 204:233040 --initTime 2017-05-06T16:36:05 --startdatetime 2017-05-06T16:41:15 --delay 1 --endMP 204:136 --enddatetime 2017-05-06T17:23:41 --enforcementcount 0 &gt;&gt;C:\Users\stu\Documents\GitHub\eaglep3-reporting\EC\2017-05-06-refined-times.txt</v>
      </c>
      <c r="AI104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{"issue":{"subject":"","project_id":79,"tracker_id":40,"status_id":1,"priority_id":2,"assigned_to_id":23,"start_date":"2017-05-06","description":"","custom_fields":[{"id":1,"name":"Subdivision","value":"EC"},{"id":4,"name":"Milepost","value":"0.0136"},{"id":17,"name":"Train ID","value":"198-06"},{"id":16,"name":"Locomotive ID","value":"4043"},{"id":130,"name":"Impact","value":""},{"id":150,"name":"Time of Event (Mountain Time)","value":"17:23:41"},{"id":151,"name":"Denver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0"/>
        <v>start /low /b %USERPROFILE%\Documents\GitHub\eaglep3\Utilities\DownloadLogsFromS3.py --loco 4043 --day 2017-05-06</v>
      </c>
      <c r="AN104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23:23:41"},{"id":29,"name":"Sharepoint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696</v>
      </c>
      <c r="B105" s="7">
        <v>4054</v>
      </c>
      <c r="C105" s="21" t="s">
        <v>210</v>
      </c>
      <c r="D105" s="21" t="s">
        <v>875</v>
      </c>
      <c r="E105" s="13">
        <v>42861.664236111108</v>
      </c>
      <c r="F105" s="13">
        <v>42861.666828703703</v>
      </c>
      <c r="G105" s="7">
        <v>2</v>
      </c>
      <c r="H105" s="21" t="s">
        <v>876</v>
      </c>
      <c r="I105" s="13">
        <v>42861.691180555557</v>
      </c>
      <c r="J105" s="7">
        <v>0</v>
      </c>
      <c r="K105" s="92" t="str">
        <f t="shared" si="24"/>
        <v>4053/4054</v>
      </c>
      <c r="L105" s="21" t="str">
        <f>VLOOKUP(A105,'Trips&amp;Operators'!$C$1:$G$99999,5,FALSE)</f>
        <v>ROMERO CHAD</v>
      </c>
      <c r="M105" s="6">
        <f t="shared" si="25"/>
        <v>2.4351851854589768E-2</v>
      </c>
      <c r="N105" s="7">
        <f t="shared" si="26"/>
        <v>35.066666670609266</v>
      </c>
      <c r="O105" s="7"/>
      <c r="P105" s="7"/>
      <c r="Q105" s="22"/>
      <c r="R105" s="190"/>
      <c r="S105" s="196">
        <f t="shared" si="27"/>
        <v>1</v>
      </c>
      <c r="T105" s="190" t="str">
        <f t="shared" si="28"/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29"/>
        <v>https://d0f6bd738d7f1b3e5a7ca70fe4ff75f0.us-east-1.aws.found.io/app/kibana#/discover/Steve-Slow-Train-Analysis-(2080s-and-2083s)?_g=(refreshInterval:(display:Off,pause:!f,section:0,value:0),time:(from:'2017-05-06T14:56:30-0600',mode:absolute,to:'2017-05-06T17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5" s="192" t="str">
        <f t="shared" si="30"/>
        <v>N</v>
      </c>
      <c r="X105" s="192">
        <f t="shared" si="43"/>
        <v>1</v>
      </c>
      <c r="Y105" s="192">
        <f t="shared" si="31"/>
        <v>4.3299999999999998E-2</v>
      </c>
      <c r="Z105" s="192">
        <f t="shared" si="32"/>
        <v>23.334900000000001</v>
      </c>
      <c r="AA105" s="192">
        <f t="shared" si="33"/>
        <v>23.291600000000003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4"/>
        <v>0199-06</v>
      </c>
      <c r="AE105" s="80" t="str">
        <f t="shared" si="35"/>
        <v>aws s3 cp s3://rtdc.mdm.uploadarchive.raw/RTDC4054/ "%USERPROFILE%\AppData\Local\Temp\OnboardLogs"\RTDC4054\2017-05-06 --exclude "*" --recursive --include "*20170506*" &amp; "%USERPROFILE%\Documents\GitHub\mrs-test-scripts\Headless Mode &amp; Sideloading\WalkAndUnGZ.bat" "%USERPROFILE%\AppData\Local\Temp\OnboardLogs"\RTDC4054\2017-05-06 &amp; aws s3 cp s3://rtdc.mdm.uploadarchive.raw/RTDC4054/ "%USERPROFILE%\AppData\Local\Temp\OnboardLogs"\RTDC4054\2017-05-07 --exclude "*" --recursive --include "*20170507*" &amp; "%USERPROFILE%\Documents\GitHub\mrs-test-scripts\Headless Mode &amp; Sideloading\WalkAndUnGZ.bat" "%USERPROFILE%\AppData\Local\Temp\OnboardLogs"\RTDC4054\2017-05-07</v>
      </c>
      <c r="AF105" s="77" t="str">
        <f t="shared" si="36"/>
        <v>"C:\Program Files (x86)\AstroGrep\AstroGrep.exe" /e /r /s /spath="%USERPROFILE%\AppData\Local\Temp\OnboardLogs" /stypes="app*4054*20170506*" /stext=" 22:.+((SYSTEM_STATE.+slice.+state.+changed )|(ment ac)|(multiple cpu faults)|(system.+state.+changed )|(\[timeout)|(PRM\|1\|D)|(kpr)|(kdp)|(train st.+moving)|(\|lc)|(penalty))"</v>
      </c>
      <c r="AG105" s="1" t="str">
        <f t="shared" si="37"/>
        <v>EC</v>
      </c>
      <c r="AH105" s="81" t="str">
        <f t="shared" si="38"/>
        <v>"%USERPROFILE%\Documents\GitHub\eaglep3\Utilities\RefineRTDCRunTimes.py" --tripid 199-06 --locoid 4054 --swversion DE.1.0.9.0 --startMP 204:433 --initTime 2017-05-06T15:56:30 --startdatetime 2017-05-06T16:00:14 --delay 2 --endMP 204:233349 --enddatetime 2017-05-06T16:35:18 --enforcementcount 0 &gt;&gt;C:\Users\stu\Documents\GitHub\eaglep3-reporting\EC\2017-05-06-refined-times.txt</v>
      </c>
      <c r="AI105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{"issue":{"subject":"","project_id":79,"tracker_id":40,"status_id":1,"priority_id":2,"assigned_to_id":23,"start_date":"2017-05-06","description":"","custom_fields":[{"id":1,"name":"Subdivision","value":"EC"},{"id":4,"name":"Milepost","value":"23.3349"},{"id":17,"name":"Train ID","value":"199-06"},{"id":16,"name":"Locomotive ID","value":"4054"},{"id":130,"name":"Impact","value":""},{"id":150,"name":"Time of Event (Mountain Time)","value":"16:35:18"},{"id":151,"name":"Denver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0"/>
        <v>start /low /b %USERPROFILE%\Documents\GitHub\eaglep3\Utilities\DownloadLogsFromS3.py --loco 4054 --day 2017-05-06</v>
      </c>
      <c r="AN105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22:35:18"},{"id":29,"name":"Sharepoint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700</v>
      </c>
      <c r="B106" s="7">
        <v>4053</v>
      </c>
      <c r="C106" s="21" t="s">
        <v>210</v>
      </c>
      <c r="D106" s="21" t="s">
        <v>877</v>
      </c>
      <c r="E106" s="13">
        <v>42861.693240740744</v>
      </c>
      <c r="F106" s="13">
        <v>42861.705717592595</v>
      </c>
      <c r="G106" s="7">
        <v>1</v>
      </c>
      <c r="H106" s="21" t="s">
        <v>786</v>
      </c>
      <c r="I106" s="13">
        <v>42861.732766203706</v>
      </c>
      <c r="J106" s="7">
        <v>0</v>
      </c>
      <c r="K106" s="92" t="str">
        <f t="shared" si="24"/>
        <v>4053/4054</v>
      </c>
      <c r="L106" s="21" t="str">
        <f>VLOOKUP(A106,'Trips&amp;Operators'!$C$1:$G$99999,5,FALSE)</f>
        <v>ROMERO CHAD</v>
      </c>
      <c r="M106" s="6">
        <f t="shared" si="25"/>
        <v>2.7048611111240461E-2</v>
      </c>
      <c r="N106" s="7">
        <f t="shared" si="26"/>
        <v>38.950000000186265</v>
      </c>
      <c r="O106" s="7"/>
      <c r="P106" s="7"/>
      <c r="Q106" s="22"/>
      <c r="R106" s="190"/>
      <c r="S106" s="196">
        <f t="shared" si="27"/>
        <v>1</v>
      </c>
      <c r="T106" s="190" t="str">
        <f t="shared" si="28"/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29"/>
        <v>https://d0f6bd738d7f1b3e5a7ca70fe4ff75f0.us-east-1.aws.found.io/app/kibana#/discover/Steve-Slow-Train-Analysis-(2080s-and-2083s)?_g=(refreshInterval:(display:Off,pause:!f,section:0,value:0),time:(from:'2017-05-06T15:38:16-0600',mode:absolute,to:'2017-05-06T18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6" s="192" t="str">
        <f t="shared" si="30"/>
        <v>N</v>
      </c>
      <c r="X106" s="192">
        <f t="shared" si="43"/>
        <v>1</v>
      </c>
      <c r="Y106" s="192">
        <f t="shared" si="31"/>
        <v>23.304500000000001</v>
      </c>
      <c r="Z106" s="192">
        <f t="shared" si="32"/>
        <v>1.3599999999999999E-2</v>
      </c>
      <c r="AA106" s="192">
        <f t="shared" si="33"/>
        <v>23.290900000000001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4"/>
        <v>0200-06</v>
      </c>
      <c r="AE106" s="80" t="str">
        <f t="shared" si="35"/>
        <v>aws s3 cp s3://rtdc.mdm.uploadarchive.raw/RTDC4053/ "%USERPROFILE%\AppData\Local\Temp\OnboardLogs"\RTDC4053\2017-05-06 --exclude "*" --recursive --include "*20170506*" &amp; "%USERPROFILE%\Documents\GitHub\mrs-test-scripts\Headless Mode &amp; Sideloading\WalkAndUnGZ.bat" "%USERPROFILE%\AppData\Local\Temp\OnboardLogs"\RTDC4053\2017-05-06 &amp; aws s3 cp s3://rtdc.mdm.uploadarchive.raw/RTDC4053/ "%USERPROFILE%\AppData\Local\Temp\OnboardLogs"\RTDC4053\2017-05-07 --exclude "*" --recursive --include "*20170507*" &amp; "%USERPROFILE%\Documents\GitHub\mrs-test-scripts\Headless Mode &amp; Sideloading\WalkAndUnGZ.bat" "%USERPROFILE%\AppData\Local\Temp\OnboardLogs"\RTDC4053\2017-05-07</v>
      </c>
      <c r="AF106" s="77" t="str">
        <f t="shared" si="36"/>
        <v>"C:\Program Files (x86)\AstroGrep\AstroGrep.exe" /e /r /s /spath="%USERPROFILE%\AppData\Local\Temp\OnboardLogs" /stypes="app*4053*20170506*" /stext=" 23:.+((SYSTEM_STATE.+slice.+state.+changed )|(ment ac)|(multiple cpu faults)|(system.+state.+changed )|(\[timeout)|(PRM\|1\|D)|(kpr)|(kdp)|(train st.+moving)|(\|lc)|(penalty))"</v>
      </c>
      <c r="AG106" s="1" t="str">
        <f t="shared" si="37"/>
        <v>EC</v>
      </c>
      <c r="AH106" s="81" t="str">
        <f t="shared" si="38"/>
        <v>"%USERPROFILE%\Documents\GitHub\eaglep3\Utilities\RefineRTDCRunTimes.py" --tripid 200-06 --locoid 4053 --swversion DE.1.0.9.0 --startMP 204:233045 --initTime 2017-05-06T16:38:16 --startdatetime 2017-05-06T16:56:14 --delay 1 --endMP 204:136 --enddatetime 2017-05-06T17:35:11 --enforcementcount 0 &gt;&gt;C:\Users\stu\Documents\GitHub\eaglep3-reporting\EC\2017-05-06-refined-times.txt</v>
      </c>
      <c r="AI106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{"issue":{"subject":"","project_id":79,"tracker_id":40,"status_id":1,"priority_id":2,"assigned_to_id":23,"start_date":"2017-05-06","description":"","custom_fields":[{"id":1,"name":"Subdivision","value":"EC"},{"id":4,"name":"Milepost","value":"0.0136"},{"id":17,"name":"Train ID","value":"200-06"},{"id":16,"name":"Locomotive ID","value":"4053"},{"id":130,"name":"Impact","value":""},{"id":150,"name":"Time of Event (Mountain Time)","value":"17:35:11"},{"id":151,"name":"Denver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0"/>
        <v>start /low /b %USERPROFILE%\Documents\GitHub\eaglep3\Utilities\DownloadLogsFromS3.py --loco 4053 --day 2017-05-06</v>
      </c>
      <c r="AN106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23:35:11"},{"id":29,"name":"Sharepoint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543</v>
      </c>
      <c r="B107" s="7">
        <v>4042</v>
      </c>
      <c r="C107" s="21" t="s">
        <v>210</v>
      </c>
      <c r="D107" s="21" t="s">
        <v>205</v>
      </c>
      <c r="E107" s="13">
        <v>42861.67528935185</v>
      </c>
      <c r="F107" s="13">
        <v>42861.677395833336</v>
      </c>
      <c r="G107" s="7">
        <v>1</v>
      </c>
      <c r="H107" s="21" t="s">
        <v>483</v>
      </c>
      <c r="I107" s="13">
        <v>42861.70416666667</v>
      </c>
      <c r="J107" s="7">
        <v>0</v>
      </c>
      <c r="K107" s="92" t="str">
        <f t="shared" si="24"/>
        <v>4041/4042</v>
      </c>
      <c r="L107" s="21" t="str">
        <f>VLOOKUP(A107,'Trips&amp;Operators'!$C$1:$G$99999,5,FALSE)</f>
        <v>MOSES BRADLEY</v>
      </c>
      <c r="M107" s="6">
        <f t="shared" si="25"/>
        <v>2.6770833334012423E-2</v>
      </c>
      <c r="N107" s="7">
        <f t="shared" si="26"/>
        <v>38.550000000977889</v>
      </c>
      <c r="O107" s="7"/>
      <c r="P107" s="7"/>
      <c r="Q107" s="22"/>
      <c r="R107" s="190"/>
      <c r="S107" s="196">
        <f t="shared" si="27"/>
        <v>1</v>
      </c>
      <c r="T107" s="190" t="str">
        <f t="shared" si="28"/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29"/>
        <v>https://d0f6bd738d7f1b3e5a7ca70fe4ff75f0.us-east-1.aws.found.io/app/kibana#/discover/Steve-Slow-Train-Analysis-(2080s-and-2083s)?_g=(refreshInterval:(display:Off,pause:!f,section:0,value:0),time:(from:'2017-05-06T15:12:25-0600',mode:absolute,to:'2017-05-06T17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7" s="192" t="str">
        <f t="shared" si="30"/>
        <v>N</v>
      </c>
      <c r="X107" s="192">
        <f t="shared" si="43"/>
        <v>1</v>
      </c>
      <c r="Y107" s="192">
        <f t="shared" si="31"/>
        <v>4.5999999999999999E-2</v>
      </c>
      <c r="Z107" s="192">
        <f t="shared" si="32"/>
        <v>23.330100000000002</v>
      </c>
      <c r="AA107" s="192">
        <f t="shared" si="33"/>
        <v>23.284100000000002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4"/>
        <v>0201-06</v>
      </c>
      <c r="AE107" s="80" t="str">
        <f t="shared" si="35"/>
        <v>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 &amp; aws s3 cp s3://rtdc.mdm.uploadarchive.raw/RTDC4042/ "%USERPROFILE%\AppData\Local\Temp\OnboardLogs"\RTDC4042\2017-05-07 --exclude "*" --recursive --include "*20170507*" &amp; "%USERPROFILE%\Documents\GitHub\mrs-test-scripts\Headless Mode &amp; Sideloading\WalkAndUnGZ.bat" "%USERPROFILE%\AppData\Local\Temp\OnboardLogs"\RTDC4042\2017-05-07</v>
      </c>
      <c r="AF107" s="77" t="str">
        <f t="shared" si="36"/>
        <v>"C:\Program Files (x86)\AstroGrep\AstroGrep.exe" /e /r /s /spath="%USERPROFILE%\AppData\Local\Temp\OnboardLogs" /stypes="app*4042*20170506*" /stext=" 22:.+((SYSTEM_STATE.+slice.+state.+changed )|(ment ac)|(multiple cpu faults)|(system.+state.+changed )|(\[timeout)|(PRM\|1\|D)|(kpr)|(kdp)|(train st.+moving)|(\|lc)|(penalty))"</v>
      </c>
      <c r="AG107" s="1" t="str">
        <f t="shared" si="37"/>
        <v>EC</v>
      </c>
      <c r="AH107" s="81" t="str">
        <f t="shared" si="38"/>
        <v>"%USERPROFILE%\Documents\GitHub\eaglep3\Utilities\RefineRTDCRunTimes.py" --tripid 201-06 --locoid 4042 --swversion DE.1.0.9.0 --startMP 204:460 --initTime 2017-05-06T16:12:25 --startdatetime 2017-05-06T16:15:27 --delay 1 --endMP 204:233301 --enddatetime 2017-05-06T16:54:00 --enforcementcount 0 &gt;&gt;C:\Users\stu\Documents\GitHub\eaglep3-reporting\EC\2017-05-06-refined-times.txt</v>
      </c>
      <c r="AI107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{"issue":{"subject":"","project_id":79,"tracker_id":40,"status_id":1,"priority_id":2,"assigned_to_id":23,"start_date":"2017-05-06","description":"","custom_fields":[{"id":1,"name":"Subdivision","value":"EC"},{"id":4,"name":"Milepost","value":"23.3301"},{"id":17,"name":"Train ID","value":"201-06"},{"id":16,"name":"Locomotive ID","value":"4042"},{"id":130,"name":"Impact","value":""},{"id":150,"name":"Time of Event (Mountain Time)","value":"16:54:00"},{"id":151,"name":"Denver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0"/>
        <v>start /low /b %USERPROFILE%\Documents\GitHub\eaglep3\Utilities\DownloadLogsFromS3.py --loco 4042 --day 2017-05-06</v>
      </c>
      <c r="AN107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22:54:00"},{"id":29,"name":"Sharepoint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2" t="s">
        <v>703</v>
      </c>
      <c r="B108" s="7">
        <v>4041</v>
      </c>
      <c r="C108" s="21" t="s">
        <v>210</v>
      </c>
      <c r="D108" s="21" t="s">
        <v>878</v>
      </c>
      <c r="E108" s="13">
        <v>42861.711909722224</v>
      </c>
      <c r="F108" s="13">
        <v>42861.716192129628</v>
      </c>
      <c r="G108" s="7">
        <v>1</v>
      </c>
      <c r="H108" s="21" t="s">
        <v>403</v>
      </c>
      <c r="I108" s="13">
        <v>42861.746793981481</v>
      </c>
      <c r="J108" s="7">
        <v>0</v>
      </c>
      <c r="K108" s="92" t="str">
        <f t="shared" si="24"/>
        <v>4041/4042</v>
      </c>
      <c r="L108" s="21" t="str">
        <f>VLOOKUP(A108,'Trips&amp;Operators'!$C$1:$G$99999,5,FALSE)</f>
        <v>MOSES BRADLEY</v>
      </c>
      <c r="M108" s="6">
        <f t="shared" si="25"/>
        <v>3.0601851853134576E-2</v>
      </c>
      <c r="N108" s="7">
        <f t="shared" si="26"/>
        <v>44.06666666851379</v>
      </c>
      <c r="O108" s="7"/>
      <c r="P108" s="7"/>
      <c r="Q108" s="22"/>
      <c r="R108" s="190"/>
      <c r="S108" s="196">
        <f t="shared" si="27"/>
        <v>1</v>
      </c>
      <c r="T108" s="190" t="str">
        <f t="shared" si="28"/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29"/>
        <v>https://d0f6bd738d7f1b3e5a7ca70fe4ff75f0.us-east-1.aws.found.io/app/kibana#/discover/Steve-Slow-Train-Analysis-(2080s-and-2083s)?_g=(refreshInterval:(display:Off,pause:!f,section:0,value:0),time:(from:'2017-05-06T16:05:09-0600',mode:absolute,to:'2017-05-06T18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8" s="192" t="str">
        <f t="shared" si="30"/>
        <v>N</v>
      </c>
      <c r="X108" s="192">
        <f t="shared" si="43"/>
        <v>1</v>
      </c>
      <c r="Y108" s="192">
        <f t="shared" si="31"/>
        <v>23.300899999999999</v>
      </c>
      <c r="Z108" s="192">
        <f t="shared" si="32"/>
        <v>1.61E-2</v>
      </c>
      <c r="AA108" s="192">
        <f t="shared" si="33"/>
        <v>23.284799999999997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4"/>
        <v>0202-06</v>
      </c>
      <c r="AE108" s="80" t="str">
        <f t="shared" si="35"/>
        <v>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 &amp; 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</v>
      </c>
      <c r="AF108" s="77" t="str">
        <f t="shared" si="36"/>
        <v>"C:\Program Files (x86)\AstroGrep\AstroGrep.exe" /e /r /s /spath="%USERPROFILE%\AppData\Local\Temp\OnboardLogs" /stypes="app*4041*20170506*" /stext=" 23:.+((SYSTEM_STATE.+slice.+state.+changed )|(ment ac)|(multiple cpu faults)|(system.+state.+changed )|(\[timeout)|(PRM\|1\|D)|(kpr)|(kdp)|(train st.+moving)|(\|lc)|(penalty))"</v>
      </c>
      <c r="AG108" s="1" t="str">
        <f t="shared" si="37"/>
        <v>EC</v>
      </c>
      <c r="AH108" s="81" t="str">
        <f t="shared" si="38"/>
        <v>"%USERPROFILE%\Documents\GitHub\eaglep3\Utilities\RefineRTDCRunTimes.py" --tripid 202-06 --locoid 4041 --swversion DE.1.0.9.0 --startMP 204:233009 --initTime 2017-05-06T17:05:09 --startdatetime 2017-05-06T17:11:19 --delay 1 --endMP 204:161 --enddatetime 2017-05-06T17:55:23 --enforcementcount 0 &gt;&gt;C:\Users\stu\Documents\GitHub\eaglep3-reporting\EC\2017-05-06-refined-times.txt</v>
      </c>
      <c r="AI108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{"issue":{"subject":"","project_id":79,"tracker_id":40,"status_id":1,"priority_id":2,"assigned_to_id":23,"start_date":"2017-05-06","description":"","custom_fields":[{"id":1,"name":"Subdivision","value":"EC"},{"id":4,"name":"Milepost","value":"0.0161"},{"id":17,"name":"Train ID","value":"202-06"},{"id":16,"name":"Locomotive ID","value":"4041"},{"id":130,"name":"Impact","value":""},{"id":150,"name":"Time of Event (Mountain Time)","value":"17:55:23"},{"id":151,"name":"Denver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20"/>
      <c r="AK108" s="47"/>
      <c r="AL108" s="47"/>
      <c r="AM108" s="145" t="str">
        <f t="shared" si="40"/>
        <v>start /low /b %USERPROFILE%\Documents\GitHub\eaglep3\Utilities\DownloadLogsFromS3.py --loco 4041 --day 2017-05-06</v>
      </c>
      <c r="AN108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23:55:23"},{"id":29,"name":"Sharepoint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9" spans="1:91" s="20" customFormat="1" x14ac:dyDescent="0.25">
      <c r="A109" s="32" t="s">
        <v>542</v>
      </c>
      <c r="B109" s="7">
        <v>4010</v>
      </c>
      <c r="C109" s="21" t="s">
        <v>210</v>
      </c>
      <c r="D109" s="21" t="s">
        <v>402</v>
      </c>
      <c r="E109" s="13">
        <v>42861.68954861111</v>
      </c>
      <c r="F109" s="13">
        <v>42861.692615740743</v>
      </c>
      <c r="G109" s="7">
        <v>1</v>
      </c>
      <c r="H109" s="21" t="s">
        <v>459</v>
      </c>
      <c r="I109" s="13">
        <v>42861.721250000002</v>
      </c>
      <c r="J109" s="7">
        <v>0</v>
      </c>
      <c r="K109" s="92" t="str">
        <f t="shared" si="24"/>
        <v>4009/4010</v>
      </c>
      <c r="L109" s="21" t="str">
        <f>VLOOKUP(A109,'Trips&amp;Operators'!$C$1:$G$99999,5,FALSE)</f>
        <v>STEWART MICHAEL</v>
      </c>
      <c r="M109" s="6">
        <f t="shared" si="25"/>
        <v>2.8634259258979E-2</v>
      </c>
      <c r="N109" s="7">
        <f t="shared" si="26"/>
        <v>41.23333333292976</v>
      </c>
      <c r="O109" s="7"/>
      <c r="P109" s="7"/>
      <c r="Q109" s="22"/>
      <c r="R109" s="190"/>
      <c r="S109" s="196">
        <f t="shared" si="27"/>
        <v>1</v>
      </c>
      <c r="T109" s="190" t="str">
        <f t="shared" si="28"/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29"/>
        <v>https://d0f6bd738d7f1b3e5a7ca70fe4ff75f0.us-east-1.aws.found.io/app/kibana#/discover/Steve-Slow-Train-Analysis-(2080s-and-2083s)?_g=(refreshInterval:(display:Off,pause:!f,section:0,value:0),time:(from:'2017-05-06T15:32:57-0600',mode:absolute,to:'2017-05-06T18:18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9" s="192" t="str">
        <f t="shared" si="30"/>
        <v>N</v>
      </c>
      <c r="X109" s="192">
        <f t="shared" si="43"/>
        <v>1</v>
      </c>
      <c r="Y109" s="192">
        <f t="shared" si="31"/>
        <v>4.4400000000000002E-2</v>
      </c>
      <c r="Z109" s="192">
        <f t="shared" si="32"/>
        <v>23.3276</v>
      </c>
      <c r="AA109" s="192">
        <f t="shared" si="33"/>
        <v>23.283200000000001</v>
      </c>
      <c r="AB109" s="57" t="str">
        <f>VLOOKUP(A109,Enforcements!$C$7:$K$13,8,0)</f>
        <v>Bulletin (2)</v>
      </c>
      <c r="AC109" s="53" t="str">
        <f>VLOOKUP(A109,Enforcements!$C$7:$E$13,3,0)</f>
        <v>GRADE CROSSING</v>
      </c>
      <c r="AD109" s="54" t="str">
        <f t="shared" si="34"/>
        <v>0203-06</v>
      </c>
      <c r="AE109" s="80" t="str">
        <f t="shared" si="35"/>
        <v>aws s3 cp s3://rtdc.mdm.uploadarchive.raw/RTDC4010/ "%USERPROFILE%\AppData\Local\Temp\OnboardLogs"\RTDC4010\2017-05-06 --exclude "*" --recursive --include "*20170506*" &amp; "%USERPROFILE%\Documents\GitHub\mrs-test-scripts\Headless Mode &amp; Sideloading\WalkAndUnGZ.bat" "%USERPROFILE%\AppData\Local\Temp\OnboardLogs"\RTDC4010\2017-05-06 &amp; aws s3 cp s3://rtdc.mdm.uploadarchive.raw/RTDC4010/ "%USERPROFILE%\AppData\Local\Temp\OnboardLogs"\RTDC4010\2017-05-07 --exclude "*" --recursive --include "*20170507*" &amp; "%USERPROFILE%\Documents\GitHub\mrs-test-scripts\Headless Mode &amp; Sideloading\WalkAndUnGZ.bat" "%USERPROFILE%\AppData\Local\Temp\OnboardLogs"\RTDC4010\2017-05-07</v>
      </c>
      <c r="AF109" s="77" t="str">
        <f t="shared" si="36"/>
        <v>"C:\Program Files (x86)\AstroGrep\AstroGrep.exe" /e /r /s /spath="%USERPROFILE%\AppData\Local\Temp\OnboardLogs" /stypes="app*4010*20170506*" /stext=" 23:.+((SYSTEM_STATE.+slice.+state.+changed )|(ment ac)|(multiple cpu faults)|(system.+state.+changed )|(\[timeout)|(PRM\|1\|D)|(kpr)|(kdp)|(train st.+moving)|(\|lc)|(penalty))"</v>
      </c>
      <c r="AG109" s="1" t="str">
        <f t="shared" si="37"/>
        <v>EC</v>
      </c>
      <c r="AH109" s="81" t="str">
        <f t="shared" si="38"/>
        <v>"%USERPROFILE%\Documents\GitHub\eaglep3\Utilities\RefineRTDCRunTimes.py" --tripid 203-06 --locoid 4010 --swversion DE.1.0.9.0 --startMP 204:444 --initTime 2017-05-06T16:32:57 --startdatetime 2017-05-06T16:37:22 --delay 1 --endMP 204:233276 --enddatetime 2017-05-06T17:18:36 --enforcementcount 0 &gt;&gt;C:\Users\stu\Documents\GitHub\eaglep3-reporting\EC\2017-05-06-refined-times.txt</v>
      </c>
      <c r="AI109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{"issue":{"subject":"","project_id":79,"tracker_id":40,"status_id":1,"priority_id":2,"assigned_to_id":23,"start_date":"2017-05-06","description":"","custom_fields":[{"id":1,"name":"Subdivision","value":"EC"},{"id":4,"name":"Milepost","value":"23.3276"},{"id":17,"name":"Train ID","value":"203-06"},{"id":16,"name":"Locomotive ID","value":"4010"},{"id":130,"name":"Impact","value":""},{"id":150,"name":"Time of Event (Mountain Time)","value":"17:18:36"},{"id":151,"name":"Denver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0"/>
        <v>start /low /b %USERPROFILE%\Documents\GitHub\eaglep3\Utilities\DownloadLogsFromS3.py --loco 4010 --day 2017-05-06</v>
      </c>
      <c r="AN109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23:18:36"},{"id":29,"name":"Sharepoint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706</v>
      </c>
      <c r="B110" s="7">
        <v>4009</v>
      </c>
      <c r="C110" s="21" t="s">
        <v>210</v>
      </c>
      <c r="D110" s="21" t="s">
        <v>458</v>
      </c>
      <c r="E110" s="13">
        <v>42861.724976851852</v>
      </c>
      <c r="F110" s="13">
        <v>42861.726712962962</v>
      </c>
      <c r="G110" s="7">
        <v>1</v>
      </c>
      <c r="H110" s="21" t="s">
        <v>879</v>
      </c>
      <c r="I110" s="13">
        <v>42861.757094907407</v>
      </c>
      <c r="J110" s="7">
        <v>0</v>
      </c>
      <c r="K110" s="92" t="str">
        <f t="shared" si="24"/>
        <v>4009/4010</v>
      </c>
      <c r="L110" s="21" t="str">
        <f>VLOOKUP(A110,'Trips&amp;Operators'!$C$1:$G$99999,5,FALSE)</f>
        <v>STEWART MICHAEL</v>
      </c>
      <c r="M110" s="6">
        <f t="shared" si="25"/>
        <v>3.0381944445252884E-2</v>
      </c>
      <c r="N110" s="7">
        <f t="shared" si="26"/>
        <v>43.750000001164153</v>
      </c>
      <c r="O110" s="7"/>
      <c r="P110" s="7"/>
      <c r="Q110" s="22"/>
      <c r="R110" s="190"/>
      <c r="S110" s="196">
        <f t="shared" si="27"/>
        <v>1</v>
      </c>
      <c r="T110" s="190" t="str">
        <f t="shared" si="28"/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29"/>
        <v>https://d0f6bd738d7f1b3e5a7ca70fe4ff75f0.us-east-1.aws.found.io/app/kibana#/discover/Steve-Slow-Train-Analysis-(2080s-and-2083s)?_g=(refreshInterval:(display:Off,pause:!f,section:0,value:0),time:(from:'2017-05-06T16:23:58-0600',mode:absolute,to:'2017-05-06T19:10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0" s="192" t="str">
        <f t="shared" si="30"/>
        <v>N</v>
      </c>
      <c r="X110" s="192">
        <f t="shared" si="43"/>
        <v>1</v>
      </c>
      <c r="Y110" s="192">
        <f t="shared" si="31"/>
        <v>23.2959</v>
      </c>
      <c r="Z110" s="192">
        <f t="shared" si="32"/>
        <v>1.6899999999999998E-2</v>
      </c>
      <c r="AA110" s="192">
        <f t="shared" si="33"/>
        <v>23.279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4"/>
        <v>0204-06</v>
      </c>
      <c r="AE110" s="80" t="str">
        <f t="shared" si="35"/>
        <v>aws s3 cp s3://rtdc.mdm.uploadarchive.raw/RTDC4009/ "%USERPROFILE%\AppData\Local\Temp\OnboardLogs"\RTDC4009\2017-05-06 --exclude "*" --recursive --include "*20170506*" &amp; "%USERPROFILE%\Documents\GitHub\mrs-test-scripts\Headless Mode &amp; Sideloading\WalkAndUnGZ.bat" "%USERPROFILE%\AppData\Local\Temp\OnboardLogs"\RTDC4009\2017-05-06 &amp; aws s3 cp s3://rtdc.mdm.uploadarchive.raw/RTDC4009/ "%USERPROFILE%\AppData\Local\Temp\OnboardLogs"\RTDC4009\2017-05-07 --exclude "*" --recursive --include "*20170507*" &amp; "%USERPROFILE%\Documents\GitHub\mrs-test-scripts\Headless Mode &amp; Sideloading\WalkAndUnGZ.bat" "%USERPROFILE%\AppData\Local\Temp\OnboardLogs"\RTDC4009\2017-05-07</v>
      </c>
      <c r="AF110" s="77" t="str">
        <f t="shared" si="36"/>
        <v>"C:\Program Files (x86)\AstroGrep\AstroGrep.exe" /e /r /s /spath="%USERPROFILE%\AppData\Local\Temp\OnboardLogs" /stypes="app*4009*20170507*" /stext=" 00:.+((SYSTEM_STATE.+slice.+state.+changed )|(ment ac)|(multiple cpu faults)|(system.+state.+changed )|(\[timeout)|(PRM\|1\|D)|(kpr)|(kdp)|(train st.+moving)|(\|lc)|(penalty))"</v>
      </c>
      <c r="AG110" s="1" t="str">
        <f t="shared" si="37"/>
        <v>EC</v>
      </c>
      <c r="AH110" s="81" t="str">
        <f t="shared" si="38"/>
        <v>"%USERPROFILE%\Documents\GitHub\eaglep3\Utilities\RefineRTDCRunTimes.py" --tripid 204-06 --locoid 4009 --swversion DE.1.0.9.0 --startMP 204:232959 --initTime 2017-05-06T17:23:58 --startdatetime 2017-05-06T17:26:28 --delay 1 --endMP 204:169 --enddatetime 2017-05-06T18:10:13 --enforcementcount 0 &gt;&gt;C:\Users\stu\Documents\GitHub\eaglep3-reporting\EC\2017-05-06-refined-times.txt</v>
      </c>
      <c r="AI110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{"issue":{"subject":"","project_id":79,"tracker_id":40,"status_id":1,"priority_id":2,"assigned_to_id":23,"start_date":"2017-05-06","description":"","custom_fields":[{"id":1,"name":"Subdivision","value":"EC"},{"id":4,"name":"Milepost","value":"0.0169"},{"id":17,"name":"Train ID","value":"204-06"},{"id":16,"name":"Locomotive ID","value":"4009"},{"id":130,"name":"Impact","value":""},{"id":150,"name":"Time of Event (Mountain Time)","value":"18:10:13"},{"id":151,"name":"Denver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0"/>
        <v>start /low /b %USERPROFILE%\Documents\GitHub\eaglep3\Utilities\DownloadLogsFromS3.py --loco 4009 --day 2017-05-06</v>
      </c>
      <c r="AN110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00:10:13"},{"id":29,"name":"Sharepoint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702</v>
      </c>
      <c r="B111" s="7">
        <v>4024</v>
      </c>
      <c r="C111" s="21" t="s">
        <v>210</v>
      </c>
      <c r="D111" s="21" t="s">
        <v>393</v>
      </c>
      <c r="E111" s="13">
        <v>42861.694687499999</v>
      </c>
      <c r="F111" s="13">
        <v>42861.698101851849</v>
      </c>
      <c r="G111" s="7">
        <v>1</v>
      </c>
      <c r="H111" s="21" t="s">
        <v>455</v>
      </c>
      <c r="I111" s="13">
        <v>42861.725011574075</v>
      </c>
      <c r="J111" s="7">
        <v>0</v>
      </c>
      <c r="K111" s="92" t="str">
        <f t="shared" si="24"/>
        <v>4023/4024</v>
      </c>
      <c r="L111" s="21" t="str">
        <f>VLOOKUP(A111,'Trips&amp;Operators'!$C$1:$G$99999,5,FALSE)</f>
        <v>BRUDER RICHARD</v>
      </c>
      <c r="M111" s="6">
        <f t="shared" si="25"/>
        <v>2.6909722226264421E-2</v>
      </c>
      <c r="N111" s="7">
        <f t="shared" si="26"/>
        <v>38.750000005820766</v>
      </c>
      <c r="O111" s="7"/>
      <c r="P111" s="7"/>
      <c r="Q111" s="22"/>
      <c r="R111" s="190"/>
      <c r="S111" s="196">
        <f t="shared" si="27"/>
        <v>1</v>
      </c>
      <c r="T111" s="190" t="str">
        <f t="shared" si="28"/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29"/>
        <v>https://d0f6bd738d7f1b3e5a7ca70fe4ff75f0.us-east-1.aws.found.io/app/kibana#/discover/Steve-Slow-Train-Analysis-(2080s-and-2083s)?_g=(refreshInterval:(display:Off,pause:!f,section:0,value:0),time:(from:'2017-05-06T15:40:21-0600',mode:absolute,to:'2017-05-06T18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1" s="192" t="str">
        <f t="shared" si="30"/>
        <v>N</v>
      </c>
      <c r="X111" s="192">
        <f t="shared" si="43"/>
        <v>1</v>
      </c>
      <c r="Y111" s="192">
        <f t="shared" si="31"/>
        <v>4.53E-2</v>
      </c>
      <c r="Z111" s="192">
        <f t="shared" si="32"/>
        <v>23.329699999999999</v>
      </c>
      <c r="AA111" s="192">
        <f t="shared" si="33"/>
        <v>23.284399999999998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4"/>
        <v>0205-06</v>
      </c>
      <c r="AE111" s="80" t="str">
        <f t="shared" si="35"/>
        <v>aws s3 cp s3://rtdc.mdm.uploadarchive.raw/RTDC4024/ "%USERPROFILE%\AppData\Local\Temp\OnboardLogs"\RTDC4024\2017-05-06 --exclude "*" --recursive --include "*20170506*" &amp; "%USERPROFILE%\Documents\GitHub\mrs-test-scripts\Headless Mode &amp; Sideloading\WalkAndUnGZ.bat" "%USERPROFILE%\AppData\Local\Temp\OnboardLogs"\RTDC4024\2017-05-06 &amp; aws s3 cp s3://rtdc.mdm.uploadarchive.raw/RTDC4024/ "%USERPROFILE%\AppData\Local\Temp\OnboardLogs"\RTDC4024\2017-05-07 --exclude "*" --recursive --include "*20170507*" &amp; "%USERPROFILE%\Documents\GitHub\mrs-test-scripts\Headless Mode &amp; Sideloading\WalkAndUnGZ.bat" "%USERPROFILE%\AppData\Local\Temp\OnboardLogs"\RTDC4024\2017-05-07</v>
      </c>
      <c r="AF111" s="77" t="str">
        <f t="shared" si="36"/>
        <v>"C:\Program Files (x86)\AstroGrep\AstroGrep.exe" /e /r /s /spath="%USERPROFILE%\AppData\Local\Temp\OnboardLogs" /stypes="app*4024*20170506*" /stext=" 23:.+((SYSTEM_STATE.+slice.+state.+changed )|(ment ac)|(multiple cpu faults)|(system.+state.+changed )|(\[timeout)|(PRM\|1\|D)|(kpr)|(kdp)|(train st.+moving)|(\|lc)|(penalty))"</v>
      </c>
      <c r="AG111" s="1" t="str">
        <f t="shared" si="37"/>
        <v>EC</v>
      </c>
      <c r="AH111" s="81" t="str">
        <f t="shared" si="38"/>
        <v>"%USERPROFILE%\Documents\GitHub\eaglep3\Utilities\RefineRTDCRunTimes.py" --tripid 205-06 --locoid 4024 --swversion DE.1.0.9.0 --startMP 204:453 --initTime 2017-05-06T16:40:21 --startdatetime 2017-05-06T16:45:16 --delay 1 --endMP 204:233297 --enddatetime 2017-05-06T17:24:01 --enforcementcount 0 &gt;&gt;C:\Users\stu\Documents\GitHub\eaglep3-reporting\EC\2017-05-06-refined-times.txt</v>
      </c>
      <c r="AI111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{"issue":{"subject":"","project_id":79,"tracker_id":40,"status_id":1,"priority_id":2,"assigned_to_id":23,"start_date":"2017-05-06","description":"","custom_fields":[{"id":1,"name":"Subdivision","value":"EC"},{"id":4,"name":"Milepost","value":"23.3297"},{"id":17,"name":"Train ID","value":"205-06"},{"id":16,"name":"Locomotive ID","value":"4024"},{"id":130,"name":"Impact","value":""},{"id":150,"name":"Time of Event (Mountain Time)","value":"17:24:01"},{"id":151,"name":"Denver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0"/>
        <v>start /low /b %USERPROFILE%\Documents\GitHub\eaglep3\Utilities\DownloadLogsFromS3.py --loco 4024 --day 2017-05-06</v>
      </c>
      <c r="AN111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23:24:01"},{"id":29,"name":"Sharepoint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547</v>
      </c>
      <c r="B112" s="7">
        <v>4023</v>
      </c>
      <c r="C112" s="21" t="s">
        <v>210</v>
      </c>
      <c r="D112" s="21" t="s">
        <v>488</v>
      </c>
      <c r="E112" s="13">
        <v>42861.733495370368</v>
      </c>
      <c r="F112" s="13">
        <v>42861.737060185187</v>
      </c>
      <c r="G112" s="7">
        <v>1</v>
      </c>
      <c r="H112" s="21" t="s">
        <v>203</v>
      </c>
      <c r="I112" s="13">
        <v>42861.766585648147</v>
      </c>
      <c r="J112" s="7">
        <v>0</v>
      </c>
      <c r="K112" s="92" t="str">
        <f t="shared" si="24"/>
        <v>4023/4024</v>
      </c>
      <c r="L112" s="21" t="str">
        <f>VLOOKUP(A112,'Trips&amp;Operators'!$C$1:$G$99999,5,FALSE)</f>
        <v>BRUDER RICHARD</v>
      </c>
      <c r="M112" s="6">
        <f t="shared" si="25"/>
        <v>2.9525462960009463E-2</v>
      </c>
      <c r="N112" s="7">
        <f t="shared" si="26"/>
        <v>42.516666662413627</v>
      </c>
      <c r="O112" s="7"/>
      <c r="P112" s="7"/>
      <c r="Q112" s="22"/>
      <c r="R112" s="190"/>
      <c r="S112" s="196">
        <f t="shared" si="27"/>
        <v>1</v>
      </c>
      <c r="T112" s="190" t="str">
        <f t="shared" si="28"/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29"/>
        <v>https://d0f6bd738d7f1b3e5a7ca70fe4ff75f0.us-east-1.aws.found.io/app/kibana#/discover/Steve-Slow-Train-Analysis-(2080s-and-2083s)?_g=(refreshInterval:(display:Off,pause:!f,section:0,value:0),time:(from:'2017-05-06T16:36:14-0600',mode:absolute,to:'2017-05-06T19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2" s="192" t="str">
        <f t="shared" si="30"/>
        <v>N</v>
      </c>
      <c r="X112" s="192">
        <f t="shared" si="43"/>
        <v>1</v>
      </c>
      <c r="Y112" s="192">
        <f t="shared" si="31"/>
        <v>23.296700000000001</v>
      </c>
      <c r="Z112" s="192">
        <f t="shared" si="32"/>
        <v>1.54E-2</v>
      </c>
      <c r="AA112" s="192">
        <f t="shared" si="33"/>
        <v>23.281300000000002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4"/>
        <v>0206-06</v>
      </c>
      <c r="AE112" s="80" t="str">
        <f t="shared" si="35"/>
        <v>aws s3 cp s3://rtdc.mdm.uploadarchive.raw/RTDC4023/ "%USERPROFILE%\AppData\Local\Temp\OnboardLogs"\RTDC4023\2017-05-06 --exclude "*" --recursive --include "*20170506*" &amp; "%USERPROFILE%\Documents\GitHub\mrs-test-scripts\Headless Mode &amp; Sideloading\WalkAndUnGZ.bat" "%USERPROFILE%\AppData\Local\Temp\OnboardLogs"\RTDC4023\2017-05-06 &amp; aws s3 cp s3://rtdc.mdm.uploadarchive.raw/RTDC4023/ "%USERPROFILE%\AppData\Local\Temp\OnboardLogs"\RTDC4023\2017-05-07 --exclude "*" --recursive --include "*20170507*" &amp; "%USERPROFILE%\Documents\GitHub\mrs-test-scripts\Headless Mode &amp; Sideloading\WalkAndUnGZ.bat" "%USERPROFILE%\AppData\Local\Temp\OnboardLogs"\RTDC4023\2017-05-07</v>
      </c>
      <c r="AF112" s="77" t="str">
        <f t="shared" si="36"/>
        <v>"C:\Program Files (x86)\AstroGrep\AstroGrep.exe" /e /r /s /spath="%USERPROFILE%\AppData\Local\Temp\OnboardLogs" /stypes="app*4023*20170507*" /stext=" 00:.+((SYSTEM_STATE.+slice.+state.+changed )|(ment ac)|(multiple cpu faults)|(system.+state.+changed )|(\[timeout)|(PRM\|1\|D)|(kpr)|(kdp)|(train st.+moving)|(\|lc)|(penalty))"</v>
      </c>
      <c r="AG112" s="1" t="str">
        <f t="shared" si="37"/>
        <v>EC</v>
      </c>
      <c r="AH112" s="81" t="str">
        <f t="shared" si="38"/>
        <v>"%USERPROFILE%\Documents\GitHub\eaglep3\Utilities\RefineRTDCRunTimes.py" --tripid 206-06 --locoid 4023 --swversion DE.1.0.9.0 --startMP 204:232967 --initTime 2017-05-06T17:36:14 --startdatetime 2017-05-06T17:41:22 --delay 1 --endMP 204:154 --enddatetime 2017-05-06T18:23:53 --enforcementcount 0 &gt;&gt;C:\Users\stu\Documents\GitHub\eaglep3-reporting\EC\2017-05-06-refined-times.txt</v>
      </c>
      <c r="AI112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{"issue":{"subject":"","project_id":79,"tracker_id":40,"status_id":1,"priority_id":2,"assigned_to_id":23,"start_date":"2017-05-06","description":"","custom_fields":[{"id":1,"name":"Subdivision","value":"EC"},{"id":4,"name":"Milepost","value":"0.0154"},{"id":17,"name":"Train ID","value":"206-06"},{"id":16,"name":"Locomotive ID","value":"4023"},{"id":130,"name":"Impact","value":""},{"id":150,"name":"Time of Event (Mountain Time)","value":"18:23:53"},{"id":151,"name":"Denver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0"/>
        <v>start /low /b %USERPROFILE%\Documents\GitHub\eaglep3\Utilities\DownloadLogsFromS3.py --loco 4023 --day 2017-05-06</v>
      </c>
      <c r="AN112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00:23:53"},{"id":29,"name":"Sharepoint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545</v>
      </c>
      <c r="B113" s="7">
        <v>4002</v>
      </c>
      <c r="C113" s="21" t="s">
        <v>210</v>
      </c>
      <c r="D113" s="21" t="s">
        <v>880</v>
      </c>
      <c r="E113" s="13">
        <v>42861.707291666666</v>
      </c>
      <c r="F113" s="13">
        <v>42861.709560185183</v>
      </c>
      <c r="G113" s="7">
        <v>2</v>
      </c>
      <c r="H113" s="21" t="s">
        <v>881</v>
      </c>
      <c r="I113" s="13">
        <v>42861.740671296298</v>
      </c>
      <c r="J113" s="7">
        <v>0</v>
      </c>
      <c r="K113" s="92" t="str">
        <f t="shared" si="24"/>
        <v>4001/4002</v>
      </c>
      <c r="L113" s="21" t="str">
        <f>VLOOKUP(A113,'Trips&amp;Operators'!$C$1:$G$99999,5,FALSE)</f>
        <v>DAVIS MICHAEL</v>
      </c>
      <c r="M113" s="6">
        <f t="shared" si="25"/>
        <v>3.1111111115023959E-2</v>
      </c>
      <c r="N113" s="7">
        <f t="shared" si="26"/>
        <v>44.800000005634502</v>
      </c>
      <c r="O113" s="7"/>
      <c r="P113" s="7"/>
      <c r="Q113" s="22"/>
      <c r="R113" s="190"/>
      <c r="S113" s="196">
        <f t="shared" si="27"/>
        <v>1</v>
      </c>
      <c r="T113" s="190" t="str">
        <f t="shared" si="28"/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29"/>
        <v>https://d0f6bd738d7f1b3e5a7ca70fe4ff75f0.us-east-1.aws.found.io/app/kibana#/discover/Steve-Slow-Train-Analysis-(2080s-and-2083s)?_g=(refreshInterval:(display:Off,pause:!f,section:0,value:0),time:(from:'2017-05-06T15:58:30-0600',mode:absolute,to:'2017-05-06T18:46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3" s="192" t="str">
        <f t="shared" si="30"/>
        <v>N</v>
      </c>
      <c r="X113" s="192">
        <f t="shared" si="43"/>
        <v>1</v>
      </c>
      <c r="Y113" s="192">
        <f t="shared" si="31"/>
        <v>0.1484</v>
      </c>
      <c r="Z113" s="192">
        <f t="shared" si="32"/>
        <v>23.322700000000001</v>
      </c>
      <c r="AA113" s="192">
        <f t="shared" si="33"/>
        <v>23.174300000000002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4"/>
        <v>0207-06</v>
      </c>
      <c r="AE113" s="80" t="str">
        <f t="shared" si="35"/>
        <v>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 &amp; aws s3 cp s3://rtdc.mdm.uploadarchive.raw/RTDC4002/ "%USERPROFILE%\AppData\Local\Temp\OnboardLogs"\RTDC4002\2017-05-07 --exclude "*" --recursive --include "*20170507*" &amp; "%USERPROFILE%\Documents\GitHub\mrs-test-scripts\Headless Mode &amp; Sideloading\WalkAndUnGZ.bat" "%USERPROFILE%\AppData\Local\Temp\OnboardLogs"\RTDC4002\2017-05-07</v>
      </c>
      <c r="AF113" s="77" t="str">
        <f t="shared" si="36"/>
        <v>"C:\Program Files (x86)\AstroGrep\AstroGrep.exe" /e /r /s /spath="%USERPROFILE%\AppData\Local\Temp\OnboardLogs" /stypes="app*4002*20170506*" /stext=" 23:.+((SYSTEM_STATE.+slice.+state.+changed )|(ment ac)|(multiple cpu faults)|(system.+state.+changed )|(\[timeout)|(PRM\|1\|D)|(kpr)|(kdp)|(train st.+moving)|(\|lc)|(penalty))"</v>
      </c>
      <c r="AG113" s="1" t="str">
        <f t="shared" si="37"/>
        <v>EC</v>
      </c>
      <c r="AH113" s="81" t="str">
        <f t="shared" si="38"/>
        <v>"%USERPROFILE%\Documents\GitHub\eaglep3\Utilities\RefineRTDCRunTimes.py" --tripid 207-06 --locoid 4002 --swversion DE.1.0.9.0 --startMP 204:1484 --initTime 2017-05-06T16:58:30 --startdatetime 2017-05-06T17:01:46 --delay 2 --endMP 204:233227 --enddatetime 2017-05-06T17:46:34 --enforcementcount 0 &gt;&gt;C:\Users\stu\Documents\GitHub\eaglep3-reporting\EC\2017-05-06-refined-times.txt</v>
      </c>
      <c r="AI113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{"issue":{"subject":"","project_id":79,"tracker_id":40,"status_id":1,"priority_id":2,"assigned_to_id":23,"start_date":"2017-05-06","description":"","custom_fields":[{"id":1,"name":"Subdivision","value":"EC"},{"id":4,"name":"Milepost","value":"23.3227"},{"id":17,"name":"Train ID","value":"207-06"},{"id":16,"name":"Locomotive ID","value":"4002"},{"id":130,"name":"Impact","value":""},{"id":150,"name":"Time of Event (Mountain Time)","value":"17:46:34"},{"id":151,"name":"Denver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0"/>
        <v>start /low /b %USERPROFILE%\Documents\GitHub\eaglep3\Utilities\DownloadLogsFromS3.py --loco 4002 --day 2017-05-06</v>
      </c>
      <c r="AN113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23:46:34"},{"id":29,"name":"Sharepoint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709</v>
      </c>
      <c r="B114" s="7">
        <v>4001</v>
      </c>
      <c r="C114" s="21" t="s">
        <v>210</v>
      </c>
      <c r="D114" s="21" t="s">
        <v>882</v>
      </c>
      <c r="E114" s="13">
        <v>42861.747060185182</v>
      </c>
      <c r="F114" s="13">
        <v>42861.748935185184</v>
      </c>
      <c r="G114" s="7">
        <v>1</v>
      </c>
      <c r="H114" s="21" t="s">
        <v>363</v>
      </c>
      <c r="I114" s="13">
        <v>42861.77853009259</v>
      </c>
      <c r="J114" s="7">
        <v>0</v>
      </c>
      <c r="K114" s="92" t="str">
        <f t="shared" si="24"/>
        <v>4001/4002</v>
      </c>
      <c r="L114" s="21" t="str">
        <f>VLOOKUP(A114,'Trips&amp;Operators'!$C$1:$G$99999,5,FALSE)</f>
        <v>DAVIS MICHAEL</v>
      </c>
      <c r="M114" s="6">
        <f t="shared" si="25"/>
        <v>2.9594907406135462E-2</v>
      </c>
      <c r="N114" s="7">
        <f t="shared" si="26"/>
        <v>42.616666664835066</v>
      </c>
      <c r="O114" s="7"/>
      <c r="P114" s="7"/>
      <c r="Q114" s="22"/>
      <c r="R114" s="190"/>
      <c r="S114" s="196">
        <f t="shared" si="27"/>
        <v>1</v>
      </c>
      <c r="T114" s="190" t="str">
        <f t="shared" si="28"/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29"/>
        <v>https://d0f6bd738d7f1b3e5a7ca70fe4ff75f0.us-east-1.aws.found.io/app/kibana#/discover/Steve-Slow-Train-Analysis-(2080s-and-2083s)?_g=(refreshInterval:(display:Off,pause:!f,section:0,value:0),time:(from:'2017-05-06T16:55:46-0600',mode:absolute,to:'2017-05-06T19:41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4" s="192" t="str">
        <f t="shared" si="30"/>
        <v>N</v>
      </c>
      <c r="X114" s="192">
        <f t="shared" si="43"/>
        <v>1</v>
      </c>
      <c r="Y114" s="192">
        <f t="shared" si="31"/>
        <v>23.291699999999999</v>
      </c>
      <c r="Z114" s="192">
        <f t="shared" si="32"/>
        <v>1.38E-2</v>
      </c>
      <c r="AA114" s="192">
        <f t="shared" si="33"/>
        <v>23.277899999999999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4"/>
        <v>0208-06</v>
      </c>
      <c r="AE114" s="80" t="str">
        <f t="shared" si="35"/>
        <v>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 &amp; aws s3 cp s3://rtdc.mdm.uploadarchive.raw/RTDC4001/ "%USERPROFILE%\AppData\Local\Temp\OnboardLogs"\RTDC4001\2017-05-07 --exclude "*" --recursive --include "*20170507*" &amp; "%USERPROFILE%\Documents\GitHub\mrs-test-scripts\Headless Mode &amp; Sideloading\WalkAndUnGZ.bat" "%USERPROFILE%\AppData\Local\Temp\OnboardLogs"\RTDC4001\2017-05-07</v>
      </c>
      <c r="AF114" s="77" t="str">
        <f t="shared" si="36"/>
        <v>"C:\Program Files (x86)\AstroGrep\AstroGrep.exe" /e /r /s /spath="%USERPROFILE%\AppData\Local\Temp\OnboardLogs" /stypes="app*4001*20170507*" /stext=" 00:.+((SYSTEM_STATE.+slice.+state.+changed )|(ment ac)|(multiple cpu faults)|(system.+state.+changed )|(\[timeout)|(PRM\|1\|D)|(kpr)|(kdp)|(train st.+moving)|(\|lc)|(penalty))"</v>
      </c>
      <c r="AG114" s="1" t="str">
        <f t="shared" si="37"/>
        <v>EC</v>
      </c>
      <c r="AH114" s="81" t="str">
        <f t="shared" si="38"/>
        <v>"%USERPROFILE%\Documents\GitHub\eaglep3\Utilities\RefineRTDCRunTimes.py" --tripid 208-06 --locoid 4001 --swversion DE.1.0.9.0 --startMP 204:232917 --initTime 2017-05-06T17:55:46 --startdatetime 2017-05-06T17:58:28 --delay 1 --endMP 204:138 --enddatetime 2017-05-06T18:41:05 --enforcementcount 0 &gt;&gt;C:\Users\stu\Documents\GitHub\eaglep3-reporting\EC\2017-05-06-refined-times.txt</v>
      </c>
      <c r="AI114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{"issue":{"subject":"","project_id":79,"tracker_id":40,"status_id":1,"priority_id":2,"assigned_to_id":23,"start_date":"2017-05-06","description":"","custom_fields":[{"id":1,"name":"Subdivision","value":"EC"},{"id":4,"name":"Milepost","value":"0.0138"},{"id":17,"name":"Train ID","value":"208-06"},{"id":16,"name":"Locomotive ID","value":"4001"},{"id":130,"name":"Impact","value":""},{"id":150,"name":"Time of Event (Mountain Time)","value":"18:41:05"},{"id":151,"name":"Denver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0"/>
        <v>start /low /b %USERPROFILE%\Documents\GitHub\eaglep3\Utilities\DownloadLogsFromS3.py --loco 4001 --day 2017-05-06</v>
      </c>
      <c r="AN114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00:41:05"},{"id":29,"name":"Sharepoint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704</v>
      </c>
      <c r="B115" s="7">
        <v>4018</v>
      </c>
      <c r="C115" s="21" t="s">
        <v>210</v>
      </c>
      <c r="D115" s="21" t="s">
        <v>883</v>
      </c>
      <c r="E115" s="13">
        <v>42861.717905092592</v>
      </c>
      <c r="F115" s="13">
        <v>42861.719525462962</v>
      </c>
      <c r="G115" s="7">
        <v>2</v>
      </c>
      <c r="H115" s="21" t="s">
        <v>884</v>
      </c>
      <c r="I115" s="13">
        <v>42861.746539351851</v>
      </c>
      <c r="J115" s="7">
        <v>0</v>
      </c>
      <c r="K115" s="92" t="str">
        <f t="shared" si="24"/>
        <v>4017/4018</v>
      </c>
      <c r="L115" s="21" t="str">
        <f>VLOOKUP(A115,'Trips&amp;Operators'!$C$1:$G$99999,5,FALSE)</f>
        <v>MCREYNOLDS KYLE</v>
      </c>
      <c r="M115" s="6">
        <f t="shared" si="25"/>
        <v>2.7013888888177462E-2</v>
      </c>
      <c r="N115" s="7">
        <f t="shared" si="26"/>
        <v>38.899999998975545</v>
      </c>
      <c r="O115" s="7"/>
      <c r="P115" s="7"/>
      <c r="Q115" s="22"/>
      <c r="R115" s="190"/>
      <c r="S115" s="196">
        <f t="shared" si="27"/>
        <v>1</v>
      </c>
      <c r="T115" s="190" t="str">
        <f t="shared" si="28"/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29"/>
        <v>https://d0f6bd738d7f1b3e5a7ca70fe4ff75f0.us-east-1.aws.found.io/app/kibana#/discover/Steve-Slow-Train-Analysis-(2080s-and-2083s)?_g=(refreshInterval:(display:Off,pause:!f,section:0,value:0),time:(from:'2017-05-06T16:13:47-0600',mode:absolute,to:'2017-05-06T18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5" s="192" t="str">
        <f t="shared" si="30"/>
        <v>N</v>
      </c>
      <c r="X115" s="192">
        <f t="shared" si="43"/>
        <v>1</v>
      </c>
      <c r="Y115" s="192">
        <f t="shared" si="31"/>
        <v>9.2999999999999999E-2</v>
      </c>
      <c r="Z115" s="192">
        <f t="shared" si="32"/>
        <v>23.3245</v>
      </c>
      <c r="AA115" s="192">
        <f t="shared" si="33"/>
        <v>23.2315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4"/>
        <v>0209-06</v>
      </c>
      <c r="AE115" s="80" t="str">
        <f t="shared" si="35"/>
        <v>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 &amp; aws s3 cp s3://rtdc.mdm.uploadarchive.raw/RTDC4018/ "%USERPROFILE%\AppData\Local\Temp\OnboardLogs"\RTDC4018\2017-05-07 --exclude "*" --recursive --include "*20170507*" &amp; "%USERPROFILE%\Documents\GitHub\mrs-test-scripts\Headless Mode &amp; Sideloading\WalkAndUnGZ.bat" "%USERPROFILE%\AppData\Local\Temp\OnboardLogs"\RTDC4018\2017-05-07</v>
      </c>
      <c r="AF115" s="77" t="str">
        <f t="shared" si="36"/>
        <v>"C:\Program Files (x86)\AstroGrep\AstroGrep.exe" /e /r /s /spath="%USERPROFILE%\AppData\Local\Temp\OnboardLogs" /stypes="app*4018*20170506*" /stext=" 23:.+((SYSTEM_STATE.+slice.+state.+changed )|(ment ac)|(multiple cpu faults)|(system.+state.+changed )|(\[timeout)|(PRM\|1\|D)|(kpr)|(kdp)|(train st.+moving)|(\|lc)|(penalty))"</v>
      </c>
      <c r="AG115" s="1" t="str">
        <f t="shared" si="37"/>
        <v>EC</v>
      </c>
      <c r="AH115" s="81" t="str">
        <f t="shared" si="38"/>
        <v>"%USERPROFILE%\Documents\GitHub\eaglep3\Utilities\RefineRTDCRunTimes.py" --tripid 209-06 --locoid 4018 --swversion DE.1.0.9.0 --startMP 204:930 --initTime 2017-05-06T17:13:47 --startdatetime 2017-05-06T17:16:07 --delay 2 --endMP 204:233245 --enddatetime 2017-05-06T17:55:01 --enforcementcount 0 &gt;&gt;C:\Users\stu\Documents\GitHub\eaglep3-reporting\EC\2017-05-06-refined-times.txt</v>
      </c>
      <c r="AI115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{"issue":{"subject":"","project_id":79,"tracker_id":40,"status_id":1,"priority_id":2,"assigned_to_id":23,"start_date":"2017-05-06","description":"","custom_fields":[{"id":1,"name":"Subdivision","value":"EC"},{"id":4,"name":"Milepost","value":"23.3245"},{"id":17,"name":"Train ID","value":"209-06"},{"id":16,"name":"Locomotive ID","value":"4018"},{"id":130,"name":"Impact","value":""},{"id":150,"name":"Time of Event (Mountain Time)","value":"17:55:01"},{"id":151,"name":"Denver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0"/>
        <v>start /low /b %USERPROFILE%\Documents\GitHub\eaglep3\Utilities\DownloadLogsFromS3.py --loco 4018 --day 2017-05-06</v>
      </c>
      <c r="AN115" s="154" t="str">
        <f t="shared" si="41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23:55:01"},{"id":29,"name":"Sharepoint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714</v>
      </c>
      <c r="B116" s="7">
        <v>4017</v>
      </c>
      <c r="C116" s="21" t="s">
        <v>210</v>
      </c>
      <c r="D116" s="21" t="s">
        <v>885</v>
      </c>
      <c r="E116" s="13">
        <v>42861.751817129632</v>
      </c>
      <c r="F116" s="13">
        <v>42861.7578125</v>
      </c>
      <c r="G116" s="7">
        <v>0</v>
      </c>
      <c r="H116" s="21" t="s">
        <v>379</v>
      </c>
      <c r="I116" s="13">
        <v>42861.787488425929</v>
      </c>
      <c r="J116" s="7">
        <v>0</v>
      </c>
      <c r="K116" s="92" t="str">
        <f t="shared" si="24"/>
        <v>4017/4018</v>
      </c>
      <c r="L116" s="21" t="str">
        <f>VLOOKUP(A116,'Trips&amp;Operators'!$C$1:$G$99999,5,FALSE)</f>
        <v>MCREYNOLDS KYLE</v>
      </c>
      <c r="M116" s="6">
        <f t="shared" si="25"/>
        <v>2.9675925929041114E-2</v>
      </c>
      <c r="N116" s="7">
        <f t="shared" si="26"/>
        <v>42.733333337819204</v>
      </c>
      <c r="O116" s="7"/>
      <c r="P116" s="7"/>
      <c r="Q116" s="22"/>
      <c r="R116" s="190"/>
      <c r="S116" s="196">
        <f t="shared" si="27"/>
        <v>1</v>
      </c>
      <c r="T116" s="190" t="str">
        <f t="shared" si="28"/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29"/>
        <v>https://d0f6bd738d7f1b3e5a7ca70fe4ff75f0.us-east-1.aws.found.io/app/kibana#/discover/Steve-Slow-Train-Analysis-(2080s-and-2083s)?_g=(refreshInterval:(display:Off,pause:!f,section:0,value:0),time:(from:'2017-05-06T17:02:37-0600',mode:absolute,to:'2017-05-06T19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6" s="192" t="str">
        <f t="shared" si="30"/>
        <v>N</v>
      </c>
      <c r="X116" s="192">
        <f t="shared" si="43"/>
        <v>1</v>
      </c>
      <c r="Y116" s="192">
        <f t="shared" si="31"/>
        <v>23.2927</v>
      </c>
      <c r="Z116" s="192">
        <f t="shared" si="32"/>
        <v>1.4999999999999999E-2</v>
      </c>
      <c r="AA116" s="192">
        <f t="shared" si="33"/>
        <v>23.277699999999999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4"/>
        <v>0210-06</v>
      </c>
      <c r="AE116" s="80" t="str">
        <f t="shared" si="35"/>
        <v>aws s3 cp s3://rtdc.mdm.uploadarchive.raw/RTDC4017/ "%USERPROFILE%\AppData\Local\Temp\OnboardLogs"\RTDC4017\2017-05-06 --exclude "*" --recursive --include "*20170506*" &amp; "%USERPROFILE%\Documents\GitHub\mrs-test-scripts\Headless Mode &amp; Sideloading\WalkAndUnGZ.bat" "%USERPROFILE%\AppData\Local\Temp\OnboardLogs"\RTDC4017\2017-05-06 &amp; aws s3 cp s3://rtdc.mdm.uploadarchive.raw/RTDC4017/ "%USERPROFILE%\AppData\Local\Temp\OnboardLogs"\RTDC4017\2017-05-07 --exclude "*" --recursive --include "*20170507*" &amp; "%USERPROFILE%\Documents\GitHub\mrs-test-scripts\Headless Mode &amp; Sideloading\WalkAndUnGZ.bat" "%USERPROFILE%\AppData\Local\Temp\OnboardLogs"\RTDC4017\2017-05-07</v>
      </c>
      <c r="AF116" s="77" t="str">
        <f t="shared" si="36"/>
        <v>"C:\Program Files (x86)\AstroGrep\AstroGrep.exe" /e /r /s /spath="%USERPROFILE%\AppData\Local\Temp\OnboardLogs" /stypes="app*4017*20170507*" /stext=" 00:.+((SYSTEM_STATE.+slice.+state.+changed )|(ment ac)|(multiple cpu faults)|(system.+state.+changed )|(\[timeout)|(PRM\|1\|D)|(kpr)|(kdp)|(train st.+moving)|(\|lc)|(penalty))"</v>
      </c>
      <c r="AG116" s="1" t="str">
        <f t="shared" si="37"/>
        <v>EC</v>
      </c>
      <c r="AH116" s="81" t="str">
        <f t="shared" si="38"/>
        <v>"%USERPROFILE%\Documents\GitHub\eaglep3\Utilities\RefineRTDCRunTimes.py" --tripid 210-06 --locoid 4017 --swversion DE.1.0.9.0 --startMP 204:232927 --initTime 2017-05-06T18:02:37 --startdatetime 2017-05-06T18:11:15 --delay 0 --endMP 204:150 --enddatetime 2017-05-06T18:53:59 --enforcementcount 0 &gt;&gt;C:\Users\stu\Documents\GitHub\eaglep3-reporting\EC\2017-05-06-refined-times.txt</v>
      </c>
      <c r="AI116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{"issue":{"subject":"","project_id":79,"tracker_id":40,"status_id":1,"priority_id":2,"assigned_to_id":23,"start_date":"2017-05-06","description":"","custom_fields":[{"id":1,"name":"Subdivision","value":"EC"},{"id":4,"name":"Milepost","value":"0.015"},{"id":17,"name":"Train ID","value":"210-06"},{"id":16,"name":"Locomotive ID","value":"4017"},{"id":130,"name":"Impact","value":""},{"id":150,"name":"Time of Event (Mountain Time)","value":"18:53:59"},{"id":151,"name":"Denver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0"/>
        <v>start /low /b %USERPROFILE%\Documents\GitHub\eaglep3\Utilities\DownloadLogsFromS3.py --loco 4017 --day 2017-05-06</v>
      </c>
      <c r="AN116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00:53:59"},{"id":29,"name":"Sharepoint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707</v>
      </c>
      <c r="B117" s="7">
        <v>4044</v>
      </c>
      <c r="C117" s="21" t="s">
        <v>210</v>
      </c>
      <c r="D117" s="21" t="s">
        <v>432</v>
      </c>
      <c r="E117" s="13">
        <v>42861.727129629631</v>
      </c>
      <c r="F117" s="13">
        <v>42861.729351851849</v>
      </c>
      <c r="G117" s="7">
        <v>2</v>
      </c>
      <c r="H117" s="21" t="s">
        <v>886</v>
      </c>
      <c r="I117" s="13">
        <v>42861.755266203705</v>
      </c>
      <c r="J117" s="7">
        <v>0</v>
      </c>
      <c r="K117" s="92" t="str">
        <f t="shared" si="24"/>
        <v>4043/4044</v>
      </c>
      <c r="L117" s="21" t="str">
        <f>VLOOKUP(A117,'Trips&amp;Operators'!$C$1:$G$99999,5,FALSE)</f>
        <v>LEVIN SCOTT</v>
      </c>
      <c r="M117" s="6">
        <f t="shared" si="25"/>
        <v>2.5914351856044959E-2</v>
      </c>
      <c r="N117" s="7">
        <f t="shared" si="26"/>
        <v>37.316666672704741</v>
      </c>
      <c r="O117" s="7"/>
      <c r="P117" s="7"/>
      <c r="Q117" s="22"/>
      <c r="R117" s="190"/>
      <c r="S117" s="196">
        <f t="shared" si="27"/>
        <v>1</v>
      </c>
      <c r="T117" s="190" t="str">
        <f t="shared" si="28"/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29"/>
        <v>https://d0f6bd738d7f1b3e5a7ca70fe4ff75f0.us-east-1.aws.found.io/app/kibana#/discover/Steve-Slow-Train-Analysis-(2080s-and-2083s)?_g=(refreshInterval:(display:Off,pause:!f,section:0,value:0),time:(from:'2017-05-06T16:27:04-0600',mode:absolute,to:'2017-05-06T19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7" s="192" t="str">
        <f t="shared" si="30"/>
        <v>N</v>
      </c>
      <c r="X117" s="192">
        <f t="shared" si="43"/>
        <v>1</v>
      </c>
      <c r="Y117" s="192">
        <f t="shared" si="31"/>
        <v>4.2700000000000002E-2</v>
      </c>
      <c r="Z117" s="192">
        <f t="shared" si="32"/>
        <v>23.336400000000001</v>
      </c>
      <c r="AA117" s="192">
        <f t="shared" si="33"/>
        <v>23.293700000000001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4"/>
        <v>0211-06</v>
      </c>
      <c r="AE117" s="80" t="str">
        <f t="shared" si="35"/>
        <v>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 &amp; 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</v>
      </c>
      <c r="AF117" s="77" t="str">
        <f t="shared" si="36"/>
        <v>"C:\Program Files (x86)\AstroGrep\AstroGrep.exe" /e /r /s /spath="%USERPROFILE%\AppData\Local\Temp\OnboardLogs" /stypes="app*4044*20170507*" /stext=" 00:.+((SYSTEM_STATE.+slice.+state.+changed )|(ment ac)|(multiple cpu faults)|(system.+state.+changed )|(\[timeout)|(PRM\|1\|D)|(kpr)|(kdp)|(train st.+moving)|(\|lc)|(penalty))"</v>
      </c>
      <c r="AG117" s="1" t="str">
        <f t="shared" si="37"/>
        <v>EC</v>
      </c>
      <c r="AH117" s="81" t="str">
        <f t="shared" si="38"/>
        <v>"%USERPROFILE%\Documents\GitHub\eaglep3\Utilities\RefineRTDCRunTimes.py" --tripid 211-06 --locoid 4044 --swversion DE.1.0.9.0 --startMP 204:427 --initTime 2017-05-06T17:27:04 --startdatetime 2017-05-06T17:30:16 --delay 2 --endMP 204:233364 --enddatetime 2017-05-06T18:07:35 --enforcementcount 0 &gt;&gt;C:\Users\stu\Documents\GitHub\eaglep3-reporting\EC\2017-05-06-refined-times.txt</v>
      </c>
      <c r="AI117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{"issue":{"subject":"","project_id":79,"tracker_id":40,"status_id":1,"priority_id":2,"assigned_to_id":23,"start_date":"2017-05-06","description":"","custom_fields":[{"id":1,"name":"Subdivision","value":"EC"},{"id":4,"name":"Milepost","value":"23.3364"},{"id":17,"name":"Train ID","value":"211-06"},{"id":16,"name":"Locomotive ID","value":"4044"},{"id":130,"name":"Impact","value":""},{"id":150,"name":"Time of Event (Mountain Time)","value":"18:07:35"},{"id":151,"name":"Denver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0"/>
        <v>start /low /b %USERPROFILE%\Documents\GitHub\eaglep3\Utilities\DownloadLogsFromS3.py --loco 4044 --day 2017-05-06</v>
      </c>
      <c r="AN117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00:07:35"},{"id":29,"name":"Sharepoint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718</v>
      </c>
      <c r="B118" s="7">
        <v>4043</v>
      </c>
      <c r="C118" s="21" t="s">
        <v>210</v>
      </c>
      <c r="D118" s="21" t="s">
        <v>887</v>
      </c>
      <c r="E118" s="13">
        <v>42861.763483796298</v>
      </c>
      <c r="F118" s="13">
        <v>42861.768321759257</v>
      </c>
      <c r="G118" s="7">
        <v>1</v>
      </c>
      <c r="H118" s="21" t="s">
        <v>795</v>
      </c>
      <c r="I118" s="13">
        <v>42861.797210648147</v>
      </c>
      <c r="J118" s="7">
        <v>0</v>
      </c>
      <c r="K118" s="92" t="str">
        <f t="shared" si="24"/>
        <v>4043/4044</v>
      </c>
      <c r="L118" s="21" t="str">
        <f>VLOOKUP(A118,'Trips&amp;Operators'!$C$1:$G$99999,5,FALSE)</f>
        <v>LEVIN SCOTT</v>
      </c>
      <c r="M118" s="6">
        <f t="shared" si="25"/>
        <v>2.8888888889923692E-2</v>
      </c>
      <c r="N118" s="7">
        <f t="shared" si="26"/>
        <v>41.600000001490116</v>
      </c>
      <c r="O118" s="7"/>
      <c r="P118" s="7"/>
      <c r="Q118" s="22"/>
      <c r="R118" s="190"/>
      <c r="S118" s="196">
        <f t="shared" si="27"/>
        <v>1</v>
      </c>
      <c r="T118" s="190" t="str">
        <f t="shared" si="28"/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29"/>
        <v>https://d0f6bd738d7f1b3e5a7ca70fe4ff75f0.us-east-1.aws.found.io/app/kibana#/discover/Steve-Slow-Train-Analysis-(2080s-and-2083s)?_g=(refreshInterval:(display:Off,pause:!f,section:0,value:0),time:(from:'2017-05-06T17:19:25-0600',mode:absolute,to:'2017-05-06T20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8" s="192" t="str">
        <f t="shared" si="30"/>
        <v>N</v>
      </c>
      <c r="X118" s="192">
        <f t="shared" si="43"/>
        <v>1</v>
      </c>
      <c r="Y118" s="192">
        <f t="shared" si="31"/>
        <v>23.308299999999999</v>
      </c>
      <c r="Z118" s="192">
        <f t="shared" si="32"/>
        <v>1.2999999999999999E-2</v>
      </c>
      <c r="AA118" s="192">
        <f t="shared" si="33"/>
        <v>23.295299999999997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4"/>
        <v>0212-06</v>
      </c>
      <c r="AE118" s="80" t="str">
        <f t="shared" si="35"/>
        <v>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 &amp; 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</v>
      </c>
      <c r="AF118" s="77" t="str">
        <f t="shared" si="36"/>
        <v>"C:\Program Files (x86)\AstroGrep\AstroGrep.exe" /e /r /s /spath="%USERPROFILE%\AppData\Local\Temp\OnboardLogs" /stypes="app*4043*20170507*" /stext=" 01:.+((SYSTEM_STATE.+slice.+state.+changed )|(ment ac)|(multiple cpu faults)|(system.+state.+changed )|(\[timeout)|(PRM\|1\|D)|(kpr)|(kdp)|(train st.+moving)|(\|lc)|(penalty))"</v>
      </c>
      <c r="AG118" s="1" t="str">
        <f t="shared" si="37"/>
        <v>EC</v>
      </c>
      <c r="AH118" s="81" t="str">
        <f t="shared" si="38"/>
        <v>"%USERPROFILE%\Documents\GitHub\eaglep3\Utilities\RefineRTDCRunTimes.py" --tripid 212-06 --locoid 4043 --swversion DE.1.0.9.0 --startMP 204:233083 --initTime 2017-05-06T18:19:25 --startdatetime 2017-05-06T18:26:23 --delay 1 --endMP 204:130 --enddatetime 2017-05-06T19:07:59 --enforcementcount 0 &gt;&gt;C:\Users\stu\Documents\GitHub\eaglep3-reporting\EC\2017-05-06-refined-times.txt</v>
      </c>
      <c r="AI118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{"issue":{"subject":"","project_id":79,"tracker_id":40,"status_id":1,"priority_id":2,"assigned_to_id":23,"start_date":"2017-05-06","description":"","custom_fields":[{"id":1,"name":"Subdivision","value":"EC"},{"id":4,"name":"Milepost","value":"0.013"},{"id":17,"name":"Train ID","value":"212-06"},{"id":16,"name":"Locomotive ID","value":"4043"},{"id":130,"name":"Impact","value":""},{"id":150,"name":"Time of Event (Mountain Time)","value":"19:07:59"},{"id":151,"name":"Denver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0"/>
        <v>start /low /b %USERPROFILE%\Documents\GitHub\eaglep3\Utilities\DownloadLogsFromS3.py --loco 4043 --day 2017-05-06</v>
      </c>
      <c r="AN118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01:07:59"},{"id":29,"name":"Sharepoint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708</v>
      </c>
      <c r="B119" s="7">
        <v>4054</v>
      </c>
      <c r="C119" s="21" t="s">
        <v>210</v>
      </c>
      <c r="D119" s="21" t="s">
        <v>404</v>
      </c>
      <c r="E119" s="13">
        <v>42861.735150462962</v>
      </c>
      <c r="F119" s="13">
        <v>42861.739768518521</v>
      </c>
      <c r="G119" s="7">
        <v>1</v>
      </c>
      <c r="H119" s="21" t="s">
        <v>414</v>
      </c>
      <c r="I119" s="13">
        <v>42861.766631944447</v>
      </c>
      <c r="J119" s="7">
        <v>0</v>
      </c>
      <c r="K119" s="92" t="str">
        <f t="shared" si="24"/>
        <v>4053/4054</v>
      </c>
      <c r="L119" s="21" t="str">
        <f>VLOOKUP(A119,'Trips&amp;Operators'!$C$1:$G$99999,5,FALSE)</f>
        <v>SMITH MICHAEL</v>
      </c>
      <c r="M119" s="6">
        <f t="shared" si="25"/>
        <v>2.6863425926421769E-2</v>
      </c>
      <c r="N119" s="7">
        <f t="shared" si="26"/>
        <v>38.683333334047347</v>
      </c>
      <c r="O119" s="7"/>
      <c r="P119" s="7"/>
      <c r="Q119" s="22"/>
      <c r="R119" s="190"/>
      <c r="S119" s="196">
        <f t="shared" si="27"/>
        <v>1</v>
      </c>
      <c r="T119" s="190" t="str">
        <f t="shared" si="28"/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29"/>
        <v>https://d0f6bd738d7f1b3e5a7ca70fe4ff75f0.us-east-1.aws.found.io/app/kibana#/discover/Steve-Slow-Train-Analysis-(2080s-and-2083s)?_g=(refreshInterval:(display:Off,pause:!f,section:0,value:0),time:(from:'2017-05-06T16:38:37-0600',mode:absolute,to:'2017-05-06T19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9" s="192" t="str">
        <f t="shared" si="30"/>
        <v>N</v>
      </c>
      <c r="X119" s="192">
        <f t="shared" si="43"/>
        <v>1</v>
      </c>
      <c r="Y119" s="192">
        <f t="shared" si="31"/>
        <v>4.4699999999999997E-2</v>
      </c>
      <c r="Z119" s="192">
        <f t="shared" si="32"/>
        <v>23.328199999999999</v>
      </c>
      <c r="AA119" s="192">
        <f t="shared" si="33"/>
        <v>23.2835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4"/>
        <v>0213-06</v>
      </c>
      <c r="AE119" s="80" t="str">
        <f t="shared" si="35"/>
        <v>aws s3 cp s3://rtdc.mdm.uploadarchive.raw/RTDC4054/ "%USERPROFILE%\AppData\Local\Temp\OnboardLogs"\RTDC4054\2017-05-06 --exclude "*" --recursive --include "*20170506*" &amp; "%USERPROFILE%\Documents\GitHub\mrs-test-scripts\Headless Mode &amp; Sideloading\WalkAndUnGZ.bat" "%USERPROFILE%\AppData\Local\Temp\OnboardLogs"\RTDC4054\2017-05-06 &amp; aws s3 cp s3://rtdc.mdm.uploadarchive.raw/RTDC4054/ "%USERPROFILE%\AppData\Local\Temp\OnboardLogs"\RTDC4054\2017-05-07 --exclude "*" --recursive --include "*20170507*" &amp; "%USERPROFILE%\Documents\GitHub\mrs-test-scripts\Headless Mode &amp; Sideloading\WalkAndUnGZ.bat" "%USERPROFILE%\AppData\Local\Temp\OnboardLogs"\RTDC4054\2017-05-07</v>
      </c>
      <c r="AF119" s="77" t="str">
        <f t="shared" si="36"/>
        <v>"C:\Program Files (x86)\AstroGrep\AstroGrep.exe" /e /r /s /spath="%USERPROFILE%\AppData\Local\Temp\OnboardLogs" /stypes="app*4054*20170507*" /stext=" 00:.+((SYSTEM_STATE.+slice.+state.+changed )|(ment ac)|(multiple cpu faults)|(system.+state.+changed )|(\[timeout)|(PRM\|1\|D)|(kpr)|(kdp)|(train st.+moving)|(\|lc)|(penalty))"</v>
      </c>
      <c r="AG119" s="1" t="str">
        <f t="shared" si="37"/>
        <v>EC</v>
      </c>
      <c r="AH119" s="81" t="str">
        <f t="shared" si="38"/>
        <v>"%USERPROFILE%\Documents\GitHub\eaglep3\Utilities\RefineRTDCRunTimes.py" --tripid 213-06 --locoid 4054 --swversion DE.1.0.9.0 --startMP 204:447 --initTime 2017-05-06T17:38:37 --startdatetime 2017-05-06T17:45:16 --delay 1 --endMP 204:233282 --enddatetime 2017-05-06T18:23:57 --enforcementcount 0 &gt;&gt;C:\Users\stu\Documents\GitHub\eaglep3-reporting\EC\2017-05-06-refined-times.txt</v>
      </c>
      <c r="AI119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{"issue":{"subject":"","project_id":79,"tracker_id":40,"status_id":1,"priority_id":2,"assigned_to_id":23,"start_date":"2017-05-06","description":"","custom_fields":[{"id":1,"name":"Subdivision","value":"EC"},{"id":4,"name":"Milepost","value":"23.3282"},{"id":17,"name":"Train ID","value":"213-06"},{"id":16,"name":"Locomotive ID","value":"4054"},{"id":130,"name":"Impact","value":""},{"id":150,"name":"Time of Event (Mountain Time)","value":"18:23:57"},{"id":151,"name":"Denver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0"/>
        <v>start /low /b %USERPROFILE%\Documents\GitHub\eaglep3\Utilities\DownloadLogsFromS3.py --loco 4054 --day 2017-05-06</v>
      </c>
      <c r="AN119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00:23:57"},{"id":29,"name":"Sharepoint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719</v>
      </c>
      <c r="B120" s="7">
        <v>4053</v>
      </c>
      <c r="C120" s="21" t="s">
        <v>210</v>
      </c>
      <c r="D120" s="21" t="s">
        <v>488</v>
      </c>
      <c r="E120" s="13">
        <v>42861.770914351851</v>
      </c>
      <c r="F120" s="13">
        <v>42861.778668981482</v>
      </c>
      <c r="G120" s="7">
        <v>1</v>
      </c>
      <c r="H120" s="21" t="s">
        <v>203</v>
      </c>
      <c r="I120" s="13">
        <v>42861.808009259257</v>
      </c>
      <c r="J120" s="7">
        <v>0</v>
      </c>
      <c r="K120" s="92" t="str">
        <f t="shared" si="24"/>
        <v>4053/4054</v>
      </c>
      <c r="L120" s="21" t="str">
        <f>VLOOKUP(A120,'Trips&amp;Operators'!$C$1:$G$99999,5,FALSE)</f>
        <v>SMITH MICHAEL</v>
      </c>
      <c r="M120" s="6">
        <f t="shared" si="25"/>
        <v>2.9340277775190771E-2</v>
      </c>
      <c r="N120" s="7">
        <f t="shared" si="26"/>
        <v>42.24999999627471</v>
      </c>
      <c r="O120" s="7"/>
      <c r="P120" s="7"/>
      <c r="Q120" s="22"/>
      <c r="R120" s="190"/>
      <c r="S120" s="196">
        <f t="shared" si="27"/>
        <v>1</v>
      </c>
      <c r="T120" s="190" t="str">
        <f t="shared" si="28"/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29"/>
        <v>https://d0f6bd738d7f1b3e5a7ca70fe4ff75f0.us-east-1.aws.found.io/app/kibana#/discover/Steve-Slow-Train-Analysis-(2080s-and-2083s)?_g=(refreshInterval:(display:Off,pause:!f,section:0,value:0),time:(from:'2017-05-06T17:30:07-0600',mode:absolute,to:'2017-05-06T20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0" s="192" t="str">
        <f t="shared" si="30"/>
        <v>N</v>
      </c>
      <c r="X120" s="192">
        <f t="shared" si="43"/>
        <v>1</v>
      </c>
      <c r="Y120" s="192">
        <f t="shared" si="31"/>
        <v>23.296700000000001</v>
      </c>
      <c r="Z120" s="192">
        <f t="shared" si="32"/>
        <v>1.54E-2</v>
      </c>
      <c r="AA120" s="192">
        <f t="shared" si="33"/>
        <v>23.281300000000002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4"/>
        <v>0214-06</v>
      </c>
      <c r="AE120" s="80" t="str">
        <f t="shared" si="35"/>
        <v>aws s3 cp s3://rtdc.mdm.uploadarchive.raw/RTDC4053/ "%USERPROFILE%\AppData\Local\Temp\OnboardLogs"\RTDC4053\2017-05-06 --exclude "*" --recursive --include "*20170506*" &amp; "%USERPROFILE%\Documents\GitHub\mrs-test-scripts\Headless Mode &amp; Sideloading\WalkAndUnGZ.bat" "%USERPROFILE%\AppData\Local\Temp\OnboardLogs"\RTDC4053\2017-05-06 &amp; aws s3 cp s3://rtdc.mdm.uploadarchive.raw/RTDC4053/ "%USERPROFILE%\AppData\Local\Temp\OnboardLogs"\RTDC4053\2017-05-07 --exclude "*" --recursive --include "*20170507*" &amp; "%USERPROFILE%\Documents\GitHub\mrs-test-scripts\Headless Mode &amp; Sideloading\WalkAndUnGZ.bat" "%USERPROFILE%\AppData\Local\Temp\OnboardLogs"\RTDC4053\2017-05-07</v>
      </c>
      <c r="AF120" s="77" t="str">
        <f t="shared" si="36"/>
        <v>"C:\Program Files (x86)\AstroGrep\AstroGrep.exe" /e /r /s /spath="%USERPROFILE%\AppData\Local\Temp\OnboardLogs" /stypes="app*4053*20170507*" /stext=" 01:.+((SYSTEM_STATE.+slice.+state.+changed )|(ment ac)|(multiple cpu faults)|(system.+state.+changed )|(\[timeout)|(PRM\|1\|D)|(kpr)|(kdp)|(train st.+moving)|(\|lc)|(penalty))"</v>
      </c>
      <c r="AG120" s="1" t="str">
        <f t="shared" si="37"/>
        <v>EC</v>
      </c>
      <c r="AH120" s="81" t="str">
        <f t="shared" si="38"/>
        <v>"%USERPROFILE%\Documents\GitHub\eaglep3\Utilities\RefineRTDCRunTimes.py" --tripid 214-06 --locoid 4053 --swversion DE.1.0.9.0 --startMP 204:232967 --initTime 2017-05-06T18:30:07 --startdatetime 2017-05-06T18:41:17 --delay 1 --endMP 204:154 --enddatetime 2017-05-06T19:23:32 --enforcementcount 0 &gt;&gt;C:\Users\stu\Documents\GitHub\eaglep3-reporting\EC\2017-05-06-refined-times.txt</v>
      </c>
      <c r="AI120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{"issue":{"subject":"","project_id":79,"tracker_id":40,"status_id":1,"priority_id":2,"assigned_to_id":23,"start_date":"2017-05-06","description":"","custom_fields":[{"id":1,"name":"Subdivision","value":"EC"},{"id":4,"name":"Milepost","value":"0.0154"},{"id":17,"name":"Train ID","value":"214-06"},{"id":16,"name":"Locomotive ID","value":"4053"},{"id":130,"name":"Impact","value":""},{"id":150,"name":"Time of Event (Mountain Time)","value":"19:23:32"},{"id":151,"name":"Denver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0"/>
        <v>start /low /b %USERPROFILE%\Documents\GitHub\eaglep3\Utilities\DownloadLogsFromS3.py --loco 4053 --day 2017-05-06</v>
      </c>
      <c r="AN120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01:23:32"},{"id":29,"name":"Sharepoint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713</v>
      </c>
      <c r="B121" s="7">
        <v>4042</v>
      </c>
      <c r="C121" s="21" t="s">
        <v>210</v>
      </c>
      <c r="D121" s="21" t="s">
        <v>383</v>
      </c>
      <c r="E121" s="13">
        <v>42861.748865740738</v>
      </c>
      <c r="F121" s="13">
        <v>42861.750532407408</v>
      </c>
      <c r="G121" s="7">
        <v>1</v>
      </c>
      <c r="H121" s="21" t="s">
        <v>387</v>
      </c>
      <c r="I121" s="13">
        <v>42861.776944444442</v>
      </c>
      <c r="J121" s="7">
        <v>0</v>
      </c>
      <c r="K121" s="92" t="str">
        <f t="shared" si="24"/>
        <v>4041/4042</v>
      </c>
      <c r="L121" s="21" t="str">
        <f>VLOOKUP(A121,'Trips&amp;Operators'!$C$1:$G$99999,5,FALSE)</f>
        <v>MOSES BRADLEY</v>
      </c>
      <c r="M121" s="6">
        <f t="shared" si="25"/>
        <v>2.6412037033878732E-2</v>
      </c>
      <c r="N121" s="7">
        <f t="shared" si="26"/>
        <v>38.033333328785375</v>
      </c>
      <c r="O121" s="7"/>
      <c r="P121" s="7"/>
      <c r="Q121" s="22"/>
      <c r="R121" s="190"/>
      <c r="S121" s="196">
        <f t="shared" si="27"/>
        <v>1</v>
      </c>
      <c r="T121" s="190" t="str">
        <f t="shared" si="28"/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29"/>
        <v>https://d0f6bd738d7f1b3e5a7ca70fe4ff75f0.us-east-1.aws.found.io/app/kibana#/discover/Steve-Slow-Train-Analysis-(2080s-and-2083s)?_g=(refreshInterval:(display:Off,pause:!f,section:0,value:0),time:(from:'2017-05-06T16:58:22-0600',mode:absolute,to:'2017-05-06T19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1" s="192" t="str">
        <f t="shared" si="30"/>
        <v>N</v>
      </c>
      <c r="X121" s="192">
        <f t="shared" si="43"/>
        <v>1</v>
      </c>
      <c r="Y121" s="192">
        <f t="shared" si="31"/>
        <v>4.6899999999999997E-2</v>
      </c>
      <c r="Z121" s="192">
        <f t="shared" si="32"/>
        <v>23.331399999999999</v>
      </c>
      <c r="AA121" s="192">
        <f t="shared" si="33"/>
        <v>23.284499999999998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4"/>
        <v>0215-06</v>
      </c>
      <c r="AE121" s="80" t="str">
        <f t="shared" si="35"/>
        <v>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 &amp; aws s3 cp s3://rtdc.mdm.uploadarchive.raw/RTDC4042/ "%USERPROFILE%\AppData\Local\Temp\OnboardLogs"\RTDC4042\2017-05-07 --exclude "*" --recursive --include "*20170507*" &amp; "%USERPROFILE%\Documents\GitHub\mrs-test-scripts\Headless Mode &amp; Sideloading\WalkAndUnGZ.bat" "%USERPROFILE%\AppData\Local\Temp\OnboardLogs"\RTDC4042\2017-05-07</v>
      </c>
      <c r="AF121" s="77" t="str">
        <f t="shared" si="36"/>
        <v>"C:\Program Files (x86)\AstroGrep\AstroGrep.exe" /e /r /s /spath="%USERPROFILE%\AppData\Local\Temp\OnboardLogs" /stypes="app*4042*20170507*" /stext=" 00:.+((SYSTEM_STATE.+slice.+state.+changed )|(ment ac)|(multiple cpu faults)|(system.+state.+changed )|(\[timeout)|(PRM\|1\|D)|(kpr)|(kdp)|(train st.+moving)|(\|lc)|(penalty))"</v>
      </c>
      <c r="AG121" s="1" t="str">
        <f t="shared" si="37"/>
        <v>EC</v>
      </c>
      <c r="AH121" s="81" t="str">
        <f t="shared" si="38"/>
        <v>"%USERPROFILE%\Documents\GitHub\eaglep3\Utilities\RefineRTDCRunTimes.py" --tripid 215-06 --locoid 4042 --swversion DE.1.0.9.0 --startMP 204:469 --initTime 2017-05-06T17:58:22 --startdatetime 2017-05-06T18:00:46 --delay 1 --endMP 204:233314 --enddatetime 2017-05-06T18:38:48 --enforcementcount 0 &gt;&gt;C:\Users\stu\Documents\GitHub\eaglep3-reporting\EC\2017-05-06-refined-times.txt</v>
      </c>
      <c r="AI121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{"issue":{"subject":"","project_id":79,"tracker_id":40,"status_id":1,"priority_id":2,"assigned_to_id":23,"start_date":"2017-05-06","description":"","custom_fields":[{"id":1,"name":"Subdivision","value":"EC"},{"id":4,"name":"Milepost","value":"23.3314"},{"id":17,"name":"Train ID","value":"215-06"},{"id":16,"name":"Locomotive ID","value":"4042"},{"id":130,"name":"Impact","value":""},{"id":150,"name":"Time of Event (Mountain Time)","value":"18:38:48"},{"id":151,"name":"Denver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0"/>
        <v>start /low /b %USERPROFILE%\Documents\GitHub\eaglep3\Utilities\DownloadLogsFromS3.py --loco 4042 --day 2017-05-06</v>
      </c>
      <c r="AN121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00:38:48"},{"id":29,"name":"Sharepoint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723</v>
      </c>
      <c r="B122" s="7">
        <v>4041</v>
      </c>
      <c r="C122" s="21" t="s">
        <v>210</v>
      </c>
      <c r="D122" s="21" t="s">
        <v>465</v>
      </c>
      <c r="E122" s="13">
        <v>42861.785381944443</v>
      </c>
      <c r="F122" s="13">
        <v>42861.789201388892</v>
      </c>
      <c r="G122" s="7">
        <v>1</v>
      </c>
      <c r="H122" s="21" t="s">
        <v>460</v>
      </c>
      <c r="I122" s="13">
        <v>42861.819027777776</v>
      </c>
      <c r="J122" s="7">
        <v>0</v>
      </c>
      <c r="K122" s="92" t="str">
        <f t="shared" si="24"/>
        <v>4041/4042</v>
      </c>
      <c r="L122" s="21" t="str">
        <f>VLOOKUP(A122,'Trips&amp;Operators'!$C$1:$G$99999,5,FALSE)</f>
        <v>MOSES BRADLEY</v>
      </c>
      <c r="M122" s="6">
        <f t="shared" si="25"/>
        <v>2.9826388883520849E-2</v>
      </c>
      <c r="N122" s="7">
        <f t="shared" si="26"/>
        <v>42.949999992270023</v>
      </c>
      <c r="O122" s="7"/>
      <c r="P122" s="7"/>
      <c r="Q122" s="22"/>
      <c r="R122" s="190"/>
      <c r="S122" s="196">
        <f t="shared" si="27"/>
        <v>1</v>
      </c>
      <c r="T122" s="190" t="str">
        <f t="shared" si="28"/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29"/>
        <v>https://d0f6bd738d7f1b3e5a7ca70fe4ff75f0.us-east-1.aws.found.io/app/kibana#/discover/Steve-Slow-Train-Analysis-(2080s-and-2083s)?_g=(refreshInterval:(display:Off,pause:!f,section:0,value:0),time:(from:'2017-05-06T17:50:57-0600',mode:absolute,to:'2017-05-06T20:39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2" s="192" t="str">
        <f t="shared" si="30"/>
        <v>N</v>
      </c>
      <c r="X122" s="192">
        <f t="shared" si="43"/>
        <v>1</v>
      </c>
      <c r="Y122" s="192">
        <f t="shared" si="31"/>
        <v>23.299099999999999</v>
      </c>
      <c r="Z122" s="192">
        <f t="shared" si="32"/>
        <v>1.72E-2</v>
      </c>
      <c r="AA122" s="192">
        <f t="shared" si="33"/>
        <v>23.2819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4"/>
        <v>0216-06</v>
      </c>
      <c r="AE122" s="80" t="str">
        <f t="shared" si="35"/>
        <v>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 &amp; 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</v>
      </c>
      <c r="AF122" s="77" t="str">
        <f t="shared" si="36"/>
        <v>"C:\Program Files (x86)\AstroGrep\AstroGrep.exe" /e /r /s /spath="%USERPROFILE%\AppData\Local\Temp\OnboardLogs" /stypes="app*4041*20170507*" /stext=" 01:.+((SYSTEM_STATE.+slice.+state.+changed )|(ment ac)|(multiple cpu faults)|(system.+state.+changed )|(\[timeout)|(PRM\|1\|D)|(kpr)|(kdp)|(train st.+moving)|(\|lc)|(penalty))"</v>
      </c>
      <c r="AG122" s="1" t="str">
        <f t="shared" si="37"/>
        <v>EC</v>
      </c>
      <c r="AH122" s="81" t="str">
        <f t="shared" si="38"/>
        <v>"%USERPROFILE%\Documents\GitHub\eaglep3\Utilities\RefineRTDCRunTimes.py" --tripid 216-06 --locoid 4041 --swversion DE.1.0.9.0 --startMP 204:232991 --initTime 2017-05-06T18:50:57 --startdatetime 2017-05-06T18:56:27 --delay 1 --endMP 204:172 --enddatetime 2017-05-06T19:39:24 --enforcementcount 0 &gt;&gt;C:\Users\stu\Documents\GitHub\eaglep3-reporting\EC\2017-05-06-refined-times.txt</v>
      </c>
      <c r="AI122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{"issue":{"subject":"","project_id":79,"tracker_id":40,"status_id":1,"priority_id":2,"assigned_to_id":23,"start_date":"2017-05-06","description":"","custom_fields":[{"id":1,"name":"Subdivision","value":"EC"},{"id":4,"name":"Milepost","value":"0.0172"},{"id":17,"name":"Train ID","value":"216-06"},{"id":16,"name":"Locomotive ID","value":"4041"},{"id":130,"name":"Impact","value":""},{"id":150,"name":"Time of Event (Mountain Time)","value":"19:39:24"},{"id":151,"name":"Denver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0"/>
        <v>start /low /b %USERPROFILE%\Documents\GitHub\eaglep3\Utilities\DownloadLogsFromS3.py --loco 4041 --day 2017-05-06</v>
      </c>
      <c r="AN122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01:39:24"},{"id":29,"name":"Sharepoint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716</v>
      </c>
      <c r="B123" s="7">
        <v>4010</v>
      </c>
      <c r="C123" s="21" t="s">
        <v>210</v>
      </c>
      <c r="D123" s="21" t="s">
        <v>382</v>
      </c>
      <c r="E123" s="13">
        <v>42861.758738425924</v>
      </c>
      <c r="F123" s="13">
        <v>42861.761550925927</v>
      </c>
      <c r="G123" s="7">
        <v>1</v>
      </c>
      <c r="H123" s="21" t="s">
        <v>888</v>
      </c>
      <c r="I123" s="13">
        <v>42861.787094907406</v>
      </c>
      <c r="J123" s="7">
        <v>0</v>
      </c>
      <c r="K123" s="92" t="str">
        <f t="shared" si="24"/>
        <v>4009/4010</v>
      </c>
      <c r="L123" s="21" t="str">
        <f>VLOOKUP(A123,'Trips&amp;Operators'!$C$1:$G$99999,5,FALSE)</f>
        <v>STAMBAUGH JAMES</v>
      </c>
      <c r="M123" s="6">
        <f t="shared" si="25"/>
        <v>2.5543981479131617E-2</v>
      </c>
      <c r="N123" s="7">
        <f t="shared" si="26"/>
        <v>36.783333329949528</v>
      </c>
      <c r="O123" s="7"/>
      <c r="P123" s="7"/>
      <c r="Q123" s="22"/>
      <c r="R123" s="190"/>
      <c r="S123" s="196">
        <f t="shared" si="27"/>
        <v>1</v>
      </c>
      <c r="T123" s="190" t="str">
        <f t="shared" si="28"/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29"/>
        <v>https://d0f6bd738d7f1b3e5a7ca70fe4ff75f0.us-east-1.aws.found.io/app/kibana#/discover/Steve-Slow-Train-Analysis-(2080s-and-2083s)?_g=(refreshInterval:(display:Off,pause:!f,section:0,value:0),time:(from:'2017-05-06T17:12:35-0600',mode:absolute,to:'2017-05-06T19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3" s="192" t="str">
        <f t="shared" si="30"/>
        <v>N</v>
      </c>
      <c r="X123" s="192">
        <f t="shared" si="43"/>
        <v>1</v>
      </c>
      <c r="Y123" s="192">
        <f t="shared" si="31"/>
        <v>4.6600000000000003E-2</v>
      </c>
      <c r="Z123" s="192">
        <f t="shared" si="32"/>
        <v>23.3414</v>
      </c>
      <c r="AA123" s="192">
        <f t="shared" si="33"/>
        <v>23.294799999999999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4"/>
        <v>0217-06</v>
      </c>
      <c r="AE123" s="80" t="str">
        <f t="shared" si="35"/>
        <v>aws s3 cp s3://rtdc.mdm.uploadarchive.raw/RTDC4010/ "%USERPROFILE%\AppData\Local\Temp\OnboardLogs"\RTDC4010\2017-05-06 --exclude "*" --recursive --include "*20170506*" &amp; "%USERPROFILE%\Documents\GitHub\mrs-test-scripts\Headless Mode &amp; Sideloading\WalkAndUnGZ.bat" "%USERPROFILE%\AppData\Local\Temp\OnboardLogs"\RTDC4010\2017-05-06 &amp; aws s3 cp s3://rtdc.mdm.uploadarchive.raw/RTDC4010/ "%USERPROFILE%\AppData\Local\Temp\OnboardLogs"\RTDC4010\2017-05-07 --exclude "*" --recursive --include "*20170507*" &amp; "%USERPROFILE%\Documents\GitHub\mrs-test-scripts\Headless Mode &amp; Sideloading\WalkAndUnGZ.bat" "%USERPROFILE%\AppData\Local\Temp\OnboardLogs"\RTDC4010\2017-05-07</v>
      </c>
      <c r="AF123" s="77" t="str">
        <f t="shared" si="36"/>
        <v>"C:\Program Files (x86)\AstroGrep\AstroGrep.exe" /e /r /s /spath="%USERPROFILE%\AppData\Local\Temp\OnboardLogs" /stypes="app*4010*20170507*" /stext=" 00:.+((SYSTEM_STATE.+slice.+state.+changed )|(ment ac)|(multiple cpu faults)|(system.+state.+changed )|(\[timeout)|(PRM\|1\|D)|(kpr)|(kdp)|(train st.+moving)|(\|lc)|(penalty))"</v>
      </c>
      <c r="AG123" s="1" t="str">
        <f t="shared" si="37"/>
        <v>EC</v>
      </c>
      <c r="AH123" s="81" t="str">
        <f t="shared" si="38"/>
        <v>"%USERPROFILE%\Documents\GitHub\eaglep3\Utilities\RefineRTDCRunTimes.py" --tripid 217-06 --locoid 4010 --swversion DE.1.0.9.0 --startMP 204:466 --initTime 2017-05-06T18:12:35 --startdatetime 2017-05-06T18:16:38 --delay 1 --endMP 204:233414 --enddatetime 2017-05-06T18:53:25 --enforcementcount 0 &gt;&gt;C:\Users\stu\Documents\GitHub\eaglep3-reporting\EC\2017-05-06-refined-times.txt</v>
      </c>
      <c r="AI123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{"issue":{"subject":"","project_id":79,"tracker_id":40,"status_id":1,"priority_id":2,"assigned_to_id":23,"start_date":"2017-05-06","description":"","custom_fields":[{"id":1,"name":"Subdivision","value":"EC"},{"id":4,"name":"Milepost","value":"23.3414"},{"id":17,"name":"Train ID","value":"217-06"},{"id":16,"name":"Locomotive ID","value":"4010"},{"id":130,"name":"Impact","value":""},{"id":150,"name":"Time of Event (Mountain Time)","value":"18:53:25"},{"id":151,"name":"Denver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0"/>
        <v>start /low /b %USERPROFILE%\Documents\GitHub\eaglep3\Utilities\DownloadLogsFromS3.py --loco 4010 --day 2017-05-06</v>
      </c>
      <c r="AN123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00:53:25"},{"id":29,"name":"Sharepoint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724</v>
      </c>
      <c r="B124" s="7">
        <v>4009</v>
      </c>
      <c r="C124" s="21" t="s">
        <v>210</v>
      </c>
      <c r="D124" s="21" t="s">
        <v>889</v>
      </c>
      <c r="E124" s="13">
        <v>42861.796018518522</v>
      </c>
      <c r="F124" s="13">
        <v>42861.799803240741</v>
      </c>
      <c r="G124" s="7">
        <v>1</v>
      </c>
      <c r="H124" s="21" t="s">
        <v>416</v>
      </c>
      <c r="I124" s="13">
        <v>42861.826516203706</v>
      </c>
      <c r="J124" s="7">
        <v>0</v>
      </c>
      <c r="K124" s="92" t="str">
        <f t="shared" si="24"/>
        <v>4009/4010</v>
      </c>
      <c r="L124" s="21" t="str">
        <f>VLOOKUP(A124,'Trips&amp;Operators'!$C$1:$G$99999,5,FALSE)</f>
        <v>STAMBAUGH JAMES</v>
      </c>
      <c r="M124" s="6">
        <f t="shared" si="25"/>
        <v>2.6712962964666076E-2</v>
      </c>
      <c r="N124" s="7">
        <f t="shared" si="26"/>
        <v>38.466666669119149</v>
      </c>
      <c r="O124" s="7"/>
      <c r="P124" s="7"/>
      <c r="Q124" s="22"/>
      <c r="R124" s="190"/>
      <c r="S124" s="196">
        <f t="shared" si="27"/>
        <v>1</v>
      </c>
      <c r="T124" s="190" t="str">
        <f t="shared" si="28"/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29"/>
        <v>https://d0f6bd738d7f1b3e5a7ca70fe4ff75f0.us-east-1.aws.found.io/app/kibana#/discover/Steve-Slow-Train-Analysis-(2080s-and-2083s)?_g=(refreshInterval:(display:Off,pause:!f,section:0,value:0),time:(from:'2017-05-06T18:06:16-0600',mode:absolute,to:'2017-05-06T20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4" s="192" t="str">
        <f t="shared" si="30"/>
        <v>N</v>
      </c>
      <c r="X124" s="192">
        <f t="shared" si="43"/>
        <v>1</v>
      </c>
      <c r="Y124" s="192">
        <f t="shared" si="31"/>
        <v>23.3111</v>
      </c>
      <c r="Z124" s="192">
        <f t="shared" si="32"/>
        <v>1.47E-2</v>
      </c>
      <c r="AA124" s="192">
        <f t="shared" si="33"/>
        <v>23.296399999999998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4"/>
        <v>0218-06</v>
      </c>
      <c r="AE124" s="80" t="str">
        <f t="shared" si="35"/>
        <v>aws s3 cp s3://rtdc.mdm.uploadarchive.raw/RTDC4009/ "%USERPROFILE%\AppData\Local\Temp\OnboardLogs"\RTDC4009\2017-05-06 --exclude "*" --recursive --include "*20170506*" &amp; "%USERPROFILE%\Documents\GitHub\mrs-test-scripts\Headless Mode &amp; Sideloading\WalkAndUnGZ.bat" "%USERPROFILE%\AppData\Local\Temp\OnboardLogs"\RTDC4009\2017-05-06 &amp; aws s3 cp s3://rtdc.mdm.uploadarchive.raw/RTDC4009/ "%USERPROFILE%\AppData\Local\Temp\OnboardLogs"\RTDC4009\2017-05-07 --exclude "*" --recursive --include "*20170507*" &amp; "%USERPROFILE%\Documents\GitHub\mrs-test-scripts\Headless Mode &amp; Sideloading\WalkAndUnGZ.bat" "%USERPROFILE%\AppData\Local\Temp\OnboardLogs"\RTDC4009\2017-05-07</v>
      </c>
      <c r="AF124" s="77" t="str">
        <f t="shared" si="36"/>
        <v>"C:\Program Files (x86)\AstroGrep\AstroGrep.exe" /e /r /s /spath="%USERPROFILE%\AppData\Local\Temp\OnboardLogs" /stypes="app*4009*20170507*" /stext=" 01:.+((SYSTEM_STATE.+slice.+state.+changed )|(ment ac)|(multiple cpu faults)|(system.+state.+changed )|(\[timeout)|(PRM\|1\|D)|(kpr)|(kdp)|(train st.+moving)|(\|lc)|(penalty))"</v>
      </c>
      <c r="AG124" s="1" t="str">
        <f t="shared" si="37"/>
        <v>EC</v>
      </c>
      <c r="AH124" s="81" t="str">
        <f t="shared" si="38"/>
        <v>"%USERPROFILE%\Documents\GitHub\eaglep3\Utilities\RefineRTDCRunTimes.py" --tripid 218-06 --locoid 4009 --swversion DE.1.0.9.0 --startMP 204:233111 --initTime 2017-05-06T19:06:16 --startdatetime 2017-05-06T19:11:43 --delay 1 --endMP 204:147 --enddatetime 2017-05-06T19:50:11 --enforcementcount 0 &gt;&gt;C:\Users\stu\Documents\GitHub\eaglep3-reporting\EC\2017-05-06-refined-times.txt</v>
      </c>
      <c r="AI124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{"issue":{"subject":"","project_id":79,"tracker_id":40,"status_id":1,"priority_id":2,"assigned_to_id":23,"start_date":"2017-05-06","description":"","custom_fields":[{"id":1,"name":"Subdivision","value":"EC"},{"id":4,"name":"Milepost","value":"0.0147"},{"id":17,"name":"Train ID","value":"218-06"},{"id":16,"name":"Locomotive ID","value":"4009"},{"id":130,"name":"Impact","value":""},{"id":150,"name":"Time of Event (Mountain Time)","value":"19:50:11"},{"id":151,"name":"Denver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0"/>
        <v>start /low /b %USERPROFILE%\Documents\GitHub\eaglep3\Utilities\DownloadLogsFromS3.py --loco 4009 --day 2017-05-06</v>
      </c>
      <c r="AN124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01:50:11"},{"id":29,"name":"Sharepoint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548</v>
      </c>
      <c r="B125" s="7">
        <v>4024</v>
      </c>
      <c r="C125" s="21" t="s">
        <v>210</v>
      </c>
      <c r="D125" s="21" t="s">
        <v>396</v>
      </c>
      <c r="E125" s="13">
        <v>42861.768518518518</v>
      </c>
      <c r="F125" s="13">
        <v>42861.771087962959</v>
      </c>
      <c r="G125" s="7">
        <v>1</v>
      </c>
      <c r="H125" s="21" t="s">
        <v>890</v>
      </c>
      <c r="I125" s="13">
        <v>42861.797986111109</v>
      </c>
      <c r="J125" s="7">
        <v>0</v>
      </c>
      <c r="K125" s="92" t="str">
        <f t="shared" si="24"/>
        <v>4023/4024</v>
      </c>
      <c r="L125" s="21" t="str">
        <f>VLOOKUP(A125,'Trips&amp;Operators'!$C$1:$G$99999,5,FALSE)</f>
        <v>SWANSON BRYCE</v>
      </c>
      <c r="M125" s="6">
        <f t="shared" si="25"/>
        <v>2.6898148149484769E-2</v>
      </c>
      <c r="N125" s="7">
        <f t="shared" si="26"/>
        <v>38.733333335258067</v>
      </c>
      <c r="O125" s="7"/>
      <c r="P125" s="7"/>
      <c r="Q125" s="22"/>
      <c r="R125" s="190"/>
      <c r="S125" s="196">
        <f t="shared" si="27"/>
        <v>1</v>
      </c>
      <c r="T125" s="190" t="str">
        <f t="shared" si="28"/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29"/>
        <v>https://d0f6bd738d7f1b3e5a7ca70fe4ff75f0.us-east-1.aws.found.io/app/kibana#/discover/Steve-Slow-Train-Analysis-(2080s-and-2083s)?_g=(refreshInterval:(display:Off,pause:!f,section:0,value:0),time:(from:'2017-05-06T17:26:40-0600',mode:absolute,to:'2017-05-06T20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5" s="192" t="str">
        <f t="shared" si="30"/>
        <v>N</v>
      </c>
      <c r="X125" s="192">
        <f t="shared" si="43"/>
        <v>1</v>
      </c>
      <c r="Y125" s="192">
        <f t="shared" si="31"/>
        <v>4.3999999999999997E-2</v>
      </c>
      <c r="Z125" s="192">
        <f t="shared" si="32"/>
        <v>23.33</v>
      </c>
      <c r="AA125" s="192">
        <f t="shared" si="33"/>
        <v>23.285999999999998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4"/>
        <v>0219-06</v>
      </c>
      <c r="AE125" s="80" t="str">
        <f t="shared" si="35"/>
        <v>aws s3 cp s3://rtdc.mdm.uploadarchive.raw/RTDC4024/ "%USERPROFILE%\AppData\Local\Temp\OnboardLogs"\RTDC4024\2017-05-06 --exclude "*" --recursive --include "*20170506*" &amp; "%USERPROFILE%\Documents\GitHub\mrs-test-scripts\Headless Mode &amp; Sideloading\WalkAndUnGZ.bat" "%USERPROFILE%\AppData\Local\Temp\OnboardLogs"\RTDC4024\2017-05-06 &amp; aws s3 cp s3://rtdc.mdm.uploadarchive.raw/RTDC4024/ "%USERPROFILE%\AppData\Local\Temp\OnboardLogs"\RTDC4024\2017-05-07 --exclude "*" --recursive --include "*20170507*" &amp; "%USERPROFILE%\Documents\GitHub\mrs-test-scripts\Headless Mode &amp; Sideloading\WalkAndUnGZ.bat" "%USERPROFILE%\AppData\Local\Temp\OnboardLogs"\RTDC4024\2017-05-07</v>
      </c>
      <c r="AF125" s="77" t="str">
        <f t="shared" si="36"/>
        <v>"C:\Program Files (x86)\AstroGrep\AstroGrep.exe" /e /r /s /spath="%USERPROFILE%\AppData\Local\Temp\OnboardLogs" /stypes="app*4024*20170507*" /stext=" 01:.+((SYSTEM_STATE.+slice.+state.+changed )|(ment ac)|(multiple cpu faults)|(system.+state.+changed )|(\[timeout)|(PRM\|1\|D)|(kpr)|(kdp)|(train st.+moving)|(\|lc)|(penalty))"</v>
      </c>
      <c r="AG125" s="1" t="str">
        <f t="shared" si="37"/>
        <v>EC</v>
      </c>
      <c r="AH125" s="81" t="str">
        <f t="shared" si="38"/>
        <v>"%USERPROFILE%\Documents\GitHub\eaglep3\Utilities\RefineRTDCRunTimes.py" --tripid 219-06 --locoid 4024 --swversion DE.1.0.9.0 --startMP 204:440 --initTime 2017-05-06T18:26:40 --startdatetime 2017-05-06T18:30:22 --delay 1 --endMP 204:233300 --enddatetime 2017-05-06T19:09:06 --enforcementcount 0 &gt;&gt;C:\Users\stu\Documents\GitHub\eaglep3-reporting\EC\2017-05-06-refined-times.txt</v>
      </c>
      <c r="AI125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{"issue":{"subject":"","project_id":79,"tracker_id":40,"status_id":1,"priority_id":2,"assigned_to_id":23,"start_date":"2017-05-06","description":"","custom_fields":[{"id":1,"name":"Subdivision","value":"EC"},{"id":4,"name":"Milepost","value":"23.33"},{"id":17,"name":"Train ID","value":"219-06"},{"id":16,"name":"Locomotive ID","value":"4024"},{"id":130,"name":"Impact","value":""},{"id":150,"name":"Time of Event (Mountain Time)","value":"19:09:06"},{"id":151,"name":"Denver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0"/>
        <v>start /low /b %USERPROFILE%\Documents\GitHub\eaglep3\Utilities\DownloadLogsFromS3.py --loco 4024 --day 2017-05-06</v>
      </c>
      <c r="AN125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01:09:06"},{"id":29,"name":"Sharepoint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726</v>
      </c>
      <c r="B126" s="7">
        <v>4023</v>
      </c>
      <c r="C126" s="21" t="s">
        <v>210</v>
      </c>
      <c r="D126" s="21" t="s">
        <v>398</v>
      </c>
      <c r="E126" s="13">
        <v>42861.803564814814</v>
      </c>
      <c r="F126" s="13">
        <v>42861.809930555559</v>
      </c>
      <c r="G126" s="7">
        <v>1</v>
      </c>
      <c r="H126" s="21" t="s">
        <v>371</v>
      </c>
      <c r="I126" s="13">
        <v>42861.839004629626</v>
      </c>
      <c r="J126" s="7">
        <v>0</v>
      </c>
      <c r="K126" s="92" t="str">
        <f t="shared" si="24"/>
        <v>4023/4024</v>
      </c>
      <c r="L126" s="21" t="str">
        <f>VLOOKUP(A126,'Trips&amp;Operators'!$C$1:$G$99999,5,FALSE)</f>
        <v>SWANSON BRYCE</v>
      </c>
      <c r="M126" s="6">
        <f t="shared" si="25"/>
        <v>2.9074074067466427E-2</v>
      </c>
      <c r="N126" s="7">
        <f t="shared" si="26"/>
        <v>41.866666657151654</v>
      </c>
      <c r="O126" s="7"/>
      <c r="P126" s="7"/>
      <c r="Q126" s="22"/>
      <c r="R126" s="190"/>
      <c r="S126" s="196">
        <f t="shared" si="27"/>
        <v>1</v>
      </c>
      <c r="T126" s="190" t="str">
        <f t="shared" si="28"/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29"/>
        <v>https://d0f6bd738d7f1b3e5a7ca70fe4ff75f0.us-east-1.aws.found.io/app/kibana#/discover/Steve-Slow-Train-Analysis-(2080s-and-2083s)?_g=(refreshInterval:(display:Off,pause:!f,section:0,value:0),time:(from:'2017-05-06T18:17:08-0600',mode:absolute,to:'2017-05-06T21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6" s="192" t="str">
        <f t="shared" si="30"/>
        <v>N</v>
      </c>
      <c r="X126" s="192">
        <f t="shared" si="43"/>
        <v>1</v>
      </c>
      <c r="Y126" s="192">
        <f t="shared" si="31"/>
        <v>23.299299999999999</v>
      </c>
      <c r="Z126" s="192">
        <f t="shared" si="32"/>
        <v>1.4500000000000001E-2</v>
      </c>
      <c r="AA126" s="192">
        <f t="shared" si="33"/>
        <v>23.284799999999997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4"/>
        <v>0220-06</v>
      </c>
      <c r="AE126" s="80" t="str">
        <f t="shared" si="35"/>
        <v>aws s3 cp s3://rtdc.mdm.uploadarchive.raw/RTDC4023/ "%USERPROFILE%\AppData\Local\Temp\OnboardLogs"\RTDC4023\2017-05-06 --exclude "*" --recursive --include "*20170506*" &amp; "%USERPROFILE%\Documents\GitHub\mrs-test-scripts\Headless Mode &amp; Sideloading\WalkAndUnGZ.bat" "%USERPROFILE%\AppData\Local\Temp\OnboardLogs"\RTDC4023\2017-05-06 &amp; aws s3 cp s3://rtdc.mdm.uploadarchive.raw/RTDC4023/ "%USERPROFILE%\AppData\Local\Temp\OnboardLogs"\RTDC4023\2017-05-07 --exclude "*" --recursive --include "*20170507*" &amp; "%USERPROFILE%\Documents\GitHub\mrs-test-scripts\Headless Mode &amp; Sideloading\WalkAndUnGZ.bat" "%USERPROFILE%\AppData\Local\Temp\OnboardLogs"\RTDC4023\2017-05-07</v>
      </c>
      <c r="AF126" s="77" t="str">
        <f t="shared" si="36"/>
        <v>"C:\Program Files (x86)\AstroGrep\AstroGrep.exe" /e /r /s /spath="%USERPROFILE%\AppData\Local\Temp\OnboardLogs" /stypes="app*4023*20170507*" /stext=" 02:.+((SYSTEM_STATE.+slice.+state.+changed )|(ment ac)|(multiple cpu faults)|(system.+state.+changed )|(\[timeout)|(PRM\|1\|D)|(kpr)|(kdp)|(train st.+moving)|(\|lc)|(penalty))"</v>
      </c>
      <c r="AG126" s="1" t="str">
        <f t="shared" si="37"/>
        <v>EC</v>
      </c>
      <c r="AH126" s="81" t="str">
        <f t="shared" si="38"/>
        <v>"%USERPROFILE%\Documents\GitHub\eaglep3\Utilities\RefineRTDCRunTimes.py" --tripid 220-06 --locoid 4023 --swversion DE.1.0.9.0 --startMP 204:232993 --initTime 2017-05-06T19:17:08 --startdatetime 2017-05-06T19:26:18 --delay 1 --endMP 204:145 --enddatetime 2017-05-06T20:08:10 --enforcementcount 0 &gt;&gt;C:\Users\stu\Documents\GitHub\eaglep3-reporting\EC\2017-05-06-refined-times.txt</v>
      </c>
      <c r="AI126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{"issue":{"subject":"","project_id":79,"tracker_id":40,"status_id":1,"priority_id":2,"assigned_to_id":23,"start_date":"2017-05-06","description":"","custom_fields":[{"id":1,"name":"Subdivision","value":"EC"},{"id":4,"name":"Milepost","value":"0.0145"},{"id":17,"name":"Train ID","value":"220-06"},{"id":16,"name":"Locomotive ID","value":"4023"},{"id":130,"name":"Impact","value":""},{"id":150,"name":"Time of Event (Mountain Time)","value":"20:08:10"},{"id":151,"name":"Denver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0"/>
        <v>start /low /b %USERPROFILE%\Documents\GitHub\eaglep3\Utilities\DownloadLogsFromS3.py --loco 4023 --day 2017-05-06</v>
      </c>
      <c r="AN126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02:08:10"},{"id":29,"name":"Sharepoint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549</v>
      </c>
      <c r="B127" s="7">
        <v>4018</v>
      </c>
      <c r="C127" s="21" t="s">
        <v>210</v>
      </c>
      <c r="D127" s="21" t="s">
        <v>479</v>
      </c>
      <c r="E127" s="13">
        <v>42861.794340277775</v>
      </c>
      <c r="F127" s="13">
        <v>42861.795752314814</v>
      </c>
      <c r="G127" s="7">
        <v>1</v>
      </c>
      <c r="H127" s="21" t="s">
        <v>872</v>
      </c>
      <c r="I127" s="13">
        <v>42861.824456018519</v>
      </c>
      <c r="J127" s="7">
        <v>0</v>
      </c>
      <c r="K127" s="92" t="str">
        <f t="shared" si="24"/>
        <v>4017/4018</v>
      </c>
      <c r="L127" s="21" t="str">
        <f>VLOOKUP(A127,'Trips&amp;Operators'!$C$1:$G$99999,5,FALSE)</f>
        <v>BROWN JACOB</v>
      </c>
      <c r="M127" s="6">
        <f t="shared" si="25"/>
        <v>2.8703703705104999E-2</v>
      </c>
      <c r="N127" s="7">
        <f t="shared" si="26"/>
        <v>41.333333335351199</v>
      </c>
      <c r="O127" s="7"/>
      <c r="P127" s="7"/>
      <c r="Q127" s="22"/>
      <c r="R127" s="190"/>
      <c r="S127" s="196">
        <f t="shared" si="27"/>
        <v>1</v>
      </c>
      <c r="T127" s="190" t="str">
        <f t="shared" si="28"/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29"/>
        <v>https://d0f6bd738d7f1b3e5a7ca70fe4ff75f0.us-east-1.aws.found.io/app/kibana#/discover/Steve-Slow-Train-Analysis-(2080s-and-2083s)?_g=(refreshInterval:(display:Off,pause:!f,section:0,value:0),time:(from:'2017-05-06T18:03:51-0600',mode:absolute,to:'2017-05-06T20:47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7" s="192" t="str">
        <f t="shared" si="30"/>
        <v>N</v>
      </c>
      <c r="X127" s="192">
        <f t="shared" si="43"/>
        <v>1</v>
      </c>
      <c r="Y127" s="192">
        <f t="shared" si="31"/>
        <v>4.8000000000000001E-2</v>
      </c>
      <c r="Z127" s="192">
        <f t="shared" si="32"/>
        <v>23.332000000000001</v>
      </c>
      <c r="AA127" s="192">
        <f t="shared" si="33"/>
        <v>23.284000000000002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4"/>
        <v>0221-06</v>
      </c>
      <c r="AE127" s="80" t="str">
        <f t="shared" si="35"/>
        <v>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 &amp; aws s3 cp s3://rtdc.mdm.uploadarchive.raw/RTDC4018/ "%USERPROFILE%\AppData\Local\Temp\OnboardLogs"\RTDC4018\2017-05-07 --exclude "*" --recursive --include "*20170507*" &amp; "%USERPROFILE%\Documents\GitHub\mrs-test-scripts\Headless Mode &amp; Sideloading\WalkAndUnGZ.bat" "%USERPROFILE%\AppData\Local\Temp\OnboardLogs"\RTDC4018\2017-05-07</v>
      </c>
      <c r="AF127" s="77" t="str">
        <f t="shared" si="36"/>
        <v>"C:\Program Files (x86)\AstroGrep\AstroGrep.exe" /e /r /s /spath="%USERPROFILE%\AppData\Local\Temp\OnboardLogs" /stypes="app*4018*20170507*" /stext=" 01:.+((SYSTEM_STATE.+slice.+state.+changed )|(ment ac)|(multiple cpu faults)|(system.+state.+changed )|(\[timeout)|(PRM\|1\|D)|(kpr)|(kdp)|(train st.+moving)|(\|lc)|(penalty))"</v>
      </c>
      <c r="AG127" s="1" t="str">
        <f t="shared" si="37"/>
        <v>EC</v>
      </c>
      <c r="AH127" s="81" t="str">
        <f t="shared" si="38"/>
        <v>"%USERPROFILE%\Documents\GitHub\eaglep3\Utilities\RefineRTDCRunTimes.py" --tripid 221-06 --locoid 4018 --swversion DE.1.0.9.0 --startMP 204:480 --initTime 2017-05-06T19:03:51 --startdatetime 2017-05-06T19:05:53 --delay 1 --endMP 204:233320 --enddatetime 2017-05-06T19:47:13 --enforcementcount 0 &gt;&gt;C:\Users\stu\Documents\GitHub\eaglep3-reporting\EC\2017-05-06-refined-times.txt</v>
      </c>
      <c r="AI127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{"issue":{"subject":"","project_id":79,"tracker_id":40,"status_id":1,"priority_id":2,"assigned_to_id":23,"start_date":"2017-05-06","description":"","custom_fields":[{"id":1,"name":"Subdivision","value":"EC"},{"id":4,"name":"Milepost","value":"23.332"},{"id":17,"name":"Train ID","value":"221-06"},{"id":16,"name":"Locomotive ID","value":"4018"},{"id":130,"name":"Impact","value":""},{"id":150,"name":"Time of Event (Mountain Time)","value":"19:47:13"},{"id":151,"name":"Denver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0"/>
        <v>start /low /b %USERPROFILE%\Documents\GitHub\eaglep3\Utilities\DownloadLogsFromS3.py --loco 4018 --day 2017-05-06</v>
      </c>
      <c r="AN127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01:47:13"},{"id":29,"name":"Sharepoint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732</v>
      </c>
      <c r="B128" s="7">
        <v>4017</v>
      </c>
      <c r="C128" s="21" t="s">
        <v>210</v>
      </c>
      <c r="D128" s="21" t="s">
        <v>790</v>
      </c>
      <c r="E128" s="13">
        <v>42861.827037037037</v>
      </c>
      <c r="F128" s="13">
        <v>42861.830914351849</v>
      </c>
      <c r="G128" s="7">
        <v>1</v>
      </c>
      <c r="H128" s="21" t="s">
        <v>795</v>
      </c>
      <c r="I128" s="13">
        <v>42861.859988425924</v>
      </c>
      <c r="J128" s="7">
        <v>0</v>
      </c>
      <c r="K128" s="92" t="str">
        <f t="shared" si="24"/>
        <v>4017/4018</v>
      </c>
      <c r="L128" s="21" t="str">
        <f>VLOOKUP(A128,'Trips&amp;Operators'!$C$1:$G$99999,5,FALSE)</f>
        <v>BROWN JACOB</v>
      </c>
      <c r="M128" s="6">
        <f t="shared" si="25"/>
        <v>2.9074074074742384E-2</v>
      </c>
      <c r="N128" s="7">
        <f t="shared" si="26"/>
        <v>41.866666667629033</v>
      </c>
      <c r="O128" s="7"/>
      <c r="P128" s="7"/>
      <c r="Q128" s="22"/>
      <c r="R128" s="190"/>
      <c r="S128" s="196">
        <f t="shared" si="27"/>
        <v>1</v>
      </c>
      <c r="T128" s="190" t="str">
        <f t="shared" si="28"/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29"/>
        <v>https://d0f6bd738d7f1b3e5a7ca70fe4ff75f0.us-east-1.aws.found.io/app/kibana#/discover/Steve-Slow-Train-Analysis-(2080s-and-2083s)?_g=(refreshInterval:(display:Off,pause:!f,section:0,value:0),time:(from:'2017-05-06T18:50:56-0600',mode:absolute,to:'2017-05-06T21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8" s="192" t="str">
        <f t="shared" si="30"/>
        <v>N</v>
      </c>
      <c r="X128" s="192">
        <f t="shared" si="43"/>
        <v>1</v>
      </c>
      <c r="Y128" s="192">
        <f t="shared" si="31"/>
        <v>23.299600000000002</v>
      </c>
      <c r="Z128" s="192">
        <f t="shared" si="32"/>
        <v>1.2999999999999999E-2</v>
      </c>
      <c r="AA128" s="192">
        <f t="shared" si="33"/>
        <v>23.2866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4"/>
        <v>0222-06</v>
      </c>
      <c r="AE128" s="80" t="str">
        <f t="shared" si="35"/>
        <v>aws s3 cp s3://rtdc.mdm.uploadarchive.raw/RTDC4017/ "%USERPROFILE%\AppData\Local\Temp\OnboardLogs"\RTDC4017\2017-05-06 --exclude "*" --recursive --include "*20170506*" &amp; "%USERPROFILE%\Documents\GitHub\mrs-test-scripts\Headless Mode &amp; Sideloading\WalkAndUnGZ.bat" "%USERPROFILE%\AppData\Local\Temp\OnboardLogs"\RTDC4017\2017-05-06 &amp; aws s3 cp s3://rtdc.mdm.uploadarchive.raw/RTDC4017/ "%USERPROFILE%\AppData\Local\Temp\OnboardLogs"\RTDC4017\2017-05-07 --exclude "*" --recursive --include "*20170507*" &amp; "%USERPROFILE%\Documents\GitHub\mrs-test-scripts\Headless Mode &amp; Sideloading\WalkAndUnGZ.bat" "%USERPROFILE%\AppData\Local\Temp\OnboardLogs"\RTDC4017\2017-05-07</v>
      </c>
      <c r="AF128" s="77" t="str">
        <f t="shared" si="36"/>
        <v>"C:\Program Files (x86)\AstroGrep\AstroGrep.exe" /e /r /s /spath="%USERPROFILE%\AppData\Local\Temp\OnboardLogs" /stypes="app*4017*20170507*" /stext=" 02:.+((SYSTEM_STATE.+slice.+state.+changed )|(ment ac)|(multiple cpu faults)|(system.+state.+changed )|(\[timeout)|(PRM\|1\|D)|(kpr)|(kdp)|(train st.+moving)|(\|lc)|(penalty))"</v>
      </c>
      <c r="AG128" s="1" t="str">
        <f t="shared" si="37"/>
        <v>EC</v>
      </c>
      <c r="AH128" s="81" t="str">
        <f t="shared" si="38"/>
        <v>"%USERPROFILE%\Documents\GitHub\eaglep3\Utilities\RefineRTDCRunTimes.py" --tripid 222-06 --locoid 4017 --swversion DE.1.0.9.0 --startMP 204:232996 --initTime 2017-05-06T19:50:56 --startdatetime 2017-05-06T19:56:31 --delay 1 --endMP 204:130 --enddatetime 2017-05-06T20:38:23 --enforcementcount 0 &gt;&gt;C:\Users\stu\Documents\GitHub\eaglep3-reporting\EC\2017-05-06-refined-times.txt</v>
      </c>
      <c r="AI128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{"issue":{"subject":"","project_id":79,"tracker_id":40,"status_id":1,"priority_id":2,"assigned_to_id":23,"start_date":"2017-05-06","description":"","custom_fields":[{"id":1,"name":"Subdivision","value":"EC"},{"id":4,"name":"Milepost","value":"0.013"},{"id":17,"name":"Train ID","value":"222-06"},{"id":16,"name":"Locomotive ID","value":"4017"},{"id":130,"name":"Impact","value":""},{"id":150,"name":"Time of Event (Mountain Time)","value":"20:38:23"},{"id":151,"name":"Denver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0"/>
        <v>start /low /b %USERPROFILE%\Documents\GitHub\eaglep3\Utilities\DownloadLogsFromS3.py --loco 4017 --day 2017-05-06</v>
      </c>
      <c r="AN128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02:38:23"},{"id":29,"name":"Sharepoint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728</v>
      </c>
      <c r="B129" s="7">
        <v>4054</v>
      </c>
      <c r="C129" s="21" t="s">
        <v>210</v>
      </c>
      <c r="D129" s="21" t="s">
        <v>800</v>
      </c>
      <c r="E129" s="13">
        <v>42861.809641203705</v>
      </c>
      <c r="F129" s="13">
        <v>42861.812708333331</v>
      </c>
      <c r="G129" s="7">
        <v>1</v>
      </c>
      <c r="H129" s="21" t="s">
        <v>890</v>
      </c>
      <c r="I129" s="13">
        <v>42861.839189814818</v>
      </c>
      <c r="J129" s="7">
        <v>0</v>
      </c>
      <c r="K129" s="92" t="str">
        <f t="shared" si="24"/>
        <v>4053/4054</v>
      </c>
      <c r="L129" s="21" t="str">
        <f>VLOOKUP(A129,'Trips&amp;Operators'!$C$1:$G$99999,5,FALSE)</f>
        <v>SMITH MICHAEL</v>
      </c>
      <c r="M129" s="6">
        <f t="shared" si="25"/>
        <v>2.6481481487280689E-2</v>
      </c>
      <c r="N129" s="7">
        <f t="shared" si="26"/>
        <v>38.133333341684192</v>
      </c>
      <c r="O129" s="7"/>
      <c r="P129" s="7"/>
      <c r="Q129" s="22"/>
      <c r="R129" s="190"/>
      <c r="S129" s="196">
        <f t="shared" si="27"/>
        <v>1</v>
      </c>
      <c r="T129" s="190" t="str">
        <f t="shared" si="28"/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29"/>
        <v>https://d0f6bd738d7f1b3e5a7ca70fe4ff75f0.us-east-1.aws.found.io/app/kibana#/discover/Steve-Slow-Train-Analysis-(2080s-and-2083s)?_g=(refreshInterval:(display:Off,pause:!f,section:0,value:0),time:(from:'2017-05-06T18:25:53-0600',mode:absolute,to:'2017-05-06T21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9" s="192" t="str">
        <f t="shared" si="30"/>
        <v>N</v>
      </c>
      <c r="X129" s="192">
        <f t="shared" si="43"/>
        <v>1</v>
      </c>
      <c r="Y129" s="192">
        <f t="shared" si="31"/>
        <v>4.6699999999999998E-2</v>
      </c>
      <c r="Z129" s="192">
        <f t="shared" si="32"/>
        <v>23.33</v>
      </c>
      <c r="AA129" s="192">
        <f t="shared" si="33"/>
        <v>23.283299999999997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4"/>
        <v>0223-06</v>
      </c>
      <c r="AE129" s="80" t="str">
        <f t="shared" si="35"/>
        <v>aws s3 cp s3://rtdc.mdm.uploadarchive.raw/RTDC4054/ "%USERPROFILE%\AppData\Local\Temp\OnboardLogs"\RTDC4054\2017-05-06 --exclude "*" --recursive --include "*20170506*" &amp; "%USERPROFILE%\Documents\GitHub\mrs-test-scripts\Headless Mode &amp; Sideloading\WalkAndUnGZ.bat" "%USERPROFILE%\AppData\Local\Temp\OnboardLogs"\RTDC4054\2017-05-06 &amp; aws s3 cp s3://rtdc.mdm.uploadarchive.raw/RTDC4054/ "%USERPROFILE%\AppData\Local\Temp\OnboardLogs"\RTDC4054\2017-05-07 --exclude "*" --recursive --include "*20170507*" &amp; "%USERPROFILE%\Documents\GitHub\mrs-test-scripts\Headless Mode &amp; Sideloading\WalkAndUnGZ.bat" "%USERPROFILE%\AppData\Local\Temp\OnboardLogs"\RTDC4054\2017-05-07</v>
      </c>
      <c r="AF129" s="77" t="str">
        <f t="shared" si="36"/>
        <v>"C:\Program Files (x86)\AstroGrep\AstroGrep.exe" /e /r /s /spath="%USERPROFILE%\AppData\Local\Temp\OnboardLogs" /stypes="app*4054*20170507*" /stext=" 02:.+((SYSTEM_STATE.+slice.+state.+changed )|(ment ac)|(multiple cpu faults)|(system.+state.+changed )|(\[timeout)|(PRM\|1\|D)|(kpr)|(kdp)|(train st.+moving)|(\|lc)|(penalty))"</v>
      </c>
      <c r="AG129" s="1" t="str">
        <f t="shared" si="37"/>
        <v>EC</v>
      </c>
      <c r="AH129" s="81" t="str">
        <f t="shared" si="38"/>
        <v>"%USERPROFILE%\Documents\GitHub\eaglep3\Utilities\RefineRTDCRunTimes.py" --tripid 223-06 --locoid 4054 --swversion DE.1.0.9.0 --startMP 204:467 --initTime 2017-05-06T19:25:53 --startdatetime 2017-05-06T19:30:18 --delay 1 --endMP 204:233300 --enddatetime 2017-05-06T20:08:26 --enforcementcount 0 &gt;&gt;C:\Users\stu\Documents\GitHub\eaglep3-reporting\EC\2017-05-06-refined-times.txt</v>
      </c>
      <c r="AI129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{"issue":{"subject":"","project_id":79,"tracker_id":40,"status_id":1,"priority_id":2,"assigned_to_id":23,"start_date":"2017-05-06","description":"","custom_fields":[{"id":1,"name":"Subdivision","value":"EC"},{"id":4,"name":"Milepost","value":"23.33"},{"id":17,"name":"Train ID","value":"223-06"},{"id":16,"name":"Locomotive ID","value":"4054"},{"id":130,"name":"Impact","value":""},{"id":150,"name":"Time of Event (Mountain Time)","value":"20:08:26"},{"id":151,"name":"Denver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0"/>
        <v>start /low /b %USERPROFILE%\Documents\GitHub\eaglep3\Utilities\DownloadLogsFromS3.py --loco 4054 --day 2017-05-06</v>
      </c>
      <c r="AN129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02:08:26"},{"id":29,"name":"Sharepoint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736</v>
      </c>
      <c r="B130" s="7">
        <v>4053</v>
      </c>
      <c r="C130" s="21" t="s">
        <v>210</v>
      </c>
      <c r="D130" s="21" t="s">
        <v>790</v>
      </c>
      <c r="E130" s="13">
        <v>42861.844629629632</v>
      </c>
      <c r="F130" s="13">
        <v>42861.851736111108</v>
      </c>
      <c r="G130" s="7">
        <v>1</v>
      </c>
      <c r="H130" s="21" t="s">
        <v>203</v>
      </c>
      <c r="I130" s="13">
        <v>42861.879490740743</v>
      </c>
      <c r="J130" s="7">
        <v>0</v>
      </c>
      <c r="K130" s="92" t="str">
        <f t="shared" si="24"/>
        <v>4053/4054</v>
      </c>
      <c r="L130" s="21" t="str">
        <f>VLOOKUP(A130,'Trips&amp;Operators'!$C$1:$G$99999,5,FALSE)</f>
        <v>SMITH MICHAEL</v>
      </c>
      <c r="M130" s="6">
        <f t="shared" si="25"/>
        <v>2.775462963472819E-2</v>
      </c>
      <c r="N130" s="7">
        <f t="shared" si="26"/>
        <v>39.966666674008593</v>
      </c>
      <c r="O130" s="7"/>
      <c r="P130" s="7"/>
      <c r="Q130" s="22"/>
      <c r="R130" s="190"/>
      <c r="S130" s="196">
        <f t="shared" si="27"/>
        <v>1</v>
      </c>
      <c r="T130" s="190" t="str">
        <f t="shared" si="28"/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29"/>
        <v>https://d0f6bd738d7f1b3e5a7ca70fe4ff75f0.us-east-1.aws.found.io/app/kibana#/discover/Steve-Slow-Train-Analysis-(2080s-and-2083s)?_g=(refreshInterval:(display:Off,pause:!f,section:0,value:0),time:(from:'2017-05-06T19:16:16-0600',mode:absolute,to:'2017-05-06T22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0" s="192" t="str">
        <f t="shared" si="30"/>
        <v>N</v>
      </c>
      <c r="X130" s="192">
        <f t="shared" si="43"/>
        <v>1</v>
      </c>
      <c r="Y130" s="192">
        <f t="shared" si="31"/>
        <v>23.299600000000002</v>
      </c>
      <c r="Z130" s="192">
        <f t="shared" si="32"/>
        <v>1.54E-2</v>
      </c>
      <c r="AA130" s="192">
        <f t="shared" si="33"/>
        <v>23.284200000000002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4"/>
        <v>0224-06</v>
      </c>
      <c r="AE130" s="80" t="str">
        <f t="shared" si="35"/>
        <v>aws s3 cp s3://rtdc.mdm.uploadarchive.raw/RTDC4053/ "%USERPROFILE%\AppData\Local\Temp\OnboardLogs"\RTDC4053\2017-05-06 --exclude "*" --recursive --include "*20170506*" &amp; "%USERPROFILE%\Documents\GitHub\mrs-test-scripts\Headless Mode &amp; Sideloading\WalkAndUnGZ.bat" "%USERPROFILE%\AppData\Local\Temp\OnboardLogs"\RTDC4053\2017-05-06 &amp; aws s3 cp s3://rtdc.mdm.uploadarchive.raw/RTDC4053/ "%USERPROFILE%\AppData\Local\Temp\OnboardLogs"\RTDC4053\2017-05-07 --exclude "*" --recursive --include "*20170507*" &amp; "%USERPROFILE%\Documents\GitHub\mrs-test-scripts\Headless Mode &amp; Sideloading\WalkAndUnGZ.bat" "%USERPROFILE%\AppData\Local\Temp\OnboardLogs"\RTDC4053\2017-05-07</v>
      </c>
      <c r="AF130" s="77" t="str">
        <f t="shared" si="36"/>
        <v>"C:\Program Files (x86)\AstroGrep\AstroGrep.exe" /e /r /s /spath="%USERPROFILE%\AppData\Local\Temp\OnboardLogs" /stypes="app*4053*20170507*" /stext=" 03:.+((SYSTEM_STATE.+slice.+state.+changed )|(ment ac)|(multiple cpu faults)|(system.+state.+changed )|(\[timeout)|(PRM\|1\|D)|(kpr)|(kdp)|(train st.+moving)|(\|lc)|(penalty))"</v>
      </c>
      <c r="AG130" s="1" t="str">
        <f t="shared" si="37"/>
        <v>EC</v>
      </c>
      <c r="AH130" s="81" t="str">
        <f t="shared" si="38"/>
        <v>"%USERPROFILE%\Documents\GitHub\eaglep3\Utilities\RefineRTDCRunTimes.py" --tripid 224-06 --locoid 4053 --swversion DE.1.0.9.0 --startMP 204:232996 --initTime 2017-05-06T20:16:16 --startdatetime 2017-05-06T20:26:30 --delay 1 --endMP 204:154 --enddatetime 2017-05-06T21:06:28 --enforcementcount 0 &gt;&gt;C:\Users\stu\Documents\GitHub\eaglep3-reporting\EC\2017-05-06-refined-times.txt</v>
      </c>
      <c r="AI130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{"issue":{"subject":"","project_id":79,"tracker_id":40,"status_id":1,"priority_id":2,"assigned_to_id":23,"start_date":"2017-05-06","description":"","custom_fields":[{"id":1,"name":"Subdivision","value":"EC"},{"id":4,"name":"Milepost","value":"0.0154"},{"id":17,"name":"Train ID","value":"224-06"},{"id":16,"name":"Locomotive ID","value":"4053"},{"id":130,"name":"Impact","value":""},{"id":150,"name":"Time of Event (Mountain Time)","value":"21:06:28"},{"id":151,"name":"Denver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0"/>
        <v>start /low /b %USERPROFILE%\Documents\GitHub\eaglep3\Utilities\DownloadLogsFromS3.py --loco 4053 --day 2017-05-06</v>
      </c>
      <c r="AN130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03:06:28"},{"id":29,"name":"Sharepoint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733</v>
      </c>
      <c r="B131" s="7">
        <v>4010</v>
      </c>
      <c r="C131" s="21" t="s">
        <v>210</v>
      </c>
      <c r="D131" s="21" t="s">
        <v>891</v>
      </c>
      <c r="E131" s="13">
        <v>42861.827777777777</v>
      </c>
      <c r="F131" s="13">
        <v>42861.833749999998</v>
      </c>
      <c r="G131" s="7">
        <v>1</v>
      </c>
      <c r="H131" s="21" t="s">
        <v>892</v>
      </c>
      <c r="I131" s="13">
        <v>42861.858449074076</v>
      </c>
      <c r="J131" s="7">
        <v>0</v>
      </c>
      <c r="K131" s="92" t="str">
        <f t="shared" si="24"/>
        <v>4009/4010</v>
      </c>
      <c r="L131" s="21" t="str">
        <f>VLOOKUP(A131,'Trips&amp;Operators'!$C$1:$G$99999,5,FALSE)</f>
        <v>STAMBAUGH JAMES</v>
      </c>
      <c r="M131" s="6">
        <f t="shared" si="25"/>
        <v>2.4699074077943806E-2</v>
      </c>
      <c r="N131" s="7">
        <f t="shared" si="26"/>
        <v>35.56666667223908</v>
      </c>
      <c r="O131" s="7"/>
      <c r="P131" s="7"/>
      <c r="Q131" s="22"/>
      <c r="R131" s="190"/>
      <c r="S131" s="196">
        <f t="shared" si="27"/>
        <v>1</v>
      </c>
      <c r="T131" s="190" t="str">
        <f t="shared" si="28"/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29"/>
        <v>https://d0f6bd738d7f1b3e5a7ca70fe4ff75f0.us-east-1.aws.found.io/app/kibana#/discover/Steve-Slow-Train-Analysis-(2080s-and-2083s)?_g=(refreshInterval:(display:Off,pause:!f,section:0,value:0),time:(from:'2017-05-06T18:52:00-0600',mode:absolute,to:'2017-05-06T21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1" s="192" t="str">
        <f t="shared" si="30"/>
        <v>N</v>
      </c>
      <c r="X131" s="192">
        <f t="shared" si="43"/>
        <v>1</v>
      </c>
      <c r="Y131" s="192">
        <f t="shared" si="31"/>
        <v>4.2900000000000001E-2</v>
      </c>
      <c r="Z131" s="192">
        <f t="shared" si="32"/>
        <v>23.345800000000001</v>
      </c>
      <c r="AA131" s="192">
        <f t="shared" si="33"/>
        <v>23.302900000000001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4"/>
        <v>0225-06</v>
      </c>
      <c r="AE131" s="80" t="str">
        <f t="shared" si="35"/>
        <v>aws s3 cp s3://rtdc.mdm.uploadarchive.raw/RTDC4010/ "%USERPROFILE%\AppData\Local\Temp\OnboardLogs"\RTDC4010\2017-05-06 --exclude "*" --recursive --include "*20170506*" &amp; "%USERPROFILE%\Documents\GitHub\mrs-test-scripts\Headless Mode &amp; Sideloading\WalkAndUnGZ.bat" "%USERPROFILE%\AppData\Local\Temp\OnboardLogs"\RTDC4010\2017-05-06 &amp; aws s3 cp s3://rtdc.mdm.uploadarchive.raw/RTDC4010/ "%USERPROFILE%\AppData\Local\Temp\OnboardLogs"\RTDC4010\2017-05-07 --exclude "*" --recursive --include "*20170507*" &amp; "%USERPROFILE%\Documents\GitHub\mrs-test-scripts\Headless Mode &amp; Sideloading\WalkAndUnGZ.bat" "%USERPROFILE%\AppData\Local\Temp\OnboardLogs"\RTDC4010\2017-05-07</v>
      </c>
      <c r="AF131" s="77" t="str">
        <f t="shared" si="36"/>
        <v>"C:\Program Files (x86)\AstroGrep\AstroGrep.exe" /e /r /s /spath="%USERPROFILE%\AppData\Local\Temp\OnboardLogs" /stypes="app*4010*20170507*" /stext=" 02:.+((SYSTEM_STATE.+slice.+state.+changed )|(ment ac)|(multiple cpu faults)|(system.+state.+changed )|(\[timeout)|(PRM\|1\|D)|(kpr)|(kdp)|(train st.+moving)|(\|lc)|(penalty))"</v>
      </c>
      <c r="AG131" s="1" t="str">
        <f t="shared" si="37"/>
        <v>EC</v>
      </c>
      <c r="AH131" s="81" t="str">
        <f t="shared" si="38"/>
        <v>"%USERPROFILE%\Documents\GitHub\eaglep3\Utilities\RefineRTDCRunTimes.py" --tripid 225-06 --locoid 4010 --swversion DE.1.0.9.0 --startMP 204:429 --initTime 2017-05-06T19:52:00 --startdatetime 2017-05-06T20:00:36 --delay 1 --endMP 204:233458 --enddatetime 2017-05-06T20:36:10 --enforcementcount 0 &gt;&gt;C:\Users\stu\Documents\GitHub\eaglep3-reporting\EC\2017-05-06-refined-times.txt</v>
      </c>
      <c r="AI131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{"issue":{"subject":"","project_id":79,"tracker_id":40,"status_id":1,"priority_id":2,"assigned_to_id":23,"start_date":"2017-05-06","description":"","custom_fields":[{"id":1,"name":"Subdivision","value":"EC"},{"id":4,"name":"Milepost","value":"23.3458"},{"id":17,"name":"Train ID","value":"225-06"},{"id":16,"name":"Locomotive ID","value":"4010"},{"id":130,"name":"Impact","value":""},{"id":150,"name":"Time of Event (Mountain Time)","value":"20:36:10"},{"id":151,"name":"Denver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0"/>
        <v>start /low /b %USERPROFILE%\Documents\GitHub\eaglep3\Utilities\DownloadLogsFromS3.py --loco 4010 --day 2017-05-06</v>
      </c>
      <c r="AN131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02:36:10"},{"id":29,"name":"Sharepoint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550</v>
      </c>
      <c r="B132" s="7">
        <v>4009</v>
      </c>
      <c r="C132" s="21" t="s">
        <v>210</v>
      </c>
      <c r="D132" s="21" t="s">
        <v>893</v>
      </c>
      <c r="E132" s="13">
        <v>42861.867800925924</v>
      </c>
      <c r="F132" s="13">
        <v>42861.872673611113</v>
      </c>
      <c r="G132" s="7">
        <v>1</v>
      </c>
      <c r="H132" s="21" t="s">
        <v>379</v>
      </c>
      <c r="I132" s="13">
        <v>42861.900810185187</v>
      </c>
      <c r="J132" s="7">
        <v>0</v>
      </c>
      <c r="K132" s="92" t="str">
        <f t="shared" ref="K132:K195" si="44">IF(ISEVEN(B132),(B132-1)&amp;"/"&amp;B132,B132&amp;"/"&amp;(B132+1))</f>
        <v>4009/4010</v>
      </c>
      <c r="L132" s="21" t="str">
        <f>VLOOKUP(A132,'Trips&amp;Operators'!$C$1:$G$99999,5,FALSE)</f>
        <v>STAMBAUGH JAMES</v>
      </c>
      <c r="M132" s="6">
        <f t="shared" ref="M132:M195" si="45">I132-F132</f>
        <v>2.8136574073869269E-2</v>
      </c>
      <c r="N132" s="7">
        <f t="shared" ref="N132:P195" si="46">24*60*SUM($M132:$M132)</f>
        <v>40.516666666371748</v>
      </c>
      <c r="O132" s="7"/>
      <c r="P132" s="7"/>
      <c r="Q132" s="22"/>
      <c r="R132" s="190"/>
      <c r="S132" s="196">
        <f t="shared" ref="S132:S195" si="47">SUM(U132:U132)/IF(AG132="EC",12,1)</f>
        <v>1</v>
      </c>
      <c r="T132" s="190" t="str">
        <f t="shared" ref="T132:T195" si="48">IF(ISEVEN(LEFT(AD132,4)),"Southbound","NorthBound")</f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ref="V132:V195" si="49"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-05-06T19:49:38-0600',mode:absolute,to:'2017-05-06T22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2" s="192" t="str">
        <f t="shared" ref="W132:W195" si="50">IF(AA132&lt;IF(AG132="EC",23,5.65),"Y","N")</f>
        <v>N</v>
      </c>
      <c r="X132" s="192">
        <f t="shared" ref="X132:X151" si="51">VALUE(LEFT(AD132,4))-VALUE(LEFT(AD131,4))</f>
        <v>1</v>
      </c>
      <c r="Y132" s="192">
        <f t="shared" ref="Y132:Y195" si="52">RIGHT(D132,LEN(D132)-4)/10000</f>
        <v>23.314699999999998</v>
      </c>
      <c r="Z132" s="192">
        <f t="shared" ref="Z132:Z195" si="53">RIGHT(H132,LEN(H132)-4)/10000</f>
        <v>1.4999999999999999E-2</v>
      </c>
      <c r="AA132" s="192">
        <f t="shared" ref="AA132:AA195" si="54">ABS(Z132-Y132)</f>
        <v>23.299699999999998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ref="AD132:AD195" si="55">IF(LEN(A132)=6,"0"&amp;A132,A132)</f>
        <v>0226-06</v>
      </c>
      <c r="AE132" s="80" t="str">
        <f t="shared" ref="AE132:AE195" si="56"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s3://rtdc.mdm.uploadarchive.raw/RTDC4009/ "%USERPROFILE%\AppData\Local\Temp\OnboardLogs"\RTDC4009\2017-05-06 --exclude "*" --recursive --include "*20170506*" &amp; "%USERPROFILE%\Documents\GitHub\mrs-test-scripts\Headless Mode &amp; Sideloading\WalkAndUnGZ.bat" "%USERPROFILE%\AppData\Local\Temp\OnboardLogs"\RTDC4009\2017-05-06 &amp; aws s3 cp s3://rtdc.mdm.uploadarchive.raw/RTDC4009/ "%USERPROFILE%\AppData\Local\Temp\OnboardLogs"\RTDC4009\2017-05-07 --exclude "*" --recursive --include "*20170507*" &amp; "%USERPROFILE%\Documents\GitHub\mrs-test-scripts\Headless Mode &amp; Sideloading\WalkAndUnGZ.bat" "%USERPROFILE%\AppData\Local\Temp\OnboardLogs"\RTDC4009\2017-05-07</v>
      </c>
      <c r="AF132" s="77" t="str">
        <f t="shared" ref="AF132:AF195" si="57"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/stypes="app*4009*20170507*" /stext=" 03:.+((SYSTEM_STATE.+slice.+state.+changed )|(ment ac)|(multiple cpu faults)|(system.+state.+changed )|(\[timeout)|(PRM\|1\|D)|(kpr)|(kdp)|(train st.+moving)|(\|lc)|(penalty))"</v>
      </c>
      <c r="AG132" s="1" t="str">
        <f t="shared" ref="AG132:AG195" si="58">IFERROR(IF(VALUE(LEFT(AD132,2))&lt;=2,"EC",IF(OR(VALUE(LEFT(AD132,2))=8,VALUE(LEFT(AD132,2))=18),"NW","Other")),"Other")</f>
        <v>EC</v>
      </c>
      <c r="AH132" s="81" t="str">
        <f t="shared" si="38"/>
        <v>"%USERPROFILE%\Documents\GitHub\eaglep3\Utilities\RefineRTDCRunTimes.py" --tripid 226-06 --locoid 4009 --swversion DE.1.0.9.0 --startMP 204:233147 --initTime 2017-05-06T20:49:38 --startdatetime 2017-05-06T20:56:39 --delay 1 --endMP 204:150 --enddatetime 2017-05-06T21:37:10 --enforcementcount 0 &gt;&gt;C:\Users\stu\Documents\GitHub\eaglep3-reporting\EC\2017-05-06-refined-times.txt</v>
      </c>
      <c r="AI132" s="99" t="str">
        <f t="shared" si="39"/>
        <v>echo {"issue":{"subject":"","project_id":79,"tracker_id":40,"status_id":1,"priority_id":2,"assigned_to_id":23,"start_date":"2017-05-06","description":"","custom_fields":[{"id":1,"name":"Subdivision","value":"EC"},{"id":4,"name":"Milepost","value":"0.015"},{"id":17,"name":"Train ID","value":"226-06"},{"id":16,"name":"Locomotive ID","value":"4009"},{"id":130,"name":"Impact","value":""},{"id":150,"name":"Time of Event (Mountain Time)","value":"21:37:10"},{"id":151,"name":"Denver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0"/>
        <v>start /low /b %USERPROFILE%\Documents\GitHub\eaglep3\Utilities\DownloadLogsFromS3.py --loco 4009 --day 2017-05-06</v>
      </c>
      <c r="AN132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03:37:10"},{"id":29,"name":"Sharepoint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738</v>
      </c>
      <c r="B133" s="7">
        <v>4024</v>
      </c>
      <c r="C133" s="21" t="s">
        <v>210</v>
      </c>
      <c r="D133" s="21" t="s">
        <v>891</v>
      </c>
      <c r="E133" s="13">
        <v>42861.848587962966</v>
      </c>
      <c r="F133" s="13">
        <v>42861.855104166665</v>
      </c>
      <c r="G133" s="7">
        <v>1</v>
      </c>
      <c r="H133" s="21" t="s">
        <v>809</v>
      </c>
      <c r="I133" s="13">
        <v>42861.88181712963</v>
      </c>
      <c r="J133" s="7">
        <v>0</v>
      </c>
      <c r="K133" s="92" t="str">
        <f t="shared" si="44"/>
        <v>4023/4024</v>
      </c>
      <c r="L133" s="21" t="str">
        <f>VLOOKUP(A133,'Trips&amp;Operators'!$C$1:$G$99999,5,FALSE)</f>
        <v>SWANSON BRYCE</v>
      </c>
      <c r="M133" s="6">
        <f t="shared" si="45"/>
        <v>2.6712962964666076E-2</v>
      </c>
      <c r="N133" s="7">
        <f t="shared" si="46"/>
        <v>38.466666669119149</v>
      </c>
      <c r="O133" s="7"/>
      <c r="P133" s="7"/>
      <c r="Q133" s="22"/>
      <c r="R133" s="190"/>
      <c r="S133" s="196">
        <f t="shared" si="47"/>
        <v>1</v>
      </c>
      <c r="T133" s="190" t="str">
        <f t="shared" si="48"/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49"/>
        <v>https://d0f6bd738d7f1b3e5a7ca70fe4ff75f0.us-east-1.aws.found.io/app/kibana#/discover/Steve-Slow-Train-Analysis-(2080s-and-2083s)?_g=(refreshInterval:(display:Off,pause:!f,section:0,value:0),time:(from:'2017-05-06T19:21:58-0600',mode:absolute,to:'2017-05-06T22:09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3" s="192" t="str">
        <f t="shared" si="50"/>
        <v>N</v>
      </c>
      <c r="X133" s="192">
        <f t="shared" si="51"/>
        <v>1</v>
      </c>
      <c r="Y133" s="192">
        <f t="shared" si="52"/>
        <v>4.2900000000000001E-2</v>
      </c>
      <c r="Z133" s="192">
        <f t="shared" si="53"/>
        <v>23.3383</v>
      </c>
      <c r="AA133" s="192">
        <f t="shared" si="54"/>
        <v>23.295400000000001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55"/>
        <v>0227-06</v>
      </c>
      <c r="AE133" s="80" t="str">
        <f t="shared" si="56"/>
        <v>aws s3 cp s3://rtdc.mdm.uploadarchive.raw/RTDC4024/ "%USERPROFILE%\AppData\Local\Temp\OnboardLogs"\RTDC4024\2017-05-06 --exclude "*" --recursive --include "*20170506*" &amp; "%USERPROFILE%\Documents\GitHub\mrs-test-scripts\Headless Mode &amp; Sideloading\WalkAndUnGZ.bat" "%USERPROFILE%\AppData\Local\Temp\OnboardLogs"\RTDC4024\2017-05-06 &amp; aws s3 cp s3://rtdc.mdm.uploadarchive.raw/RTDC4024/ "%USERPROFILE%\AppData\Local\Temp\OnboardLogs"\RTDC4024\2017-05-07 --exclude "*" --recursive --include "*20170507*" &amp; "%USERPROFILE%\Documents\GitHub\mrs-test-scripts\Headless Mode &amp; Sideloading\WalkAndUnGZ.bat" "%USERPROFILE%\AppData\Local\Temp\OnboardLogs"\RTDC4024\2017-05-07</v>
      </c>
      <c r="AF133" s="77" t="str">
        <f t="shared" si="57"/>
        <v>"C:\Program Files (x86)\AstroGrep\AstroGrep.exe" /e /r /s /spath="%USERPROFILE%\AppData\Local\Temp\OnboardLogs" /stypes="app*4024*20170507*" /stext=" 03:.+((SYSTEM_STATE.+slice.+state.+changed )|(ment ac)|(multiple cpu faults)|(system.+state.+changed )|(\[timeout)|(PRM\|1\|D)|(kpr)|(kdp)|(train st.+moving)|(\|lc)|(penalty))"</v>
      </c>
      <c r="AG133" s="1" t="str">
        <f t="shared" si="58"/>
        <v>EC</v>
      </c>
      <c r="AH133" s="81" t="str">
        <f t="shared" ref="AH133:AH195" si="59">refinertdcruntimes&amp;" --tripid "&amp;A133&amp;" --locoid "&amp;B133&amp;" --swversion "&amp;C133&amp;" --startMP "&amp;D133&amp;" --initTime "&amp;TEXT(E133,"yyyy-mm-ddTHH:MM:SS")&amp;" --startdatetime "&amp;TEXT(F133,"yyyy-mm-ddTHH:MM:SS")&amp;" --delay "&amp;G133&amp;" --endMP "&amp;H133&amp;" --enddatetime "&amp;TEXT(I133,"yyyy-mm-ddTHH:MM:SS")&amp;" --enforcementcount "&amp;J133&amp;IF(outputrefinedruntimes," &gt;&gt;"&amp;RefinedRTDCRunTimesOutputFile,"")</f>
        <v>"%USERPROFILE%\Documents\GitHub\eaglep3\Utilities\RefineRTDCRunTimes.py" --tripid 227-06 --locoid 4024 --swversion DE.1.0.9.0 --startMP 204:429 --initTime 2017-05-06T20:21:58 --startdatetime 2017-05-06T20:31:21 --delay 1 --endMP 204:233383 --enddatetime 2017-05-06T21:09:49 --enforcementcount 0 &gt;&gt;C:\Users\stu\Documents\GitHub\eaglep3-reporting\EC\2017-05-06-refined-times.txt</v>
      </c>
      <c r="AI133" s="99" t="str">
        <f t="shared" ref="AI133:AI195" si="60">"echo {""issue"":{""subject"":"""&amp;R133&amp;""",""project_id"":79,""tracker_id"":40,""status_id"":"&amp;redmine_status&amp;",""priority_id"":"&amp;redmine_priority&amp;",""assigned_to_id"":"&amp;redmine_assignee&amp;",""start_date"":"""&amp;TEXT(I133,"YYYY-mm-dd")&amp;""",""description"":"""&amp;AJ133&amp;""",""custom_fields"":[{""id"":1,""name"":""Subdivision"",""value"":"""&amp;AG133&amp;"""},{""id"":4,""name"":""Milepost"",""value"":"""&amp;Z133&amp;"""},{""id"":17,""name"":""Train ID"",""value"":"""&amp;A133&amp;"""},{""id"":16,""name"":""Locomotive ID"",""value"":"""&amp;B133&amp;"""},{""id"":130,""name"":""Impact"",""value"":"""&amp;AK133&amp;"""},{""id"":150,""name"":""Time of Event (Mountain Time)"",""value"":"""&amp;TEXT(I133,"hh:mm:ss")&amp;"""},{""id"":151,""name"":""Denver Issue ID"",""value"":"""&amp;"""},{""id"":178,""name"":""Operational Impact"",""value"":"""&amp;redmine_op_impact&amp;"""},{""id"":179,""name"":""Denver Segment Assigned"",""value"":"""&amp;AL133&amp;"""}]}}"&amp;"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{"issue":{"subject":"","project_id":79,"tracker_id":40,"status_id":1,"priority_id":2,"assigned_to_id":23,"start_date":"2017-05-06","description":"","custom_fields":[{"id":1,"name":"Subdivision","value":"EC"},{"id":4,"name":"Milepost","value":"23.3383"},{"id":17,"name":"Train ID","value":"227-06"},{"id":16,"name":"Locomotive ID","value":"4024"},{"id":130,"name":"Impact","value":""},{"id":150,"name":"Time of Event (Mountain Time)","value":"21:09:49"},{"id":151,"name":"Denver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ref="AM133:AM195" si="61">"start /low /b "&amp;dls3logs&amp;" --loco "&amp;B133&amp;" --day "&amp;TEXT(F133,"YYYY-MM-DD")</f>
        <v>start /low /b %USERPROFILE%\Documents\GitHub\eaglep3\Utilities\DownloadLogsFromS3.py --loco 4024 --day 2017-05-06</v>
      </c>
      <c r="AN133" s="154" t="str">
        <f t="shared" ref="AN133:AN195" si="62">"echo {""issue"":{""subject"":"""&amp;R133&amp;""",""project_id"":30,""tracker_id"":4,""status_id"":"&amp;redmine_status_wcr&amp;",""priority_id"":"&amp;redmine_priority_wcr&amp;",""assigned_to_id"":"&amp;redmine_assignee_wcr&amp;",""start_date"":"""&amp;TEXT(I133-utc_offset/24,"YYYY-mm-dd")&amp;""",""description"":"""&amp;AJ133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03:09:49"},{"id":29,"name":"Sharepoint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743</v>
      </c>
      <c r="B134" s="7">
        <v>4023</v>
      </c>
      <c r="C134" s="21" t="s">
        <v>210</v>
      </c>
      <c r="D134" s="21" t="s">
        <v>894</v>
      </c>
      <c r="E134" s="13">
        <v>42861.89099537037</v>
      </c>
      <c r="F134" s="13">
        <v>42861.893217592595</v>
      </c>
      <c r="G134" s="7">
        <v>1</v>
      </c>
      <c r="H134" s="21" t="s">
        <v>363</v>
      </c>
      <c r="I134" s="13">
        <v>42861.922465277778</v>
      </c>
      <c r="J134" s="7">
        <v>0</v>
      </c>
      <c r="K134" s="92" t="str">
        <f t="shared" si="44"/>
        <v>4023/4024</v>
      </c>
      <c r="L134" s="21" t="str">
        <f>VLOOKUP(A134,'Trips&amp;Operators'!$C$1:$G$99999,5,FALSE)</f>
        <v>SWANSON BRYCE</v>
      </c>
      <c r="M134" s="6">
        <f t="shared" si="45"/>
        <v>2.9247685182781424E-2</v>
      </c>
      <c r="N134" s="7">
        <f t="shared" si="46"/>
        <v>42.116666663205251</v>
      </c>
      <c r="O134" s="7"/>
      <c r="P134" s="7"/>
      <c r="Q134" s="22"/>
      <c r="R134" s="190"/>
      <c r="S134" s="196">
        <f t="shared" si="47"/>
        <v>1</v>
      </c>
      <c r="T134" s="190" t="str">
        <f t="shared" si="48"/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49"/>
        <v>https://d0f6bd738d7f1b3e5a7ca70fe4ff75f0.us-east-1.aws.found.io/app/kibana#/discover/Steve-Slow-Train-Analysis-(2080s-and-2083s)?_g=(refreshInterval:(display:Off,pause:!f,section:0,value:0),time:(from:'2017-05-06T20:23:02-0600',mode:absolute,to:'2017-05-06T23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4" s="192" t="str">
        <f t="shared" si="50"/>
        <v>N</v>
      </c>
      <c r="X134" s="192">
        <f t="shared" si="51"/>
        <v>1</v>
      </c>
      <c r="Y134" s="192">
        <f t="shared" si="52"/>
        <v>23.311699999999998</v>
      </c>
      <c r="Z134" s="192">
        <f t="shared" si="53"/>
        <v>1.38E-2</v>
      </c>
      <c r="AA134" s="192">
        <f t="shared" si="54"/>
        <v>23.297899999999998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55"/>
        <v>0228-06</v>
      </c>
      <c r="AE134" s="80" t="str">
        <f t="shared" si="56"/>
        <v>aws s3 cp s3://rtdc.mdm.uploadarchive.raw/RTDC4023/ "%USERPROFILE%\AppData\Local\Temp\OnboardLogs"\RTDC4023\2017-05-06 --exclude "*" --recursive --include "*20170506*" &amp; "%USERPROFILE%\Documents\GitHub\mrs-test-scripts\Headless Mode &amp; Sideloading\WalkAndUnGZ.bat" "%USERPROFILE%\AppData\Local\Temp\OnboardLogs"\RTDC4023\2017-05-06 &amp; aws s3 cp s3://rtdc.mdm.uploadarchive.raw/RTDC4023/ "%USERPROFILE%\AppData\Local\Temp\OnboardLogs"\RTDC4023\2017-05-07 --exclude "*" --recursive --include "*20170507*" &amp; "%USERPROFILE%\Documents\GitHub\mrs-test-scripts\Headless Mode &amp; Sideloading\WalkAndUnGZ.bat" "%USERPROFILE%\AppData\Local\Temp\OnboardLogs"\RTDC4023\2017-05-07</v>
      </c>
      <c r="AF134" s="77" t="str">
        <f t="shared" si="57"/>
        <v>"C:\Program Files (x86)\AstroGrep\AstroGrep.exe" /e /r /s /spath="%USERPROFILE%\AppData\Local\Temp\OnboardLogs" /stypes="app*4023*20170507*" /stext=" 04:.+((SYSTEM_STATE.+slice.+state.+changed )|(ment ac)|(multiple cpu faults)|(system.+state.+changed )|(\[timeout)|(PRM\|1\|D)|(kpr)|(kdp)|(train st.+moving)|(\|lc)|(penalty))"</v>
      </c>
      <c r="AG134" s="1" t="str">
        <f t="shared" si="58"/>
        <v>EC</v>
      </c>
      <c r="AH134" s="81" t="str">
        <f t="shared" si="59"/>
        <v>"%USERPROFILE%\Documents\GitHub\eaglep3\Utilities\RefineRTDCRunTimes.py" --tripid 228-06 --locoid 4023 --swversion DE.1.0.9.0 --startMP 204:233117 --initTime 2017-05-06T21:23:02 --startdatetime 2017-05-06T21:26:14 --delay 1 --endMP 204:138 --enddatetime 2017-05-06T22:08:21 --enforcementcount 0 &gt;&gt;C:\Users\stu\Documents\GitHub\eaglep3-reporting\EC\2017-05-06-refined-times.txt</v>
      </c>
      <c r="AI134" s="99" t="str">
        <f t="shared" si="60"/>
        <v>echo {"issue":{"subject":"","project_id":79,"tracker_id":40,"status_id":1,"priority_id":2,"assigned_to_id":23,"start_date":"2017-05-06","description":"","custom_fields":[{"id":1,"name":"Subdivision","value":"EC"},{"id":4,"name":"Milepost","value":"0.0138"},{"id":17,"name":"Train ID","value":"228-06"},{"id":16,"name":"Locomotive ID","value":"4023"},{"id":130,"name":"Impact","value":""},{"id":150,"name":"Time of Event (Mountain Time)","value":"22:08:21"},{"id":151,"name":"Denver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61"/>
        <v>start /low /b %USERPROFILE%\Documents\GitHub\eaglep3\Utilities\DownloadLogsFromS3.py --loco 4023 --day 2017-05-06</v>
      </c>
      <c r="AN134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04:08:21"},{"id":29,"name":"Sharepoint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740</v>
      </c>
      <c r="B135" s="7">
        <v>4018</v>
      </c>
      <c r="C135" s="21" t="s">
        <v>210</v>
      </c>
      <c r="D135" s="21" t="s">
        <v>800</v>
      </c>
      <c r="E135" s="13">
        <v>42861.869675925926</v>
      </c>
      <c r="F135" s="13">
        <v>42861.875243055554</v>
      </c>
      <c r="G135" s="7">
        <v>1</v>
      </c>
      <c r="H135" s="21" t="s">
        <v>787</v>
      </c>
      <c r="I135" s="13">
        <v>42861.901875000003</v>
      </c>
      <c r="J135" s="7">
        <v>0</v>
      </c>
      <c r="K135" s="92" t="str">
        <f t="shared" si="44"/>
        <v>4017/4018</v>
      </c>
      <c r="L135" s="21" t="str">
        <f>VLOOKUP(A135,'Trips&amp;Operators'!$C$1:$G$99999,5,FALSE)</f>
        <v>BROWN JACOB</v>
      </c>
      <c r="M135" s="6">
        <f t="shared" si="45"/>
        <v>2.6631944449036382E-2</v>
      </c>
      <c r="N135" s="7">
        <f t="shared" si="46"/>
        <v>38.35000000661239</v>
      </c>
      <c r="O135" s="7"/>
      <c r="P135" s="7"/>
      <c r="Q135" s="22"/>
      <c r="R135" s="190"/>
      <c r="S135" s="196">
        <f t="shared" si="47"/>
        <v>1</v>
      </c>
      <c r="T135" s="190" t="str">
        <f t="shared" si="48"/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49"/>
        <v>https://d0f6bd738d7f1b3e5a7ca70fe4ff75f0.us-east-1.aws.found.io/app/kibana#/discover/Steve-Slow-Train-Analysis-(2080s-and-2083s)?_g=(refreshInterval:(display:Off,pause:!f,section:0,value:0),time:(from:'2017-05-06T19:52:20-0600',mode:absolute,to:'2017-05-06T22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5" s="192" t="str">
        <f t="shared" si="50"/>
        <v>N</v>
      </c>
      <c r="X135" s="192">
        <f t="shared" si="51"/>
        <v>1</v>
      </c>
      <c r="Y135" s="192">
        <f t="shared" si="52"/>
        <v>4.6699999999999998E-2</v>
      </c>
      <c r="Z135" s="192">
        <f t="shared" si="53"/>
        <v>23.332899999999999</v>
      </c>
      <c r="AA135" s="192">
        <f t="shared" si="54"/>
        <v>23.286199999999997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55"/>
        <v>0229-06</v>
      </c>
      <c r="AE135" s="80" t="str">
        <f t="shared" si="56"/>
        <v>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 &amp; aws s3 cp s3://rtdc.mdm.uploadarchive.raw/RTDC4018/ "%USERPROFILE%\AppData\Local\Temp\OnboardLogs"\RTDC4018\2017-05-07 --exclude "*" --recursive --include "*20170507*" &amp; "%USERPROFILE%\Documents\GitHub\mrs-test-scripts\Headless Mode &amp; Sideloading\WalkAndUnGZ.bat" "%USERPROFILE%\AppData\Local\Temp\OnboardLogs"\RTDC4018\2017-05-07</v>
      </c>
      <c r="AF135" s="77" t="str">
        <f t="shared" si="57"/>
        <v>"C:\Program Files (x86)\AstroGrep\AstroGrep.exe" /e /r /s /spath="%USERPROFILE%\AppData\Local\Temp\OnboardLogs" /stypes="app*4018*20170507*" /stext=" 03:.+((SYSTEM_STATE.+slice.+state.+changed )|(ment ac)|(multiple cpu faults)|(system.+state.+changed )|(\[timeout)|(PRM\|1\|D)|(kpr)|(kdp)|(train st.+moving)|(\|lc)|(penalty))"</v>
      </c>
      <c r="AG135" s="1" t="str">
        <f t="shared" si="58"/>
        <v>EC</v>
      </c>
      <c r="AH135" s="81" t="str">
        <f t="shared" si="59"/>
        <v>"%USERPROFILE%\Documents\GitHub\eaglep3\Utilities\RefineRTDCRunTimes.py" --tripid 229-06 --locoid 4018 --swversion DE.1.0.9.0 --startMP 204:467 --initTime 2017-05-06T20:52:20 --startdatetime 2017-05-06T21:00:21 --delay 1 --endMP 204:233329 --enddatetime 2017-05-06T21:38:42 --enforcementcount 0 &gt;&gt;C:\Users\stu\Documents\GitHub\eaglep3-reporting\EC\2017-05-06-refined-times.txt</v>
      </c>
      <c r="AI135" s="99" t="str">
        <f t="shared" si="60"/>
        <v>echo {"issue":{"subject":"","project_id":79,"tracker_id":40,"status_id":1,"priority_id":2,"assigned_to_id":23,"start_date":"2017-05-06","description":"","custom_fields":[{"id":1,"name":"Subdivision","value":"EC"},{"id":4,"name":"Milepost","value":"23.3329"},{"id":17,"name":"Train ID","value":"229-06"},{"id":16,"name":"Locomotive ID","value":"4018"},{"id":130,"name":"Impact","value":""},{"id":150,"name":"Time of Event (Mountain Time)","value":"21:38:42"},{"id":151,"name":"Denver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61"/>
        <v>start /low /b %USERPROFILE%\Documents\GitHub\eaglep3\Utilities\DownloadLogsFromS3.py --loco 4018 --day 2017-05-06</v>
      </c>
      <c r="AN135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03:38:42"},{"id":29,"name":"Sharepoint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745</v>
      </c>
      <c r="B136" s="7">
        <v>4017</v>
      </c>
      <c r="C136" s="21" t="s">
        <v>210</v>
      </c>
      <c r="D136" s="21" t="s">
        <v>784</v>
      </c>
      <c r="E136" s="13">
        <v>42861.911377314813</v>
      </c>
      <c r="F136" s="13">
        <v>42861.914027777777</v>
      </c>
      <c r="G136" s="7">
        <v>1</v>
      </c>
      <c r="H136" s="21" t="s">
        <v>379</v>
      </c>
      <c r="I136" s="13">
        <v>42861.945185185185</v>
      </c>
      <c r="J136" s="7">
        <v>0</v>
      </c>
      <c r="K136" s="92" t="str">
        <f t="shared" si="44"/>
        <v>4017/4018</v>
      </c>
      <c r="L136" s="21" t="str">
        <f>VLOOKUP(A136,'Trips&amp;Operators'!$C$1:$G$99999,5,FALSE)</f>
        <v>BROWN JACOB</v>
      </c>
      <c r="M136" s="6">
        <f t="shared" si="45"/>
        <v>3.1157407407590654E-2</v>
      </c>
      <c r="N136" s="7">
        <f t="shared" si="46"/>
        <v>44.866666666930541</v>
      </c>
      <c r="O136" s="7"/>
      <c r="P136" s="7"/>
      <c r="Q136" s="22"/>
      <c r="R136" s="190" t="s">
        <v>1047</v>
      </c>
      <c r="S136" s="196">
        <f t="shared" si="47"/>
        <v>1</v>
      </c>
      <c r="T136" s="190" t="str">
        <f t="shared" si="48"/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49"/>
        <v>https://d0f6bd738d7f1b3e5a7ca70fe4ff75f0.us-east-1.aws.found.io/app/kibana#/discover/Steve-Slow-Train-Analysis-(2080s-and-2083s)?_g=(refreshInterval:(display:Off,pause:!f,section:0,value:0),time:(from:'2017-05-06T20:52:23-0600',mode:absolute,to:'2017-05-06T23:41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6" s="192" t="str">
        <f t="shared" si="50"/>
        <v>N</v>
      </c>
      <c r="X136" s="192">
        <f t="shared" si="51"/>
        <v>1</v>
      </c>
      <c r="Y136" s="192">
        <f t="shared" si="52"/>
        <v>23.299399999999999</v>
      </c>
      <c r="Z136" s="192">
        <f t="shared" si="53"/>
        <v>1.4999999999999999E-2</v>
      </c>
      <c r="AA136" s="192">
        <f t="shared" si="54"/>
        <v>23.284399999999998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55"/>
        <v>0230-06</v>
      </c>
      <c r="AE136" s="80" t="str">
        <f t="shared" si="56"/>
        <v>aws s3 cp s3://rtdc.mdm.uploadarchive.raw/RTDC4017/ "%USERPROFILE%\AppData\Local\Temp\OnboardLogs"\RTDC4017\2017-05-06 --exclude "*" --recursive --include "*20170506*" &amp; "%USERPROFILE%\Documents\GitHub\mrs-test-scripts\Headless Mode &amp; Sideloading\WalkAndUnGZ.bat" "%USERPROFILE%\AppData\Local\Temp\OnboardLogs"\RTDC4017\2017-05-06 &amp; aws s3 cp s3://rtdc.mdm.uploadarchive.raw/RTDC4017/ "%USERPROFILE%\AppData\Local\Temp\OnboardLogs"\RTDC4017\2017-05-07 --exclude "*" --recursive --include "*20170507*" &amp; "%USERPROFILE%\Documents\GitHub\mrs-test-scripts\Headless Mode &amp; Sideloading\WalkAndUnGZ.bat" "%USERPROFILE%\AppData\Local\Temp\OnboardLogs"\RTDC4017\2017-05-07</v>
      </c>
      <c r="AF136" s="77" t="str">
        <f t="shared" si="57"/>
        <v>"C:\Program Files (x86)\AstroGrep\AstroGrep.exe" /e /r /s /spath="%USERPROFILE%\AppData\Local\Temp\OnboardLogs" /stypes="app*4017*20170507*" /stext=" 04:.+((SYSTEM_STATE.+slice.+state.+changed )|(ment ac)|(multiple cpu faults)|(system.+state.+changed )|(\[timeout)|(PRM\|1\|D)|(kpr)|(kdp)|(train st.+moving)|(\|lc)|(penalty))"</v>
      </c>
      <c r="AG136" s="1" t="str">
        <f t="shared" si="58"/>
        <v>EC</v>
      </c>
      <c r="AH136" s="81" t="str">
        <f t="shared" si="59"/>
        <v>"%USERPROFILE%\Documents\GitHub\eaglep3\Utilities\RefineRTDCRunTimes.py" --tripid 230-06 --locoid 4017 --swversion DE.1.0.9.0 --startMP 204:232994 --initTime 2017-05-06T21:52:23 --startdatetime 2017-05-06T21:56:12 --delay 1 --endMP 204:150 --enddatetime 2017-05-06T22:41:04 --enforcementcount 0 &gt;&gt;C:\Users\stu\Documents\GitHub\eaglep3-reporting\EC\2017-05-06-refined-times.txt</v>
      </c>
      <c r="AI136" s="99" t="str">
        <f t="shared" si="60"/>
        <v>echo {"issue":{"subject":"Incident report on Form C - received red fence for Form C and logged incident, train crept closer and was able to proceed","project_id":79,"tracker_id":40,"status_id":1,"priority_id":2,"assigned_to_id":23,"start_date":"2017-05-06","description":"","custom_fields":[{"id":1,"name":"Subdivision","value":"EC"},{"id":4,"name":"Milepost","value":"0.015"},{"id":17,"name":"Train ID","value":"230-06"},{"id":16,"name":"Locomotive ID","value":"4017"},{"id":130,"name":"Impact","value":""},{"id":150,"name":"Time of Event (Mountain Time)","value":"22:41:04"},{"id":151,"name":"Denver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61"/>
        <v>start /low /b %USERPROFILE%\Documents\GitHub\eaglep3\Utilities\DownloadLogsFromS3.py --loco 4017 --day 2017-05-06</v>
      </c>
      <c r="AN136" s="154" t="str">
        <f t="shared" si="62"/>
        <v>echo {"issue":{"subject":"Incident report on Form C - received red fence for Form C and logged incident, train crept closer and was able to proceed","project_id":30,"tracker_id":4,"status_id":1,"priority_id":1,"assigned_to_id":10,"start_date":"2017-05-07","description":"","custom_fields":[{"id":30,"name":"Category","value":"Issue"},{"id":3,"name":"Functional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04:41:04"},{"id":29,"name":"Sharepoint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x14ac:dyDescent="0.25">
      <c r="A137" s="32" t="s">
        <v>741</v>
      </c>
      <c r="B137" s="7">
        <v>4054</v>
      </c>
      <c r="C137" s="21" t="s">
        <v>210</v>
      </c>
      <c r="D137" s="21" t="s">
        <v>368</v>
      </c>
      <c r="E137" s="13">
        <v>42861.886481481481</v>
      </c>
      <c r="F137" s="13">
        <v>42861.896087962959</v>
      </c>
      <c r="G137" s="7">
        <v>1</v>
      </c>
      <c r="H137" s="21" t="s">
        <v>401</v>
      </c>
      <c r="I137" s="13">
        <v>42861.923715277779</v>
      </c>
      <c r="J137" s="7">
        <v>0</v>
      </c>
      <c r="K137" s="92" t="str">
        <f t="shared" si="44"/>
        <v>4053/4054</v>
      </c>
      <c r="L137" s="21" t="str">
        <f>VLOOKUP(A137,'Trips&amp;Operators'!$C$1:$G$99999,5,FALSE)</f>
        <v>SMITH MICHAEL</v>
      </c>
      <c r="M137" s="6">
        <f t="shared" si="45"/>
        <v>2.7627314819255844E-2</v>
      </c>
      <c r="N137" s="7">
        <f t="shared" si="46"/>
        <v>39.783333339728415</v>
      </c>
      <c r="O137" s="7"/>
      <c r="P137" s="7"/>
      <c r="Q137" s="22"/>
      <c r="R137" s="190"/>
      <c r="S137" s="196">
        <f t="shared" si="47"/>
        <v>1</v>
      </c>
      <c r="T137" s="190" t="str">
        <f t="shared" si="48"/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49"/>
        <v>https://d0f6bd738d7f1b3e5a7ca70fe4ff75f0.us-east-1.aws.found.io/app/kibana#/discover/Steve-Slow-Train-Analysis-(2080s-and-2083s)?_g=(refreshInterval:(display:Off,pause:!f,section:0,value:0),time:(from:'2017-05-06T20:16:32-0600',mode:absolute,to:'2017-05-06T23:10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7" s="192" t="str">
        <f t="shared" si="50"/>
        <v>N</v>
      </c>
      <c r="X137" s="192">
        <f t="shared" si="51"/>
        <v>1</v>
      </c>
      <c r="Y137" s="192">
        <f t="shared" si="52"/>
        <v>4.6199999999999998E-2</v>
      </c>
      <c r="Z137" s="192">
        <f t="shared" si="53"/>
        <v>23.3293</v>
      </c>
      <c r="AA137" s="192">
        <f t="shared" si="54"/>
        <v>23.283100000000001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55"/>
        <v>0231-06</v>
      </c>
      <c r="AE137" s="80" t="str">
        <f t="shared" si="56"/>
        <v>aws s3 cp s3://rtdc.mdm.uploadarchive.raw/RTDC4054/ "%USERPROFILE%\AppData\Local\Temp\OnboardLogs"\RTDC4054\2017-05-06 --exclude "*" --recursive --include "*20170506*" &amp; "%USERPROFILE%\Documents\GitHub\mrs-test-scripts\Headless Mode &amp; Sideloading\WalkAndUnGZ.bat" "%USERPROFILE%\AppData\Local\Temp\OnboardLogs"\RTDC4054\2017-05-06 &amp; aws s3 cp s3://rtdc.mdm.uploadarchive.raw/RTDC4054/ "%USERPROFILE%\AppData\Local\Temp\OnboardLogs"\RTDC4054\2017-05-07 --exclude "*" --recursive --include "*20170507*" &amp; "%USERPROFILE%\Documents\GitHub\mrs-test-scripts\Headless Mode &amp; Sideloading\WalkAndUnGZ.bat" "%USERPROFILE%\AppData\Local\Temp\OnboardLogs"\RTDC4054\2017-05-07</v>
      </c>
      <c r="AF137" s="77" t="str">
        <f t="shared" si="57"/>
        <v>"C:\Program Files (x86)\AstroGrep\AstroGrep.exe" /e /r /s /spath="%USERPROFILE%\AppData\Local\Temp\OnboardLogs" /stypes="app*4054*20170507*" /stext=" 04:.+((SYSTEM_STATE.+slice.+state.+changed )|(ment ac)|(multiple cpu faults)|(system.+state.+changed )|(\[timeout)|(PRM\|1\|D)|(kpr)|(kdp)|(train st.+moving)|(\|lc)|(penalty))"</v>
      </c>
      <c r="AG137" s="1" t="str">
        <f t="shared" si="58"/>
        <v>EC</v>
      </c>
      <c r="AH137" s="81" t="str">
        <f t="shared" si="59"/>
        <v>"%USERPROFILE%\Documents\GitHub\eaglep3\Utilities\RefineRTDCRunTimes.py" --tripid 231-06 --locoid 4054 --swversion DE.1.0.9.0 --startMP 204:462 --initTime 2017-05-06T21:16:32 --startdatetime 2017-05-06T21:30:22 --delay 1 --endMP 204:233293 --enddatetime 2017-05-06T22:10:09 --enforcementcount 0 &gt;&gt;C:\Users\stu\Documents\GitHub\eaglep3-reporting\EC\2017-05-06-refined-times.txt</v>
      </c>
      <c r="AI137" s="99" t="str">
        <f t="shared" si="60"/>
        <v>echo {"issue":{"subject":"","project_id":79,"tracker_id":40,"status_id":1,"priority_id":2,"assigned_to_id":23,"start_date":"2017-05-06","description":"","custom_fields":[{"id":1,"name":"Subdivision","value":"EC"},{"id":4,"name":"Milepost","value":"23.3293"},{"id":17,"name":"Train ID","value":"231-06"},{"id":16,"name":"Locomotive ID","value":"4054"},{"id":130,"name":"Impact","value":""},{"id":150,"name":"Time of Event (Mountain Time)","value":"22:10:09"},{"id":151,"name":"Denver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20"/>
      <c r="AK137" s="47"/>
      <c r="AL137" s="47"/>
      <c r="AM137" s="145" t="str">
        <f t="shared" si="61"/>
        <v>start /low /b %USERPROFILE%\Documents\GitHub\eaglep3\Utilities\DownloadLogsFromS3.py --loco 4054 --day 2017-05-06</v>
      </c>
      <c r="AN137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04:10:09"},{"id":29,"name":"Sharepoint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8" spans="1:91" s="20" customFormat="1" x14ac:dyDescent="0.25">
      <c r="A138" s="32" t="s">
        <v>747</v>
      </c>
      <c r="B138" s="7">
        <v>4053</v>
      </c>
      <c r="C138" s="21" t="s">
        <v>210</v>
      </c>
      <c r="D138" s="21" t="s">
        <v>895</v>
      </c>
      <c r="E138" s="13">
        <v>42861.964386574073</v>
      </c>
      <c r="F138" s="13">
        <v>42861.965162037035</v>
      </c>
      <c r="G138" s="7">
        <v>1</v>
      </c>
      <c r="H138" s="21" t="s">
        <v>410</v>
      </c>
      <c r="I138" s="13">
        <v>42862.046736111108</v>
      </c>
      <c r="J138" s="7">
        <v>0</v>
      </c>
      <c r="K138" s="92" t="str">
        <f t="shared" si="44"/>
        <v>4053/4054</v>
      </c>
      <c r="L138" s="21" t="str">
        <f>VLOOKUP(A138,'Trips&amp;Operators'!$C$1:$G$99999,5,FALSE)</f>
        <v>SMITH MICHAEL</v>
      </c>
      <c r="M138" s="6">
        <f t="shared" si="45"/>
        <v>8.1574074072705116E-2</v>
      </c>
      <c r="N138" s="7"/>
      <c r="O138" s="7"/>
      <c r="P138" s="7"/>
      <c r="Q138" s="22"/>
      <c r="R138" s="190"/>
      <c r="S138" s="196"/>
      <c r="T138" s="190" t="str">
        <f t="shared" si="48"/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0</v>
      </c>
      <c r="V138" s="191" t="str">
        <f t="shared" si="49"/>
        <v>https://d0f6bd738d7f1b3e5a7ca70fe4ff75f0.us-east-1.aws.found.io/app/kibana#/discover/Steve-Slow-Train-Analysis-(2080s-and-2083s)?_g=(refreshInterval:(display:Off,pause:!f,section:0,value:0),time:(from:'2017-05-06T22:08:43-0600',mode:absolute,to:'2017-05-07T02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8" s="192" t="str">
        <f t="shared" si="50"/>
        <v>Y</v>
      </c>
      <c r="X138" s="192">
        <f t="shared" si="51"/>
        <v>1</v>
      </c>
      <c r="Y138" s="192">
        <f t="shared" si="52"/>
        <v>1.8772</v>
      </c>
      <c r="Z138" s="192">
        <f t="shared" si="53"/>
        <v>1.41E-2</v>
      </c>
      <c r="AA138" s="192">
        <f t="shared" si="54"/>
        <v>1.8631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55"/>
        <v>0232-06</v>
      </c>
      <c r="AE138" s="80" t="str">
        <f t="shared" si="56"/>
        <v>aws s3 cp s3://rtdc.mdm.uploadarchive.raw/RTDC4053/ "%USERPROFILE%\AppData\Local\Temp\OnboardLogs"\RTDC4053\2017-05-06 --exclude "*" --recursive --include "*20170506*" &amp; "%USERPROFILE%\Documents\GitHub\mrs-test-scripts\Headless Mode &amp; Sideloading\WalkAndUnGZ.bat" "%USERPROFILE%\AppData\Local\Temp\OnboardLogs"\RTDC4053\2017-05-06 &amp; aws s3 cp s3://rtdc.mdm.uploadarchive.raw/RTDC4053/ "%USERPROFILE%\AppData\Local\Temp\OnboardLogs"\RTDC4053\2017-05-07 --exclude "*" --recursive --include "*20170507*" &amp; "%USERPROFILE%\Documents\GitHub\mrs-test-scripts\Headless Mode &amp; Sideloading\WalkAndUnGZ.bat" "%USERPROFILE%\AppData\Local\Temp\OnboardLogs"\RTDC4053\2017-05-07</v>
      </c>
      <c r="AF138" s="77" t="str">
        <f t="shared" si="57"/>
        <v>"C:\Program Files (x86)\AstroGrep\AstroGrep.exe" /e /r /s /spath="%USERPROFILE%\AppData\Local\Temp\OnboardLogs" /stypes="app*4053*20170507*" /stext=" 07:.+((SYSTEM_STATE.+slice.+state.+changed )|(ment ac)|(multiple cpu faults)|(system.+state.+changed )|(\[timeout)|(PRM\|1\|D)|(kpr)|(kdp)|(train st.+moving)|(\|lc)|(penalty))"</v>
      </c>
      <c r="AG138" s="1" t="str">
        <f t="shared" si="58"/>
        <v>EC</v>
      </c>
      <c r="AH138" s="81" t="str">
        <f t="shared" si="59"/>
        <v>"%USERPROFILE%\Documents\GitHub\eaglep3\Utilities\RefineRTDCRunTimes.py" --tripid 232-06 --locoid 4053 --swversion DE.1.0.9.0 --startMP 204:18772 --initTime 2017-05-06T23:08:43 --startdatetime 2017-05-06T23:09:50 --delay 1 --endMP 204:141 --enddatetime 2017-05-07T01:07:18 --enforcementcount 0 &gt;&gt;C:\Users\stu\Documents\GitHub\eaglep3-reporting\EC\2017-05-06-refined-times.txt</v>
      </c>
      <c r="AI138" s="99" t="str">
        <f t="shared" si="60"/>
        <v>echo {"issue":{"subject":"","project_id":79,"tracker_id":40,"status_id":1,"priority_id":2,"assigned_to_id":23,"start_date":"2017-05-07","description":"","custom_fields":[{"id":1,"name":"Subdivision","value":"EC"},{"id":4,"name":"Milepost","value":"0.0141"},{"id":17,"name":"Train ID","value":"232-06"},{"id":16,"name":"Locomotive ID","value":"4053"},{"id":130,"name":"Impact","value":""},{"id":150,"name":"Time of Event (Mountain Time)","value":"01:07:18"},{"id":151,"name":"Denver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61"/>
        <v>start /low /b %USERPROFILE%\Documents\GitHub\eaglep3\Utilities\DownloadLogsFromS3.py --loco 4053 --day 2017-05-06</v>
      </c>
      <c r="AN138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07:07:18"},{"id":29,"name":"Sharepoint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747</v>
      </c>
      <c r="B139" s="7">
        <v>4053</v>
      </c>
      <c r="C139" s="21" t="s">
        <v>210</v>
      </c>
      <c r="D139" s="21" t="s">
        <v>430</v>
      </c>
      <c r="E139" s="13">
        <v>42861.928402777776</v>
      </c>
      <c r="F139" s="13">
        <v>42861.929340277777</v>
      </c>
      <c r="G139" s="7">
        <v>1</v>
      </c>
      <c r="H139" s="21" t="s">
        <v>896</v>
      </c>
      <c r="I139" s="13">
        <v>42861.955000000002</v>
      </c>
      <c r="J139" s="7">
        <v>0</v>
      </c>
      <c r="K139" s="92" t="str">
        <f t="shared" si="44"/>
        <v>4053/4054</v>
      </c>
      <c r="L139" s="21" t="str">
        <f>VLOOKUP(A139,'Trips&amp;Operators'!$C$1:$G$99999,5,FALSE)</f>
        <v>SMITH MICHAEL</v>
      </c>
      <c r="M139" s="6">
        <f t="shared" si="45"/>
        <v>2.5659722225100268E-2</v>
      </c>
      <c r="N139" s="7"/>
      <c r="O139" s="7"/>
      <c r="P139" s="7">
        <f t="shared" si="46"/>
        <v>36.950000004144385</v>
      </c>
      <c r="Q139" s="22"/>
      <c r="R139" s="190" t="s">
        <v>1042</v>
      </c>
      <c r="S139" s="196">
        <f t="shared" si="47"/>
        <v>0.33333333333333331</v>
      </c>
      <c r="T139" s="190" t="str">
        <f t="shared" si="48"/>
        <v>Southbound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4</v>
      </c>
      <c r="V139" s="191" t="str">
        <f t="shared" si="49"/>
        <v>https://d0f6bd738d7f1b3e5a7ca70fe4ff75f0.us-east-1.aws.found.io/app/kibana#/discover/Steve-Slow-Train-Analysis-(2080s-and-2083s)?_g=(refreshInterval:(display:Off,pause:!f,section:0,value:0),time:(from:'2017-05-06T21:16:54-0600',mode:absolute,to:'2017-05-06T23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9" s="192" t="str">
        <f t="shared" si="50"/>
        <v>Y</v>
      </c>
      <c r="X139" s="192">
        <f t="shared" si="51"/>
        <v>0</v>
      </c>
      <c r="Y139" s="192">
        <f t="shared" si="52"/>
        <v>23.297999999999998</v>
      </c>
      <c r="Z139" s="192">
        <f t="shared" si="53"/>
        <v>5.9115000000000002</v>
      </c>
      <c r="AA139" s="192">
        <f t="shared" si="54"/>
        <v>17.386499999999998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55"/>
        <v>0232-06</v>
      </c>
      <c r="AE139" s="80" t="str">
        <f t="shared" si="56"/>
        <v>aws s3 cp s3://rtdc.mdm.uploadarchive.raw/RTDC4053/ "%USERPROFILE%\AppData\Local\Temp\OnboardLogs"\RTDC4053\2017-05-06 --exclude "*" --recursive --include "*20170506*" &amp; "%USERPROFILE%\Documents\GitHub\mrs-test-scripts\Headless Mode &amp; Sideloading\WalkAndUnGZ.bat" "%USERPROFILE%\AppData\Local\Temp\OnboardLogs"\RTDC4053\2017-05-06 &amp; aws s3 cp s3://rtdc.mdm.uploadarchive.raw/RTDC4053/ "%USERPROFILE%\AppData\Local\Temp\OnboardLogs"\RTDC4053\2017-05-07 --exclude "*" --recursive --include "*20170507*" &amp; "%USERPROFILE%\Documents\GitHub\mrs-test-scripts\Headless Mode &amp; Sideloading\WalkAndUnGZ.bat" "%USERPROFILE%\AppData\Local\Temp\OnboardLogs"\RTDC4053\2017-05-07</v>
      </c>
      <c r="AF139" s="77" t="str">
        <f t="shared" si="57"/>
        <v>"C:\Program Files (x86)\AstroGrep\AstroGrep.exe" /e /r /s /spath="%USERPROFILE%\AppData\Local\Temp\OnboardLogs" /stypes="app*4053*20170507*" /stext=" 04:.+((SYSTEM_STATE.+slice.+state.+changed )|(ment ac)|(multiple cpu faults)|(system.+state.+changed )|(\[timeout)|(PRM\|1\|D)|(kpr)|(kdp)|(train st.+moving)|(\|lc)|(penalty))"</v>
      </c>
      <c r="AG139" s="1" t="str">
        <f t="shared" si="58"/>
        <v>EC</v>
      </c>
      <c r="AH139" s="81" t="str">
        <f t="shared" si="59"/>
        <v>"%USERPROFILE%\Documents\GitHub\eaglep3\Utilities\RefineRTDCRunTimes.py" --tripid 232-06 --locoid 4053 --swversion DE.1.0.9.0 --startMP 204:232980 --initTime 2017-05-06T22:16:54 --startdatetime 2017-05-06T22:18:15 --delay 1 --endMP 204:59115 --enddatetime 2017-05-06T22:55:12 --enforcementcount 0 &gt;&gt;C:\Users\stu\Documents\GitHub\eaglep3-reporting\EC\2017-05-06-refined-times.txt</v>
      </c>
      <c r="AI139" s="99" t="str">
        <f t="shared" si="60"/>
        <v>echo {"issue":{"subject":"Test train prevented signal from clearing - cut out to pass","project_id":79,"tracker_id":40,"status_id":1,"priority_id":2,"assigned_to_id":23,"start_date":"2017-05-06","description":"","custom_fields":[{"id":1,"name":"Subdivision","value":"EC"},{"id":4,"name":"Milepost","value":"5.9115"},{"id":17,"name":"Train ID","value":"232-06"},{"id":16,"name":"Locomotive ID","value":"4053"},{"id":130,"name":"Impact","value":""},{"id":150,"name":"Time of Event (Mountain Time)","value":"22:55:12"},{"id":151,"name":"Denver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61"/>
        <v>start /low /b %USERPROFILE%\Documents\GitHub\eaglep3\Utilities\DownloadLogsFromS3.py --loco 4053 --day 2017-05-06</v>
      </c>
      <c r="AN139" s="154" t="str">
        <f t="shared" si="62"/>
        <v>echo {"issue":{"subject":"Test train prevented signal from clearing - cut out to pass","project_id":30,"tracker_id":4,"status_id":1,"priority_id":1,"assigned_to_id":10,"start_date":"2017-05-07","description":"","custom_fields":[{"id":30,"name":"Category","value":"Issue"},{"id":3,"name":"Functional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04:55:12"},{"id":29,"name":"Sharepoint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551</v>
      </c>
      <c r="B140" s="7">
        <v>4010</v>
      </c>
      <c r="C140" s="21" t="s">
        <v>210</v>
      </c>
      <c r="D140" s="21" t="s">
        <v>205</v>
      </c>
      <c r="E140" s="13">
        <v>42861.901921296296</v>
      </c>
      <c r="F140" s="13">
        <v>42861.917013888888</v>
      </c>
      <c r="G140" s="7">
        <v>1</v>
      </c>
      <c r="H140" s="21" t="s">
        <v>897</v>
      </c>
      <c r="I140" s="13">
        <v>42861.94226851852</v>
      </c>
      <c r="J140" s="7">
        <v>0</v>
      </c>
      <c r="K140" s="92" t="str">
        <f t="shared" si="44"/>
        <v>4009/4010</v>
      </c>
      <c r="L140" s="21" t="str">
        <f>VLOOKUP(A140,'Trips&amp;Operators'!$C$1:$G$99999,5,FALSE)</f>
        <v>STAMBAUGH JAMES</v>
      </c>
      <c r="M140" s="6">
        <f t="shared" si="45"/>
        <v>2.5254629632399883E-2</v>
      </c>
      <c r="N140" s="7">
        <f t="shared" si="46"/>
        <v>36.366666670655832</v>
      </c>
      <c r="O140" s="7"/>
      <c r="P140" s="7"/>
      <c r="Q140" s="22"/>
      <c r="R140" s="190"/>
      <c r="S140" s="196">
        <f t="shared" si="47"/>
        <v>1</v>
      </c>
      <c r="T140" s="190" t="str">
        <f t="shared" si="48"/>
        <v>NorthBound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49"/>
        <v>https://d0f6bd738d7f1b3e5a7ca70fe4ff75f0.us-east-1.aws.found.io/app/kibana#/discover/Steve-Slow-Train-Analysis-(2080s-and-2083s)?_g=(refreshInterval:(display:Off,pause:!f,section:0,value:0),time:(from:'2017-05-06T20:38:46-0600',mode:absolute,to:'2017-05-06T23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0" s="192" t="str">
        <f t="shared" si="50"/>
        <v>N</v>
      </c>
      <c r="X140" s="192">
        <f t="shared" si="51"/>
        <v>1</v>
      </c>
      <c r="Y140" s="192">
        <f t="shared" si="52"/>
        <v>4.5999999999999999E-2</v>
      </c>
      <c r="Z140" s="192">
        <f t="shared" si="53"/>
        <v>23.343</v>
      </c>
      <c r="AA140" s="192">
        <f t="shared" si="54"/>
        <v>23.297000000000001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55"/>
        <v>0233-06</v>
      </c>
      <c r="AE140" s="80" t="str">
        <f t="shared" si="56"/>
        <v>aws s3 cp s3://rtdc.mdm.uploadarchive.raw/RTDC4010/ "%USERPROFILE%\AppData\Local\Temp\OnboardLogs"\RTDC4010\2017-05-06 --exclude "*" --recursive --include "*20170506*" &amp; "%USERPROFILE%\Documents\GitHub\mrs-test-scripts\Headless Mode &amp; Sideloading\WalkAndUnGZ.bat" "%USERPROFILE%\AppData\Local\Temp\OnboardLogs"\RTDC4010\2017-05-06 &amp; aws s3 cp s3://rtdc.mdm.uploadarchive.raw/RTDC4010/ "%USERPROFILE%\AppData\Local\Temp\OnboardLogs"\RTDC4010\2017-05-07 --exclude "*" --recursive --include "*20170507*" &amp; "%USERPROFILE%\Documents\GitHub\mrs-test-scripts\Headless Mode &amp; Sideloading\WalkAndUnGZ.bat" "%USERPROFILE%\AppData\Local\Temp\OnboardLogs"\RTDC4010\2017-05-07</v>
      </c>
      <c r="AF140" s="77" t="str">
        <f t="shared" si="57"/>
        <v>"C:\Program Files (x86)\AstroGrep\AstroGrep.exe" /e /r /s /spath="%USERPROFILE%\AppData\Local\Temp\OnboardLogs" /stypes="app*4010*20170507*" /stext=" 04:.+((SYSTEM_STATE.+slice.+state.+changed )|(ment ac)|(multiple cpu faults)|(system.+state.+changed )|(\[timeout)|(PRM\|1\|D)|(kpr)|(kdp)|(train st.+moving)|(\|lc)|(penalty))"</v>
      </c>
      <c r="AG140" s="1" t="str">
        <f t="shared" si="58"/>
        <v>EC</v>
      </c>
      <c r="AH140" s="81" t="str">
        <f t="shared" si="59"/>
        <v>"%USERPROFILE%\Documents\GitHub\eaglep3\Utilities\RefineRTDCRunTimes.py" --tripid 233-06 --locoid 4010 --swversion DE.1.0.9.0 --startMP 204:460 --initTime 2017-05-06T21:38:46 --startdatetime 2017-05-06T22:00:30 --delay 1 --endMP 204:233430 --enddatetime 2017-05-06T22:36:52 --enforcementcount 0 &gt;&gt;C:\Users\stu\Documents\GitHub\eaglep3-reporting\EC\2017-05-06-refined-times.txt</v>
      </c>
      <c r="AI140" s="99" t="str">
        <f t="shared" si="60"/>
        <v>echo {"issue":{"subject":"","project_id":79,"tracker_id":40,"status_id":1,"priority_id":2,"assigned_to_id":23,"start_date":"2017-05-06","description":"","custom_fields":[{"id":1,"name":"Subdivision","value":"EC"},{"id":4,"name":"Milepost","value":"23.343"},{"id":17,"name":"Train ID","value":"233-06"},{"id":16,"name":"Locomotive ID","value":"4010"},{"id":130,"name":"Impact","value":""},{"id":150,"name":"Time of Event (Mountain Time)","value":"22:36:52"},{"id":151,"name":"Denver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61"/>
        <v>start /low /b %USERPROFILE%\Documents\GitHub\eaglep3\Utilities\DownloadLogsFromS3.py --loco 4010 --day 2017-05-06</v>
      </c>
      <c r="AN140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04:36:52"},{"id":29,"name":"Sharepoint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750</v>
      </c>
      <c r="B141" s="7">
        <v>4009</v>
      </c>
      <c r="C141" s="21" t="s">
        <v>210</v>
      </c>
      <c r="D141" s="21" t="s">
        <v>898</v>
      </c>
      <c r="E141" s="13">
        <v>42861.952060185184</v>
      </c>
      <c r="F141" s="13">
        <v>42862.037418981483</v>
      </c>
      <c r="G141" s="7">
        <v>3</v>
      </c>
      <c r="H141" s="21" t="s">
        <v>898</v>
      </c>
      <c r="I141" s="13">
        <v>42862.039340277777</v>
      </c>
      <c r="J141" s="7">
        <v>0</v>
      </c>
      <c r="K141" s="92" t="str">
        <f t="shared" si="44"/>
        <v>4009/4010</v>
      </c>
      <c r="L141" s="21" t="str">
        <f>VLOOKUP(A141,'Trips&amp;Operators'!$C$1:$G$99999,5,FALSE)</f>
        <v>STAMBAUGH JAMES</v>
      </c>
      <c r="M141" s="6">
        <f t="shared" si="45"/>
        <v>1.9212962943129241E-3</v>
      </c>
      <c r="N141" s="7"/>
      <c r="O141" s="7"/>
      <c r="P141" s="7">
        <f t="shared" si="46"/>
        <v>2.7666666638106108</v>
      </c>
      <c r="Q141" s="22"/>
      <c r="R141" s="190" t="s">
        <v>1040</v>
      </c>
      <c r="S141" s="196">
        <f t="shared" si="47"/>
        <v>0</v>
      </c>
      <c r="T141" s="190" t="str">
        <f t="shared" si="48"/>
        <v>Southbound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0</v>
      </c>
      <c r="V141" s="191" t="str">
        <f t="shared" si="49"/>
        <v>https://d0f6bd738d7f1b3e5a7ca70fe4ff75f0.us-east-1.aws.found.io/app/kibana#/discover/Steve-Slow-Train-Analysis-(2080s-and-2083s)?_g=(refreshInterval:(display:Off,pause:!f,section:0,value:0),time:(from:'2017-05-06T21:50:58-0600',mode:absolute,to:'2017-05-07T01:56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1" s="192" t="str">
        <f t="shared" si="50"/>
        <v>Y</v>
      </c>
      <c r="X141" s="192">
        <f t="shared" si="51"/>
        <v>1</v>
      </c>
      <c r="Y141" s="192">
        <f t="shared" si="52"/>
        <v>23.3124</v>
      </c>
      <c r="Z141" s="192">
        <f t="shared" si="53"/>
        <v>23.3124</v>
      </c>
      <c r="AA141" s="192">
        <f t="shared" si="54"/>
        <v>0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si="55"/>
        <v>0234-06</v>
      </c>
      <c r="AE141" s="80" t="str">
        <f t="shared" si="56"/>
        <v>aws s3 cp s3://rtdc.mdm.uploadarchive.raw/RTDC4009/ "%USERPROFILE%\AppData\Local\Temp\OnboardLogs"\RTDC4009\2017-05-07 --exclude "*" --recursive --include "*20170507*" &amp; "%USERPROFILE%\Documents\GitHub\mrs-test-scripts\Headless Mode &amp; Sideloading\WalkAndUnGZ.bat" "%USERPROFILE%\AppData\Local\Temp\OnboardLogs"\RTDC4009\2017-05-07 &amp; 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</v>
      </c>
      <c r="AF141" s="77" t="str">
        <f t="shared" si="57"/>
        <v>"C:\Program Files (x86)\AstroGrep\AstroGrep.exe" /e /r /s /spath="%USERPROFILE%\AppData\Local\Temp\OnboardLogs" /stypes="app*4009*20170507*" /stext=" 06:.+((SYSTEM_STATE.+slice.+state.+changed )|(ment ac)|(multiple cpu faults)|(system.+state.+changed )|(\[timeout)|(PRM\|1\|D)|(kpr)|(kdp)|(train st.+moving)|(\|lc)|(penalty))"</v>
      </c>
      <c r="AG141" s="1" t="str">
        <f t="shared" si="58"/>
        <v>EC</v>
      </c>
      <c r="AH141" s="81" t="str">
        <f t="shared" si="59"/>
        <v>"%USERPROFILE%\Documents\GitHub\eaglep3\Utilities\RefineRTDCRunTimes.py" --tripid 234-06 --locoid 4009 --swversion DE.1.0.9.0 --startMP 204:233124 --initTime 2017-05-06T22:50:58 --startdatetime 2017-05-07T00:53:53 --delay 3 --endMP 204:233124 --enddatetime 2017-05-07T00:56:39 --enforcementcount 0 &gt;&gt;C:\Users\stu\Documents\GitHub\eaglep3-reporting\EC\2017-05-06-refined-times.txt</v>
      </c>
      <c r="AI141" s="99" t="str">
        <f t="shared" si="60"/>
        <v>echo {"issue":{"subject":"Onboard in-route failure","project_id":79,"tracker_id":40,"status_id":1,"priority_id":2,"assigned_to_id":23,"start_date":"2017-05-07","description":"","custom_fields":[{"id":1,"name":"Subdivision","value":"EC"},{"id":4,"name":"Milepost","value":"23.3124"},{"id":17,"name":"Train ID","value":"234-06"},{"id":16,"name":"Locomotive ID","value":"4009"},{"id":130,"name":"Impact","value":""},{"id":150,"name":"Time of Event (Mountain Time)","value":"00:56:39"},{"id":151,"name":"Denver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61"/>
        <v>start /low /b %USERPROFILE%\Documents\GitHub\eaglep3\Utilities\DownloadLogsFromS3.py --loco 4009 --day 2017-05-07</v>
      </c>
      <c r="AN141" s="154" t="str">
        <f t="shared" si="62"/>
        <v>echo {"issue":{"subject":"Onboard in-route failure","project_id":30,"tracker_id":4,"status_id":1,"priority_id":1,"assigned_to_id":10,"start_date":"2017-05-07","description":"","custom_fields":[{"id":30,"name":"Category","value":"Issue"},{"id":3,"name":"Functional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06:56:39"},{"id":29,"name":"Sharepoint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750</v>
      </c>
      <c r="B142" s="7">
        <v>4009</v>
      </c>
      <c r="C142" s="21" t="s">
        <v>210</v>
      </c>
      <c r="D142" s="21" t="s">
        <v>899</v>
      </c>
      <c r="E142" s="13">
        <v>42861.952060185184</v>
      </c>
      <c r="F142" s="13">
        <v>42862.037418981483</v>
      </c>
      <c r="G142" s="7">
        <v>1</v>
      </c>
      <c r="H142" s="21" t="s">
        <v>898</v>
      </c>
      <c r="I142" s="13">
        <v>42862.039340277777</v>
      </c>
      <c r="J142" s="7">
        <v>0</v>
      </c>
      <c r="K142" s="92" t="str">
        <f t="shared" si="44"/>
        <v>4009/4010</v>
      </c>
      <c r="L142" s="21" t="str">
        <f>VLOOKUP(A142,'Trips&amp;Operators'!$C$1:$G$99999,5,FALSE)</f>
        <v>STAMBAUGH JAMES</v>
      </c>
      <c r="M142" s="6">
        <f t="shared" si="45"/>
        <v>1.9212962943129241E-3</v>
      </c>
      <c r="N142" s="7"/>
      <c r="O142" s="7"/>
      <c r="P142" s="7"/>
      <c r="Q142" s="22"/>
      <c r="R142" s="190"/>
      <c r="S142" s="196"/>
      <c r="T142" s="190" t="str">
        <f t="shared" si="48"/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0</v>
      </c>
      <c r="V142" s="191" t="str">
        <f t="shared" si="49"/>
        <v>https://d0f6bd738d7f1b3e5a7ca70fe4ff75f0.us-east-1.aws.found.io/app/kibana#/discover/Steve-Slow-Train-Analysis-(2080s-and-2083s)?_g=(refreshInterval:(display:Off,pause:!f,section:0,value:0),time:(from:'2017-05-06T21:50:58-0600',mode:absolute,to:'2017-05-07T01:56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2" s="192" t="str">
        <f t="shared" si="50"/>
        <v>Y</v>
      </c>
      <c r="X142" s="192">
        <f t="shared" si="51"/>
        <v>0</v>
      </c>
      <c r="Y142" s="192">
        <f t="shared" si="52"/>
        <v>23.312999999999999</v>
      </c>
      <c r="Z142" s="192">
        <f t="shared" si="53"/>
        <v>23.3124</v>
      </c>
      <c r="AA142" s="192">
        <f t="shared" si="54"/>
        <v>5.9999999999860165E-4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55"/>
        <v>0234-06</v>
      </c>
      <c r="AE142" s="80" t="str">
        <f t="shared" si="56"/>
        <v>aws s3 cp s3://rtdc.mdm.uploadarchive.raw/RTDC4009/ "%USERPROFILE%\AppData\Local\Temp\OnboardLogs"\RTDC4009\2017-05-07 --exclude "*" --recursive --include "*20170507*" &amp; "%USERPROFILE%\Documents\GitHub\mrs-test-scripts\Headless Mode &amp; Sideloading\WalkAndUnGZ.bat" "%USERPROFILE%\AppData\Local\Temp\OnboardLogs"\RTDC4009\2017-05-07 &amp; 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</v>
      </c>
      <c r="AF142" s="77" t="str">
        <f t="shared" si="57"/>
        <v>"C:\Program Files (x86)\AstroGrep\AstroGrep.exe" /e /r /s /spath="%USERPROFILE%\AppData\Local\Temp\OnboardLogs" /stypes="app*4009*20170507*" /stext=" 06:.+((SYSTEM_STATE.+slice.+state.+changed )|(ment ac)|(multiple cpu faults)|(system.+state.+changed )|(\[timeout)|(PRM\|1\|D)|(kpr)|(kdp)|(train st.+moving)|(\|lc)|(penalty))"</v>
      </c>
      <c r="AG142" s="1" t="str">
        <f t="shared" si="58"/>
        <v>EC</v>
      </c>
      <c r="AH142" s="81" t="str">
        <f t="shared" si="59"/>
        <v>"%USERPROFILE%\Documents\GitHub\eaglep3\Utilities\RefineRTDCRunTimes.py" --tripid 234-06 --locoid 4009 --swversion DE.1.0.9.0 --startMP 204:233130 --initTime 2017-05-06T22:50:58 --startdatetime 2017-05-07T00:53:53 --delay 1 --endMP 204:233124 --enddatetime 2017-05-07T00:56:39 --enforcementcount 0 &gt;&gt;C:\Users\stu\Documents\GitHub\eaglep3-reporting\EC\2017-05-06-refined-times.txt</v>
      </c>
      <c r="AI142" s="99" t="str">
        <f t="shared" si="60"/>
        <v>echo {"issue":{"subject":"","project_id":79,"tracker_id":40,"status_id":1,"priority_id":2,"assigned_to_id":23,"start_date":"2017-05-07","description":"","custom_fields":[{"id":1,"name":"Subdivision","value":"EC"},{"id":4,"name":"Milepost","value":"23.3124"},{"id":17,"name":"Train ID","value":"234-06"},{"id":16,"name":"Locomotive ID","value":"4009"},{"id":130,"name":"Impact","value":""},{"id":150,"name":"Time of Event (Mountain Time)","value":"00:56:39"},{"id":151,"name":"Denver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61"/>
        <v>start /low /b %USERPROFILE%\Documents\GitHub\eaglep3\Utilities\DownloadLogsFromS3.py --loco 4009 --day 2017-05-07</v>
      </c>
      <c r="AN142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06:56:39"},{"id":29,"name":"Sharepoint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746</v>
      </c>
      <c r="B143" s="7">
        <v>4024</v>
      </c>
      <c r="C143" s="21" t="s">
        <v>210</v>
      </c>
      <c r="D143" s="21" t="s">
        <v>479</v>
      </c>
      <c r="E143" s="13">
        <v>42861.924178240741</v>
      </c>
      <c r="F143" s="13">
        <v>42861.937858796293</v>
      </c>
      <c r="G143" s="7">
        <v>1</v>
      </c>
      <c r="H143" s="21" t="s">
        <v>900</v>
      </c>
      <c r="I143" s="13">
        <v>42861.965451388889</v>
      </c>
      <c r="J143" s="7">
        <v>0</v>
      </c>
      <c r="K143" s="92" t="str">
        <f t="shared" si="44"/>
        <v>4023/4024</v>
      </c>
      <c r="L143" s="21" t="str">
        <f>VLOOKUP(A143,'Trips&amp;Operators'!$C$1:$G$99999,5,FALSE)</f>
        <v>SWANSON BRYCE</v>
      </c>
      <c r="M143" s="6">
        <f t="shared" si="45"/>
        <v>2.7592592596192844E-2</v>
      </c>
      <c r="N143" s="7">
        <f t="shared" si="46"/>
        <v>39.733333338517696</v>
      </c>
      <c r="O143" s="7"/>
      <c r="P143" s="7"/>
      <c r="Q143" s="22"/>
      <c r="R143" s="190"/>
      <c r="S143" s="196">
        <f t="shared" si="47"/>
        <v>1</v>
      </c>
      <c r="T143" s="190" t="str">
        <f t="shared" si="48"/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49"/>
        <v>https://d0f6bd738d7f1b3e5a7ca70fe4ff75f0.us-east-1.aws.found.io/app/kibana#/discover/Steve-Slow-Train-Analysis-(2080s-and-2083s)?_g=(refreshInterval:(display:Off,pause:!f,section:0,value:0),time:(from:'2017-05-06T21:10:49-0600',mode:absolute,to:'2017-05-07T00:10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3" s="192" t="str">
        <f t="shared" si="50"/>
        <v>N</v>
      </c>
      <c r="X143" s="192">
        <f t="shared" si="51"/>
        <v>1</v>
      </c>
      <c r="Y143" s="192">
        <f t="shared" si="52"/>
        <v>4.8000000000000001E-2</v>
      </c>
      <c r="Z143" s="192">
        <f t="shared" si="53"/>
        <v>23.3401</v>
      </c>
      <c r="AA143" s="192">
        <f t="shared" si="54"/>
        <v>23.292100000000001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55"/>
        <v>0235-06</v>
      </c>
      <c r="AE143" s="80" t="str">
        <f t="shared" si="56"/>
        <v>aws s3 cp s3://rtdc.mdm.uploadarchive.raw/RTDC4024/ "%USERPROFILE%\AppData\Local\Temp\OnboardLogs"\RTDC4024\2017-05-06 --exclude "*" --recursive --include "*20170506*" &amp; "%USERPROFILE%\Documents\GitHub\mrs-test-scripts\Headless Mode &amp; Sideloading\WalkAndUnGZ.bat" "%USERPROFILE%\AppData\Local\Temp\OnboardLogs"\RTDC4024\2017-05-06 &amp; aws s3 cp s3://rtdc.mdm.uploadarchive.raw/RTDC4024/ "%USERPROFILE%\AppData\Local\Temp\OnboardLogs"\RTDC4024\2017-05-07 --exclude "*" --recursive --include "*20170507*" &amp; "%USERPROFILE%\Documents\GitHub\mrs-test-scripts\Headless Mode &amp; Sideloading\WalkAndUnGZ.bat" "%USERPROFILE%\AppData\Local\Temp\OnboardLogs"\RTDC4024\2017-05-07</v>
      </c>
      <c r="AF143" s="77" t="str">
        <f t="shared" si="57"/>
        <v>"C:\Program Files (x86)\AstroGrep\AstroGrep.exe" /e /r /s /spath="%USERPROFILE%\AppData\Local\Temp\OnboardLogs" /stypes="app*4024*20170507*" /stext=" 05:.+((SYSTEM_STATE.+slice.+state.+changed )|(ment ac)|(multiple cpu faults)|(system.+state.+changed )|(\[timeout)|(PRM\|1\|D)|(kpr)|(kdp)|(train st.+moving)|(\|lc)|(penalty))"</v>
      </c>
      <c r="AG143" s="1" t="str">
        <f t="shared" si="58"/>
        <v>EC</v>
      </c>
      <c r="AH143" s="81" t="str">
        <f t="shared" si="59"/>
        <v>"%USERPROFILE%\Documents\GitHub\eaglep3\Utilities\RefineRTDCRunTimes.py" --tripid 235-06 --locoid 4024 --swversion DE.1.0.9.0 --startMP 204:480 --initTime 2017-05-06T22:10:49 --startdatetime 2017-05-06T22:30:31 --delay 1 --endMP 204:233401 --enddatetime 2017-05-06T23:10:15 --enforcementcount 0 &gt;&gt;C:\Users\stu\Documents\GitHub\eaglep3-reporting\EC\2017-05-06-refined-times.txt</v>
      </c>
      <c r="AI143" s="99" t="str">
        <f t="shared" si="60"/>
        <v>echo {"issue":{"subject":"","project_id":79,"tracker_id":40,"status_id":1,"priority_id":2,"assigned_to_id":23,"start_date":"2017-05-06","description":"","custom_fields":[{"id":1,"name":"Subdivision","value":"EC"},{"id":4,"name":"Milepost","value":"23.3401"},{"id":17,"name":"Train ID","value":"235-06"},{"id":16,"name":"Locomotive ID","value":"4024"},{"id":130,"name":"Impact","value":""},{"id":150,"name":"Time of Event (Mountain Time)","value":"23:10:15"},{"id":151,"name":"Denver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61"/>
        <v>start /low /b %USERPROFILE%\Documents\GitHub\eaglep3\Utilities\DownloadLogsFromS3.py --loco 4024 --day 2017-05-06</v>
      </c>
      <c r="AN143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05:10:15"},{"id":29,"name":"Sharepoint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x14ac:dyDescent="0.25">
      <c r="A144" s="32" t="s">
        <v>752</v>
      </c>
      <c r="B144" s="7">
        <v>4023</v>
      </c>
      <c r="C144" s="21" t="s">
        <v>210</v>
      </c>
      <c r="D144" s="21" t="s">
        <v>889</v>
      </c>
      <c r="E144" s="13">
        <v>42861.971770833334</v>
      </c>
      <c r="F144" s="13">
        <v>42861.976550925923</v>
      </c>
      <c r="G144" s="7">
        <v>1</v>
      </c>
      <c r="H144" s="21" t="s">
        <v>363</v>
      </c>
      <c r="I144" s="13">
        <v>42862.007581018515</v>
      </c>
      <c r="J144" s="7">
        <v>0</v>
      </c>
      <c r="K144" s="92" t="str">
        <f t="shared" si="44"/>
        <v>4023/4024</v>
      </c>
      <c r="L144" s="21" t="str">
        <f>VLOOKUP(A144,'Trips&amp;Operators'!$C$1:$G$99999,5,FALSE)</f>
        <v>SWANSON BRYCE</v>
      </c>
      <c r="M144" s="6">
        <f t="shared" si="45"/>
        <v>3.1030092592118308E-2</v>
      </c>
      <c r="N144" s="7">
        <f t="shared" si="46"/>
        <v>44.683333332650363</v>
      </c>
      <c r="O144" s="7"/>
      <c r="P144" s="7"/>
      <c r="Q144" s="22"/>
      <c r="R144" s="190"/>
      <c r="S144" s="196">
        <f t="shared" si="47"/>
        <v>1</v>
      </c>
      <c r="T144" s="190" t="str">
        <f t="shared" si="48"/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49"/>
        <v>https://d0f6bd738d7f1b3e5a7ca70fe4ff75f0.us-east-1.aws.found.io/app/kibana#/discover/Steve-Slow-Train-Analysis-(2080s-and-2083s)?_g=(refreshInterval:(display:Off,pause:!f,section:0,value:0),time:(from:'2017-05-06T22:19:21-0600',mode:absolute,to:'2017-05-07T01:10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4" s="192" t="str">
        <f t="shared" si="50"/>
        <v>N</v>
      </c>
      <c r="X144" s="192">
        <f t="shared" si="51"/>
        <v>1</v>
      </c>
      <c r="Y144" s="192">
        <f t="shared" si="52"/>
        <v>23.3111</v>
      </c>
      <c r="Z144" s="192">
        <f t="shared" si="53"/>
        <v>1.38E-2</v>
      </c>
      <c r="AA144" s="192">
        <f t="shared" si="54"/>
        <v>23.2973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55"/>
        <v>0236-06</v>
      </c>
      <c r="AE144" s="80" t="str">
        <f t="shared" si="56"/>
        <v>aws s3 cp s3://rtdc.mdm.uploadarchive.raw/RTDC4023/ "%USERPROFILE%\AppData\Local\Temp\OnboardLogs"\RTDC4023\2017-05-06 --exclude "*" --recursive --include "*20170506*" &amp; "%USERPROFILE%\Documents\GitHub\mrs-test-scripts\Headless Mode &amp; Sideloading\WalkAndUnGZ.bat" "%USERPROFILE%\AppData\Local\Temp\OnboardLogs"\RTDC4023\2017-05-06 &amp; aws s3 cp s3://rtdc.mdm.uploadarchive.raw/RTDC4023/ "%USERPROFILE%\AppData\Local\Temp\OnboardLogs"\RTDC4023\2017-05-07 --exclude "*" --recursive --include "*20170507*" &amp; "%USERPROFILE%\Documents\GitHub\mrs-test-scripts\Headless Mode &amp; Sideloading\WalkAndUnGZ.bat" "%USERPROFILE%\AppData\Local\Temp\OnboardLogs"\RTDC4023\2017-05-07</v>
      </c>
      <c r="AF144" s="77" t="str">
        <f t="shared" si="57"/>
        <v>"C:\Program Files (x86)\AstroGrep\AstroGrep.exe" /e /r /s /spath="%USERPROFILE%\AppData\Local\Temp\OnboardLogs" /stypes="app*4023*20170507*" /stext=" 06:.+((SYSTEM_STATE.+slice.+state.+changed )|(ment ac)|(multiple cpu faults)|(system.+state.+changed )|(\[timeout)|(PRM\|1\|D)|(kpr)|(kdp)|(train st.+moving)|(\|lc)|(penalty))"</v>
      </c>
      <c r="AG144" s="1" t="str">
        <f t="shared" si="58"/>
        <v>EC</v>
      </c>
      <c r="AH144" s="81" t="str">
        <f t="shared" si="59"/>
        <v>"%USERPROFILE%\Documents\GitHub\eaglep3\Utilities\RefineRTDCRunTimes.py" --tripid 236-06 --locoid 4023 --swversion DE.1.0.9.0 --startMP 204:233111 --initTime 2017-05-06T23:19:21 --startdatetime 2017-05-06T23:26:14 --delay 1 --endMP 204:138 --enddatetime 2017-05-07T00:10:55 --enforcementcount 0 &gt;&gt;C:\Users\stu\Documents\GitHub\eaglep3-reporting\EC\2017-05-06-refined-times.txt</v>
      </c>
      <c r="AI144" s="99" t="str">
        <f t="shared" si="60"/>
        <v>echo {"issue":{"subject":"","project_id":79,"tracker_id":40,"status_id":1,"priority_id":2,"assigned_to_id":23,"start_date":"2017-05-07","description":"","custom_fields":[{"id":1,"name":"Subdivision","value":"EC"},{"id":4,"name":"Milepost","value":"0.0138"},{"id":17,"name":"Train ID","value":"236-06"},{"id":16,"name":"Locomotive ID","value":"4023"},{"id":130,"name":"Impact","value":""},{"id":150,"name":"Time of Event (Mountain Time)","value":"00:10:55"},{"id":151,"name":"Denver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20"/>
      <c r="AK144" s="47"/>
      <c r="AL144" s="47"/>
      <c r="AM144" s="145" t="str">
        <f t="shared" si="61"/>
        <v>start /low /b %USERPROFILE%\Documents\GitHub\eaglep3\Utilities\DownloadLogsFromS3.py --loco 4023 --day 2017-05-06</v>
      </c>
      <c r="AN144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06:10:55"},{"id":29,"name":"Sharepoint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5" spans="1:91" s="20" customFormat="1" x14ac:dyDescent="0.25">
      <c r="A145" s="32" t="s">
        <v>751</v>
      </c>
      <c r="B145" s="7">
        <v>4018</v>
      </c>
      <c r="C145" s="21" t="s">
        <v>210</v>
      </c>
      <c r="D145" s="21" t="s">
        <v>383</v>
      </c>
      <c r="E145" s="13">
        <v>42861.953657407408</v>
      </c>
      <c r="F145" s="13">
        <v>42861.958472222221</v>
      </c>
      <c r="G145" s="7">
        <v>2</v>
      </c>
      <c r="H145" s="21" t="s">
        <v>901</v>
      </c>
      <c r="I145" s="13">
        <v>42861.987835648149</v>
      </c>
      <c r="J145" s="7">
        <v>0</v>
      </c>
      <c r="K145" s="92" t="str">
        <f t="shared" si="44"/>
        <v>4017/4018</v>
      </c>
      <c r="L145" s="21" t="str">
        <f>VLOOKUP(A145,'Trips&amp;Operators'!$C$1:$G$99999,5,FALSE)</f>
        <v>BROWN JACOB</v>
      </c>
      <c r="M145" s="6">
        <f t="shared" si="45"/>
        <v>2.9363425928750075E-2</v>
      </c>
      <c r="N145" s="7">
        <f t="shared" si="46"/>
        <v>42.283333337400109</v>
      </c>
      <c r="O145" s="7"/>
      <c r="P145" s="7"/>
      <c r="Q145" s="22"/>
      <c r="R145" s="190"/>
      <c r="S145" s="196">
        <f t="shared" si="47"/>
        <v>1</v>
      </c>
      <c r="T145" s="190" t="str">
        <f t="shared" si="48"/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49"/>
        <v>https://d0f6bd738d7f1b3e5a7ca70fe4ff75f0.us-east-1.aws.found.io/app/kibana#/discover/Steve-Slow-Train-Analysis-(2080s-and-2083s)?_g=(refreshInterval:(display:Off,pause:!f,section:0,value:0),time:(from:'2017-05-06T21:53:16-0600',mode:absolute,to:'2017-05-07T00:42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5" s="192" t="str">
        <f t="shared" si="50"/>
        <v>N</v>
      </c>
      <c r="X145" s="192">
        <f t="shared" si="51"/>
        <v>1</v>
      </c>
      <c r="Y145" s="192">
        <f t="shared" si="52"/>
        <v>4.6899999999999997E-2</v>
      </c>
      <c r="Z145" s="192">
        <f t="shared" si="53"/>
        <v>23.331600000000002</v>
      </c>
      <c r="AA145" s="192">
        <f t="shared" si="54"/>
        <v>23.284700000000001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55"/>
        <v>0237-06</v>
      </c>
      <c r="AE145" s="80" t="str">
        <f t="shared" si="56"/>
        <v>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 &amp; aws s3 cp s3://rtdc.mdm.uploadarchive.raw/RTDC4018/ "%USERPROFILE%\AppData\Local\Temp\OnboardLogs"\RTDC4018\2017-05-07 --exclude "*" --recursive --include "*20170507*" &amp; "%USERPROFILE%\Documents\GitHub\mrs-test-scripts\Headless Mode &amp; Sideloading\WalkAndUnGZ.bat" "%USERPROFILE%\AppData\Local\Temp\OnboardLogs"\RTDC4018\2017-05-07</v>
      </c>
      <c r="AF145" s="77" t="str">
        <f t="shared" si="57"/>
        <v>"C:\Program Files (x86)\AstroGrep\AstroGrep.exe" /e /r /s /spath="%USERPROFILE%\AppData\Local\Temp\OnboardLogs" /stypes="app*4018*20170507*" /stext=" 05:.+((SYSTEM_STATE.+slice.+state.+changed )|(ment ac)|(multiple cpu faults)|(system.+state.+changed )|(\[timeout)|(PRM\|1\|D)|(kpr)|(kdp)|(train st.+moving)|(\|lc)|(penalty))"</v>
      </c>
      <c r="AG145" s="1" t="str">
        <f t="shared" si="58"/>
        <v>EC</v>
      </c>
      <c r="AH145" s="81" t="str">
        <f t="shared" si="59"/>
        <v>"%USERPROFILE%\Documents\GitHub\eaglep3\Utilities\RefineRTDCRunTimes.py" --tripid 237-06 --locoid 4018 --swversion DE.1.0.9.0 --startMP 204:469 --initTime 2017-05-06T22:53:16 --startdatetime 2017-05-06T23:00:12 --delay 2 --endMP 204:233316 --enddatetime 2017-05-06T23:42:29 --enforcementcount 0 &gt;&gt;C:\Users\stu\Documents\GitHub\eaglep3-reporting\EC\2017-05-06-refined-times.txt</v>
      </c>
      <c r="AI145" s="99" t="str">
        <f t="shared" si="60"/>
        <v>echo {"issue":{"subject":"","project_id":79,"tracker_id":40,"status_id":1,"priority_id":2,"assigned_to_id":23,"start_date":"2017-05-06","description":"","custom_fields":[{"id":1,"name":"Subdivision","value":"EC"},{"id":4,"name":"Milepost","value":"23.3316"},{"id":17,"name":"Train ID","value":"237-06"},{"id":16,"name":"Locomotive ID","value":"4018"},{"id":130,"name":"Impact","value":""},{"id":150,"name":"Time of Event (Mountain Time)","value":"23:42:29"},{"id":151,"name":"Denver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61"/>
        <v>start /low /b %USERPROFILE%\Documents\GitHub\eaglep3\Utilities\DownloadLogsFromS3.py --loco 4018 --day 2017-05-06</v>
      </c>
      <c r="AN145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05:42:29"},{"id":29,"name":"Sharepoint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2" t="s">
        <v>755</v>
      </c>
      <c r="B146" s="7">
        <v>4017</v>
      </c>
      <c r="C146" s="21" t="s">
        <v>210</v>
      </c>
      <c r="D146" s="21" t="s">
        <v>902</v>
      </c>
      <c r="E146" s="13">
        <v>42861.996041666665</v>
      </c>
      <c r="F146" s="13">
        <v>42861.997372685182</v>
      </c>
      <c r="G146" s="7">
        <v>1</v>
      </c>
      <c r="H146" s="21" t="s">
        <v>903</v>
      </c>
      <c r="I146" s="13">
        <v>42862.030740740738</v>
      </c>
      <c r="J146" s="7">
        <v>0</v>
      </c>
      <c r="K146" s="92" t="str">
        <f t="shared" si="44"/>
        <v>4017/4018</v>
      </c>
      <c r="L146" s="21" t="str">
        <f>VLOOKUP(A146,'Trips&amp;Operators'!$C$1:$G$99999,5,FALSE)</f>
        <v>BROWN JACOB</v>
      </c>
      <c r="M146" s="6">
        <f t="shared" si="45"/>
        <v>3.3368055555911269E-2</v>
      </c>
      <c r="N146" s="7">
        <f t="shared" si="46"/>
        <v>48.050000000512227</v>
      </c>
      <c r="O146" s="7"/>
      <c r="P146" s="7"/>
      <c r="Q146" s="22"/>
      <c r="R146" s="190"/>
      <c r="S146" s="196">
        <f t="shared" si="47"/>
        <v>1</v>
      </c>
      <c r="T146" s="190" t="str">
        <f t="shared" si="48"/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49"/>
        <v>https://d0f6bd738d7f1b3e5a7ca70fe4ff75f0.us-east-1.aws.found.io/app/kibana#/discover/Steve-Slow-Train-Analysis-(2080s-and-2083s)?_g=(refreshInterval:(display:Off,pause:!f,section:0,value:0),time:(from:'2017-05-06T22:54:18-0600',mode:absolute,to:'2017-05-07T01:44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6" s="192" t="str">
        <f t="shared" si="50"/>
        <v>N</v>
      </c>
      <c r="X146" s="192">
        <f t="shared" si="51"/>
        <v>1</v>
      </c>
      <c r="Y146" s="192">
        <f t="shared" si="52"/>
        <v>23.299800000000001</v>
      </c>
      <c r="Z146" s="192">
        <f t="shared" si="53"/>
        <v>1.7399999999999999E-2</v>
      </c>
      <c r="AA146" s="192">
        <f t="shared" si="54"/>
        <v>23.282400000000003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55"/>
        <v>0238-06</v>
      </c>
      <c r="AE146" s="80" t="str">
        <f t="shared" si="56"/>
        <v>aws s3 cp s3://rtdc.mdm.uploadarchive.raw/RTDC4017/ "%USERPROFILE%\AppData\Local\Temp\OnboardLogs"\RTDC4017\2017-05-06 --exclude "*" --recursive --include "*20170506*" &amp; "%USERPROFILE%\Documents\GitHub\mrs-test-scripts\Headless Mode &amp; Sideloading\WalkAndUnGZ.bat" "%USERPROFILE%\AppData\Local\Temp\OnboardLogs"\RTDC4017\2017-05-06 &amp; aws s3 cp s3://rtdc.mdm.uploadarchive.raw/RTDC4017/ "%USERPROFILE%\AppData\Local\Temp\OnboardLogs"\RTDC4017\2017-05-07 --exclude "*" --recursive --include "*20170507*" &amp; "%USERPROFILE%\Documents\GitHub\mrs-test-scripts\Headless Mode &amp; Sideloading\WalkAndUnGZ.bat" "%USERPROFILE%\AppData\Local\Temp\OnboardLogs"\RTDC4017\2017-05-07</v>
      </c>
      <c r="AF146" s="77" t="str">
        <f t="shared" si="57"/>
        <v>"C:\Program Files (x86)\AstroGrep\AstroGrep.exe" /e /r /s /spath="%USERPROFILE%\AppData\Local\Temp\OnboardLogs" /stypes="app*4017*20170507*" /stext=" 06:.+((SYSTEM_STATE.+slice.+state.+changed )|(ment ac)|(multiple cpu faults)|(system.+state.+changed )|(\[timeout)|(PRM\|1\|D)|(kpr)|(kdp)|(train st.+moving)|(\|lc)|(penalty))"</v>
      </c>
      <c r="AG146" s="1" t="str">
        <f t="shared" si="58"/>
        <v>EC</v>
      </c>
      <c r="AH146" s="81" t="str">
        <f t="shared" si="59"/>
        <v>"%USERPROFILE%\Documents\GitHub\eaglep3\Utilities\RefineRTDCRunTimes.py" --tripid 238-06 --locoid 4017 --swversion DE.1.0.9.0 --startMP 204:232998 --initTime 2017-05-06T23:54:18 --startdatetime 2017-05-06T23:56:13 --delay 1 --endMP 204:174 --enddatetime 2017-05-07T00:44:16 --enforcementcount 0 &gt;&gt;C:\Users\stu\Documents\GitHub\eaglep3-reporting\EC\2017-05-06-refined-times.txt</v>
      </c>
      <c r="AI146" s="99" t="str">
        <f t="shared" si="60"/>
        <v>echo {"issue":{"subject":"","project_id":79,"tracker_id":40,"status_id":1,"priority_id":2,"assigned_to_id":23,"start_date":"2017-05-07","description":"","custom_fields":[{"id":1,"name":"Subdivision","value":"EC"},{"id":4,"name":"Milepost","value":"0.0174"},{"id":17,"name":"Train ID","value":"238-06"},{"id":16,"name":"Locomotive ID","value":"4017"},{"id":130,"name":"Impact","value":""},{"id":150,"name":"Time of Event (Mountain Time)","value":"00:44:16"},{"id":151,"name":"Denver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7"/>
      <c r="AL146" s="47"/>
      <c r="AM146" s="145" t="str">
        <f t="shared" si="61"/>
        <v>start /low /b %USERPROFILE%\Documents\GitHub\eaglep3\Utilities\DownloadLogsFromS3.py --loco 4017 --day 2017-05-06</v>
      </c>
      <c r="AN146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06:44:16"},{"id":29,"name":"Sharepoint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x14ac:dyDescent="0.25">
      <c r="A147" s="32" t="s">
        <v>753</v>
      </c>
      <c r="B147" s="7">
        <v>4054</v>
      </c>
      <c r="C147" s="21" t="s">
        <v>210</v>
      </c>
      <c r="D147" s="21" t="s">
        <v>393</v>
      </c>
      <c r="E147" s="13">
        <v>42861.976620370369</v>
      </c>
      <c r="F147" s="13">
        <v>42861.979363425926</v>
      </c>
      <c r="G147" s="7">
        <v>1</v>
      </c>
      <c r="H147" s="21" t="s">
        <v>498</v>
      </c>
      <c r="I147" s="13">
        <v>42862.004583333335</v>
      </c>
      <c r="J147" s="7">
        <v>0</v>
      </c>
      <c r="K147" s="92" t="str">
        <f t="shared" si="44"/>
        <v>4053/4054</v>
      </c>
      <c r="L147" s="21" t="str">
        <f>VLOOKUP(A147,'Trips&amp;Operators'!$C$1:$G$99999,5,FALSE)</f>
        <v>SMITH MICHAEL</v>
      </c>
      <c r="M147" s="6">
        <f t="shared" si="45"/>
        <v>2.5219907409336884E-2</v>
      </c>
      <c r="N147" s="7">
        <f t="shared" si="46"/>
        <v>36.316666669445112</v>
      </c>
      <c r="O147" s="7"/>
      <c r="P147" s="7"/>
      <c r="Q147" s="22"/>
      <c r="R147" s="190"/>
      <c r="S147" s="196">
        <f t="shared" si="47"/>
        <v>1</v>
      </c>
      <c r="T147" s="190" t="str">
        <f t="shared" si="48"/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49"/>
        <v>https://d0f6bd738d7f1b3e5a7ca70fe4ff75f0.us-east-1.aws.found.io/app/kibana#/discover/Steve-Slow-Train-Analysis-(2080s-and-2083s)?_g=(refreshInterval:(display:Off,pause:!f,section:0,value:0),time:(from:'2017-05-06T22:26:20-0600',mode:absolute,to:'2017-05-07T01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7" s="192" t="str">
        <f t="shared" si="50"/>
        <v>N</v>
      </c>
      <c r="X147" s="192">
        <f t="shared" si="51"/>
        <v>1</v>
      </c>
      <c r="Y147" s="192">
        <f t="shared" si="52"/>
        <v>4.53E-2</v>
      </c>
      <c r="Z147" s="192">
        <f t="shared" si="53"/>
        <v>23.330500000000001</v>
      </c>
      <c r="AA147" s="192">
        <f t="shared" si="54"/>
        <v>23.2852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55"/>
        <v>0239-06</v>
      </c>
      <c r="AE147" s="80" t="str">
        <f t="shared" si="56"/>
        <v>aws s3 cp s3://rtdc.mdm.uploadarchive.raw/RTDC4054/ "%USERPROFILE%\AppData\Local\Temp\OnboardLogs"\RTDC4054\2017-05-06 --exclude "*" --recursive --include "*20170506*" &amp; "%USERPROFILE%\Documents\GitHub\mrs-test-scripts\Headless Mode &amp; Sideloading\WalkAndUnGZ.bat" "%USERPROFILE%\AppData\Local\Temp\OnboardLogs"\RTDC4054\2017-05-06 &amp; aws s3 cp s3://rtdc.mdm.uploadarchive.raw/RTDC4054/ "%USERPROFILE%\AppData\Local\Temp\OnboardLogs"\RTDC4054\2017-05-07 --exclude "*" --recursive --include "*20170507*" &amp; "%USERPROFILE%\Documents\GitHub\mrs-test-scripts\Headless Mode &amp; Sideloading\WalkAndUnGZ.bat" "%USERPROFILE%\AppData\Local\Temp\OnboardLogs"\RTDC4054\2017-05-07</v>
      </c>
      <c r="AF147" s="77" t="str">
        <f t="shared" si="57"/>
        <v>"C:\Program Files (x86)\AstroGrep\AstroGrep.exe" /e /r /s /spath="%USERPROFILE%\AppData\Local\Temp\OnboardLogs" /stypes="app*4054*20170507*" /stext=" 06:.+((SYSTEM_STATE.+slice.+state.+changed )|(ment ac)|(multiple cpu faults)|(system.+state.+changed )|(\[timeout)|(PRM\|1\|D)|(kpr)|(kdp)|(train st.+moving)|(\|lc)|(penalty))"</v>
      </c>
      <c r="AG147" s="1" t="str">
        <f t="shared" si="58"/>
        <v>EC</v>
      </c>
      <c r="AH147" s="81" t="str">
        <f t="shared" si="59"/>
        <v>"%USERPROFILE%\Documents\GitHub\eaglep3\Utilities\RefineRTDCRunTimes.py" --tripid 239-06 --locoid 4054 --swversion DE.1.0.9.0 --startMP 204:453 --initTime 2017-05-06T23:26:20 --startdatetime 2017-05-06T23:30:17 --delay 1 --endMP 204:233305 --enddatetime 2017-05-07T00:06:36 --enforcementcount 0 &gt;&gt;C:\Users\stu\Documents\GitHub\eaglep3-reporting\EC\2017-05-06-refined-times.txt</v>
      </c>
      <c r="AI147" s="99" t="str">
        <f t="shared" si="60"/>
        <v>echo {"issue":{"subject":"","project_id":79,"tracker_id":40,"status_id":1,"priority_id":2,"assigned_to_id":23,"start_date":"2017-05-07","description":"","custom_fields":[{"id":1,"name":"Subdivision","value":"EC"},{"id":4,"name":"Milepost","value":"23.3305"},{"id":17,"name":"Train ID","value":"239-06"},{"id":16,"name":"Locomotive ID","value":"4054"},{"id":130,"name":"Impact","value":""},{"id":150,"name":"Time of Event (Mountain Time)","value":"00:06:36"},{"id":151,"name":"Denver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20"/>
      <c r="AK147" s="47"/>
      <c r="AL147" s="47"/>
      <c r="AM147" s="145" t="str">
        <f t="shared" si="61"/>
        <v>start /low /b %USERPROFILE%\Documents\GitHub\eaglep3\Utilities\DownloadLogsFromS3.py --loco 4054 --day 2017-05-06</v>
      </c>
      <c r="AN147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06:06:36"},{"id":29,"name":"Sharepoint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8" spans="1:91" s="20" customFormat="1" x14ac:dyDescent="0.25">
      <c r="A148" s="32" t="s">
        <v>757</v>
      </c>
      <c r="B148" s="7">
        <v>4053</v>
      </c>
      <c r="C148" s="21" t="s">
        <v>210</v>
      </c>
      <c r="D148" s="21" t="s">
        <v>394</v>
      </c>
      <c r="E148" s="13">
        <v>42862.011145833334</v>
      </c>
      <c r="F148" s="13">
        <v>42862.018287037034</v>
      </c>
      <c r="G148" s="7">
        <v>1</v>
      </c>
      <c r="H148" s="21" t="s">
        <v>410</v>
      </c>
      <c r="I148" s="13">
        <v>42862.046539351853</v>
      </c>
      <c r="J148" s="7">
        <v>0</v>
      </c>
      <c r="K148" s="92" t="str">
        <f t="shared" si="44"/>
        <v>4053/4054</v>
      </c>
      <c r="L148" s="21" t="str">
        <f>VLOOKUP(A148,'Trips&amp;Operators'!$C$1:$G$99999,5,FALSE)</f>
        <v>SMITH MICHAEL</v>
      </c>
      <c r="M148" s="6">
        <f t="shared" si="45"/>
        <v>2.825231481983792E-2</v>
      </c>
      <c r="N148" s="7">
        <f t="shared" si="46"/>
        <v>40.683333340566605</v>
      </c>
      <c r="O148" s="7"/>
      <c r="P148" s="7"/>
      <c r="Q148" s="22"/>
      <c r="R148" s="190"/>
      <c r="S148" s="196">
        <f t="shared" si="47"/>
        <v>1</v>
      </c>
      <c r="T148" s="190" t="str">
        <f t="shared" si="48"/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49"/>
        <v>https://d0f6bd738d7f1b3e5a7ca70fe4ff75f0.us-east-1.aws.found.io/app/kibana#/discover/Steve-Slow-Train-Analysis-(2080s-and-2083s)?_g=(refreshInterval:(display:Off,pause:!f,section:0,value:0),time:(from:'2017-05-06T23:16:03-0600',mode:absolute,to:'2017-05-07T02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8" s="192" t="str">
        <f t="shared" si="50"/>
        <v>N</v>
      </c>
      <c r="X148" s="192">
        <f t="shared" si="51"/>
        <v>1</v>
      </c>
      <c r="Y148" s="192">
        <f t="shared" si="52"/>
        <v>23.2973</v>
      </c>
      <c r="Z148" s="192">
        <f t="shared" si="53"/>
        <v>1.41E-2</v>
      </c>
      <c r="AA148" s="192">
        <f t="shared" si="54"/>
        <v>23.283200000000001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55"/>
        <v>0240-06</v>
      </c>
      <c r="AE148" s="80" t="str">
        <f t="shared" si="56"/>
        <v>aws s3 cp s3://rtdc.mdm.uploadarchive.raw/RTDC4053/ "%USERPROFILE%\AppData\Local\Temp\OnboardLogs"\RTDC4053\2017-05-07 --exclude "*" --recursive --include "*20170507*" &amp; "%USERPROFILE%\Documents\GitHub\mrs-test-scripts\Headless Mode &amp; Sideloading\WalkAndUnGZ.bat" "%USERPROFILE%\AppData\Local\Temp\OnboardLogs"\RTDC4053\2017-05-07 &amp; 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</v>
      </c>
      <c r="AF148" s="77" t="str">
        <f t="shared" si="57"/>
        <v>"C:\Program Files (x86)\AstroGrep\AstroGrep.exe" /e /r /s /spath="%USERPROFILE%\AppData\Local\Temp\OnboardLogs" /stypes="app*4053*20170507*" /stext=" 07:.+((SYSTEM_STATE.+slice.+state.+changed )|(ment ac)|(multiple cpu faults)|(system.+state.+changed )|(\[timeout)|(PRM\|1\|D)|(kpr)|(kdp)|(train st.+moving)|(\|lc)|(penalty))"</v>
      </c>
      <c r="AG148" s="1" t="str">
        <f t="shared" si="58"/>
        <v>EC</v>
      </c>
      <c r="AH148" s="81" t="str">
        <f t="shared" si="59"/>
        <v>"%USERPROFILE%\Documents\GitHub\eaglep3\Utilities\RefineRTDCRunTimes.py" --tripid 240-06 --locoid 4053 --swversion DE.1.0.9.0 --startMP 204:232973 --initTime 2017-05-07T00:16:03 --startdatetime 2017-05-07T00:26:20 --delay 1 --endMP 204:141 --enddatetime 2017-05-07T01:07:01 --enforcementcount 0 &gt;&gt;C:\Users\stu\Documents\GitHub\eaglep3-reporting\EC\2017-05-06-refined-times.txt</v>
      </c>
      <c r="AI148" s="99" t="str">
        <f t="shared" si="60"/>
        <v>echo {"issue":{"subject":"","project_id":79,"tracker_id":40,"status_id":1,"priority_id":2,"assigned_to_id":23,"start_date":"2017-05-07","description":"","custom_fields":[{"id":1,"name":"Subdivision","value":"EC"},{"id":4,"name":"Milepost","value":"0.0141"},{"id":17,"name":"Train ID","value":"240-06"},{"id":16,"name":"Locomotive ID","value":"4053"},{"id":130,"name":"Impact","value":""},{"id":150,"name":"Time of Event (Mountain Time)","value":"01:07:01"},{"id":151,"name":"Denver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61"/>
        <v>start /low /b %USERPROFILE%\Documents\GitHub\eaglep3\Utilities\DownloadLogsFromS3.py --loco 4053 --day 2017-05-07</v>
      </c>
      <c r="AN148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07:07:01"},{"id":29,"name":"Sharepoint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2" t="s">
        <v>553</v>
      </c>
      <c r="B149" s="7">
        <v>4020</v>
      </c>
      <c r="C149" s="21" t="s">
        <v>210</v>
      </c>
      <c r="D149" s="21" t="s">
        <v>875</v>
      </c>
      <c r="E149" s="13">
        <v>42861.990185185183</v>
      </c>
      <c r="F149" s="13">
        <v>42862.00068287037</v>
      </c>
      <c r="G149" s="7">
        <v>1</v>
      </c>
      <c r="H149" s="21" t="s">
        <v>904</v>
      </c>
      <c r="I149" s="13">
        <v>42862.02621527778</v>
      </c>
      <c r="J149" s="7">
        <v>0</v>
      </c>
      <c r="K149" s="92" t="str">
        <f t="shared" si="44"/>
        <v>4019/4020</v>
      </c>
      <c r="L149" s="21" t="str">
        <f>VLOOKUP(A149,'Trips&amp;Operators'!$C$1:$G$99999,5,FALSE)</f>
        <v>STAMBAUGH JAMES</v>
      </c>
      <c r="M149" s="6">
        <f t="shared" si="45"/>
        <v>2.5532407409627922E-2</v>
      </c>
      <c r="N149" s="7">
        <f t="shared" si="46"/>
        <v>36.766666669864208</v>
      </c>
      <c r="O149" s="7"/>
      <c r="P149" s="7"/>
      <c r="Q149" s="22"/>
      <c r="R149" s="190"/>
      <c r="S149" s="196">
        <f t="shared" si="47"/>
        <v>1</v>
      </c>
      <c r="T149" s="190" t="str">
        <f t="shared" si="48"/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49"/>
        <v>https://d0f6bd738d7f1b3e5a7ca70fe4ff75f0.us-east-1.aws.found.io/app/kibana#/discover/Steve-Slow-Train-Analysis-(2080s-and-2083s)?_g=(refreshInterval:(display:Off,pause:!f,section:0,value:0),time:(from:'2017-05-06T22:45:52-0600',mode:absolute,to:'2017-05-07T01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9" s="192" t="str">
        <f t="shared" si="50"/>
        <v>N</v>
      </c>
      <c r="X149" s="192">
        <f t="shared" si="51"/>
        <v>1</v>
      </c>
      <c r="Y149" s="192">
        <f t="shared" si="52"/>
        <v>4.3299999999999998E-2</v>
      </c>
      <c r="Z149" s="192">
        <f t="shared" si="53"/>
        <v>23.345300000000002</v>
      </c>
      <c r="AA149" s="192">
        <f t="shared" si="54"/>
        <v>23.302000000000003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55"/>
        <v>0241-06</v>
      </c>
      <c r="AE149" s="80" t="str">
        <f t="shared" si="56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149" s="77" t="str">
        <f t="shared" si="57"/>
        <v>"C:\Program Files (x86)\AstroGrep\AstroGrep.exe" /e /r /s /spath="%USERPROFILE%\AppData\Local\Temp\OnboardLogs" /stypes="app*4020*20170507*" /stext=" 06:.+((SYSTEM_STATE.+slice.+state.+changed )|(ment ac)|(multiple cpu faults)|(system.+state.+changed )|(\[timeout)|(PRM\|1\|D)|(kpr)|(kdp)|(train st.+moving)|(\|lc)|(penalty))"</v>
      </c>
      <c r="AG149" s="1" t="str">
        <f t="shared" si="58"/>
        <v>EC</v>
      </c>
      <c r="AH149" s="81" t="str">
        <f t="shared" si="59"/>
        <v>"%USERPROFILE%\Documents\GitHub\eaglep3\Utilities\RefineRTDCRunTimes.py" --tripid 241-06 --locoid 4020 --swversion DE.1.0.9.0 --startMP 204:433 --initTime 2017-05-06T23:45:52 --startdatetime 2017-05-07T00:00:59 --delay 1 --endMP 204:233453 --enddatetime 2017-05-07T00:37:45 --enforcementcount 0 &gt;&gt;C:\Users\stu\Documents\GitHub\eaglep3-reporting\EC\2017-05-06-refined-times.txt</v>
      </c>
      <c r="AI149" s="99" t="str">
        <f t="shared" si="60"/>
        <v>echo {"issue":{"subject":"","project_id":79,"tracker_id":40,"status_id":1,"priority_id":2,"assigned_to_id":23,"start_date":"2017-05-07","description":"","custom_fields":[{"id":1,"name":"Subdivision","value":"EC"},{"id":4,"name":"Milepost","value":"23.3453"},{"id":17,"name":"Train ID","value":"241-06"},{"id":16,"name":"Locomotive ID","value":"4020"},{"id":130,"name":"Impact","value":""},{"id":150,"name":"Time of Event (Mountain Time)","value":"00:37:45"},{"id":151,"name":"Denver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5" t="str">
        <f t="shared" si="61"/>
        <v>start /low /b %USERPROFILE%\Documents\GitHub\eaglep3\Utilities\DownloadLogsFromS3.py --loco 4020 --day 2017-05-07</v>
      </c>
      <c r="AN149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06:37:45"},{"id":29,"name":"Sharepoint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x14ac:dyDescent="0.25">
      <c r="A150" s="32" t="s">
        <v>554</v>
      </c>
      <c r="B150" s="7">
        <v>4019</v>
      </c>
      <c r="C150" s="21" t="s">
        <v>210</v>
      </c>
      <c r="D150" s="21" t="s">
        <v>905</v>
      </c>
      <c r="E150" s="13">
        <v>42862.032569444447</v>
      </c>
      <c r="F150" s="13">
        <v>42862.039675925924</v>
      </c>
      <c r="G150" s="7">
        <v>1</v>
      </c>
      <c r="H150" s="21" t="s">
        <v>816</v>
      </c>
      <c r="I150" s="13">
        <v>42862.065983796296</v>
      </c>
      <c r="J150" s="7">
        <v>0</v>
      </c>
      <c r="K150" s="92" t="str">
        <f t="shared" si="44"/>
        <v>4019/4020</v>
      </c>
      <c r="L150" s="21" t="str">
        <f>VLOOKUP(A150,'Trips&amp;Operators'!$C$1:$G$99999,5,FALSE)</f>
        <v>STAMBAUGH JAMES</v>
      </c>
      <c r="M150" s="6">
        <f t="shared" si="45"/>
        <v>2.6307870371965691E-2</v>
      </c>
      <c r="N150" s="7">
        <f t="shared" si="46"/>
        <v>37.883333335630596</v>
      </c>
      <c r="O150" s="7"/>
      <c r="P150" s="7"/>
      <c r="Q150" s="22"/>
      <c r="R150" s="190"/>
      <c r="S150" s="196">
        <f t="shared" si="47"/>
        <v>1</v>
      </c>
      <c r="T150" s="190" t="str">
        <f t="shared" si="48"/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49"/>
        <v>https://d0f6bd738d7f1b3e5a7ca70fe4ff75f0.us-east-1.aws.found.io/app/kibana#/discover/Steve-Slow-Train-Analysis-(2080s-and-2083s)?_g=(refreshInterval:(display:Off,pause:!f,section:0,value:0),time:(from:'2017-05-06T23:46:54-0600',mode:absolute,to:'2017-05-07T02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0" s="192" t="str">
        <f t="shared" si="50"/>
        <v>N</v>
      </c>
      <c r="X150" s="192">
        <f t="shared" si="51"/>
        <v>1</v>
      </c>
      <c r="Y150" s="192">
        <f t="shared" si="52"/>
        <v>23.312799999999999</v>
      </c>
      <c r="Z150" s="192">
        <f t="shared" si="53"/>
        <v>0.1179</v>
      </c>
      <c r="AA150" s="192">
        <f t="shared" si="54"/>
        <v>23.194900000000001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55"/>
        <v>0242-06</v>
      </c>
      <c r="AE150" s="80" t="str">
        <f t="shared" si="56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150" s="77" t="str">
        <f t="shared" si="57"/>
        <v>"C:\Program Files (x86)\AstroGrep\AstroGrep.exe" /e /r /s /spath="%USERPROFILE%\AppData\Local\Temp\OnboardLogs" /stypes="app*4019*20170507*" /stext=" 07:.+((SYSTEM_STATE.+slice.+state.+changed )|(ment ac)|(multiple cpu faults)|(system.+state.+changed )|(\[timeout)|(PRM\|1\|D)|(kpr)|(kdp)|(train st.+moving)|(\|lc)|(penalty))"</v>
      </c>
      <c r="AG150" s="1" t="str">
        <f t="shared" si="58"/>
        <v>EC</v>
      </c>
      <c r="AH150" s="81" t="str">
        <f t="shared" si="59"/>
        <v>"%USERPROFILE%\Documents\GitHub\eaglep3\Utilities\RefineRTDCRunTimes.py" --tripid 242-06 --locoid 4019 --swversion DE.1.0.9.0 --startMP 204:233128 --initTime 2017-05-07T00:46:54 --startdatetime 2017-05-07T00:57:08 --delay 1 --endMP 204:1179 --enddatetime 2017-05-07T01:35:01 --enforcementcount 0 &gt;&gt;C:\Users\stu\Documents\GitHub\eaglep3-reporting\EC\2017-05-06-refined-times.txt</v>
      </c>
      <c r="AI150" s="99" t="str">
        <f t="shared" si="60"/>
        <v>echo {"issue":{"subject":"","project_id":79,"tracker_id":40,"status_id":1,"priority_id":2,"assigned_to_id":23,"start_date":"2017-05-07","description":"","custom_fields":[{"id":1,"name":"Subdivision","value":"EC"},{"id":4,"name":"Milepost","value":"0.1179"},{"id":17,"name":"Train ID","value":"242-06"},{"id":16,"name":"Locomotive ID","value":"4019"},{"id":130,"name":"Impact","value":""},{"id":150,"name":"Time of Event (Mountain Time)","value":"01:35:01"},{"id":151,"name":"Denver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si="61"/>
        <v>start /low /b %USERPROFILE%\Documents\GitHub\eaglep3\Utilities\DownloadLogsFromS3.py --loco 4019 --day 2017-05-07</v>
      </c>
      <c r="AN150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07:35:01"},{"id":29,"name":"Sharepoint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s="20" customFormat="1" x14ac:dyDescent="0.25">
      <c r="A151" s="32" t="s">
        <v>756</v>
      </c>
      <c r="B151" s="7">
        <v>4024</v>
      </c>
      <c r="C151" s="21" t="s">
        <v>210</v>
      </c>
      <c r="D151" s="21" t="s">
        <v>384</v>
      </c>
      <c r="E151" s="13">
        <v>42862.008587962962</v>
      </c>
      <c r="F151" s="13">
        <v>42862.020995370367</v>
      </c>
      <c r="G151" s="7">
        <v>1</v>
      </c>
      <c r="H151" s="21" t="s">
        <v>906</v>
      </c>
      <c r="I151" s="13">
        <v>42862.046967592592</v>
      </c>
      <c r="J151" s="7">
        <v>0</v>
      </c>
      <c r="K151" s="92" t="str">
        <f t="shared" si="44"/>
        <v>4023/4024</v>
      </c>
      <c r="L151" s="21" t="str">
        <f>VLOOKUP(A151,'Trips&amp;Operators'!$C$1:$G$99999,5,FALSE)</f>
        <v>SWANSON BRYCE</v>
      </c>
      <c r="M151" s="6">
        <f t="shared" si="45"/>
        <v>2.5972222225391306E-2</v>
      </c>
      <c r="N151" s="7">
        <f t="shared" si="46"/>
        <v>37.400000004563481</v>
      </c>
      <c r="O151" s="7"/>
      <c r="P151" s="7"/>
      <c r="Q151" s="22"/>
      <c r="R151" s="190"/>
      <c r="S151" s="196">
        <f t="shared" si="47"/>
        <v>1</v>
      </c>
      <c r="T151" s="190" t="str">
        <f t="shared" si="48"/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49"/>
        <v>https://d0f6bd738d7f1b3e5a7ca70fe4ff75f0.us-east-1.aws.found.io/app/kibana#/discover/Steve-Slow-Train-Analysis-(2080s-and-2083s)?_g=(refreshInterval:(display:Off,pause:!f,section:0,value:0),time:(from:'2017-05-06T23:12:22-0600',mode:absolute,to:'2017-05-07T02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1" s="192" t="str">
        <f t="shared" si="50"/>
        <v>N</v>
      </c>
      <c r="X151" s="192">
        <f t="shared" si="51"/>
        <v>1</v>
      </c>
      <c r="Y151" s="192">
        <f t="shared" si="52"/>
        <v>4.5100000000000001E-2</v>
      </c>
      <c r="Z151" s="192">
        <f t="shared" si="53"/>
        <v>23.3416</v>
      </c>
      <c r="AA151" s="192">
        <f t="shared" si="54"/>
        <v>23.296499999999998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55"/>
        <v>0243-06</v>
      </c>
      <c r="AE151" s="80" t="str">
        <f t="shared" si="56"/>
        <v>aws s3 cp s3://rtdc.mdm.uploadarchive.raw/RTDC4024/ "%USERPROFILE%\AppData\Local\Temp\OnboardLogs"\RTDC4024\2017-05-07 --exclude "*" --recursive --include "*20170507*" &amp; "%USERPROFILE%\Documents\GitHub\mrs-test-scripts\Headless Mode &amp; Sideloading\WalkAndUnGZ.bat" "%USERPROFILE%\AppData\Local\Temp\OnboardLogs"\RTDC4024\2017-05-07 &amp; aws s3 cp s3://rtdc.mdm.uploadarchive.raw/RTDC4024/ "%USERPROFILE%\AppData\Local\Temp\OnboardLogs"\RTDC4024\2017-05-08 --exclude "*" --recursive --include "*20170508*" &amp; "%USERPROFILE%\Documents\GitHub\mrs-test-scripts\Headless Mode &amp; Sideloading\WalkAndUnGZ.bat" "%USERPROFILE%\AppData\Local\Temp\OnboardLogs"\RTDC4024\2017-05-08</v>
      </c>
      <c r="AF151" s="77" t="str">
        <f t="shared" si="57"/>
        <v>"C:\Program Files (x86)\AstroGrep\AstroGrep.exe" /e /r /s /spath="%USERPROFILE%\AppData\Local\Temp\OnboardLogs" /stypes="app*4024*20170507*" /stext=" 07:.+((SYSTEM_STATE.+slice.+state.+changed )|(ment ac)|(multiple cpu faults)|(system.+state.+changed )|(\[timeout)|(PRM\|1\|D)|(kpr)|(kdp)|(train st.+moving)|(\|lc)|(penalty))"</v>
      </c>
      <c r="AG151" s="1" t="str">
        <f t="shared" si="58"/>
        <v>EC</v>
      </c>
      <c r="AH151" s="81" t="str">
        <f t="shared" si="59"/>
        <v>"%USERPROFILE%\Documents\GitHub\eaglep3\Utilities\RefineRTDCRunTimes.py" --tripid 243-06 --locoid 4024 --swversion DE.1.0.9.0 --startMP 204:451 --initTime 2017-05-07T00:12:22 --startdatetime 2017-05-07T00:30:14 --delay 1 --endMP 204:233416 --enddatetime 2017-05-07T01:07:38 --enforcementcount 0 &gt;&gt;C:\Users\stu\Documents\GitHub\eaglep3-reporting\EC\2017-05-06-refined-times.txt</v>
      </c>
      <c r="AI151" s="99" t="str">
        <f t="shared" si="60"/>
        <v>echo {"issue":{"subject":"","project_id":79,"tracker_id":40,"status_id":1,"priority_id":2,"assigned_to_id":23,"start_date":"2017-05-07","description":"","custom_fields":[{"id":1,"name":"Subdivision","value":"EC"},{"id":4,"name":"Milepost","value":"23.3416"},{"id":17,"name":"Train ID","value":"243-06"},{"id":16,"name":"Locomotive ID","value":"4024"},{"id":130,"name":"Impact","value":""},{"id":150,"name":"Time of Event (Mountain Time)","value":"01:07:38"},{"id":151,"name":"Denver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61"/>
        <v>start /low /b %USERPROFILE%\Documents\GitHub\eaglep3\Utilities\DownloadLogsFromS3.py --loco 4024 --day 2017-05-07</v>
      </c>
      <c r="AN151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07:07:38"},{"id":29,"name":"Sharepoint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2" t="s">
        <v>759</v>
      </c>
      <c r="B152" s="7">
        <v>4023</v>
      </c>
      <c r="C152" s="21" t="s">
        <v>210</v>
      </c>
      <c r="D152" s="21" t="s">
        <v>907</v>
      </c>
      <c r="E152" s="13">
        <v>42862.048807870371</v>
      </c>
      <c r="F152" s="13">
        <v>42862.059884259259</v>
      </c>
      <c r="G152" s="7">
        <v>1</v>
      </c>
      <c r="H152" s="21" t="s">
        <v>390</v>
      </c>
      <c r="I152" s="13">
        <v>42862.087500000001</v>
      </c>
      <c r="J152" s="7">
        <v>0</v>
      </c>
      <c r="K152" s="92" t="str">
        <f t="shared" si="44"/>
        <v>4023/4024</v>
      </c>
      <c r="L152" s="21" t="str">
        <f>VLOOKUP(A152,'Trips&amp;Operators'!$C$1:$G$99999,5,FALSE)</f>
        <v>SWANSON BRYCE</v>
      </c>
      <c r="M152" s="6">
        <f t="shared" si="45"/>
        <v>2.7615740742476191E-2</v>
      </c>
      <c r="N152" s="7">
        <f t="shared" si="46"/>
        <v>39.766666669165716</v>
      </c>
      <c r="O152" s="7"/>
      <c r="P152" s="7"/>
      <c r="Q152" s="22"/>
      <c r="R152" s="190"/>
      <c r="S152" s="196">
        <f t="shared" si="47"/>
        <v>1</v>
      </c>
      <c r="T152" s="190" t="str">
        <f t="shared" si="48"/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49"/>
        <v>https://d0f6bd738d7f1b3e5a7ca70fe4ff75f0.us-east-1.aws.found.io/app/kibana#/discover/Steve-Slow-Train-Analysis-(2080s-and-2083s)?_g=(refreshInterval:(display:Off,pause:!f,section:0,value:0),time:(from:'2017-05-07T00:10:17-0600',mode:absolute,to:'2017-05-07T03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2" s="192" t="str">
        <f t="shared" si="50"/>
        <v>N</v>
      </c>
      <c r="X152" s="192">
        <f t="shared" ref="X152:X156" si="63">VALUE(LEFT(AD152,4))-VALUE(LEFT(AD151,4))</f>
        <v>1</v>
      </c>
      <c r="Y152" s="192">
        <f t="shared" si="52"/>
        <v>23.306899999999999</v>
      </c>
      <c r="Z152" s="192">
        <f t="shared" si="53"/>
        <v>1.5599999999999999E-2</v>
      </c>
      <c r="AA152" s="192">
        <f t="shared" si="54"/>
        <v>23.2913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55"/>
        <v>0244-06</v>
      </c>
      <c r="AE152" s="80" t="str">
        <f t="shared" si="56"/>
        <v>aws s3 cp s3://rtdc.mdm.uploadarchive.raw/RTDC4023/ "%USERPROFILE%\AppData\Local\Temp\OnboardLogs"\RTDC4023\2017-05-07 --exclude "*" --recursive --include "*20170507*" &amp; "%USERPROFILE%\Documents\GitHub\mrs-test-scripts\Headless Mode &amp; Sideloading\WalkAndUnGZ.bat" "%USERPROFILE%\AppData\Local\Temp\OnboardLogs"\RTDC4023\2017-05-07 &amp; aws s3 cp s3://rtdc.mdm.uploadarchive.raw/RTDC4023/ "%USERPROFILE%\AppData\Local\Temp\OnboardLogs"\RTDC4023\2017-05-08 --exclude "*" --recursive --include "*20170508*" &amp; "%USERPROFILE%\Documents\GitHub\mrs-test-scripts\Headless Mode &amp; Sideloading\WalkAndUnGZ.bat" "%USERPROFILE%\AppData\Local\Temp\OnboardLogs"\RTDC4023\2017-05-08</v>
      </c>
      <c r="AF152" s="77" t="str">
        <f t="shared" si="57"/>
        <v>"C:\Program Files (x86)\AstroGrep\AstroGrep.exe" /e /r /s /spath="%USERPROFILE%\AppData\Local\Temp\OnboardLogs" /stypes="app*4023*20170507*" /stext=" 08:.+((SYSTEM_STATE.+slice.+state.+changed )|(ment ac)|(multiple cpu faults)|(system.+state.+changed )|(\[timeout)|(PRM\|1\|D)|(kpr)|(kdp)|(train st.+moving)|(\|lc)|(penalty))"</v>
      </c>
      <c r="AG152" s="1" t="str">
        <f t="shared" si="58"/>
        <v>EC</v>
      </c>
      <c r="AH152" s="81" t="str">
        <f t="shared" si="59"/>
        <v>"%USERPROFILE%\Documents\GitHub\eaglep3\Utilities\RefineRTDCRunTimes.py" --tripid 244-06 --locoid 4023 --swversion DE.1.0.9.0 --startMP 204:233069 --initTime 2017-05-07T01:10:17 --startdatetime 2017-05-07T01:26:14 --delay 1 --endMP 204:156 --enddatetime 2017-05-07T02:06:00 --enforcementcount 0 &gt;&gt;C:\Users\stu\Documents\GitHub\eaglep3-reporting\EC\2017-05-06-refined-times.txt</v>
      </c>
      <c r="AI152" s="99" t="str">
        <f t="shared" si="60"/>
        <v>echo {"issue":{"subject":"","project_id":79,"tracker_id":40,"status_id":1,"priority_id":2,"assigned_to_id":23,"start_date":"2017-05-07","description":"","custom_fields":[{"id":1,"name":"Subdivision","value":"EC"},{"id":4,"name":"Milepost","value":"0.0156"},{"id":17,"name":"Train ID","value":"244-06"},{"id":16,"name":"Locomotive ID","value":"4023"},{"id":130,"name":"Impact","value":""},{"id":150,"name":"Time of Event (Mountain Time)","value":"02:06:00"},{"id":151,"name":"Denver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5" t="str">
        <f t="shared" si="61"/>
        <v>start /low /b %USERPROFILE%\Documents\GitHub\eaglep3\Utilities\DownloadLogsFromS3.py --loco 4023 --day 2017-05-07</v>
      </c>
      <c r="AN152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08:06:00"},{"id":29,"name":"Sharepoint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2" t="s">
        <v>758</v>
      </c>
      <c r="B153" s="7">
        <v>4018</v>
      </c>
      <c r="C153" s="21" t="s">
        <v>210</v>
      </c>
      <c r="D153" s="21" t="s">
        <v>833</v>
      </c>
      <c r="E153" s="13">
        <v>42862.037060185183</v>
      </c>
      <c r="F153" s="13">
        <v>42862.045706018522</v>
      </c>
      <c r="G153" s="7">
        <v>1</v>
      </c>
      <c r="H153" s="21" t="s">
        <v>487</v>
      </c>
      <c r="I153" s="13">
        <v>42862.074259259258</v>
      </c>
      <c r="J153" s="7">
        <v>0</v>
      </c>
      <c r="K153" s="92" t="str">
        <f t="shared" si="44"/>
        <v>4017/4018</v>
      </c>
      <c r="L153" s="21" t="str">
        <f>VLOOKUP(A153,'Trips&amp;Operators'!$C$1:$G$99999,5,FALSE)</f>
        <v>BROWN JACOB</v>
      </c>
      <c r="M153" s="6">
        <f t="shared" si="45"/>
        <v>2.8553240736073349E-2</v>
      </c>
      <c r="N153" s="7">
        <f t="shared" si="46"/>
        <v>41.116666659945622</v>
      </c>
      <c r="O153" s="7"/>
      <c r="P153" s="7"/>
      <c r="Q153" s="22"/>
      <c r="R153" s="190"/>
      <c r="S153" s="196">
        <f t="shared" si="47"/>
        <v>1</v>
      </c>
      <c r="T153" s="190" t="str">
        <f t="shared" si="48"/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49"/>
        <v>https://d0f6bd738d7f1b3e5a7ca70fe4ff75f0.us-east-1.aws.found.io/app/kibana#/discover/Steve-Slow-Train-Analysis-(2080s-and-2083s)?_g=(refreshInterval:(display:Off,pause:!f,section:0,value:0),time:(from:'2017-05-06T23:53:22-0600',mode:absolute,to:'2017-05-07T02:46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3" s="192" t="str">
        <f t="shared" si="50"/>
        <v>N</v>
      </c>
      <c r="X153" s="192">
        <f t="shared" si="63"/>
        <v>1</v>
      </c>
      <c r="Y153" s="192">
        <f t="shared" si="52"/>
        <v>4.7800000000000002E-2</v>
      </c>
      <c r="Z153" s="192">
        <f t="shared" si="53"/>
        <v>23.329899999999999</v>
      </c>
      <c r="AA153" s="192">
        <f t="shared" si="54"/>
        <v>23.2821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55"/>
        <v>0245-06</v>
      </c>
      <c r="AE153" s="80" t="str">
        <f t="shared" si="56"/>
        <v>aws s3 cp s3://rtdc.mdm.uploadarchive.raw/RTDC4018/ "%USERPROFILE%\AppData\Local\Temp\OnboardLogs"\RTDC4018\2017-05-07 --exclude "*" --recursive --include "*20170507*" &amp; "%USERPROFILE%\Documents\GitHub\mrs-test-scripts\Headless Mode &amp; Sideloading\WalkAndUnGZ.bat" "%USERPROFILE%\AppData\Local\Temp\OnboardLogs"\RTDC4018\2017-05-07 &amp; aws s3 cp s3://rtdc.mdm.uploadarchive.raw/RTDC4018/ "%USERPROFILE%\AppData\Local\Temp\OnboardLogs"\RTDC4018\2017-05-08 --exclude "*" --recursive --include "*20170508*" &amp; "%USERPROFILE%\Documents\GitHub\mrs-test-scripts\Headless Mode &amp; Sideloading\WalkAndUnGZ.bat" "%USERPROFILE%\AppData\Local\Temp\OnboardLogs"\RTDC4018\2017-05-08</v>
      </c>
      <c r="AF153" s="77" t="str">
        <f t="shared" si="57"/>
        <v>"C:\Program Files (x86)\AstroGrep\AstroGrep.exe" /e /r /s /spath="%USERPROFILE%\AppData\Local\Temp\OnboardLogs" /stypes="app*4018*20170507*" /stext=" 07:.+((SYSTEM_STATE.+slice.+state.+changed )|(ment ac)|(multiple cpu faults)|(system.+state.+changed )|(\[timeout)|(PRM\|1\|D)|(kpr)|(kdp)|(train st.+moving)|(\|lc)|(penalty))"</v>
      </c>
      <c r="AG153" s="1" t="str">
        <f t="shared" si="58"/>
        <v>EC</v>
      </c>
      <c r="AH153" s="81" t="str">
        <f t="shared" si="59"/>
        <v>"%USERPROFILE%\Documents\GitHub\eaglep3\Utilities\RefineRTDCRunTimes.py" --tripid 245-06 --locoid 4018 --swversion DE.1.0.9.0 --startMP 204:478 --initTime 2017-05-07T00:53:22 --startdatetime 2017-05-07T01:05:49 --delay 1 --endMP 204:233299 --enddatetime 2017-05-07T01:46:56 --enforcementcount 0 &gt;&gt;C:\Users\stu\Documents\GitHub\eaglep3-reporting\EC\2017-05-06-refined-times.txt</v>
      </c>
      <c r="AI153" s="99" t="str">
        <f t="shared" si="60"/>
        <v>echo {"issue":{"subject":"","project_id":79,"tracker_id":40,"status_id":1,"priority_id":2,"assigned_to_id":23,"start_date":"2017-05-07","description":"","custom_fields":[{"id":1,"name":"Subdivision","value":"EC"},{"id":4,"name":"Milepost","value":"23.3299"},{"id":17,"name":"Train ID","value":"245-06"},{"id":16,"name":"Locomotive ID","value":"4018"},{"id":130,"name":"Impact","value":""},{"id":150,"name":"Time of Event (Mountain Time)","value":"01:46:56"},{"id":151,"name":"Denver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61"/>
        <v>start /low /b %USERPROFILE%\Documents\GitHub\eaglep3\Utilities\DownloadLogsFromS3.py --loco 4018 --day 2017-05-07</v>
      </c>
      <c r="AN153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07:46:56"},{"id":29,"name":"Sharepoint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762</v>
      </c>
      <c r="B154" s="7">
        <v>4017</v>
      </c>
      <c r="C154" s="21" t="s">
        <v>210</v>
      </c>
      <c r="D154" s="21" t="s">
        <v>908</v>
      </c>
      <c r="E154" s="13">
        <v>42862.081354166665</v>
      </c>
      <c r="F154" s="13">
        <v>42862.082430555558</v>
      </c>
      <c r="G154" s="7">
        <v>1</v>
      </c>
      <c r="H154" s="21" t="s">
        <v>909</v>
      </c>
      <c r="I154" s="13">
        <v>42862.110150462962</v>
      </c>
      <c r="J154" s="7">
        <v>0</v>
      </c>
      <c r="K154" s="92" t="str">
        <f t="shared" si="44"/>
        <v>4017/4018</v>
      </c>
      <c r="L154" s="21" t="str">
        <f>VLOOKUP(A154,'Trips&amp;Operators'!$C$1:$G$99999,5,FALSE)</f>
        <v>BROWN JACOB</v>
      </c>
      <c r="M154" s="6">
        <f t="shared" si="45"/>
        <v>2.7719907404389232E-2</v>
      </c>
      <c r="N154" s="7">
        <f t="shared" si="46"/>
        <v>39.916666662320495</v>
      </c>
      <c r="O154" s="7"/>
      <c r="P154" s="7"/>
      <c r="Q154" s="22"/>
      <c r="R154" s="190"/>
      <c r="S154" s="196">
        <f t="shared" si="47"/>
        <v>1</v>
      </c>
      <c r="T154" s="190" t="str">
        <f t="shared" si="48"/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49"/>
        <v>https://d0f6bd738d7f1b3e5a7ca70fe4ff75f0.us-east-1.aws.found.io/app/kibana#/discover/Steve-Slow-Train-Analysis-(2080s-and-2083s)?_g=(refreshInterval:(display:Off,pause:!f,section:0,value:0),time:(from:'2017-05-07T00:57:09-0600',mode:absolute,to:'2017-05-07T03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4" s="192" t="str">
        <f t="shared" si="50"/>
        <v>N</v>
      </c>
      <c r="X154" s="192">
        <f t="shared" si="63"/>
        <v>1</v>
      </c>
      <c r="Y154" s="192">
        <f t="shared" si="52"/>
        <v>23.299199999999999</v>
      </c>
      <c r="Z154" s="192">
        <f t="shared" si="53"/>
        <v>2.2700000000000001E-2</v>
      </c>
      <c r="AA154" s="192">
        <f t="shared" si="54"/>
        <v>23.276499999999999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55"/>
        <v>0246-06</v>
      </c>
      <c r="AE154" s="80" t="str">
        <f t="shared" si="56"/>
        <v>aws s3 cp s3://rtdc.mdm.uploadarchive.raw/RTDC4017/ "%USERPROFILE%\AppData\Local\Temp\OnboardLogs"\RTDC4017\2017-05-07 --exclude "*" --recursive --include "*20170507*" &amp; "%USERPROFILE%\Documents\GitHub\mrs-test-scripts\Headless Mode &amp; Sideloading\WalkAndUnGZ.bat" "%USERPROFILE%\AppData\Local\Temp\OnboardLogs"\RTDC4017\2017-05-07 &amp; aws s3 cp s3://rtdc.mdm.uploadarchive.raw/RTDC4017/ "%USERPROFILE%\AppData\Local\Temp\OnboardLogs"\RTDC4017\2017-05-08 --exclude "*" --recursive --include "*20170508*" &amp; "%USERPROFILE%\Documents\GitHub\mrs-test-scripts\Headless Mode &amp; Sideloading\WalkAndUnGZ.bat" "%USERPROFILE%\AppData\Local\Temp\OnboardLogs"\RTDC4017\2017-05-08</v>
      </c>
      <c r="AF154" s="77" t="str">
        <f t="shared" si="57"/>
        <v>"C:\Program Files (x86)\AstroGrep\AstroGrep.exe" /e /r /s /spath="%USERPROFILE%\AppData\Local\Temp\OnboardLogs" /stypes="app*4017*20170507*" /stext=" 08:.+((SYSTEM_STATE.+slice.+state.+changed )|(ment ac)|(multiple cpu faults)|(system.+state.+changed )|(\[timeout)|(PRM\|1\|D)|(kpr)|(kdp)|(train st.+moving)|(\|lc)|(penalty))"</v>
      </c>
      <c r="AG154" s="1" t="str">
        <f t="shared" si="58"/>
        <v>EC</v>
      </c>
      <c r="AH154" s="81" t="str">
        <f t="shared" si="59"/>
        <v>"%USERPROFILE%\Documents\GitHub\eaglep3\Utilities\RefineRTDCRunTimes.py" --tripid 246-06 --locoid 4017 --swversion DE.1.0.9.0 --startMP 204:232992 --initTime 2017-05-07T01:57:09 --startdatetime 2017-05-07T01:58:42 --delay 1 --endMP 204:227 --enddatetime 2017-05-07T02:38:37 --enforcementcount 0 &gt;&gt;C:\Users\stu\Documents\GitHub\eaglep3-reporting\EC\2017-05-06-refined-times.txt</v>
      </c>
      <c r="AI154" s="99" t="str">
        <f t="shared" si="60"/>
        <v>echo {"issue":{"subject":"","project_id":79,"tracker_id":40,"status_id":1,"priority_id":2,"assigned_to_id":23,"start_date":"2017-05-07","description":"","custom_fields":[{"id":1,"name":"Subdivision","value":"EC"},{"id":4,"name":"Milepost","value":"0.0227"},{"id":17,"name":"Train ID","value":"246-06"},{"id":16,"name":"Locomotive ID","value":"4017"},{"id":130,"name":"Impact","value":""},{"id":150,"name":"Time of Event (Mountain Time)","value":"02:38:37"},{"id":151,"name":"Denver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5" t="str">
        <f t="shared" si="61"/>
        <v>start /low /b %USERPROFILE%\Documents\GitHub\eaglep3\Utilities\DownloadLogsFromS3.py --loco 4017 --day 2017-05-07</v>
      </c>
      <c r="AN154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08:38:37"},{"id":29,"name":"Sharepoint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2" t="s">
        <v>590</v>
      </c>
      <c r="B155" s="7">
        <v>4017</v>
      </c>
      <c r="C155" s="21" t="s">
        <v>210</v>
      </c>
      <c r="D155" s="21" t="s">
        <v>819</v>
      </c>
      <c r="E155" s="13">
        <v>42861.24019675926</v>
      </c>
      <c r="F155" s="13">
        <v>42861.241493055553</v>
      </c>
      <c r="G155" s="7">
        <v>1</v>
      </c>
      <c r="H155" s="21" t="s">
        <v>469</v>
      </c>
      <c r="I155" s="13">
        <v>42861.250393518516</v>
      </c>
      <c r="J155" s="7">
        <v>0</v>
      </c>
      <c r="K155" s="92" t="str">
        <f t="shared" si="44"/>
        <v>4017/4018</v>
      </c>
      <c r="L155" s="21" t="str">
        <f>VLOOKUP(A155,'Trips&amp;Operators'!$C$1:$G$99999,5,FALSE)</f>
        <v>DELGADO DIANAH</v>
      </c>
      <c r="M155" s="6">
        <f t="shared" si="45"/>
        <v>8.9004629626288079E-3</v>
      </c>
      <c r="N155" s="7">
        <f t="shared" si="46"/>
        <v>12.816666666185483</v>
      </c>
      <c r="O155" s="7"/>
      <c r="P155" s="7"/>
      <c r="Q155" s="22"/>
      <c r="R155" s="190"/>
      <c r="S155" s="196">
        <f t="shared" si="47"/>
        <v>1</v>
      </c>
      <c r="T155" s="190" t="str">
        <f t="shared" si="48"/>
        <v>Southbound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191" t="str">
        <f t="shared" si="49"/>
        <v>https://d0f6bd738d7f1b3e5a7ca70fe4ff75f0.us-east-1.aws.found.io/app/kibana#/discover/Steve-Slow-Train-Analysis-(2080s-and-2083s)?_g=(refreshInterval:(display:Off,pause:!f,section:0,value:0),time:(from:'2017-05-06T04:45:53-0600',mode:absolute,to:'2017-05-06T07:00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5" s="192" t="str">
        <f t="shared" si="50"/>
        <v>N</v>
      </c>
      <c r="X155" s="192">
        <f t="shared" si="63"/>
        <v>1554</v>
      </c>
      <c r="Y155" s="192">
        <f t="shared" si="52"/>
        <v>5.8615000000000004</v>
      </c>
      <c r="Z155" s="192">
        <f t="shared" si="53"/>
        <v>6.7799999999999999E-2</v>
      </c>
      <c r="AA155" s="192">
        <f t="shared" si="54"/>
        <v>5.7937000000000003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55"/>
        <v>1800-06</v>
      </c>
      <c r="AE155" s="80" t="str">
        <f t="shared" si="56"/>
        <v>aws s3 cp s3://rtdc.mdm.uploadarchive.raw/RTDC4017/ "%USERPROFILE%\AppData\Local\Temp\OnboardLogs"\RTDC4017\2017-05-06 --exclude "*" --recursive --include "*20170506*" &amp; "%USERPROFILE%\Documents\GitHub\mrs-test-scripts\Headless Mode &amp; Sideloading\WalkAndUnGZ.bat" "%USERPROFILE%\AppData\Local\Temp\OnboardLogs"\RTDC4017\2017-05-06 &amp; aws s3 cp s3://rtdc.mdm.uploadarchive.raw/RTDC4017/ "%USERPROFILE%\AppData\Local\Temp\OnboardLogs"\RTDC4017\2017-05-07 --exclude "*" --recursive --include "*20170507*" &amp; "%USERPROFILE%\Documents\GitHub\mrs-test-scripts\Headless Mode &amp; Sideloading\WalkAndUnGZ.bat" "%USERPROFILE%\AppData\Local\Temp\OnboardLogs"\RTDC4017\2017-05-07</v>
      </c>
      <c r="AF155" s="77" t="str">
        <f t="shared" si="57"/>
        <v>"C:\Program Files (x86)\AstroGrep\AstroGrep.exe" /e /r /s /spath="%USERPROFILE%\AppData\Local\Temp\OnboardLogs" /stypes="app*4017*20170506*" /stext=" 12:.+((SYSTEM_STATE.+slice.+state.+changed )|(ment ac)|(multiple cpu faults)|(system.+state.+changed )|(\[timeout)|(PRM\|1\|D)|(kpr)|(kdp)|(train st.+moving)|(\|lc)|(penalty))"</v>
      </c>
      <c r="AG155" s="1" t="str">
        <f t="shared" si="58"/>
        <v>NW</v>
      </c>
      <c r="AH155" s="81" t="str">
        <f t="shared" si="59"/>
        <v>"%USERPROFILE%\Documents\GitHub\eaglep3\Utilities\RefineRTDCRunTimes.py" --tripid 1800-06 --locoid 4017 --swversion DE.1.0.9.0 --startMP 300:58615 --initTime 2017-05-06T05:45:53 --startdatetime 2017-05-06T05:47:45 --delay 1 --endMP 204:678 --enddatetime 2017-05-06T06:00:34 --enforcementcount 0 &gt;&gt;C:\Users\stu\Documents\GitHub\eaglep3-reporting\EC\2017-05-06-refined-times.txt</v>
      </c>
      <c r="AI155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{"issue":{"subject":"","project_id":79,"tracker_id":40,"status_id":1,"priority_id":2,"assigned_to_id":23,"start_date":"2017-05-06","description":"","custom_fields":[{"id":1,"name":"Subdivision","value":"NW"},{"id":4,"name":"Milepost","value":"0.0678"},{"id":17,"name":"Train ID","value":"1800-06"},{"id":16,"name":"Locomotive ID","value":"4017"},{"id":130,"name":"Impact","value":""},{"id":150,"name":"Time of Event (Mountain Time)","value":"06:00:34"},{"id":151,"name":"Denver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61"/>
        <v>start /low /b %USERPROFILE%\Documents\GitHub\eaglep3\Utilities\DownloadLogsFromS3.py --loco 4017 --day 2017-05-06</v>
      </c>
      <c r="AN155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12:00:34"},{"id":29,"name":"Sharepoint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593</v>
      </c>
      <c r="B156" s="7">
        <v>4018</v>
      </c>
      <c r="C156" s="21" t="s">
        <v>210</v>
      </c>
      <c r="D156" s="21" t="s">
        <v>820</v>
      </c>
      <c r="E156" s="13">
        <v>42861.25917824074</v>
      </c>
      <c r="F156" s="13">
        <v>42861.264733796299</v>
      </c>
      <c r="G156" s="7">
        <v>1</v>
      </c>
      <c r="H156" s="21" t="s">
        <v>507</v>
      </c>
      <c r="I156" s="13">
        <v>42861.274016203701</v>
      </c>
      <c r="J156" s="7">
        <v>0</v>
      </c>
      <c r="K156" s="92" t="str">
        <f t="shared" si="44"/>
        <v>4017/4018</v>
      </c>
      <c r="L156" s="21" t="str">
        <f>VLOOKUP(A156,'Trips&amp;Operators'!$C$1:$G$99999,5,FALSE)</f>
        <v>DELGADO DIANAH</v>
      </c>
      <c r="M156" s="6">
        <f t="shared" si="45"/>
        <v>9.2824074017698877E-3</v>
      </c>
      <c r="N156" s="7">
        <f t="shared" si="46"/>
        <v>13.366666658548638</v>
      </c>
      <c r="O156" s="7"/>
      <c r="P156" s="7"/>
      <c r="Q156" s="22"/>
      <c r="R156" s="190"/>
      <c r="S156" s="196">
        <f t="shared" si="47"/>
        <v>1</v>
      </c>
      <c r="T156" s="190" t="str">
        <f t="shared" si="48"/>
        <v>NorthBound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91" t="str">
        <f t="shared" si="49"/>
        <v>https://d0f6bd738d7f1b3e5a7ca70fe4ff75f0.us-east-1.aws.found.io/app/kibana#/discover/Steve-Slow-Train-Analysis-(2080s-and-2083s)?_g=(refreshInterval:(display:Off,pause:!f,section:0,value:0),time:(from:'2017-05-06T05:13:13-0600',mode:absolute,to:'2017-05-06T07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6" s="192" t="str">
        <f t="shared" si="50"/>
        <v>N</v>
      </c>
      <c r="X156" s="192">
        <f t="shared" si="63"/>
        <v>1</v>
      </c>
      <c r="Y156" s="192">
        <f t="shared" si="52"/>
        <v>9.5699999999999993E-2</v>
      </c>
      <c r="Z156" s="192">
        <f t="shared" si="53"/>
        <v>5.8940999999999999</v>
      </c>
      <c r="AA156" s="192">
        <f t="shared" si="54"/>
        <v>5.7984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55"/>
        <v>1801-06</v>
      </c>
      <c r="AE156" s="80" t="str">
        <f t="shared" si="56"/>
        <v>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 &amp; aws s3 cp s3://rtdc.mdm.uploadarchive.raw/RTDC4018/ "%USERPROFILE%\AppData\Local\Temp\OnboardLogs"\RTDC4018\2017-05-07 --exclude "*" --recursive --include "*20170507*" &amp; "%USERPROFILE%\Documents\GitHub\mrs-test-scripts\Headless Mode &amp; Sideloading\WalkAndUnGZ.bat" "%USERPROFILE%\AppData\Local\Temp\OnboardLogs"\RTDC4018\2017-05-07</v>
      </c>
      <c r="AF156" s="77" t="str">
        <f t="shared" si="57"/>
        <v>"C:\Program Files (x86)\AstroGrep\AstroGrep.exe" /e /r /s /spath="%USERPROFILE%\AppData\Local\Temp\OnboardLogs" /stypes="app*4018*20170506*" /stext=" 12:.+((SYSTEM_STATE.+slice.+state.+changed )|(ment ac)|(multiple cpu faults)|(system.+state.+changed )|(\[timeout)|(PRM\|1\|D)|(kpr)|(kdp)|(train st.+moving)|(\|lc)|(penalty))"</v>
      </c>
      <c r="AG156" s="1" t="str">
        <f t="shared" si="58"/>
        <v>NW</v>
      </c>
      <c r="AH156" s="81" t="str">
        <f t="shared" si="59"/>
        <v>"%USERPROFILE%\Documents\GitHub\eaglep3\Utilities\RefineRTDCRunTimes.py" --tripid 1801-06 --locoid 4018 --swversion DE.1.0.9.0 --startMP 204:957 --initTime 2017-05-06T06:13:13 --startdatetime 2017-05-06T06:21:13 --delay 1 --endMP 300:58941 --enddatetime 2017-05-06T06:34:35 --enforcementcount 0 &gt;&gt;C:\Users\stu\Documents\GitHub\eaglep3-reporting\EC\2017-05-06-refined-times.txt</v>
      </c>
      <c r="AI156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{"issue":{"subject":"","project_id":79,"tracker_id":40,"status_id":1,"priority_id":2,"assigned_to_id":23,"start_date":"2017-05-06","description":"","custom_fields":[{"id":1,"name":"Subdivision","value":"NW"},{"id":4,"name":"Milepost","value":"5.8941"},{"id":17,"name":"Train ID","value":"1801-06"},{"id":16,"name":"Locomotive ID","value":"4018"},{"id":130,"name":"Impact","value":""},{"id":150,"name":"Time of Event (Mountain Time)","value":"06:34:35"},{"id":151,"name":"Denver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61"/>
        <v>start /low /b %USERPROFILE%\Documents\GitHub\eaglep3\Utilities\DownloadLogsFromS3.py --loco 4018 --day 2017-05-06</v>
      </c>
      <c r="AN156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12:34:35"},{"id":29,"name":"Sharepoint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2" t="s">
        <v>599</v>
      </c>
      <c r="B157" s="7">
        <v>4017</v>
      </c>
      <c r="C157" s="21" t="s">
        <v>210</v>
      </c>
      <c r="D157" s="21" t="s">
        <v>421</v>
      </c>
      <c r="E157" s="13">
        <v>42861.275231481479</v>
      </c>
      <c r="F157" s="13">
        <v>42861.277245370373</v>
      </c>
      <c r="G157" s="7">
        <v>1</v>
      </c>
      <c r="H157" s="21" t="s">
        <v>821</v>
      </c>
      <c r="I157" s="13">
        <v>42861.287905092591</v>
      </c>
      <c r="J157" s="7">
        <v>0</v>
      </c>
      <c r="K157" s="92" t="str">
        <f t="shared" si="44"/>
        <v>4017/4018</v>
      </c>
      <c r="L157" s="21" t="str">
        <f>VLOOKUP(A157,'Trips&amp;Operators'!$C$1:$G$99999,5,FALSE)</f>
        <v>DELGADO DIANAH</v>
      </c>
      <c r="M157" s="6">
        <f t="shared" si="45"/>
        <v>1.0659722218406387E-2</v>
      </c>
      <c r="N157" s="7">
        <f t="shared" si="46"/>
        <v>15.349999994505197</v>
      </c>
      <c r="O157" s="7"/>
      <c r="P157" s="7"/>
      <c r="Q157" s="22"/>
      <c r="R157" s="190"/>
      <c r="S157" s="196">
        <f t="shared" si="47"/>
        <v>1</v>
      </c>
      <c r="T157" s="190" t="str">
        <f t="shared" si="48"/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1" t="str">
        <f t="shared" si="49"/>
        <v>https://d0f6bd738d7f1b3e5a7ca70fe4ff75f0.us-east-1.aws.found.io/app/kibana#/discover/Steve-Slow-Train-Analysis-(2080s-and-2083s)?_g=(refreshInterval:(display:Off,pause:!f,section:0,value:0),time:(from:'2017-05-06T05:36:20-0600',mode:absolute,to:'2017-05-06T07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7" s="192" t="str">
        <f t="shared" si="50"/>
        <v>N</v>
      </c>
      <c r="X157" s="192">
        <f t="shared" ref="X157:X188" si="64">VALUE(LEFT(AD157,4))-VALUE(LEFT(AD156,4))</f>
        <v>1</v>
      </c>
      <c r="Y157" s="192">
        <f t="shared" si="52"/>
        <v>5.8619000000000003</v>
      </c>
      <c r="Z157" s="192">
        <f t="shared" si="53"/>
        <v>6.5199999999999994E-2</v>
      </c>
      <c r="AA157" s="192">
        <f t="shared" si="54"/>
        <v>5.7967000000000004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55"/>
        <v>1802-06</v>
      </c>
      <c r="AE157" s="80" t="str">
        <f t="shared" si="56"/>
        <v>aws s3 cp s3://rtdc.mdm.uploadarchive.raw/RTDC4017/ "%USERPROFILE%\AppData\Local\Temp\OnboardLogs"\RTDC4017\2017-05-06 --exclude "*" --recursive --include "*20170506*" &amp; "%USERPROFILE%\Documents\GitHub\mrs-test-scripts\Headless Mode &amp; Sideloading\WalkAndUnGZ.bat" "%USERPROFILE%\AppData\Local\Temp\OnboardLogs"\RTDC4017\2017-05-06 &amp; aws s3 cp s3://rtdc.mdm.uploadarchive.raw/RTDC4017/ "%USERPROFILE%\AppData\Local\Temp\OnboardLogs"\RTDC4017\2017-05-07 --exclude "*" --recursive --include "*20170507*" &amp; "%USERPROFILE%\Documents\GitHub\mrs-test-scripts\Headless Mode &amp; Sideloading\WalkAndUnGZ.bat" "%USERPROFILE%\AppData\Local\Temp\OnboardLogs"\RTDC4017\2017-05-07</v>
      </c>
      <c r="AF157" s="77" t="str">
        <f t="shared" si="57"/>
        <v>"C:\Program Files (x86)\AstroGrep\AstroGrep.exe" /e /r /s /spath="%USERPROFILE%\AppData\Local\Temp\OnboardLogs" /stypes="app*4017*20170506*" /stext=" 12:.+((SYSTEM_STATE.+slice.+state.+changed )|(ment ac)|(multiple cpu faults)|(system.+state.+changed )|(\[timeout)|(PRM\|1\|D)|(kpr)|(kdp)|(train st.+moving)|(\|lc)|(penalty))"</v>
      </c>
      <c r="AG157" s="1" t="str">
        <f t="shared" si="58"/>
        <v>NW</v>
      </c>
      <c r="AH157" s="81" t="str">
        <f t="shared" si="59"/>
        <v>"%USERPROFILE%\Documents\GitHub\eaglep3\Utilities\RefineRTDCRunTimes.py" --tripid 1802-06 --locoid 4017 --swversion DE.1.0.9.0 --startMP 300:58619 --initTime 2017-05-06T06:36:20 --startdatetime 2017-05-06T06:39:14 --delay 1 --endMP 204:652 --enddatetime 2017-05-06T06:54:35 --enforcementcount 0 &gt;&gt;C:\Users\stu\Documents\GitHub\eaglep3-reporting\EC\2017-05-06-refined-times.txt</v>
      </c>
      <c r="AI157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{"issue":{"subject":"","project_id":79,"tracker_id":40,"status_id":1,"priority_id":2,"assigned_to_id":23,"start_date":"2017-05-06","description":"","custom_fields":[{"id":1,"name":"Subdivision","value":"NW"},{"id":4,"name":"Milepost","value":"0.0652"},{"id":17,"name":"Train ID","value":"1802-06"},{"id":16,"name":"Locomotive ID","value":"4017"},{"id":130,"name":"Impact","value":""},{"id":150,"name":"Time of Event (Mountain Time)","value":"06:54:35"},{"id":151,"name":"Denver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61"/>
        <v>start /low /b %USERPROFILE%\Documents\GitHub\eaglep3\Utilities\DownloadLogsFromS3.py --loco 4017 --day 2017-05-06</v>
      </c>
      <c r="AN157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12:54:35"},{"id":29,"name":"Sharepoint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2" t="s">
        <v>518</v>
      </c>
      <c r="B158" s="7">
        <v>4018</v>
      </c>
      <c r="C158" s="21" t="s">
        <v>210</v>
      </c>
      <c r="D158" s="21" t="s">
        <v>822</v>
      </c>
      <c r="E158" s="13">
        <v>42861.290162037039</v>
      </c>
      <c r="F158" s="13">
        <v>42861.306388888886</v>
      </c>
      <c r="G158" s="7">
        <v>1</v>
      </c>
      <c r="H158" s="21" t="s">
        <v>823</v>
      </c>
      <c r="I158" s="13">
        <v>42861.316134259258</v>
      </c>
      <c r="J158" s="7">
        <v>0</v>
      </c>
      <c r="K158" s="92" t="str">
        <f t="shared" si="44"/>
        <v>4017/4018</v>
      </c>
      <c r="L158" s="21" t="str">
        <f>VLOOKUP(A158,'Trips&amp;Operators'!$C$1:$G$99999,5,FALSE)</f>
        <v>DELGADO DIANAH</v>
      </c>
      <c r="M158" s="6">
        <f t="shared" si="45"/>
        <v>9.7453703710925765E-3</v>
      </c>
      <c r="N158" s="7">
        <f t="shared" si="46"/>
        <v>14.03333333437331</v>
      </c>
      <c r="O158" s="7"/>
      <c r="P158" s="7"/>
      <c r="Q158" s="22"/>
      <c r="R158" s="190"/>
      <c r="S158" s="196">
        <f t="shared" si="47"/>
        <v>1</v>
      </c>
      <c r="T158" s="190" t="str">
        <f t="shared" si="48"/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1" t="str">
        <f t="shared" si="49"/>
        <v>https://d0f6bd738d7f1b3e5a7ca70fe4ff75f0.us-east-1.aws.found.io/app/kibana#/discover/Steve-Slow-Train-Analysis-(2080s-and-2083s)?_g=(refreshInterval:(display:Off,pause:!f,section:0,value:0),time:(from:'2017-05-06T05:57:50-0600',mode:absolute,to:'2017-05-06T08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8" s="192" t="str">
        <f t="shared" si="50"/>
        <v>N</v>
      </c>
      <c r="X158" s="192">
        <f t="shared" si="64"/>
        <v>1</v>
      </c>
      <c r="Y158" s="192">
        <f t="shared" si="52"/>
        <v>9.5000000000000001E-2</v>
      </c>
      <c r="Z158" s="192">
        <f t="shared" si="53"/>
        <v>5.8992000000000004</v>
      </c>
      <c r="AA158" s="192">
        <f t="shared" si="54"/>
        <v>5.8042000000000007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55"/>
        <v>1803-06</v>
      </c>
      <c r="AE158" s="80" t="str">
        <f t="shared" si="56"/>
        <v>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 &amp; aws s3 cp s3://rtdc.mdm.uploadarchive.raw/RTDC4018/ "%USERPROFILE%\AppData\Local\Temp\OnboardLogs"\RTDC4018\2017-05-07 --exclude "*" --recursive --include "*20170507*" &amp; "%USERPROFILE%\Documents\GitHub\mrs-test-scripts\Headless Mode &amp; Sideloading\WalkAndUnGZ.bat" "%USERPROFILE%\AppData\Local\Temp\OnboardLogs"\RTDC4018\2017-05-07</v>
      </c>
      <c r="AF158" s="77" t="str">
        <f t="shared" si="57"/>
        <v>"C:\Program Files (x86)\AstroGrep\AstroGrep.exe" /e /r /s /spath="%USERPROFILE%\AppData\Local\Temp\OnboardLogs" /stypes="app*4018*20170506*" /stext=" 13:.+((SYSTEM_STATE.+slice.+state.+changed )|(ment ac)|(multiple cpu faults)|(system.+state.+changed )|(\[timeout)|(PRM\|1\|D)|(kpr)|(kdp)|(train st.+moving)|(\|lc)|(penalty))"</v>
      </c>
      <c r="AG158" s="1" t="str">
        <f t="shared" si="58"/>
        <v>NW</v>
      </c>
      <c r="AH158" s="81" t="str">
        <f t="shared" si="59"/>
        <v>"%USERPROFILE%\Documents\GitHub\eaglep3\Utilities\RefineRTDCRunTimes.py" --tripid 1803-06 --locoid 4018 --swversion DE.1.0.9.0 --startMP 204:950 --initTime 2017-05-06T06:57:50 --startdatetime 2017-05-06T07:21:12 --delay 1 --endMP 300:58992 --enddatetime 2017-05-06T07:35:14 --enforcementcount 0 &gt;&gt;C:\Users\stu\Documents\GitHub\eaglep3-reporting\EC\2017-05-06-refined-times.txt</v>
      </c>
      <c r="AI158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{"issue":{"subject":"","project_id":79,"tracker_id":40,"status_id":1,"priority_id":2,"assigned_to_id":23,"start_date":"2017-05-06","description":"","custom_fields":[{"id":1,"name":"Subdivision","value":"NW"},{"id":4,"name":"Milepost","value":"5.8992"},{"id":17,"name":"Train ID","value":"1803-06"},{"id":16,"name":"Locomotive ID","value":"4018"},{"id":130,"name":"Impact","value":""},{"id":150,"name":"Time of Event (Mountain Time)","value":"07:35:14"},{"id":151,"name":"Denver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61"/>
        <v>start /low /b %USERPROFILE%\Documents\GitHub\eaglep3\Utilities\DownloadLogsFromS3.py --loco 4018 --day 2017-05-06</v>
      </c>
      <c r="AN158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13:35:14"},{"id":29,"name":"Sharepoint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2" t="s">
        <v>610</v>
      </c>
      <c r="B159" s="7">
        <v>4017</v>
      </c>
      <c r="C159" s="21" t="s">
        <v>210</v>
      </c>
      <c r="D159" s="21" t="s">
        <v>824</v>
      </c>
      <c r="E159" s="13">
        <v>42861.317071759258</v>
      </c>
      <c r="F159" s="13">
        <v>42861.318576388891</v>
      </c>
      <c r="G159" s="7">
        <v>1</v>
      </c>
      <c r="H159" s="21" t="s">
        <v>821</v>
      </c>
      <c r="I159" s="13">
        <v>42861.329421296294</v>
      </c>
      <c r="J159" s="7">
        <v>0</v>
      </c>
      <c r="K159" s="92" t="str">
        <f t="shared" si="44"/>
        <v>4017/4018</v>
      </c>
      <c r="L159" s="21" t="str">
        <f>VLOOKUP(A159,'Trips&amp;Operators'!$C$1:$G$99999,5,FALSE)</f>
        <v>DELGADO DIANAH</v>
      </c>
      <c r="M159" s="6">
        <f t="shared" si="45"/>
        <v>1.0844907403225079E-2</v>
      </c>
      <c r="N159" s="7">
        <f t="shared" si="46"/>
        <v>15.616666660644114</v>
      </c>
      <c r="O159" s="7"/>
      <c r="P159" s="7"/>
      <c r="Q159" s="22"/>
      <c r="R159" s="190"/>
      <c r="S159" s="196">
        <f t="shared" si="47"/>
        <v>1</v>
      </c>
      <c r="T159" s="190" t="str">
        <f t="shared" si="48"/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 t="shared" si="49"/>
        <v>https://d0f6bd738d7f1b3e5a7ca70fe4ff75f0.us-east-1.aws.found.io/app/kibana#/discover/Steve-Slow-Train-Analysis-(2080s-and-2083s)?_g=(refreshInterval:(display:Off,pause:!f,section:0,value:0),time:(from:'2017-05-06T06:36:35-0600',mode:absolute,to:'2017-05-06T08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9" s="192" t="str">
        <f t="shared" si="50"/>
        <v>N</v>
      </c>
      <c r="X159" s="192">
        <f t="shared" si="64"/>
        <v>1</v>
      </c>
      <c r="Y159" s="192">
        <f t="shared" si="52"/>
        <v>5.8677000000000001</v>
      </c>
      <c r="Z159" s="192">
        <f t="shared" si="53"/>
        <v>6.5199999999999994E-2</v>
      </c>
      <c r="AA159" s="192">
        <f t="shared" si="54"/>
        <v>5.8025000000000002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55"/>
        <v>1804-06</v>
      </c>
      <c r="AE159" s="80" t="str">
        <f t="shared" si="56"/>
        <v>aws s3 cp s3://rtdc.mdm.uploadarchive.raw/RTDC4017/ "%USERPROFILE%\AppData\Local\Temp\OnboardLogs"\RTDC4017\2017-05-06 --exclude "*" --recursive --include "*20170506*" &amp; "%USERPROFILE%\Documents\GitHub\mrs-test-scripts\Headless Mode &amp; Sideloading\WalkAndUnGZ.bat" "%USERPROFILE%\AppData\Local\Temp\OnboardLogs"\RTDC4017\2017-05-06 &amp; aws s3 cp s3://rtdc.mdm.uploadarchive.raw/RTDC4017/ "%USERPROFILE%\AppData\Local\Temp\OnboardLogs"\RTDC4017\2017-05-07 --exclude "*" --recursive --include "*20170507*" &amp; "%USERPROFILE%\Documents\GitHub\mrs-test-scripts\Headless Mode &amp; Sideloading\WalkAndUnGZ.bat" "%USERPROFILE%\AppData\Local\Temp\OnboardLogs"\RTDC4017\2017-05-07</v>
      </c>
      <c r="AF159" s="77" t="str">
        <f t="shared" si="57"/>
        <v>"C:\Program Files (x86)\AstroGrep\AstroGrep.exe" /e /r /s /spath="%USERPROFILE%\AppData\Local\Temp\OnboardLogs" /stypes="app*4017*20170506*" /stext=" 13:.+((SYSTEM_STATE.+slice.+state.+changed )|(ment ac)|(multiple cpu faults)|(system.+state.+changed )|(\[timeout)|(PRM\|1\|D)|(kpr)|(kdp)|(train st.+moving)|(\|lc)|(penalty))"</v>
      </c>
      <c r="AG159" s="1" t="str">
        <f t="shared" si="58"/>
        <v>NW</v>
      </c>
      <c r="AH159" s="81" t="str">
        <f t="shared" si="59"/>
        <v>"%USERPROFILE%\Documents\GitHub\eaglep3\Utilities\RefineRTDCRunTimes.py" --tripid 1804-06 --locoid 4017 --swversion DE.1.0.9.0 --startMP 300:58677 --initTime 2017-05-06T07:36:35 --startdatetime 2017-05-06T07:38:45 --delay 1 --endMP 204:652 --enddatetime 2017-05-06T07:54:22 --enforcementcount 0 &gt;&gt;C:\Users\stu\Documents\GitHub\eaglep3-reporting\EC\2017-05-06-refined-times.txt</v>
      </c>
      <c r="AI159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{"issue":{"subject":"","project_id":79,"tracker_id":40,"status_id":1,"priority_id":2,"assigned_to_id":23,"start_date":"2017-05-06","description":"","custom_fields":[{"id":1,"name":"Subdivision","value":"NW"},{"id":4,"name":"Milepost","value":"0.0652"},{"id":17,"name":"Train ID","value":"1804-06"},{"id":16,"name":"Locomotive ID","value":"4017"},{"id":130,"name":"Impact","value":""},{"id":150,"name":"Time of Event (Mountain Time)","value":"07:54:22"},{"id":151,"name":"Denver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61"/>
        <v>start /low /b %USERPROFILE%\Documents\GitHub\eaglep3\Utilities\DownloadLogsFromS3.py --loco 4017 --day 2017-05-06</v>
      </c>
      <c r="AN159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13:54:22"},{"id":29,"name":"Sharepoint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615</v>
      </c>
      <c r="B160" s="7">
        <v>4018</v>
      </c>
      <c r="C160" s="21" t="s">
        <v>210</v>
      </c>
      <c r="D160" s="21" t="s">
        <v>825</v>
      </c>
      <c r="E160" s="13">
        <v>42861.333275462966</v>
      </c>
      <c r="F160" s="13">
        <v>42861.348055555558</v>
      </c>
      <c r="G160" s="7">
        <v>1</v>
      </c>
      <c r="H160" s="21" t="s">
        <v>467</v>
      </c>
      <c r="I160" s="13">
        <v>42861.35738425926</v>
      </c>
      <c r="J160" s="7">
        <v>0</v>
      </c>
      <c r="K160" s="92" t="str">
        <f t="shared" si="44"/>
        <v>4017/4018</v>
      </c>
      <c r="L160" s="21" t="str">
        <f>VLOOKUP(A160,'Trips&amp;Operators'!$C$1:$G$99999,5,FALSE)</f>
        <v>DELGADO DIANAH</v>
      </c>
      <c r="M160" s="6">
        <f t="shared" si="45"/>
        <v>9.3287037016125396E-3</v>
      </c>
      <c r="N160" s="7">
        <f t="shared" si="46"/>
        <v>13.433333330322057</v>
      </c>
      <c r="O160" s="7"/>
      <c r="P160" s="7"/>
      <c r="Q160" s="22"/>
      <c r="R160" s="190"/>
      <c r="S160" s="196">
        <f t="shared" si="47"/>
        <v>1</v>
      </c>
      <c r="T160" s="190" t="str">
        <f t="shared" si="48"/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49"/>
        <v>https://d0f6bd738d7f1b3e5a7ca70fe4ff75f0.us-east-1.aws.found.io/app/kibana#/discover/Steve-Slow-Train-Analysis-(2080s-and-2083s)?_g=(refreshInterval:(display:Off,pause:!f,section:0,value:0),time:(from:'2017-05-06T06:59:55-0600',mode:absolute,to:'2017-05-06T09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0" s="192" t="str">
        <f t="shared" si="50"/>
        <v>N</v>
      </c>
      <c r="X160" s="192">
        <f t="shared" si="64"/>
        <v>1</v>
      </c>
      <c r="Y160" s="192">
        <f t="shared" si="52"/>
        <v>9.4799999999999995E-2</v>
      </c>
      <c r="Z160" s="192">
        <f t="shared" si="53"/>
        <v>5.8954000000000004</v>
      </c>
      <c r="AA160" s="192">
        <f t="shared" si="54"/>
        <v>5.8006000000000002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55"/>
        <v>1805-06</v>
      </c>
      <c r="AE160" s="80" t="str">
        <f t="shared" si="56"/>
        <v>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 &amp; aws s3 cp s3://rtdc.mdm.uploadarchive.raw/RTDC4018/ "%USERPROFILE%\AppData\Local\Temp\OnboardLogs"\RTDC4018\2017-05-07 --exclude "*" --recursive --include "*20170507*" &amp; "%USERPROFILE%\Documents\GitHub\mrs-test-scripts\Headless Mode &amp; Sideloading\WalkAndUnGZ.bat" "%USERPROFILE%\AppData\Local\Temp\OnboardLogs"\RTDC4018\2017-05-07</v>
      </c>
      <c r="AF160" s="77" t="str">
        <f t="shared" si="57"/>
        <v>"C:\Program Files (x86)\AstroGrep\AstroGrep.exe" /e /r /s /spath="%USERPROFILE%\AppData\Local\Temp\OnboardLogs" /stypes="app*4018*20170506*" /stext=" 14:.+((SYSTEM_STATE.+slice.+state.+changed )|(ment ac)|(multiple cpu faults)|(system.+state.+changed )|(\[timeout)|(PRM\|1\|D)|(kpr)|(kdp)|(train st.+moving)|(\|lc)|(penalty))"</v>
      </c>
      <c r="AG160" s="1" t="str">
        <f t="shared" si="58"/>
        <v>NW</v>
      </c>
      <c r="AH160" s="81" t="str">
        <f t="shared" si="59"/>
        <v>"%USERPROFILE%\Documents\GitHub\eaglep3\Utilities\RefineRTDCRunTimes.py" --tripid 1805-06 --locoid 4018 --swversion DE.1.0.9.0 --startMP 204:948 --initTime 2017-05-06T07:59:55 --startdatetime 2017-05-06T08:21:12 --delay 1 --endMP 300:58954 --enddatetime 2017-05-06T08:34:38 --enforcementcount 0 &gt;&gt;C:\Users\stu\Documents\GitHub\eaglep3-reporting\EC\2017-05-06-refined-times.txt</v>
      </c>
      <c r="AI160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{"issue":{"subject":"","project_id":79,"tracker_id":40,"status_id":1,"priority_id":2,"assigned_to_id":23,"start_date":"2017-05-06","description":"","custom_fields":[{"id":1,"name":"Subdivision","value":"NW"},{"id":4,"name":"Milepost","value":"5.8954"},{"id":17,"name":"Train ID","value":"1805-06"},{"id":16,"name":"Locomotive ID","value":"4018"},{"id":130,"name":"Impact","value":""},{"id":150,"name":"Time of Event (Mountain Time)","value":"08:34:38"},{"id":151,"name":"Denver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61"/>
        <v>start /low /b %USERPROFILE%\Documents\GitHub\eaglep3\Utilities\DownloadLogsFromS3.py --loco 4018 --day 2017-05-06</v>
      </c>
      <c r="AN160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14:34:38"},{"id":29,"name":"Sharepoint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620</v>
      </c>
      <c r="B161" s="7">
        <v>4017</v>
      </c>
      <c r="C161" s="21" t="s">
        <v>210</v>
      </c>
      <c r="D161" s="21" t="s">
        <v>504</v>
      </c>
      <c r="E161" s="13">
        <v>42861.358252314814</v>
      </c>
      <c r="F161" s="13">
        <v>42861.359756944446</v>
      </c>
      <c r="G161" s="7">
        <v>1</v>
      </c>
      <c r="H161" s="21" t="s">
        <v>826</v>
      </c>
      <c r="I161" s="13">
        <v>42861.371006944442</v>
      </c>
      <c r="J161" s="7">
        <v>0</v>
      </c>
      <c r="K161" s="92" t="str">
        <f t="shared" si="44"/>
        <v>4017/4018</v>
      </c>
      <c r="L161" s="21" t="str">
        <f>VLOOKUP(A161,'Trips&amp;Operators'!$C$1:$G$99999,5,FALSE)</f>
        <v>DELGADO DIANAH</v>
      </c>
      <c r="M161" s="6">
        <f t="shared" si="45"/>
        <v>1.1249999995925464E-2</v>
      </c>
      <c r="N161" s="7">
        <f t="shared" si="46"/>
        <v>16.199999994132668</v>
      </c>
      <c r="O161" s="7"/>
      <c r="P161" s="7"/>
      <c r="Q161" s="22"/>
      <c r="R161" s="190"/>
      <c r="S161" s="196">
        <f t="shared" si="47"/>
        <v>1</v>
      </c>
      <c r="T161" s="190" t="str">
        <f t="shared" si="48"/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49"/>
        <v>https://d0f6bd738d7f1b3e5a7ca70fe4ff75f0.us-east-1.aws.found.io/app/kibana#/discover/Steve-Slow-Train-Analysis-(2080s-and-2083s)?_g=(refreshInterval:(display:Off,pause:!f,section:0,value:0),time:(from:'2017-05-06T07:35:53-0600',mode:absolute,to:'2017-05-06T09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1" s="192" t="str">
        <f t="shared" si="50"/>
        <v>N</v>
      </c>
      <c r="X161" s="192">
        <f t="shared" si="64"/>
        <v>1</v>
      </c>
      <c r="Y161" s="192">
        <f t="shared" si="52"/>
        <v>5.8624000000000001</v>
      </c>
      <c r="Z161" s="192">
        <f t="shared" si="53"/>
        <v>6.7299999999999999E-2</v>
      </c>
      <c r="AA161" s="192">
        <f t="shared" si="54"/>
        <v>5.7950999999999997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55"/>
        <v>1806-06</v>
      </c>
      <c r="AE161" s="80" t="str">
        <f t="shared" si="56"/>
        <v>aws s3 cp s3://rtdc.mdm.uploadarchive.raw/RTDC4017/ "%USERPROFILE%\AppData\Local\Temp\OnboardLogs"\RTDC4017\2017-05-06 --exclude "*" --recursive --include "*20170506*" &amp; "%USERPROFILE%\Documents\GitHub\mrs-test-scripts\Headless Mode &amp; Sideloading\WalkAndUnGZ.bat" "%USERPROFILE%\AppData\Local\Temp\OnboardLogs"\RTDC4017\2017-05-06 &amp; aws s3 cp s3://rtdc.mdm.uploadarchive.raw/RTDC4017/ "%USERPROFILE%\AppData\Local\Temp\OnboardLogs"\RTDC4017\2017-05-07 --exclude "*" --recursive --include "*20170507*" &amp; "%USERPROFILE%\Documents\GitHub\mrs-test-scripts\Headless Mode &amp; Sideloading\WalkAndUnGZ.bat" "%USERPROFILE%\AppData\Local\Temp\OnboardLogs"\RTDC4017\2017-05-07</v>
      </c>
      <c r="AF161" s="77" t="str">
        <f t="shared" si="57"/>
        <v>"C:\Program Files (x86)\AstroGrep\AstroGrep.exe" /e /r /s /spath="%USERPROFILE%\AppData\Local\Temp\OnboardLogs" /stypes="app*4017*20170506*" /stext=" 14:.+((SYSTEM_STATE.+slice.+state.+changed )|(ment ac)|(multiple cpu faults)|(system.+state.+changed )|(\[timeout)|(PRM\|1\|D)|(kpr)|(kdp)|(train st.+moving)|(\|lc)|(penalty))"</v>
      </c>
      <c r="AG161" s="1" t="str">
        <f t="shared" si="58"/>
        <v>NW</v>
      </c>
      <c r="AH161" s="81" t="str">
        <f t="shared" si="59"/>
        <v>"%USERPROFILE%\Documents\GitHub\eaglep3\Utilities\RefineRTDCRunTimes.py" --tripid 1806-06 --locoid 4017 --swversion DE.1.0.9.0 --startMP 300:58624 --initTime 2017-05-06T08:35:53 --startdatetime 2017-05-06T08:38:03 --delay 1 --endMP 204:673 --enddatetime 2017-05-06T08:54:15 --enforcementcount 0 &gt;&gt;C:\Users\stu\Documents\GitHub\eaglep3-reporting\EC\2017-05-06-refined-times.txt</v>
      </c>
      <c r="AI161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{"issue":{"subject":"","project_id":79,"tracker_id":40,"status_id":1,"priority_id":2,"assigned_to_id":23,"start_date":"2017-05-06","description":"","custom_fields":[{"id":1,"name":"Subdivision","value":"NW"},{"id":4,"name":"Milepost","value":"0.0673"},{"id":17,"name":"Train ID","value":"1806-06"},{"id":16,"name":"Locomotive ID","value":"4017"},{"id":130,"name":"Impact","value":""},{"id":150,"name":"Time of Event (Mountain Time)","value":"08:54:15"},{"id":151,"name":"Denver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61"/>
        <v>start /low /b %USERPROFILE%\Documents\GitHub\eaglep3\Utilities\DownloadLogsFromS3.py --loco 4017 --day 2017-05-06</v>
      </c>
      <c r="AN161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14:54:15"},{"id":29,"name":"Sharepoint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624</v>
      </c>
      <c r="B162" s="7">
        <v>4018</v>
      </c>
      <c r="C162" s="21" t="s">
        <v>210</v>
      </c>
      <c r="D162" s="21" t="s">
        <v>827</v>
      </c>
      <c r="E162" s="13">
        <v>42861.372893518521</v>
      </c>
      <c r="F162" s="13">
        <v>42861.389733796299</v>
      </c>
      <c r="G162" s="7">
        <v>1</v>
      </c>
      <c r="H162" s="21" t="s">
        <v>828</v>
      </c>
      <c r="I162" s="13">
        <v>42861.398958333331</v>
      </c>
      <c r="J162" s="7">
        <v>0</v>
      </c>
      <c r="K162" s="92" t="str">
        <f t="shared" si="44"/>
        <v>4017/4018</v>
      </c>
      <c r="L162" s="21" t="str">
        <f>VLOOKUP(A162,'Trips&amp;Operators'!$C$1:$G$99999,5,FALSE)</f>
        <v>DELGADO DIANAH</v>
      </c>
      <c r="M162" s="6">
        <f t="shared" si="45"/>
        <v>9.2245370324235409E-3</v>
      </c>
      <c r="N162" s="7">
        <f t="shared" si="46"/>
        <v>13.283333326689899</v>
      </c>
      <c r="O162" s="7"/>
      <c r="P162" s="7"/>
      <c r="Q162" s="22"/>
      <c r="R162" s="190"/>
      <c r="S162" s="196">
        <f t="shared" si="47"/>
        <v>1</v>
      </c>
      <c r="T162" s="190" t="str">
        <f t="shared" si="48"/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49"/>
        <v>https://d0f6bd738d7f1b3e5a7ca70fe4ff75f0.us-east-1.aws.found.io/app/kibana#/discover/Steve-Slow-Train-Analysis-(2080s-and-2083s)?_g=(refreshInterval:(display:Off,pause:!f,section:0,value:0),time:(from:'2017-05-06T07:56:58-0600',mode:absolute,to:'2017-05-06T10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2" s="192" t="str">
        <f t="shared" si="50"/>
        <v>N</v>
      </c>
      <c r="X162" s="192">
        <f t="shared" si="64"/>
        <v>1</v>
      </c>
      <c r="Y162" s="192">
        <f t="shared" si="52"/>
        <v>9.64E-2</v>
      </c>
      <c r="Z162" s="192">
        <f t="shared" si="53"/>
        <v>5.8967000000000001</v>
      </c>
      <c r="AA162" s="192">
        <f t="shared" si="54"/>
        <v>5.8003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55"/>
        <v>1807-06</v>
      </c>
      <c r="AE162" s="80" t="str">
        <f t="shared" si="56"/>
        <v>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 &amp; aws s3 cp s3://rtdc.mdm.uploadarchive.raw/RTDC4018/ "%USERPROFILE%\AppData\Local\Temp\OnboardLogs"\RTDC4018\2017-05-07 --exclude "*" --recursive --include "*20170507*" &amp; "%USERPROFILE%\Documents\GitHub\mrs-test-scripts\Headless Mode &amp; Sideloading\WalkAndUnGZ.bat" "%USERPROFILE%\AppData\Local\Temp\OnboardLogs"\RTDC4018\2017-05-07</v>
      </c>
      <c r="AF162" s="77" t="str">
        <f t="shared" si="57"/>
        <v>"C:\Program Files (x86)\AstroGrep\AstroGrep.exe" /e /r /s /spath="%USERPROFILE%\AppData\Local\Temp\OnboardLogs" /stypes="app*4018*20170506*" /stext=" 15:.+((SYSTEM_STATE.+slice.+state.+changed )|(ment ac)|(multiple cpu faults)|(system.+state.+changed )|(\[timeout)|(PRM\|1\|D)|(kpr)|(kdp)|(train st.+moving)|(\|lc)|(penalty))"</v>
      </c>
      <c r="AG162" s="1" t="str">
        <f t="shared" si="58"/>
        <v>NW</v>
      </c>
      <c r="AH162" s="81" t="str">
        <f t="shared" si="59"/>
        <v>"%USERPROFILE%\Documents\GitHub\eaglep3\Utilities\RefineRTDCRunTimes.py" --tripid 1807-06 --locoid 4018 --swversion DE.1.0.9.0 --startMP 204:964 --initTime 2017-05-06T08:56:58 --startdatetime 2017-05-06T09:21:13 --delay 1 --endMP 300:58967 --enddatetime 2017-05-06T09:34:30 --enforcementcount 0 &gt;&gt;C:\Users\stu\Documents\GitHub\eaglep3-reporting\EC\2017-05-06-refined-times.txt</v>
      </c>
      <c r="AI162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{"issue":{"subject":"","project_id":79,"tracker_id":40,"status_id":1,"priority_id":2,"assigned_to_id":23,"start_date":"2017-05-06","description":"","custom_fields":[{"id":1,"name":"Subdivision","value":"NW"},{"id":4,"name":"Milepost","value":"5.8967"},{"id":17,"name":"Train ID","value":"1807-06"},{"id":16,"name":"Locomotive ID","value":"4018"},{"id":130,"name":"Impact","value":""},{"id":150,"name":"Time of Event (Mountain Time)","value":"09:34:30"},{"id":151,"name":"Denver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61"/>
        <v>start /low /b %USERPROFILE%\Documents\GitHub\eaglep3\Utilities\DownloadLogsFromS3.py --loco 4018 --day 2017-05-06</v>
      </c>
      <c r="AN162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15:34:30"},{"id":29,"name":"Sharepoint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630</v>
      </c>
      <c r="B163" s="7">
        <v>4017</v>
      </c>
      <c r="C163" s="21" t="s">
        <v>210</v>
      </c>
      <c r="D163" s="21" t="s">
        <v>829</v>
      </c>
      <c r="E163" s="13">
        <v>42861.399965277778</v>
      </c>
      <c r="F163" s="13">
        <v>42861.401631944442</v>
      </c>
      <c r="G163" s="7">
        <v>1</v>
      </c>
      <c r="H163" s="21" t="s">
        <v>830</v>
      </c>
      <c r="I163" s="13">
        <v>42861.413043981483</v>
      </c>
      <c r="J163" s="7">
        <v>0</v>
      </c>
      <c r="K163" s="92" t="str">
        <f t="shared" si="44"/>
        <v>4017/4018</v>
      </c>
      <c r="L163" s="21" t="str">
        <f>VLOOKUP(A163,'Trips&amp;Operators'!$C$1:$G$99999,5,FALSE)</f>
        <v>DELGADO DIANAH</v>
      </c>
      <c r="M163" s="6">
        <f t="shared" si="45"/>
        <v>1.1412037041736767E-2</v>
      </c>
      <c r="N163" s="7">
        <f t="shared" si="46"/>
        <v>16.433333340100944</v>
      </c>
      <c r="O163" s="7"/>
      <c r="P163" s="7"/>
      <c r="Q163" s="22"/>
      <c r="R163" s="190"/>
      <c r="S163" s="196">
        <f t="shared" si="47"/>
        <v>1</v>
      </c>
      <c r="T163" s="190" t="str">
        <f t="shared" si="48"/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49"/>
        <v>https://d0f6bd738d7f1b3e5a7ca70fe4ff75f0.us-east-1.aws.found.io/app/kibana#/discover/Steve-Slow-Train-Analysis-(2080s-and-2083s)?_g=(refreshInterval:(display:Off,pause:!f,section:0,value:0),time:(from:'2017-05-06T08:35:57-0600',mode:absolute,to:'2017-05-06T10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3" s="192" t="str">
        <f t="shared" si="50"/>
        <v>N</v>
      </c>
      <c r="X163" s="192">
        <f t="shared" si="64"/>
        <v>1</v>
      </c>
      <c r="Y163" s="192">
        <f t="shared" si="52"/>
        <v>5.8654999999999999</v>
      </c>
      <c r="Z163" s="192">
        <f t="shared" si="53"/>
        <v>6.4899999999999999E-2</v>
      </c>
      <c r="AA163" s="192">
        <f t="shared" si="54"/>
        <v>5.8006000000000002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55"/>
        <v>1808-06</v>
      </c>
      <c r="AE163" s="80" t="str">
        <f t="shared" si="56"/>
        <v>aws s3 cp s3://rtdc.mdm.uploadarchive.raw/RTDC4017/ "%USERPROFILE%\AppData\Local\Temp\OnboardLogs"\RTDC4017\2017-05-06 --exclude "*" --recursive --include "*20170506*" &amp; "%USERPROFILE%\Documents\GitHub\mrs-test-scripts\Headless Mode &amp; Sideloading\WalkAndUnGZ.bat" "%USERPROFILE%\AppData\Local\Temp\OnboardLogs"\RTDC4017\2017-05-06 &amp; aws s3 cp s3://rtdc.mdm.uploadarchive.raw/RTDC4017/ "%USERPROFILE%\AppData\Local\Temp\OnboardLogs"\RTDC4017\2017-05-07 --exclude "*" --recursive --include "*20170507*" &amp; "%USERPROFILE%\Documents\GitHub\mrs-test-scripts\Headless Mode &amp; Sideloading\WalkAndUnGZ.bat" "%USERPROFILE%\AppData\Local\Temp\OnboardLogs"\RTDC4017\2017-05-07</v>
      </c>
      <c r="AF163" s="77" t="str">
        <f t="shared" si="57"/>
        <v>"C:\Program Files (x86)\AstroGrep\AstroGrep.exe" /e /r /s /spath="%USERPROFILE%\AppData\Local\Temp\OnboardLogs" /stypes="app*4017*20170506*" /stext=" 15:.+((SYSTEM_STATE.+slice.+state.+changed )|(ment ac)|(multiple cpu faults)|(system.+state.+changed )|(\[timeout)|(PRM\|1\|D)|(kpr)|(kdp)|(train st.+moving)|(\|lc)|(penalty))"</v>
      </c>
      <c r="AG163" s="1" t="str">
        <f t="shared" si="58"/>
        <v>NW</v>
      </c>
      <c r="AH163" s="81" t="str">
        <f t="shared" si="59"/>
        <v>"%USERPROFILE%\Documents\GitHub\eaglep3\Utilities\RefineRTDCRunTimes.py" --tripid 1808-06 --locoid 4017 --swversion DE.1.0.9.0 --startMP 300:58655 --initTime 2017-05-06T09:35:57 --startdatetime 2017-05-06T09:38:21 --delay 1 --endMP 204:649 --enddatetime 2017-05-06T09:54:47 --enforcementcount 0 &gt;&gt;C:\Users\stu\Documents\GitHub\eaglep3-reporting\EC\2017-05-06-refined-times.txt</v>
      </c>
      <c r="AI163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{"issue":{"subject":"","project_id":79,"tracker_id":40,"status_id":1,"priority_id":2,"assigned_to_id":23,"start_date":"2017-05-06","description":"","custom_fields":[{"id":1,"name":"Subdivision","value":"NW"},{"id":4,"name":"Milepost","value":"0.0649"},{"id":17,"name":"Train ID","value":"1808-06"},{"id":16,"name":"Locomotive ID","value":"4017"},{"id":130,"name":"Impact","value":""},{"id":150,"name":"Time of Event (Mountain Time)","value":"09:54:47"},{"id":151,"name":"Denver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61"/>
        <v>start /low /b %USERPROFILE%\Documents\GitHub\eaglep3\Utilities\DownloadLogsFromS3.py --loco 4017 --day 2017-05-06</v>
      </c>
      <c r="AN163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15:54:47"},{"id":29,"name":"Sharepoint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634</v>
      </c>
      <c r="B164" s="7">
        <v>4018</v>
      </c>
      <c r="C164" s="21" t="s">
        <v>210</v>
      </c>
      <c r="D164" s="21" t="s">
        <v>831</v>
      </c>
      <c r="E164" s="13">
        <v>42861.425902777781</v>
      </c>
      <c r="F164" s="13">
        <v>42861.431400462963</v>
      </c>
      <c r="G164" s="7">
        <v>1</v>
      </c>
      <c r="H164" s="21" t="s">
        <v>832</v>
      </c>
      <c r="I164" s="13">
        <v>42861.440659722219</v>
      </c>
      <c r="J164" s="7">
        <v>0</v>
      </c>
      <c r="K164" s="92" t="str">
        <f t="shared" si="44"/>
        <v>4017/4018</v>
      </c>
      <c r="L164" s="21" t="str">
        <f>VLOOKUP(A164,'Trips&amp;Operators'!$C$1:$G$99999,5,FALSE)</f>
        <v>DELGADO DIANAH</v>
      </c>
      <c r="M164" s="6">
        <f t="shared" si="45"/>
        <v>9.2592592554865405E-3</v>
      </c>
      <c r="N164" s="7">
        <f t="shared" si="46"/>
        <v>13.333333327900618</v>
      </c>
      <c r="O164" s="7"/>
      <c r="P164" s="7"/>
      <c r="Q164" s="22"/>
      <c r="R164" s="190"/>
      <c r="S164" s="196">
        <f t="shared" si="47"/>
        <v>1</v>
      </c>
      <c r="T164" s="190" t="str">
        <f t="shared" si="48"/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49"/>
        <v>https://d0f6bd738d7f1b3e5a7ca70fe4ff75f0.us-east-1.aws.found.io/app/kibana#/discover/Steve-Slow-Train-Analysis-(2080s-and-2083s)?_g=(refreshInterval:(display:Off,pause:!f,section:0,value:0),time:(from:'2017-05-06T09:13:18-0600',mode:absolute,to:'2017-05-06T11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4" s="192" t="str">
        <f t="shared" si="50"/>
        <v>N</v>
      </c>
      <c r="X164" s="192">
        <f t="shared" si="64"/>
        <v>1</v>
      </c>
      <c r="Y164" s="192">
        <f t="shared" si="52"/>
        <v>9.3200000000000005E-2</v>
      </c>
      <c r="Z164" s="192">
        <f t="shared" si="53"/>
        <v>5.8994999999999997</v>
      </c>
      <c r="AA164" s="192">
        <f t="shared" si="54"/>
        <v>5.8062999999999994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55"/>
        <v>1809-06</v>
      </c>
      <c r="AE164" s="80" t="str">
        <f t="shared" si="56"/>
        <v>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 &amp; aws s3 cp s3://rtdc.mdm.uploadarchive.raw/RTDC4018/ "%USERPROFILE%\AppData\Local\Temp\OnboardLogs"\RTDC4018\2017-05-07 --exclude "*" --recursive --include "*20170507*" &amp; "%USERPROFILE%\Documents\GitHub\mrs-test-scripts\Headless Mode &amp; Sideloading\WalkAndUnGZ.bat" "%USERPROFILE%\AppData\Local\Temp\OnboardLogs"\RTDC4018\2017-05-07</v>
      </c>
      <c r="AF164" s="77" t="str">
        <f t="shared" si="57"/>
        <v>"C:\Program Files (x86)\AstroGrep\AstroGrep.exe" /e /r /s /spath="%USERPROFILE%\AppData\Local\Temp\OnboardLogs" /stypes="app*4018*20170506*" /stext=" 16:.+((SYSTEM_STATE.+slice.+state.+changed )|(ment ac)|(multiple cpu faults)|(system.+state.+changed )|(\[timeout)|(PRM\|1\|D)|(kpr)|(kdp)|(train st.+moving)|(\|lc)|(penalty))"</v>
      </c>
      <c r="AG164" s="1" t="str">
        <f t="shared" si="58"/>
        <v>NW</v>
      </c>
      <c r="AH164" s="81" t="str">
        <f t="shared" si="59"/>
        <v>"%USERPROFILE%\Documents\GitHub\eaglep3\Utilities\RefineRTDCRunTimes.py" --tripid 1809-06 --locoid 4018 --swversion DE.1.0.9.0 --startMP 204:932 --initTime 2017-05-06T10:13:18 --startdatetime 2017-05-06T10:21:13 --delay 1 --endMP 300:58995 --enddatetime 2017-05-06T10:34:33 --enforcementcount 0 &gt;&gt;C:\Users\stu\Documents\GitHub\eaglep3-reporting\EC\2017-05-06-refined-times.txt</v>
      </c>
      <c r="AI164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{"issue":{"subject":"","project_id":79,"tracker_id":40,"status_id":1,"priority_id":2,"assigned_to_id":23,"start_date":"2017-05-06","description":"","custom_fields":[{"id":1,"name":"Subdivision","value":"NW"},{"id":4,"name":"Milepost","value":"5.8995"},{"id":17,"name":"Train ID","value":"1809-06"},{"id":16,"name":"Locomotive ID","value":"4018"},{"id":130,"name":"Impact","value":""},{"id":150,"name":"Time of Event (Mountain Time)","value":"10:34:33"},{"id":151,"name":"Denver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61"/>
        <v>start /low /b %USERPROFILE%\Documents\GitHub\eaglep3\Utilities\DownloadLogsFromS3.py --loco 4018 --day 2017-05-06</v>
      </c>
      <c r="AN164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16:34:33"},{"id":29,"name":"Sharepoint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639</v>
      </c>
      <c r="B165" s="7">
        <v>4017</v>
      </c>
      <c r="C165" s="21" t="s">
        <v>210</v>
      </c>
      <c r="D165" s="21" t="s">
        <v>834</v>
      </c>
      <c r="E165" s="13">
        <v>42861.441874999997</v>
      </c>
      <c r="F165" s="13">
        <v>42861.523182870369</v>
      </c>
      <c r="G165" s="7">
        <v>2</v>
      </c>
      <c r="H165" s="21" t="s">
        <v>834</v>
      </c>
      <c r="I165" s="13">
        <v>42861.524872685186</v>
      </c>
      <c r="J165" s="7">
        <v>0</v>
      </c>
      <c r="K165" s="92" t="str">
        <f t="shared" si="44"/>
        <v>4017/4018</v>
      </c>
      <c r="L165" s="21" t="str">
        <f>VLOOKUP(A165,'Trips&amp;Operators'!$C$1:$G$99999,5,FALSE)</f>
        <v>DELGADO DIANAH</v>
      </c>
      <c r="M165" s="6">
        <f t="shared" si="45"/>
        <v>1.6898148169275373E-3</v>
      </c>
      <c r="N165" s="7"/>
      <c r="O165" s="7"/>
      <c r="P165" s="7">
        <f t="shared" si="46"/>
        <v>2.4333333363756537</v>
      </c>
      <c r="Q165" s="22"/>
      <c r="R165" s="190" t="s">
        <v>1040</v>
      </c>
      <c r="S165" s="196">
        <f t="shared" si="47"/>
        <v>0</v>
      </c>
      <c r="T165" s="190" t="str">
        <f t="shared" si="48"/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0</v>
      </c>
      <c r="V165" s="191" t="str">
        <f t="shared" si="49"/>
        <v>https://d0f6bd738d7f1b3e5a7ca70fe4ff75f0.us-east-1.aws.found.io/app/kibana#/discover/Steve-Slow-Train-Analysis-(2080s-and-2083s)?_g=(refreshInterval:(display:Off,pause:!f,section:0,value:0),time:(from:'2017-05-06T09:36:18-0600',mode:absolute,to:'2017-05-06T13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5" s="192" t="str">
        <f t="shared" si="50"/>
        <v>Y</v>
      </c>
      <c r="X165" s="192">
        <f t="shared" si="64"/>
        <v>1</v>
      </c>
      <c r="Y165" s="192">
        <f t="shared" si="52"/>
        <v>5.8667999999999996</v>
      </c>
      <c r="Z165" s="192">
        <f t="shared" si="53"/>
        <v>5.8667999999999996</v>
      </c>
      <c r="AA165" s="192">
        <f t="shared" si="54"/>
        <v>0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55"/>
        <v>1810-06</v>
      </c>
      <c r="AE165" s="80" t="str">
        <f t="shared" si="56"/>
        <v>aws s3 cp s3://rtdc.mdm.uploadarchive.raw/RTDC4017/ "%USERPROFILE%\AppData\Local\Temp\OnboardLogs"\RTDC4017\2017-05-06 --exclude "*" --recursive --include "*20170506*" &amp; "%USERPROFILE%\Documents\GitHub\mrs-test-scripts\Headless Mode &amp; Sideloading\WalkAndUnGZ.bat" "%USERPROFILE%\AppData\Local\Temp\OnboardLogs"\RTDC4017\2017-05-06 &amp; aws s3 cp s3://rtdc.mdm.uploadarchive.raw/RTDC4017/ "%USERPROFILE%\AppData\Local\Temp\OnboardLogs"\RTDC4017\2017-05-07 --exclude "*" --recursive --include "*20170507*" &amp; "%USERPROFILE%\Documents\GitHub\mrs-test-scripts\Headless Mode &amp; Sideloading\WalkAndUnGZ.bat" "%USERPROFILE%\AppData\Local\Temp\OnboardLogs"\RTDC4017\2017-05-07</v>
      </c>
      <c r="AF165" s="77" t="str">
        <f t="shared" si="57"/>
        <v>"C:\Program Files (x86)\AstroGrep\AstroGrep.exe" /e /r /s /spath="%USERPROFILE%\AppData\Local\Temp\OnboardLogs" /stypes="app*4017*20170506*" /stext=" 18:.+((SYSTEM_STATE.+slice.+state.+changed )|(ment ac)|(multiple cpu faults)|(system.+state.+changed )|(\[timeout)|(PRM\|1\|D)|(kpr)|(kdp)|(train st.+moving)|(\|lc)|(penalty))"</v>
      </c>
      <c r="AG165" s="1" t="str">
        <f t="shared" si="58"/>
        <v>NW</v>
      </c>
      <c r="AH165" s="81" t="str">
        <f t="shared" si="59"/>
        <v>"%USERPROFILE%\Documents\GitHub\eaglep3\Utilities\RefineRTDCRunTimes.py" --tripid 1810-06 --locoid 4017 --swversion DE.1.0.9.0 --startMP 300:58668 --initTime 2017-05-06T10:36:18 --startdatetime 2017-05-06T12:33:23 --delay 2 --endMP 300:58668 --enddatetime 2017-05-06T12:35:49 --enforcementcount 0 &gt;&gt;C:\Users\stu\Documents\GitHub\eaglep3-reporting\EC\2017-05-06-refined-times.txt</v>
      </c>
      <c r="AI165" s="99" t="str">
        <f t="shared" si="60"/>
        <v>echo {"issue":{"subject":"Onboard in-route failure","project_id":79,"tracker_id":40,"status_id":1,"priority_id":2,"assigned_to_id":23,"start_date":"2017-05-06","description":"","custom_fields":[{"id":1,"name":"Subdivision","value":"NW"},{"id":4,"name":"Milepost","value":"5.8668"},{"id":17,"name":"Train ID","value":"1810-06"},{"id":16,"name":"Locomotive ID","value":"4017"},{"id":130,"name":"Impact","value":""},{"id":150,"name":"Time of Event (Mountain Time)","value":"12:35:49"},{"id":151,"name":"Denver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61"/>
        <v>start /low /b %USERPROFILE%\Documents\GitHub\eaglep3\Utilities\DownloadLogsFromS3.py --loco 4017 --day 2017-05-06</v>
      </c>
      <c r="AN165" s="154" t="str">
        <f t="shared" si="62"/>
        <v>echo {"issue":{"subject":"Onboard in-route failure","project_id":30,"tracker_id":4,"status_id":1,"priority_id":1,"assigned_to_id":10,"start_date":"2017-05-06","description":"","custom_fields":[{"id":30,"name":"Category","value":"Issue"},{"id":3,"name":"Functional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18:35:49"},{"id":29,"name":"Sharepoint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651</v>
      </c>
      <c r="B166" s="7">
        <v>4014</v>
      </c>
      <c r="C166" s="21" t="s">
        <v>210</v>
      </c>
      <c r="D166" s="21" t="s">
        <v>835</v>
      </c>
      <c r="E166" s="13">
        <v>42861.470543981479</v>
      </c>
      <c r="F166" s="13">
        <v>42861.473981481482</v>
      </c>
      <c r="G166" s="7">
        <v>1</v>
      </c>
      <c r="H166" s="21" t="s">
        <v>467</v>
      </c>
      <c r="I166" s="13">
        <v>42861.483240740738</v>
      </c>
      <c r="J166" s="7">
        <v>0</v>
      </c>
      <c r="K166" s="92" t="str">
        <f t="shared" si="44"/>
        <v>4013/4014</v>
      </c>
      <c r="L166" s="21" t="str">
        <f>VLOOKUP(A166,'Trips&amp;Operators'!$C$1:$G$99999,5,FALSE)</f>
        <v>DELGADO DIANAH</v>
      </c>
      <c r="M166" s="6">
        <f t="shared" si="45"/>
        <v>9.2592592554865405E-3</v>
      </c>
      <c r="N166" s="7">
        <f t="shared" si="46"/>
        <v>13.333333327900618</v>
      </c>
      <c r="O166" s="7"/>
      <c r="P166" s="7"/>
      <c r="Q166" s="22"/>
      <c r="R166" s="190"/>
      <c r="S166" s="196">
        <f t="shared" si="47"/>
        <v>1</v>
      </c>
      <c r="T166" s="190" t="str">
        <f t="shared" si="48"/>
        <v>NorthBound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49"/>
        <v>https://d0f6bd738d7f1b3e5a7ca70fe4ff75f0.us-east-1.aws.found.io/app/kibana#/discover/Steve-Slow-Train-Analysis-(2080s-and-2083s)?_g=(refreshInterval:(display:Off,pause:!f,section:0,value:0),time:(from:'2017-05-06T10:17:35-0600',mode:absolute,to:'2017-05-06T12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6" s="192" t="str">
        <f t="shared" si="50"/>
        <v>N</v>
      </c>
      <c r="X166" s="192">
        <f t="shared" si="64"/>
        <v>1</v>
      </c>
      <c r="Y166" s="192">
        <f t="shared" si="52"/>
        <v>0.1235</v>
      </c>
      <c r="Z166" s="192">
        <f t="shared" si="53"/>
        <v>5.8954000000000004</v>
      </c>
      <c r="AA166" s="192">
        <f t="shared" si="54"/>
        <v>5.7719000000000005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55"/>
        <v>1811-06</v>
      </c>
      <c r="AE166" s="80" t="str">
        <f t="shared" si="56"/>
        <v>aws s3 cp s3://rtdc.mdm.uploadarchive.raw/RTDC4014/ "%USERPROFILE%\AppData\Local\Temp\OnboardLogs"\RTDC4014\2017-05-06 --exclude "*" --recursive --include "*20170506*" &amp; "%USERPROFILE%\Documents\GitHub\mrs-test-scripts\Headless Mode &amp; Sideloading\WalkAndUnGZ.bat" "%USERPROFILE%\AppData\Local\Temp\OnboardLogs"\RTDC4014\2017-05-06 &amp; aws s3 cp s3://rtdc.mdm.uploadarchive.raw/RTDC4014/ "%USERPROFILE%\AppData\Local\Temp\OnboardLogs"\RTDC4014\2017-05-07 --exclude "*" --recursive --include "*20170507*" &amp; "%USERPROFILE%\Documents\GitHub\mrs-test-scripts\Headless Mode &amp; Sideloading\WalkAndUnGZ.bat" "%USERPROFILE%\AppData\Local\Temp\OnboardLogs"\RTDC4014\2017-05-07</v>
      </c>
      <c r="AF166" s="77" t="str">
        <f t="shared" si="57"/>
        <v>"C:\Program Files (x86)\AstroGrep\AstroGrep.exe" /e /r /s /spath="%USERPROFILE%\AppData\Local\Temp\OnboardLogs" /stypes="app*4014*20170506*" /stext=" 17:.+((SYSTEM_STATE.+slice.+state.+changed )|(ment ac)|(multiple cpu faults)|(system.+state.+changed )|(\[timeout)|(PRM\|1\|D)|(kpr)|(kdp)|(train st.+moving)|(\|lc)|(penalty))"</v>
      </c>
      <c r="AG166" s="1" t="str">
        <f t="shared" si="58"/>
        <v>NW</v>
      </c>
      <c r="AH166" s="81" t="str">
        <f t="shared" si="59"/>
        <v>"%USERPROFILE%\Documents\GitHub\eaglep3\Utilities\RefineRTDCRunTimes.py" --tripid 1811-06 --locoid 4014 --swversion DE.1.0.9.0 --startMP 204:1235 --initTime 2017-05-06T11:17:35 --startdatetime 2017-05-06T11:22:32 --delay 1 --endMP 300:58954 --enddatetime 2017-05-06T11:35:52 --enforcementcount 0 &gt;&gt;C:\Users\stu\Documents\GitHub\eaglep3-reporting\EC\2017-05-06-refined-times.txt</v>
      </c>
      <c r="AI166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{"issue":{"subject":"","project_id":79,"tracker_id":40,"status_id":1,"priority_id":2,"assigned_to_id":23,"start_date":"2017-05-06","description":"","custom_fields":[{"id":1,"name":"Subdivision","value":"NW"},{"id":4,"name":"Milepost","value":"5.8954"},{"id":17,"name":"Train ID","value":"1811-06"},{"id":16,"name":"Locomotive ID","value":"4014"},{"id":130,"name":"Impact","value":""},{"id":150,"name":"Time of Event (Mountain Time)","value":"11:35:52"},{"id":151,"name":"Denver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61"/>
        <v>start /low /b %USERPROFILE%\Documents\GitHub\eaglep3\Utilities\DownloadLogsFromS3.py --loco 4014 --day 2017-05-06</v>
      </c>
      <c r="AN166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17:35:52"},{"id":29,"name":"Sharepoint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2" t="s">
        <v>656</v>
      </c>
      <c r="B167" s="7">
        <v>4013</v>
      </c>
      <c r="C167" s="21" t="s">
        <v>210</v>
      </c>
      <c r="D167" s="21" t="s">
        <v>413</v>
      </c>
      <c r="E167" s="13">
        <v>42861.484236111108</v>
      </c>
      <c r="F167" s="13">
        <v>42861.486458333333</v>
      </c>
      <c r="G167" s="7">
        <v>1</v>
      </c>
      <c r="H167" s="21" t="s">
        <v>836</v>
      </c>
      <c r="I167" s="13">
        <v>42861.49664351852</v>
      </c>
      <c r="J167" s="7">
        <v>0</v>
      </c>
      <c r="K167" s="92" t="str">
        <f t="shared" si="44"/>
        <v>4013/4014</v>
      </c>
      <c r="L167" s="21" t="str">
        <f>VLOOKUP(A167,'Trips&amp;Operators'!$C$1:$G$99999,5,FALSE)</f>
        <v>DELGADO DIANAH</v>
      </c>
      <c r="M167" s="6">
        <f t="shared" si="45"/>
        <v>1.0185185186855961E-2</v>
      </c>
      <c r="N167" s="7">
        <f t="shared" si="46"/>
        <v>14.666666669072583</v>
      </c>
      <c r="O167" s="7"/>
      <c r="P167" s="7"/>
      <c r="Q167" s="22"/>
      <c r="R167" s="190"/>
      <c r="S167" s="196">
        <f t="shared" si="47"/>
        <v>1</v>
      </c>
      <c r="T167" s="190" t="str">
        <f t="shared" si="48"/>
        <v>Southbound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49"/>
        <v>https://d0f6bd738d7f1b3e5a7ca70fe4ff75f0.us-east-1.aws.found.io/app/kibana#/discover/Steve-Slow-Train-Analysis-(2080s-and-2083s)?_g=(refreshInterval:(display:Off,pause:!f,section:0,value:0),time:(from:'2017-05-06T10:37:18-0600',mode:absolute,to:'2017-05-06T12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7" s="192" t="str">
        <f t="shared" si="50"/>
        <v>N</v>
      </c>
      <c r="X167" s="192">
        <f t="shared" si="64"/>
        <v>1</v>
      </c>
      <c r="Y167" s="192">
        <f t="shared" si="52"/>
        <v>5.8628</v>
      </c>
      <c r="Z167" s="192">
        <f t="shared" si="53"/>
        <v>9.0200000000000002E-2</v>
      </c>
      <c r="AA167" s="192">
        <f t="shared" si="54"/>
        <v>5.7725999999999997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55"/>
        <v>1812-06</v>
      </c>
      <c r="AE167" s="80" t="str">
        <f t="shared" si="56"/>
        <v>aws s3 cp s3://rtdc.mdm.uploadarchive.raw/RTDC4013/ "%USERPROFILE%\AppData\Local\Temp\OnboardLogs"\RTDC4013\2017-05-06 --exclude "*" --recursive --include "*20170506*" &amp; "%USERPROFILE%\Documents\GitHub\mrs-test-scripts\Headless Mode &amp; Sideloading\WalkAndUnGZ.bat" "%USERPROFILE%\AppData\Local\Temp\OnboardLogs"\RTDC4013\2017-05-06 &amp; aws s3 cp s3://rtdc.mdm.uploadarchive.raw/RTDC4013/ "%USERPROFILE%\AppData\Local\Temp\OnboardLogs"\RTDC4013\2017-05-07 --exclude "*" --recursive --include "*20170507*" &amp; "%USERPROFILE%\Documents\GitHub\mrs-test-scripts\Headless Mode &amp; Sideloading\WalkAndUnGZ.bat" "%USERPROFILE%\AppData\Local\Temp\OnboardLogs"\RTDC4013\2017-05-07</v>
      </c>
      <c r="AF167" s="77" t="str">
        <f t="shared" si="57"/>
        <v>"C:\Program Files (x86)\AstroGrep\AstroGrep.exe" /e /r /s /spath="%USERPROFILE%\AppData\Local\Temp\OnboardLogs" /stypes="app*4013*20170506*" /stext=" 17:.+((SYSTEM_STATE.+slice.+state.+changed )|(ment ac)|(multiple cpu faults)|(system.+state.+changed )|(\[timeout)|(PRM\|1\|D)|(kpr)|(kdp)|(train st.+moving)|(\|lc)|(penalty))"</v>
      </c>
      <c r="AG167" s="1" t="str">
        <f t="shared" si="58"/>
        <v>NW</v>
      </c>
      <c r="AH167" s="81" t="str">
        <f t="shared" si="59"/>
        <v>"%USERPROFILE%\Documents\GitHub\eaglep3\Utilities\RefineRTDCRunTimes.py" --tripid 1812-06 --locoid 4013 --swversion DE.1.0.9.0 --startMP 300:58628 --initTime 2017-05-06T11:37:18 --startdatetime 2017-05-06T11:40:30 --delay 1 --endMP 204:902 --enddatetime 2017-05-06T11:55:10 --enforcementcount 0 &gt;&gt;C:\Users\stu\Documents\GitHub\eaglep3-reporting\EC\2017-05-06-refined-times.txt</v>
      </c>
      <c r="AI167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{"issue":{"subject":"","project_id":79,"tracker_id":40,"status_id":1,"priority_id":2,"assigned_to_id":23,"start_date":"2017-05-06","description":"","custom_fields":[{"id":1,"name":"Subdivision","value":"NW"},{"id":4,"name":"Milepost","value":"0.0902"},{"id":17,"name":"Train ID","value":"1812-06"},{"id":16,"name":"Locomotive ID","value":"4013"},{"id":130,"name":"Impact","value":""},{"id":150,"name":"Time of Event (Mountain Time)","value":"11:55:10"},{"id":151,"name":"Denver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61"/>
        <v>start /low /b %USERPROFILE%\Documents\GitHub\eaglep3\Utilities\DownloadLogsFromS3.py --loco 4013 --day 2017-05-06</v>
      </c>
      <c r="AN167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17:55:10"},{"id":29,"name":"Sharepoint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659</v>
      </c>
      <c r="B168" s="7">
        <v>4014</v>
      </c>
      <c r="C168" s="21" t="s">
        <v>210</v>
      </c>
      <c r="D168" s="21" t="s">
        <v>837</v>
      </c>
      <c r="E168" s="13">
        <v>42861.502546296295</v>
      </c>
      <c r="F168" s="13">
        <v>42861.514768518522</v>
      </c>
      <c r="G168" s="7">
        <v>1</v>
      </c>
      <c r="H168" s="21" t="s">
        <v>838</v>
      </c>
      <c r="I168" s="13">
        <v>42861.524351851855</v>
      </c>
      <c r="J168" s="7">
        <v>0</v>
      </c>
      <c r="K168" s="92" t="str">
        <f t="shared" si="44"/>
        <v>4013/4014</v>
      </c>
      <c r="L168" s="21" t="str">
        <f>VLOOKUP(A168,'Trips&amp;Operators'!$C$1:$G$99999,5,FALSE)</f>
        <v>DELGADO DIANAH</v>
      </c>
      <c r="M168" s="6">
        <f t="shared" si="45"/>
        <v>9.5833333325572312E-3</v>
      </c>
      <c r="N168" s="7">
        <f t="shared" si="46"/>
        <v>13.799999998882413</v>
      </c>
      <c r="O168" s="7"/>
      <c r="P168" s="7"/>
      <c r="Q168" s="22"/>
      <c r="R168" s="190"/>
      <c r="S168" s="196">
        <f t="shared" si="47"/>
        <v>1</v>
      </c>
      <c r="T168" s="190" t="str">
        <f t="shared" si="48"/>
        <v>NorthBound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49"/>
        <v>https://d0f6bd738d7f1b3e5a7ca70fe4ff75f0.us-east-1.aws.found.io/app/kibana#/discover/Steve-Slow-Train-Analysis-(2080s-and-2083s)?_g=(refreshInterval:(display:Off,pause:!f,section:0,value:0),time:(from:'2017-05-06T11:03:40-0600',mode:absolute,to:'2017-05-06T13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8" s="192" t="str">
        <f t="shared" si="50"/>
        <v>N</v>
      </c>
      <c r="X168" s="192">
        <f t="shared" si="64"/>
        <v>1</v>
      </c>
      <c r="Y168" s="192">
        <f t="shared" si="52"/>
        <v>0.11890000000000001</v>
      </c>
      <c r="Z168" s="192">
        <f t="shared" si="53"/>
        <v>5.8975</v>
      </c>
      <c r="AA168" s="192">
        <f t="shared" si="54"/>
        <v>5.7786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55"/>
        <v>1813-06</v>
      </c>
      <c r="AE168" s="80" t="str">
        <f t="shared" si="56"/>
        <v>aws s3 cp s3://rtdc.mdm.uploadarchive.raw/RTDC4014/ "%USERPROFILE%\AppData\Local\Temp\OnboardLogs"\RTDC4014\2017-05-06 --exclude "*" --recursive --include "*20170506*" &amp; "%USERPROFILE%\Documents\GitHub\mrs-test-scripts\Headless Mode &amp; Sideloading\WalkAndUnGZ.bat" "%USERPROFILE%\AppData\Local\Temp\OnboardLogs"\RTDC4014\2017-05-06 &amp; aws s3 cp s3://rtdc.mdm.uploadarchive.raw/RTDC4014/ "%USERPROFILE%\AppData\Local\Temp\OnboardLogs"\RTDC4014\2017-05-07 --exclude "*" --recursive --include "*20170507*" &amp; "%USERPROFILE%\Documents\GitHub\mrs-test-scripts\Headless Mode &amp; Sideloading\WalkAndUnGZ.bat" "%USERPROFILE%\AppData\Local\Temp\OnboardLogs"\RTDC4014\2017-05-07</v>
      </c>
      <c r="AF168" s="77" t="str">
        <f t="shared" si="57"/>
        <v>"C:\Program Files (x86)\AstroGrep\AstroGrep.exe" /e /r /s /spath="%USERPROFILE%\AppData\Local\Temp\OnboardLogs" /stypes="app*4014*20170506*" /stext=" 18:.+((SYSTEM_STATE.+slice.+state.+changed )|(ment ac)|(multiple cpu faults)|(system.+state.+changed )|(\[timeout)|(PRM\|1\|D)|(kpr)|(kdp)|(train st.+moving)|(\|lc)|(penalty))"</v>
      </c>
      <c r="AG168" s="1" t="str">
        <f t="shared" si="58"/>
        <v>NW</v>
      </c>
      <c r="AH168" s="81" t="str">
        <f t="shared" si="59"/>
        <v>"%USERPROFILE%\Documents\GitHub\eaglep3\Utilities\RefineRTDCRunTimes.py" --tripid 1813-06 --locoid 4014 --swversion DE.1.0.9.0 --startMP 204:1189 --initTime 2017-05-06T12:03:40 --startdatetime 2017-05-06T12:21:16 --delay 1 --endMP 300:58975 --enddatetime 2017-05-06T12:35:04 --enforcementcount 0 &gt;&gt;C:\Users\stu\Documents\GitHub\eaglep3-reporting\EC\2017-05-06-refined-times.txt</v>
      </c>
      <c r="AI168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{"issue":{"subject":"","project_id":79,"tracker_id":40,"status_id":1,"priority_id":2,"assigned_to_id":23,"start_date":"2017-05-06","description":"","custom_fields":[{"id":1,"name":"Subdivision","value":"NW"},{"id":4,"name":"Milepost","value":"5.8975"},{"id":17,"name":"Train ID","value":"1813-06"},{"id":16,"name":"Locomotive ID","value":"4014"},{"id":130,"name":"Impact","value":""},{"id":150,"name":"Time of Event (Mountain Time)","value":"12:35:04"},{"id":151,"name":"Denver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61"/>
        <v>start /low /b %USERPROFILE%\Documents\GitHub\eaglep3\Utilities\DownloadLogsFromS3.py --loco 4014 --day 2017-05-06</v>
      </c>
      <c r="AN168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18:35:04"},{"id":29,"name":"Sharepoint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666</v>
      </c>
      <c r="B169" s="7">
        <v>4013</v>
      </c>
      <c r="C169" s="21" t="s">
        <v>210</v>
      </c>
      <c r="D169" s="21" t="s">
        <v>510</v>
      </c>
      <c r="E169" s="13">
        <v>42861.525740740741</v>
      </c>
      <c r="F169" s="13">
        <v>42861.527361111112</v>
      </c>
      <c r="G169" s="7">
        <v>0</v>
      </c>
      <c r="H169" s="21" t="s">
        <v>505</v>
      </c>
      <c r="I169" s="13">
        <v>42861.538032407407</v>
      </c>
      <c r="J169" s="7">
        <v>0</v>
      </c>
      <c r="K169" s="92" t="str">
        <f t="shared" si="44"/>
        <v>4013/4014</v>
      </c>
      <c r="L169" s="21" t="str">
        <f>VLOOKUP(A169,'Trips&amp;Operators'!$C$1:$G$99999,5,FALSE)</f>
        <v>DELGADO DIANAH</v>
      </c>
      <c r="M169" s="6">
        <f t="shared" si="45"/>
        <v>1.0671296295186039E-2</v>
      </c>
      <c r="N169" s="7">
        <f t="shared" si="46"/>
        <v>15.366666665067896</v>
      </c>
      <c r="O169" s="7"/>
      <c r="P169" s="7"/>
      <c r="Q169" s="22"/>
      <c r="R169" s="190"/>
      <c r="S169" s="196">
        <f t="shared" si="47"/>
        <v>1</v>
      </c>
      <c r="T169" s="190" t="str">
        <f t="shared" si="48"/>
        <v>Southbound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49"/>
        <v>https://d0f6bd738d7f1b3e5a7ca70fe4ff75f0.us-east-1.aws.found.io/app/kibana#/discover/Steve-Slow-Train-Analysis-(2080s-and-2083s)?_g=(refreshInterval:(display:Off,pause:!f,section:0,value:0),time:(from:'2017-05-06T11:37:04-0600',mode:absolute,to:'2017-05-06T13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9" s="192" t="str">
        <f t="shared" si="50"/>
        <v>N</v>
      </c>
      <c r="X169" s="192">
        <f t="shared" si="64"/>
        <v>1</v>
      </c>
      <c r="Y169" s="192">
        <f t="shared" si="52"/>
        <v>5.8653000000000004</v>
      </c>
      <c r="Z169" s="192">
        <f t="shared" si="53"/>
        <v>6.7100000000000007E-2</v>
      </c>
      <c r="AA169" s="192">
        <f t="shared" si="54"/>
        <v>5.7982000000000005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55"/>
        <v>1814-06</v>
      </c>
      <c r="AE169" s="80" t="str">
        <f t="shared" si="56"/>
        <v>aws s3 cp s3://rtdc.mdm.uploadarchive.raw/RTDC4013/ "%USERPROFILE%\AppData\Local\Temp\OnboardLogs"\RTDC4013\2017-05-06 --exclude "*" --recursive --include "*20170506*" &amp; "%USERPROFILE%\Documents\GitHub\mrs-test-scripts\Headless Mode &amp; Sideloading\WalkAndUnGZ.bat" "%USERPROFILE%\AppData\Local\Temp\OnboardLogs"\RTDC4013\2017-05-06 &amp; aws s3 cp s3://rtdc.mdm.uploadarchive.raw/RTDC4013/ "%USERPROFILE%\AppData\Local\Temp\OnboardLogs"\RTDC4013\2017-05-07 --exclude "*" --recursive --include "*20170507*" &amp; "%USERPROFILE%\Documents\GitHub\mrs-test-scripts\Headless Mode &amp; Sideloading\WalkAndUnGZ.bat" "%USERPROFILE%\AppData\Local\Temp\OnboardLogs"\RTDC4013\2017-05-07</v>
      </c>
      <c r="AF169" s="77" t="str">
        <f t="shared" si="57"/>
        <v>"C:\Program Files (x86)\AstroGrep\AstroGrep.exe" /e /r /s /spath="%USERPROFILE%\AppData\Local\Temp\OnboardLogs" /stypes="app*4013*20170506*" /stext=" 18:.+((SYSTEM_STATE.+slice.+state.+changed )|(ment ac)|(multiple cpu faults)|(system.+state.+changed )|(\[timeout)|(PRM\|1\|D)|(kpr)|(kdp)|(train st.+moving)|(\|lc)|(penalty))"</v>
      </c>
      <c r="AG169" s="1" t="str">
        <f t="shared" si="58"/>
        <v>NW</v>
      </c>
      <c r="AH169" s="81" t="str">
        <f t="shared" si="59"/>
        <v>"%USERPROFILE%\Documents\GitHub\eaglep3\Utilities\RefineRTDCRunTimes.py" --tripid 1814-06 --locoid 4013 --swversion DE.1.0.9.0 --startMP 300:58653 --initTime 2017-05-06T12:37:04 --startdatetime 2017-05-06T12:39:24 --delay 0 --endMP 204:671 --enddatetime 2017-05-06T12:54:46 --enforcementcount 0 &gt;&gt;C:\Users\stu\Documents\GitHub\eaglep3-reporting\EC\2017-05-06-refined-times.txt</v>
      </c>
      <c r="AI169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{"issue":{"subject":"","project_id":79,"tracker_id":40,"status_id":1,"priority_id":2,"assigned_to_id":23,"start_date":"2017-05-06","description":"","custom_fields":[{"id":1,"name":"Subdivision","value":"NW"},{"id":4,"name":"Milepost","value":"0.0671"},{"id":17,"name":"Train ID","value":"1814-06"},{"id":16,"name":"Locomotive ID","value":"4013"},{"id":130,"name":"Impact","value":""},{"id":150,"name":"Time of Event (Mountain Time)","value":"12:54:46"},{"id":151,"name":"Denver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61"/>
        <v>start /low /b %USERPROFILE%\Documents\GitHub\eaglep3\Utilities\DownloadLogsFromS3.py --loco 4013 --day 2017-05-06</v>
      </c>
      <c r="AN169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18:54:46"},{"id":29,"name":"Sharepoint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2" t="s">
        <v>534</v>
      </c>
      <c r="B170" s="7">
        <v>4014</v>
      </c>
      <c r="C170" s="21" t="s">
        <v>210</v>
      </c>
      <c r="D170" s="21" t="s">
        <v>839</v>
      </c>
      <c r="E170" s="13">
        <v>42861.547534722224</v>
      </c>
      <c r="F170" s="13">
        <v>42861.556400462963</v>
      </c>
      <c r="G170" s="7">
        <v>1</v>
      </c>
      <c r="H170" s="21" t="s">
        <v>840</v>
      </c>
      <c r="I170" s="13">
        <v>42861.561967592592</v>
      </c>
      <c r="J170" s="7">
        <v>0</v>
      </c>
      <c r="K170" s="92" t="str">
        <f t="shared" si="44"/>
        <v>4013/4014</v>
      </c>
      <c r="L170" s="21" t="str">
        <f>VLOOKUP(A170,'Trips&amp;Operators'!$C$1:$G$99999,5,FALSE)</f>
        <v>DELGADO DIANAH</v>
      </c>
      <c r="M170" s="6">
        <f t="shared" si="45"/>
        <v>5.5671296286163852E-3</v>
      </c>
      <c r="N170" s="7"/>
      <c r="O170" s="7"/>
      <c r="P170" s="7">
        <f t="shared" si="46"/>
        <v>8.0166666652075946</v>
      </c>
      <c r="Q170" s="22"/>
      <c r="R170" s="190" t="s">
        <v>1037</v>
      </c>
      <c r="S170" s="196">
        <f t="shared" si="47"/>
        <v>1</v>
      </c>
      <c r="T170" s="190" t="str">
        <f t="shared" si="48"/>
        <v>NorthBound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49"/>
        <v>https://d0f6bd738d7f1b3e5a7ca70fe4ff75f0.us-east-1.aws.found.io/app/kibana#/discover/Steve-Slow-Train-Analysis-(2080s-and-2083s)?_g=(refreshInterval:(display:Off,pause:!f,section:0,value:0),time:(from:'2017-05-06T12:08:27-0600',mode:absolute,to:'2017-05-06T14:29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0" s="192" t="str">
        <f t="shared" si="50"/>
        <v>Y</v>
      </c>
      <c r="X170" s="192">
        <f t="shared" si="64"/>
        <v>1</v>
      </c>
      <c r="Y170" s="192">
        <f t="shared" si="52"/>
        <v>9.4100000000000003E-2</v>
      </c>
      <c r="Z170" s="192">
        <f t="shared" si="53"/>
        <v>3.4733000000000001</v>
      </c>
      <c r="AA170" s="192">
        <f t="shared" si="54"/>
        <v>3.3792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55"/>
        <v>1815-06</v>
      </c>
      <c r="AE170" s="80" t="str">
        <f t="shared" si="56"/>
        <v>aws s3 cp s3://rtdc.mdm.uploadarchive.raw/RTDC4014/ "%USERPROFILE%\AppData\Local\Temp\OnboardLogs"\RTDC4014\2017-05-06 --exclude "*" --recursive --include "*20170506*" &amp; "%USERPROFILE%\Documents\GitHub\mrs-test-scripts\Headless Mode &amp; Sideloading\WalkAndUnGZ.bat" "%USERPROFILE%\AppData\Local\Temp\OnboardLogs"\RTDC4014\2017-05-06 &amp; aws s3 cp s3://rtdc.mdm.uploadarchive.raw/RTDC4014/ "%USERPROFILE%\AppData\Local\Temp\OnboardLogs"\RTDC4014\2017-05-07 --exclude "*" --recursive --include "*20170507*" &amp; "%USERPROFILE%\Documents\GitHub\mrs-test-scripts\Headless Mode &amp; Sideloading\WalkAndUnGZ.bat" "%USERPROFILE%\AppData\Local\Temp\OnboardLogs"\RTDC4014\2017-05-07</v>
      </c>
      <c r="AF170" s="77" t="str">
        <f t="shared" si="57"/>
        <v>"C:\Program Files (x86)\AstroGrep\AstroGrep.exe" /e /r /s /spath="%USERPROFILE%\AppData\Local\Temp\OnboardLogs" /stypes="app*4014*20170506*" /stext=" 19:.+((SYSTEM_STATE.+slice.+state.+changed )|(ment ac)|(multiple cpu faults)|(system.+state.+changed )|(\[timeout)|(PRM\|1\|D)|(kpr)|(kdp)|(train st.+moving)|(\|lc)|(penalty))"</v>
      </c>
      <c r="AG170" s="1" t="str">
        <f t="shared" si="58"/>
        <v>NW</v>
      </c>
      <c r="AH170" s="81" t="str">
        <f t="shared" si="59"/>
        <v>"%USERPROFILE%\Documents\GitHub\eaglep3\Utilities\RefineRTDCRunTimes.py" --tripid 1815-06 --locoid 4014 --swversion DE.1.0.9.0 --startMP 204:941 --initTime 2017-05-06T13:08:27 --startdatetime 2017-05-06T13:21:13 --delay 1 --endMP 300:34733 --enddatetime 2017-05-06T13:29:14 --enforcementcount 0 &gt;&gt;C:\Users\stu\Documents\GitHub\eaglep3-reporting\EC\2017-05-06-refined-times.txt</v>
      </c>
      <c r="AI170" s="99" t="str">
        <f t="shared" si="60"/>
        <v>echo {"issue":{"subject":"Wi-MAX data drop","project_id":79,"tracker_id":40,"status_id":1,"priority_id":2,"assigned_to_id":23,"start_date":"2017-05-06","description":"","custom_fields":[{"id":1,"name":"Subdivision","value":"NW"},{"id":4,"name":"Milepost","value":"3.4733"},{"id":17,"name":"Train ID","value":"1815-06"},{"id":16,"name":"Locomotive ID","value":"4014"},{"id":130,"name":"Impact","value":""},{"id":150,"name":"Time of Event (Mountain Time)","value":"13:29:14"},{"id":151,"name":"Denver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61"/>
        <v>start /low /b %USERPROFILE%\Documents\GitHub\eaglep3\Utilities\DownloadLogsFromS3.py --loco 4014 --day 2017-05-06</v>
      </c>
      <c r="AN170" s="154" t="str">
        <f t="shared" si="62"/>
        <v>echo {"issue":{"subject":"Wi-MAX data drop","project_id":30,"tracker_id":4,"status_id":1,"priority_id":1,"assigned_to_id":10,"start_date":"2017-05-06","description":"","custom_fields":[{"id":30,"name":"Category","value":"Issue"},{"id":3,"name":"Functional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19:29:14"},{"id":29,"name":"Sharepoint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536</v>
      </c>
      <c r="B171" s="7">
        <v>4013</v>
      </c>
      <c r="C171" s="21" t="s">
        <v>210</v>
      </c>
      <c r="D171" s="21" t="s">
        <v>841</v>
      </c>
      <c r="E171" s="13">
        <v>42861.568391203706</v>
      </c>
      <c r="F171" s="13">
        <v>42861.570138888892</v>
      </c>
      <c r="G171" s="7">
        <v>1</v>
      </c>
      <c r="H171" s="21" t="s">
        <v>505</v>
      </c>
      <c r="I171" s="13">
        <v>42861.579641203702</v>
      </c>
      <c r="J171" s="7">
        <v>0</v>
      </c>
      <c r="K171" s="92" t="str">
        <f t="shared" si="44"/>
        <v>4013/4014</v>
      </c>
      <c r="L171" s="21" t="str">
        <f>VLOOKUP(A171,'Trips&amp;Operators'!$C$1:$G$99999,5,FALSE)</f>
        <v>DELGADO DIANAH</v>
      </c>
      <c r="M171" s="6">
        <f t="shared" si="45"/>
        <v>9.5023148096515797E-3</v>
      </c>
      <c r="N171" s="7">
        <f t="shared" si="46"/>
        <v>13.683333325898275</v>
      </c>
      <c r="O171" s="7"/>
      <c r="P171" s="7"/>
      <c r="Q171" s="22"/>
      <c r="R171" s="190"/>
      <c r="S171" s="196">
        <f t="shared" si="47"/>
        <v>1</v>
      </c>
      <c r="T171" s="190" t="str">
        <f t="shared" si="48"/>
        <v>Southbound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49"/>
        <v>https://d0f6bd738d7f1b3e5a7ca70fe4ff75f0.us-east-1.aws.found.io/app/kibana#/discover/Steve-Slow-Train-Analysis-(2080s-and-2083s)?_g=(refreshInterval:(display:Off,pause:!f,section:0,value:0),time:(from:'2017-05-06T12:38:29-0600',mode:absolute,to:'2017-05-06T14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1" s="192" t="str">
        <f t="shared" si="50"/>
        <v>N</v>
      </c>
      <c r="X171" s="192">
        <f t="shared" si="64"/>
        <v>1</v>
      </c>
      <c r="Y171" s="192">
        <f t="shared" si="52"/>
        <v>5.8673000000000002</v>
      </c>
      <c r="Z171" s="192">
        <f t="shared" si="53"/>
        <v>6.7100000000000007E-2</v>
      </c>
      <c r="AA171" s="192">
        <f t="shared" si="54"/>
        <v>5.8002000000000002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55"/>
        <v>1816-06</v>
      </c>
      <c r="AE171" s="80" t="str">
        <f t="shared" si="56"/>
        <v>aws s3 cp s3://rtdc.mdm.uploadarchive.raw/RTDC4013/ "%USERPROFILE%\AppData\Local\Temp\OnboardLogs"\RTDC4013\2017-05-06 --exclude "*" --recursive --include "*20170506*" &amp; "%USERPROFILE%\Documents\GitHub\mrs-test-scripts\Headless Mode &amp; Sideloading\WalkAndUnGZ.bat" "%USERPROFILE%\AppData\Local\Temp\OnboardLogs"\RTDC4013\2017-05-06 &amp; aws s3 cp s3://rtdc.mdm.uploadarchive.raw/RTDC4013/ "%USERPROFILE%\AppData\Local\Temp\OnboardLogs"\RTDC4013\2017-05-07 --exclude "*" --recursive --include "*20170507*" &amp; "%USERPROFILE%\Documents\GitHub\mrs-test-scripts\Headless Mode &amp; Sideloading\WalkAndUnGZ.bat" "%USERPROFILE%\AppData\Local\Temp\OnboardLogs"\RTDC4013\2017-05-07</v>
      </c>
      <c r="AF171" s="77" t="str">
        <f t="shared" si="57"/>
        <v>"C:\Program Files (x86)\AstroGrep\AstroGrep.exe" /e /r /s /spath="%USERPROFILE%\AppData\Local\Temp\OnboardLogs" /stypes="app*4013*20170506*" /stext=" 19:.+((SYSTEM_STATE.+slice.+state.+changed )|(ment ac)|(multiple cpu faults)|(system.+state.+changed )|(\[timeout)|(PRM\|1\|D)|(kpr)|(kdp)|(train st.+moving)|(\|lc)|(penalty))"</v>
      </c>
      <c r="AG171" s="1" t="str">
        <f t="shared" si="58"/>
        <v>NW</v>
      </c>
      <c r="AH171" s="81" t="str">
        <f t="shared" si="59"/>
        <v>"%USERPROFILE%\Documents\GitHub\eaglep3\Utilities\RefineRTDCRunTimes.py" --tripid 1816-06 --locoid 4013 --swversion DE.1.0.9.0 --startMP 300:58673 --initTime 2017-05-06T13:38:29 --startdatetime 2017-05-06T13:41:00 --delay 1 --endMP 204:671 --enddatetime 2017-05-06T13:54:41 --enforcementcount 0 &gt;&gt;C:\Users\stu\Documents\GitHub\eaglep3-reporting\EC\2017-05-06-refined-times.txt</v>
      </c>
      <c r="AI171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{"issue":{"subject":"","project_id":79,"tracker_id":40,"status_id":1,"priority_id":2,"assigned_to_id":23,"start_date":"2017-05-06","description":"","custom_fields":[{"id":1,"name":"Subdivision","value":"NW"},{"id":4,"name":"Milepost","value":"0.0671"},{"id":17,"name":"Train ID","value":"1816-06"},{"id":16,"name":"Locomotive ID","value":"4013"},{"id":130,"name":"Impact","value":""},{"id":150,"name":"Time of Event (Mountain Time)","value":"13:54:41"},{"id":151,"name":"Denver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61"/>
        <v>start /low /b %USERPROFILE%\Documents\GitHub\eaglep3\Utilities\DownloadLogsFromS3.py --loco 4013 --day 2017-05-06</v>
      </c>
      <c r="AN171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19:54:41"},{"id":29,"name":"Sharepoint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679</v>
      </c>
      <c r="B172" s="7">
        <v>4014</v>
      </c>
      <c r="C172" s="21" t="s">
        <v>210</v>
      </c>
      <c r="D172" s="21" t="s">
        <v>506</v>
      </c>
      <c r="E172" s="13">
        <v>42861.595543981479</v>
      </c>
      <c r="F172" s="13">
        <v>42861.598217592589</v>
      </c>
      <c r="G172" s="7">
        <v>1</v>
      </c>
      <c r="H172" s="21" t="s">
        <v>842</v>
      </c>
      <c r="I172" s="13">
        <v>42861.608078703706</v>
      </c>
      <c r="J172" s="7">
        <v>0</v>
      </c>
      <c r="K172" s="92" t="str">
        <f t="shared" si="44"/>
        <v>4013/4014</v>
      </c>
      <c r="L172" s="21" t="str">
        <f>VLOOKUP(A172,'Trips&amp;Operators'!$C$1:$G$99999,5,FALSE)</f>
        <v>HELVIE ADAM</v>
      </c>
      <c r="M172" s="6">
        <f t="shared" si="45"/>
        <v>9.8611111170612276E-3</v>
      </c>
      <c r="N172" s="7">
        <f t="shared" si="46"/>
        <v>14.200000008568168</v>
      </c>
      <c r="O172" s="7"/>
      <c r="P172" s="7"/>
      <c r="Q172" s="22"/>
      <c r="R172" s="190"/>
      <c r="S172" s="196">
        <f t="shared" si="47"/>
        <v>1</v>
      </c>
      <c r="T172" s="190" t="str">
        <f t="shared" si="48"/>
        <v>NorthBound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49"/>
        <v>https://d0f6bd738d7f1b3e5a7ca70fe4ff75f0.us-east-1.aws.found.io/app/kibana#/discover/Steve-Slow-Train-Analysis-(2080s-and-2083s)?_g=(refreshInterval:(display:Off,pause:!f,section:0,value:0),time:(from:'2017-05-06T13:17:35-0600',mode:absolute,to:'2017-05-06T15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2" s="192" t="str">
        <f t="shared" si="50"/>
        <v>N</v>
      </c>
      <c r="X172" s="192">
        <f t="shared" si="64"/>
        <v>1</v>
      </c>
      <c r="Y172" s="192">
        <f t="shared" si="52"/>
        <v>9.6500000000000002E-2</v>
      </c>
      <c r="Z172" s="192">
        <f t="shared" si="53"/>
        <v>5.8929</v>
      </c>
      <c r="AA172" s="192">
        <f t="shared" si="54"/>
        <v>5.7964000000000002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55"/>
        <v>1817-06</v>
      </c>
      <c r="AE172" s="80" t="str">
        <f t="shared" si="56"/>
        <v>aws s3 cp s3://rtdc.mdm.uploadarchive.raw/RTDC4014/ "%USERPROFILE%\AppData\Local\Temp\OnboardLogs"\RTDC4014\2017-05-06 --exclude "*" --recursive --include "*20170506*" &amp; "%USERPROFILE%\Documents\GitHub\mrs-test-scripts\Headless Mode &amp; Sideloading\WalkAndUnGZ.bat" "%USERPROFILE%\AppData\Local\Temp\OnboardLogs"\RTDC4014\2017-05-06 &amp; aws s3 cp s3://rtdc.mdm.uploadarchive.raw/RTDC4014/ "%USERPROFILE%\AppData\Local\Temp\OnboardLogs"\RTDC4014\2017-05-07 --exclude "*" --recursive --include "*20170507*" &amp; "%USERPROFILE%\Documents\GitHub\mrs-test-scripts\Headless Mode &amp; Sideloading\WalkAndUnGZ.bat" "%USERPROFILE%\AppData\Local\Temp\OnboardLogs"\RTDC4014\2017-05-07</v>
      </c>
      <c r="AF172" s="77" t="str">
        <f t="shared" si="57"/>
        <v>"C:\Program Files (x86)\AstroGrep\AstroGrep.exe" /e /r /s /spath="%USERPROFILE%\AppData\Local\Temp\OnboardLogs" /stypes="app*4014*20170506*" /stext=" 20:.+((SYSTEM_STATE.+slice.+state.+changed )|(ment ac)|(multiple cpu faults)|(system.+state.+changed )|(\[timeout)|(PRM\|1\|D)|(kpr)|(kdp)|(train st.+moving)|(\|lc)|(penalty))"</v>
      </c>
      <c r="AG172" s="1" t="str">
        <f t="shared" si="58"/>
        <v>NW</v>
      </c>
      <c r="AH172" s="81" t="str">
        <f t="shared" si="59"/>
        <v>"%USERPROFILE%\Documents\GitHub\eaglep3\Utilities\RefineRTDCRunTimes.py" --tripid 1817-06 --locoid 4014 --swversion DE.1.0.9.0 --startMP 204:965 --initTime 2017-05-06T14:17:35 --startdatetime 2017-05-06T14:21:26 --delay 1 --endMP 300:58929 --enddatetime 2017-05-06T14:35:38 --enforcementcount 0 &gt;&gt;C:\Users\stu\Documents\GitHub\eaglep3-reporting\EC\2017-05-06-refined-times.txt</v>
      </c>
      <c r="AI172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{"issue":{"subject":"","project_id":79,"tracker_id":40,"status_id":1,"priority_id":2,"assigned_to_id":23,"start_date":"2017-05-06","description":"","custom_fields":[{"id":1,"name":"Subdivision","value":"NW"},{"id":4,"name":"Milepost","value":"5.8929"},{"id":17,"name":"Train ID","value":"1817-06"},{"id":16,"name":"Locomotive ID","value":"4014"},{"id":130,"name":"Impact","value":""},{"id":150,"name":"Time of Event (Mountain Time)","value":"14:35:38"},{"id":151,"name":"Denver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61"/>
        <v>start /low /b %USERPROFILE%\Documents\GitHub\eaglep3\Utilities\DownloadLogsFromS3.py --loco 4014 --day 2017-05-06</v>
      </c>
      <c r="AN172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20:35:38"},{"id":29,"name":"Sharepoint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685</v>
      </c>
      <c r="B173" s="7">
        <v>4013</v>
      </c>
      <c r="C173" s="21" t="s">
        <v>210</v>
      </c>
      <c r="D173" s="21" t="s">
        <v>504</v>
      </c>
      <c r="E173" s="13">
        <v>42861.609039351853</v>
      </c>
      <c r="F173" s="13">
        <v>42861.611377314817</v>
      </c>
      <c r="G173" s="7">
        <v>1</v>
      </c>
      <c r="H173" s="21" t="s">
        <v>509</v>
      </c>
      <c r="I173" s="13">
        <v>42861.621203703704</v>
      </c>
      <c r="J173" s="7">
        <v>0</v>
      </c>
      <c r="K173" s="92" t="str">
        <f t="shared" si="44"/>
        <v>4013/4014</v>
      </c>
      <c r="L173" s="21" t="str">
        <f>VLOOKUP(A173,'Trips&amp;Operators'!$C$1:$G$99999,5,FALSE)</f>
        <v>HELVIE ADAM</v>
      </c>
      <c r="M173" s="6">
        <f t="shared" si="45"/>
        <v>9.8263888867222704E-3</v>
      </c>
      <c r="N173" s="7">
        <f t="shared" si="46"/>
        <v>14.149999996880069</v>
      </c>
      <c r="O173" s="7"/>
      <c r="P173" s="7"/>
      <c r="Q173" s="22"/>
      <c r="R173" s="190"/>
      <c r="S173" s="196">
        <f t="shared" si="47"/>
        <v>1</v>
      </c>
      <c r="T173" s="190" t="str">
        <f t="shared" si="48"/>
        <v>Southbound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49"/>
        <v>https://d0f6bd738d7f1b3e5a7ca70fe4ff75f0.us-east-1.aws.found.io/app/kibana#/discover/Steve-Slow-Train-Analysis-(2080s-and-2083s)?_g=(refreshInterval:(display:Off,pause:!f,section:0,value:0),time:(from:'2017-05-06T13:37:01-0600',mode:absolute,to:'2017-05-06T15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3" s="192" t="str">
        <f t="shared" si="50"/>
        <v>N</v>
      </c>
      <c r="X173" s="192">
        <f t="shared" si="64"/>
        <v>1</v>
      </c>
      <c r="Y173" s="192">
        <f t="shared" si="52"/>
        <v>5.8624000000000001</v>
      </c>
      <c r="Z173" s="192">
        <f t="shared" si="53"/>
        <v>7.3400000000000007E-2</v>
      </c>
      <c r="AA173" s="192">
        <f t="shared" si="54"/>
        <v>5.7889999999999997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55"/>
        <v>1818-06</v>
      </c>
      <c r="AE173" s="80" t="str">
        <f t="shared" si="56"/>
        <v>aws s3 cp s3://rtdc.mdm.uploadarchive.raw/RTDC4013/ "%USERPROFILE%\AppData\Local\Temp\OnboardLogs"\RTDC4013\2017-05-06 --exclude "*" --recursive --include "*20170506*" &amp; "%USERPROFILE%\Documents\GitHub\mrs-test-scripts\Headless Mode &amp; Sideloading\WalkAndUnGZ.bat" "%USERPROFILE%\AppData\Local\Temp\OnboardLogs"\RTDC4013\2017-05-06 &amp; aws s3 cp s3://rtdc.mdm.uploadarchive.raw/RTDC4013/ "%USERPROFILE%\AppData\Local\Temp\OnboardLogs"\RTDC4013\2017-05-07 --exclude "*" --recursive --include "*20170507*" &amp; "%USERPROFILE%\Documents\GitHub\mrs-test-scripts\Headless Mode &amp; Sideloading\WalkAndUnGZ.bat" "%USERPROFILE%\AppData\Local\Temp\OnboardLogs"\RTDC4013\2017-05-07</v>
      </c>
      <c r="AF173" s="77" t="str">
        <f t="shared" si="57"/>
        <v>"C:\Program Files (x86)\AstroGrep\AstroGrep.exe" /e /r /s /spath="%USERPROFILE%\AppData\Local\Temp\OnboardLogs" /stypes="app*4013*20170506*" /stext=" 20:.+((SYSTEM_STATE.+slice.+state.+changed )|(ment ac)|(multiple cpu faults)|(system.+state.+changed )|(\[timeout)|(PRM\|1\|D)|(kpr)|(kdp)|(train st.+moving)|(\|lc)|(penalty))"</v>
      </c>
      <c r="AG173" s="1" t="str">
        <f t="shared" si="58"/>
        <v>NW</v>
      </c>
      <c r="AH173" s="81" t="str">
        <f t="shared" si="59"/>
        <v>"%USERPROFILE%\Documents\GitHub\eaglep3\Utilities\RefineRTDCRunTimes.py" --tripid 1818-06 --locoid 4013 --swversion DE.1.0.9.0 --startMP 300:58624 --initTime 2017-05-06T14:37:01 --startdatetime 2017-05-06T14:40:23 --delay 1 --endMP 204:734 --enddatetime 2017-05-06T14:54:32 --enforcementcount 0 &gt;&gt;C:\Users\stu\Documents\GitHub\eaglep3-reporting\EC\2017-05-06-refined-times.txt</v>
      </c>
      <c r="AI173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{"issue":{"subject":"","project_id":79,"tracker_id":40,"status_id":1,"priority_id":2,"assigned_to_id":23,"start_date":"2017-05-06","description":"","custom_fields":[{"id":1,"name":"Subdivision","value":"NW"},{"id":4,"name":"Milepost","value":"0.0734"},{"id":17,"name":"Train ID","value":"1818-06"},{"id":16,"name":"Locomotive ID","value":"4013"},{"id":130,"name":"Impact","value":""},{"id":150,"name":"Time of Event (Mountain Time)","value":"14:54:32"},{"id":151,"name":"Denver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61"/>
        <v>start /low /b %USERPROFILE%\Documents\GitHub\eaglep3\Utilities\DownloadLogsFromS3.py --loco 4013 --day 2017-05-06</v>
      </c>
      <c r="AN173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20:54:32"},{"id":29,"name":"Sharepoint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690</v>
      </c>
      <c r="B174" s="7">
        <v>4014</v>
      </c>
      <c r="C174" s="21" t="s">
        <v>210</v>
      </c>
      <c r="D174" s="21" t="s">
        <v>843</v>
      </c>
      <c r="E174" s="13">
        <v>42861.637546296297</v>
      </c>
      <c r="F174" s="13">
        <v>42861.639756944445</v>
      </c>
      <c r="G174" s="7">
        <v>1</v>
      </c>
      <c r="H174" s="21" t="s">
        <v>844</v>
      </c>
      <c r="I174" s="13">
        <v>42861.649502314816</v>
      </c>
      <c r="J174" s="7">
        <v>0</v>
      </c>
      <c r="K174" s="92" t="str">
        <f t="shared" si="44"/>
        <v>4013/4014</v>
      </c>
      <c r="L174" s="21" t="str">
        <f>VLOOKUP(A174,'Trips&amp;Operators'!$C$1:$G$99999,5,FALSE)</f>
        <v>HELVIE ADAM</v>
      </c>
      <c r="M174" s="6">
        <f t="shared" si="45"/>
        <v>9.7453703710925765E-3</v>
      </c>
      <c r="N174" s="7">
        <f t="shared" si="46"/>
        <v>14.03333333437331</v>
      </c>
      <c r="O174" s="7"/>
      <c r="P174" s="7"/>
      <c r="Q174" s="22"/>
      <c r="R174" s="190"/>
      <c r="S174" s="196">
        <f t="shared" si="47"/>
        <v>1</v>
      </c>
      <c r="T174" s="190" t="str">
        <f t="shared" si="48"/>
        <v>NorthBound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49"/>
        <v>https://d0f6bd738d7f1b3e5a7ca70fe4ff75f0.us-east-1.aws.found.io/app/kibana#/discover/Steve-Slow-Train-Analysis-(2080s-and-2083s)?_g=(refreshInterval:(display:Off,pause:!f,section:0,value:0),time:(from:'2017-05-06T14:18:04-0600',mode:absolute,to:'2017-05-06T16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4" s="192" t="str">
        <f t="shared" si="50"/>
        <v>N</v>
      </c>
      <c r="X174" s="192">
        <f t="shared" si="64"/>
        <v>1</v>
      </c>
      <c r="Y174" s="192">
        <f t="shared" si="52"/>
        <v>0.10199999999999999</v>
      </c>
      <c r="Z174" s="192">
        <f t="shared" si="53"/>
        <v>5.8935000000000004</v>
      </c>
      <c r="AA174" s="192">
        <f t="shared" si="54"/>
        <v>5.7915000000000001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55"/>
        <v>1819-06</v>
      </c>
      <c r="AE174" s="80" t="str">
        <f t="shared" si="56"/>
        <v>aws s3 cp s3://rtdc.mdm.uploadarchive.raw/RTDC4014/ "%USERPROFILE%\AppData\Local\Temp\OnboardLogs"\RTDC4014\2017-05-06 --exclude "*" --recursive --include "*20170506*" &amp; "%USERPROFILE%\Documents\GitHub\mrs-test-scripts\Headless Mode &amp; Sideloading\WalkAndUnGZ.bat" "%USERPROFILE%\AppData\Local\Temp\OnboardLogs"\RTDC4014\2017-05-06 &amp; aws s3 cp s3://rtdc.mdm.uploadarchive.raw/RTDC4014/ "%USERPROFILE%\AppData\Local\Temp\OnboardLogs"\RTDC4014\2017-05-07 --exclude "*" --recursive --include "*20170507*" &amp; "%USERPROFILE%\Documents\GitHub\mrs-test-scripts\Headless Mode &amp; Sideloading\WalkAndUnGZ.bat" "%USERPROFILE%\AppData\Local\Temp\OnboardLogs"\RTDC4014\2017-05-07</v>
      </c>
      <c r="AF174" s="77" t="str">
        <f t="shared" si="57"/>
        <v>"C:\Program Files (x86)\AstroGrep\AstroGrep.exe" /e /r /s /spath="%USERPROFILE%\AppData\Local\Temp\OnboardLogs" /stypes="app*4014*20170506*" /stext=" 21:.+((SYSTEM_STATE.+slice.+state.+changed )|(ment ac)|(multiple cpu faults)|(system.+state.+changed )|(\[timeout)|(PRM\|1\|D)|(kpr)|(kdp)|(train st.+moving)|(\|lc)|(penalty))"</v>
      </c>
      <c r="AG174" s="1" t="str">
        <f t="shared" si="58"/>
        <v>NW</v>
      </c>
      <c r="AH174" s="81" t="str">
        <f t="shared" si="59"/>
        <v>"%USERPROFILE%\Documents\GitHub\eaglep3\Utilities\RefineRTDCRunTimes.py" --tripid 1819-06 --locoid 4014 --swversion DE.1.0.9.0 --startMP 204:1020 --initTime 2017-05-06T15:18:04 --startdatetime 2017-05-06T15:21:15 --delay 1 --endMP 300:58935 --enddatetime 2017-05-06T15:35:17 --enforcementcount 0 &gt;&gt;C:\Users\stu\Documents\GitHub\eaglep3-reporting\EC\2017-05-06-refined-times.txt</v>
      </c>
      <c r="AI174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{"issue":{"subject":"","project_id":79,"tracker_id":40,"status_id":1,"priority_id":2,"assigned_to_id":23,"start_date":"2017-05-06","description":"","custom_fields":[{"id":1,"name":"Subdivision","value":"NW"},{"id":4,"name":"Milepost","value":"5.8935"},{"id":17,"name":"Train ID","value":"1819-06"},{"id":16,"name":"Locomotive ID","value":"4014"},{"id":130,"name":"Impact","value":""},{"id":150,"name":"Time of Event (Mountain Time)","value":"15:35:17"},{"id":151,"name":"Denver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61"/>
        <v>start /low /b %USERPROFILE%\Documents\GitHub\eaglep3\Utilities\DownloadLogsFromS3.py --loco 4014 --day 2017-05-06</v>
      </c>
      <c r="AN174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21:35:17"},{"id":29,"name":"Sharepoint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693</v>
      </c>
      <c r="B175" s="7">
        <v>4013</v>
      </c>
      <c r="C175" s="21" t="s">
        <v>210</v>
      </c>
      <c r="D175" s="21" t="s">
        <v>502</v>
      </c>
      <c r="E175" s="13">
        <v>42861.650625000002</v>
      </c>
      <c r="F175" s="13">
        <v>42861.652928240743</v>
      </c>
      <c r="G175" s="7">
        <v>1</v>
      </c>
      <c r="H175" s="21" t="s">
        <v>846</v>
      </c>
      <c r="I175" s="13">
        <v>42861.662812499999</v>
      </c>
      <c r="J175" s="7">
        <v>0</v>
      </c>
      <c r="K175" s="92" t="str">
        <f t="shared" si="44"/>
        <v>4013/4014</v>
      </c>
      <c r="L175" s="21" t="str">
        <f>VLOOKUP(A175,'Trips&amp;Operators'!$C$1:$G$99999,5,FALSE)</f>
        <v>HELVIE ADAM</v>
      </c>
      <c r="M175" s="6">
        <f t="shared" si="45"/>
        <v>9.8842592560686171E-3</v>
      </c>
      <c r="N175" s="7">
        <f t="shared" si="46"/>
        <v>14.233333328738809</v>
      </c>
      <c r="O175" s="7"/>
      <c r="P175" s="7"/>
      <c r="Q175" s="22"/>
      <c r="R175" s="190"/>
      <c r="S175" s="196">
        <f t="shared" si="47"/>
        <v>1</v>
      </c>
      <c r="T175" s="190" t="str">
        <f t="shared" si="48"/>
        <v>Southbound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49"/>
        <v>https://d0f6bd738d7f1b3e5a7ca70fe4ff75f0.us-east-1.aws.found.io/app/kibana#/discover/Steve-Slow-Train-Analysis-(2080s-and-2083s)?_g=(refreshInterval:(display:Off,pause:!f,section:0,value:0),time:(from:'2017-05-06T14:36:54-0600',mode:absolute,to:'2017-05-06T16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5" s="192" t="str">
        <f t="shared" si="50"/>
        <v>N</v>
      </c>
      <c r="X175" s="192">
        <f t="shared" si="64"/>
        <v>1</v>
      </c>
      <c r="Y175" s="192">
        <f t="shared" si="52"/>
        <v>5.8623000000000003</v>
      </c>
      <c r="Z175" s="192">
        <f t="shared" si="53"/>
        <v>7.4700000000000003E-2</v>
      </c>
      <c r="AA175" s="192">
        <f t="shared" si="54"/>
        <v>5.7876000000000003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55"/>
        <v>1820-06</v>
      </c>
      <c r="AE175" s="80" t="str">
        <f t="shared" si="56"/>
        <v>aws s3 cp s3://rtdc.mdm.uploadarchive.raw/RTDC4013/ "%USERPROFILE%\AppData\Local\Temp\OnboardLogs"\RTDC4013\2017-05-06 --exclude "*" --recursive --include "*20170506*" &amp; "%USERPROFILE%\Documents\GitHub\mrs-test-scripts\Headless Mode &amp; Sideloading\WalkAndUnGZ.bat" "%USERPROFILE%\AppData\Local\Temp\OnboardLogs"\RTDC4013\2017-05-06 &amp; aws s3 cp s3://rtdc.mdm.uploadarchive.raw/RTDC4013/ "%USERPROFILE%\AppData\Local\Temp\OnboardLogs"\RTDC4013\2017-05-07 --exclude "*" --recursive --include "*20170507*" &amp; "%USERPROFILE%\Documents\GitHub\mrs-test-scripts\Headless Mode &amp; Sideloading\WalkAndUnGZ.bat" "%USERPROFILE%\AppData\Local\Temp\OnboardLogs"\RTDC4013\2017-05-07</v>
      </c>
      <c r="AF175" s="77" t="str">
        <f t="shared" si="57"/>
        <v>"C:\Program Files (x86)\AstroGrep\AstroGrep.exe" /e /r /s /spath="%USERPROFILE%\AppData\Local\Temp\OnboardLogs" /stypes="app*4013*20170506*" /stext=" 21:.+((SYSTEM_STATE.+slice.+state.+changed )|(ment ac)|(multiple cpu faults)|(system.+state.+changed )|(\[timeout)|(PRM\|1\|D)|(kpr)|(kdp)|(train st.+moving)|(\|lc)|(penalty))"</v>
      </c>
      <c r="AG175" s="1" t="str">
        <f t="shared" si="58"/>
        <v>NW</v>
      </c>
      <c r="AH175" s="81" t="str">
        <f t="shared" si="59"/>
        <v>"%USERPROFILE%\Documents\GitHub\eaglep3\Utilities\RefineRTDCRunTimes.py" --tripid 1820-06 --locoid 4013 --swversion DE.1.0.9.0 --startMP 300:58623 --initTime 2017-05-06T15:36:54 --startdatetime 2017-05-06T15:40:13 --delay 1 --endMP 204:747 --enddatetime 2017-05-06T15:54:27 --enforcementcount 0 &gt;&gt;C:\Users\stu\Documents\GitHub\eaglep3-reporting\EC\2017-05-06-refined-times.txt</v>
      </c>
      <c r="AI175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{"issue":{"subject":"","project_id":79,"tracker_id":40,"status_id":1,"priority_id":2,"assigned_to_id":23,"start_date":"2017-05-06","description":"","custom_fields":[{"id":1,"name":"Subdivision","value":"NW"},{"id":4,"name":"Milepost","value":"0.0747"},{"id":17,"name":"Train ID","value":"1820-06"},{"id":16,"name":"Locomotive ID","value":"4013"},{"id":130,"name":"Impact","value":""},{"id":150,"name":"Time of Event (Mountain Time)","value":"15:54:27"},{"id":151,"name":"Denver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61"/>
        <v>start /low /b %USERPROFILE%\Documents\GitHub\eaglep3\Utilities\DownloadLogsFromS3.py --loco 4013 --day 2017-05-06</v>
      </c>
      <c r="AN175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21:54:27"},{"id":29,"name":"Sharepoint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697</v>
      </c>
      <c r="B176" s="7">
        <v>4014</v>
      </c>
      <c r="C176" s="21" t="s">
        <v>210</v>
      </c>
      <c r="D176" s="21" t="s">
        <v>847</v>
      </c>
      <c r="E176" s="13">
        <v>42861.679895833331</v>
      </c>
      <c r="F176" s="13">
        <v>42861.681493055556</v>
      </c>
      <c r="G176" s="7">
        <v>1</v>
      </c>
      <c r="H176" s="21" t="s">
        <v>848</v>
      </c>
      <c r="I176" s="13">
        <v>42861.69054398148</v>
      </c>
      <c r="J176" s="7">
        <v>0</v>
      </c>
      <c r="K176" s="92" t="str">
        <f t="shared" si="44"/>
        <v>4013/4014</v>
      </c>
      <c r="L176" s="21" t="str">
        <f>VLOOKUP(A176,'Trips&amp;Operators'!$C$1:$G$99999,5,FALSE)</f>
        <v>HELVIE ADAM</v>
      </c>
      <c r="M176" s="6">
        <f t="shared" si="45"/>
        <v>9.0509259243845008E-3</v>
      </c>
      <c r="N176" s="7">
        <f t="shared" si="46"/>
        <v>13.033333331113681</v>
      </c>
      <c r="O176" s="7"/>
      <c r="P176" s="7"/>
      <c r="Q176" s="22"/>
      <c r="R176" s="190"/>
      <c r="S176" s="196">
        <f t="shared" si="47"/>
        <v>1</v>
      </c>
      <c r="T176" s="190" t="str">
        <f t="shared" si="48"/>
        <v>NorthBound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49"/>
        <v>https://d0f6bd738d7f1b3e5a7ca70fe4ff75f0.us-east-1.aws.found.io/app/kibana#/discover/Steve-Slow-Train-Analysis-(2080s-and-2083s)?_g=(refreshInterval:(display:Off,pause:!f,section:0,value:0),time:(from:'2017-05-06T15:19:03-0600',mode:absolute,to:'2017-05-06T17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6" s="192" t="str">
        <f t="shared" si="50"/>
        <v>N</v>
      </c>
      <c r="X176" s="192">
        <f t="shared" si="64"/>
        <v>1</v>
      </c>
      <c r="Y176" s="192">
        <f t="shared" si="52"/>
        <v>0.1046</v>
      </c>
      <c r="Z176" s="192">
        <f t="shared" si="53"/>
        <v>5.7567000000000004</v>
      </c>
      <c r="AA176" s="192">
        <f t="shared" si="54"/>
        <v>5.6521000000000008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55"/>
        <v>1821-06</v>
      </c>
      <c r="AE176" s="80" t="str">
        <f t="shared" si="56"/>
        <v>aws s3 cp s3://rtdc.mdm.uploadarchive.raw/RTDC4014/ "%USERPROFILE%\AppData\Local\Temp\OnboardLogs"\RTDC4014\2017-05-06 --exclude "*" --recursive --include "*20170506*" &amp; "%USERPROFILE%\Documents\GitHub\mrs-test-scripts\Headless Mode &amp; Sideloading\WalkAndUnGZ.bat" "%USERPROFILE%\AppData\Local\Temp\OnboardLogs"\RTDC4014\2017-05-06 &amp; aws s3 cp s3://rtdc.mdm.uploadarchive.raw/RTDC4014/ "%USERPROFILE%\AppData\Local\Temp\OnboardLogs"\RTDC4014\2017-05-07 --exclude "*" --recursive --include "*20170507*" &amp; "%USERPROFILE%\Documents\GitHub\mrs-test-scripts\Headless Mode &amp; Sideloading\WalkAndUnGZ.bat" "%USERPROFILE%\AppData\Local\Temp\OnboardLogs"\RTDC4014\2017-05-07</v>
      </c>
      <c r="AF176" s="77" t="str">
        <f t="shared" si="57"/>
        <v>"C:\Program Files (x86)\AstroGrep\AstroGrep.exe" /e /r /s /spath="%USERPROFILE%\AppData\Local\Temp\OnboardLogs" /stypes="app*4014*20170506*" /stext=" 22:.+((SYSTEM_STATE.+slice.+state.+changed )|(ment ac)|(multiple cpu faults)|(system.+state.+changed )|(\[timeout)|(PRM\|1\|D)|(kpr)|(kdp)|(train st.+moving)|(\|lc)|(penalty))"</v>
      </c>
      <c r="AG176" s="1" t="str">
        <f t="shared" si="58"/>
        <v>NW</v>
      </c>
      <c r="AH176" s="81" t="str">
        <f t="shared" si="59"/>
        <v>"%USERPROFILE%\Documents\GitHub\eaglep3\Utilities\RefineRTDCRunTimes.py" --tripid 1821-06 --locoid 4014 --swversion DE.1.0.9.0 --startMP 204:1046 --initTime 2017-05-06T16:19:03 --startdatetime 2017-05-06T16:21:21 --delay 1 --endMP 300:57567 --enddatetime 2017-05-06T16:34:23 --enforcementcount 0 &gt;&gt;C:\Users\stu\Documents\GitHub\eaglep3-reporting\EC\2017-05-06-refined-times.txt</v>
      </c>
      <c r="AI176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{"issue":{"subject":"","project_id":79,"tracker_id":40,"status_id":1,"priority_id":2,"assigned_to_id":23,"start_date":"2017-05-06","description":"","custom_fields":[{"id":1,"name":"Subdivision","value":"NW"},{"id":4,"name":"Milepost","value":"5.7567"},{"id":17,"name":"Train ID","value":"1821-06"},{"id":16,"name":"Locomotive ID","value":"4014"},{"id":130,"name":"Impact","value":""},{"id":150,"name":"Time of Event (Mountain Time)","value":"16:34:23"},{"id":151,"name":"Denver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61"/>
        <v>start /low /b %USERPROFILE%\Documents\GitHub\eaglep3\Utilities\DownloadLogsFromS3.py --loco 4014 --day 2017-05-06</v>
      </c>
      <c r="AN176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22:34:23"},{"id":29,"name":"Sharepoint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701</v>
      </c>
      <c r="B177" s="7">
        <v>4013</v>
      </c>
      <c r="C177" s="21" t="s">
        <v>210</v>
      </c>
      <c r="D177" s="21" t="s">
        <v>849</v>
      </c>
      <c r="E177" s="13">
        <v>42861.694374999999</v>
      </c>
      <c r="F177" s="13">
        <v>42861.695636574077</v>
      </c>
      <c r="G177" s="7">
        <v>1</v>
      </c>
      <c r="H177" s="21" t="s">
        <v>850</v>
      </c>
      <c r="I177" s="13">
        <v>42861.705289351848</v>
      </c>
      <c r="J177" s="7">
        <v>0</v>
      </c>
      <c r="K177" s="92" t="str">
        <f t="shared" si="44"/>
        <v>4013/4014</v>
      </c>
      <c r="L177" s="21" t="str">
        <f>VLOOKUP(A177,'Trips&amp;Operators'!$C$1:$G$99999,5,FALSE)</f>
        <v>HELVIE ADAM</v>
      </c>
      <c r="M177" s="6">
        <f t="shared" si="45"/>
        <v>9.6527777714072727E-3</v>
      </c>
      <c r="N177" s="7">
        <f t="shared" si="46"/>
        <v>13.899999990826473</v>
      </c>
      <c r="O177" s="7"/>
      <c r="P177" s="7"/>
      <c r="Q177" s="22"/>
      <c r="R177" s="190"/>
      <c r="S177" s="196">
        <f t="shared" si="47"/>
        <v>1</v>
      </c>
      <c r="T177" s="190" t="str">
        <f t="shared" si="48"/>
        <v>Southbound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49"/>
        <v>https://d0f6bd738d7f1b3e5a7ca70fe4ff75f0.us-east-1.aws.found.io/app/kibana#/discover/Steve-Slow-Train-Analysis-(2080s-and-2083s)?_g=(refreshInterval:(display:Off,pause:!f,section:0,value:0),time:(from:'2017-05-06T15:39:54-0600',mode:absolute,to:'2017-05-06T17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7" s="192" t="str">
        <f t="shared" si="50"/>
        <v>N</v>
      </c>
      <c r="X177" s="192">
        <f t="shared" si="64"/>
        <v>1</v>
      </c>
      <c r="Y177" s="192">
        <f t="shared" si="52"/>
        <v>5.8632</v>
      </c>
      <c r="Z177" s="192">
        <f t="shared" si="53"/>
        <v>7.4099999999999999E-2</v>
      </c>
      <c r="AA177" s="192">
        <f t="shared" si="54"/>
        <v>5.7891000000000004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55"/>
        <v>1822-06</v>
      </c>
      <c r="AE177" s="80" t="str">
        <f t="shared" si="56"/>
        <v>aws s3 cp s3://rtdc.mdm.uploadarchive.raw/RTDC4013/ "%USERPROFILE%\AppData\Local\Temp\OnboardLogs"\RTDC4013\2017-05-06 --exclude "*" --recursive --include "*20170506*" &amp; "%USERPROFILE%\Documents\GitHub\mrs-test-scripts\Headless Mode &amp; Sideloading\WalkAndUnGZ.bat" "%USERPROFILE%\AppData\Local\Temp\OnboardLogs"\RTDC4013\2017-05-06 &amp; aws s3 cp s3://rtdc.mdm.uploadarchive.raw/RTDC4013/ "%USERPROFILE%\AppData\Local\Temp\OnboardLogs"\RTDC4013\2017-05-07 --exclude "*" --recursive --include "*20170507*" &amp; "%USERPROFILE%\Documents\GitHub\mrs-test-scripts\Headless Mode &amp; Sideloading\WalkAndUnGZ.bat" "%USERPROFILE%\AppData\Local\Temp\OnboardLogs"\RTDC4013\2017-05-07</v>
      </c>
      <c r="AF177" s="77" t="str">
        <f t="shared" si="57"/>
        <v>"C:\Program Files (x86)\AstroGrep\AstroGrep.exe" /e /r /s /spath="%USERPROFILE%\AppData\Local\Temp\OnboardLogs" /stypes="app*4013*20170506*" /stext=" 22:.+((SYSTEM_STATE.+slice.+state.+changed )|(ment ac)|(multiple cpu faults)|(system.+state.+changed )|(\[timeout)|(PRM\|1\|D)|(kpr)|(kdp)|(train st.+moving)|(\|lc)|(penalty))"</v>
      </c>
      <c r="AG177" s="1" t="str">
        <f t="shared" si="58"/>
        <v>NW</v>
      </c>
      <c r="AH177" s="81" t="str">
        <f t="shared" si="59"/>
        <v>"%USERPROFILE%\Documents\GitHub\eaglep3\Utilities\RefineRTDCRunTimes.py" --tripid 1822-06 --locoid 4013 --swversion DE.1.0.9.0 --startMP 300:58632 --initTime 2017-05-06T16:39:54 --startdatetime 2017-05-06T16:41:43 --delay 1 --endMP 204:741 --enddatetime 2017-05-06T16:55:37 --enforcementcount 0 &gt;&gt;C:\Users\stu\Documents\GitHub\eaglep3-reporting\EC\2017-05-06-refined-times.txt</v>
      </c>
      <c r="AI177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{"issue":{"subject":"","project_id":79,"tracker_id":40,"status_id":1,"priority_id":2,"assigned_to_id":23,"start_date":"2017-05-06","description":"","custom_fields":[{"id":1,"name":"Subdivision","value":"NW"},{"id":4,"name":"Milepost","value":"0.0741"},{"id":17,"name":"Train ID","value":"1822-06"},{"id":16,"name":"Locomotive ID","value":"4013"},{"id":130,"name":"Impact","value":""},{"id":150,"name":"Time of Event (Mountain Time)","value":"16:55:37"},{"id":151,"name":"Denver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61"/>
        <v>start /low /b %USERPROFILE%\Documents\GitHub\eaglep3\Utilities\DownloadLogsFromS3.py --loco 4013 --day 2017-05-06</v>
      </c>
      <c r="AN177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22:55:37"},{"id":29,"name":"Sharepoint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705</v>
      </c>
      <c r="B178" s="7">
        <v>4014</v>
      </c>
      <c r="C178" s="21" t="s">
        <v>210</v>
      </c>
      <c r="D178" s="21" t="s">
        <v>851</v>
      </c>
      <c r="E178" s="13">
        <v>42861.721979166665</v>
      </c>
      <c r="F178" s="13">
        <v>42861.723194444443</v>
      </c>
      <c r="G178" s="7">
        <v>1</v>
      </c>
      <c r="H178" s="21" t="s">
        <v>466</v>
      </c>
      <c r="I178" s="13">
        <v>42861.732615740744</v>
      </c>
      <c r="J178" s="7">
        <v>0</v>
      </c>
      <c r="K178" s="92" t="str">
        <f t="shared" si="44"/>
        <v>4013/4014</v>
      </c>
      <c r="L178" s="21" t="str">
        <f>VLOOKUP(A178,'Trips&amp;Operators'!$C$1:$G$99999,5,FALSE)</f>
        <v>HELVIE ADAM</v>
      </c>
      <c r="M178" s="6">
        <f t="shared" si="45"/>
        <v>9.4212963012978435E-3</v>
      </c>
      <c r="N178" s="7">
        <f t="shared" si="46"/>
        <v>13.566666673868895</v>
      </c>
      <c r="O178" s="7"/>
      <c r="P178" s="7"/>
      <c r="Q178" s="22"/>
      <c r="R178" s="190"/>
      <c r="S178" s="196">
        <f t="shared" si="47"/>
        <v>1</v>
      </c>
      <c r="T178" s="190" t="str">
        <f t="shared" si="48"/>
        <v>NorthBound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49"/>
        <v>https://d0f6bd738d7f1b3e5a7ca70fe4ff75f0.us-east-1.aws.found.io/app/kibana#/discover/Steve-Slow-Train-Analysis-(2080s-and-2083s)?_g=(refreshInterval:(display:Off,pause:!f,section:0,value:0),time:(from:'2017-05-06T16:19:39-0600',mode:absolute,to:'2017-05-06T18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8" s="192" t="str">
        <f t="shared" si="50"/>
        <v>N</v>
      </c>
      <c r="X178" s="192">
        <f t="shared" si="64"/>
        <v>1</v>
      </c>
      <c r="Y178" s="192">
        <f t="shared" si="52"/>
        <v>0.1014</v>
      </c>
      <c r="Z178" s="192">
        <f t="shared" si="53"/>
        <v>5.8930999999999996</v>
      </c>
      <c r="AA178" s="192">
        <f t="shared" si="54"/>
        <v>5.7916999999999996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55"/>
        <v>1823-06</v>
      </c>
      <c r="AE178" s="80" t="str">
        <f t="shared" si="56"/>
        <v>aws s3 cp s3://rtdc.mdm.uploadarchive.raw/RTDC4014/ "%USERPROFILE%\AppData\Local\Temp\OnboardLogs"\RTDC4014\2017-05-06 --exclude "*" --recursive --include "*20170506*" &amp; "%USERPROFILE%\Documents\GitHub\mrs-test-scripts\Headless Mode &amp; Sideloading\WalkAndUnGZ.bat" "%USERPROFILE%\AppData\Local\Temp\OnboardLogs"\RTDC4014\2017-05-06 &amp; aws s3 cp s3://rtdc.mdm.uploadarchive.raw/RTDC4014/ "%USERPROFILE%\AppData\Local\Temp\OnboardLogs"\RTDC4014\2017-05-07 --exclude "*" --recursive --include "*20170507*" &amp; "%USERPROFILE%\Documents\GitHub\mrs-test-scripts\Headless Mode &amp; Sideloading\WalkAndUnGZ.bat" "%USERPROFILE%\AppData\Local\Temp\OnboardLogs"\RTDC4014\2017-05-07</v>
      </c>
      <c r="AF178" s="77" t="str">
        <f t="shared" si="57"/>
        <v>"C:\Program Files (x86)\AstroGrep\AstroGrep.exe" /e /r /s /spath="%USERPROFILE%\AppData\Local\Temp\OnboardLogs" /stypes="app*4014*20170506*" /stext=" 23:.+((SYSTEM_STATE.+slice.+state.+changed )|(ment ac)|(multiple cpu faults)|(system.+state.+changed )|(\[timeout)|(PRM\|1\|D)|(kpr)|(kdp)|(train st.+moving)|(\|lc)|(penalty))"</v>
      </c>
      <c r="AG178" s="1" t="str">
        <f t="shared" si="58"/>
        <v>NW</v>
      </c>
      <c r="AH178" s="81" t="str">
        <f t="shared" si="59"/>
        <v>"%USERPROFILE%\Documents\GitHub\eaglep3\Utilities\RefineRTDCRunTimes.py" --tripid 1823-06 --locoid 4014 --swversion DE.1.0.9.0 --startMP 204:1014 --initTime 2017-05-06T17:19:39 --startdatetime 2017-05-06T17:21:24 --delay 1 --endMP 300:58931 --enddatetime 2017-05-06T17:34:58 --enforcementcount 0 &gt;&gt;C:\Users\stu\Documents\GitHub\eaglep3-reporting\EC\2017-05-06-refined-times.txt</v>
      </c>
      <c r="AI178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{"issue":{"subject":"","project_id":79,"tracker_id":40,"status_id":1,"priority_id":2,"assigned_to_id":23,"start_date":"2017-05-06","description":"","custom_fields":[{"id":1,"name":"Subdivision","value":"NW"},{"id":4,"name":"Milepost","value":"5.8931"},{"id":17,"name":"Train ID","value":"1823-06"},{"id":16,"name":"Locomotive ID","value":"4014"},{"id":130,"name":"Impact","value":""},{"id":150,"name":"Time of Event (Mountain Time)","value":"17:34:58"},{"id":151,"name":"Denver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61"/>
        <v>start /low /b %USERPROFILE%\Documents\GitHub\eaglep3\Utilities\DownloadLogsFromS3.py --loco 4014 --day 2017-05-06</v>
      </c>
      <c r="AN178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23:34:58"},{"id":29,"name":"Sharepoint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546</v>
      </c>
      <c r="B179" s="7">
        <v>4013</v>
      </c>
      <c r="C179" s="21" t="s">
        <v>210</v>
      </c>
      <c r="D179" s="21" t="s">
        <v>852</v>
      </c>
      <c r="E179" s="13">
        <v>42861.7340625</v>
      </c>
      <c r="F179" s="13">
        <v>42861.735555555555</v>
      </c>
      <c r="G179" s="7">
        <v>1</v>
      </c>
      <c r="H179" s="21" t="s">
        <v>853</v>
      </c>
      <c r="I179" s="13">
        <v>42861.746018518519</v>
      </c>
      <c r="J179" s="7">
        <v>0</v>
      </c>
      <c r="K179" s="92" t="str">
        <f t="shared" si="44"/>
        <v>4013/4014</v>
      </c>
      <c r="L179" s="21" t="str">
        <f>VLOOKUP(A179,'Trips&amp;Operators'!$C$1:$G$99999,5,FALSE)</f>
        <v>HELVIE ADAM</v>
      </c>
      <c r="M179" s="6">
        <f t="shared" si="45"/>
        <v>1.0462962964083999E-2</v>
      </c>
      <c r="N179" s="7">
        <f t="shared" si="46"/>
        <v>15.066666668280959</v>
      </c>
      <c r="O179" s="7"/>
      <c r="P179" s="7"/>
      <c r="Q179" s="22"/>
      <c r="R179" s="190"/>
      <c r="S179" s="196">
        <f t="shared" si="47"/>
        <v>1</v>
      </c>
      <c r="T179" s="190" t="str">
        <f t="shared" si="48"/>
        <v>Southbound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49"/>
        <v>https://d0f6bd738d7f1b3e5a7ca70fe4ff75f0.us-east-1.aws.found.io/app/kibana#/discover/Steve-Slow-Train-Analysis-(2080s-and-2083s)?_g=(refreshInterval:(display:Off,pause:!f,section:0,value:0),time:(from:'2017-05-06T16:37:03-0600',mode:absolute,to:'2017-05-06T18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9" s="192" t="str">
        <f t="shared" si="50"/>
        <v>N</v>
      </c>
      <c r="X179" s="192">
        <f t="shared" si="64"/>
        <v>1</v>
      </c>
      <c r="Y179" s="192">
        <f t="shared" si="52"/>
        <v>5.8616999999999999</v>
      </c>
      <c r="Z179" s="192">
        <f t="shared" si="53"/>
        <v>9.3700000000000006E-2</v>
      </c>
      <c r="AA179" s="192">
        <f t="shared" si="54"/>
        <v>5.7679999999999998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55"/>
        <v>1824-06</v>
      </c>
      <c r="AE179" s="80" t="str">
        <f t="shared" si="56"/>
        <v>aws s3 cp s3://rtdc.mdm.uploadarchive.raw/RTDC4013/ "%USERPROFILE%\AppData\Local\Temp\OnboardLogs"\RTDC4013\2017-05-06 --exclude "*" --recursive --include "*20170506*" &amp; "%USERPROFILE%\Documents\GitHub\mrs-test-scripts\Headless Mode &amp; Sideloading\WalkAndUnGZ.bat" "%USERPROFILE%\AppData\Local\Temp\OnboardLogs"\RTDC4013\2017-05-06 &amp; aws s3 cp s3://rtdc.mdm.uploadarchive.raw/RTDC4013/ "%USERPROFILE%\AppData\Local\Temp\OnboardLogs"\RTDC4013\2017-05-07 --exclude "*" --recursive --include "*20170507*" &amp; "%USERPROFILE%\Documents\GitHub\mrs-test-scripts\Headless Mode &amp; Sideloading\WalkAndUnGZ.bat" "%USERPROFILE%\AppData\Local\Temp\OnboardLogs"\RTDC4013\2017-05-07</v>
      </c>
      <c r="AF179" s="77" t="str">
        <f t="shared" si="57"/>
        <v>"C:\Program Files (x86)\AstroGrep\AstroGrep.exe" /e /r /s /spath="%USERPROFILE%\AppData\Local\Temp\OnboardLogs" /stypes="app*4013*20170506*" /stext=" 23:.+((SYSTEM_STATE.+slice.+state.+changed )|(ment ac)|(multiple cpu faults)|(system.+state.+changed )|(\[timeout)|(PRM\|1\|D)|(kpr)|(kdp)|(train st.+moving)|(\|lc)|(penalty))"</v>
      </c>
      <c r="AG179" s="1" t="str">
        <f t="shared" si="58"/>
        <v>NW</v>
      </c>
      <c r="AH179" s="81" t="str">
        <f t="shared" si="59"/>
        <v>"%USERPROFILE%\Documents\GitHub\eaglep3\Utilities\RefineRTDCRunTimes.py" --tripid 1824-06 --locoid 4013 --swversion DE.1.0.9.0 --startMP 300:58617 --initTime 2017-05-06T17:37:03 --startdatetime 2017-05-06T17:39:12 --delay 1 --endMP 204:937 --enddatetime 2017-05-06T17:54:16 --enforcementcount 0 &gt;&gt;C:\Users\stu\Documents\GitHub\eaglep3-reporting\EC\2017-05-06-refined-times.txt</v>
      </c>
      <c r="AI179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{"issue":{"subject":"","project_id":79,"tracker_id":40,"status_id":1,"priority_id":2,"assigned_to_id":23,"start_date":"2017-05-06","description":"","custom_fields":[{"id":1,"name":"Subdivision","value":"NW"},{"id":4,"name":"Milepost","value":"0.0937"},{"id":17,"name":"Train ID","value":"1824-06"},{"id":16,"name":"Locomotive ID","value":"4013"},{"id":130,"name":"Impact","value":""},{"id":150,"name":"Time of Event (Mountain Time)","value":"17:54:16"},{"id":151,"name":"Denver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61"/>
        <v>start /low /b %USERPROFILE%\Documents\GitHub\eaglep3\Utilities\DownloadLogsFromS3.py --loco 4013 --day 2017-05-06</v>
      </c>
      <c r="AN179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23:54:16"},{"id":29,"name":"Sharepoint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2" t="s">
        <v>717</v>
      </c>
      <c r="B180" s="7">
        <v>4014</v>
      </c>
      <c r="C180" s="21" t="s">
        <v>210</v>
      </c>
      <c r="D180" s="21" t="s">
        <v>854</v>
      </c>
      <c r="E180" s="13">
        <v>42861.763113425928</v>
      </c>
      <c r="F180" s="13">
        <v>42861.764965277776</v>
      </c>
      <c r="G180" s="7">
        <v>1</v>
      </c>
      <c r="H180" s="21" t="s">
        <v>412</v>
      </c>
      <c r="I180" s="13">
        <v>42861.774351851855</v>
      </c>
      <c r="J180" s="7">
        <v>0</v>
      </c>
      <c r="K180" s="92" t="str">
        <f t="shared" si="44"/>
        <v>4013/4014</v>
      </c>
      <c r="L180" s="21" t="str">
        <f>VLOOKUP(A180,'Trips&amp;Operators'!$C$1:$G$99999,5,FALSE)</f>
        <v>HELVIE ADAM</v>
      </c>
      <c r="M180" s="6">
        <f t="shared" si="45"/>
        <v>9.3865740782348439E-3</v>
      </c>
      <c r="N180" s="7">
        <f t="shared" si="46"/>
        <v>13.516666672658175</v>
      </c>
      <c r="O180" s="7"/>
      <c r="P180" s="7"/>
      <c r="Q180" s="22"/>
      <c r="R180" s="190"/>
      <c r="S180" s="196">
        <f t="shared" si="47"/>
        <v>1</v>
      </c>
      <c r="T180" s="190" t="str">
        <f t="shared" si="48"/>
        <v>NorthBound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49"/>
        <v>https://d0f6bd738d7f1b3e5a7ca70fe4ff75f0.us-east-1.aws.found.io/app/kibana#/discover/Steve-Slow-Train-Analysis-(2080s-and-2083s)?_g=(refreshInterval:(display:Off,pause:!f,section:0,value:0),time:(from:'2017-05-06T17:18:53-0600',mode:absolute,to:'2017-05-06T19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0" s="192" t="str">
        <f t="shared" si="50"/>
        <v>N</v>
      </c>
      <c r="X180" s="192">
        <f t="shared" si="64"/>
        <v>1</v>
      </c>
      <c r="Y180" s="192">
        <f t="shared" si="52"/>
        <v>0.12239999999999999</v>
      </c>
      <c r="Z180" s="192">
        <f t="shared" si="53"/>
        <v>5.8933</v>
      </c>
      <c r="AA180" s="192">
        <f t="shared" si="54"/>
        <v>5.7709000000000001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55"/>
        <v>1825-06</v>
      </c>
      <c r="AE180" s="80" t="str">
        <f t="shared" si="56"/>
        <v>aws s3 cp s3://rtdc.mdm.uploadarchive.raw/RTDC4014/ "%USERPROFILE%\AppData\Local\Temp\OnboardLogs"\RTDC4014\2017-05-06 --exclude "*" --recursive --include "*20170506*" &amp; "%USERPROFILE%\Documents\GitHub\mrs-test-scripts\Headless Mode &amp; Sideloading\WalkAndUnGZ.bat" "%USERPROFILE%\AppData\Local\Temp\OnboardLogs"\RTDC4014\2017-05-06 &amp; aws s3 cp s3://rtdc.mdm.uploadarchive.raw/RTDC4014/ "%USERPROFILE%\AppData\Local\Temp\OnboardLogs"\RTDC4014\2017-05-07 --exclude "*" --recursive --include "*20170507*" &amp; "%USERPROFILE%\Documents\GitHub\mrs-test-scripts\Headless Mode &amp; Sideloading\WalkAndUnGZ.bat" "%USERPROFILE%\AppData\Local\Temp\OnboardLogs"\RTDC4014\2017-05-07</v>
      </c>
      <c r="AF180" s="77" t="str">
        <f t="shared" si="57"/>
        <v>"C:\Program Files (x86)\AstroGrep\AstroGrep.exe" /e /r /s /spath="%USERPROFILE%\AppData\Local\Temp\OnboardLogs" /stypes="app*4014*20170507*" /stext=" 00:.+((SYSTEM_STATE.+slice.+state.+changed )|(ment ac)|(multiple cpu faults)|(system.+state.+changed )|(\[timeout)|(PRM\|1\|D)|(kpr)|(kdp)|(train st.+moving)|(\|lc)|(penalty))"</v>
      </c>
      <c r="AG180" s="1" t="str">
        <f t="shared" si="58"/>
        <v>NW</v>
      </c>
      <c r="AH180" s="81" t="str">
        <f t="shared" si="59"/>
        <v>"%USERPROFILE%\Documents\GitHub\eaglep3\Utilities\RefineRTDCRunTimes.py" --tripid 1825-06 --locoid 4014 --swversion DE.1.0.9.0 --startMP 204:1224 --initTime 2017-05-06T18:18:53 --startdatetime 2017-05-06T18:21:33 --delay 1 --endMP 300:58933 --enddatetime 2017-05-06T18:35:04 --enforcementcount 0 &gt;&gt;C:\Users\stu\Documents\GitHub\eaglep3-reporting\EC\2017-05-06-refined-times.txt</v>
      </c>
      <c r="AI180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{"issue":{"subject":"","project_id":79,"tracker_id":40,"status_id":1,"priority_id":2,"assigned_to_id":23,"start_date":"2017-05-06","description":"","custom_fields":[{"id":1,"name":"Subdivision","value":"NW"},{"id":4,"name":"Milepost","value":"5.8933"},{"id":17,"name":"Train ID","value":"1825-06"},{"id":16,"name":"Locomotive ID","value":"4014"},{"id":130,"name":"Impact","value":""},{"id":150,"name":"Time of Event (Mountain Time)","value":"18:35:04"},{"id":151,"name":"Denver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5" t="str">
        <f t="shared" si="61"/>
        <v>start /low /b %USERPROFILE%\Documents\GitHub\eaglep3\Utilities\DownloadLogsFromS3.py --loco 4014 --day 2017-05-06</v>
      </c>
      <c r="AN180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00:35:04"},{"id":29,"name":"Sharepoint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720</v>
      </c>
      <c r="B181" s="7">
        <v>4013</v>
      </c>
      <c r="C181" s="21" t="s">
        <v>210</v>
      </c>
      <c r="D181" s="21" t="s">
        <v>512</v>
      </c>
      <c r="E181" s="13">
        <v>42861.775243055556</v>
      </c>
      <c r="F181" s="13">
        <v>42861.777685185189</v>
      </c>
      <c r="G181" s="7">
        <v>0</v>
      </c>
      <c r="H181" s="21" t="s">
        <v>855</v>
      </c>
      <c r="I181" s="13">
        <v>42861.789479166669</v>
      </c>
      <c r="J181" s="7">
        <v>0</v>
      </c>
      <c r="K181" s="92" t="str">
        <f t="shared" si="44"/>
        <v>4013/4014</v>
      </c>
      <c r="L181" s="21" t="str">
        <f>VLOOKUP(A181,'Trips&amp;Operators'!$C$1:$G$99999,5,FALSE)</f>
        <v>HELVIE ADAM</v>
      </c>
      <c r="M181" s="6">
        <f t="shared" si="45"/>
        <v>1.1793981480877846E-2</v>
      </c>
      <c r="N181" s="7">
        <f t="shared" si="46"/>
        <v>16.983333332464099</v>
      </c>
      <c r="O181" s="7"/>
      <c r="P181" s="7"/>
      <c r="Q181" s="22"/>
      <c r="R181" s="190"/>
      <c r="S181" s="196">
        <f t="shared" si="47"/>
        <v>1</v>
      </c>
      <c r="T181" s="190" t="str">
        <f t="shared" si="48"/>
        <v>Southbound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49"/>
        <v>https://d0f6bd738d7f1b3e5a7ca70fe4ff75f0.us-east-1.aws.found.io/app/kibana#/discover/Steve-Slow-Train-Analysis-(2080s-and-2083s)?_g=(refreshInterval:(display:Off,pause:!f,section:0,value:0),time:(from:'2017-05-06T17:36:21-0600',mode:absolute,to:'2017-05-06T19:56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1" s="192" t="str">
        <f t="shared" si="50"/>
        <v>N</v>
      </c>
      <c r="X181" s="192">
        <f t="shared" si="64"/>
        <v>1</v>
      </c>
      <c r="Y181" s="192">
        <f t="shared" si="52"/>
        <v>5.8613</v>
      </c>
      <c r="Z181" s="192">
        <f t="shared" si="53"/>
        <v>7.6799999999999993E-2</v>
      </c>
      <c r="AA181" s="192">
        <f t="shared" si="54"/>
        <v>5.7844999999999995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55"/>
        <v>1826-06</v>
      </c>
      <c r="AE181" s="80" t="str">
        <f t="shared" si="56"/>
        <v>aws s3 cp s3://rtdc.mdm.uploadarchive.raw/RTDC4013/ "%USERPROFILE%\AppData\Local\Temp\OnboardLogs"\RTDC4013\2017-05-06 --exclude "*" --recursive --include "*20170506*" &amp; "%USERPROFILE%\Documents\GitHub\mrs-test-scripts\Headless Mode &amp; Sideloading\WalkAndUnGZ.bat" "%USERPROFILE%\AppData\Local\Temp\OnboardLogs"\RTDC4013\2017-05-06 &amp; aws s3 cp s3://rtdc.mdm.uploadarchive.raw/RTDC4013/ "%USERPROFILE%\AppData\Local\Temp\OnboardLogs"\RTDC4013\2017-05-07 --exclude "*" --recursive --include "*20170507*" &amp; "%USERPROFILE%\Documents\GitHub\mrs-test-scripts\Headless Mode &amp; Sideloading\WalkAndUnGZ.bat" "%USERPROFILE%\AppData\Local\Temp\OnboardLogs"\RTDC4013\2017-05-07</v>
      </c>
      <c r="AF181" s="77" t="str">
        <f t="shared" si="57"/>
        <v>"C:\Program Files (x86)\AstroGrep\AstroGrep.exe" /e /r /s /spath="%USERPROFILE%\AppData\Local\Temp\OnboardLogs" /stypes="app*4013*20170507*" /stext=" 00:.+((SYSTEM_STATE.+slice.+state.+changed )|(ment ac)|(multiple cpu faults)|(system.+state.+changed )|(\[timeout)|(PRM\|1\|D)|(kpr)|(kdp)|(train st.+moving)|(\|lc)|(penalty))"</v>
      </c>
      <c r="AG181" s="1" t="str">
        <f t="shared" si="58"/>
        <v>NW</v>
      </c>
      <c r="AH181" s="81" t="str">
        <f t="shared" si="59"/>
        <v>"%USERPROFILE%\Documents\GitHub\eaglep3\Utilities\RefineRTDCRunTimes.py" --tripid 1826-06 --locoid 4013 --swversion DE.1.0.9.0 --startMP 300:58613 --initTime 2017-05-06T18:36:21 --startdatetime 2017-05-06T18:39:52 --delay 0 --endMP 204:768 --enddatetime 2017-05-06T18:56:51 --enforcementcount 0 &gt;&gt;C:\Users\stu\Documents\GitHub\eaglep3-reporting\EC\2017-05-06-refined-times.txt</v>
      </c>
      <c r="AI181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{"issue":{"subject":"","project_id":79,"tracker_id":40,"status_id":1,"priority_id":2,"assigned_to_id":23,"start_date":"2017-05-06","description":"","custom_fields":[{"id":1,"name":"Subdivision","value":"NW"},{"id":4,"name":"Milepost","value":"0.0768"},{"id":17,"name":"Train ID","value":"1826-06"},{"id":16,"name":"Locomotive ID","value":"4013"},{"id":130,"name":"Impact","value":""},{"id":150,"name":"Time of Event (Mountain Time)","value":"18:56:51"},{"id":151,"name":"Denver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5" t="str">
        <f t="shared" si="61"/>
        <v>start /low /b %USERPROFILE%\Documents\GitHub\eaglep3\Utilities\DownloadLogsFromS3.py --loco 4013 --day 2017-05-06</v>
      </c>
      <c r="AN181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00:56:51"},{"id":29,"name":"Sharepoint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727</v>
      </c>
      <c r="B182" s="7">
        <v>4014</v>
      </c>
      <c r="C182" s="21" t="s">
        <v>210</v>
      </c>
      <c r="D182" s="21" t="s">
        <v>856</v>
      </c>
      <c r="E182" s="13">
        <v>42861.805138888885</v>
      </c>
      <c r="F182" s="13">
        <v>42861.806423611109</v>
      </c>
      <c r="G182" s="7">
        <v>1</v>
      </c>
      <c r="H182" s="21" t="s">
        <v>466</v>
      </c>
      <c r="I182" s="13">
        <v>42861.815636574072</v>
      </c>
      <c r="J182" s="7">
        <v>0</v>
      </c>
      <c r="K182" s="92" t="str">
        <f t="shared" si="44"/>
        <v>4013/4014</v>
      </c>
      <c r="L182" s="21" t="str">
        <f>VLOOKUP(A182,'Trips&amp;Operators'!$C$1:$G$99999,5,FALSE)</f>
        <v>HELVIE ADAM</v>
      </c>
      <c r="M182" s="6">
        <f t="shared" si="45"/>
        <v>9.2129629629198462E-3</v>
      </c>
      <c r="N182" s="7">
        <f t="shared" si="46"/>
        <v>13.266666666604578</v>
      </c>
      <c r="O182" s="7"/>
      <c r="P182" s="7"/>
      <c r="Q182" s="22"/>
      <c r="R182" s="190"/>
      <c r="S182" s="196">
        <f t="shared" si="47"/>
        <v>1</v>
      </c>
      <c r="T182" s="190" t="str">
        <f t="shared" si="48"/>
        <v>NorthBound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49"/>
        <v>https://d0f6bd738d7f1b3e5a7ca70fe4ff75f0.us-east-1.aws.found.io/app/kibana#/discover/Steve-Slow-Train-Analysis-(2080s-and-2083s)?_g=(refreshInterval:(display:Off,pause:!f,section:0,value:0),time:(from:'2017-05-06T18:19:24-0600',mode:absolute,to:'2017-05-06T20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2" s="192" t="str">
        <f t="shared" si="50"/>
        <v>N</v>
      </c>
      <c r="X182" s="192">
        <f t="shared" si="64"/>
        <v>1</v>
      </c>
      <c r="Y182" s="192">
        <f t="shared" si="52"/>
        <v>0.107</v>
      </c>
      <c r="Z182" s="192">
        <f t="shared" si="53"/>
        <v>5.8930999999999996</v>
      </c>
      <c r="AA182" s="192">
        <f t="shared" si="54"/>
        <v>5.7860999999999994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55"/>
        <v>1827-06</v>
      </c>
      <c r="AE182" s="80" t="str">
        <f t="shared" si="56"/>
        <v>aws s3 cp s3://rtdc.mdm.uploadarchive.raw/RTDC4014/ "%USERPROFILE%\AppData\Local\Temp\OnboardLogs"\RTDC4014\2017-05-06 --exclude "*" --recursive --include "*20170506*" &amp; "%USERPROFILE%\Documents\GitHub\mrs-test-scripts\Headless Mode &amp; Sideloading\WalkAndUnGZ.bat" "%USERPROFILE%\AppData\Local\Temp\OnboardLogs"\RTDC4014\2017-05-06 &amp; aws s3 cp s3://rtdc.mdm.uploadarchive.raw/RTDC4014/ "%USERPROFILE%\AppData\Local\Temp\OnboardLogs"\RTDC4014\2017-05-07 --exclude "*" --recursive --include "*20170507*" &amp; "%USERPROFILE%\Documents\GitHub\mrs-test-scripts\Headless Mode &amp; Sideloading\WalkAndUnGZ.bat" "%USERPROFILE%\AppData\Local\Temp\OnboardLogs"\RTDC4014\2017-05-07</v>
      </c>
      <c r="AF182" s="77" t="str">
        <f t="shared" si="57"/>
        <v>"C:\Program Files (x86)\AstroGrep\AstroGrep.exe" /e /r /s /spath="%USERPROFILE%\AppData\Local\Temp\OnboardLogs" /stypes="app*4014*20170507*" /stext=" 01:.+((SYSTEM_STATE.+slice.+state.+changed )|(ment ac)|(multiple cpu faults)|(system.+state.+changed )|(\[timeout)|(PRM\|1\|D)|(kpr)|(kdp)|(train st.+moving)|(\|lc)|(penalty))"</v>
      </c>
      <c r="AG182" s="1" t="str">
        <f t="shared" si="58"/>
        <v>NW</v>
      </c>
      <c r="AH182" s="81" t="str">
        <f t="shared" si="59"/>
        <v>"%USERPROFILE%\Documents\GitHub\eaglep3\Utilities\RefineRTDCRunTimes.py" --tripid 1827-06 --locoid 4014 --swversion DE.1.0.9.0 --startMP 204:1070 --initTime 2017-05-06T19:19:24 --startdatetime 2017-05-06T19:21:15 --delay 1 --endMP 300:58931 --enddatetime 2017-05-06T19:34:31 --enforcementcount 0 &gt;&gt;C:\Users\stu\Documents\GitHub\eaglep3-reporting\EC\2017-05-06-refined-times.txt</v>
      </c>
      <c r="AI182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{"issue":{"subject":"","project_id":79,"tracker_id":40,"status_id":1,"priority_id":2,"assigned_to_id":23,"start_date":"2017-05-06","description":"","custom_fields":[{"id":1,"name":"Subdivision","value":"NW"},{"id":4,"name":"Milepost","value":"5.8931"},{"id":17,"name":"Train ID","value":"1827-06"},{"id":16,"name":"Locomotive ID","value":"4014"},{"id":130,"name":"Impact","value":""},{"id":150,"name":"Time of Event (Mountain Time)","value":"19:34:31"},{"id":151,"name":"Denver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5" t="str">
        <f t="shared" si="61"/>
        <v>start /low /b %USERPROFILE%\Documents\GitHub\eaglep3\Utilities\DownloadLogsFromS3.py --loco 4014 --day 2017-05-06</v>
      </c>
      <c r="AN182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01:34:31"},{"id":29,"name":"Sharepoint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729</v>
      </c>
      <c r="B183" s="7">
        <v>4013</v>
      </c>
      <c r="C183" s="21" t="s">
        <v>210</v>
      </c>
      <c r="D183" s="21" t="s">
        <v>421</v>
      </c>
      <c r="E183" s="13">
        <v>42861.816550925927</v>
      </c>
      <c r="F183" s="13">
        <v>42861.819837962961</v>
      </c>
      <c r="G183" s="7">
        <v>1</v>
      </c>
      <c r="H183" s="21" t="s">
        <v>857</v>
      </c>
      <c r="I183" s="13">
        <v>42861.831111111111</v>
      </c>
      <c r="J183" s="7">
        <v>0</v>
      </c>
      <c r="K183" s="92" t="str">
        <f t="shared" si="44"/>
        <v>4013/4014</v>
      </c>
      <c r="L183" s="21" t="str">
        <f>VLOOKUP(A183,'Trips&amp;Operators'!$C$1:$G$99999,5,FALSE)</f>
        <v>HELVIE ADAM</v>
      </c>
      <c r="M183" s="6">
        <f t="shared" si="45"/>
        <v>1.1273148149484769E-2</v>
      </c>
      <c r="N183" s="7">
        <f t="shared" si="46"/>
        <v>16.233333335258067</v>
      </c>
      <c r="O183" s="7"/>
      <c r="P183" s="7"/>
      <c r="Q183" s="22"/>
      <c r="R183" s="190"/>
      <c r="S183" s="196">
        <f t="shared" si="47"/>
        <v>1</v>
      </c>
      <c r="T183" s="190" t="str">
        <f t="shared" si="48"/>
        <v>Southbound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49"/>
        <v>https://d0f6bd738d7f1b3e5a7ca70fe4ff75f0.us-east-1.aws.found.io/app/kibana#/discover/Steve-Slow-Train-Analysis-(2080s-and-2083s)?_g=(refreshInterval:(display:Off,pause:!f,section:0,value:0),time:(from:'2017-05-06T18:35:50-0600',mode:absolute,to:'2017-05-06T20:56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3" s="192" t="str">
        <f t="shared" si="50"/>
        <v>N</v>
      </c>
      <c r="X183" s="192">
        <f t="shared" si="64"/>
        <v>1</v>
      </c>
      <c r="Y183" s="192">
        <f t="shared" si="52"/>
        <v>5.8619000000000003</v>
      </c>
      <c r="Z183" s="192">
        <f t="shared" si="53"/>
        <v>8.3199999999999996E-2</v>
      </c>
      <c r="AA183" s="192">
        <f t="shared" si="54"/>
        <v>5.7787000000000006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55"/>
        <v>1828-06</v>
      </c>
      <c r="AE183" s="80" t="str">
        <f t="shared" si="56"/>
        <v>aws s3 cp s3://rtdc.mdm.uploadarchive.raw/RTDC4013/ "%USERPROFILE%\AppData\Local\Temp\OnboardLogs"\RTDC4013\2017-05-06 --exclude "*" --recursive --include "*20170506*" &amp; "%USERPROFILE%\Documents\GitHub\mrs-test-scripts\Headless Mode &amp; Sideloading\WalkAndUnGZ.bat" "%USERPROFILE%\AppData\Local\Temp\OnboardLogs"\RTDC4013\2017-05-06 &amp; aws s3 cp s3://rtdc.mdm.uploadarchive.raw/RTDC4013/ "%USERPROFILE%\AppData\Local\Temp\OnboardLogs"\RTDC4013\2017-05-07 --exclude "*" --recursive --include "*20170507*" &amp; "%USERPROFILE%\Documents\GitHub\mrs-test-scripts\Headless Mode &amp; Sideloading\WalkAndUnGZ.bat" "%USERPROFILE%\AppData\Local\Temp\OnboardLogs"\RTDC4013\2017-05-07</v>
      </c>
      <c r="AF183" s="77" t="str">
        <f t="shared" si="57"/>
        <v>"C:\Program Files (x86)\AstroGrep\AstroGrep.exe" /e /r /s /spath="%USERPROFILE%\AppData\Local\Temp\OnboardLogs" /stypes="app*4013*20170507*" /stext=" 01:.+((SYSTEM_STATE.+slice.+state.+changed )|(ment ac)|(multiple cpu faults)|(system.+state.+changed )|(\[timeout)|(PRM\|1\|D)|(kpr)|(kdp)|(train st.+moving)|(\|lc)|(penalty))"</v>
      </c>
      <c r="AG183" s="1" t="str">
        <f t="shared" si="58"/>
        <v>NW</v>
      </c>
      <c r="AH183" s="81" t="str">
        <f t="shared" si="59"/>
        <v>"%USERPROFILE%\Documents\GitHub\eaglep3\Utilities\RefineRTDCRunTimes.py" --tripid 1828-06 --locoid 4013 --swversion DE.1.0.9.0 --startMP 300:58619 --initTime 2017-05-06T19:35:50 --startdatetime 2017-05-06T19:40:34 --delay 1 --endMP 204:832 --enddatetime 2017-05-06T19:56:48 --enforcementcount 0 &gt;&gt;C:\Users\stu\Documents\GitHub\eaglep3-reporting\EC\2017-05-06-refined-times.txt</v>
      </c>
      <c r="AI183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{"issue":{"subject":"","project_id":79,"tracker_id":40,"status_id":1,"priority_id":2,"assigned_to_id":23,"start_date":"2017-05-06","description":"","custom_fields":[{"id":1,"name":"Subdivision","value":"NW"},{"id":4,"name":"Milepost","value":"0.0832"},{"id":17,"name":"Train ID","value":"1828-06"},{"id":16,"name":"Locomotive ID","value":"4013"},{"id":130,"name":"Impact","value":""},{"id":150,"name":"Time of Event (Mountain Time)","value":"19:56:48"},{"id":151,"name":"Denver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61"/>
        <v>start /low /b %USERPROFILE%\Documents\GitHub\eaglep3\Utilities\DownloadLogsFromS3.py --loco 4013 --day 2017-05-06</v>
      </c>
      <c r="AN183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01:56:48"},{"id":29,"name":"Sharepoint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737</v>
      </c>
      <c r="B184" s="7">
        <v>4014</v>
      </c>
      <c r="C184" s="21" t="s">
        <v>210</v>
      </c>
      <c r="D184" s="21" t="s">
        <v>858</v>
      </c>
      <c r="E184" s="13">
        <v>42861.845729166664</v>
      </c>
      <c r="F184" s="13">
        <v>42861.847442129627</v>
      </c>
      <c r="G184" s="7">
        <v>1</v>
      </c>
      <c r="H184" s="21" t="s">
        <v>433</v>
      </c>
      <c r="I184" s="13">
        <v>42861.847916666666</v>
      </c>
      <c r="J184" s="7">
        <v>0</v>
      </c>
      <c r="K184" s="92" t="str">
        <f t="shared" si="44"/>
        <v>4013/4014</v>
      </c>
      <c r="L184" s="21" t="str">
        <f>VLOOKUP(A184,'Trips&amp;Operators'!$C$1:$G$99999,5,FALSE)</f>
        <v>HELVIE ADAM</v>
      </c>
      <c r="M184" s="6">
        <f t="shared" si="45"/>
        <v>4.7453703882638365E-4</v>
      </c>
      <c r="N184" s="7"/>
      <c r="O184" s="7"/>
      <c r="P184" s="7">
        <f t="shared" si="46"/>
        <v>0.68333333590999246</v>
      </c>
      <c r="Q184" s="22"/>
      <c r="R184" s="190" t="s">
        <v>1040</v>
      </c>
      <c r="S184" s="196">
        <f t="shared" si="47"/>
        <v>1</v>
      </c>
      <c r="T184" s="190" t="str">
        <f t="shared" si="48"/>
        <v>NorthBound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49"/>
        <v>https://d0f6bd738d7f1b3e5a7ca70fe4ff75f0.us-east-1.aws.found.io/app/kibana#/discover/Steve-Slow-Train-Analysis-(2080s-and-2083s)?_g=(refreshInterval:(display:Off,pause:!f,section:0,value:0),time:(from:'2017-05-06T19:17:51-0600',mode:absolute,to:'2017-05-06T21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4" s="192" t="str">
        <f t="shared" si="50"/>
        <v>N</v>
      </c>
      <c r="X184" s="192">
        <f t="shared" si="64"/>
        <v>1</v>
      </c>
      <c r="Y184" s="192">
        <f t="shared" si="52"/>
        <v>0.10929999999999999</v>
      </c>
      <c r="Z184" s="192">
        <f t="shared" si="53"/>
        <v>5.8939000000000004</v>
      </c>
      <c r="AA184" s="192">
        <f t="shared" si="54"/>
        <v>5.7846000000000002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55"/>
        <v>1829-06</v>
      </c>
      <c r="AE184" s="80" t="str">
        <f t="shared" si="56"/>
        <v>aws s3 cp s3://rtdc.mdm.uploadarchive.raw/RTDC4014/ "%USERPROFILE%\AppData\Local\Temp\OnboardLogs"\RTDC4014\2017-05-06 --exclude "*" --recursive --include "*20170506*" &amp; "%USERPROFILE%\Documents\GitHub\mrs-test-scripts\Headless Mode &amp; Sideloading\WalkAndUnGZ.bat" "%USERPROFILE%\AppData\Local\Temp\OnboardLogs"\RTDC4014\2017-05-06 &amp; aws s3 cp s3://rtdc.mdm.uploadarchive.raw/RTDC4014/ "%USERPROFILE%\AppData\Local\Temp\OnboardLogs"\RTDC4014\2017-05-07 --exclude "*" --recursive --include "*20170507*" &amp; "%USERPROFILE%\Documents\GitHub\mrs-test-scripts\Headless Mode &amp; Sideloading\WalkAndUnGZ.bat" "%USERPROFILE%\AppData\Local\Temp\OnboardLogs"\RTDC4014\2017-05-07</v>
      </c>
      <c r="AF184" s="77" t="str">
        <f t="shared" si="57"/>
        <v>"C:\Program Files (x86)\AstroGrep\AstroGrep.exe" /e /r /s /spath="%USERPROFILE%\AppData\Local\Temp\OnboardLogs" /stypes="app*4014*20170507*" /stext=" 02:.+((SYSTEM_STATE.+slice.+state.+changed )|(ment ac)|(multiple cpu faults)|(system.+state.+changed )|(\[timeout)|(PRM\|1\|D)|(kpr)|(kdp)|(train st.+moving)|(\|lc)|(penalty))"</v>
      </c>
      <c r="AG184" s="1" t="str">
        <f t="shared" si="58"/>
        <v>NW</v>
      </c>
      <c r="AH184" s="81" t="str">
        <f t="shared" si="59"/>
        <v>"%USERPROFILE%\Documents\GitHub\eaglep3\Utilities\RefineRTDCRunTimes.py" --tripid 1829-06 --locoid 4014 --swversion DE.1.0.9.0 --startMP 204:1093 --initTime 2017-05-06T20:17:51 --startdatetime 2017-05-06T20:20:19 --delay 1 --endMP 300:58939 --enddatetime 2017-05-06T20:21:00 --enforcementcount 0 &gt;&gt;C:\Users\stu\Documents\GitHub\eaglep3-reporting\EC\2017-05-06-refined-times.txt</v>
      </c>
      <c r="AI184" s="99" t="str">
        <f t="shared" si="60"/>
        <v>echo {"issue":{"subject":"Onboard in-route failure","project_id":79,"tracker_id":40,"status_id":1,"priority_id":2,"assigned_to_id":23,"start_date":"2017-05-06","description":"","custom_fields":[{"id":1,"name":"Subdivision","value":"NW"},{"id":4,"name":"Milepost","value":"5.8939"},{"id":17,"name":"Train ID","value":"1829-06"},{"id":16,"name":"Locomotive ID","value":"4014"},{"id":130,"name":"Impact","value":""},{"id":150,"name":"Time of Event (Mountain Time)","value":"20:21:00"},{"id":151,"name":"Denver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61"/>
        <v>start /low /b %USERPROFILE%\Documents\GitHub\eaglep3\Utilities\DownloadLogsFromS3.py --loco 4014 --day 2017-05-06</v>
      </c>
      <c r="AN184" s="154" t="str">
        <f t="shared" si="62"/>
        <v>echo {"issue":{"subject":"Onboard in-route failure","project_id":30,"tracker_id":4,"status_id":1,"priority_id":1,"assigned_to_id":10,"start_date":"2017-05-07","description":"","custom_fields":[{"id":30,"name":"Category","value":"Issue"},{"id":3,"name":"Functional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02:21:00"},{"id":29,"name":"Sharepoint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739</v>
      </c>
      <c r="B185" s="7">
        <v>4013</v>
      </c>
      <c r="C185" s="21" t="s">
        <v>210</v>
      </c>
      <c r="D185" s="21" t="s">
        <v>852</v>
      </c>
      <c r="E185" s="13">
        <v>42861.860636574071</v>
      </c>
      <c r="F185" s="13">
        <v>42861.86204861111</v>
      </c>
      <c r="G185" s="7">
        <v>1</v>
      </c>
      <c r="H185" s="21" t="s">
        <v>860</v>
      </c>
      <c r="I185" s="13">
        <v>42861.870405092595</v>
      </c>
      <c r="J185" s="7">
        <v>0</v>
      </c>
      <c r="K185" s="92" t="str">
        <f t="shared" si="44"/>
        <v>4013/4014</v>
      </c>
      <c r="L185" s="21" t="str">
        <f>VLOOKUP(A185,'Trips&amp;Operators'!$C$1:$G$99999,5,FALSE)</f>
        <v>HELVIE ADAM</v>
      </c>
      <c r="M185" s="6">
        <f t="shared" si="45"/>
        <v>8.3564814849523827E-3</v>
      </c>
      <c r="N185" s="7">
        <f t="shared" si="46"/>
        <v>12.033333338331431</v>
      </c>
      <c r="O185" s="7"/>
      <c r="P185" s="7"/>
      <c r="Q185" s="22"/>
      <c r="R185" s="190"/>
      <c r="S185" s="196">
        <f t="shared" si="47"/>
        <v>1</v>
      </c>
      <c r="T185" s="190" t="str">
        <f t="shared" si="48"/>
        <v>Southbound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49"/>
        <v>https://d0f6bd738d7f1b3e5a7ca70fe4ff75f0.us-east-1.aws.found.io/app/kibana#/discover/Steve-Slow-Train-Analysis-(2080s-and-2083s)?_g=(refreshInterval:(display:Off,pause:!f,section:0,value:0),time:(from:'2017-05-06T19:39:19-0600',mode:absolute,to:'2017-05-06T21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5" s="192" t="str">
        <f t="shared" si="50"/>
        <v>N</v>
      </c>
      <c r="X185" s="192">
        <f t="shared" si="64"/>
        <v>1</v>
      </c>
      <c r="Y185" s="192">
        <f t="shared" si="52"/>
        <v>5.8616999999999999</v>
      </c>
      <c r="Z185" s="192">
        <f t="shared" si="53"/>
        <v>8.3900000000000002E-2</v>
      </c>
      <c r="AA185" s="192">
        <f t="shared" si="54"/>
        <v>5.7778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55"/>
        <v>1830-06</v>
      </c>
      <c r="AE185" s="80" t="str">
        <f t="shared" si="56"/>
        <v>aws s3 cp s3://rtdc.mdm.uploadarchive.raw/RTDC4013/ "%USERPROFILE%\AppData\Local\Temp\OnboardLogs"\RTDC4013\2017-05-06 --exclude "*" --recursive --include "*20170506*" &amp; "%USERPROFILE%\Documents\GitHub\mrs-test-scripts\Headless Mode &amp; Sideloading\WalkAndUnGZ.bat" "%USERPROFILE%\AppData\Local\Temp\OnboardLogs"\RTDC4013\2017-05-06 &amp; aws s3 cp s3://rtdc.mdm.uploadarchive.raw/RTDC4013/ "%USERPROFILE%\AppData\Local\Temp\OnboardLogs"\RTDC4013\2017-05-07 --exclude "*" --recursive --include "*20170507*" &amp; "%USERPROFILE%\Documents\GitHub\mrs-test-scripts\Headless Mode &amp; Sideloading\WalkAndUnGZ.bat" "%USERPROFILE%\AppData\Local\Temp\OnboardLogs"\RTDC4013\2017-05-07</v>
      </c>
      <c r="AF185" s="77" t="str">
        <f t="shared" si="57"/>
        <v>"C:\Program Files (x86)\AstroGrep\AstroGrep.exe" /e /r /s /spath="%USERPROFILE%\AppData\Local\Temp\OnboardLogs" /stypes="app*4013*20170507*" /stext=" 02:.+((SYSTEM_STATE.+slice.+state.+changed )|(ment ac)|(multiple cpu faults)|(system.+state.+changed )|(\[timeout)|(PRM\|1\|D)|(kpr)|(kdp)|(train st.+moving)|(\|lc)|(penalty))"</v>
      </c>
      <c r="AG185" s="1" t="str">
        <f t="shared" si="58"/>
        <v>NW</v>
      </c>
      <c r="AH185" s="81" t="str">
        <f t="shared" si="59"/>
        <v>"%USERPROFILE%\Documents\GitHub\eaglep3\Utilities\RefineRTDCRunTimes.py" --tripid 1830-06 --locoid 4013 --swversion DE.1.0.9.0 --startMP 300:58617 --initTime 2017-05-06T20:39:19 --startdatetime 2017-05-06T20:41:21 --delay 1 --endMP 204:839 --enddatetime 2017-05-06T20:53:23 --enforcementcount 0 &gt;&gt;C:\Users\stu\Documents\GitHub\eaglep3-reporting\EC\2017-05-06-refined-times.txt</v>
      </c>
      <c r="AI185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{"issue":{"subject":"","project_id":79,"tracker_id":40,"status_id":1,"priority_id":2,"assigned_to_id":23,"start_date":"2017-05-06","description":"","custom_fields":[{"id":1,"name":"Subdivision","value":"NW"},{"id":4,"name":"Milepost","value":"0.0839"},{"id":17,"name":"Train ID","value":"1830-06"},{"id":16,"name":"Locomotive ID","value":"4013"},{"id":130,"name":"Impact","value":""},{"id":150,"name":"Time of Event (Mountain Time)","value":"20:53:23"},{"id":151,"name":"Denver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61"/>
        <v>start /low /b %USERPROFILE%\Documents\GitHub\eaglep3\Utilities\DownloadLogsFromS3.py --loco 4013 --day 2017-05-06</v>
      </c>
      <c r="AN185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02:53:23"},{"id":29,"name":"Sharepoint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742</v>
      </c>
      <c r="B186" s="7">
        <v>4014</v>
      </c>
      <c r="C186" s="21" t="s">
        <v>210</v>
      </c>
      <c r="D186" s="21" t="s">
        <v>861</v>
      </c>
      <c r="E186" s="13">
        <v>42861.888819444444</v>
      </c>
      <c r="F186" s="13">
        <v>42861.890613425923</v>
      </c>
      <c r="G186" s="7">
        <v>1</v>
      </c>
      <c r="H186" s="21" t="s">
        <v>433</v>
      </c>
      <c r="I186" s="13">
        <v>42861.900104166663</v>
      </c>
      <c r="J186" s="7">
        <v>0</v>
      </c>
      <c r="K186" s="92" t="str">
        <f t="shared" si="44"/>
        <v>4013/4014</v>
      </c>
      <c r="L186" s="21" t="str">
        <f>VLOOKUP(A186,'Trips&amp;Operators'!$C$1:$G$99999,5,FALSE)</f>
        <v>HELVIE ADAM</v>
      </c>
      <c r="M186" s="6">
        <f t="shared" si="45"/>
        <v>9.4907407401478849E-3</v>
      </c>
      <c r="N186" s="7">
        <f t="shared" si="46"/>
        <v>13.666666665812954</v>
      </c>
      <c r="O186" s="7"/>
      <c r="P186" s="7"/>
      <c r="Q186" s="22"/>
      <c r="R186" s="190"/>
      <c r="S186" s="196">
        <f t="shared" si="47"/>
        <v>1</v>
      </c>
      <c r="T186" s="190" t="str">
        <f t="shared" si="48"/>
        <v>NorthBound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49"/>
        <v>https://d0f6bd738d7f1b3e5a7ca70fe4ff75f0.us-east-1.aws.found.io/app/kibana#/discover/Steve-Slow-Train-Analysis-(2080s-and-2083s)?_g=(refreshInterval:(display:Off,pause:!f,section:0,value:0),time:(from:'2017-05-06T20:19:54-0600',mode:absolute,to:'2017-05-06T22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6" s="192" t="str">
        <f t="shared" si="50"/>
        <v>N</v>
      </c>
      <c r="X186" s="192">
        <f t="shared" si="64"/>
        <v>1</v>
      </c>
      <c r="Y186" s="192">
        <f t="shared" si="52"/>
        <v>0.1128</v>
      </c>
      <c r="Z186" s="192">
        <f t="shared" si="53"/>
        <v>5.8939000000000004</v>
      </c>
      <c r="AA186" s="192">
        <f t="shared" si="54"/>
        <v>5.7811000000000003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55"/>
        <v>1831-06</v>
      </c>
      <c r="AE186" s="80" t="str">
        <f t="shared" si="56"/>
        <v>aws s3 cp s3://rtdc.mdm.uploadarchive.raw/RTDC4014/ "%USERPROFILE%\AppData\Local\Temp\OnboardLogs"\RTDC4014\2017-05-06 --exclude "*" --recursive --include "*20170506*" &amp; "%USERPROFILE%\Documents\GitHub\mrs-test-scripts\Headless Mode &amp; Sideloading\WalkAndUnGZ.bat" "%USERPROFILE%\AppData\Local\Temp\OnboardLogs"\RTDC4014\2017-05-06 &amp; aws s3 cp s3://rtdc.mdm.uploadarchive.raw/RTDC4014/ "%USERPROFILE%\AppData\Local\Temp\OnboardLogs"\RTDC4014\2017-05-07 --exclude "*" --recursive --include "*20170507*" &amp; "%USERPROFILE%\Documents\GitHub\mrs-test-scripts\Headless Mode &amp; Sideloading\WalkAndUnGZ.bat" "%USERPROFILE%\AppData\Local\Temp\OnboardLogs"\RTDC4014\2017-05-07</v>
      </c>
      <c r="AF186" s="77" t="str">
        <f t="shared" si="57"/>
        <v>"C:\Program Files (x86)\AstroGrep\AstroGrep.exe" /e /r /s /spath="%USERPROFILE%\AppData\Local\Temp\OnboardLogs" /stypes="app*4014*20170507*" /stext=" 03:.+((SYSTEM_STATE.+slice.+state.+changed )|(ment ac)|(multiple cpu faults)|(system.+state.+changed )|(\[timeout)|(PRM\|1\|D)|(kpr)|(kdp)|(train st.+moving)|(\|lc)|(penalty))"</v>
      </c>
      <c r="AG186" s="1" t="str">
        <f t="shared" si="58"/>
        <v>NW</v>
      </c>
      <c r="AH186" s="81" t="str">
        <f t="shared" si="59"/>
        <v>"%USERPROFILE%\Documents\GitHub\eaglep3\Utilities\RefineRTDCRunTimes.py" --tripid 1831-06 --locoid 4014 --swversion DE.1.0.9.0 --startMP 204:1128 --initTime 2017-05-06T21:19:54 --startdatetime 2017-05-06T21:22:29 --delay 1 --endMP 300:58939 --enddatetime 2017-05-06T21:36:09 --enforcementcount 0 &gt;&gt;C:\Users\stu\Documents\GitHub\eaglep3-reporting\EC\2017-05-06-refined-times.txt</v>
      </c>
      <c r="AI186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{"issue":{"subject":"","project_id":79,"tracker_id":40,"status_id":1,"priority_id":2,"assigned_to_id":23,"start_date":"2017-05-06","description":"","custom_fields":[{"id":1,"name":"Subdivision","value":"NW"},{"id":4,"name":"Milepost","value":"5.8939"},{"id":17,"name":"Train ID","value":"1831-06"},{"id":16,"name":"Locomotive ID","value":"4014"},{"id":130,"name":"Impact","value":""},{"id":150,"name":"Time of Event (Mountain Time)","value":"21:36:09"},{"id":151,"name":"Denver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61"/>
        <v>start /low /b %USERPROFILE%\Documents\GitHub\eaglep3\Utilities\DownloadLogsFromS3.py --loco 4014 --day 2017-05-06</v>
      </c>
      <c r="AN186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03:36:09"},{"id":29,"name":"Sharepoint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744</v>
      </c>
      <c r="B187" s="7">
        <v>4013</v>
      </c>
      <c r="C187" s="21" t="s">
        <v>210</v>
      </c>
      <c r="D187" s="21" t="s">
        <v>862</v>
      </c>
      <c r="E187" s="13">
        <v>42861.90084490741</v>
      </c>
      <c r="F187" s="13">
        <v>42861.903067129628</v>
      </c>
      <c r="G187" s="7">
        <v>1</v>
      </c>
      <c r="H187" s="21" t="s">
        <v>863</v>
      </c>
      <c r="I187" s="13">
        <v>42861.912893518522</v>
      </c>
      <c r="J187" s="7">
        <v>0</v>
      </c>
      <c r="K187" s="92" t="str">
        <f t="shared" si="44"/>
        <v>4013/4014</v>
      </c>
      <c r="L187" s="21" t="str">
        <f>VLOOKUP(A187,'Trips&amp;Operators'!$C$1:$G$99999,5,FALSE)</f>
        <v>HELVIE ADAM</v>
      </c>
      <c r="M187" s="6">
        <f t="shared" si="45"/>
        <v>9.826388893998228E-3</v>
      </c>
      <c r="N187" s="7">
        <f t="shared" si="46"/>
        <v>14.150000007357448</v>
      </c>
      <c r="O187" s="7"/>
      <c r="P187" s="7"/>
      <c r="Q187" s="22"/>
      <c r="R187" s="190"/>
      <c r="S187" s="196">
        <f t="shared" si="47"/>
        <v>1</v>
      </c>
      <c r="T187" s="190" t="str">
        <f t="shared" si="48"/>
        <v>Southbound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49"/>
        <v>https://d0f6bd738d7f1b3e5a7ca70fe4ff75f0.us-east-1.aws.found.io/app/kibana#/discover/Steve-Slow-Train-Analysis-(2080s-and-2083s)?_g=(refreshInterval:(display:Off,pause:!f,section:0,value:0),time:(from:'2017-05-06T20:37:13-0600',mode:absolute,to:'2017-05-06T22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7" s="192" t="str">
        <f t="shared" si="50"/>
        <v>N</v>
      </c>
      <c r="X187" s="192">
        <f t="shared" si="64"/>
        <v>1</v>
      </c>
      <c r="Y187" s="192">
        <f t="shared" si="52"/>
        <v>5.8620999999999999</v>
      </c>
      <c r="Z187" s="192">
        <f t="shared" si="53"/>
        <v>6.8199999999999997E-2</v>
      </c>
      <c r="AA187" s="192">
        <f t="shared" si="54"/>
        <v>5.7938999999999998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55"/>
        <v>1832-06</v>
      </c>
      <c r="AE187" s="80" t="str">
        <f t="shared" si="56"/>
        <v>aws s3 cp s3://rtdc.mdm.uploadarchive.raw/RTDC4013/ "%USERPROFILE%\AppData\Local\Temp\OnboardLogs"\RTDC4013\2017-05-06 --exclude "*" --recursive --include "*20170506*" &amp; "%USERPROFILE%\Documents\GitHub\mrs-test-scripts\Headless Mode &amp; Sideloading\WalkAndUnGZ.bat" "%USERPROFILE%\AppData\Local\Temp\OnboardLogs"\RTDC4013\2017-05-06 &amp; aws s3 cp s3://rtdc.mdm.uploadarchive.raw/RTDC4013/ "%USERPROFILE%\AppData\Local\Temp\OnboardLogs"\RTDC4013\2017-05-07 --exclude "*" --recursive --include "*20170507*" &amp; "%USERPROFILE%\Documents\GitHub\mrs-test-scripts\Headless Mode &amp; Sideloading\WalkAndUnGZ.bat" "%USERPROFILE%\AppData\Local\Temp\OnboardLogs"\RTDC4013\2017-05-07</v>
      </c>
      <c r="AF187" s="77" t="str">
        <f t="shared" si="57"/>
        <v>"C:\Program Files (x86)\AstroGrep\AstroGrep.exe" /e /r /s /spath="%USERPROFILE%\AppData\Local\Temp\OnboardLogs" /stypes="app*4013*20170507*" /stext=" 03:.+((SYSTEM_STATE.+slice.+state.+changed )|(ment ac)|(multiple cpu faults)|(system.+state.+changed )|(\[timeout)|(PRM\|1\|D)|(kpr)|(kdp)|(train st.+moving)|(\|lc)|(penalty))"</v>
      </c>
      <c r="AG187" s="1" t="str">
        <f t="shared" si="58"/>
        <v>NW</v>
      </c>
      <c r="AH187" s="81" t="str">
        <f t="shared" si="59"/>
        <v>"%USERPROFILE%\Documents\GitHub\eaglep3\Utilities\RefineRTDCRunTimes.py" --tripid 1832-06 --locoid 4013 --swversion DE.1.0.9.0 --startMP 300:58621 --initTime 2017-05-06T21:37:13 --startdatetime 2017-05-06T21:40:25 --delay 1 --endMP 204:682 --enddatetime 2017-05-06T21:54:34 --enforcementcount 0 &gt;&gt;C:\Users\stu\Documents\GitHub\eaglep3-reporting\EC\2017-05-06-refined-times.txt</v>
      </c>
      <c r="AI187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{"issue":{"subject":"","project_id":79,"tracker_id":40,"status_id":1,"priority_id":2,"assigned_to_id":23,"start_date":"2017-05-06","description":"","custom_fields":[{"id":1,"name":"Subdivision","value":"NW"},{"id":4,"name":"Milepost","value":"0.0682"},{"id":17,"name":"Train ID","value":"1832-06"},{"id":16,"name":"Locomotive ID","value":"4013"},{"id":130,"name":"Impact","value":""},{"id":150,"name":"Time of Event (Mountain Time)","value":"21:54:34"},{"id":151,"name":"Denver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61"/>
        <v>start /low /b %USERPROFILE%\Documents\GitHub\eaglep3\Utilities\DownloadLogsFromS3.py --loco 4013 --day 2017-05-06</v>
      </c>
      <c r="AN187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03:54:34"},{"id":29,"name":"Sharepoint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748</v>
      </c>
      <c r="B188" s="7">
        <v>4014</v>
      </c>
      <c r="C188" s="21" t="s">
        <v>210</v>
      </c>
      <c r="D188" s="21" t="s">
        <v>468</v>
      </c>
      <c r="E188" s="13">
        <v>42861.929942129631</v>
      </c>
      <c r="F188" s="13">
        <v>42861.931805555556</v>
      </c>
      <c r="G188" s="7">
        <v>1</v>
      </c>
      <c r="H188" s="21" t="s">
        <v>864</v>
      </c>
      <c r="I188" s="13">
        <v>42861.941134259258</v>
      </c>
      <c r="J188" s="7">
        <v>0</v>
      </c>
      <c r="K188" s="92" t="str">
        <f t="shared" si="44"/>
        <v>4013/4014</v>
      </c>
      <c r="L188" s="21" t="str">
        <f>VLOOKUP(A188,'Trips&amp;Operators'!$C$1:$G$99999,5,FALSE)</f>
        <v>HELVIE ADAM</v>
      </c>
      <c r="M188" s="6">
        <f t="shared" si="45"/>
        <v>9.3287037016125396E-3</v>
      </c>
      <c r="N188" s="7">
        <f t="shared" si="46"/>
        <v>13.433333330322057</v>
      </c>
      <c r="O188" s="7"/>
      <c r="P188" s="7"/>
      <c r="Q188" s="22"/>
      <c r="R188" s="190"/>
      <c r="S188" s="196">
        <f t="shared" si="47"/>
        <v>1</v>
      </c>
      <c r="T188" s="190" t="str">
        <f t="shared" si="48"/>
        <v>NorthBound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49"/>
        <v>https://d0f6bd738d7f1b3e5a7ca70fe4ff75f0.us-east-1.aws.found.io/app/kibana#/discover/Steve-Slow-Train-Analysis-(2080s-and-2083s)?_g=(refreshInterval:(display:Off,pause:!f,section:0,value:0),time:(from:'2017-05-06T21:19:07-0600',mode:absolute,to:'2017-05-06T23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8" s="192" t="str">
        <f t="shared" si="50"/>
        <v>N</v>
      </c>
      <c r="X188" s="192">
        <f t="shared" si="64"/>
        <v>1</v>
      </c>
      <c r="Y188" s="192">
        <f t="shared" si="52"/>
        <v>0.1007</v>
      </c>
      <c r="Z188" s="192">
        <f t="shared" si="53"/>
        <v>5.8925999999999998</v>
      </c>
      <c r="AA188" s="192">
        <f t="shared" si="54"/>
        <v>5.7919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55"/>
        <v>1833-06</v>
      </c>
      <c r="AE188" s="80" t="str">
        <f t="shared" si="56"/>
        <v>aws s3 cp s3://rtdc.mdm.uploadarchive.raw/RTDC4014/ "%USERPROFILE%\AppData\Local\Temp\OnboardLogs"\RTDC4014\2017-05-06 --exclude "*" --recursive --include "*20170506*" &amp; "%USERPROFILE%\Documents\GitHub\mrs-test-scripts\Headless Mode &amp; Sideloading\WalkAndUnGZ.bat" "%USERPROFILE%\AppData\Local\Temp\OnboardLogs"\RTDC4014\2017-05-06 &amp; aws s3 cp s3://rtdc.mdm.uploadarchive.raw/RTDC4014/ "%USERPROFILE%\AppData\Local\Temp\OnboardLogs"\RTDC4014\2017-05-07 --exclude "*" --recursive --include "*20170507*" &amp; "%USERPROFILE%\Documents\GitHub\mrs-test-scripts\Headless Mode &amp; Sideloading\WalkAndUnGZ.bat" "%USERPROFILE%\AppData\Local\Temp\OnboardLogs"\RTDC4014\2017-05-07</v>
      </c>
      <c r="AF188" s="77" t="str">
        <f t="shared" si="57"/>
        <v>"C:\Program Files (x86)\AstroGrep\AstroGrep.exe" /e /r /s /spath="%USERPROFILE%\AppData\Local\Temp\OnboardLogs" /stypes="app*4014*20170507*" /stext=" 04:.+((SYSTEM_STATE.+slice.+state.+changed )|(ment ac)|(multiple cpu faults)|(system.+state.+changed )|(\[timeout)|(PRM\|1\|D)|(kpr)|(kdp)|(train st.+moving)|(\|lc)|(penalty))"</v>
      </c>
      <c r="AG188" s="1" t="str">
        <f t="shared" si="58"/>
        <v>NW</v>
      </c>
      <c r="AH188" s="81" t="str">
        <f t="shared" si="59"/>
        <v>"%USERPROFILE%\Documents\GitHub\eaglep3\Utilities\RefineRTDCRunTimes.py" --tripid 1833-06 --locoid 4014 --swversion DE.1.0.9.0 --startMP 204:1007 --initTime 2017-05-06T22:19:07 --startdatetime 2017-05-06T22:21:48 --delay 1 --endMP 300:58926 --enddatetime 2017-05-06T22:35:14 --enforcementcount 0 &gt;&gt;C:\Users\stu\Documents\GitHub\eaglep3-reporting\EC\2017-05-06-refined-times.txt</v>
      </c>
      <c r="AI188" s="99" t="str">
        <f t="shared" si="60"/>
        <v>echo {"issue":{"subject":"","project_id":79,"tracker_id":40,"status_id":1,"priority_id":2,"assigned_to_id":23,"start_date":"2017-05-06","description":"","custom_fields":[{"id":1,"name":"Subdivision","value":"NW"},{"id":4,"name":"Milepost","value":"5.8926"},{"id":17,"name":"Train ID","value":"1833-06"},{"id":16,"name":"Locomotive ID","value":"4014"},{"id":130,"name":"Impact","value":""},{"id":150,"name":"Time of Event (Mountain Time)","value":"22:35:14"},{"id":151,"name":"Denver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61"/>
        <v>start /low /b %USERPROFILE%\Documents\GitHub\eaglep3\Utilities\DownloadLogsFromS3.py --loco 4014 --day 2017-05-06</v>
      </c>
      <c r="AN188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04:35:14"},{"id":29,"name":"Sharepoint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573</v>
      </c>
      <c r="B189" s="7">
        <v>4005</v>
      </c>
      <c r="C189" s="21" t="s">
        <v>210</v>
      </c>
      <c r="D189" s="21" t="s">
        <v>910</v>
      </c>
      <c r="E189" s="13">
        <v>42861.11791666667</v>
      </c>
      <c r="F189" s="13">
        <v>42861.123541666668</v>
      </c>
      <c r="G189" s="7">
        <v>8</v>
      </c>
      <c r="H189" s="21" t="s">
        <v>911</v>
      </c>
      <c r="I189" s="13">
        <v>42861.129525462966</v>
      </c>
      <c r="J189" s="7">
        <v>0</v>
      </c>
      <c r="K189" s="92" t="str">
        <f t="shared" si="44"/>
        <v>4005/4006</v>
      </c>
      <c r="L189" s="21" t="str">
        <f>VLOOKUP(A189,'Trips&amp;Operators'!$C$1:$G$99999,5,FALSE)</f>
        <v>BADERTSCHER DIANE</v>
      </c>
      <c r="M189" s="6">
        <f t="shared" si="45"/>
        <v>5.9837962980964221E-3</v>
      </c>
      <c r="N189" s="7">
        <f t="shared" si="46"/>
        <v>8.6166666692588478</v>
      </c>
      <c r="O189" s="7"/>
      <c r="P189" s="7"/>
      <c r="Q189" s="22"/>
      <c r="R189" s="190"/>
      <c r="S189" s="196">
        <f t="shared" si="47"/>
        <v>1</v>
      </c>
      <c r="T189" s="190" t="str">
        <f t="shared" si="48"/>
        <v>Southbound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49"/>
        <v>https://d0f6bd738d7f1b3e5a7ca70fe4ff75f0.us-east-1.aws.found.io/app/kibana#/discover/Steve-Slow-Train-Analysis-(2080s-and-2083s)?_g=(refreshInterval:(display:Off,pause:!f,section:0,value:0),time:(from:'2017-05-06T01:49:48-0600',mode:absolute,to:'2017-05-06T04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9" s="192" t="str">
        <f t="shared" si="50"/>
        <v>Y</v>
      </c>
      <c r="X189" s="192">
        <f t="shared" ref="X189:X220" si="65">VALUE(LEFT(AD189,4))-VALUE(LEFT(AD188,4))</f>
        <v>-1531</v>
      </c>
      <c r="Y189" s="192">
        <f t="shared" si="52"/>
        <v>2.2681</v>
      </c>
      <c r="Z189" s="192">
        <f t="shared" si="53"/>
        <v>1.23E-2</v>
      </c>
      <c r="AA189" s="192">
        <f t="shared" si="54"/>
        <v>2.2557999999999998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55"/>
        <v>0302-06</v>
      </c>
      <c r="AE189" s="80" t="str">
        <f t="shared" si="56"/>
        <v>aws s3 cp s3://rtdc.mdm.uploadarchive.raw/RTDC4005/ "%USERPROFILE%\AppData\Local\Temp\OnboardLogs"\RTDC4005\2017-05-06 --exclude "*" --recursive --include "*20170506*" &amp; "%USERPROFILE%\Documents\GitHub\mrs-test-scripts\Headless Mode &amp; Sideloading\WalkAndUnGZ.bat" "%USERPROFILE%\AppData\Local\Temp\OnboardLogs"\RTDC4005\2017-05-06 &amp; 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</v>
      </c>
      <c r="AF189" s="77" t="str">
        <f t="shared" si="57"/>
        <v>"C:\Program Files (x86)\AstroGrep\AstroGrep.exe" /e /r /s /spath="%USERPROFILE%\AppData\Local\Temp\OnboardLogs" /stypes="app*4005*20170506*" /stext=" 09:.+((SYSTEM_STATE.+slice.+state.+changed )|(ment ac)|(multiple cpu faults)|(system.+state.+changed )|(\[timeout)|(PRM\|1\|D)|(kpr)|(kdp)|(train st.+moving)|(\|lc)|(penalty))"</v>
      </c>
      <c r="AG189" s="1" t="str">
        <f t="shared" si="58"/>
        <v>Other</v>
      </c>
      <c r="AH189" s="81" t="str">
        <f t="shared" si="59"/>
        <v>"%USERPROFILE%\Documents\GitHub\eaglep3\Utilities\RefineRTDCRunTimes.py" --tripid 302-06 --locoid 4005 --swversion DE.1.0.9.0 --startMP 300:22681 --initTime 2017-05-06T02:49:48 --startdatetime 2017-05-06T02:57:54 --delay 8 --endMP 204:123 --enddatetime 2017-05-06T03:06:31 --enforcementcount 0 &gt;&gt;C:\Users\stu\Documents\GitHub\eaglep3-reporting\EC\2017-05-06-refined-times.txt</v>
      </c>
      <c r="AI189" s="99" t="str">
        <f t="shared" si="60"/>
        <v>echo {"issue":{"subject":"","project_id":79,"tracker_id":40,"status_id":1,"priority_id":2,"assigned_to_id":23,"start_date":"2017-05-06","description":"","custom_fields":[{"id":1,"name":"Subdivision","value":"Other"},{"id":4,"name":"Milepost","value":"0.0123"},{"id":17,"name":"Train ID","value":"302-06"},{"id":16,"name":"Locomotive ID","value":"4005"},{"id":130,"name":"Impact","value":""},{"id":150,"name":"Time of Event (Mountain Time)","value":"03:06:31"},{"id":151,"name":"Denver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61"/>
        <v>start /low /b %USERPROFILE%\Documents\GitHub\eaglep3\Utilities\DownloadLogsFromS3.py --loco 4005 --day 2017-05-06</v>
      </c>
      <c r="AN189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09:06:31"},{"id":29,"name":"Sharepoint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722</v>
      </c>
      <c r="B190" s="7">
        <v>4002</v>
      </c>
      <c r="C190" s="21" t="s">
        <v>210</v>
      </c>
      <c r="D190" s="21" t="s">
        <v>427</v>
      </c>
      <c r="E190" s="13">
        <v>42861.782106481478</v>
      </c>
      <c r="F190" s="13">
        <v>42861.790729166663</v>
      </c>
      <c r="G190" s="7">
        <v>2</v>
      </c>
      <c r="H190" s="21" t="s">
        <v>912</v>
      </c>
      <c r="I190" s="13">
        <v>42861.803136574075</v>
      </c>
      <c r="J190" s="7">
        <v>0</v>
      </c>
      <c r="K190" s="92" t="str">
        <f t="shared" si="44"/>
        <v>4001/4002</v>
      </c>
      <c r="L190" s="21" t="str">
        <f>VLOOKUP(A190,'Trips&amp;Operators'!$C$1:$G$99999,5,FALSE)</f>
        <v>DAVIS MICHAEL</v>
      </c>
      <c r="M190" s="6">
        <f t="shared" si="45"/>
        <v>1.2407407411956228E-2</v>
      </c>
      <c r="N190" s="7">
        <f t="shared" si="46"/>
        <v>17.866666673216969</v>
      </c>
      <c r="O190" s="7"/>
      <c r="P190" s="7"/>
      <c r="Q190" s="22"/>
      <c r="R190" s="190"/>
      <c r="S190" s="196">
        <f t="shared" si="47"/>
        <v>1</v>
      </c>
      <c r="T190" s="190" t="str">
        <f t="shared" si="48"/>
        <v>NorthBound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49"/>
        <v>https://d0f6bd738d7f1b3e5a7ca70fe4ff75f0.us-east-1.aws.found.io/app/kibana#/discover/Steve-Slow-Train-Analysis-(2080s-and-2083s)?_g=(refreshInterval:(display:Off,pause:!f,section:0,value:0),time:(from:'2017-05-06T17:46:14-0600',mode:absolute,to:'2017-05-06T20:16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0" s="192" t="str">
        <f t="shared" si="50"/>
        <v>Y</v>
      </c>
      <c r="X190" s="192">
        <f t="shared" si="65"/>
        <v>1</v>
      </c>
      <c r="Y190" s="192">
        <f t="shared" si="52"/>
        <v>4.4200000000000003E-2</v>
      </c>
      <c r="Z190" s="192">
        <f t="shared" si="53"/>
        <v>2.3298999999999999</v>
      </c>
      <c r="AA190" s="192">
        <f t="shared" si="54"/>
        <v>2.2856999999999998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55"/>
        <v>0303-06</v>
      </c>
      <c r="AE190" s="80" t="str">
        <f t="shared" si="56"/>
        <v>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 &amp; aws s3 cp s3://rtdc.mdm.uploadarchive.raw/RTDC4002/ "%USERPROFILE%\AppData\Local\Temp\OnboardLogs"\RTDC4002\2017-05-07 --exclude "*" --recursive --include "*20170507*" &amp; "%USERPROFILE%\Documents\GitHub\mrs-test-scripts\Headless Mode &amp; Sideloading\WalkAndUnGZ.bat" "%USERPROFILE%\AppData\Local\Temp\OnboardLogs"\RTDC4002\2017-05-07</v>
      </c>
      <c r="AF190" s="77" t="str">
        <f t="shared" si="57"/>
        <v>"C:\Program Files (x86)\AstroGrep\AstroGrep.exe" /e /r /s /spath="%USERPROFILE%\AppData\Local\Temp\OnboardLogs" /stypes="app*4002*20170507*" /stext=" 01:.+((SYSTEM_STATE.+slice.+state.+changed )|(ment ac)|(multiple cpu faults)|(system.+state.+changed )|(\[timeout)|(PRM\|1\|D)|(kpr)|(kdp)|(train st.+moving)|(\|lc)|(penalty))"</v>
      </c>
      <c r="AG190" s="1" t="str">
        <f t="shared" si="58"/>
        <v>Other</v>
      </c>
      <c r="AH190" s="81" t="str">
        <f t="shared" si="59"/>
        <v>"%USERPROFILE%\Documents\GitHub\eaglep3\Utilities\RefineRTDCRunTimes.py" --tripid 303-06 --locoid 4002 --swversion DE.1.0.9.0 --startMP 204:442 --initTime 2017-05-06T18:46:14 --startdatetime 2017-05-06T18:58:39 --delay 2 --endMP 300:23299 --enddatetime 2017-05-06T19:16:31 --enforcementcount 0 &gt;&gt;C:\Users\stu\Documents\GitHub\eaglep3-reporting\EC\2017-05-06-refined-times.txt</v>
      </c>
      <c r="AI190" s="99" t="str">
        <f t="shared" si="60"/>
        <v>echo {"issue":{"subject":"","project_id":79,"tracker_id":40,"status_id":1,"priority_id":2,"assigned_to_id":23,"start_date":"2017-05-06","description":"","custom_fields":[{"id":1,"name":"Subdivision","value":"Other"},{"id":4,"name":"Milepost","value":"2.3299"},{"id":17,"name":"Train ID","value":"303-06"},{"id":16,"name":"Locomotive ID","value":"4002"},{"id":130,"name":"Impact","value":""},{"id":150,"name":"Time of Event (Mountain Time)","value":"19:16:31"},{"id":151,"name":"Denver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61"/>
        <v>start /low /b %USERPROFILE%\Documents\GitHub\eaglep3\Utilities\DownloadLogsFromS3.py --loco 4002 --day 2017-05-06</v>
      </c>
      <c r="AN190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01:16:31"},{"id":29,"name":"Sharepoint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575</v>
      </c>
      <c r="B191" s="7">
        <v>4023</v>
      </c>
      <c r="C191" s="21" t="s">
        <v>210</v>
      </c>
      <c r="D191" s="21" t="s">
        <v>913</v>
      </c>
      <c r="E191" s="13">
        <v>42861.136504629627</v>
      </c>
      <c r="F191" s="13">
        <v>42861.139178240737</v>
      </c>
      <c r="G191" s="7">
        <v>3</v>
      </c>
      <c r="H191" s="21" t="s">
        <v>197</v>
      </c>
      <c r="I191" s="13">
        <v>42861.145231481481</v>
      </c>
      <c r="J191" s="7">
        <v>0</v>
      </c>
      <c r="K191" s="92" t="str">
        <f t="shared" si="44"/>
        <v>4023/4024</v>
      </c>
      <c r="L191" s="21" t="str">
        <f>VLOOKUP(A191,'Trips&amp;Operators'!$C$1:$G$99999,5,FALSE)</f>
        <v>ROBINSON KADDIBA</v>
      </c>
      <c r="M191" s="6">
        <f t="shared" si="45"/>
        <v>6.0532407442224212E-3</v>
      </c>
      <c r="N191" s="7">
        <f t="shared" si="46"/>
        <v>8.7166666716802865</v>
      </c>
      <c r="O191" s="7"/>
      <c r="P191" s="7"/>
      <c r="Q191" s="22"/>
      <c r="R191" s="190"/>
      <c r="S191" s="196">
        <f t="shared" si="47"/>
        <v>1</v>
      </c>
      <c r="T191" s="190" t="str">
        <f t="shared" si="48"/>
        <v>Southbound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49"/>
        <v>https://d0f6bd738d7f1b3e5a7ca70fe4ff75f0.us-east-1.aws.found.io/app/kibana#/discover/Steve-Slow-Train-Analysis-(2080s-and-2083s)?_g=(refreshInterval:(display:Off,pause:!f,section:0,value:0),time:(from:'2017-05-06T02:16:34-0600',mode:absolute,to:'2017-05-06T04:29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1" s="192" t="str">
        <f t="shared" si="50"/>
        <v>Y</v>
      </c>
      <c r="X191" s="192">
        <f t="shared" si="65"/>
        <v>1</v>
      </c>
      <c r="Y191" s="192">
        <f t="shared" si="52"/>
        <v>2.3860000000000001</v>
      </c>
      <c r="Z191" s="192">
        <f t="shared" si="53"/>
        <v>1.52E-2</v>
      </c>
      <c r="AA191" s="192">
        <f t="shared" si="54"/>
        <v>2.3708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55"/>
        <v>0304-06</v>
      </c>
      <c r="AE191" s="80" t="str">
        <f t="shared" si="56"/>
        <v>aws s3 cp s3://rtdc.mdm.uploadarchive.raw/RTDC4023/ "%USERPROFILE%\AppData\Local\Temp\OnboardLogs"\RTDC4023\2017-05-06 --exclude "*" --recursive --include "*20170506*" &amp; "%USERPROFILE%\Documents\GitHub\mrs-test-scripts\Headless Mode &amp; Sideloading\WalkAndUnGZ.bat" "%USERPROFILE%\AppData\Local\Temp\OnboardLogs"\RTDC4023\2017-05-06 &amp; aws s3 cp s3://rtdc.mdm.uploadarchive.raw/RTDC4023/ "%USERPROFILE%\AppData\Local\Temp\OnboardLogs"\RTDC4023\2017-05-07 --exclude "*" --recursive --include "*20170507*" &amp; "%USERPROFILE%\Documents\GitHub\mrs-test-scripts\Headless Mode &amp; Sideloading\WalkAndUnGZ.bat" "%USERPROFILE%\AppData\Local\Temp\OnboardLogs"\RTDC4023\2017-05-07</v>
      </c>
      <c r="AF191" s="77" t="str">
        <f t="shared" si="57"/>
        <v>"C:\Program Files (x86)\AstroGrep\AstroGrep.exe" /e /r /s /spath="%USERPROFILE%\AppData\Local\Temp\OnboardLogs" /stypes="app*4023*20170506*" /stext=" 09:.+((SYSTEM_STATE.+slice.+state.+changed )|(ment ac)|(multiple cpu faults)|(system.+state.+changed )|(\[timeout)|(PRM\|1\|D)|(kpr)|(kdp)|(train st.+moving)|(\|lc)|(penalty))"</v>
      </c>
      <c r="AG191" s="1" t="str">
        <f t="shared" si="58"/>
        <v>Other</v>
      </c>
      <c r="AH191" s="81" t="str">
        <f t="shared" si="59"/>
        <v>"%USERPROFILE%\Documents\GitHub\eaglep3\Utilities\RefineRTDCRunTimes.py" --tripid 304-06 --locoid 4023 --swversion DE.1.0.9.0 --startMP 300:23860 --initTime 2017-05-06T03:16:34 --startdatetime 2017-05-06T03:20:25 --delay 3 --endMP 204:152 --enddatetime 2017-05-06T03:29:08 --enforcementcount 0 &gt;&gt;C:\Users\stu\Documents\GitHub\eaglep3-reporting\EC\2017-05-06-refined-times.txt</v>
      </c>
      <c r="AI191" s="99" t="str">
        <f t="shared" si="60"/>
        <v>echo {"issue":{"subject":"","project_id":79,"tracker_id":40,"status_id":1,"priority_id":2,"assigned_to_id":23,"start_date":"2017-05-06","description":"","custom_fields":[{"id":1,"name":"Subdivision","value":"Other"},{"id":4,"name":"Milepost","value":"0.0152"},{"id":17,"name":"Train ID","value":"304-06"},{"id":16,"name":"Locomotive ID","value":"4023"},{"id":130,"name":"Impact","value":""},{"id":150,"name":"Time of Event (Mountain Time)","value":"03:29:08"},{"id":151,"name":"Denver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61"/>
        <v>start /low /b %USERPROFILE%\Documents\GitHub\eaglep3\Utilities\DownloadLogsFromS3.py --loco 4023 --day 2017-05-06</v>
      </c>
      <c r="AN191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09:29:08"},{"id":29,"name":"Sharepoint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725</v>
      </c>
      <c r="B192" s="7">
        <v>4044</v>
      </c>
      <c r="C192" s="21" t="s">
        <v>210</v>
      </c>
      <c r="D192" s="21" t="s">
        <v>404</v>
      </c>
      <c r="E192" s="13">
        <v>42861.799768518518</v>
      </c>
      <c r="F192" s="13">
        <v>42861.802141203705</v>
      </c>
      <c r="G192" s="7">
        <v>2</v>
      </c>
      <c r="H192" s="21" t="s">
        <v>494</v>
      </c>
      <c r="I192" s="13">
        <v>42861.809016203704</v>
      </c>
      <c r="J192" s="7">
        <v>0</v>
      </c>
      <c r="K192" s="92" t="str">
        <f t="shared" si="44"/>
        <v>4043/4044</v>
      </c>
      <c r="L192" s="21" t="str">
        <f>VLOOKUP(A192,'Trips&amp;Operators'!$C$1:$G$99999,5,FALSE)</f>
        <v>LEVIN SCOTT</v>
      </c>
      <c r="M192" s="6">
        <f t="shared" si="45"/>
        <v>6.8749999991268851E-3</v>
      </c>
      <c r="N192" s="7">
        <f t="shared" si="46"/>
        <v>9.8999999987427145</v>
      </c>
      <c r="O192" s="7"/>
      <c r="P192" s="7"/>
      <c r="Q192" s="22"/>
      <c r="R192" s="190"/>
      <c r="S192" s="196">
        <f t="shared" si="47"/>
        <v>0</v>
      </c>
      <c r="T192" s="190" t="str">
        <f t="shared" si="48"/>
        <v>NorthBound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0</v>
      </c>
      <c r="V192" s="191" t="str">
        <f t="shared" si="49"/>
        <v>https://d0f6bd738d7f1b3e5a7ca70fe4ff75f0.us-east-1.aws.found.io/app/kibana#/discover/Steve-Slow-Train-Analysis-(2080s-and-2083s)?_g=(refreshInterval:(display:Off,pause:!f,section:0,value:0),time:(from:'2017-05-06T18:11:40-0600',mode:absolute,to:'2017-05-06T20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2" s="192" t="str">
        <f t="shared" si="50"/>
        <v>Y</v>
      </c>
      <c r="X192" s="192">
        <f t="shared" si="65"/>
        <v>1</v>
      </c>
      <c r="Y192" s="192">
        <f t="shared" si="52"/>
        <v>4.4699999999999997E-2</v>
      </c>
      <c r="Z192" s="192">
        <f t="shared" si="53"/>
        <v>4.5499999999999999E-2</v>
      </c>
      <c r="AA192" s="192">
        <f t="shared" si="54"/>
        <v>8.000000000000021E-4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55"/>
        <v>0305-06</v>
      </c>
      <c r="AE192" s="80" t="str">
        <f t="shared" si="56"/>
        <v>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 &amp; 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</v>
      </c>
      <c r="AF192" s="77" t="str">
        <f t="shared" si="57"/>
        <v>"C:\Program Files (x86)\AstroGrep\AstroGrep.exe" /e /r /s /spath="%USERPROFILE%\AppData\Local\Temp\OnboardLogs" /stypes="app*4044*20170507*" /stext=" 01:.+((SYSTEM_STATE.+slice.+state.+changed )|(ment ac)|(multiple cpu faults)|(system.+state.+changed )|(\[timeout)|(PRM\|1\|D)|(kpr)|(kdp)|(train st.+moving)|(\|lc)|(penalty))"</v>
      </c>
      <c r="AG192" s="1" t="str">
        <f t="shared" si="58"/>
        <v>Other</v>
      </c>
      <c r="AH192" s="81" t="str">
        <f t="shared" si="59"/>
        <v>"%USERPROFILE%\Documents\GitHub\eaglep3\Utilities\RefineRTDCRunTimes.py" --tripid 305-06 --locoid 4044 --swversion DE.1.0.9.0 --startMP 204:447 --initTime 2017-05-06T19:11:40 --startdatetime 2017-05-06T19:15:05 --delay 2 --endMP 204:455 --enddatetime 2017-05-06T19:24:59 --enforcementcount 0 &gt;&gt;C:\Users\stu\Documents\GitHub\eaglep3-reporting\EC\2017-05-06-refined-times.txt</v>
      </c>
      <c r="AI192" s="99" t="str">
        <f t="shared" si="60"/>
        <v>echo {"issue":{"subject":"","project_id":79,"tracker_id":40,"status_id":1,"priority_id":2,"assigned_to_id":23,"start_date":"2017-05-06","description":"","custom_fields":[{"id":1,"name":"Subdivision","value":"Other"},{"id":4,"name":"Milepost","value":"0.0455"},{"id":17,"name":"Train ID","value":"305-06"},{"id":16,"name":"Locomotive ID","value":"4044"},{"id":130,"name":"Impact","value":""},{"id":150,"name":"Time of Event (Mountain Time)","value":"19:24:59"},{"id":151,"name":"Denver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61"/>
        <v>start /low /b %USERPROFILE%\Documents\GitHub\eaglep3\Utilities\DownloadLogsFromS3.py --loco 4044 --day 2017-05-06</v>
      </c>
      <c r="AN192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01:24:59"},{"id":29,"name":"Sharepoint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s="20" customFormat="1" x14ac:dyDescent="0.25">
      <c r="A193" s="32" t="s">
        <v>577</v>
      </c>
      <c r="B193" s="7">
        <v>4041</v>
      </c>
      <c r="C193" s="21" t="s">
        <v>210</v>
      </c>
      <c r="D193" s="21" t="s">
        <v>914</v>
      </c>
      <c r="E193" s="13">
        <v>42861.164004629631</v>
      </c>
      <c r="F193" s="13">
        <v>42861.166562500002</v>
      </c>
      <c r="G193" s="7">
        <v>3</v>
      </c>
      <c r="H193" s="21" t="s">
        <v>786</v>
      </c>
      <c r="I193" s="13">
        <v>42861.172210648147</v>
      </c>
      <c r="J193" s="7">
        <v>0</v>
      </c>
      <c r="K193" s="92" t="str">
        <f t="shared" si="44"/>
        <v>4041/4042</v>
      </c>
      <c r="L193" s="21" t="str">
        <f>VLOOKUP(A193,'Trips&amp;Operators'!$C$1:$G$99999,5,FALSE)</f>
        <v>MAELZER KURT</v>
      </c>
      <c r="M193" s="6">
        <f t="shared" si="45"/>
        <v>5.648148144246079E-3</v>
      </c>
      <c r="N193" s="7">
        <f t="shared" si="46"/>
        <v>8.1333333277143538</v>
      </c>
      <c r="O193" s="7"/>
      <c r="P193" s="7"/>
      <c r="Q193" s="22"/>
      <c r="R193" s="190"/>
      <c r="S193" s="196">
        <f t="shared" si="47"/>
        <v>1</v>
      </c>
      <c r="T193" s="190" t="str">
        <f t="shared" si="48"/>
        <v>Southbound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49"/>
        <v>https://d0f6bd738d7f1b3e5a7ca70fe4ff75f0.us-east-1.aws.found.io/app/kibana#/discover/Steve-Slow-Train-Analysis-(2080s-and-2083s)?_g=(refreshInterval:(display:Off,pause:!f,section:0,value:0),time:(from:'2017-05-06T02:56:10-0600',mode:absolute,to:'2017-05-06T05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3" s="192" t="str">
        <f t="shared" si="50"/>
        <v>Y</v>
      </c>
      <c r="X193" s="192">
        <f t="shared" si="65"/>
        <v>1</v>
      </c>
      <c r="Y193" s="192">
        <f t="shared" si="52"/>
        <v>2.2837999999999998</v>
      </c>
      <c r="Z193" s="192">
        <f t="shared" si="53"/>
        <v>1.3599999999999999E-2</v>
      </c>
      <c r="AA193" s="192">
        <f t="shared" si="54"/>
        <v>2.2702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55"/>
        <v>0306-06</v>
      </c>
      <c r="AE193" s="80" t="str">
        <f t="shared" si="56"/>
        <v>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 &amp; 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</v>
      </c>
      <c r="AF193" s="77" t="str">
        <f t="shared" si="57"/>
        <v>"C:\Program Files (x86)\AstroGrep\AstroGrep.exe" /e /r /s /spath="%USERPROFILE%\AppData\Local\Temp\OnboardLogs" /stypes="app*4041*20170506*" /stext=" 10:.+((SYSTEM_STATE.+slice.+state.+changed )|(ment ac)|(multiple cpu faults)|(system.+state.+changed )|(\[timeout)|(PRM\|1\|D)|(kpr)|(kdp)|(train st.+moving)|(\|lc)|(penalty))"</v>
      </c>
      <c r="AG193" s="1" t="str">
        <f t="shared" si="58"/>
        <v>Other</v>
      </c>
      <c r="AH193" s="81" t="str">
        <f t="shared" si="59"/>
        <v>"%USERPROFILE%\Documents\GitHub\eaglep3\Utilities\RefineRTDCRunTimes.py" --tripid 306-06 --locoid 4041 --swversion DE.1.0.9.0 --startMP 300:22838 --initTime 2017-05-06T03:56:10 --startdatetime 2017-05-06T03:59:51 --delay 3 --endMP 204:136 --enddatetime 2017-05-06T04:07:59 --enforcementcount 0 &gt;&gt;C:\Users\stu\Documents\GitHub\eaglep3-reporting\EC\2017-05-06-refined-times.txt</v>
      </c>
      <c r="AI193" s="99" t="str">
        <f t="shared" si="60"/>
        <v>echo {"issue":{"subject":"","project_id":79,"tracker_id":40,"status_id":1,"priority_id":2,"assigned_to_id":23,"start_date":"2017-05-06","description":"","custom_fields":[{"id":1,"name":"Subdivision","value":"Other"},{"id":4,"name":"Milepost","value":"0.0136"},{"id":17,"name":"Train ID","value":"306-06"},{"id":16,"name":"Locomotive ID","value":"4041"},{"id":130,"name":"Impact","value":""},{"id":150,"name":"Time of Event (Mountain Time)","value":"04:07:59"},{"id":151,"name":"Denver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5" t="str">
        <f t="shared" si="61"/>
        <v>start /low /b %USERPROFILE%\Documents\GitHub\eaglep3\Utilities\DownloadLogsFromS3.py --loco 4041 --day 2017-05-06</v>
      </c>
      <c r="AN193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10:07:59"},{"id":29,"name":"Sharepoint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731</v>
      </c>
      <c r="B194" s="7">
        <v>4042</v>
      </c>
      <c r="C194" s="21" t="s">
        <v>210</v>
      </c>
      <c r="D194" s="21" t="s">
        <v>915</v>
      </c>
      <c r="E194" s="13">
        <v>42861.821053240739</v>
      </c>
      <c r="F194" s="13">
        <v>42861.822557870371</v>
      </c>
      <c r="G194" s="7">
        <v>1</v>
      </c>
      <c r="H194" s="21" t="s">
        <v>385</v>
      </c>
      <c r="I194" s="13">
        <v>42861.829560185186</v>
      </c>
      <c r="J194" s="7">
        <v>0</v>
      </c>
      <c r="K194" s="92" t="str">
        <f t="shared" si="44"/>
        <v>4041/4042</v>
      </c>
      <c r="L194" s="21" t="str">
        <f>VLOOKUP(A194,'Trips&amp;Operators'!$C$1:$G$99999,5,FALSE)</f>
        <v>MOSES BRADLEY</v>
      </c>
      <c r="M194" s="6">
        <f t="shared" si="45"/>
        <v>7.0023148145992309E-3</v>
      </c>
      <c r="N194" s="7">
        <f t="shared" si="46"/>
        <v>10.083333333022892</v>
      </c>
      <c r="O194" s="7"/>
      <c r="P194" s="7"/>
      <c r="Q194" s="22"/>
      <c r="R194" s="190"/>
      <c r="S194" s="196">
        <f t="shared" si="47"/>
        <v>1</v>
      </c>
      <c r="T194" s="190" t="str">
        <f t="shared" si="48"/>
        <v>NorthBound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49"/>
        <v>https://d0f6bd738d7f1b3e5a7ca70fe4ff75f0.us-east-1.aws.found.io/app/kibana#/discover/Steve-Slow-Train-Analysis-(2080s-and-2083s)?_g=(refreshInterval:(display:Off,pause:!f,section:0,value:0),time:(from:'2017-05-06T18:42:19-0600',mode:absolute,to:'2017-05-06T20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4" s="192" t="str">
        <f t="shared" si="50"/>
        <v>Y</v>
      </c>
      <c r="X194" s="192">
        <f t="shared" si="65"/>
        <v>1</v>
      </c>
      <c r="Y194" s="192">
        <f t="shared" si="52"/>
        <v>4.8800000000000003E-2</v>
      </c>
      <c r="Z194" s="192">
        <f t="shared" si="53"/>
        <v>2.3346</v>
      </c>
      <c r="AA194" s="192">
        <f t="shared" si="54"/>
        <v>2.2858000000000001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55"/>
        <v>0307-06</v>
      </c>
      <c r="AE194" s="80" t="str">
        <f t="shared" si="56"/>
        <v>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 &amp; aws s3 cp s3://rtdc.mdm.uploadarchive.raw/RTDC4042/ "%USERPROFILE%\AppData\Local\Temp\OnboardLogs"\RTDC4042\2017-05-07 --exclude "*" --recursive --include "*20170507*" &amp; "%USERPROFILE%\Documents\GitHub\mrs-test-scripts\Headless Mode &amp; Sideloading\WalkAndUnGZ.bat" "%USERPROFILE%\AppData\Local\Temp\OnboardLogs"\RTDC4042\2017-05-07</v>
      </c>
      <c r="AF194" s="77" t="str">
        <f t="shared" si="57"/>
        <v>"C:\Program Files (x86)\AstroGrep\AstroGrep.exe" /e /r /s /spath="%USERPROFILE%\AppData\Local\Temp\OnboardLogs" /stypes="app*4042*20170507*" /stext=" 01:.+((SYSTEM_STATE.+slice.+state.+changed )|(ment ac)|(multiple cpu faults)|(system.+state.+changed )|(\[timeout)|(PRM\|1\|D)|(kpr)|(kdp)|(train st.+moving)|(\|lc)|(penalty))"</v>
      </c>
      <c r="AG194" s="1" t="str">
        <f t="shared" si="58"/>
        <v>Other</v>
      </c>
      <c r="AH194" s="81" t="str">
        <f t="shared" si="59"/>
        <v>"%USERPROFILE%\Documents\GitHub\eaglep3\Utilities\RefineRTDCRunTimes.py" --tripid 307-06 --locoid 4042 --swversion DE.1.0.9.0 --startMP 204:488 --initTime 2017-05-06T19:42:19 --startdatetime 2017-05-06T19:44:29 --delay 1 --endMP 300:23346 --enddatetime 2017-05-06T19:54:34 --enforcementcount 0 &gt;&gt;C:\Users\stu\Documents\GitHub\eaglep3-reporting\EC\2017-05-06-refined-times.txt</v>
      </c>
      <c r="AI194" s="99" t="str">
        <f t="shared" si="60"/>
        <v>echo {"issue":{"subject":"","project_id":79,"tracker_id":40,"status_id":1,"priority_id":2,"assigned_to_id":23,"start_date":"2017-05-06","description":"","custom_fields":[{"id":1,"name":"Subdivision","value":"Other"},{"id":4,"name":"Milepost","value":"2.3346"},{"id":17,"name":"Train ID","value":"307-06"},{"id":16,"name":"Locomotive ID","value":"4042"},{"id":130,"name":"Impact","value":""},{"id":150,"name":"Time of Event (Mountain Time)","value":"19:54:34"},{"id":151,"name":"Denver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61"/>
        <v>start /low /b %USERPROFILE%\Documents\GitHub\eaglep3\Utilities\DownloadLogsFromS3.py --loco 4042 --day 2017-05-06</v>
      </c>
      <c r="AN194" s="154" t="str">
        <f t="shared" si="6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01:54:34"},{"id":29,"name":"Sharepoint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580</v>
      </c>
      <c r="B195" s="7">
        <v>4053</v>
      </c>
      <c r="C195" s="21" t="s">
        <v>210</v>
      </c>
      <c r="D195" s="21" t="s">
        <v>916</v>
      </c>
      <c r="E195" s="13">
        <v>42861.183854166666</v>
      </c>
      <c r="F195" s="13">
        <v>42861.186932870369</v>
      </c>
      <c r="G195" s="7">
        <v>4</v>
      </c>
      <c r="H195" s="21" t="s">
        <v>786</v>
      </c>
      <c r="I195" s="13">
        <v>42861.193009259259</v>
      </c>
      <c r="J195" s="7">
        <v>0</v>
      </c>
      <c r="K195" s="92" t="str">
        <f t="shared" si="44"/>
        <v>4053/4054</v>
      </c>
      <c r="L195" s="21" t="str">
        <f>VLOOKUP(A195,'Trips&amp;Operators'!$C$1:$G$99999,5,FALSE)</f>
        <v>DAVIS WENDY</v>
      </c>
      <c r="M195" s="6">
        <f t="shared" si="45"/>
        <v>6.0763888905057684E-3</v>
      </c>
      <c r="N195" s="7">
        <f t="shared" si="46"/>
        <v>8.7500000023283064</v>
      </c>
      <c r="O195" s="7"/>
      <c r="P195" s="7"/>
      <c r="Q195" s="22"/>
      <c r="R195" s="190"/>
      <c r="S195" s="196">
        <f t="shared" si="47"/>
        <v>1</v>
      </c>
      <c r="T195" s="190" t="str">
        <f t="shared" si="48"/>
        <v>Southbound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49"/>
        <v>https://d0f6bd738d7f1b3e5a7ca70fe4ff75f0.us-east-1.aws.found.io/app/kibana#/discover/Steve-Slow-Train-Analysis-(2080s-and-2083s)?_g=(refreshInterval:(display:Off,pause:!f,section:0,value:0),time:(from:'2017-05-06T03:24:45-0600',mode:absolute,to:'2017-05-06T05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5" s="192" t="str">
        <f t="shared" si="50"/>
        <v>Y</v>
      </c>
      <c r="X195" s="192">
        <f t="shared" si="65"/>
        <v>1</v>
      </c>
      <c r="Y195" s="192">
        <f t="shared" si="52"/>
        <v>2.3628999999999998</v>
      </c>
      <c r="Z195" s="192">
        <f t="shared" si="53"/>
        <v>1.3599999999999999E-2</v>
      </c>
      <c r="AA195" s="192">
        <f t="shared" si="54"/>
        <v>2.3492999999999999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55"/>
        <v>0308-06</v>
      </c>
      <c r="AE195" s="80" t="str">
        <f t="shared" si="56"/>
        <v>aws s3 cp s3://rtdc.mdm.uploadarchive.raw/RTDC4053/ "%USERPROFILE%\AppData\Local\Temp\OnboardLogs"\RTDC4053\2017-05-06 --exclude "*" --recursive --include "*20170506*" &amp; "%USERPROFILE%\Documents\GitHub\mrs-test-scripts\Headless Mode &amp; Sideloading\WalkAndUnGZ.bat" "%USERPROFILE%\AppData\Local\Temp\OnboardLogs"\RTDC4053\2017-05-06 &amp; aws s3 cp s3://rtdc.mdm.uploadarchive.raw/RTDC4053/ "%USERPROFILE%\AppData\Local\Temp\OnboardLogs"\RTDC4053\2017-05-07 --exclude "*" --recursive --include "*20170507*" &amp; "%USERPROFILE%\Documents\GitHub\mrs-test-scripts\Headless Mode &amp; Sideloading\WalkAndUnGZ.bat" "%USERPROFILE%\AppData\Local\Temp\OnboardLogs"\RTDC4053\2017-05-07</v>
      </c>
      <c r="AF195" s="77" t="str">
        <f t="shared" si="57"/>
        <v>"C:\Program Files (x86)\AstroGrep\AstroGrep.exe" /e /r /s /spath="%USERPROFILE%\AppData\Local\Temp\OnboardLogs" /stypes="app*4053*20170506*" /stext=" 10:.+((SYSTEM_STATE.+slice.+state.+changed )|(ment ac)|(multiple cpu faults)|(system.+state.+changed )|(\[timeout)|(PRM\|1\|D)|(kpr)|(kdp)|(train st.+moving)|(\|lc)|(penalty))"</v>
      </c>
      <c r="AG195" s="1" t="str">
        <f t="shared" si="58"/>
        <v>Other</v>
      </c>
      <c r="AH195" s="81" t="str">
        <f t="shared" si="59"/>
        <v>"%USERPROFILE%\Documents\GitHub\eaglep3\Utilities\RefineRTDCRunTimes.py" --tripid 308-06 --locoid 4053 --swversion DE.1.0.9.0 --startMP 300:23629 --initTime 2017-05-06T04:24:45 --startdatetime 2017-05-06T04:29:11 --delay 4 --endMP 204:136 --enddatetime 2017-05-06T04:37:56 --enforcementcount 0 &gt;&gt;C:\Users\stu\Documents\GitHub\eaglep3-reporting\EC\2017-05-06-refined-times.txt</v>
      </c>
      <c r="AI195" s="99" t="str">
        <f t="shared" si="60"/>
        <v>echo {"issue":{"subject":"","project_id":79,"tracker_id":40,"status_id":1,"priority_id":2,"assigned_to_id":23,"start_date":"2017-05-06","description":"","custom_fields":[{"id":1,"name":"Subdivision","value":"Other"},{"id":4,"name":"Milepost","value":"0.0136"},{"id":17,"name":"Train ID","value":"308-06"},{"id":16,"name":"Locomotive ID","value":"4053"},{"id":130,"name":"Impact","value":""},{"id":150,"name":"Time of Event (Mountain Time)","value":"04:37:56"},{"id":151,"name":"Denver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61"/>
        <v>start /low /b %USERPROFILE%\Documents\GitHub\eaglep3\Utilities\DownloadLogsFromS3.py --loco 4053 --day 2017-05-06</v>
      </c>
      <c r="AN195" s="154" t="str">
        <f t="shared" si="62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10:37:56"},{"id":29,"name":"Sharepoint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760</v>
      </c>
      <c r="B196" s="7">
        <v>4054</v>
      </c>
      <c r="C196" s="21" t="s">
        <v>210</v>
      </c>
      <c r="D196" s="21" t="s">
        <v>388</v>
      </c>
      <c r="E196" s="13">
        <v>42862.049699074072</v>
      </c>
      <c r="F196" s="13">
        <v>42862.051527777781</v>
      </c>
      <c r="G196" s="7">
        <v>1</v>
      </c>
      <c r="H196" s="21" t="s">
        <v>917</v>
      </c>
      <c r="I196" s="13">
        <v>42862.069814814815</v>
      </c>
      <c r="J196" s="7">
        <v>0</v>
      </c>
      <c r="K196" s="92" t="str">
        <f t="shared" ref="K196:K259" si="66">IF(ISEVEN(B196),(B196-1)&amp;"/"&amp;B196,B196&amp;"/"&amp;(B196+1))</f>
        <v>4053/4054</v>
      </c>
      <c r="L196" s="21" t="str">
        <f>VLOOKUP(A196,'Trips&amp;Operators'!$C$1:$G$99999,5,FALSE)</f>
        <v>SMITH MICHAEL</v>
      </c>
      <c r="M196" s="6">
        <f t="shared" ref="M196:M259" si="67">I196-F196</f>
        <v>1.8287037033587694E-2</v>
      </c>
      <c r="N196" s="7">
        <f t="shared" ref="N196:N259" si="68">24*60*SUM($M196:$M196)</f>
        <v>26.33333332836628</v>
      </c>
      <c r="O196" s="7"/>
      <c r="P196" s="7"/>
      <c r="Q196" s="22"/>
      <c r="R196" s="190"/>
      <c r="S196" s="196">
        <f t="shared" ref="S196:S259" si="69">SUM(U196:U196)/IF(AG196="EC",12,1)</f>
        <v>1</v>
      </c>
      <c r="T196" s="190" t="str">
        <f t="shared" ref="T196:T259" si="70">IF(ISEVEN(LEFT(AD196,4)),"Southbound","NorthBound")</f>
        <v>NorthBound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ref="V196:V259" si="71"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-05-07T00:11:34-0600',mode:absolute,to:'2017-05-07T02:40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6" s="192" t="str">
        <f t="shared" ref="W196:W259" si="72">IF(AA196&lt;IF(AG196="EC",23,5.65),"Y","N")</f>
        <v>Y</v>
      </c>
      <c r="X196" s="192">
        <f t="shared" si="65"/>
        <v>1</v>
      </c>
      <c r="Y196" s="192">
        <f t="shared" ref="Y196:Y259" si="73">RIGHT(D196,LEN(D196)-4)/10000</f>
        <v>4.6399999999999997E-2</v>
      </c>
      <c r="Z196" s="192">
        <f t="shared" ref="Z196:Z259" si="74">RIGHT(H196,LEN(H196)-4)/10000</f>
        <v>2.3300999999999998</v>
      </c>
      <c r="AA196" s="192">
        <f t="shared" ref="AA196:AA259" si="75">ABS(Z196-Y196)</f>
        <v>2.2836999999999996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ref="AD196:AD259" si="76">IF(LEN(A196)=6,"0"&amp;A196,A196)</f>
        <v>0309-06</v>
      </c>
      <c r="AE196" s="80" t="str">
        <f t="shared" ref="AE196:AE259" si="77"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s3://rtdc.mdm.uploadarchive.raw/RTDC4054/ "%USERPROFILE%\AppData\Local\Temp\OnboardLogs"\RTDC4054\2017-05-07 --exclude "*" --recursive --include "*20170507*" &amp; "%USERPROFILE%\Documents\GitHub\mrs-test-scripts\Headless Mode &amp; Sideloading\WalkAndUnGZ.bat" "%USERPROFILE%\AppData\Local\Temp\OnboardLogs"\RTDC4054\2017-05-07 &amp; aws s3 cp s3://rtdc.mdm.uploadarchive.raw/RTDC4054/ "%USERPROFILE%\AppData\Local\Temp\OnboardLogs"\RTDC4054\2017-05-08 --exclude "*" --recursive --include "*20170508*" &amp; "%USERPROFILE%\Documents\GitHub\mrs-test-scripts\Headless Mode &amp; Sideloading\WalkAndUnGZ.bat" "%USERPROFILE%\AppData\Local\Temp\OnboardLogs"\RTDC4054\2017-05-08</v>
      </c>
      <c r="AF196" s="77" t="str">
        <f t="shared" ref="AF196:AF259" si="78"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/stypes="app*4054*20170507*" /stext=" 07:.+((SYSTEM_STATE.+slice.+state.+changed )|(ment ac)|(multiple cpu faults)|(system.+state.+changed )|(\[timeout)|(PRM\|1\|D)|(kpr)|(kdp)|(train st.+moving)|(\|lc)|(penalty))"</v>
      </c>
      <c r="AG196" s="1" t="str">
        <f t="shared" ref="AG196:AG259" si="79">IFERROR(IF(VALUE(LEFT(AD196,2))&lt;=2,"EC",IF(OR(VALUE(LEFT(AD196,2))=8,VALUE(LEFT(AD196,2))=18),"NW","Other")),"Other")</f>
        <v>Other</v>
      </c>
      <c r="AH196" s="81" t="str">
        <f t="shared" ref="AH196:AH259" si="80">refinertdcruntimes&amp;" --tripid "&amp;A196&amp;" --locoid "&amp;B196&amp;" --swversion "&amp;C196&amp;" --startMP "&amp;D196&amp;" --initTime "&amp;TEXT(E196,"yyyy-mm-ddTHH:MM:SS")&amp;" --startdatetime "&amp;TEXT(F196,"yyyy-mm-ddTHH:MM:SS")&amp;" --delay "&amp;G196&amp;" --endMP "&amp;H196&amp;" --enddatetime "&amp;TEXT(I196,"yyyy-mm-ddTHH:MM:SS")&amp;" --enforcementcount "&amp;J196&amp;IF(outputrefinedruntimes," &gt;&gt;"&amp;RefinedRTDCRunTimesOutputFile,"")</f>
        <v>"%USERPROFILE%\Documents\GitHub\eaglep3\Utilities\RefineRTDCRunTimes.py" --tripid 309-06 --locoid 4054 --swversion DE.1.0.9.0 --startMP 204:464 --initTime 2017-05-07T01:11:34 --startdatetime 2017-05-07T01:14:12 --delay 1 --endMP 300:23301 --enddatetime 2017-05-07T01:40:32 --enforcementcount 0 &gt;&gt;C:\Users\stu\Documents\GitHub\eaglep3-reporting\EC\2017-05-06-refined-times.txt</v>
      </c>
      <c r="AI196" s="99" t="str">
        <f t="shared" ref="AI196:AI259" si="81">"echo {""issue"":{""subject"":"""&amp;R196&amp;""",""project_id"":79,""tracker_id"":40,""status_id"":"&amp;redmine_status&amp;",""priority_id"":"&amp;redmine_priority&amp;",""assigned_to_id"":"&amp;redmine_assignee&amp;",""start_date"":"""&amp;TEXT(I196,"YYYY-mm-dd")&amp;""",""description"":"""&amp;AJ196&amp;""",""custom_fields"":[{""id"":1,""name"":""Subdivision"",""value"":"""&amp;AG196&amp;"""},{""id"":4,""name"":""Milepost"",""value"":"""&amp;Z196&amp;"""},{""id"":17,""name"":""Train ID"",""value"":"""&amp;A196&amp;"""},{""id"":16,""name"":""Locomotive ID"",""value"":"""&amp;B196&amp;"""},{""id"":130,""name"":""Impact"",""value"":"""&amp;AK196&amp;"""},{""id"":150,""name"":""Time of Event (Mountain Time)"",""value"":"""&amp;TEXT(I196,"hh:mm:ss")&amp;"""},{""id"":151,""name"":""Denver Issue ID"",""value"":"""&amp;"""},{""id"":178,""name"":""Operational Impact"",""value"":"""&amp;redmine_op_impact&amp;"""},{""id"":179,""name"":""Denver Segment Assigned"",""value"":"""&amp;AL196&amp;"""}]}}"&amp;"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{"issue":{"subject":"","project_id":79,"tracker_id":40,"status_id":1,"priority_id":2,"assigned_to_id":23,"start_date":"2017-05-07","description":"","custom_fields":[{"id":1,"name":"Subdivision","value":"Other"},{"id":4,"name":"Milepost","value":"2.3301"},{"id":17,"name":"Train ID","value":"309-06"},{"id":16,"name":"Locomotive ID","value":"4054"},{"id":130,"name":"Impact","value":""},{"id":150,"name":"Time of Event (Mountain Time)","value":"01:40:32"},{"id":151,"name":"Denver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ref="AM196:AM259" si="82">"start /low /b "&amp;dls3logs&amp;" --loco "&amp;B196&amp;" --day "&amp;TEXT(F196,"YYYY-MM-DD")</f>
        <v>start /low /b %USERPROFILE%\Documents\GitHub\eaglep3\Utilities\DownloadLogsFromS3.py --loco 4054 --day 2017-05-07</v>
      </c>
      <c r="AN196" s="154" t="str">
        <f t="shared" ref="AN196:AN259" si="83">"echo {""issue"":{""subject"":"""&amp;R196&amp;""",""project_id"":30,""tracker_id"":4,""status_id"":"&amp;redmine_status_wcr&amp;",""priority_id"":"&amp;redmine_priority_wcr&amp;",""assigned_to_id"":"&amp;redmine_assignee_wcr&amp;",""start_date"":"""&amp;TEXT(I196-utc_offset/24,"YYYY-mm-dd")&amp;""",""description"":"""&amp;AJ196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07:40:32"},{"id":29,"name":"Sharepoint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563</v>
      </c>
      <c r="B197" s="7">
        <v>4030</v>
      </c>
      <c r="C197" s="21" t="s">
        <v>210</v>
      </c>
      <c r="D197" s="21" t="s">
        <v>369</v>
      </c>
      <c r="E197" s="13">
        <v>42861.07571759259</v>
      </c>
      <c r="F197" s="13">
        <v>42861.077013888891</v>
      </c>
      <c r="G197" s="7">
        <v>1</v>
      </c>
      <c r="H197" s="21" t="s">
        <v>918</v>
      </c>
      <c r="I197" s="13">
        <v>25568.708333333332</v>
      </c>
      <c r="J197" s="7">
        <v>0</v>
      </c>
      <c r="K197" s="92" t="str">
        <f t="shared" si="66"/>
        <v>4029/4030</v>
      </c>
      <c r="L197" s="21" t="str">
        <f>VLOOKUP(A197,'Trips&amp;Operators'!$C$1:$G$99999,5,FALSE)</f>
        <v>STAMBAUGH JAMES</v>
      </c>
      <c r="M197" s="6">
        <f t="shared" si="67"/>
        <v>-17292.368680555559</v>
      </c>
      <c r="N197" s="7">
        <f t="shared" si="68"/>
        <v>-24901010.900000006</v>
      </c>
      <c r="O197" s="7"/>
      <c r="P197" s="7"/>
      <c r="Q197" s="22"/>
      <c r="R197" s="190"/>
      <c r="S197" s="196">
        <f t="shared" si="69"/>
        <v>1</v>
      </c>
      <c r="T197" s="190" t="str">
        <f t="shared" si="70"/>
        <v>NorthBound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71"/>
        <v>https://d0f6bd738d7f1b3e5a7ca70fe4ff75f0.us-east-1.aws.found.io/app/kibana#/discover/Steve-Slow-Train-Analysis-(2080s-and-2083s)?_g=(refreshInterval:(display:Off,pause:!f,section:0,value:0),time:(from:'2017-05-06T00:49:02-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7" s="192" t="str">
        <f t="shared" si="72"/>
        <v>Y</v>
      </c>
      <c r="X197" s="192">
        <f t="shared" si="65"/>
        <v>2</v>
      </c>
      <c r="Y197" s="192">
        <f t="shared" si="73"/>
        <v>4.4600000000000001E-2</v>
      </c>
      <c r="Z197" s="192">
        <f t="shared" si="74"/>
        <v>2.3302</v>
      </c>
      <c r="AA197" s="192">
        <f t="shared" si="75"/>
        <v>2.2856000000000001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76"/>
        <v>0311-05</v>
      </c>
      <c r="AE197" s="80" t="str">
        <f t="shared" si="77"/>
        <v>aws s3 cp s3://rtdc.mdm.uploadarchive.raw/RTDC4030/ "%USERPROFILE%\AppData\Local\Temp\OnboardLogs"\RTDC4030\2017-05-06 --exclude "*" --recursive --include "*20170506*" &amp; "%USERPROFILE%\Documents\GitHub\mrs-test-scripts\Headless Mode &amp; Sideloading\WalkAndUnGZ.bat" "%USERPROFILE%\AppData\Local\Temp\OnboardLogs"\RTDC4030\2017-05-06 &amp; aws s3 cp s3://rtdc.mdm.uploadarchive.raw/RTDC4030/ "%USERPROFILE%\AppData\Local\Temp\OnboardLogs"\RTDC4030\2017-05-07 --exclude "*" --recursive --include "*20170507*" &amp; "%USERPROFILE%\Documents\GitHub\mrs-test-scripts\Headless Mode &amp; Sideloading\WalkAndUnGZ.bat" "%USERPROFILE%\AppData\Local\Temp\OnboardLogs"\RTDC4030\2017-05-07</v>
      </c>
      <c r="AF197" s="77" t="str">
        <f t="shared" si="78"/>
        <v>"C:\Program Files (x86)\AstroGrep\AstroGrep.exe" /e /r /s /spath="%USERPROFILE%\AppData\Local\Temp\OnboardLogs" /stypes="app*4030*19691231*" /stext=" 23:.+((SYSTEM_STATE.+slice.+state.+changed )|(ment ac)|(multiple cpu faults)|(system.+state.+changed )|(\[timeout)|(PRM\|1\|D)|(kpr)|(kdp)|(train st.+moving)|(\|lc)|(penalty))"</v>
      </c>
      <c r="AG197" s="1" t="str">
        <f t="shared" si="79"/>
        <v>Other</v>
      </c>
      <c r="AH197" s="81" t="str">
        <f t="shared" si="80"/>
        <v>"%USERPROFILE%\Documents\GitHub\eaglep3\Utilities\RefineRTDCRunTimes.py" --tripid 311-05 --locoid 4030 --swversion DE.1.0.9.0 --startMP 204:446 --initTime 2017-05-06T01:49:02 --startdatetime 2017-05-06T01:50:54 --delay 1 --endMP 300:23302 --enddatetime 1969-12-31T17:00:00 --enforcementcount 0 &gt;&gt;C:\Users\stu\Documents\GitHub\eaglep3-reporting\EC\2017-05-06-refined-times.txt</v>
      </c>
      <c r="AI197" s="99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ID","value":"311-05"},{"id":16,"name":"Locomotive ID","value":"4030"},{"id":130,"name":"Impact","value":""},{"id":150,"name":"Time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82"/>
        <v>start /low /b %USERPROFILE%\Documents\GitHub\eaglep3\Utilities\DownloadLogsFromS3.py --loco 4030 --day 2017-05-06</v>
      </c>
      <c r="AN197" s="154" t="str">
        <f t="shared" si="83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761</v>
      </c>
      <c r="B198" s="7">
        <v>4010</v>
      </c>
      <c r="C198" s="21" t="s">
        <v>210</v>
      </c>
      <c r="D198" s="21" t="s">
        <v>919</v>
      </c>
      <c r="E198" s="13">
        <v>42862.070104166669</v>
      </c>
      <c r="F198" s="13">
        <v>42862.071481481478</v>
      </c>
      <c r="G198" s="7">
        <v>1</v>
      </c>
      <c r="H198" s="21" t="s">
        <v>385</v>
      </c>
      <c r="I198" s="13">
        <v>25568.708333333332</v>
      </c>
      <c r="J198" s="7">
        <v>0</v>
      </c>
      <c r="K198" s="92" t="str">
        <f t="shared" si="66"/>
        <v>4009/4010</v>
      </c>
      <c r="L198" s="21" t="str">
        <f>VLOOKUP(A198,'Trips&amp;Operators'!$C$1:$G$99999,5,FALSE)</f>
        <v>STAMBAUGH JAMES</v>
      </c>
      <c r="M198" s="6">
        <f t="shared" si="67"/>
        <v>-17293.363148148146</v>
      </c>
      <c r="N198" s="7">
        <f t="shared" si="68"/>
        <v>-24902442.93333333</v>
      </c>
      <c r="O198" s="7"/>
      <c r="P198" s="7"/>
      <c r="Q198" s="22"/>
      <c r="R198" s="190"/>
      <c r="S198" s="196">
        <f t="shared" si="69"/>
        <v>1</v>
      </c>
      <c r="T198" s="190" t="str">
        <f t="shared" si="70"/>
        <v>NorthBound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71"/>
        <v>https://d0f6bd738d7f1b3e5a7ca70fe4ff75f0.us-east-1.aws.found.io/app/kibana#/discover/Steve-Slow-Train-Analysis-(2080s-and-2083s)?_g=(refreshInterval:(display:Off,pause:!f,section:0,value:0),time:(from:'2017-05-07T00:40:57-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8" s="192" t="str">
        <f t="shared" si="72"/>
        <v>Y</v>
      </c>
      <c r="X198" s="192">
        <f t="shared" si="65"/>
        <v>0</v>
      </c>
      <c r="Y198" s="192">
        <f t="shared" si="73"/>
        <v>0.1205</v>
      </c>
      <c r="Z198" s="192">
        <f t="shared" si="74"/>
        <v>2.3346</v>
      </c>
      <c r="AA198" s="192">
        <f t="shared" si="75"/>
        <v>2.2141000000000002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76"/>
        <v>0311-06</v>
      </c>
      <c r="AE198" s="80" t="str">
        <f t="shared" si="77"/>
        <v>aws s3 cp s3://rtdc.mdm.uploadarchive.raw/RTDC4010/ "%USERPROFILE%\AppData\Local\Temp\OnboardLogs"\RTDC4010\2017-05-07 --exclude "*" --recursive --include "*20170507*" &amp; "%USERPROFILE%\Documents\GitHub\mrs-test-scripts\Headless Mode &amp; Sideloading\WalkAndUnGZ.bat" "%USERPROFILE%\AppData\Local\Temp\OnboardLogs"\RTDC4010\2017-05-07 &amp; 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</v>
      </c>
      <c r="AF198" s="77" t="str">
        <f t="shared" si="78"/>
        <v>"C:\Program Files (x86)\AstroGrep\AstroGrep.exe" /e /r /s /spath="%USERPROFILE%\AppData\Local\Temp\OnboardLogs" /stypes="app*4010*19691231*" /stext=" 23:.+((SYSTEM_STATE.+slice.+state.+changed )|(ment ac)|(multiple cpu faults)|(system.+state.+changed )|(\[timeout)|(PRM\|1\|D)|(kpr)|(kdp)|(train st.+moving)|(\|lc)|(penalty))"</v>
      </c>
      <c r="AG198" s="1" t="str">
        <f t="shared" si="79"/>
        <v>Other</v>
      </c>
      <c r="AH198" s="81" t="str">
        <f t="shared" si="80"/>
        <v>"%USERPROFILE%\Documents\GitHub\eaglep3\Utilities\RefineRTDCRunTimes.py" --tripid 311-06 --locoid 4010 --swversion DE.1.0.9.0 --startMP 204:1205 --initTime 2017-05-07T01:40:57 --startdatetime 2017-05-07T01:42:56 --delay 1 --endMP 300:23346 --enddatetime 1969-12-31T17:00:00 --enforcementcount 0 &gt;&gt;C:\Users\stu\Documents\GitHub\eaglep3-reporting\EC\2017-05-06-refined-times.txt</v>
      </c>
      <c r="AI198" s="99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ID","value":"311-06"},{"id":16,"name":"Locomotive ID","value":"4010"},{"id":130,"name":"Impact","value":""},{"id":150,"name":"Time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82"/>
        <v>start /low /b %USERPROFILE%\Documents\GitHub\eaglep3\Utilities\DownloadLogsFromS3.py --loco 4010 --day 2017-05-07</v>
      </c>
      <c r="AN198" s="154" t="str">
        <f t="shared" si="83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571</v>
      </c>
      <c r="B199" s="7">
        <v>4008</v>
      </c>
      <c r="C199" s="21" t="s">
        <v>210</v>
      </c>
      <c r="D199" s="21" t="s">
        <v>204</v>
      </c>
      <c r="E199" s="13">
        <v>42861.092511574076</v>
      </c>
      <c r="F199" s="13">
        <v>42861.093761574077</v>
      </c>
      <c r="G199" s="7">
        <v>1</v>
      </c>
      <c r="H199" s="21" t="s">
        <v>385</v>
      </c>
      <c r="I199" s="13">
        <v>42861.101863425924</v>
      </c>
      <c r="J199" s="7">
        <v>0</v>
      </c>
      <c r="K199" s="92" t="str">
        <f t="shared" si="66"/>
        <v>4007/4008</v>
      </c>
      <c r="L199" s="21" t="str">
        <f>VLOOKUP(A199,'Trips&amp;Operators'!$C$1:$G$99999,5,FALSE)</f>
        <v>SWANSON BRYCE</v>
      </c>
      <c r="M199" s="6">
        <f t="shared" si="67"/>
        <v>8.1018518467317335E-3</v>
      </c>
      <c r="N199" s="7">
        <f t="shared" si="68"/>
        <v>11.666666659293696</v>
      </c>
      <c r="O199" s="7"/>
      <c r="P199" s="7"/>
      <c r="Q199" s="22"/>
      <c r="R199" s="190"/>
      <c r="S199" s="196">
        <f t="shared" si="69"/>
        <v>1</v>
      </c>
      <c r="T199" s="190" t="str">
        <f t="shared" si="70"/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71"/>
        <v>https://d0f6bd738d7f1b3e5a7ca70fe4ff75f0.us-east-1.aws.found.io/app/kibana#/discover/Steve-Slow-Train-Analysis-(2080s-and-2083s)?_g=(refreshInterval:(display:Off,pause:!f,section:0,value:0),time:(from:'2017-05-06T01:13:13-0600',mode:absolute,to:'2017-05-06T03:26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9" s="192" t="str">
        <f t="shared" si="72"/>
        <v>Y</v>
      </c>
      <c r="X199" s="192">
        <f t="shared" si="65"/>
        <v>2</v>
      </c>
      <c r="Y199" s="192">
        <f t="shared" si="73"/>
        <v>4.5699999999999998E-2</v>
      </c>
      <c r="Z199" s="192">
        <f t="shared" si="74"/>
        <v>2.3346</v>
      </c>
      <c r="AA199" s="192">
        <f t="shared" si="75"/>
        <v>2.2888999999999999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76"/>
        <v>0313-05</v>
      </c>
      <c r="AE199" s="80" t="str">
        <f t="shared" si="77"/>
        <v>aws s3 cp s3://rtdc.mdm.uploadarchive.raw/RTDC4008/ "%USERPROFILE%\AppData\Local\Temp\OnboardLogs"\RTDC4008\2017-05-06 --exclude "*" --recursive --include "*20170506*" &amp; "%USERPROFILE%\Documents\GitHub\mrs-test-scripts\Headless Mode &amp; Sideloading\WalkAndUnGZ.bat" "%USERPROFILE%\AppData\Local\Temp\OnboardLogs"\RTDC4008\2017-05-06 &amp; 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</v>
      </c>
      <c r="AF199" s="77" t="str">
        <f t="shared" si="78"/>
        <v>"C:\Program Files (x86)\AstroGrep\AstroGrep.exe" /e /r /s /spath="%USERPROFILE%\AppData\Local\Temp\OnboardLogs" /stypes="app*4008*20170506*" /stext=" 08:.+((SYSTEM_STATE.+slice.+state.+changed )|(ment ac)|(multiple cpu faults)|(system.+state.+changed )|(\[timeout)|(PRM\|1\|D)|(kpr)|(kdp)|(train st.+moving)|(\|lc)|(penalty))"</v>
      </c>
      <c r="AG199" s="1" t="str">
        <f t="shared" si="79"/>
        <v>Other</v>
      </c>
      <c r="AH199" s="81" t="str">
        <f t="shared" si="80"/>
        <v>"%USERPROFILE%\Documents\GitHub\eaglep3\Utilities\RefineRTDCRunTimes.py" --tripid 313-05 --locoid 4008 --swversion DE.1.0.9.0 --startMP 204:457 --initTime 2017-05-06T02:13:13 --startdatetime 2017-05-06T02:15:01 --delay 1 --endMP 300:23346 --enddatetime 2017-05-06T02:26:41 --enforcementcount 0 &gt;&gt;C:\Users\stu\Documents\GitHub\eaglep3-reporting\EC\2017-05-06-refined-times.txt</v>
      </c>
      <c r="AI199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{"issue":{"subject":"","project_id":79,"tracker_id":40,"status_id":1,"priority_id":2,"assigned_to_id":23,"start_date":"2017-05-06","description":"","custom_fields":[{"id":1,"name":"Subdivision","value":"Other"},{"id":4,"name":"Milepost","value":"2.3346"},{"id":17,"name":"Train ID","value":"313-05"},{"id":16,"name":"Locomotive ID","value":"4008"},{"id":130,"name":"Impact","value":""},{"id":150,"name":"Time of Event (Mountain Time)","value":"02:26:41"},{"id":151,"name":"Denver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82"/>
        <v>start /low /b %USERPROFILE%\Documents\GitHub\eaglep3\Utilities\DownloadLogsFromS3.py --loco 4008 --day 2017-05-06</v>
      </c>
      <c r="AN199" s="154" t="str">
        <f t="shared" si="8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08:26:41"},{"id":29,"name":"Sharepoint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s="20" customFormat="1" x14ac:dyDescent="0.25">
      <c r="A200" s="32" t="s">
        <v>763</v>
      </c>
      <c r="B200" s="7">
        <v>4024</v>
      </c>
      <c r="C200" s="21" t="s">
        <v>210</v>
      </c>
      <c r="D200" s="21" t="s">
        <v>833</v>
      </c>
      <c r="E200" s="13">
        <v>42862.08902777778</v>
      </c>
      <c r="F200" s="13">
        <v>42862.090497685182</v>
      </c>
      <c r="G200" s="7">
        <v>1</v>
      </c>
      <c r="H200" s="21" t="s">
        <v>918</v>
      </c>
      <c r="I200" s="13">
        <v>42862.099421296298</v>
      </c>
      <c r="J200" s="7">
        <v>0</v>
      </c>
      <c r="K200" s="92" t="str">
        <f t="shared" si="66"/>
        <v>4023/4024</v>
      </c>
      <c r="L200" s="21" t="str">
        <f>VLOOKUP(A200,'Trips&amp;Operators'!$C$1:$G$99999,5,FALSE)</f>
        <v>SWANSON BRYCE</v>
      </c>
      <c r="M200" s="6">
        <f t="shared" si="67"/>
        <v>8.9236111161881126E-3</v>
      </c>
      <c r="N200" s="7">
        <f t="shared" si="68"/>
        <v>12.850000007310882</v>
      </c>
      <c r="O200" s="7"/>
      <c r="P200" s="7"/>
      <c r="Q200" s="22"/>
      <c r="R200" s="190"/>
      <c r="S200" s="196">
        <f t="shared" si="69"/>
        <v>1</v>
      </c>
      <c r="T200" s="190" t="str">
        <f t="shared" si="70"/>
        <v>NorthBound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71"/>
        <v>https://d0f6bd738d7f1b3e5a7ca70fe4ff75f0.us-east-1.aws.found.io/app/kibana#/discover/Steve-Slow-Train-Analysis-(2080s-and-2083s)?_g=(refreshInterval:(display:Off,pause:!f,section:0,value:0),time:(from:'2017-05-07T01:08:12-0600',mode:absolute,to:'2017-05-07T03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0" s="192" t="str">
        <f t="shared" si="72"/>
        <v>Y</v>
      </c>
      <c r="X200" s="192">
        <f t="shared" si="65"/>
        <v>0</v>
      </c>
      <c r="Y200" s="192">
        <f t="shared" si="73"/>
        <v>4.7800000000000002E-2</v>
      </c>
      <c r="Z200" s="192">
        <f t="shared" si="74"/>
        <v>2.3302</v>
      </c>
      <c r="AA200" s="192">
        <f t="shared" si="75"/>
        <v>2.2824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76"/>
        <v>0313-06</v>
      </c>
      <c r="AE200" s="80" t="str">
        <f t="shared" si="77"/>
        <v>aws s3 cp s3://rtdc.mdm.uploadarchive.raw/RTDC4024/ "%USERPROFILE%\AppData\Local\Temp\OnboardLogs"\RTDC4024\2017-05-07 --exclude "*" --recursive --include "*20170507*" &amp; "%USERPROFILE%\Documents\GitHub\mrs-test-scripts\Headless Mode &amp; Sideloading\WalkAndUnGZ.bat" "%USERPROFILE%\AppData\Local\Temp\OnboardLogs"\RTDC4024\2017-05-07 &amp; aws s3 cp s3://rtdc.mdm.uploadarchive.raw/RTDC4024/ "%USERPROFILE%\AppData\Local\Temp\OnboardLogs"\RTDC4024\2017-05-08 --exclude "*" --recursive --include "*20170508*" &amp; "%USERPROFILE%\Documents\GitHub\mrs-test-scripts\Headless Mode &amp; Sideloading\WalkAndUnGZ.bat" "%USERPROFILE%\AppData\Local\Temp\OnboardLogs"\RTDC4024\2017-05-08</v>
      </c>
      <c r="AF200" s="77" t="str">
        <f t="shared" si="78"/>
        <v>"C:\Program Files (x86)\AstroGrep\AstroGrep.exe" /e /r /s /spath="%USERPROFILE%\AppData\Local\Temp\OnboardLogs" /stypes="app*4024*20170507*" /stext=" 08:.+((SYSTEM_STATE.+slice.+state.+changed )|(ment ac)|(multiple cpu faults)|(system.+state.+changed )|(\[timeout)|(PRM\|1\|D)|(kpr)|(kdp)|(train st.+moving)|(\|lc)|(penalty))"</v>
      </c>
      <c r="AG200" s="1" t="str">
        <f t="shared" si="79"/>
        <v>Other</v>
      </c>
      <c r="AH200" s="81" t="str">
        <f t="shared" si="80"/>
        <v>"%USERPROFILE%\Documents\GitHub\eaglep3\Utilities\RefineRTDCRunTimes.py" --tripid 313-06 --locoid 4024 --swversion DE.1.0.9.0 --startMP 204:478 --initTime 2017-05-07T02:08:12 --startdatetime 2017-05-07T02:10:19 --delay 1 --endMP 300:23302 --enddatetime 2017-05-07T02:23:10 --enforcementcount 0 &gt;&gt;C:\Users\stu\Documents\GitHub\eaglep3-reporting\EC\2017-05-06-refined-times.txt</v>
      </c>
      <c r="AI200" s="99" t="str">
        <f t="shared" si="81"/>
        <v>echo {"issue":{"subject":"","project_id":79,"tracker_id":40,"status_id":1,"priority_id":2,"assigned_to_id":23,"start_date":"2017-05-07","description":"","custom_fields":[{"id":1,"name":"Subdivision","value":"Other"},{"id":4,"name":"Milepost","value":"2.3302"},{"id":17,"name":"Train ID","value":"313-06"},{"id":16,"name":"Locomotive ID","value":"4024"},{"id":130,"name":"Impact","value":""},{"id":150,"name":"Time of Event (Mountain Time)","value":"02:23:10"},{"id":151,"name":"Denver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5" t="str">
        <f t="shared" si="82"/>
        <v>start /low /b %USERPROFILE%\Documents\GitHub\eaglep3\Utilities\DownloadLogsFromS3.py --loco 4024 --day 2017-05-07</v>
      </c>
      <c r="AN200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08:23:10"},{"id":29,"name":"Sharepoint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572</v>
      </c>
      <c r="B201" s="7">
        <v>4028</v>
      </c>
      <c r="C201" s="21" t="s">
        <v>210</v>
      </c>
      <c r="D201" s="21" t="s">
        <v>388</v>
      </c>
      <c r="E201" s="13">
        <v>42861.111076388886</v>
      </c>
      <c r="F201" s="13">
        <v>42861.112696759257</v>
      </c>
      <c r="G201" s="7">
        <v>1</v>
      </c>
      <c r="H201" s="21" t="s">
        <v>385</v>
      </c>
      <c r="I201" s="13">
        <v>42861.122106481482</v>
      </c>
      <c r="J201" s="7">
        <v>0</v>
      </c>
      <c r="K201" s="92" t="str">
        <f t="shared" si="66"/>
        <v>4027/4028</v>
      </c>
      <c r="L201" s="21" t="str">
        <f>VLOOKUP(A201,'Trips&amp;Operators'!$C$1:$G$99999,5,FALSE)</f>
        <v>BROWN JACOB</v>
      </c>
      <c r="M201" s="6">
        <f t="shared" si="67"/>
        <v>9.4097222245181911E-3</v>
      </c>
      <c r="N201" s="7">
        <f t="shared" si="68"/>
        <v>13.550000003306195</v>
      </c>
      <c r="O201" s="7"/>
      <c r="P201" s="7"/>
      <c r="Q201" s="22"/>
      <c r="R201" s="190"/>
      <c r="S201" s="196">
        <f t="shared" si="69"/>
        <v>1</v>
      </c>
      <c r="T201" s="190" t="str">
        <f t="shared" si="70"/>
        <v>NorthBound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71"/>
        <v>https://d0f6bd738d7f1b3e5a7ca70fe4ff75f0.us-east-1.aws.found.io/app/kibana#/discover/Steve-Slow-Train-Analysis-(2080s-and-2083s)?_g=(refreshInterval:(display:Off,pause:!f,section:0,value:0),time:(from:'2017-05-06T01:39:57-0600',mode:absolute,to:'2017-05-06T03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1" s="192" t="str">
        <f t="shared" si="72"/>
        <v>Y</v>
      </c>
      <c r="X201" s="192">
        <f t="shared" si="65"/>
        <v>2</v>
      </c>
      <c r="Y201" s="192">
        <f t="shared" si="73"/>
        <v>4.6399999999999997E-2</v>
      </c>
      <c r="Z201" s="192">
        <f t="shared" si="74"/>
        <v>2.3346</v>
      </c>
      <c r="AA201" s="192">
        <f t="shared" si="75"/>
        <v>2.2881999999999998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76"/>
        <v>0315-05</v>
      </c>
      <c r="AE201" s="80" t="str">
        <f t="shared" si="77"/>
        <v>aws s3 cp s3://rtdc.mdm.uploadarchive.raw/RTDC4028/ "%USERPROFILE%\AppData\Local\Temp\OnboardLogs"\RTDC4028\2017-05-06 --exclude "*" --recursive --include "*20170506*" &amp; "%USERPROFILE%\Documents\GitHub\mrs-test-scripts\Headless Mode &amp; Sideloading\WalkAndUnGZ.bat" "%USERPROFILE%\AppData\Local\Temp\OnboardLogs"\RTDC4028\2017-05-06 &amp; 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</v>
      </c>
      <c r="AF201" s="77" t="str">
        <f t="shared" si="78"/>
        <v>"C:\Program Files (x86)\AstroGrep\AstroGrep.exe" /e /r /s /spath="%USERPROFILE%\AppData\Local\Temp\OnboardLogs" /stypes="app*4028*20170506*" /stext=" 08:.+((SYSTEM_STATE.+slice.+state.+changed )|(ment ac)|(multiple cpu faults)|(system.+state.+changed )|(\[timeout)|(PRM\|1\|D)|(kpr)|(kdp)|(train st.+moving)|(\|lc)|(penalty))"</v>
      </c>
      <c r="AG201" s="1" t="str">
        <f t="shared" si="79"/>
        <v>Other</v>
      </c>
      <c r="AH201" s="81" t="str">
        <f t="shared" si="80"/>
        <v>"%USERPROFILE%\Documents\GitHub\eaglep3\Utilities\RefineRTDCRunTimes.py" --tripid 315-05 --locoid 4028 --swversion DE.1.0.9.0 --startMP 204:464 --initTime 2017-05-06T02:39:57 --startdatetime 2017-05-06T02:42:17 --delay 1 --endMP 300:23346 --enddatetime 2017-05-06T02:55:50 --enforcementcount 0 &gt;&gt;C:\Users\stu\Documents\GitHub\eaglep3-reporting\EC\2017-05-06-refined-times.txt</v>
      </c>
      <c r="AI201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{"issue":{"subject":"","project_id":79,"tracker_id":40,"status_id":1,"priority_id":2,"assigned_to_id":23,"start_date":"2017-05-06","description":"","custom_fields":[{"id":1,"name":"Subdivision","value":"Other"},{"id":4,"name":"Milepost","value":"2.3346"},{"id":17,"name":"Train ID","value":"315-05"},{"id":16,"name":"Locomotive ID","value":"4028"},{"id":130,"name":"Impact","value":""},{"id":150,"name":"Time of Event (Mountain Time)","value":"02:55:50"},{"id":151,"name":"Denver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82"/>
        <v>start /low /b %USERPROFILE%\Documents\GitHub\eaglep3\Utilities\DownloadLogsFromS3.py --loco 4028 --day 2017-05-06</v>
      </c>
      <c r="AN201" s="154" t="str">
        <f t="shared" si="8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08:55:50"},{"id":29,"name":"Sharepoint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587</v>
      </c>
      <c r="B202" s="7">
        <v>4018</v>
      </c>
      <c r="C202" s="21" t="s">
        <v>210</v>
      </c>
      <c r="D202" s="21" t="s">
        <v>870</v>
      </c>
      <c r="E202" s="13">
        <v>42861.232488425929</v>
      </c>
      <c r="F202" s="13">
        <v>42861.233958333331</v>
      </c>
      <c r="G202" s="7">
        <v>1</v>
      </c>
      <c r="H202" s="21" t="s">
        <v>466</v>
      </c>
      <c r="I202" s="13">
        <v>42861.239594907405</v>
      </c>
      <c r="J202" s="7">
        <v>0</v>
      </c>
      <c r="K202" s="92" t="str">
        <f t="shared" si="66"/>
        <v>4017/4018</v>
      </c>
      <c r="L202" s="21" t="str">
        <f>VLOOKUP(A202,'Trips&amp;Operators'!$C$1:$G$99999,5,FALSE)</f>
        <v>DELGADO DIANAH</v>
      </c>
      <c r="M202" s="6">
        <f t="shared" si="67"/>
        <v>5.6365740747423843E-3</v>
      </c>
      <c r="N202" s="7">
        <f t="shared" si="68"/>
        <v>8.1166666676290333</v>
      </c>
      <c r="O202" s="7"/>
      <c r="P202" s="7"/>
      <c r="Q202" s="22"/>
      <c r="R202" s="190"/>
      <c r="S202" s="196">
        <f t="shared" si="69"/>
        <v>0</v>
      </c>
      <c r="T202" s="190" t="str">
        <f t="shared" si="70"/>
        <v>NorthBound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91" t="str">
        <f t="shared" si="71"/>
        <v>https://d0f6bd738d7f1b3e5a7ca70fe4ff75f0.us-east-1.aws.found.io/app/kibana#/discover/Steve-Slow-Train-Analysis-(2080s-and-2083s)?_g=(refreshInterval:(display:Off,pause:!f,section:0,value:0),time:(from:'2017-05-06T04:34:47-0600',mode:absolute,to:'2017-05-06T06:45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2" s="192" t="str">
        <f t="shared" si="72"/>
        <v>Y</v>
      </c>
      <c r="X202" s="192">
        <f t="shared" si="65"/>
        <v>1586</v>
      </c>
      <c r="Y202" s="192">
        <f t="shared" si="73"/>
        <v>2.1867000000000001</v>
      </c>
      <c r="Z202" s="192">
        <f t="shared" si="74"/>
        <v>5.8930999999999996</v>
      </c>
      <c r="AA202" s="192">
        <f t="shared" si="75"/>
        <v>3.7063999999999995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76"/>
        <v>1901-06</v>
      </c>
      <c r="AE202" s="80" t="str">
        <f t="shared" si="77"/>
        <v>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 &amp; aws s3 cp s3://rtdc.mdm.uploadarchive.raw/RTDC4018/ "%USERPROFILE%\AppData\Local\Temp\OnboardLogs"\RTDC4018\2017-05-07 --exclude "*" --recursive --include "*20170507*" &amp; "%USERPROFILE%\Documents\GitHub\mrs-test-scripts\Headless Mode &amp; Sideloading\WalkAndUnGZ.bat" "%USERPROFILE%\AppData\Local\Temp\OnboardLogs"\RTDC4018\2017-05-07</v>
      </c>
      <c r="AF202" s="77" t="str">
        <f t="shared" si="78"/>
        <v>"C:\Program Files (x86)\AstroGrep\AstroGrep.exe" /e /r /s /spath="%USERPROFILE%\AppData\Local\Temp\OnboardLogs" /stypes="app*4018*20170506*" /stext=" 11:.+((SYSTEM_STATE.+slice.+state.+changed )|(ment ac)|(multiple cpu faults)|(system.+state.+changed )|(\[timeout)|(PRM\|1\|D)|(kpr)|(kdp)|(train st.+moving)|(\|lc)|(penalty))"</v>
      </c>
      <c r="AG202" s="1" t="str">
        <f t="shared" si="79"/>
        <v>Other</v>
      </c>
      <c r="AH202" s="81" t="str">
        <f t="shared" si="80"/>
        <v>"%USERPROFILE%\Documents\GitHub\eaglep3\Utilities\RefineRTDCRunTimes.py" --tripid 1901-06 --locoid 4018 --swversion DE.1.0.9.0 --startMP 300:21867 --initTime 2017-05-06T05:34:47 --startdatetime 2017-05-06T05:36:54 --delay 1 --endMP 300:58931 --enddatetime 2017-05-06T05:45:01 --enforcementcount 0 &gt;&gt;C:\Users\stu\Documents\GitHub\eaglep3-reporting\EC\2017-05-06-refined-times.txt</v>
      </c>
      <c r="AI202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{"issue":{"subject":"","project_id":79,"tracker_id":40,"status_id":1,"priority_id":2,"assigned_to_id":23,"start_date":"2017-05-06","description":"","custom_fields":[{"id":1,"name":"Subdivision","value":"Other"},{"id":4,"name":"Milepost","value":"5.8931"},{"id":17,"name":"Train ID","value":"1901-06"},{"id":16,"name":"Locomotive ID","value":"4018"},{"id":130,"name":"Impact","value":""},{"id":150,"name":"Time of Event (Mountain Time)","value":"05:45:01"},{"id":151,"name":"Denver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82"/>
        <v>start /low /b %USERPROFILE%\Documents\GitHub\eaglep3\Utilities\DownloadLogsFromS3.py --loco 4018 --day 2017-05-06</v>
      </c>
      <c r="AN202" s="154" t="str">
        <f t="shared" si="8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11:45:01"},{"id":29,"name":"Sharepoint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749</v>
      </c>
      <c r="B203" s="7">
        <v>4013</v>
      </c>
      <c r="C203" s="21" t="s">
        <v>210</v>
      </c>
      <c r="D203" s="21" t="s">
        <v>508</v>
      </c>
      <c r="E203" s="13">
        <v>42861.942013888889</v>
      </c>
      <c r="F203" s="13">
        <v>42861.952118055553</v>
      </c>
      <c r="G203" s="7">
        <v>1</v>
      </c>
      <c r="H203" s="21" t="s">
        <v>871</v>
      </c>
      <c r="I203" s="13">
        <v>42861.972384259258</v>
      </c>
      <c r="J203" s="7">
        <v>0</v>
      </c>
      <c r="K203" s="92" t="str">
        <f t="shared" si="66"/>
        <v>4013/4014</v>
      </c>
      <c r="L203" s="21" t="str">
        <f>VLOOKUP(A203,'Trips&amp;Operators'!$C$1:$G$99999,5,FALSE)</f>
        <v>HELVIE ADAM</v>
      </c>
      <c r="M203" s="6">
        <f t="shared" si="67"/>
        <v>2.0266203704522923E-2</v>
      </c>
      <c r="N203" s="7">
        <f t="shared" si="68"/>
        <v>29.183333334513009</v>
      </c>
      <c r="O203" s="7"/>
      <c r="P203" s="7"/>
      <c r="Q203" s="22"/>
      <c r="R203" s="190"/>
      <c r="S203" s="196">
        <f t="shared" si="69"/>
        <v>0</v>
      </c>
      <c r="T203" s="190" t="str">
        <f t="shared" si="70"/>
        <v>Southbound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91" t="str">
        <f t="shared" si="71"/>
        <v>https://d0f6bd738d7f1b3e5a7ca70fe4ff75f0.us-east-1.aws.found.io/app/kibana#/discover/Steve-Slow-Train-Analysis-(2080s-and-2083s)?_g=(refreshInterval:(display:Off,pause:!f,section:0,value:0),time:(from:'2017-05-06T21:36:30-0600',mode:absolute,to:'2017-05-07T00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3" s="192" t="str">
        <f t="shared" si="72"/>
        <v>Y</v>
      </c>
      <c r="X203" s="192">
        <f t="shared" si="65"/>
        <v>1</v>
      </c>
      <c r="Y203" s="192">
        <f t="shared" si="73"/>
        <v>5.8608000000000002</v>
      </c>
      <c r="Z203" s="192">
        <f t="shared" si="74"/>
        <v>2.1718999999999999</v>
      </c>
      <c r="AA203" s="192">
        <f t="shared" si="75"/>
        <v>3.6889000000000003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76"/>
        <v>1902-06</v>
      </c>
      <c r="AE203" s="80" t="str">
        <f t="shared" si="77"/>
        <v>aws s3 cp s3://rtdc.mdm.uploadarchive.raw/RTDC4013/ "%USERPROFILE%\AppData\Local\Temp\OnboardLogs"\RTDC4013\2017-05-06 --exclude "*" --recursive --include "*20170506*" &amp; "%USERPROFILE%\Documents\GitHub\mrs-test-scripts\Headless Mode &amp; Sideloading\WalkAndUnGZ.bat" "%USERPROFILE%\AppData\Local\Temp\OnboardLogs"\RTDC4013\2017-05-06 &amp; aws s3 cp s3://rtdc.mdm.uploadarchive.raw/RTDC4013/ "%USERPROFILE%\AppData\Local\Temp\OnboardLogs"\RTDC4013\2017-05-07 --exclude "*" --recursive --include "*20170507*" &amp; "%USERPROFILE%\Documents\GitHub\mrs-test-scripts\Headless Mode &amp; Sideloading\WalkAndUnGZ.bat" "%USERPROFILE%\AppData\Local\Temp\OnboardLogs"\RTDC4013\2017-05-07</v>
      </c>
      <c r="AF203" s="77" t="str">
        <f t="shared" si="78"/>
        <v>"C:\Program Files (x86)\AstroGrep\AstroGrep.exe" /e /r /s /spath="%USERPROFILE%\AppData\Local\Temp\OnboardLogs" /stypes="app*4013*20170507*" /stext=" 05:.+((SYSTEM_STATE.+slice.+state.+changed )|(ment ac)|(multiple cpu faults)|(system.+state.+changed )|(\[timeout)|(PRM\|1\|D)|(kpr)|(kdp)|(train st.+moving)|(\|lc)|(penalty))"</v>
      </c>
      <c r="AG203" s="1" t="str">
        <f t="shared" si="79"/>
        <v>Other</v>
      </c>
      <c r="AH203" s="81" t="str">
        <f t="shared" si="80"/>
        <v>"%USERPROFILE%\Documents\GitHub\eaglep3\Utilities\RefineRTDCRunTimes.py" --tripid 1902-06 --locoid 4013 --swversion DE.1.0.9.0 --startMP 300:58608 --initTime 2017-05-06T22:36:30 --startdatetime 2017-05-06T22:51:03 --delay 1 --endMP 300:21719 --enddatetime 2017-05-06T23:20:14 --enforcementcount 0 &gt;&gt;C:\Users\stu\Documents\GitHub\eaglep3-reporting\EC\2017-05-06-refined-times.txt</v>
      </c>
      <c r="AI203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{"issue":{"subject":"","project_id":79,"tracker_id":40,"status_id":1,"priority_id":2,"assigned_to_id":23,"start_date":"2017-05-06","description":"","custom_fields":[{"id":1,"name":"Subdivision","value":"Other"},{"id":4,"name":"Milepost","value":"2.1719"},{"id":17,"name":"Train ID","value":"1902-06"},{"id":16,"name":"Locomotive ID","value":"4013"},{"id":130,"name":"Impact","value":""},{"id":150,"name":"Time of Event (Mountain Time)","value":"23:20:14"},{"id":151,"name":"Denver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82"/>
        <v>start /low /b %USERPROFILE%\Documents\GitHub\eaglep3\Utilities\DownloadLogsFromS3.py --loco 4013 --day 2017-05-06</v>
      </c>
      <c r="AN203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05:20:14"},{"id":29,"name":"Sharepoint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625</v>
      </c>
      <c r="B204" s="7">
        <v>4019</v>
      </c>
      <c r="C204" s="21" t="s">
        <v>210</v>
      </c>
      <c r="D204" s="21" t="s">
        <v>920</v>
      </c>
      <c r="E204" s="13">
        <v>42861.375243055554</v>
      </c>
      <c r="F204" s="13">
        <v>42861.379780092589</v>
      </c>
      <c r="G204" s="7">
        <v>6</v>
      </c>
      <c r="H204" s="21" t="s">
        <v>500</v>
      </c>
      <c r="I204" s="13">
        <v>42861.385613425926</v>
      </c>
      <c r="J204" s="7">
        <v>0</v>
      </c>
      <c r="K204" s="92" t="str">
        <f t="shared" si="66"/>
        <v>4019/4020</v>
      </c>
      <c r="L204" s="21" t="str">
        <f>VLOOKUP(A204,'Trips&amp;Operators'!$C$1:$G$99999,5,FALSE)</f>
        <v>LOPES KIMBERLY</v>
      </c>
      <c r="M204" s="6">
        <f t="shared" si="67"/>
        <v>5.8333333363407291E-3</v>
      </c>
      <c r="N204" s="7">
        <f t="shared" si="68"/>
        <v>8.40000000433065</v>
      </c>
      <c r="O204" s="7"/>
      <c r="P204" s="7"/>
      <c r="Q204" s="22"/>
      <c r="R204" s="190"/>
      <c r="S204" s="196">
        <f t="shared" si="69"/>
        <v>0</v>
      </c>
      <c r="T204" s="190" t="e">
        <f t="shared" si="70"/>
        <v>#VALUE!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91" t="str">
        <f t="shared" si="71"/>
        <v>https://d0f6bd738d7f1b3e5a7ca70fe4ff75f0.us-east-1.aws.found.io/app/kibana#/discover/Steve-Slow-Train-Analysis-(2080s-and-2083s)?_g=(refreshInterval:(display:Off,pause:!f,section:0,value:0),time:(from:'2017-05-06T08:00:21-0600',mode:absolute,to:'2017-05-06T10:15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4" s="192" t="str">
        <f t="shared" si="72"/>
        <v>Y</v>
      </c>
      <c r="X204" s="192" t="e">
        <f t="shared" si="65"/>
        <v>#VALUE!</v>
      </c>
      <c r="Y204" s="192">
        <f t="shared" si="73"/>
        <v>2.2065999999999999</v>
      </c>
      <c r="Z204" s="192">
        <f t="shared" si="74"/>
        <v>1.29E-2</v>
      </c>
      <c r="AA204" s="192">
        <f t="shared" si="75"/>
        <v>2.1936999999999998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76"/>
        <v>50-06</v>
      </c>
      <c r="AE204" s="80" t="str">
        <f t="shared" si="77"/>
        <v>aws s3 cp s3://rtdc.mdm.uploadarchive.raw/RTDC4019/ "%USERPROFILE%\AppData\Local\Temp\OnboardLogs"\RTDC4019\2017-05-06 --exclude "*" --recursive --include "*20170506*" &amp; "%USERPROFILE%\Documents\GitHub\mrs-test-scripts\Headless Mode &amp; Sideloading\WalkAndUnGZ.bat" "%USERPROFILE%\AppData\Local\Temp\OnboardLogs"\RTDC4019\2017-05-06 &amp; 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</v>
      </c>
      <c r="AF204" s="77" t="str">
        <f t="shared" si="78"/>
        <v>"C:\Program Files (x86)\AstroGrep\AstroGrep.exe" /e /r /s /spath="%USERPROFILE%\AppData\Local\Temp\OnboardLogs" /stypes="app*4019*20170506*" /stext=" 15:.+((SYSTEM_STATE.+slice.+state.+changed )|(ment ac)|(multiple cpu faults)|(system.+state.+changed )|(\[timeout)|(PRM\|1\|D)|(kpr)|(kdp)|(train st.+moving)|(\|lc)|(penalty))"</v>
      </c>
      <c r="AG204" s="1" t="str">
        <f t="shared" si="79"/>
        <v>Other</v>
      </c>
      <c r="AH204" s="81" t="str">
        <f t="shared" si="80"/>
        <v>"%USERPROFILE%\Documents\GitHub\eaglep3\Utilities\RefineRTDCRunTimes.py" --tripid 50-06 --locoid 4019 --swversion DE.1.0.9.0 --startMP 300:22066 --initTime 2017-05-06T09:00:21 --startdatetime 2017-05-06T09:06:53 --delay 6 --endMP 204:129 --enddatetime 2017-05-06T09:15:17 --enforcementcount 0 &gt;&gt;C:\Users\stu\Documents\GitHub\eaglep3-reporting\EC\2017-05-06-refined-times.txt</v>
      </c>
      <c r="AI204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{"issue":{"subject":"","project_id":79,"tracker_id":40,"status_id":1,"priority_id":2,"assigned_to_id":23,"start_date":"2017-05-06","description":"","custom_fields":[{"id":1,"name":"Subdivision","value":"Other"},{"id":4,"name":"Milepost","value":"0.0129"},{"id":17,"name":"Train ID","value":"50-06"},{"id":16,"name":"Locomotive ID","value":"4019"},{"id":130,"name":"Impact","value":""},{"id":150,"name":"Time of Event (Mountain Time)","value":"09:15:17"},{"id":151,"name":"Denver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82"/>
        <v>start /low /b %USERPROFILE%\Documents\GitHub\eaglep3\Utilities\DownloadLogsFromS3.py --loco 4019 --day 2017-05-06</v>
      </c>
      <c r="AN204" s="154" t="str">
        <f t="shared" si="8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15:15:17"},{"id":29,"name":"Sharepoint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596</v>
      </c>
      <c r="B205" s="7">
        <v>4041</v>
      </c>
      <c r="C205" s="21" t="s">
        <v>210</v>
      </c>
      <c r="D205" s="21" t="s">
        <v>921</v>
      </c>
      <c r="E205" s="13">
        <v>42861.278437499997</v>
      </c>
      <c r="F205" s="13">
        <v>42861.27957175926</v>
      </c>
      <c r="G205" s="7">
        <v>1</v>
      </c>
      <c r="H205" s="21" t="s">
        <v>922</v>
      </c>
      <c r="I205" s="13">
        <v>42861.280821759261</v>
      </c>
      <c r="J205" s="7">
        <v>0</v>
      </c>
      <c r="K205" s="92" t="str">
        <f t="shared" si="66"/>
        <v>4041/4042</v>
      </c>
      <c r="L205" s="21" t="str">
        <f>VLOOKUP(A205,'Trips&amp;Operators'!$C$1:$G$99999,5,FALSE)</f>
        <v>COOLAHAN JOHN</v>
      </c>
      <c r="M205" s="6">
        <f t="shared" si="67"/>
        <v>1.2500000011641532E-3</v>
      </c>
      <c r="N205" s="7">
        <f t="shared" si="68"/>
        <v>1.8000000016763806</v>
      </c>
      <c r="O205" s="7"/>
      <c r="P205" s="7"/>
      <c r="Q205" s="22"/>
      <c r="R205" s="190"/>
      <c r="S205" s="196">
        <f t="shared" si="69"/>
        <v>0</v>
      </c>
      <c r="T205" s="190" t="e">
        <f t="shared" si="70"/>
        <v>#VALUE!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91" t="str">
        <f t="shared" si="71"/>
        <v>https://d0f6bd738d7f1b3e5a7ca70fe4ff75f0.us-east-1.aws.found.io/app/kibana#/discover/Steve-Slow-Train-Analysis-(2080s-and-2083s)?_g=(refreshInterval:(display:Off,pause:!f,section:0,value:0),time:(from:'2017-05-06T05:40:57-0600',mode:absolute,to:'2017-05-06T07:44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5" s="192" t="str">
        <f t="shared" si="72"/>
        <v>Y</v>
      </c>
      <c r="X205" s="192" t="e">
        <f t="shared" si="65"/>
        <v>#VALUE!</v>
      </c>
      <c r="Y205" s="192">
        <f t="shared" si="73"/>
        <v>0.33779999999999999</v>
      </c>
      <c r="Z205" s="192">
        <f t="shared" si="74"/>
        <v>0.1148</v>
      </c>
      <c r="AA205" s="192">
        <f t="shared" si="75"/>
        <v>0.22299999999999998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si="76"/>
        <v>51-06</v>
      </c>
      <c r="AE205" s="80" t="str">
        <f t="shared" si="77"/>
        <v>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 &amp; 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</v>
      </c>
      <c r="AF205" s="77" t="str">
        <f t="shared" si="78"/>
        <v>"C:\Program Files (x86)\AstroGrep\AstroGrep.exe" /e /r /s /spath="%USERPROFILE%\AppData\Local\Temp\OnboardLogs" /stypes="app*4041*20170506*" /stext=" 12:.+((SYSTEM_STATE.+slice.+state.+changed )|(ment ac)|(multiple cpu faults)|(system.+state.+changed )|(\[timeout)|(PRM\|1\|D)|(kpr)|(kdp)|(train st.+moving)|(\|lc)|(penalty))"</v>
      </c>
      <c r="AG205" s="1" t="str">
        <f t="shared" si="79"/>
        <v>Other</v>
      </c>
      <c r="AH205" s="81" t="str">
        <f t="shared" si="80"/>
        <v>"%USERPROFILE%\Documents\GitHub\eaglep3\Utilities\RefineRTDCRunTimes.py" --tripid 51-06 --locoid 4041 --swversion DE.1.0.9.0 --startMP 204:3378 --initTime 2017-05-06T06:40:57 --startdatetime 2017-05-06T06:42:35 --delay 1 --endMP 204:1148 --enddatetime 2017-05-06T06:44:23 --enforcementcount 0 &gt;&gt;C:\Users\stu\Documents\GitHub\eaglep3-reporting\EC\2017-05-06-refined-times.txt</v>
      </c>
      <c r="AI205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{"issue":{"subject":"","project_id":79,"tracker_id":40,"status_id":1,"priority_id":2,"assigned_to_id":23,"start_date":"2017-05-06","description":"","custom_fields":[{"id":1,"name":"Subdivision","value":"Other"},{"id":4,"name":"Milepost","value":"0.1148"},{"id":17,"name":"Train ID","value":"51-06"},{"id":16,"name":"Locomotive ID","value":"4041"},{"id":130,"name":"Impact","value":""},{"id":150,"name":"Time of Event (Mountain Time)","value":"06:44:23"},{"id":151,"name":"Denver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82"/>
        <v>start /low /b %USERPROFILE%\Documents\GitHub\eaglep3\Utilities\DownloadLogsFromS3.py --loco 4041 --day 2017-05-06</v>
      </c>
      <c r="AN205" s="154" t="str">
        <f t="shared" si="8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12:44:23"},{"id":29,"name":"Sharepoint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596</v>
      </c>
      <c r="B206" s="7">
        <v>4042</v>
      </c>
      <c r="C206" s="21" t="s">
        <v>210</v>
      </c>
      <c r="D206" s="21" t="s">
        <v>388</v>
      </c>
      <c r="E206" s="13">
        <v>42861.274340277778</v>
      </c>
      <c r="F206" s="13">
        <v>42861.27957175926</v>
      </c>
      <c r="G206" s="7">
        <v>1</v>
      </c>
      <c r="H206" s="21" t="s">
        <v>923</v>
      </c>
      <c r="I206" s="13">
        <v>42861.280821759261</v>
      </c>
      <c r="J206" s="7">
        <v>0</v>
      </c>
      <c r="K206" s="92" t="str">
        <f t="shared" si="66"/>
        <v>4041/4042</v>
      </c>
      <c r="L206" s="21" t="str">
        <f>VLOOKUP(A206,'Trips&amp;Operators'!$C$1:$G$99999,5,FALSE)</f>
        <v>COOLAHAN JOHN</v>
      </c>
      <c r="M206" s="6">
        <f t="shared" si="67"/>
        <v>1.2500000011641532E-3</v>
      </c>
      <c r="N206" s="7">
        <f t="shared" si="68"/>
        <v>1.8000000016763806</v>
      </c>
      <c r="O206" s="7"/>
      <c r="P206" s="7"/>
      <c r="Q206" s="22"/>
      <c r="R206" s="190"/>
      <c r="S206" s="196">
        <f t="shared" si="69"/>
        <v>0</v>
      </c>
      <c r="T206" s="190" t="e">
        <f t="shared" si="70"/>
        <v>#VALUE!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91" t="str">
        <f t="shared" si="71"/>
        <v>https://d0f6bd738d7f1b3e5a7ca70fe4ff75f0.us-east-1.aws.found.io/app/kibana#/discover/Steve-Slow-Train-Analysis-(2080s-and-2083s)?_g=(refreshInterval:(display:Off,pause:!f,section:0,value:0),time:(from:'2017-05-06T05:35:03-0600',mode:absolute,to:'2017-05-06T07:44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6" s="192" t="str">
        <f t="shared" si="72"/>
        <v>Y</v>
      </c>
      <c r="X206" s="192" t="e">
        <f t="shared" si="65"/>
        <v>#VALUE!</v>
      </c>
      <c r="Y206" s="192">
        <f t="shared" si="73"/>
        <v>4.6399999999999997E-2</v>
      </c>
      <c r="Z206" s="192">
        <f t="shared" si="74"/>
        <v>0.3679</v>
      </c>
      <c r="AA206" s="192">
        <f t="shared" si="75"/>
        <v>0.32150000000000001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76"/>
        <v>51-06</v>
      </c>
      <c r="AE206" s="80" t="str">
        <f t="shared" si="77"/>
        <v>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 &amp; aws s3 cp s3://rtdc.mdm.uploadarchive.raw/RTDC4042/ "%USERPROFILE%\AppData\Local\Temp\OnboardLogs"\RTDC4042\2017-05-07 --exclude "*" --recursive --include "*20170507*" &amp; "%USERPROFILE%\Documents\GitHub\mrs-test-scripts\Headless Mode &amp; Sideloading\WalkAndUnGZ.bat" "%USERPROFILE%\AppData\Local\Temp\OnboardLogs"\RTDC4042\2017-05-07</v>
      </c>
      <c r="AF206" s="77" t="str">
        <f t="shared" si="78"/>
        <v>"C:\Program Files (x86)\AstroGrep\AstroGrep.exe" /e /r /s /spath="%USERPROFILE%\AppData\Local\Temp\OnboardLogs" /stypes="app*4042*20170506*" /stext=" 12:.+((SYSTEM_STATE.+slice.+state.+changed )|(ment ac)|(multiple cpu faults)|(system.+state.+changed )|(\[timeout)|(PRM\|1\|D)|(kpr)|(kdp)|(train st.+moving)|(\|lc)|(penalty))"</v>
      </c>
      <c r="AG206" s="1" t="str">
        <f t="shared" si="79"/>
        <v>Other</v>
      </c>
      <c r="AH206" s="81" t="str">
        <f t="shared" si="80"/>
        <v>"%USERPROFILE%\Documents\GitHub\eaglep3\Utilities\RefineRTDCRunTimes.py" --tripid 51-06 --locoid 4042 --swversion DE.1.0.9.0 --startMP 204:464 --initTime 2017-05-06T06:35:03 --startdatetime 2017-05-06T06:42:35 --delay 1 --endMP 204:3679 --enddatetime 2017-05-06T06:44:23 --enforcementcount 0 &gt;&gt;C:\Users\stu\Documents\GitHub\eaglep3-reporting\EC\2017-05-06-refined-times.txt</v>
      </c>
      <c r="AI206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{"issue":{"subject":"","project_id":79,"tracker_id":40,"status_id":1,"priority_id":2,"assigned_to_id":23,"start_date":"2017-05-06","description":"","custom_fields":[{"id":1,"name":"Subdivision","value":"Other"},{"id":4,"name":"Milepost","value":"0.3679"},{"id":17,"name":"Train ID","value":"51-06"},{"id":16,"name":"Locomotive ID","value":"4042"},{"id":130,"name":"Impact","value":""},{"id":150,"name":"Time of Event (Mountain Time)","value":"06:44:23"},{"id":151,"name":"Denver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82"/>
        <v>start /low /b %USERPROFILE%\Documents\GitHub\eaglep3\Utilities\DownloadLogsFromS3.py --loco 4042 --day 2017-05-06</v>
      </c>
      <c r="AN206" s="154" t="str">
        <f t="shared" si="8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12:44:23"},{"id":29,"name":"Sharepoint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530</v>
      </c>
      <c r="B207" s="7">
        <v>4051</v>
      </c>
      <c r="C207" s="21" t="s">
        <v>210</v>
      </c>
      <c r="D207" s="21" t="s">
        <v>924</v>
      </c>
      <c r="E207" s="13">
        <v>42861.474189814813</v>
      </c>
      <c r="F207" s="13">
        <v>42861.478865740741</v>
      </c>
      <c r="G207" s="7">
        <v>6</v>
      </c>
      <c r="H207" s="21" t="s">
        <v>925</v>
      </c>
      <c r="I207" s="13">
        <v>42861.483935185184</v>
      </c>
      <c r="J207" s="7">
        <v>0</v>
      </c>
      <c r="K207" s="92" t="str">
        <f t="shared" si="66"/>
        <v>4051/4052</v>
      </c>
      <c r="L207" s="21" t="str">
        <f>VLOOKUP(A207,'Trips&amp;Operators'!$C$1:$G$99999,5,FALSE)</f>
        <v>LEVIN SCOTT</v>
      </c>
      <c r="M207" s="6">
        <f t="shared" si="67"/>
        <v>5.0694444435066544E-3</v>
      </c>
      <c r="N207" s="7">
        <f t="shared" si="68"/>
        <v>7.2999999986495823</v>
      </c>
      <c r="O207" s="7"/>
      <c r="P207" s="7"/>
      <c r="Q207" s="22"/>
      <c r="R207" s="190"/>
      <c r="S207" s="196">
        <f t="shared" si="69"/>
        <v>0</v>
      </c>
      <c r="T207" s="190" t="e">
        <f t="shared" si="70"/>
        <v>#VALUE!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91" t="str">
        <f t="shared" si="71"/>
        <v>https://d0f6bd738d7f1b3e5a7ca70fe4ff75f0.us-east-1.aws.found.io/app/kibana#/discover/Steve-Slow-Train-Analysis-(2080s-and-2083s)?_g=(refreshInterval:(display:Off,pause:!f,section:0,value:0),time:(from:'2017-05-06T10:22:50-0600',mode:absolute,to:'2017-05-06T12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7" s="192" t="str">
        <f t="shared" si="72"/>
        <v>Y</v>
      </c>
      <c r="X207" s="192" t="e">
        <f t="shared" si="65"/>
        <v>#VALUE!</v>
      </c>
      <c r="Y207" s="192">
        <f t="shared" si="73"/>
        <v>2.3797999999999999</v>
      </c>
      <c r="Z207" s="192">
        <f t="shared" si="74"/>
        <v>9.2600000000000002E-2</v>
      </c>
      <c r="AA207" s="192">
        <f t="shared" si="75"/>
        <v>2.2871999999999999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76"/>
        <v>52-06</v>
      </c>
      <c r="AE207" s="80" t="str">
        <f t="shared" si="77"/>
        <v>aws s3 cp s3://rtdc.mdm.uploadarchive.raw/RTDC4051/ "%USERPROFILE%\AppData\Local\Temp\OnboardLogs"\RTDC4051\2017-05-06 --exclude "*" --recursive --include "*20170506*" &amp; "%USERPROFILE%\Documents\GitHub\mrs-test-scripts\Headless Mode &amp; Sideloading\WalkAndUnGZ.bat" "%USERPROFILE%\AppData\Local\Temp\OnboardLogs"\RTDC4051\2017-05-06 &amp; 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</v>
      </c>
      <c r="AF207" s="77" t="str">
        <f t="shared" si="78"/>
        <v>"C:\Program Files (x86)\AstroGrep\AstroGrep.exe" /e /r /s /spath="%USERPROFILE%\AppData\Local\Temp\OnboardLogs" /stypes="app*4051*20170506*" /stext=" 17:.+((SYSTEM_STATE.+slice.+state.+changed )|(ment ac)|(multiple cpu faults)|(system.+state.+changed )|(\[timeout)|(PRM\|1\|D)|(kpr)|(kdp)|(train st.+moving)|(\|lc)|(penalty))"</v>
      </c>
      <c r="AG207" s="1" t="str">
        <f t="shared" si="79"/>
        <v>Other</v>
      </c>
      <c r="AH207" s="81" t="str">
        <f t="shared" si="80"/>
        <v>"%USERPROFILE%\Documents\GitHub\eaglep3\Utilities\RefineRTDCRunTimes.py" --tripid 52-06 --locoid 4051 --swversion DE.1.0.9.0 --startMP 300:23798 --initTime 2017-05-06T11:22:50 --startdatetime 2017-05-06T11:29:34 --delay 6 --endMP 204:926 --enddatetime 2017-05-06T11:36:52 --enforcementcount 0 &gt;&gt;C:\Users\stu\Documents\GitHub\eaglep3-reporting\EC\2017-05-06-refined-times.txt</v>
      </c>
      <c r="AI207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{"issue":{"subject":"","project_id":79,"tracker_id":40,"status_id":1,"priority_id":2,"assigned_to_id":23,"start_date":"2017-05-06","description":"","custom_fields":[{"id":1,"name":"Subdivision","value":"Other"},{"id":4,"name":"Milepost","value":"0.0926"},{"id":17,"name":"Train ID","value":"52-06"},{"id":16,"name":"Locomotive ID","value":"4051"},{"id":130,"name":"Impact","value":""},{"id":150,"name":"Time of Event (Mountain Time)","value":"11:36:52"},{"id":151,"name":"Denver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82"/>
        <v>start /low /b %USERPROFILE%\Documents\GitHub\eaglep3\Utilities\DownloadLogsFromS3.py --loco 4051 --day 2017-05-06</v>
      </c>
      <c r="AN207" s="154" t="str">
        <f t="shared" si="8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17:36:52"},{"id":29,"name":"Sharepoint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633</v>
      </c>
      <c r="B208" s="7">
        <v>4042</v>
      </c>
      <c r="C208" s="21" t="s">
        <v>210</v>
      </c>
      <c r="D208" s="21" t="s">
        <v>880</v>
      </c>
      <c r="E208" s="13">
        <v>42861.415810185186</v>
      </c>
      <c r="F208" s="13">
        <v>42861.419398148151</v>
      </c>
      <c r="G208" s="7">
        <v>3</v>
      </c>
      <c r="H208" s="21" t="s">
        <v>926</v>
      </c>
      <c r="I208" s="13">
        <v>42861.449537037035</v>
      </c>
      <c r="J208" s="7">
        <v>0</v>
      </c>
      <c r="K208" s="92" t="str">
        <f t="shared" si="66"/>
        <v>4041/4042</v>
      </c>
      <c r="L208" s="21" t="str">
        <f>VLOOKUP(A208,'Trips&amp;Operators'!$C$1:$G$99999,5,FALSE)</f>
        <v>LOPES KIMBERLY</v>
      </c>
      <c r="M208" s="6">
        <f t="shared" si="67"/>
        <v>3.0138888883811887E-2</v>
      </c>
      <c r="N208" s="7">
        <f t="shared" si="68"/>
        <v>43.399999992689118</v>
      </c>
      <c r="O208" s="7"/>
      <c r="P208" s="7"/>
      <c r="Q208" s="22"/>
      <c r="R208" s="190"/>
      <c r="S208" s="196">
        <f t="shared" si="69"/>
        <v>0</v>
      </c>
      <c r="T208" s="190" t="e">
        <f t="shared" si="70"/>
        <v>#VALUE!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1" t="str">
        <f t="shared" si="71"/>
        <v>https://d0f6bd738d7f1b3e5a7ca70fe4ff75f0.us-east-1.aws.found.io/app/kibana#/discover/Steve-Slow-Train-Analysis-(2080s-and-2083s)?_g=(refreshInterval:(display:Off,pause:!f,section:0,value:0),time:(from:'2017-05-06T08:58:46-0600',mode:absolute,to:'2017-05-06T11:47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8" s="192" t="str">
        <f t="shared" si="72"/>
        <v>N</v>
      </c>
      <c r="X208" s="192" t="e">
        <f t="shared" si="65"/>
        <v>#VALUE!</v>
      </c>
      <c r="Y208" s="192">
        <f t="shared" si="73"/>
        <v>0.1484</v>
      </c>
      <c r="Z208" s="192">
        <f t="shared" si="74"/>
        <v>23.332599999999999</v>
      </c>
      <c r="AA208" s="192">
        <f t="shared" si="75"/>
        <v>23.184200000000001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76"/>
        <v>53-06</v>
      </c>
      <c r="AE208" s="80" t="str">
        <f t="shared" si="77"/>
        <v>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 &amp; aws s3 cp s3://rtdc.mdm.uploadarchive.raw/RTDC4042/ "%USERPROFILE%\AppData\Local\Temp\OnboardLogs"\RTDC4042\2017-05-07 --exclude "*" --recursive --include "*20170507*" &amp; "%USERPROFILE%\Documents\GitHub\mrs-test-scripts\Headless Mode &amp; Sideloading\WalkAndUnGZ.bat" "%USERPROFILE%\AppData\Local\Temp\OnboardLogs"\RTDC4042\2017-05-07</v>
      </c>
      <c r="AF208" s="77" t="str">
        <f t="shared" si="78"/>
        <v>"C:\Program Files (x86)\AstroGrep\AstroGrep.exe" /e /r /s /spath="%USERPROFILE%\AppData\Local\Temp\OnboardLogs" /stypes="app*4042*20170506*" /stext=" 16:.+((SYSTEM_STATE.+slice.+state.+changed )|(ment ac)|(multiple cpu faults)|(system.+state.+changed )|(\[timeout)|(PRM\|1\|D)|(kpr)|(kdp)|(train st.+moving)|(\|lc)|(penalty))"</v>
      </c>
      <c r="AG208" s="1" t="str">
        <f t="shared" si="79"/>
        <v>Other</v>
      </c>
      <c r="AH208" s="81" t="str">
        <f t="shared" si="80"/>
        <v>"%USERPROFILE%\Documents\GitHub\eaglep3\Utilities\RefineRTDCRunTimes.py" --tripid 53-06 --locoid 4042 --swversion DE.1.0.9.0 --startMP 204:1484 --initTime 2017-05-06T09:58:46 --startdatetime 2017-05-06T10:03:56 --delay 3 --endMP 204:233326 --enddatetime 2017-05-06T10:47:20 --enforcementcount 0 &gt;&gt;C:\Users\stu\Documents\GitHub\eaglep3-reporting\EC\2017-05-06-refined-times.txt</v>
      </c>
      <c r="AI208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{"issue":{"subject":"","project_id":79,"tracker_id":40,"status_id":1,"priority_id":2,"assigned_to_id":23,"start_date":"2017-05-06","description":"","custom_fields":[{"id":1,"name":"Subdivision","value":"Other"},{"id":4,"name":"Milepost","value":"23.3326"},{"id":17,"name":"Train ID","value":"53-06"},{"id":16,"name":"Locomotive ID","value":"4042"},{"id":130,"name":"Impact","value":""},{"id":150,"name":"Time of Event (Mountain Time)","value":"10:47:20"},{"id":151,"name":"Denver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82"/>
        <v>start /low /b %USERPROFILE%\Documents\GitHub\eaglep3\Utilities\DownloadLogsFromS3.py --loco 4042 --day 2017-05-06</v>
      </c>
      <c r="AN208" s="154" t="str">
        <f t="shared" si="8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16:47:20"},{"id":29,"name":"Sharepoint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657</v>
      </c>
      <c r="B209" s="7">
        <v>4052</v>
      </c>
      <c r="C209" s="21" t="s">
        <v>210</v>
      </c>
      <c r="D209" s="21" t="s">
        <v>927</v>
      </c>
      <c r="E209" s="13">
        <v>42861.491562499999</v>
      </c>
      <c r="F209" s="13">
        <v>42861.496736111112</v>
      </c>
      <c r="G209" s="7">
        <v>1</v>
      </c>
      <c r="H209" s="21" t="s">
        <v>511</v>
      </c>
      <c r="I209" s="13">
        <v>42861.502523148149</v>
      </c>
      <c r="J209" s="7">
        <v>0</v>
      </c>
      <c r="K209" s="92" t="str">
        <f t="shared" si="66"/>
        <v>4051/4052</v>
      </c>
      <c r="L209" s="21" t="str">
        <f>VLOOKUP(A209,'Trips&amp;Operators'!$C$1:$G$99999,5,FALSE)</f>
        <v>LOZA FIDEL</v>
      </c>
      <c r="M209" s="6">
        <f t="shared" si="67"/>
        <v>5.7870370364980772E-3</v>
      </c>
      <c r="N209" s="7">
        <f t="shared" si="68"/>
        <v>8.3333333325572312</v>
      </c>
      <c r="O209" s="7"/>
      <c r="P209" s="7"/>
      <c r="Q209" s="22"/>
      <c r="R209" s="190"/>
      <c r="S209" s="196">
        <f t="shared" si="69"/>
        <v>0</v>
      </c>
      <c r="T209" s="190" t="e">
        <f t="shared" si="70"/>
        <v>#VALUE!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1" t="str">
        <f t="shared" si="71"/>
        <v>https://d0f6bd738d7f1b3e5a7ca70fe4ff75f0.us-east-1.aws.found.io/app/kibana#/discover/Steve-Slow-Train-Analysis-(2080s-and-2083s)?_g=(refreshInterval:(display:Off,pause:!f,section:0,value:0),time:(from:'2017-05-06T10:47:51-0600',mode:absolute,to:'2017-05-06T13:03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9" s="192" t="str">
        <f t="shared" si="72"/>
        <v>Y</v>
      </c>
      <c r="X209" s="192" t="e">
        <f t="shared" si="65"/>
        <v>#VALUE!</v>
      </c>
      <c r="Y209" s="192">
        <f t="shared" si="73"/>
        <v>0.1249</v>
      </c>
      <c r="Z209" s="192">
        <f t="shared" si="74"/>
        <v>2.4214000000000002</v>
      </c>
      <c r="AA209" s="192">
        <f t="shared" si="75"/>
        <v>2.2965000000000004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76"/>
        <v>54-06</v>
      </c>
      <c r="AE209" s="80" t="str">
        <f t="shared" si="77"/>
        <v>aws s3 cp s3://rtdc.mdm.uploadarchive.raw/RTDC4052/ "%USERPROFILE%\AppData\Local\Temp\OnboardLogs"\RTDC4052\2017-05-06 --exclude "*" --recursive --include "*20170506*" &amp; "%USERPROFILE%\Documents\GitHub\mrs-test-scripts\Headless Mode &amp; Sideloading\WalkAndUnGZ.bat" "%USERPROFILE%\AppData\Local\Temp\OnboardLogs"\RTDC4052\2017-05-06 &amp; 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</v>
      </c>
      <c r="AF209" s="77" t="str">
        <f t="shared" si="78"/>
        <v>"C:\Program Files (x86)\AstroGrep\AstroGrep.exe" /e /r /s /spath="%USERPROFILE%\AppData\Local\Temp\OnboardLogs" /stypes="app*4052*20170506*" /stext=" 18:.+((SYSTEM_STATE.+slice.+state.+changed )|(ment ac)|(multiple cpu faults)|(system.+state.+changed )|(\[timeout)|(PRM\|1\|D)|(kpr)|(kdp)|(train st.+moving)|(\|lc)|(penalty))"</v>
      </c>
      <c r="AG209" s="1" t="str">
        <f t="shared" si="79"/>
        <v>Other</v>
      </c>
      <c r="AH209" s="81" t="str">
        <f t="shared" si="80"/>
        <v>"%USERPROFILE%\Documents\GitHub\eaglep3\Utilities\RefineRTDCRunTimes.py" --tripid 54-06 --locoid 4052 --swversion DE.1.0.9.0 --startMP 204:1249 --initTime 2017-05-06T11:47:51 --startdatetime 2017-05-06T11:55:18 --delay 1 --endMP 300:24214 --enddatetime 2017-05-06T12:03:38 --enforcementcount 0 &gt;&gt;C:\Users\stu\Documents\GitHub\eaglep3-reporting\EC\2017-05-06-refined-times.txt</v>
      </c>
      <c r="AI209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{"issue":{"subject":"","project_id":79,"tracker_id":40,"status_id":1,"priority_id":2,"assigned_to_id":23,"start_date":"2017-05-06","description":"","custom_fields":[{"id":1,"name":"Subdivision","value":"Other"},{"id":4,"name":"Milepost","value":"2.4214"},{"id":17,"name":"Train ID","value":"54-06"},{"id":16,"name":"Locomotive ID","value":"4052"},{"id":130,"name":"Impact","value":""},{"id":150,"name":"Time of Event (Mountain Time)","value":"12:03:38"},{"id":151,"name":"Denver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82"/>
        <v>start /low /b %USERPROFILE%\Documents\GitHub\eaglep3\Utilities\DownloadLogsFromS3.py --loco 4052 --day 2017-05-06</v>
      </c>
      <c r="AN209" s="154" t="str">
        <f t="shared" si="8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18:03:38"},{"id":29,"name":"Sharepoint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529</v>
      </c>
      <c r="B210" s="7">
        <v>4013</v>
      </c>
      <c r="C210" s="21" t="s">
        <v>210</v>
      </c>
      <c r="D210" s="21" t="s">
        <v>928</v>
      </c>
      <c r="E210" s="13">
        <v>42861.463541666664</v>
      </c>
      <c r="F210" s="13">
        <v>42861.465138888889</v>
      </c>
      <c r="G210" s="7">
        <v>1</v>
      </c>
      <c r="H210" s="21" t="s">
        <v>929</v>
      </c>
      <c r="I210" s="13">
        <v>42861.467280092591</v>
      </c>
      <c r="J210" s="7">
        <v>0</v>
      </c>
      <c r="K210" s="92" t="str">
        <f t="shared" si="66"/>
        <v>4013/4014</v>
      </c>
      <c r="L210" s="21" t="str">
        <f>VLOOKUP(A210,'Trips&amp;Operators'!$C$1:$G$99999,5,FALSE)</f>
        <v>ARNOLD PAUL</v>
      </c>
      <c r="M210" s="6">
        <f t="shared" si="67"/>
        <v>2.1412037021946162E-3</v>
      </c>
      <c r="N210" s="7">
        <f t="shared" si="68"/>
        <v>3.0833333311602473</v>
      </c>
      <c r="O210" s="7"/>
      <c r="P210" s="7"/>
      <c r="Q210" s="22"/>
      <c r="R210" s="190"/>
      <c r="S210" s="196">
        <f t="shared" si="69"/>
        <v>0</v>
      </c>
      <c r="T210" s="190" t="e">
        <f t="shared" si="70"/>
        <v>#VALUE!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1" t="str">
        <f t="shared" si="71"/>
        <v>https://d0f6bd738d7f1b3e5a7ca70fe4ff75f0.us-east-1.aws.found.io/app/kibana#/discover/Steve-Slow-Train-Analysis-(2080s-and-2083s)?_g=(refreshInterval:(display:Off,pause:!f,section:0,value:0),time:(from:'2017-05-06T10:07:30-0600',mode:absolute,to:'2017-05-06T12:12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0" s="192" t="str">
        <f t="shared" si="72"/>
        <v>Y</v>
      </c>
      <c r="X210" s="192" t="e">
        <f t="shared" si="65"/>
        <v>#VALUE!</v>
      </c>
      <c r="Y210" s="192">
        <f t="shared" si="73"/>
        <v>0.49590000000000001</v>
      </c>
      <c r="Z210" s="192">
        <f t="shared" si="74"/>
        <v>9.2399999999999996E-2</v>
      </c>
      <c r="AA210" s="192">
        <f t="shared" si="75"/>
        <v>0.40350000000000003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76"/>
        <v>55-06</v>
      </c>
      <c r="AE210" s="80" t="str">
        <f t="shared" si="77"/>
        <v>aws s3 cp s3://rtdc.mdm.uploadarchive.raw/RTDC4013/ "%USERPROFILE%\AppData\Local\Temp\OnboardLogs"\RTDC4013\2017-05-06 --exclude "*" --recursive --include "*20170506*" &amp; "%USERPROFILE%\Documents\GitHub\mrs-test-scripts\Headless Mode &amp; Sideloading\WalkAndUnGZ.bat" "%USERPROFILE%\AppData\Local\Temp\OnboardLogs"\RTDC4013\2017-05-06 &amp; aws s3 cp s3://rtdc.mdm.uploadarchive.raw/RTDC4013/ "%USERPROFILE%\AppData\Local\Temp\OnboardLogs"\RTDC4013\2017-05-07 --exclude "*" --recursive --include "*20170507*" &amp; "%USERPROFILE%\Documents\GitHub\mrs-test-scripts\Headless Mode &amp; Sideloading\WalkAndUnGZ.bat" "%USERPROFILE%\AppData\Local\Temp\OnboardLogs"\RTDC4013\2017-05-07</v>
      </c>
      <c r="AF210" s="77" t="str">
        <f t="shared" si="78"/>
        <v>"C:\Program Files (x86)\AstroGrep\AstroGrep.exe" /e /r /s /spath="%USERPROFILE%\AppData\Local\Temp\OnboardLogs" /stypes="app*4013*20170506*" /stext=" 17:.+((SYSTEM_STATE.+slice.+state.+changed )|(ment ac)|(multiple cpu faults)|(system.+state.+changed )|(\[timeout)|(PRM\|1\|D)|(kpr)|(kdp)|(train st.+moving)|(\|lc)|(penalty))"</v>
      </c>
      <c r="AG210" s="1" t="str">
        <f t="shared" si="79"/>
        <v>Other</v>
      </c>
      <c r="AH210" s="81" t="str">
        <f t="shared" si="80"/>
        <v>"%USERPROFILE%\Documents\GitHub\eaglep3\Utilities\RefineRTDCRunTimes.py" --tripid 55-06 --locoid 4013 --swversion DE.1.0.9.0 --startMP 300:4959 --initTime 2017-05-06T11:07:30 --startdatetime 2017-05-06T11:09:48 --delay 1 --endMP 204:924 --enddatetime 2017-05-06T11:12:53 --enforcementcount 0 &gt;&gt;C:\Users\stu\Documents\GitHub\eaglep3-reporting\EC\2017-05-06-refined-times.txt</v>
      </c>
      <c r="AI210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{"issue":{"subject":"","project_id":79,"tracker_id":40,"status_id":1,"priority_id":2,"assigned_to_id":23,"start_date":"2017-05-06","description":"","custom_fields":[{"id":1,"name":"Subdivision","value":"Other"},{"id":4,"name":"Milepost","value":"0.0924"},{"id":17,"name":"Train ID","value":"55-06"},{"id":16,"name":"Locomotive ID","value":"4013"},{"id":130,"name":"Impact","value":""},{"id":150,"name":"Time of Event (Mountain Time)","value":"11:12:53"},{"id":151,"name":"Denver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82"/>
        <v>start /low /b %USERPROFILE%\Documents\GitHub\eaglep3\Utilities\DownloadLogsFromS3.py --loco 4013 --day 2017-05-06</v>
      </c>
      <c r="AN210" s="154" t="str">
        <f t="shared" si="8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17:12:53"},{"id":29,"name":"Sharepoint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529</v>
      </c>
      <c r="B211" s="7">
        <v>4014</v>
      </c>
      <c r="C211" s="21" t="s">
        <v>210</v>
      </c>
      <c r="D211" s="21" t="s">
        <v>501</v>
      </c>
      <c r="E211" s="13">
        <v>42861.453125</v>
      </c>
      <c r="F211" s="13">
        <v>42861.465138888889</v>
      </c>
      <c r="G211" s="7">
        <v>1</v>
      </c>
      <c r="H211" s="21" t="s">
        <v>930</v>
      </c>
      <c r="I211" s="13">
        <v>42861.467280092591</v>
      </c>
      <c r="J211" s="7">
        <v>0</v>
      </c>
      <c r="K211" s="92" t="str">
        <f t="shared" si="66"/>
        <v>4013/4014</v>
      </c>
      <c r="L211" s="21" t="str">
        <f>VLOOKUP(A211,'Trips&amp;Operators'!$C$1:$G$99999,5,FALSE)</f>
        <v>ARNOLD PAUL</v>
      </c>
      <c r="M211" s="6">
        <f t="shared" si="67"/>
        <v>2.1412037021946162E-3</v>
      </c>
      <c r="N211" s="7">
        <f t="shared" si="68"/>
        <v>3.0833333311602473</v>
      </c>
      <c r="O211" s="7"/>
      <c r="P211" s="7"/>
      <c r="Q211" s="22"/>
      <c r="R211" s="190"/>
      <c r="S211" s="196">
        <f t="shared" si="69"/>
        <v>0</v>
      </c>
      <c r="T211" s="190" t="e">
        <f t="shared" si="70"/>
        <v>#VALUE!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1" t="str">
        <f t="shared" si="71"/>
        <v>https://d0f6bd738d7f1b3e5a7ca70fe4ff75f0.us-east-1.aws.found.io/app/kibana#/discover/Steve-Slow-Train-Analysis-(2080s-and-2083s)?_g=(refreshInterval:(display:Off,pause:!f,section:0,value:0),time:(from:'2017-05-06T09:52:30-0600',mode:absolute,to:'2017-05-06T12:12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1" s="192" t="str">
        <f t="shared" si="72"/>
        <v>Y</v>
      </c>
      <c r="X211" s="192" t="e">
        <f t="shared" si="65"/>
        <v>#VALUE!</v>
      </c>
      <c r="Y211" s="192">
        <f t="shared" si="73"/>
        <v>0.1152</v>
      </c>
      <c r="Z211" s="192">
        <f t="shared" si="74"/>
        <v>0.52470000000000006</v>
      </c>
      <c r="AA211" s="192">
        <f t="shared" si="75"/>
        <v>0.40950000000000009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76"/>
        <v>55-06</v>
      </c>
      <c r="AE211" s="80" t="str">
        <f t="shared" si="77"/>
        <v>aws s3 cp s3://rtdc.mdm.uploadarchive.raw/RTDC4014/ "%USERPROFILE%\AppData\Local\Temp\OnboardLogs"\RTDC4014\2017-05-06 --exclude "*" --recursive --include "*20170506*" &amp; "%USERPROFILE%\Documents\GitHub\mrs-test-scripts\Headless Mode &amp; Sideloading\WalkAndUnGZ.bat" "%USERPROFILE%\AppData\Local\Temp\OnboardLogs"\RTDC4014\2017-05-06 &amp; aws s3 cp s3://rtdc.mdm.uploadarchive.raw/RTDC4014/ "%USERPROFILE%\AppData\Local\Temp\OnboardLogs"\RTDC4014\2017-05-07 --exclude "*" --recursive --include "*20170507*" &amp; "%USERPROFILE%\Documents\GitHub\mrs-test-scripts\Headless Mode &amp; Sideloading\WalkAndUnGZ.bat" "%USERPROFILE%\AppData\Local\Temp\OnboardLogs"\RTDC4014\2017-05-07</v>
      </c>
      <c r="AF211" s="77" t="str">
        <f t="shared" si="78"/>
        <v>"C:\Program Files (x86)\AstroGrep\AstroGrep.exe" /e /r /s /spath="%USERPROFILE%\AppData\Local\Temp\OnboardLogs" /stypes="app*4014*20170506*" /stext=" 17:.+((SYSTEM_STATE.+slice.+state.+changed )|(ment ac)|(multiple cpu faults)|(system.+state.+changed )|(\[timeout)|(PRM\|1\|D)|(kpr)|(kdp)|(train st.+moving)|(\|lc)|(penalty))"</v>
      </c>
      <c r="AG211" s="1" t="str">
        <f t="shared" si="79"/>
        <v>Other</v>
      </c>
      <c r="AH211" s="81" t="str">
        <f t="shared" si="80"/>
        <v>"%USERPROFILE%\Documents\GitHub\eaglep3\Utilities\RefineRTDCRunTimes.py" --tripid 55-06 --locoid 4014 --swversion DE.1.0.9.0 --startMP 204:1152 --initTime 2017-05-06T10:52:30 --startdatetime 2017-05-06T11:09:48 --delay 1 --endMP 300:5247 --enddatetime 2017-05-06T11:12:53 --enforcementcount 0 &gt;&gt;C:\Users\stu\Documents\GitHub\eaglep3-reporting\EC\2017-05-06-refined-times.txt</v>
      </c>
      <c r="AI211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{"issue":{"subject":"","project_id":79,"tracker_id":40,"status_id":1,"priority_id":2,"assigned_to_id":23,"start_date":"2017-05-06","description":"","custom_fields":[{"id":1,"name":"Subdivision","value":"Other"},{"id":4,"name":"Milepost","value":"0.5247"},{"id":17,"name":"Train ID","value":"55-06"},{"id":16,"name":"Locomotive ID","value":"4014"},{"id":130,"name":"Impact","value":""},{"id":150,"name":"Time of Event (Mountain Time)","value":"11:12:53"},{"id":151,"name":"Denver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82"/>
        <v>start /low /b %USERPROFILE%\Documents\GitHub\eaglep3\Utilities\DownloadLogsFromS3.py --loco 4014 --day 2017-05-06</v>
      </c>
      <c r="AN211" s="154" t="str">
        <f t="shared" si="8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17:12:53"},{"id":29,"name":"Sharepoint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678</v>
      </c>
      <c r="B212" s="7">
        <v>4041</v>
      </c>
      <c r="C212" s="21" t="s">
        <v>210</v>
      </c>
      <c r="D212" s="21" t="s">
        <v>931</v>
      </c>
      <c r="E212" s="13">
        <v>42861.593923611108</v>
      </c>
      <c r="F212" s="13">
        <v>42861.595092592594</v>
      </c>
      <c r="G212" s="7">
        <v>0</v>
      </c>
      <c r="H212" s="21" t="s">
        <v>410</v>
      </c>
      <c r="I212" s="13">
        <v>42861.59615740741</v>
      </c>
      <c r="J212" s="7">
        <v>0</v>
      </c>
      <c r="K212" s="92" t="str">
        <f t="shared" si="66"/>
        <v>4041/4042</v>
      </c>
      <c r="L212" s="21" t="str">
        <f>VLOOKUP(A212,'Trips&amp;Operators'!$C$1:$G$99999,5,FALSE)</f>
        <v>LOPES KIMBERLY</v>
      </c>
      <c r="M212" s="6">
        <f t="shared" si="67"/>
        <v>1.0648148163454607E-3</v>
      </c>
      <c r="N212" s="7">
        <f t="shared" si="68"/>
        <v>1.5333333355374634</v>
      </c>
      <c r="O212" s="7"/>
      <c r="P212" s="7"/>
      <c r="Q212" s="22"/>
      <c r="R212" s="190"/>
      <c r="S212" s="196">
        <f t="shared" si="69"/>
        <v>0</v>
      </c>
      <c r="T212" s="190" t="e">
        <f t="shared" si="70"/>
        <v>#VALUE!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1" t="str">
        <f t="shared" si="71"/>
        <v>https://d0f6bd738d7f1b3e5a7ca70fe4ff75f0.us-east-1.aws.found.io/app/kibana#/discover/Steve-Slow-Train-Analysis-(2080s-and-2083s)?_g=(refreshInterval:(display:Off,pause:!f,section:0,value:0),time:(from:'2017-05-06T13:15:15-0600',mode:absolute,to:'2017-05-06T15:18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2" s="192" t="str">
        <f t="shared" si="72"/>
        <v>Y</v>
      </c>
      <c r="X212" s="192" t="e">
        <f t="shared" si="65"/>
        <v>#VALUE!</v>
      </c>
      <c r="Y212" s="192">
        <f t="shared" si="73"/>
        <v>0.30259999999999998</v>
      </c>
      <c r="Z212" s="192">
        <f t="shared" si="74"/>
        <v>1.41E-2</v>
      </c>
      <c r="AA212" s="192">
        <f t="shared" si="75"/>
        <v>0.28849999999999998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76"/>
        <v>56-06</v>
      </c>
      <c r="AE212" s="80" t="str">
        <f t="shared" si="77"/>
        <v>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 &amp; 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</v>
      </c>
      <c r="AF212" s="77" t="str">
        <f t="shared" si="78"/>
        <v>"C:\Program Files (x86)\AstroGrep\AstroGrep.exe" /e /r /s /spath="%USERPROFILE%\AppData\Local\Temp\OnboardLogs" /stypes="app*4041*20170506*" /stext=" 20:.+((SYSTEM_STATE.+slice.+state.+changed )|(ment ac)|(multiple cpu faults)|(system.+state.+changed )|(\[timeout)|(PRM\|1\|D)|(kpr)|(kdp)|(train st.+moving)|(\|lc)|(penalty))"</v>
      </c>
      <c r="AG212" s="1" t="str">
        <f t="shared" si="79"/>
        <v>Other</v>
      </c>
      <c r="AH212" s="81" t="str">
        <f t="shared" si="80"/>
        <v>"%USERPROFILE%\Documents\GitHub\eaglep3\Utilities\RefineRTDCRunTimes.py" --tripid 56-06 --locoid 4041 --swversion DE.1.0.9.0 --startMP 204:3026 --initTime 2017-05-06T14:15:15 --startdatetime 2017-05-06T14:16:56 --delay 0 --endMP 204:141 --enddatetime 2017-05-06T14:18:28 --enforcementcount 0 &gt;&gt;C:\Users\stu\Documents\GitHub\eaglep3-reporting\EC\2017-05-06-refined-times.txt</v>
      </c>
      <c r="AI212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{"issue":{"subject":"","project_id":79,"tracker_id":40,"status_id":1,"priority_id":2,"assigned_to_id":23,"start_date":"2017-05-06","description":"","custom_fields":[{"id":1,"name":"Subdivision","value":"Other"},{"id":4,"name":"Milepost","value":"0.0141"},{"id":17,"name":"Train ID","value":"56-06"},{"id":16,"name":"Locomotive ID","value":"4041"},{"id":130,"name":"Impact","value":""},{"id":150,"name":"Time of Event (Mountain Time)","value":"14:18:28"},{"id":151,"name":"Denver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82"/>
        <v>start /low /b %USERPROFILE%\Documents\GitHub\eaglep3\Utilities\DownloadLogsFromS3.py --loco 4041 --day 2017-05-06</v>
      </c>
      <c r="AN212" s="154" t="str">
        <f t="shared" si="8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20:18:28"},{"id":29,"name":"Sharepoint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678</v>
      </c>
      <c r="B213" s="7">
        <v>4042</v>
      </c>
      <c r="C213" s="21" t="s">
        <v>210</v>
      </c>
      <c r="D213" s="21" t="s">
        <v>457</v>
      </c>
      <c r="E213" s="13">
        <v>42861.589155092595</v>
      </c>
      <c r="F213" s="13">
        <v>42861.595092592594</v>
      </c>
      <c r="G213" s="7">
        <v>1</v>
      </c>
      <c r="H213" s="21" t="s">
        <v>932</v>
      </c>
      <c r="I213" s="13">
        <v>42861.59615740741</v>
      </c>
      <c r="J213" s="7">
        <v>0</v>
      </c>
      <c r="K213" s="92" t="str">
        <f t="shared" si="66"/>
        <v>4041/4042</v>
      </c>
      <c r="L213" s="21" t="str">
        <f>VLOOKUP(A213,'Trips&amp;Operators'!$C$1:$G$99999,5,FALSE)</f>
        <v>LOPES KIMBERLY</v>
      </c>
      <c r="M213" s="6">
        <f t="shared" si="67"/>
        <v>1.0648148163454607E-3</v>
      </c>
      <c r="N213" s="7">
        <f t="shared" si="68"/>
        <v>1.5333333355374634</v>
      </c>
      <c r="O213" s="7"/>
      <c r="P213" s="7"/>
      <c r="Q213" s="22"/>
      <c r="R213" s="190"/>
      <c r="S213" s="196">
        <f t="shared" si="69"/>
        <v>0</v>
      </c>
      <c r="T213" s="190" t="e">
        <f t="shared" si="70"/>
        <v>#VALUE!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1" t="str">
        <f t="shared" si="71"/>
        <v>https://d0f6bd738d7f1b3e5a7ca70fe4ff75f0.us-east-1.aws.found.io/app/kibana#/discover/Steve-Slow-Train-Analysis-(2080s-and-2083s)?_g=(refreshInterval:(display:Off,pause:!f,section:0,value:0),time:(from:'2017-05-06T13:08:23-0600',mode:absolute,to:'2017-05-06T15:18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3" s="192" t="str">
        <f t="shared" si="72"/>
        <v>Y</v>
      </c>
      <c r="X213" s="192" t="e">
        <f t="shared" si="65"/>
        <v>#VALUE!</v>
      </c>
      <c r="Y213" s="192">
        <f t="shared" si="73"/>
        <v>0.1162</v>
      </c>
      <c r="Z213" s="192">
        <f t="shared" si="74"/>
        <v>0.33389999999999997</v>
      </c>
      <c r="AA213" s="192">
        <f t="shared" si="75"/>
        <v>0.21769999999999998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76"/>
        <v>56-06</v>
      </c>
      <c r="AE213" s="80" t="str">
        <f t="shared" si="77"/>
        <v>aws s3 cp s3://rtdc.mdm.uploadarchive.raw/RTDC4042/ "%USERPROFILE%\AppData\Local\Temp\OnboardLogs"\RTDC4042\2017-05-06 --exclude "*" --recursive --include "*20170506*" &amp; "%USERPROFILE%\Documents\GitHub\mrs-test-scripts\Headless Mode &amp; Sideloading\WalkAndUnGZ.bat" "%USERPROFILE%\AppData\Local\Temp\OnboardLogs"\RTDC4042\2017-05-06 &amp; aws s3 cp s3://rtdc.mdm.uploadarchive.raw/RTDC4042/ "%USERPROFILE%\AppData\Local\Temp\OnboardLogs"\RTDC4042\2017-05-07 --exclude "*" --recursive --include "*20170507*" &amp; "%USERPROFILE%\Documents\GitHub\mrs-test-scripts\Headless Mode &amp; Sideloading\WalkAndUnGZ.bat" "%USERPROFILE%\AppData\Local\Temp\OnboardLogs"\RTDC4042\2017-05-07</v>
      </c>
      <c r="AF213" s="77" t="str">
        <f t="shared" si="78"/>
        <v>"C:\Program Files (x86)\AstroGrep\AstroGrep.exe" /e /r /s /spath="%USERPROFILE%\AppData\Local\Temp\OnboardLogs" /stypes="app*4042*20170506*" /stext=" 20:.+((SYSTEM_STATE.+slice.+state.+changed )|(ment ac)|(multiple cpu faults)|(system.+state.+changed )|(\[timeout)|(PRM\|1\|D)|(kpr)|(kdp)|(train st.+moving)|(\|lc)|(penalty))"</v>
      </c>
      <c r="AG213" s="1" t="str">
        <f t="shared" si="79"/>
        <v>Other</v>
      </c>
      <c r="AH213" s="81" t="str">
        <f t="shared" si="80"/>
        <v>"%USERPROFILE%\Documents\GitHub\eaglep3\Utilities\RefineRTDCRunTimes.py" --tripid 56-06 --locoid 4042 --swversion DE.1.0.9.0 --startMP 204:1162 --initTime 2017-05-06T14:08:23 --startdatetime 2017-05-06T14:16:56 --delay 1 --endMP 204:3339 --enddatetime 2017-05-06T14:18:28 --enforcementcount 0 &gt;&gt;C:\Users\stu\Documents\GitHub\eaglep3-reporting\EC\2017-05-06-refined-times.txt</v>
      </c>
      <c r="AI213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{"issue":{"subject":"","project_id":79,"tracker_id":40,"status_id":1,"priority_id":2,"assigned_to_id":23,"start_date":"2017-05-06","description":"","custom_fields":[{"id":1,"name":"Subdivision","value":"Other"},{"id":4,"name":"Milepost","value":"0.3339"},{"id":17,"name":"Train ID","value":"56-06"},{"id":16,"name":"Locomotive ID","value":"4042"},{"id":130,"name":"Impact","value":""},{"id":150,"name":"Time of Event (Mountain Time)","value":"14:18:28"},{"id":151,"name":"Denver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82"/>
        <v>start /low /b %USERPROFILE%\Documents\GitHub\eaglep3\Utilities\DownloadLogsFromS3.py --loco 4042 --day 2017-05-06</v>
      </c>
      <c r="AN213" s="154" t="str">
        <f t="shared" si="8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20:18:28"},{"id":29,"name":"Sharepoint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662</v>
      </c>
      <c r="B214" s="7">
        <v>4017</v>
      </c>
      <c r="C214" s="21" t="s">
        <v>210</v>
      </c>
      <c r="D214" s="21" t="s">
        <v>933</v>
      </c>
      <c r="E214" s="13">
        <v>42861.520648148151</v>
      </c>
      <c r="F214" s="13">
        <v>42861.523182870369</v>
      </c>
      <c r="G214" s="7">
        <v>0</v>
      </c>
      <c r="H214" s="21" t="s">
        <v>934</v>
      </c>
      <c r="I214" s="13">
        <v>42861.524872685186</v>
      </c>
      <c r="J214" s="7">
        <v>0</v>
      </c>
      <c r="K214" s="92" t="str">
        <f t="shared" si="66"/>
        <v>4017/4018</v>
      </c>
      <c r="L214" s="21" t="str">
        <f>VLOOKUP(A214,'Trips&amp;Operators'!$C$1:$G$99999,5,FALSE)</f>
        <v>LOPES KIMBERLY</v>
      </c>
      <c r="M214" s="6">
        <f t="shared" si="67"/>
        <v>1.6898148169275373E-3</v>
      </c>
      <c r="N214" s="7">
        <f t="shared" si="68"/>
        <v>2.4333333363756537</v>
      </c>
      <c r="O214" s="7"/>
      <c r="P214" s="7"/>
      <c r="Q214" s="22"/>
      <c r="R214" s="190"/>
      <c r="S214" s="196">
        <f t="shared" si="69"/>
        <v>0</v>
      </c>
      <c r="T214" s="190" t="e">
        <f t="shared" si="70"/>
        <v>#VALUE!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1" t="str">
        <f t="shared" si="71"/>
        <v>https://d0f6bd738d7f1b3e5a7ca70fe4ff75f0.us-east-1.aws.found.io/app/kibana#/discover/Steve-Slow-Train-Analysis-(2080s-and-2083s)?_g=(refreshInterval:(display:Off,pause:!f,section:0,value:0),time:(from:'2017-05-06T11:29:44-0600',mode:absolute,to:'2017-05-06T13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4" s="192" t="str">
        <f t="shared" si="72"/>
        <v>Y</v>
      </c>
      <c r="X214" s="192" t="e">
        <f t="shared" si="65"/>
        <v>#VALUE!</v>
      </c>
      <c r="Y214" s="192">
        <f t="shared" si="73"/>
        <v>0.51470000000000005</v>
      </c>
      <c r="Z214" s="192">
        <f t="shared" si="74"/>
        <v>0.1171</v>
      </c>
      <c r="AA214" s="192">
        <f t="shared" si="75"/>
        <v>0.39760000000000006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76"/>
        <v>57-06</v>
      </c>
      <c r="AE214" s="80" t="str">
        <f t="shared" si="77"/>
        <v>aws s3 cp s3://rtdc.mdm.uploadarchive.raw/RTDC4017/ "%USERPROFILE%\AppData\Local\Temp\OnboardLogs"\RTDC4017\2017-05-06 --exclude "*" --recursive --include "*20170506*" &amp; "%USERPROFILE%\Documents\GitHub\mrs-test-scripts\Headless Mode &amp; Sideloading\WalkAndUnGZ.bat" "%USERPROFILE%\AppData\Local\Temp\OnboardLogs"\RTDC4017\2017-05-06 &amp; aws s3 cp s3://rtdc.mdm.uploadarchive.raw/RTDC4017/ "%USERPROFILE%\AppData\Local\Temp\OnboardLogs"\RTDC4017\2017-05-07 --exclude "*" --recursive --include "*20170507*" &amp; "%USERPROFILE%\Documents\GitHub\mrs-test-scripts\Headless Mode &amp; Sideloading\WalkAndUnGZ.bat" "%USERPROFILE%\AppData\Local\Temp\OnboardLogs"\RTDC4017\2017-05-07</v>
      </c>
      <c r="AF214" s="77" t="str">
        <f t="shared" si="78"/>
        <v>"C:\Program Files (x86)\AstroGrep\AstroGrep.exe" /e /r /s /spath="%USERPROFILE%\AppData\Local\Temp\OnboardLogs" /stypes="app*4017*20170506*" /stext=" 18:.+((SYSTEM_STATE.+slice.+state.+changed )|(ment ac)|(multiple cpu faults)|(system.+state.+changed )|(\[timeout)|(PRM\|1\|D)|(kpr)|(kdp)|(train st.+moving)|(\|lc)|(penalty))"</v>
      </c>
      <c r="AG214" s="1" t="str">
        <f t="shared" si="79"/>
        <v>Other</v>
      </c>
      <c r="AH214" s="81" t="str">
        <f t="shared" si="80"/>
        <v>"%USERPROFILE%\Documents\GitHub\eaglep3\Utilities\RefineRTDCRunTimes.py" --tripid 57-06 --locoid 4017 --swversion DE.1.0.9.0 --startMP 300:5147 --initTime 2017-05-06T12:29:44 --startdatetime 2017-05-06T12:33:23 --delay 0 --endMP 204:1171 --enddatetime 2017-05-06T12:35:49 --enforcementcount 0 &gt;&gt;C:\Users\stu\Documents\GitHub\eaglep3-reporting\EC\2017-05-06-refined-times.txt</v>
      </c>
      <c r="AI214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{"issue":{"subject":"","project_id":79,"tracker_id":40,"status_id":1,"priority_id":2,"assigned_to_id":23,"start_date":"2017-05-06","description":"","custom_fields":[{"id":1,"name":"Subdivision","value":"Other"},{"id":4,"name":"Milepost","value":"0.1171"},{"id":17,"name":"Train ID","value":"57-06"},{"id":16,"name":"Locomotive ID","value":"4017"},{"id":130,"name":"Impact","value":""},{"id":150,"name":"Time of Event (Mountain Time)","value":"12:35:49"},{"id":151,"name":"Denver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82"/>
        <v>start /low /b %USERPROFILE%\Documents\GitHub\eaglep3\Utilities\DownloadLogsFromS3.py --loco 4017 --day 2017-05-06</v>
      </c>
      <c r="AN214" s="154" t="str">
        <f t="shared" si="8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18:35:49"},{"id":29,"name":"Sharepoint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662</v>
      </c>
      <c r="B215" s="7">
        <v>4018</v>
      </c>
      <c r="C215" s="21" t="s">
        <v>210</v>
      </c>
      <c r="D215" s="21" t="s">
        <v>935</v>
      </c>
      <c r="E215" s="13">
        <v>42861.512488425928</v>
      </c>
      <c r="F215" s="13">
        <v>42861.523182870369</v>
      </c>
      <c r="G215" s="7">
        <v>1</v>
      </c>
      <c r="H215" s="21" t="s">
        <v>936</v>
      </c>
      <c r="I215" s="13">
        <v>42861.524872685186</v>
      </c>
      <c r="J215" s="7">
        <v>0</v>
      </c>
      <c r="K215" s="92" t="str">
        <f t="shared" si="66"/>
        <v>4017/4018</v>
      </c>
      <c r="L215" s="21" t="str">
        <f>VLOOKUP(A215,'Trips&amp;Operators'!$C$1:$G$99999,5,FALSE)</f>
        <v>LOPES KIMBERLY</v>
      </c>
      <c r="M215" s="6">
        <f t="shared" si="67"/>
        <v>1.6898148169275373E-3</v>
      </c>
      <c r="N215" s="7">
        <f t="shared" si="68"/>
        <v>2.4333333363756537</v>
      </c>
      <c r="O215" s="7"/>
      <c r="P215" s="7"/>
      <c r="Q215" s="22"/>
      <c r="R215" s="190"/>
      <c r="S215" s="196">
        <f t="shared" si="69"/>
        <v>0</v>
      </c>
      <c r="T215" s="190" t="e">
        <f t="shared" si="70"/>
        <v>#VALUE!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1" t="str">
        <f t="shared" si="71"/>
        <v>https://d0f6bd738d7f1b3e5a7ca70fe4ff75f0.us-east-1.aws.found.io/app/kibana#/discover/Steve-Slow-Train-Analysis-(2080s-and-2083s)?_g=(refreshInterval:(display:Off,pause:!f,section:0,value:0),time:(from:'2017-05-06T11:17:59-0600',mode:absolute,to:'2017-05-06T13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5" s="192" t="str">
        <f t="shared" si="72"/>
        <v>Y</v>
      </c>
      <c r="X215" s="192" t="e">
        <f t="shared" si="65"/>
        <v>#VALUE!</v>
      </c>
      <c r="Y215" s="192">
        <f t="shared" si="73"/>
        <v>8.7599999999999997E-2</v>
      </c>
      <c r="Z215" s="192">
        <f t="shared" si="74"/>
        <v>0.54179999999999995</v>
      </c>
      <c r="AA215" s="192">
        <f t="shared" si="75"/>
        <v>0.45419999999999994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76"/>
        <v>57-06</v>
      </c>
      <c r="AE215" s="80" t="str">
        <f t="shared" si="77"/>
        <v>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 &amp; aws s3 cp s3://rtdc.mdm.uploadarchive.raw/RTDC4018/ "%USERPROFILE%\AppData\Local\Temp\OnboardLogs"\RTDC4018\2017-05-07 --exclude "*" --recursive --include "*20170507*" &amp; "%USERPROFILE%\Documents\GitHub\mrs-test-scripts\Headless Mode &amp; Sideloading\WalkAndUnGZ.bat" "%USERPROFILE%\AppData\Local\Temp\OnboardLogs"\RTDC4018\2017-05-07</v>
      </c>
      <c r="AF215" s="77" t="str">
        <f t="shared" si="78"/>
        <v>"C:\Program Files (x86)\AstroGrep\AstroGrep.exe" /e /r /s /spath="%USERPROFILE%\AppData\Local\Temp\OnboardLogs" /stypes="app*4018*20170506*" /stext=" 18:.+((SYSTEM_STATE.+slice.+state.+changed )|(ment ac)|(multiple cpu faults)|(system.+state.+changed )|(\[timeout)|(PRM\|1\|D)|(kpr)|(kdp)|(train st.+moving)|(\|lc)|(penalty))"</v>
      </c>
      <c r="AG215" s="1" t="str">
        <f t="shared" si="79"/>
        <v>Other</v>
      </c>
      <c r="AH215" s="81" t="str">
        <f t="shared" si="80"/>
        <v>"%USERPROFILE%\Documents\GitHub\eaglep3\Utilities\RefineRTDCRunTimes.py" --tripid 57-06 --locoid 4018 --swversion DE.1.0.9.0 --startMP 204:876 --initTime 2017-05-06T12:17:59 --startdatetime 2017-05-06T12:33:23 --delay 1 --endMP 300:5418 --enddatetime 2017-05-06T12:35:49 --enforcementcount 0 &gt;&gt;C:\Users\stu\Documents\GitHub\eaglep3-reporting\EC\2017-05-06-refined-times.txt</v>
      </c>
      <c r="AI215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{"issue":{"subject":"","project_id":79,"tracker_id":40,"status_id":1,"priority_id":2,"assigned_to_id":23,"start_date":"2017-05-06","description":"","custom_fields":[{"id":1,"name":"Subdivision","value":"Other"},{"id":4,"name":"Milepost","value":"0.5418"},{"id":17,"name":"Train ID","value":"57-06"},{"id":16,"name":"Locomotive ID","value":"4018"},{"id":130,"name":"Impact","value":""},{"id":150,"name":"Time of Event (Mountain Time)","value":"12:35:49"},{"id":151,"name":"Denver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82"/>
        <v>start /low /b %USERPROFILE%\Documents\GitHub\eaglep3\Utilities\DownloadLogsFromS3.py --loco 4018 --day 2017-05-06</v>
      </c>
      <c r="AN215" s="154" t="str">
        <f t="shared" si="8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18:35:49"},{"id":29,"name":"Sharepoint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674</v>
      </c>
      <c r="B216" s="7">
        <v>4017</v>
      </c>
      <c r="C216" s="21" t="s">
        <v>210</v>
      </c>
      <c r="D216" s="21" t="s">
        <v>937</v>
      </c>
      <c r="E216" s="13">
        <v>42861.573958333334</v>
      </c>
      <c r="F216" s="13">
        <v>42861.575277777774</v>
      </c>
      <c r="G216" s="7">
        <v>1</v>
      </c>
      <c r="H216" s="21" t="s">
        <v>411</v>
      </c>
      <c r="I216" s="13">
        <v>42861.57640046296</v>
      </c>
      <c r="J216" s="7">
        <v>0</v>
      </c>
      <c r="K216" s="92" t="str">
        <f t="shared" si="66"/>
        <v>4017/4018</v>
      </c>
      <c r="L216" s="21" t="str">
        <f>VLOOKUP(A216,'Trips&amp;Operators'!$C$1:$G$99999,5,FALSE)</f>
        <v>MCREYNOLDS KYLE</v>
      </c>
      <c r="M216" s="6">
        <f t="shared" si="67"/>
        <v>1.1226851856918074E-3</v>
      </c>
      <c r="N216" s="7">
        <f t="shared" si="68"/>
        <v>1.6166666673962027</v>
      </c>
      <c r="O216" s="7"/>
      <c r="P216" s="7"/>
      <c r="Q216" s="22"/>
      <c r="R216" s="190"/>
      <c r="S216" s="196">
        <f t="shared" si="69"/>
        <v>0</v>
      </c>
      <c r="T216" s="190" t="e">
        <f t="shared" si="70"/>
        <v>#VALUE!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1" t="str">
        <f t="shared" si="71"/>
        <v>https://d0f6bd738d7f1b3e5a7ca70fe4ff75f0.us-east-1.aws.found.io/app/kibana#/discover/Steve-Slow-Train-Analysis-(2080s-and-2083s)?_g=(refreshInterval:(display:Off,pause:!f,section:0,value:0),time:(from:'2017-05-06T12:46:30-0600',mode:absolute,to:'2017-05-06T14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6" s="192" t="str">
        <f t="shared" si="72"/>
        <v>Y</v>
      </c>
      <c r="X216" s="192" t="e">
        <f t="shared" si="65"/>
        <v>#VALUE!</v>
      </c>
      <c r="Y216" s="192">
        <f t="shared" si="73"/>
        <v>0.29949999999999999</v>
      </c>
      <c r="Z216" s="192">
        <f t="shared" si="74"/>
        <v>1.6299999999999999E-2</v>
      </c>
      <c r="AA216" s="192">
        <f t="shared" si="75"/>
        <v>0.28320000000000001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76"/>
        <v>59-06</v>
      </c>
      <c r="AE216" s="80" t="str">
        <f t="shared" si="77"/>
        <v>aws s3 cp s3://rtdc.mdm.uploadarchive.raw/RTDC4017/ "%USERPROFILE%\AppData\Local\Temp\OnboardLogs"\RTDC4017\2017-05-06 --exclude "*" --recursive --include "*20170506*" &amp; "%USERPROFILE%\Documents\GitHub\mrs-test-scripts\Headless Mode &amp; Sideloading\WalkAndUnGZ.bat" "%USERPROFILE%\AppData\Local\Temp\OnboardLogs"\RTDC4017\2017-05-06 &amp; aws s3 cp s3://rtdc.mdm.uploadarchive.raw/RTDC4017/ "%USERPROFILE%\AppData\Local\Temp\OnboardLogs"\RTDC4017\2017-05-07 --exclude "*" --recursive --include "*20170507*" &amp; "%USERPROFILE%\Documents\GitHub\mrs-test-scripts\Headless Mode &amp; Sideloading\WalkAndUnGZ.bat" "%USERPROFILE%\AppData\Local\Temp\OnboardLogs"\RTDC4017\2017-05-07</v>
      </c>
      <c r="AF216" s="77" t="str">
        <f t="shared" si="78"/>
        <v>"C:\Program Files (x86)\AstroGrep\AstroGrep.exe" /e /r /s /spath="%USERPROFILE%\AppData\Local\Temp\OnboardLogs" /stypes="app*4017*20170506*" /stext=" 19:.+((SYSTEM_STATE.+slice.+state.+changed )|(ment ac)|(multiple cpu faults)|(system.+state.+changed )|(\[timeout)|(PRM\|1\|D)|(kpr)|(kdp)|(train st.+moving)|(\|lc)|(penalty))"</v>
      </c>
      <c r="AG216" s="1" t="str">
        <f t="shared" si="79"/>
        <v>Other</v>
      </c>
      <c r="AH216" s="81" t="str">
        <f t="shared" si="80"/>
        <v>"%USERPROFILE%\Documents\GitHub\eaglep3\Utilities\RefineRTDCRunTimes.py" --tripid 59-06 --locoid 4017 --swversion DE.1.0.9.0 --startMP 204:2995 --initTime 2017-05-06T13:46:30 --startdatetime 2017-05-06T13:48:24 --delay 1 --endMP 204:163 --enddatetime 2017-05-06T13:50:01 --enforcementcount 0 &gt;&gt;C:\Users\stu\Documents\GitHub\eaglep3-reporting\EC\2017-05-06-refined-times.txt</v>
      </c>
      <c r="AI216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{"issue":{"subject":"","project_id":79,"tracker_id":40,"status_id":1,"priority_id":2,"assigned_to_id":23,"start_date":"2017-05-06","description":"","custom_fields":[{"id":1,"name":"Subdivision","value":"Other"},{"id":4,"name":"Milepost","value":"0.0163"},{"id":17,"name":"Train ID","value":"59-06"},{"id":16,"name":"Locomotive ID","value":"4017"},{"id":130,"name":"Impact","value":""},{"id":150,"name":"Time of Event (Mountain Time)","value":"13:50:01"},{"id":151,"name":"Denver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82"/>
        <v>start /low /b %USERPROFILE%\Documents\GitHub\eaglep3\Utilities\DownloadLogsFromS3.py --loco 4017 --day 2017-05-06</v>
      </c>
      <c r="AN216" s="154" t="str">
        <f t="shared" si="8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19:50:01"},{"id":29,"name":"Sharepoint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674</v>
      </c>
      <c r="B217" s="7">
        <v>4018</v>
      </c>
      <c r="C217" s="21" t="s">
        <v>210</v>
      </c>
      <c r="D217" s="21" t="s">
        <v>938</v>
      </c>
      <c r="E217" s="13">
        <v>42861.569537037038</v>
      </c>
      <c r="F217" s="13">
        <v>42861.575277777774</v>
      </c>
      <c r="G217" s="7">
        <v>1</v>
      </c>
      <c r="H217" s="21" t="s">
        <v>939</v>
      </c>
      <c r="I217" s="13">
        <v>42861.57640046296</v>
      </c>
      <c r="J217" s="7">
        <v>0</v>
      </c>
      <c r="K217" s="92" t="str">
        <f t="shared" si="66"/>
        <v>4017/4018</v>
      </c>
      <c r="L217" s="21" t="str">
        <f>VLOOKUP(A217,'Trips&amp;Operators'!$C$1:$G$99999,5,FALSE)</f>
        <v>MCREYNOLDS KYLE</v>
      </c>
      <c r="M217" s="6">
        <f t="shared" si="67"/>
        <v>1.1226851856918074E-3</v>
      </c>
      <c r="N217" s="7">
        <f t="shared" si="68"/>
        <v>1.6166666673962027</v>
      </c>
      <c r="O217" s="7"/>
      <c r="P217" s="7"/>
      <c r="Q217" s="22"/>
      <c r="R217" s="190"/>
      <c r="S217" s="196">
        <f t="shared" si="69"/>
        <v>0</v>
      </c>
      <c r="T217" s="190" t="e">
        <f t="shared" si="70"/>
        <v>#VALUE!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1" t="str">
        <f t="shared" si="71"/>
        <v>https://d0f6bd738d7f1b3e5a7ca70fe4ff75f0.us-east-1.aws.found.io/app/kibana#/discover/Steve-Slow-Train-Analysis-(2080s-and-2083s)?_g=(refreshInterval:(display:Off,pause:!f,section:0,value:0),time:(from:'2017-05-06T12:40:08-0600',mode:absolute,to:'2017-05-06T14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7" s="192" t="str">
        <f t="shared" si="72"/>
        <v>Y</v>
      </c>
      <c r="X217" s="192" t="e">
        <f t="shared" si="65"/>
        <v>#VALUE!</v>
      </c>
      <c r="Y217" s="192">
        <f t="shared" si="73"/>
        <v>0.14810000000000001</v>
      </c>
      <c r="Z217" s="192">
        <f t="shared" si="74"/>
        <v>0.3473</v>
      </c>
      <c r="AA217" s="192">
        <f t="shared" si="75"/>
        <v>0.19919999999999999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76"/>
        <v>59-06</v>
      </c>
      <c r="AE217" s="80" t="str">
        <f t="shared" si="77"/>
        <v>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 &amp; aws s3 cp s3://rtdc.mdm.uploadarchive.raw/RTDC4018/ "%USERPROFILE%\AppData\Local\Temp\OnboardLogs"\RTDC4018\2017-05-07 --exclude "*" --recursive --include "*20170507*" &amp; "%USERPROFILE%\Documents\GitHub\mrs-test-scripts\Headless Mode &amp; Sideloading\WalkAndUnGZ.bat" "%USERPROFILE%\AppData\Local\Temp\OnboardLogs"\RTDC4018\2017-05-07</v>
      </c>
      <c r="AF217" s="77" t="str">
        <f t="shared" si="78"/>
        <v>"C:\Program Files (x86)\AstroGrep\AstroGrep.exe" /e /r /s /spath="%USERPROFILE%\AppData\Local\Temp\OnboardLogs" /stypes="app*4018*20170506*" /stext=" 19:.+((SYSTEM_STATE.+slice.+state.+changed )|(ment ac)|(multiple cpu faults)|(system.+state.+changed )|(\[timeout)|(PRM\|1\|D)|(kpr)|(kdp)|(train st.+moving)|(\|lc)|(penalty))"</v>
      </c>
      <c r="AG217" s="1" t="str">
        <f t="shared" si="79"/>
        <v>Other</v>
      </c>
      <c r="AH217" s="81" t="str">
        <f t="shared" si="80"/>
        <v>"%USERPROFILE%\Documents\GitHub\eaglep3\Utilities\RefineRTDCRunTimes.py" --tripid 59-06 --locoid 4018 --swversion DE.1.0.9.0 --startMP 204:1481 --initTime 2017-05-06T13:40:08 --startdatetime 2017-05-06T13:48:24 --delay 1 --endMP 204:3473 --enddatetime 2017-05-06T13:50:01 --enforcementcount 0 &gt;&gt;C:\Users\stu\Documents\GitHub\eaglep3-reporting\EC\2017-05-06-refined-times.txt</v>
      </c>
      <c r="AI217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{"issue":{"subject":"","project_id":79,"tracker_id":40,"status_id":1,"priority_id":2,"assigned_to_id":23,"start_date":"2017-05-06","description":"","custom_fields":[{"id":1,"name":"Subdivision","value":"Other"},{"id":4,"name":"Milepost","value":"0.3473"},{"id":17,"name":"Train ID","value":"59-06"},{"id":16,"name":"Locomotive ID","value":"4018"},{"id":130,"name":"Impact","value":""},{"id":150,"name":"Time of Event (Mountain Time)","value":"13:50:01"},{"id":151,"name":"Denver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82"/>
        <v>start /low /b %USERPROFILE%\Documents\GitHub\eaglep3\Utilities\DownloadLogsFromS3.py --loco 4018 --day 2017-05-06</v>
      </c>
      <c r="AN217" s="154" t="str">
        <f t="shared" si="8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19:50:01"},{"id":29,"name":"Sharepoint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668</v>
      </c>
      <c r="B218" s="7">
        <v>4020</v>
      </c>
      <c r="C218" s="21" t="s">
        <v>210</v>
      </c>
      <c r="D218" s="21" t="s">
        <v>940</v>
      </c>
      <c r="E218" s="13">
        <v>42861.530266203707</v>
      </c>
      <c r="F218" s="13">
        <v>42861.538206018522</v>
      </c>
      <c r="G218" s="7">
        <v>3</v>
      </c>
      <c r="H218" s="21" t="s">
        <v>941</v>
      </c>
      <c r="I218" s="13">
        <v>42861.545555555553</v>
      </c>
      <c r="J218" s="7">
        <v>0</v>
      </c>
      <c r="K218" s="92" t="str">
        <f t="shared" si="66"/>
        <v>4019/4020</v>
      </c>
      <c r="L218" s="21" t="str">
        <f>VLOOKUP(A218,'Trips&amp;Operators'!$C$1:$G$99999,5,FALSE)</f>
        <v>LOPES KIMBERLY</v>
      </c>
      <c r="M218" s="6">
        <f t="shared" si="67"/>
        <v>7.3495370306773111E-3</v>
      </c>
      <c r="N218" s="7">
        <f t="shared" si="68"/>
        <v>10.583333324175328</v>
      </c>
      <c r="O218" s="7"/>
      <c r="P218" s="7"/>
      <c r="Q218" s="22"/>
      <c r="R218" s="190"/>
      <c r="S218" s="196">
        <f t="shared" si="69"/>
        <v>0</v>
      </c>
      <c r="T218" s="190" t="e">
        <f t="shared" si="70"/>
        <v>#VALUE!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1" t="str">
        <f t="shared" si="71"/>
        <v>https://d0f6bd738d7f1b3e5a7ca70fe4ff75f0.us-east-1.aws.found.io/app/kibana#/discover/Steve-Slow-Train-Analysis-(2080s-and-2083s)?_g=(refreshInterval:(display:Off,pause:!f,section:0,value:0),time:(from:'2017-05-06T11:43:35-0600',mode:absolute,to:'2017-05-06T14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8" s="192" t="str">
        <f t="shared" si="72"/>
        <v>Y</v>
      </c>
      <c r="X218" s="192" t="e">
        <f t="shared" si="65"/>
        <v>#VALUE!</v>
      </c>
      <c r="Y218" s="192">
        <f t="shared" si="73"/>
        <v>4.48E-2</v>
      </c>
      <c r="Z218" s="192">
        <f t="shared" si="74"/>
        <v>2.4224000000000001</v>
      </c>
      <c r="AA218" s="192">
        <f t="shared" si="75"/>
        <v>2.3776000000000002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76"/>
        <v>60-06</v>
      </c>
      <c r="AE218" s="80" t="str">
        <f t="shared" si="77"/>
        <v>aws s3 cp s3://rtdc.mdm.uploadarchive.raw/RTDC4020/ "%USERPROFILE%\AppData\Local\Temp\OnboardLogs"\RTDC4020\2017-05-06 --exclude "*" --recursive --include "*20170506*" &amp; "%USERPROFILE%\Documents\GitHub\mrs-test-scripts\Headless Mode &amp; Sideloading\WalkAndUnGZ.bat" "%USERPROFILE%\AppData\Local\Temp\OnboardLogs"\RTDC4020\2017-05-06 &amp; 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</v>
      </c>
      <c r="AF218" s="77" t="str">
        <f t="shared" si="78"/>
        <v>"C:\Program Files (x86)\AstroGrep\AstroGrep.exe" /e /r /s /spath="%USERPROFILE%\AppData\Local\Temp\OnboardLogs" /stypes="app*4020*20170506*" /stext=" 19:.+((SYSTEM_STATE.+slice.+state.+changed )|(ment ac)|(multiple cpu faults)|(system.+state.+changed )|(\[timeout)|(PRM\|1\|D)|(kpr)|(kdp)|(train st.+moving)|(\|lc)|(penalty))"</v>
      </c>
      <c r="AG218" s="1" t="str">
        <f t="shared" si="79"/>
        <v>Other</v>
      </c>
      <c r="AH218" s="81" t="str">
        <f t="shared" si="80"/>
        <v>"%USERPROFILE%\Documents\GitHub\eaglep3\Utilities\RefineRTDCRunTimes.py" --tripid 60-06 --locoid 4020 --swversion DE.1.0.9.0 --startMP 204:448 --initTime 2017-05-06T12:43:35 --startdatetime 2017-05-06T12:55:01 --delay 3 --endMP 300:24224 --enddatetime 2017-05-06T13:05:36 --enforcementcount 0 &gt;&gt;C:\Users\stu\Documents\GitHub\eaglep3-reporting\EC\2017-05-06-refined-times.txt</v>
      </c>
      <c r="AI218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{"issue":{"subject":"","project_id":79,"tracker_id":40,"status_id":1,"priority_id":2,"assigned_to_id":23,"start_date":"2017-05-06","description":"","custom_fields":[{"id":1,"name":"Subdivision","value":"Other"},{"id":4,"name":"Milepost","value":"2.4224"},{"id":17,"name":"Train ID","value":"60-06"},{"id":16,"name":"Locomotive ID","value":"4020"},{"id":130,"name":"Impact","value":""},{"id":150,"name":"Time of Event (Mountain Time)","value":"13:05:36"},{"id":151,"name":"Denver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82"/>
        <v>start /low /b %USERPROFILE%\Documents\GitHub\eaglep3\Utilities\DownloadLogsFromS3.py --loco 4020 --day 2017-05-06</v>
      </c>
      <c r="AN218" s="154" t="str">
        <f t="shared" si="8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19:05:36"},{"id":29,"name":"Sharepoint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715</v>
      </c>
      <c r="B219" s="7">
        <v>4005</v>
      </c>
      <c r="C219" s="21" t="s">
        <v>210</v>
      </c>
      <c r="D219" s="21" t="s">
        <v>942</v>
      </c>
      <c r="E219" s="13">
        <v>42861.769988425927</v>
      </c>
      <c r="F219" s="13">
        <v>42861.771458333336</v>
      </c>
      <c r="G219" s="7">
        <v>1</v>
      </c>
      <c r="H219" s="21" t="s">
        <v>943</v>
      </c>
      <c r="I219" s="13">
        <v>42861.774027777778</v>
      </c>
      <c r="J219" s="7">
        <v>0</v>
      </c>
      <c r="K219" s="92" t="str">
        <f t="shared" si="66"/>
        <v>4005/4006</v>
      </c>
      <c r="L219" s="21" t="str">
        <f>VLOOKUP(A219,'Trips&amp;Operators'!$C$1:$G$99999,5,FALSE)</f>
        <v>BRANDNER MELINDA</v>
      </c>
      <c r="M219" s="6">
        <f t="shared" si="67"/>
        <v>2.5694444411783479E-3</v>
      </c>
      <c r="N219" s="7">
        <f t="shared" si="68"/>
        <v>3.699999995296821</v>
      </c>
      <c r="O219" s="7"/>
      <c r="P219" s="7"/>
      <c r="Q219" s="22"/>
      <c r="R219" s="190"/>
      <c r="S219" s="196">
        <f t="shared" si="69"/>
        <v>0</v>
      </c>
      <c r="T219" s="190" t="e">
        <f t="shared" si="70"/>
        <v>#VALUE!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1" t="str">
        <f t="shared" si="71"/>
        <v>https://d0f6bd738d7f1b3e5a7ca70fe4ff75f0.us-east-1.aws.found.io/app/kibana#/discover/Steve-Slow-Train-Analysis-(2080s-and-2083s)?_g=(refreshInterval:(display:Off,pause:!f,section:0,value:0),time:(from:'2017-05-06T17:28:47-0600',mode:absolute,to:'2017-05-06T19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9" s="192" t="str">
        <f t="shared" si="72"/>
        <v>Y</v>
      </c>
      <c r="X219" s="192" t="e">
        <f t="shared" si="65"/>
        <v>#VALUE!</v>
      </c>
      <c r="Y219" s="192">
        <f t="shared" si="73"/>
        <v>0.50280000000000002</v>
      </c>
      <c r="Z219" s="192">
        <f t="shared" si="74"/>
        <v>0.13070000000000001</v>
      </c>
      <c r="AA219" s="192">
        <f t="shared" si="75"/>
        <v>0.37209999999999999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76"/>
        <v>63-06</v>
      </c>
      <c r="AE219" s="80" t="str">
        <f t="shared" si="77"/>
        <v>aws s3 cp s3://rtdc.mdm.uploadarchive.raw/RTDC4005/ "%USERPROFILE%\AppData\Local\Temp\OnboardLogs"\RTDC4005\2017-05-06 --exclude "*" --recursive --include "*20170506*" &amp; "%USERPROFILE%\Documents\GitHub\mrs-test-scripts\Headless Mode &amp; Sideloading\WalkAndUnGZ.bat" "%USERPROFILE%\AppData\Local\Temp\OnboardLogs"\RTDC4005\2017-05-06 &amp; 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</v>
      </c>
      <c r="AF219" s="77" t="str">
        <f t="shared" si="78"/>
        <v>"C:\Program Files (x86)\AstroGrep\AstroGrep.exe" /e /r /s /spath="%USERPROFILE%\AppData\Local\Temp\OnboardLogs" /stypes="app*4005*20170507*" /stext=" 00:.+((SYSTEM_STATE.+slice.+state.+changed )|(ment ac)|(multiple cpu faults)|(system.+state.+changed )|(\[timeout)|(PRM\|1\|D)|(kpr)|(kdp)|(train st.+moving)|(\|lc)|(penalty))"</v>
      </c>
      <c r="AG219" s="1" t="str">
        <f t="shared" si="79"/>
        <v>Other</v>
      </c>
      <c r="AH219" s="81" t="str">
        <f t="shared" si="80"/>
        <v>"%USERPROFILE%\Documents\GitHub\eaglep3\Utilities\RefineRTDCRunTimes.py" --tripid 63-06 --locoid 4005 --swversion DE.1.0.9.0 --startMP 300:5028 --initTime 2017-05-06T18:28:47 --startdatetime 2017-05-06T18:30:54 --delay 1 --endMP 204:1307 --enddatetime 2017-05-06T18:34:36 --enforcementcount 0 &gt;&gt;C:\Users\stu\Documents\GitHub\eaglep3-reporting\EC\2017-05-06-refined-times.txt</v>
      </c>
      <c r="AI219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{"issue":{"subject":"","project_id":79,"tracker_id":40,"status_id":1,"priority_id":2,"assigned_to_id":23,"start_date":"2017-05-06","description":"","custom_fields":[{"id":1,"name":"Subdivision","value":"Other"},{"id":4,"name":"Milepost","value":"0.1307"},{"id":17,"name":"Train ID","value":"63-06"},{"id":16,"name":"Locomotive ID","value":"4005"},{"id":130,"name":"Impact","value":""},{"id":150,"name":"Time of Event (Mountain Time)","value":"18:34:36"},{"id":151,"name":"Denver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82"/>
        <v>start /low /b %USERPROFILE%\Documents\GitHub\eaglep3\Utilities\DownloadLogsFromS3.py --loco 4005 --day 2017-05-06</v>
      </c>
      <c r="AN219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00:34:36"},{"id":29,"name":"Sharepoint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715</v>
      </c>
      <c r="B220" s="7">
        <v>4006</v>
      </c>
      <c r="C220" s="21" t="s">
        <v>210</v>
      </c>
      <c r="D220" s="21" t="s">
        <v>944</v>
      </c>
      <c r="E220" s="13">
        <v>42861.757233796299</v>
      </c>
      <c r="F220" s="13">
        <v>42861.771458333336</v>
      </c>
      <c r="G220" s="7">
        <v>2</v>
      </c>
      <c r="H220" s="21" t="s">
        <v>945</v>
      </c>
      <c r="I220" s="13">
        <v>42861.774027777778</v>
      </c>
      <c r="J220" s="7">
        <v>0</v>
      </c>
      <c r="K220" s="92" t="str">
        <f t="shared" si="66"/>
        <v>4005/4006</v>
      </c>
      <c r="L220" s="21" t="str">
        <f>VLOOKUP(A220,'Trips&amp;Operators'!$C$1:$G$99999,5,FALSE)</f>
        <v>BRANDNER MELINDA</v>
      </c>
      <c r="M220" s="6">
        <f t="shared" si="67"/>
        <v>2.5694444411783479E-3</v>
      </c>
      <c r="N220" s="7">
        <f t="shared" si="68"/>
        <v>3.699999995296821</v>
      </c>
      <c r="O220" s="7"/>
      <c r="P220" s="7"/>
      <c r="Q220" s="22"/>
      <c r="R220" s="190"/>
      <c r="S220" s="196">
        <f t="shared" si="69"/>
        <v>0</v>
      </c>
      <c r="T220" s="190" t="e">
        <f t="shared" si="70"/>
        <v>#VALUE!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1" t="str">
        <f t="shared" si="71"/>
        <v>https://d0f6bd738d7f1b3e5a7ca70fe4ff75f0.us-east-1.aws.found.io/app/kibana#/discover/Steve-Slow-Train-Analysis-(2080s-and-2083s)?_g=(refreshInterval:(display:Off,pause:!f,section:0,value:0),time:(from:'2017-05-06T17:10:25-0600',mode:absolute,to:'2017-05-06T19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0" s="192" t="str">
        <f t="shared" si="72"/>
        <v>Y</v>
      </c>
      <c r="X220" s="192" t="e">
        <f t="shared" si="65"/>
        <v>#VALUE!</v>
      </c>
      <c r="Y220" s="192">
        <f t="shared" si="73"/>
        <v>0.1158</v>
      </c>
      <c r="Z220" s="192">
        <f t="shared" si="74"/>
        <v>0.4642</v>
      </c>
      <c r="AA220" s="192">
        <f t="shared" si="75"/>
        <v>0.34839999999999999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76"/>
        <v>63-06</v>
      </c>
      <c r="AE220" s="80" t="str">
        <f t="shared" si="77"/>
        <v>aws s3 cp s3://rtdc.mdm.uploadarchive.raw/RTDC4006/ "%USERPROFILE%\AppData\Local\Temp\OnboardLogs"\RTDC4006\2017-05-06 --exclude "*" --recursive --include "*20170506*" &amp; "%USERPROFILE%\Documents\GitHub\mrs-test-scripts\Headless Mode &amp; Sideloading\WalkAndUnGZ.bat" "%USERPROFILE%\AppData\Local\Temp\OnboardLogs"\RTDC4006\2017-05-06 &amp; 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</v>
      </c>
      <c r="AF220" s="77" t="str">
        <f t="shared" si="78"/>
        <v>"C:\Program Files (x86)\AstroGrep\AstroGrep.exe" /e /r /s /spath="%USERPROFILE%\AppData\Local\Temp\OnboardLogs" /stypes="app*4006*20170507*" /stext=" 00:.+((SYSTEM_STATE.+slice.+state.+changed )|(ment ac)|(multiple cpu faults)|(system.+state.+changed )|(\[timeout)|(PRM\|1\|D)|(kpr)|(kdp)|(train st.+moving)|(\|lc)|(penalty))"</v>
      </c>
      <c r="AG220" s="1" t="str">
        <f t="shared" si="79"/>
        <v>Other</v>
      </c>
      <c r="AH220" s="81" t="str">
        <f t="shared" si="80"/>
        <v>"%USERPROFILE%\Documents\GitHub\eaglep3\Utilities\RefineRTDCRunTimes.py" --tripid 63-06 --locoid 4006 --swversion DE.1.0.9.0 --startMP 204:1158 --initTime 2017-05-06T18:10:25 --startdatetime 2017-05-06T18:30:54 --delay 2 --endMP 204:4642 --enddatetime 2017-05-06T18:34:36 --enforcementcount 0 &gt;&gt;C:\Users\stu\Documents\GitHub\eaglep3-reporting\EC\2017-05-06-refined-times.txt</v>
      </c>
      <c r="AI220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{"issue":{"subject":"","project_id":79,"tracker_id":40,"status_id":1,"priority_id":2,"assigned_to_id":23,"start_date":"2017-05-06","description":"","custom_fields":[{"id":1,"name":"Subdivision","value":"Other"},{"id":4,"name":"Milepost","value":"0.4642"},{"id":17,"name":"Train ID","value":"63-06"},{"id":16,"name":"Locomotive ID","value":"4006"},{"id":130,"name":"Impact","value":""},{"id":150,"name":"Time of Event (Mountain Time)","value":"18:34:36"},{"id":151,"name":"Denver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82"/>
        <v>start /low /b %USERPROFILE%\Documents\GitHub\eaglep3\Utilities\DownloadLogsFromS3.py --loco 4006 --day 2017-05-06</v>
      </c>
      <c r="AN220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00:34:36"},{"id":29,"name":"Sharepoint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s="20" customFormat="1" x14ac:dyDescent="0.25">
      <c r="A221" s="32" t="s">
        <v>715</v>
      </c>
      <c r="B221" s="7">
        <v>4006</v>
      </c>
      <c r="C221" s="21" t="s">
        <v>210</v>
      </c>
      <c r="D221" s="21" t="s">
        <v>945</v>
      </c>
      <c r="E221" s="13">
        <v>42861.767465277779</v>
      </c>
      <c r="F221" s="13">
        <v>42861.771458333336</v>
      </c>
      <c r="G221" s="7">
        <v>1</v>
      </c>
      <c r="H221" s="21" t="s">
        <v>946</v>
      </c>
      <c r="I221" s="13">
        <v>42861.774027777778</v>
      </c>
      <c r="J221" s="7">
        <v>0</v>
      </c>
      <c r="K221" s="92" t="str">
        <f t="shared" si="66"/>
        <v>4005/4006</v>
      </c>
      <c r="L221" s="21" t="str">
        <f>VLOOKUP(A221,'Trips&amp;Operators'!$C$1:$G$99999,5,FALSE)</f>
        <v>BRANDNER MELINDA</v>
      </c>
      <c r="M221" s="6">
        <f t="shared" si="67"/>
        <v>2.5694444411783479E-3</v>
      </c>
      <c r="N221" s="7">
        <f t="shared" si="68"/>
        <v>3.699999995296821</v>
      </c>
      <c r="O221" s="7"/>
      <c r="P221" s="7"/>
      <c r="Q221" s="22"/>
      <c r="R221" s="190"/>
      <c r="S221" s="196">
        <f t="shared" si="69"/>
        <v>0</v>
      </c>
      <c r="T221" s="190" t="e">
        <f t="shared" si="70"/>
        <v>#VALUE!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 t="shared" si="71"/>
        <v>https://d0f6bd738d7f1b3e5a7ca70fe4ff75f0.us-east-1.aws.found.io/app/kibana#/discover/Steve-Slow-Train-Analysis-(2080s-and-2083s)?_g=(refreshInterval:(display:Off,pause:!f,section:0,value:0),time:(from:'2017-05-06T17:25:09-0600',mode:absolute,to:'2017-05-06T19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1" s="192" t="str">
        <f t="shared" si="72"/>
        <v>Y</v>
      </c>
      <c r="X221" s="192" t="e">
        <f t="shared" ref="X221:X252" si="84">VALUE(LEFT(AD221,4))-VALUE(LEFT(AD220,4))</f>
        <v>#VALUE!</v>
      </c>
      <c r="Y221" s="192">
        <f t="shared" si="73"/>
        <v>0.4642</v>
      </c>
      <c r="Z221" s="192">
        <f t="shared" si="74"/>
        <v>0.5403</v>
      </c>
      <c r="AA221" s="192">
        <f t="shared" si="75"/>
        <v>7.6100000000000001E-2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76"/>
        <v>63-06</v>
      </c>
      <c r="AE221" s="80" t="str">
        <f t="shared" si="77"/>
        <v>aws s3 cp s3://rtdc.mdm.uploadarchive.raw/RTDC4006/ "%USERPROFILE%\AppData\Local\Temp\OnboardLogs"\RTDC4006\2017-05-06 --exclude "*" --recursive --include "*20170506*" &amp; "%USERPROFILE%\Documents\GitHub\mrs-test-scripts\Headless Mode &amp; Sideloading\WalkAndUnGZ.bat" "%USERPROFILE%\AppData\Local\Temp\OnboardLogs"\RTDC4006\2017-05-06 &amp; 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</v>
      </c>
      <c r="AF221" s="77" t="str">
        <f t="shared" si="78"/>
        <v>"C:\Program Files (x86)\AstroGrep\AstroGrep.exe" /e /r /s /spath="%USERPROFILE%\AppData\Local\Temp\OnboardLogs" /stypes="app*4006*20170507*" /stext=" 00:.+((SYSTEM_STATE.+slice.+state.+changed )|(ment ac)|(multiple cpu faults)|(system.+state.+changed )|(\[timeout)|(PRM\|1\|D)|(kpr)|(kdp)|(train st.+moving)|(\|lc)|(penalty))"</v>
      </c>
      <c r="AG221" s="1" t="str">
        <f t="shared" si="79"/>
        <v>Other</v>
      </c>
      <c r="AH221" s="81" t="str">
        <f t="shared" si="80"/>
        <v>"%USERPROFILE%\Documents\GitHub\eaglep3\Utilities\RefineRTDCRunTimes.py" --tripid 63-06 --locoid 4006 --swversion DE.1.0.9.0 --startMP 204:4642 --initTime 2017-05-06T18:25:09 --startdatetime 2017-05-06T18:30:54 --delay 1 --endMP 300:5403 --enddatetime 2017-05-06T18:34:36 --enforcementcount 0 &gt;&gt;C:\Users\stu\Documents\GitHub\eaglep3-reporting\EC\2017-05-06-refined-times.txt</v>
      </c>
      <c r="AI221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{"issue":{"subject":"","project_id":79,"tracker_id":40,"status_id":1,"priority_id":2,"assigned_to_id":23,"start_date":"2017-05-06","description":"","custom_fields":[{"id":1,"name":"Subdivision","value":"Other"},{"id":4,"name":"Milepost","value":"0.5403"},{"id":17,"name":"Train ID","value":"63-06"},{"id":16,"name":"Locomotive ID","value":"4006"},{"id":130,"name":"Impact","value":""},{"id":150,"name":"Time of Event (Mountain Time)","value":"18:34:36"},{"id":151,"name":"Denver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5" t="str">
        <f t="shared" si="82"/>
        <v>start /low /b %USERPROFILE%\Documents\GitHub\eaglep3\Utilities\DownloadLogsFromS3.py --loco 4006 --day 2017-05-06</v>
      </c>
      <c r="AN221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00:34:36"},{"id":29,"name":"Sharepoint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710</v>
      </c>
      <c r="B222" s="7">
        <v>4019</v>
      </c>
      <c r="C222" s="21" t="s">
        <v>210</v>
      </c>
      <c r="D222" s="21" t="s">
        <v>947</v>
      </c>
      <c r="E222" s="13">
        <v>42861.746608796297</v>
      </c>
      <c r="F222" s="13">
        <v>42861.750671296293</v>
      </c>
      <c r="G222" s="7">
        <v>5</v>
      </c>
      <c r="H222" s="21">
        <v>8.5409722222222211</v>
      </c>
      <c r="I222" s="13">
        <v>42861.756631944445</v>
      </c>
      <c r="J222" s="7">
        <v>0</v>
      </c>
      <c r="K222" s="92" t="str">
        <f t="shared" si="66"/>
        <v>4019/4020</v>
      </c>
      <c r="L222" s="21" t="str">
        <f>VLOOKUP(A222,'Trips&amp;Operators'!$C$1:$G$99999,5,FALSE)</f>
        <v>SAFIEF AEIMEN</v>
      </c>
      <c r="M222" s="6">
        <f t="shared" si="67"/>
        <v>5.9606481518130749E-3</v>
      </c>
      <c r="N222" s="7">
        <f t="shared" si="68"/>
        <v>8.5833333386108279</v>
      </c>
      <c r="O222" s="7"/>
      <c r="P222" s="7"/>
      <c r="Q222" s="22"/>
      <c r="R222" s="190"/>
      <c r="S222" s="196">
        <f t="shared" si="69"/>
        <v>0</v>
      </c>
      <c r="T222" s="190" t="e">
        <f t="shared" si="70"/>
        <v>#VALUE!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 t="shared" si="71"/>
        <v>https://d0f6bd738d7f1b3e5a7ca70fe4ff75f0.us-east-1.aws.found.io/app/kibana#/discover/Steve-Slow-Train-Analysis-(2080s-and-2083s)?_g=(refreshInterval:(display:Off,pause:!f,section:0,value:0),time:(from:'2017-05-06T16:55:07-0600',mode:absolute,to:'2017-05-06T19:09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2" s="192" t="str">
        <f t="shared" si="72"/>
        <v>N</v>
      </c>
      <c r="X222" s="192" t="e">
        <f t="shared" si="84"/>
        <v>#VALUE!</v>
      </c>
      <c r="Y222" s="192">
        <f t="shared" si="73"/>
        <v>2.3439999999999999</v>
      </c>
      <c r="Z222" s="192">
        <f t="shared" si="74"/>
        <v>9722222.2222000007</v>
      </c>
      <c r="AA222" s="192">
        <f t="shared" si="75"/>
        <v>9722219.8782000002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76"/>
        <v>70-06</v>
      </c>
      <c r="AE222" s="80" t="str">
        <f t="shared" si="77"/>
        <v>aws s3 cp s3://rtdc.mdm.uploadarchive.raw/RTDC4019/ "%USERPROFILE%\AppData\Local\Temp\OnboardLogs"\RTDC4019\2017-05-06 --exclude "*" --recursive --include "*20170506*" &amp; "%USERPROFILE%\Documents\GitHub\mrs-test-scripts\Headless Mode &amp; Sideloading\WalkAndUnGZ.bat" "%USERPROFILE%\AppData\Local\Temp\OnboardLogs"\RTDC4019\2017-05-06 &amp; 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</v>
      </c>
      <c r="AF222" s="77" t="str">
        <f t="shared" si="78"/>
        <v>"C:\Program Files (x86)\AstroGrep\AstroGrep.exe" /e /r /s /spath="%USERPROFILE%\AppData\Local\Temp\OnboardLogs" /stypes="app*4019*20170507*" /stext=" 00:.+((SYSTEM_STATE.+slice.+state.+changed )|(ment ac)|(multiple cpu faults)|(system.+state.+changed )|(\[timeout)|(PRM\|1\|D)|(kpr)|(kdp)|(train st.+moving)|(\|lc)|(penalty))"</v>
      </c>
      <c r="AG222" s="1" t="str">
        <f t="shared" si="79"/>
        <v>Other</v>
      </c>
      <c r="AH222" s="81" t="str">
        <f t="shared" si="80"/>
        <v>"%USERPROFILE%\Documents\GitHub\eaglep3\Utilities\RefineRTDCRunTimes.py" --tripid 70-06 --locoid 4019 --swversion DE.1.0.9.0 --startMP 300:23440 --initTime 2017-05-06T17:55:07 --startdatetime 2017-05-06T18:00:58 --delay 5 --endMP 8.54097222222222 --enddatetime 2017-05-06T18:09:33 --enforcementcount 0 &gt;&gt;C:\Users\stu\Documents\GitHub\eaglep3-reporting\EC\2017-05-06-refined-times.txt</v>
      </c>
      <c r="AI222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9722222.2222"},{"id":17,"name":"Train ID","value":"70-06"},{"id":16,"name":"Locomotive ID","value":"4019"},{"id":130,"name":"Impact","value":""},{"id":150,"name":"Time of Event (Mountain Time)","value":"18:09:33"},{"id":151,"name":"Denver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82"/>
        <v>start /low /b %USERPROFILE%\Documents\GitHub\eaglep3\Utilities\DownloadLogsFromS3.py --loco 4019 --day 2017-05-06</v>
      </c>
      <c r="AN222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00:09:33"},{"id":29,"name":"Sharepoint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734</v>
      </c>
      <c r="B223" s="7">
        <v>4009</v>
      </c>
      <c r="C223" s="21" t="s">
        <v>210</v>
      </c>
      <c r="D223" s="21" t="s">
        <v>948</v>
      </c>
      <c r="E223" s="13">
        <v>42862.035671296297</v>
      </c>
      <c r="F223" s="13">
        <v>42862.037418981483</v>
      </c>
      <c r="G223" s="7">
        <v>1</v>
      </c>
      <c r="H223" s="21" t="s">
        <v>949</v>
      </c>
      <c r="I223" s="13">
        <v>42862.039340277777</v>
      </c>
      <c r="J223" s="7">
        <v>0</v>
      </c>
      <c r="K223" s="92" t="str">
        <f t="shared" si="66"/>
        <v>4009/4010</v>
      </c>
      <c r="L223" s="21" t="str">
        <f>VLOOKUP(A223,'Trips&amp;Operators'!$C$1:$G$99999,5,FALSE)</f>
        <v>SAFIEF AEIMEN</v>
      </c>
      <c r="M223" s="6">
        <f t="shared" si="67"/>
        <v>1.9212962943129241E-3</v>
      </c>
      <c r="N223" s="7">
        <f t="shared" si="68"/>
        <v>2.7666666638106108</v>
      </c>
      <c r="O223" s="7"/>
      <c r="P223" s="7"/>
      <c r="Q223" s="22"/>
      <c r="R223" s="190"/>
      <c r="S223" s="196">
        <f t="shared" si="69"/>
        <v>0</v>
      </c>
      <c r="T223" s="190" t="e">
        <f t="shared" si="70"/>
        <v>#VALUE!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 t="shared" si="71"/>
        <v>https://d0f6bd738d7f1b3e5a7ca70fe4ff75f0.us-east-1.aws.found.io/app/kibana#/discover/Steve-Slow-Train-Analysis-(2080s-and-2083s)?_g=(refreshInterval:(display:Off,pause:!f,section:0,value:0),time:(from:'2017-05-06T23:51:22-0600',mode:absolute,to:'2017-05-07T01:56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3" s="192" t="str">
        <f t="shared" si="72"/>
        <v>Y</v>
      </c>
      <c r="X223" s="192" t="e">
        <f t="shared" si="84"/>
        <v>#VALUE!</v>
      </c>
      <c r="Y223" s="192">
        <f t="shared" si="73"/>
        <v>0.52639999999999998</v>
      </c>
      <c r="Z223" s="192">
        <f t="shared" si="74"/>
        <v>8.8900000000000007E-2</v>
      </c>
      <c r="AA223" s="192">
        <f t="shared" si="75"/>
        <v>0.4375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76"/>
        <v>71-06</v>
      </c>
      <c r="AE223" s="80" t="str">
        <f t="shared" si="77"/>
        <v>aws s3 cp s3://rtdc.mdm.uploadarchive.raw/RTDC4009/ "%USERPROFILE%\AppData\Local\Temp\OnboardLogs"\RTDC4009\2017-05-07 --exclude "*" --recursive --include "*20170507*" &amp; "%USERPROFILE%\Documents\GitHub\mrs-test-scripts\Headless Mode &amp; Sideloading\WalkAndUnGZ.bat" "%USERPROFILE%\AppData\Local\Temp\OnboardLogs"\RTDC4009\2017-05-07 &amp; 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</v>
      </c>
      <c r="AF223" s="77" t="str">
        <f t="shared" si="78"/>
        <v>"C:\Program Files (x86)\AstroGrep\AstroGrep.exe" /e /r /s /spath="%USERPROFILE%\AppData\Local\Temp\OnboardLogs" /stypes="app*4009*20170507*" /stext=" 06:.+((SYSTEM_STATE.+slice.+state.+changed )|(ment ac)|(multiple cpu faults)|(system.+state.+changed )|(\[timeout)|(PRM\|1\|D)|(kpr)|(kdp)|(train st.+moving)|(\|lc)|(penalty))"</v>
      </c>
      <c r="AG223" s="1" t="str">
        <f t="shared" si="79"/>
        <v>Other</v>
      </c>
      <c r="AH223" s="81" t="str">
        <f t="shared" si="80"/>
        <v>"%USERPROFILE%\Documents\GitHub\eaglep3\Utilities\RefineRTDCRunTimes.py" --tripid 71-06 --locoid 4009 --swversion DE.1.0.9.0 --startMP 300:5264 --initTime 2017-05-07T00:51:22 --startdatetime 2017-05-07T00:53:53 --delay 1 --endMP 204:889 --enddatetime 2017-05-07T00:56:39 --enforcementcount 0 &gt;&gt;C:\Users\stu\Documents\GitHub\eaglep3-reporting\EC\2017-05-06-refined-times.txt</v>
      </c>
      <c r="AI223" s="99" t="str">
        <f t="shared" si="81"/>
        <v>echo {"issue":{"subject":"","project_id":79,"tracker_id":40,"status_id":1,"priority_id":2,"assigned_to_id":23,"start_date":"2017-05-07","description":"","custom_fields":[{"id":1,"name":"Subdivision","value":"Other"},{"id":4,"name":"Milepost","value":"0.0889"},{"id":17,"name":"Train ID","value":"71-06"},{"id":16,"name":"Locomotive ID","value":"4009"},{"id":130,"name":"Impact","value":""},{"id":150,"name":"Time of Event (Mountain Time)","value":"00:56:39"},{"id":151,"name":"Denver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82"/>
        <v>start /low /b %USERPROFILE%\Documents\GitHub\eaglep3\Utilities\DownloadLogsFromS3.py --loco 4009 --day 2017-05-07</v>
      </c>
      <c r="AN223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06:56:39"},{"id":29,"name":"Sharepoint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734</v>
      </c>
      <c r="B224" s="7">
        <v>4010</v>
      </c>
      <c r="C224" s="21" t="s">
        <v>210</v>
      </c>
      <c r="D224" s="21" t="s">
        <v>950</v>
      </c>
      <c r="E224" s="13">
        <v>42862.027592592596</v>
      </c>
      <c r="F224" s="13">
        <v>42862.037418981483</v>
      </c>
      <c r="G224" s="7">
        <v>1</v>
      </c>
      <c r="H224" s="21" t="s">
        <v>951</v>
      </c>
      <c r="I224" s="13">
        <v>42862.039340277777</v>
      </c>
      <c r="J224" s="7">
        <v>0</v>
      </c>
      <c r="K224" s="92" t="str">
        <f t="shared" si="66"/>
        <v>4009/4010</v>
      </c>
      <c r="L224" s="21" t="str">
        <f>VLOOKUP(A224,'Trips&amp;Operators'!$C$1:$G$99999,5,FALSE)</f>
        <v>SAFIEF AEIMEN</v>
      </c>
      <c r="M224" s="6">
        <f t="shared" si="67"/>
        <v>1.9212962943129241E-3</v>
      </c>
      <c r="N224" s="7">
        <f t="shared" si="68"/>
        <v>2.7666666638106108</v>
      </c>
      <c r="O224" s="7"/>
      <c r="P224" s="7"/>
      <c r="Q224" s="22"/>
      <c r="R224" s="190"/>
      <c r="S224" s="196">
        <f t="shared" si="69"/>
        <v>0</v>
      </c>
      <c r="T224" s="190" t="e">
        <f t="shared" si="70"/>
        <v>#VALUE!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71"/>
        <v>https://d0f6bd738d7f1b3e5a7ca70fe4ff75f0.us-east-1.aws.found.io/app/kibana#/discover/Steve-Slow-Train-Analysis-(2080s-and-2083s)?_g=(refreshInterval:(display:Off,pause:!f,section:0,value:0),time:(from:'2017-05-06T23:39:44-0600',mode:absolute,to:'2017-05-07T01:56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4" s="192" t="str">
        <f t="shared" si="72"/>
        <v>Y</v>
      </c>
      <c r="X224" s="192" t="e">
        <f t="shared" si="84"/>
        <v>#VALUE!</v>
      </c>
      <c r="Y224" s="192">
        <f t="shared" si="73"/>
        <v>0.1167</v>
      </c>
      <c r="Z224" s="192">
        <f t="shared" si="74"/>
        <v>0.55789999999999995</v>
      </c>
      <c r="AA224" s="192">
        <f t="shared" si="75"/>
        <v>0.44119999999999993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76"/>
        <v>71-06</v>
      </c>
      <c r="AE224" s="80" t="str">
        <f t="shared" si="77"/>
        <v>aws s3 cp s3://rtdc.mdm.uploadarchive.raw/RTDC4010/ "%USERPROFILE%\AppData\Local\Temp\OnboardLogs"\RTDC4010\2017-05-07 --exclude "*" --recursive --include "*20170507*" &amp; "%USERPROFILE%\Documents\GitHub\mrs-test-scripts\Headless Mode &amp; Sideloading\WalkAndUnGZ.bat" "%USERPROFILE%\AppData\Local\Temp\OnboardLogs"\RTDC4010\2017-05-07 &amp; 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</v>
      </c>
      <c r="AF224" s="77" t="str">
        <f t="shared" si="78"/>
        <v>"C:\Program Files (x86)\AstroGrep\AstroGrep.exe" /e /r /s /spath="%USERPROFILE%\AppData\Local\Temp\OnboardLogs" /stypes="app*4010*20170507*" /stext=" 06:.+((SYSTEM_STATE.+slice.+state.+changed )|(ment ac)|(multiple cpu faults)|(system.+state.+changed )|(\[timeout)|(PRM\|1\|D)|(kpr)|(kdp)|(train st.+moving)|(\|lc)|(penalty))"</v>
      </c>
      <c r="AG224" s="1" t="str">
        <f t="shared" si="79"/>
        <v>Other</v>
      </c>
      <c r="AH224" s="81" t="str">
        <f t="shared" si="80"/>
        <v>"%USERPROFILE%\Documents\GitHub\eaglep3\Utilities\RefineRTDCRunTimes.py" --tripid 71-06 --locoid 4010 --swversion DE.1.0.9.0 --startMP 204:1167 --initTime 2017-05-07T00:39:44 --startdatetime 2017-05-07T00:53:53 --delay 1 --endMP 300:5579 --enddatetime 2017-05-07T00:56:39 --enforcementcount 0 &gt;&gt;C:\Users\stu\Documents\GitHub\eaglep3-reporting\EC\2017-05-06-refined-times.txt</v>
      </c>
      <c r="AI224" s="99" t="str">
        <f t="shared" si="81"/>
        <v>echo {"issue":{"subject":"","project_id":79,"tracker_id":40,"status_id":1,"priority_id":2,"assigned_to_id":23,"start_date":"2017-05-07","description":"","custom_fields":[{"id":1,"name":"Subdivision","value":"Other"},{"id":4,"name":"Milepost","value":"0.5579"},{"id":17,"name":"Train ID","value":"71-06"},{"id":16,"name":"Locomotive ID","value":"4010"},{"id":130,"name":"Impact","value":""},{"id":150,"name":"Time of Event (Mountain Time)","value":"00:56:39"},{"id":151,"name":"Denver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82"/>
        <v>start /low /b %USERPROFILE%\Documents\GitHub\eaglep3\Utilities\DownloadLogsFromS3.py --loco 4010 --day 2017-05-07</v>
      </c>
      <c r="AN224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06:56:39"},{"id":29,"name":"Sharepoint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734</v>
      </c>
      <c r="B225" s="7">
        <v>4019</v>
      </c>
      <c r="C225" s="21" t="s">
        <v>210</v>
      </c>
      <c r="D225" s="21" t="s">
        <v>952</v>
      </c>
      <c r="E225" s="13">
        <v>42861.970185185186</v>
      </c>
      <c r="F225" s="13">
        <v>42861.972002314818</v>
      </c>
      <c r="G225" s="7">
        <v>1</v>
      </c>
      <c r="H225" s="21" t="s">
        <v>953</v>
      </c>
      <c r="I225" s="13">
        <v>42861.973321759258</v>
      </c>
      <c r="J225" s="7">
        <v>0</v>
      </c>
      <c r="K225" s="92" t="str">
        <f t="shared" si="66"/>
        <v>4019/4020</v>
      </c>
      <c r="L225" s="21" t="str">
        <f>VLOOKUP(A225,'Trips&amp;Operators'!$C$1:$G$99999,5,FALSE)</f>
        <v>SAFIEF AEIMEN</v>
      </c>
      <c r="M225" s="6">
        <f t="shared" si="67"/>
        <v>1.3194444400141947E-3</v>
      </c>
      <c r="N225" s="7">
        <f t="shared" si="68"/>
        <v>1.8999999936204404</v>
      </c>
      <c r="O225" s="7"/>
      <c r="P225" s="7"/>
      <c r="Q225" s="22"/>
      <c r="R225" s="190"/>
      <c r="S225" s="196">
        <f t="shared" si="69"/>
        <v>0</v>
      </c>
      <c r="T225" s="190" t="e">
        <f t="shared" si="70"/>
        <v>#VALUE!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71"/>
        <v>https://d0f6bd738d7f1b3e5a7ca70fe4ff75f0.us-east-1.aws.found.io/app/kibana#/discover/Steve-Slow-Train-Analysis-(2080s-and-2083s)?_g=(refreshInterval:(display:Off,pause:!f,section:0,value:0),time:(from:'2017-05-06T22:17:04-0600',mode:absolute,to:'2017-05-07T00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5" s="192" t="str">
        <f t="shared" si="72"/>
        <v>Y</v>
      </c>
      <c r="X225" s="192" t="e">
        <f t="shared" si="84"/>
        <v>#VALUE!</v>
      </c>
      <c r="Y225" s="192">
        <f t="shared" si="73"/>
        <v>0.32879999999999998</v>
      </c>
      <c r="Z225" s="192">
        <f t="shared" si="74"/>
        <v>1.32E-2</v>
      </c>
      <c r="AA225" s="192">
        <f t="shared" si="75"/>
        <v>0.31559999999999999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76"/>
        <v>71-06</v>
      </c>
      <c r="AE225" s="80" t="str">
        <f t="shared" si="77"/>
        <v>aws s3 cp s3://rtdc.mdm.uploadarchive.raw/RTDC4019/ "%USERPROFILE%\AppData\Local\Temp\OnboardLogs"\RTDC4019\2017-05-06 --exclude "*" --recursive --include "*20170506*" &amp; "%USERPROFILE%\Documents\GitHub\mrs-test-scripts\Headless Mode &amp; Sideloading\WalkAndUnGZ.bat" "%USERPROFILE%\AppData\Local\Temp\OnboardLogs"\RTDC4019\2017-05-06 &amp; 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</v>
      </c>
      <c r="AF225" s="77" t="str">
        <f t="shared" si="78"/>
        <v>"C:\Program Files (x86)\AstroGrep\AstroGrep.exe" /e /r /s /spath="%USERPROFILE%\AppData\Local\Temp\OnboardLogs" /stypes="app*4019*20170507*" /stext=" 05:.+((SYSTEM_STATE.+slice.+state.+changed )|(ment ac)|(multiple cpu faults)|(system.+state.+changed )|(\[timeout)|(PRM\|1\|D)|(kpr)|(kdp)|(train st.+moving)|(\|lc)|(penalty))"</v>
      </c>
      <c r="AG225" s="1" t="str">
        <f t="shared" si="79"/>
        <v>Other</v>
      </c>
      <c r="AH225" s="81" t="str">
        <f t="shared" si="80"/>
        <v>"%USERPROFILE%\Documents\GitHub\eaglep3\Utilities\RefineRTDCRunTimes.py" --tripid 71-06 --locoid 4019 --swversion DE.1.0.9.0 --startMP 204:3288 --initTime 2017-05-06T23:17:04 --startdatetime 2017-05-06T23:19:41 --delay 1 --endMP 204:132 --enddatetime 2017-05-06T23:21:35 --enforcementcount 0 &gt;&gt;C:\Users\stu\Documents\GitHub\eaglep3-reporting\EC\2017-05-06-refined-times.txt</v>
      </c>
      <c r="AI225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{"issue":{"subject":"","project_id":79,"tracker_id":40,"status_id":1,"priority_id":2,"assigned_to_id":23,"start_date":"2017-05-06","description":"","custom_fields":[{"id":1,"name":"Subdivision","value":"Other"},{"id":4,"name":"Milepost","value":"0.0132"},{"id":17,"name":"Train ID","value":"71-06"},{"id":16,"name":"Locomotive ID","value":"4019"},{"id":130,"name":"Impact","value":""},{"id":150,"name":"Time of Event (Mountain Time)","value":"23:21:35"},{"id":151,"name":"Denver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82"/>
        <v>start /low /b %USERPROFILE%\Documents\GitHub\eaglep3\Utilities\DownloadLogsFromS3.py --loco 4019 --day 2017-05-06</v>
      </c>
      <c r="AN225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05:21:35"},{"id":29,"name":"Sharepoint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734</v>
      </c>
      <c r="B226" s="7">
        <v>4019</v>
      </c>
      <c r="C226" s="21" t="s">
        <v>210</v>
      </c>
      <c r="D226" s="21" t="s">
        <v>954</v>
      </c>
      <c r="E226" s="13">
        <v>42861.8362037037</v>
      </c>
      <c r="F226" s="13">
        <v>42861.839236111111</v>
      </c>
      <c r="G226" s="7">
        <v>1</v>
      </c>
      <c r="H226" s="21" t="s">
        <v>955</v>
      </c>
      <c r="I226" s="13">
        <v>42861.840300925927</v>
      </c>
      <c r="J226" s="7">
        <v>0</v>
      </c>
      <c r="K226" s="92" t="str">
        <f t="shared" si="66"/>
        <v>4019/4020</v>
      </c>
      <c r="L226" s="21" t="str">
        <f>VLOOKUP(A226,'Trips&amp;Operators'!$C$1:$G$99999,5,FALSE)</f>
        <v>SAFIEF AEIMEN</v>
      </c>
      <c r="M226" s="6">
        <f t="shared" si="67"/>
        <v>1.0648148163454607E-3</v>
      </c>
      <c r="N226" s="7">
        <f t="shared" si="68"/>
        <v>1.5333333355374634</v>
      </c>
      <c r="O226" s="7"/>
      <c r="P226" s="7"/>
      <c r="Q226" s="22"/>
      <c r="R226" s="190"/>
      <c r="S226" s="196">
        <f t="shared" si="69"/>
        <v>0</v>
      </c>
      <c r="T226" s="190" t="e">
        <f t="shared" si="70"/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71"/>
        <v>https://d0f6bd738d7f1b3e5a7ca70fe4ff75f0.us-east-1.aws.found.io/app/kibana#/discover/Steve-Slow-Train-Analysis-(2080s-and-2083s)?_g=(refreshInterval:(display:Off,pause:!f,section:0,value:0),time:(from:'2017-05-06T19:04:08-0600',mode:absolute,to:'2017-05-06T21:10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6" s="192" t="str">
        <f t="shared" si="72"/>
        <v>Y</v>
      </c>
      <c r="X226" s="192" t="e">
        <f t="shared" si="84"/>
        <v>#VALUE!</v>
      </c>
      <c r="Y226" s="192">
        <f t="shared" si="73"/>
        <v>0.53249999999999997</v>
      </c>
      <c r="Z226" s="192">
        <f t="shared" si="74"/>
        <v>9.5799999999999996E-2</v>
      </c>
      <c r="AA226" s="192">
        <f t="shared" si="75"/>
        <v>0.43669999999999998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76"/>
        <v>71-06</v>
      </c>
      <c r="AE226" s="80" t="str">
        <f t="shared" si="77"/>
        <v>aws s3 cp s3://rtdc.mdm.uploadarchive.raw/RTDC4019/ "%USERPROFILE%\AppData\Local\Temp\OnboardLogs"\RTDC4019\2017-05-06 --exclude "*" --recursive --include "*20170506*" &amp; "%USERPROFILE%\Documents\GitHub\mrs-test-scripts\Headless Mode &amp; Sideloading\WalkAndUnGZ.bat" "%USERPROFILE%\AppData\Local\Temp\OnboardLogs"\RTDC4019\2017-05-06 &amp; 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</v>
      </c>
      <c r="AF226" s="77" t="str">
        <f t="shared" si="78"/>
        <v>"C:\Program Files (x86)\AstroGrep\AstroGrep.exe" /e /r /s /spath="%USERPROFILE%\AppData\Local\Temp\OnboardLogs" /stypes="app*4019*20170507*" /stext=" 02:.+((SYSTEM_STATE.+slice.+state.+changed )|(ment ac)|(multiple cpu faults)|(system.+state.+changed )|(\[timeout)|(PRM\|1\|D)|(kpr)|(kdp)|(train st.+moving)|(\|lc)|(penalty))"</v>
      </c>
      <c r="AG226" s="1" t="str">
        <f t="shared" si="79"/>
        <v>Other</v>
      </c>
      <c r="AH226" s="81" t="str">
        <f t="shared" si="80"/>
        <v>"%USERPROFILE%\Documents\GitHub\eaglep3\Utilities\RefineRTDCRunTimes.py" --tripid 71-06 --locoid 4019 --swversion DE.1.0.9.0 --startMP 300:5325 --initTime 2017-05-06T20:04:08 --startdatetime 2017-05-06T20:08:30 --delay 1 --endMP 204:958 --enddatetime 2017-05-06T20:10:02 --enforcementcount 0 &gt;&gt;C:\Users\stu\Documents\GitHub\eaglep3-reporting\EC\2017-05-06-refined-times.txt</v>
      </c>
      <c r="AI226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{"issue":{"subject":"","project_id":79,"tracker_id":40,"status_id":1,"priority_id":2,"assigned_to_id":23,"start_date":"2017-05-06","description":"","custom_fields":[{"id":1,"name":"Subdivision","value":"Other"},{"id":4,"name":"Milepost","value":"0.0958"},{"id":17,"name":"Train ID","value":"71-06"},{"id":16,"name":"Locomotive ID","value":"4019"},{"id":130,"name":"Impact","value":""},{"id":150,"name":"Time of Event (Mountain Time)","value":"20:10:02"},{"id":151,"name":"Denver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82"/>
        <v>start /low /b %USERPROFILE%\Documents\GitHub\eaglep3\Utilities\DownloadLogsFromS3.py --loco 4019 --day 2017-05-06</v>
      </c>
      <c r="AN226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02:10:02"},{"id":29,"name":"Sharepoint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734</v>
      </c>
      <c r="B227" s="7">
        <v>4020</v>
      </c>
      <c r="C227" s="21" t="s">
        <v>210</v>
      </c>
      <c r="D227" s="21" t="s">
        <v>956</v>
      </c>
      <c r="E227" s="13">
        <v>42861.966458333336</v>
      </c>
      <c r="F227" s="13">
        <v>42861.972002314818</v>
      </c>
      <c r="G227" s="7">
        <v>2</v>
      </c>
      <c r="H227" s="21" t="s">
        <v>957</v>
      </c>
      <c r="I227" s="13">
        <v>42861.973321759258</v>
      </c>
      <c r="J227" s="7">
        <v>0</v>
      </c>
      <c r="K227" s="92" t="str">
        <f t="shared" si="66"/>
        <v>4019/4020</v>
      </c>
      <c r="L227" s="21" t="str">
        <f>VLOOKUP(A227,'Trips&amp;Operators'!$C$1:$G$99999,5,FALSE)</f>
        <v>SAFIEF AEIMEN</v>
      </c>
      <c r="M227" s="6">
        <f t="shared" si="67"/>
        <v>1.3194444400141947E-3</v>
      </c>
      <c r="N227" s="7">
        <f t="shared" si="68"/>
        <v>1.8999999936204404</v>
      </c>
      <c r="O227" s="7"/>
      <c r="P227" s="7"/>
      <c r="Q227" s="22"/>
      <c r="R227" s="190"/>
      <c r="S227" s="196">
        <f t="shared" si="69"/>
        <v>0</v>
      </c>
      <c r="T227" s="190" t="e">
        <f t="shared" si="70"/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71"/>
        <v>https://d0f6bd738d7f1b3e5a7ca70fe4ff75f0.us-east-1.aws.found.io/app/kibana#/discover/Steve-Slow-Train-Analysis-(2080s-and-2083s)?_g=(refreshInterval:(display:Off,pause:!f,section:0,value:0),time:(from:'2017-05-06T22:11:42-0600',mode:absolute,to:'2017-05-07T00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7" s="192" t="str">
        <f t="shared" si="72"/>
        <v>Y</v>
      </c>
      <c r="X227" s="192" t="e">
        <f t="shared" si="84"/>
        <v>#VALUE!</v>
      </c>
      <c r="Y227" s="192">
        <f t="shared" si="73"/>
        <v>0.11559999999999999</v>
      </c>
      <c r="Z227" s="192">
        <f t="shared" si="74"/>
        <v>0.35949999999999999</v>
      </c>
      <c r="AA227" s="192">
        <f t="shared" si="75"/>
        <v>0.24390000000000001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76"/>
        <v>71-06</v>
      </c>
      <c r="AE227" s="80" t="str">
        <f t="shared" si="77"/>
        <v>aws s3 cp s3://rtdc.mdm.uploadarchive.raw/RTDC4020/ "%USERPROFILE%\AppData\Local\Temp\OnboardLogs"\RTDC4020\2017-05-06 --exclude "*" --recursive --include "*20170506*" &amp; "%USERPROFILE%\Documents\GitHub\mrs-test-scripts\Headless Mode &amp; Sideloading\WalkAndUnGZ.bat" "%USERPROFILE%\AppData\Local\Temp\OnboardLogs"\RTDC4020\2017-05-06 &amp; 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</v>
      </c>
      <c r="AF227" s="77" t="str">
        <f t="shared" si="78"/>
        <v>"C:\Program Files (x86)\AstroGrep\AstroGrep.exe" /e /r /s /spath="%USERPROFILE%\AppData\Local\Temp\OnboardLogs" /stypes="app*4020*20170507*" /stext=" 05:.+((SYSTEM_STATE.+slice.+state.+changed )|(ment ac)|(multiple cpu faults)|(system.+state.+changed )|(\[timeout)|(PRM\|1\|D)|(kpr)|(kdp)|(train st.+moving)|(\|lc)|(penalty))"</v>
      </c>
      <c r="AG227" s="1" t="str">
        <f t="shared" si="79"/>
        <v>Other</v>
      </c>
      <c r="AH227" s="81" t="str">
        <f t="shared" si="80"/>
        <v>"%USERPROFILE%\Documents\GitHub\eaglep3\Utilities\RefineRTDCRunTimes.py" --tripid 71-06 --locoid 4020 --swversion DE.1.0.9.0 --startMP 204:1156 --initTime 2017-05-06T23:11:42 --startdatetime 2017-05-06T23:19:41 --delay 2 --endMP 204:3595 --enddatetime 2017-05-06T23:21:35 --enforcementcount 0 &gt;&gt;C:\Users\stu\Documents\GitHub\eaglep3-reporting\EC\2017-05-06-refined-times.txt</v>
      </c>
      <c r="AI227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{"issue":{"subject":"","project_id":79,"tracker_id":40,"status_id":1,"priority_id":2,"assigned_to_id":23,"start_date":"2017-05-06","description":"","custom_fields":[{"id":1,"name":"Subdivision","value":"Other"},{"id":4,"name":"Milepost","value":"0.3595"},{"id":17,"name":"Train ID","value":"71-06"},{"id":16,"name":"Locomotive ID","value":"4020"},{"id":130,"name":"Impact","value":""},{"id":150,"name":"Time of Event (Mountain Time)","value":"23:21:35"},{"id":151,"name":"Denver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82"/>
        <v>start /low /b %USERPROFILE%\Documents\GitHub\eaglep3\Utilities\DownloadLogsFromS3.py --loco 4020 --day 2017-05-06</v>
      </c>
      <c r="AN227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05:21:35"},{"id":29,"name":"Sharepoint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734</v>
      </c>
      <c r="B228" s="7">
        <v>4020</v>
      </c>
      <c r="C228" s="21" t="s">
        <v>210</v>
      </c>
      <c r="D228" s="21" t="s">
        <v>958</v>
      </c>
      <c r="E228" s="13">
        <v>42861.828726851854</v>
      </c>
      <c r="F228" s="13">
        <v>42861.839236111111</v>
      </c>
      <c r="G228" s="7">
        <v>1</v>
      </c>
      <c r="H228" s="21" t="s">
        <v>959</v>
      </c>
      <c r="I228" s="13">
        <v>42861.840300925927</v>
      </c>
      <c r="J228" s="7">
        <v>0</v>
      </c>
      <c r="K228" s="92" t="str">
        <f t="shared" si="66"/>
        <v>4019/4020</v>
      </c>
      <c r="L228" s="21" t="str">
        <f>VLOOKUP(A228,'Trips&amp;Operators'!$C$1:$G$99999,5,FALSE)</f>
        <v>SAFIEF AEIMEN</v>
      </c>
      <c r="M228" s="6">
        <f t="shared" si="67"/>
        <v>1.0648148163454607E-3</v>
      </c>
      <c r="N228" s="7">
        <f t="shared" si="68"/>
        <v>1.5333333355374634</v>
      </c>
      <c r="O228" s="7"/>
      <c r="P228" s="7"/>
      <c r="Q228" s="22"/>
      <c r="R228" s="190"/>
      <c r="S228" s="196">
        <f t="shared" si="69"/>
        <v>0</v>
      </c>
      <c r="T228" s="190" t="e">
        <f t="shared" si="70"/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71"/>
        <v>https://d0f6bd738d7f1b3e5a7ca70fe4ff75f0.us-east-1.aws.found.io/app/kibana#/discover/Steve-Slow-Train-Analysis-(2080s-and-2083s)?_g=(refreshInterval:(display:Off,pause:!f,section:0,value:0),time:(from:'2017-05-06T18:53:22-0600',mode:absolute,to:'2017-05-06T21:10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8" s="192" t="str">
        <f t="shared" si="72"/>
        <v>Y</v>
      </c>
      <c r="X228" s="192" t="e">
        <f t="shared" si="84"/>
        <v>#VALUE!</v>
      </c>
      <c r="Y228" s="192">
        <f t="shared" si="73"/>
        <v>3.7199999999999997E-2</v>
      </c>
      <c r="Z228" s="192">
        <f t="shared" si="74"/>
        <v>0.56240000000000001</v>
      </c>
      <c r="AA228" s="192">
        <f t="shared" si="75"/>
        <v>0.5252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76"/>
        <v>71-06</v>
      </c>
      <c r="AE228" s="80" t="str">
        <f t="shared" si="77"/>
        <v>aws s3 cp s3://rtdc.mdm.uploadarchive.raw/RTDC4020/ "%USERPROFILE%\AppData\Local\Temp\OnboardLogs"\RTDC4020\2017-05-06 --exclude "*" --recursive --include "*20170506*" &amp; "%USERPROFILE%\Documents\GitHub\mrs-test-scripts\Headless Mode &amp; Sideloading\WalkAndUnGZ.bat" "%USERPROFILE%\AppData\Local\Temp\OnboardLogs"\RTDC4020\2017-05-06 &amp; 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</v>
      </c>
      <c r="AF228" s="77" t="str">
        <f t="shared" si="78"/>
        <v>"C:\Program Files (x86)\AstroGrep\AstroGrep.exe" /e /r /s /spath="%USERPROFILE%\AppData\Local\Temp\OnboardLogs" /stypes="app*4020*20170507*" /stext=" 02:.+((SYSTEM_STATE.+slice.+state.+changed )|(ment ac)|(multiple cpu faults)|(system.+state.+changed )|(\[timeout)|(PRM\|1\|D)|(kpr)|(kdp)|(train st.+moving)|(\|lc)|(penalty))"</v>
      </c>
      <c r="AG228" s="1" t="str">
        <f t="shared" si="79"/>
        <v>Other</v>
      </c>
      <c r="AH228" s="81" t="str">
        <f t="shared" si="80"/>
        <v>"%USERPROFILE%\Documents\GitHub\eaglep3\Utilities\RefineRTDCRunTimes.py" --tripid 71-06 --locoid 4020 --swversion DE.1.0.9.0 --startMP 204:372 --initTime 2017-05-06T19:53:22 --startdatetime 2017-05-06T20:08:30 --delay 1 --endMP 300:5624 --enddatetime 2017-05-06T20:10:02 --enforcementcount 0 &gt;&gt;C:\Users\stu\Documents\GitHub\eaglep3-reporting\EC\2017-05-06-refined-times.txt</v>
      </c>
      <c r="AI228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{"issue":{"subject":"","project_id":79,"tracker_id":40,"status_id":1,"priority_id":2,"assigned_to_id":23,"start_date":"2017-05-06","description":"","custom_fields":[{"id":1,"name":"Subdivision","value":"Other"},{"id":4,"name":"Milepost","value":"0.5624"},{"id":17,"name":"Train ID","value":"71-06"},{"id":16,"name":"Locomotive ID","value":"4020"},{"id":130,"name":"Impact","value":""},{"id":150,"name":"Time of Event (Mountain Time)","value":"20:10:02"},{"id":151,"name":"Denver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82"/>
        <v>start /low /b %USERPROFILE%\Documents\GitHub\eaglep3\Utilities\DownloadLogsFromS3.py --loco 4020 --day 2017-05-06</v>
      </c>
      <c r="AN228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02:10:02"},{"id":29,"name":"Sharepoint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721</v>
      </c>
      <c r="B229" s="7">
        <v>4006</v>
      </c>
      <c r="C229" s="21" t="s">
        <v>210</v>
      </c>
      <c r="D229" s="21" t="s">
        <v>960</v>
      </c>
      <c r="E229" s="13">
        <v>42861.775775462964</v>
      </c>
      <c r="F229" s="13">
        <v>42861.778067129628</v>
      </c>
      <c r="G229" s="7">
        <v>1</v>
      </c>
      <c r="H229" s="21" t="s">
        <v>961</v>
      </c>
      <c r="I229" s="13">
        <v>42861.783842592595</v>
      </c>
      <c r="J229" s="7">
        <v>0</v>
      </c>
      <c r="K229" s="92" t="str">
        <f t="shared" si="66"/>
        <v>4005/4006</v>
      </c>
      <c r="L229" s="21" t="str">
        <f>VLOOKUP(A229,'Trips&amp;Operators'!$C$1:$G$99999,5,FALSE)</f>
        <v>BRANDNER MELINDA</v>
      </c>
      <c r="M229" s="6">
        <f t="shared" si="67"/>
        <v>5.7754629669943824E-3</v>
      </c>
      <c r="N229" s="7">
        <f t="shared" si="68"/>
        <v>8.3166666724719107</v>
      </c>
      <c r="O229" s="7"/>
      <c r="P229" s="7"/>
      <c r="Q229" s="22"/>
      <c r="R229" s="190"/>
      <c r="S229" s="196">
        <f t="shared" si="69"/>
        <v>0</v>
      </c>
      <c r="T229" s="190" t="e">
        <f t="shared" si="70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71"/>
        <v>https://d0f6bd738d7f1b3e5a7ca70fe4ff75f0.us-east-1.aws.found.io/app/kibana#/discover/Steve-Slow-Train-Analysis-(2080s-and-2083s)?_g=(refreshInterval:(display:Off,pause:!f,section:0,value:0),time:(from:'2017-05-06T17:37:07-0600',mode:absolute,to:'2017-05-06T19:48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9" s="192" t="str">
        <f t="shared" si="72"/>
        <v>Y</v>
      </c>
      <c r="X229" s="192" t="e">
        <f t="shared" si="84"/>
        <v>#VALUE!</v>
      </c>
      <c r="Y229" s="192">
        <f t="shared" si="73"/>
        <v>0.1623</v>
      </c>
      <c r="Z229" s="192">
        <f t="shared" si="74"/>
        <v>2.3033999999999999</v>
      </c>
      <c r="AA229" s="192">
        <f t="shared" si="75"/>
        <v>2.1410999999999998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76"/>
        <v>73-06</v>
      </c>
      <c r="AE229" s="80" t="str">
        <f t="shared" si="77"/>
        <v>aws s3 cp s3://rtdc.mdm.uploadarchive.raw/RTDC4006/ "%USERPROFILE%\AppData\Local\Temp\OnboardLogs"\RTDC4006\2017-05-06 --exclude "*" --recursive --include "*20170506*" &amp; "%USERPROFILE%\Documents\GitHub\mrs-test-scripts\Headless Mode &amp; Sideloading\WalkAndUnGZ.bat" "%USERPROFILE%\AppData\Local\Temp\OnboardLogs"\RTDC4006\2017-05-06 &amp; 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</v>
      </c>
      <c r="AF229" s="77" t="str">
        <f t="shared" si="78"/>
        <v>"C:\Program Files (x86)\AstroGrep\AstroGrep.exe" /e /r /s /spath="%USERPROFILE%\AppData\Local\Temp\OnboardLogs" /stypes="app*4006*20170507*" /stext=" 00:.+((SYSTEM_STATE.+slice.+state.+changed )|(ment ac)|(multiple cpu faults)|(system.+state.+changed )|(\[timeout)|(PRM\|1\|D)|(kpr)|(kdp)|(train st.+moving)|(\|lc)|(penalty))"</v>
      </c>
      <c r="AG229" s="1" t="str">
        <f t="shared" si="79"/>
        <v>Other</v>
      </c>
      <c r="AH229" s="81" t="str">
        <f t="shared" si="80"/>
        <v>"%USERPROFILE%\Documents\GitHub\eaglep3\Utilities\RefineRTDCRunTimes.py" --tripid 73-06 --locoid 4006 --swversion DE.1.0.9.0 --startMP 204:1623 --initTime 2017-05-06T18:37:07 --startdatetime 2017-05-06T18:40:25 --delay 1 --endMP 300:23034 --enddatetime 2017-05-06T18:48:44 --enforcementcount 0 &gt;&gt;C:\Users\stu\Documents\GitHub\eaglep3-reporting\EC\2017-05-06-refined-times.txt</v>
      </c>
      <c r="AI229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{"issue":{"subject":"","project_id":79,"tracker_id":40,"status_id":1,"priority_id":2,"assigned_to_id":23,"start_date":"2017-05-06","description":"","custom_fields":[{"id":1,"name":"Subdivision","value":"Other"},{"id":4,"name":"Milepost","value":"2.3034"},{"id":17,"name":"Train ID","value":"73-06"},{"id":16,"name":"Locomotive ID","value":"4006"},{"id":130,"name":"Impact","value":""},{"id":150,"name":"Time of Event (Mountain Time)","value":"18:48:44"},{"id":151,"name":"Denver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82"/>
        <v>start /low /b %USERPROFILE%\Documents\GitHub\eaglep3\Utilities\DownloadLogsFromS3.py --loco 4006 --day 2017-05-06</v>
      </c>
      <c r="AN229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00:48:44"},{"id":29,"name":"Sharepoint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566</v>
      </c>
      <c r="B230" s="7">
        <v>4034</v>
      </c>
      <c r="C230" s="21" t="s">
        <v>210</v>
      </c>
      <c r="D230" s="21" t="s">
        <v>962</v>
      </c>
      <c r="E230" s="13">
        <v>42861.0784375</v>
      </c>
      <c r="F230" s="13">
        <v>42861.082939814813</v>
      </c>
      <c r="G230" s="7">
        <v>1</v>
      </c>
      <c r="H230" s="21" t="s">
        <v>385</v>
      </c>
      <c r="I230" s="13">
        <v>42861.093912037039</v>
      </c>
      <c r="J230" s="7">
        <v>0</v>
      </c>
      <c r="K230" s="92" t="str">
        <f t="shared" si="66"/>
        <v>4033/4034</v>
      </c>
      <c r="L230" s="21" t="str">
        <f>VLOOKUP(A230,'Trips&amp;Operators'!$C$1:$G$99999,5,FALSE)</f>
        <v>FORTUNATO FRANK</v>
      </c>
      <c r="M230" s="6">
        <f t="shared" si="67"/>
        <v>1.0972222225973383E-2</v>
      </c>
      <c r="N230" s="7">
        <f t="shared" si="68"/>
        <v>15.800000005401671</v>
      </c>
      <c r="O230" s="7"/>
      <c r="P230" s="7"/>
      <c r="Q230" s="22"/>
      <c r="R230" s="190"/>
      <c r="S230" s="196">
        <f t="shared" si="69"/>
        <v>0</v>
      </c>
      <c r="T230" s="190" t="e">
        <f t="shared" si="70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71"/>
        <v>https://d0f6bd738d7f1b3e5a7ca70fe4ff75f0.us-east-1.aws.found.io/app/kibana#/discover/Steve-Slow-Train-Analysis-(2080s-and-2083s)?_g=(refreshInterval:(display:Off,pause:!f,section:0,value:0),time:(from:'2017-05-06T00:52:57-0600',mode:absolute,to:'2017-05-06T03:15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30" s="192" t="str">
        <f t="shared" si="72"/>
        <v>Y</v>
      </c>
      <c r="X230" s="192" t="e">
        <f t="shared" si="84"/>
        <v>#VALUE!</v>
      </c>
      <c r="Y230" s="192">
        <f t="shared" si="73"/>
        <v>0.1305</v>
      </c>
      <c r="Z230" s="192">
        <f t="shared" si="74"/>
        <v>2.3346</v>
      </c>
      <c r="AA230" s="192">
        <f t="shared" si="75"/>
        <v>2.2040999999999999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76"/>
        <v>77-05</v>
      </c>
      <c r="AE230" s="80" t="str">
        <f t="shared" si="77"/>
        <v>aws s3 cp s3://rtdc.mdm.uploadarchive.raw/RTDC4034/ "%USERPROFILE%\AppData\Local\Temp\OnboardLogs"\RTDC4034\2017-05-06 --exclude "*" --recursive --include "*20170506*" &amp; "%USERPROFILE%\Documents\GitHub\mrs-test-scripts\Headless Mode &amp; Sideloading\WalkAndUnGZ.bat" "%USERPROFILE%\AppData\Local\Temp\OnboardLogs"\RTDC4034\2017-05-06 &amp; aws s3 cp s3://rtdc.mdm.uploadarchive.raw/RTDC4034/ "%USERPROFILE%\AppData\Local\Temp\OnboardLogs"\RTDC4034\2017-05-07 --exclude "*" --recursive --include "*20170507*" &amp; "%USERPROFILE%\Documents\GitHub\mrs-test-scripts\Headless Mode &amp; Sideloading\WalkAndUnGZ.bat" "%USERPROFILE%\AppData\Local\Temp\OnboardLogs"\RTDC4034\2017-05-07</v>
      </c>
      <c r="AF230" s="77" t="str">
        <f t="shared" si="78"/>
        <v>"C:\Program Files (x86)\AstroGrep\AstroGrep.exe" /e /r /s /spath="%USERPROFILE%\AppData\Local\Temp\OnboardLogs" /stypes="app*4034*20170506*" /stext=" 08:.+((SYSTEM_STATE.+slice.+state.+changed )|(ment ac)|(multiple cpu faults)|(system.+state.+changed )|(\[timeout)|(PRM\|1\|D)|(kpr)|(kdp)|(train st.+moving)|(\|lc)|(penalty))"</v>
      </c>
      <c r="AG230" s="1" t="str">
        <f t="shared" si="79"/>
        <v>Other</v>
      </c>
      <c r="AH230" s="81" t="str">
        <f t="shared" si="80"/>
        <v>"%USERPROFILE%\Documents\GitHub\eaglep3\Utilities\RefineRTDCRunTimes.py" --tripid 77-05 --locoid 4034 --swversion DE.1.0.9.0 --startMP 204:1305 --initTime 2017-05-06T01:52:57 --startdatetime 2017-05-06T01:59:26 --delay 1 --endMP 300:23346 --enddatetime 2017-05-06T02:15:14 --enforcementcount 0 &gt;&gt;C:\Users\stu\Documents\GitHub\eaglep3-reporting\EC\2017-05-06-refined-times.txt</v>
      </c>
      <c r="AI230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{"issue":{"subject":"","project_id":79,"tracker_id":40,"status_id":1,"priority_id":2,"assigned_to_id":23,"start_date":"2017-05-06","description":"","custom_fields":[{"id":1,"name":"Subdivision","value":"Other"},{"id":4,"name":"Milepost","value":"2.3346"},{"id":17,"name":"Train ID","value":"77-05"},{"id":16,"name":"Locomotive ID","value":"4034"},{"id":130,"name":"Impact","value":""},{"id":150,"name":"Time of Event (Mountain Time)","value":"02:15:14"},{"id":151,"name":"Denver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82"/>
        <v>start /low /b %USERPROFILE%\Documents\GitHub\eaglep3\Utilities\DownloadLogsFromS3.py --loco 4034 --day 2017-05-06</v>
      </c>
      <c r="AN230" s="154" t="str">
        <f t="shared" si="8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08:15:14"},{"id":29,"name":"Sharepoint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730</v>
      </c>
      <c r="B231" s="7">
        <v>4033</v>
      </c>
      <c r="C231" s="21" t="s">
        <v>210</v>
      </c>
      <c r="D231" s="21" t="s">
        <v>963</v>
      </c>
      <c r="E231" s="13">
        <v>42861.817291666666</v>
      </c>
      <c r="F231" s="13">
        <v>42861.822418981479</v>
      </c>
      <c r="G231" s="7">
        <v>7</v>
      </c>
      <c r="H231" s="21" t="s">
        <v>964</v>
      </c>
      <c r="I231" s="13">
        <v>42861.828541666669</v>
      </c>
      <c r="J231" s="7">
        <v>0</v>
      </c>
      <c r="K231" s="92" t="str">
        <f t="shared" si="66"/>
        <v>4033/4034</v>
      </c>
      <c r="L231" s="21" t="str">
        <f>VLOOKUP(A231,'Trips&amp;Operators'!$C$1:$G$99999,5,FALSE)</f>
        <v>DUNCAN SHEILA</v>
      </c>
      <c r="M231" s="6">
        <f t="shared" si="67"/>
        <v>6.1226851903484203E-3</v>
      </c>
      <c r="N231" s="7">
        <f t="shared" si="68"/>
        <v>8.8166666741017252</v>
      </c>
      <c r="O231" s="7"/>
      <c r="P231" s="7"/>
      <c r="Q231" s="22"/>
      <c r="R231" s="190"/>
      <c r="S231" s="196">
        <f t="shared" si="69"/>
        <v>0</v>
      </c>
      <c r="T231" s="190" t="e">
        <f t="shared" si="70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71"/>
        <v>https://d0f6bd738d7f1b3e5a7ca70fe4ff75f0.us-east-1.aws.found.io/app/kibana#/discover/Steve-Slow-Train-Analysis-(2080s-and-2083s)?_g=(refreshInterval:(display:Off,pause:!f,section:0,value:0),time:(from:'2017-05-06T18:36:54-0600',mode:absolute,to:'2017-05-06T20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31" s="192" t="str">
        <f t="shared" si="72"/>
        <v>Y</v>
      </c>
      <c r="X231" s="192" t="e">
        <f t="shared" si="84"/>
        <v>#VALUE!</v>
      </c>
      <c r="Y231" s="192">
        <f t="shared" si="73"/>
        <v>2.3323999999999998</v>
      </c>
      <c r="Z231" s="192">
        <f t="shared" si="74"/>
        <v>0.09</v>
      </c>
      <c r="AA231" s="192">
        <f t="shared" si="75"/>
        <v>2.2423999999999999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76"/>
        <v>78-06</v>
      </c>
      <c r="AE231" s="80" t="str">
        <f t="shared" si="77"/>
        <v>aws s3 cp s3://rtdc.mdm.uploadarchive.raw/RTDC4033/ "%USERPROFILE%\AppData\Local\Temp\OnboardLogs"\RTDC4033\2017-05-06 --exclude "*" --recursive --include "*20170506*" &amp; "%USERPROFILE%\Documents\GitHub\mrs-test-scripts\Headless Mode &amp; Sideloading\WalkAndUnGZ.bat" "%USERPROFILE%\AppData\Local\Temp\OnboardLogs"\RTDC4033\2017-05-06 &amp; aws s3 cp s3://rtdc.mdm.uploadarchive.raw/RTDC4033/ "%USERPROFILE%\AppData\Local\Temp\OnboardLogs"\RTDC4033\2017-05-07 --exclude "*" --recursive --include "*20170507*" &amp; "%USERPROFILE%\Documents\GitHub\mrs-test-scripts\Headless Mode &amp; Sideloading\WalkAndUnGZ.bat" "%USERPROFILE%\AppData\Local\Temp\OnboardLogs"\RTDC4033\2017-05-07</v>
      </c>
      <c r="AF231" s="77" t="str">
        <f t="shared" si="78"/>
        <v>"C:\Program Files (x86)\AstroGrep\AstroGrep.exe" /e /r /s /spath="%USERPROFILE%\AppData\Local\Temp\OnboardLogs" /stypes="app*4033*20170507*" /stext=" 01:.+((SYSTEM_STATE.+slice.+state.+changed )|(ment ac)|(multiple cpu faults)|(system.+state.+changed )|(\[timeout)|(PRM\|1\|D)|(kpr)|(kdp)|(train st.+moving)|(\|lc)|(penalty))"</v>
      </c>
      <c r="AG231" s="1" t="str">
        <f t="shared" si="79"/>
        <v>Other</v>
      </c>
      <c r="AH231" s="81" t="str">
        <f t="shared" si="80"/>
        <v>"%USERPROFILE%\Documents\GitHub\eaglep3\Utilities\RefineRTDCRunTimes.py" --tripid 78-06 --locoid 4033 --swversion DE.1.0.9.0 --startMP 300:23324 --initTime 2017-05-06T19:36:54 --startdatetime 2017-05-06T19:44:17 --delay 7 --endMP 204:900 --enddatetime 2017-05-06T19:53:06 --enforcementcount 0 &gt;&gt;C:\Users\stu\Documents\GitHub\eaglep3-reporting\EC\2017-05-06-refined-times.txt</v>
      </c>
      <c r="AI231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{"issue":{"subject":"","project_id":79,"tracker_id":40,"status_id":1,"priority_id":2,"assigned_to_id":23,"start_date":"2017-05-06","description":"","custom_fields":[{"id":1,"name":"Subdivision","value":"Other"},{"id":4,"name":"Milepost","value":"0.09"},{"id":17,"name":"Train ID","value":"78-06"},{"id":16,"name":"Locomotive ID","value":"4033"},{"id":130,"name":"Impact","value":""},{"id":150,"name":"Time of Event (Mountain Time)","value":"19:53:06"},{"id":151,"name":"Denver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82"/>
        <v>start /low /b %USERPROFILE%\Documents\GitHub\eaglep3\Utilities\DownloadLogsFromS3.py --loco 4033 --day 2017-05-06</v>
      </c>
      <c r="AN231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01:53:06"},{"id":29,"name":"Sharepoint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567</v>
      </c>
      <c r="B232" s="7">
        <v>4060</v>
      </c>
      <c r="C232" s="21" t="s">
        <v>210</v>
      </c>
      <c r="D232" s="21" t="s">
        <v>965</v>
      </c>
      <c r="E232" s="13">
        <v>42861.078136574077</v>
      </c>
      <c r="F232" s="13">
        <v>42861.080462962964</v>
      </c>
      <c r="G232" s="7">
        <v>2</v>
      </c>
      <c r="H232" s="21" t="s">
        <v>385</v>
      </c>
      <c r="I232" s="13">
        <v>42861.085902777777</v>
      </c>
      <c r="J232" s="7">
        <v>0</v>
      </c>
      <c r="K232" s="92" t="str">
        <f t="shared" si="66"/>
        <v>4059/4060</v>
      </c>
      <c r="L232" s="21" t="str">
        <f>VLOOKUP(A232,'Trips&amp;Operators'!$C$1:$G$99999,5,FALSE)</f>
        <v>SULLIVAN BRANDON</v>
      </c>
      <c r="M232" s="6">
        <f t="shared" si="67"/>
        <v>5.4398148131440394E-3</v>
      </c>
      <c r="N232" s="7">
        <f t="shared" si="68"/>
        <v>7.8333333309274167</v>
      </c>
      <c r="O232" s="7"/>
      <c r="P232" s="7"/>
      <c r="Q232" s="22"/>
      <c r="R232" s="190"/>
      <c r="S232" s="196">
        <f t="shared" si="69"/>
        <v>0</v>
      </c>
      <c r="T232" s="190" t="e">
        <f t="shared" si="70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71"/>
        <v>https://d0f6bd738d7f1b3e5a7ca70fe4ff75f0.us-east-1.aws.found.io/app/kibana#/discover/Steve-Slow-Train-Analysis-(2080s-and-2083s)?_g=(refreshInterval:(display:Off,pause:!f,section:0,value:0),time:(from:'2017-05-06T00:52:31-0600',mode:absolute,to:'2017-05-06T03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2" s="192" t="str">
        <f t="shared" si="72"/>
        <v>Y</v>
      </c>
      <c r="X232" s="192" t="e">
        <f t="shared" si="84"/>
        <v>#VALUE!</v>
      </c>
      <c r="Y232" s="192">
        <f t="shared" si="73"/>
        <v>0.12859999999999999</v>
      </c>
      <c r="Z232" s="192">
        <f t="shared" si="74"/>
        <v>2.3346</v>
      </c>
      <c r="AA232" s="192">
        <f t="shared" si="75"/>
        <v>2.206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76"/>
        <v>79-05</v>
      </c>
      <c r="AE232" s="80" t="str">
        <f t="shared" si="77"/>
        <v>aws s3 cp s3://rtdc.mdm.uploadarchive.raw/RTDC4060/ "%USERPROFILE%\AppData\Local\Temp\OnboardLogs"\RTDC4060\2017-05-06 --exclude "*" --recursive --include "*20170506*" &amp; "%USERPROFILE%\Documents\GitHub\mrs-test-scripts\Headless Mode &amp; Sideloading\WalkAndUnGZ.bat" "%USERPROFILE%\AppData\Local\Temp\OnboardLogs"\RTDC4060\2017-05-06 &amp; aws s3 cp s3://rtdc.mdm.uploadarchive.raw/RTDC4060/ "%USERPROFILE%\AppData\Local\Temp\OnboardLogs"\RTDC4060\2017-05-07 --exclude "*" --recursive --include "*20170507*" &amp; "%USERPROFILE%\Documents\GitHub\mrs-test-scripts\Headless Mode &amp; Sideloading\WalkAndUnGZ.bat" "%USERPROFILE%\AppData\Local\Temp\OnboardLogs"\RTDC4060\2017-05-07</v>
      </c>
      <c r="AF232" s="77" t="str">
        <f t="shared" si="78"/>
        <v>"C:\Program Files (x86)\AstroGrep\AstroGrep.exe" /e /r /s /spath="%USERPROFILE%\AppData\Local\Temp\OnboardLogs" /stypes="app*4060*20170506*" /stext=" 08:.+((SYSTEM_STATE.+slice.+state.+changed )|(ment ac)|(multiple cpu faults)|(system.+state.+changed )|(\[timeout)|(PRM\|1\|D)|(kpr)|(kdp)|(train st.+moving)|(\|lc)|(penalty))"</v>
      </c>
      <c r="AG232" s="1" t="str">
        <f t="shared" si="79"/>
        <v>Other</v>
      </c>
      <c r="AH232" s="81" t="str">
        <f t="shared" si="80"/>
        <v>"%USERPROFILE%\Documents\GitHub\eaglep3\Utilities\RefineRTDCRunTimes.py" --tripid 79-05 --locoid 4060 --swversion DE.1.0.9.0 --startMP 204:1286 --initTime 2017-05-06T01:52:31 --startdatetime 2017-05-06T01:55:52 --delay 2 --endMP 300:23346 --enddatetime 2017-05-06T02:03:42 --enforcementcount 0 &gt;&gt;C:\Users\stu\Documents\GitHub\eaglep3-reporting\EC\2017-05-06-refined-times.txt</v>
      </c>
      <c r="AI232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{"issue":{"subject":"","project_id":79,"tracker_id":40,"status_id":1,"priority_id":2,"assigned_to_id":23,"start_date":"2017-05-06","description":"","custom_fields":[{"id":1,"name":"Subdivision","value":"Other"},{"id":4,"name":"Milepost","value":"2.3346"},{"id":17,"name":"Train ID","value":"79-05"},{"id":16,"name":"Locomotive ID","value":"4060"},{"id":130,"name":"Impact","value":""},{"id":150,"name":"Time of Event (Mountain Time)","value":"02:03:42"},{"id":151,"name":"Denver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82"/>
        <v>start /low /b %USERPROFILE%\Documents\GitHub\eaglep3\Utilities\DownloadLogsFromS3.py --loco 4060 --day 2017-05-06</v>
      </c>
      <c r="AN232" s="154" t="str">
        <f t="shared" si="83"/>
        <v>echo {"issue":{"subject":"","project_id":30,"tracker_id":4,"status_id":1,"priority_id":1,"assigned_to_id":10,"start_date":"2017-05-06","description":"","custom_fields":[{"id":30,"name":"Category","value":"Issue"},{"id":3,"name":"Functional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UTC","value":"2017-05-06 08:03:42"},{"id":29,"name":"Sharepoint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556</v>
      </c>
      <c r="B233" s="7">
        <v>4033</v>
      </c>
      <c r="C233" s="21" t="s">
        <v>210</v>
      </c>
      <c r="D233" s="21" t="s">
        <v>774</v>
      </c>
      <c r="E233" s="13">
        <v>42861.889537037037</v>
      </c>
      <c r="F233" s="13">
        <v>42861.939212962963</v>
      </c>
      <c r="G233" s="7">
        <v>3</v>
      </c>
      <c r="H233" s="21" t="s">
        <v>966</v>
      </c>
      <c r="I233" s="13">
        <v>42861.947488425925</v>
      </c>
      <c r="J233" s="7">
        <v>0</v>
      </c>
      <c r="K233" s="92" t="str">
        <f t="shared" si="66"/>
        <v>4033/4034</v>
      </c>
      <c r="L233" s="21" t="str">
        <f>VLOOKUP(A233,'Trips&amp;Operators'!$C$1:$G$99999,5,FALSE)</f>
        <v>DUNCAN SHEILA</v>
      </c>
      <c r="M233" s="6">
        <f t="shared" si="67"/>
        <v>8.2754629620467313E-3</v>
      </c>
      <c r="N233" s="7">
        <f t="shared" si="68"/>
        <v>11.916666665347293</v>
      </c>
      <c r="O233" s="7"/>
      <c r="P233" s="7"/>
      <c r="Q233" s="22"/>
      <c r="R233" s="190"/>
      <c r="S233" s="196">
        <f t="shared" si="69"/>
        <v>0</v>
      </c>
      <c r="T233" s="190" t="e">
        <f t="shared" si="70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71"/>
        <v>https://d0f6bd738d7f1b3e5a7ca70fe4ff75f0.us-east-1.aws.found.io/app/kibana#/discover/Steve-Slow-Train-Analysis-(2080s-and-2083s)?_g=(refreshInterval:(display:Off,pause:!f,section:0,value:0),time:(from:'2017-05-06T20:20:56-0600',mode:absolute,to:'2017-05-06T23:44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33" s="192" t="str">
        <f t="shared" si="72"/>
        <v>Y</v>
      </c>
      <c r="X233" s="192" t="e">
        <f t="shared" si="84"/>
        <v>#VALUE!</v>
      </c>
      <c r="Y233" s="192">
        <f t="shared" si="73"/>
        <v>23.268699999999999</v>
      </c>
      <c r="Z233" s="192">
        <f t="shared" si="74"/>
        <v>18.939699999999998</v>
      </c>
      <c r="AA233" s="192">
        <f t="shared" si="75"/>
        <v>4.3290000000000006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76"/>
        <v>79-06</v>
      </c>
      <c r="AE233" s="80" t="str">
        <f t="shared" si="77"/>
        <v>aws s3 cp s3://rtdc.mdm.uploadarchive.raw/RTDC4033/ "%USERPROFILE%\AppData\Local\Temp\OnboardLogs"\RTDC4033\2017-05-06 --exclude "*" --recursive --include "*20170506*" &amp; "%USERPROFILE%\Documents\GitHub\mrs-test-scripts\Headless Mode &amp; Sideloading\WalkAndUnGZ.bat" "%USERPROFILE%\AppData\Local\Temp\OnboardLogs"\RTDC4033\2017-05-06 &amp; aws s3 cp s3://rtdc.mdm.uploadarchive.raw/RTDC4033/ "%USERPROFILE%\AppData\Local\Temp\OnboardLogs"\RTDC4033\2017-05-07 --exclude "*" --recursive --include "*20170507*" &amp; "%USERPROFILE%\Documents\GitHub\mrs-test-scripts\Headless Mode &amp; Sideloading\WalkAndUnGZ.bat" "%USERPROFILE%\AppData\Local\Temp\OnboardLogs"\RTDC4033\2017-05-07</v>
      </c>
      <c r="AF233" s="77" t="str">
        <f t="shared" si="78"/>
        <v>"C:\Program Files (x86)\AstroGrep\AstroGrep.exe" /e /r /s /spath="%USERPROFILE%\AppData\Local\Temp\OnboardLogs" /stypes="app*4033*20170507*" /stext=" 04:.+((SYSTEM_STATE.+slice.+state.+changed )|(ment ac)|(multiple cpu faults)|(system.+state.+changed )|(\[timeout)|(PRM\|1\|D)|(kpr)|(kdp)|(train st.+moving)|(\|lc)|(penalty))"</v>
      </c>
      <c r="AG233" s="1" t="str">
        <f t="shared" si="79"/>
        <v>Other</v>
      </c>
      <c r="AH233" s="81" t="str">
        <f t="shared" si="80"/>
        <v>"%USERPROFILE%\Documents\GitHub\eaglep3\Utilities\RefineRTDCRunTimes.py" --tripid 79-06 --locoid 4033 --swversion DE.1.0.9.0 --startMP 204:232687 --initTime 2017-05-06T21:20:56 --startdatetime 2017-05-06T22:32:28 --delay 3 --endMP 204:189397 --enddatetime 2017-05-06T22:44:23 --enforcementcount 0 &gt;&gt;C:\Users\stu\Documents\GitHub\eaglep3-reporting\EC\2017-05-06-refined-times.txt</v>
      </c>
      <c r="AI233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{"issue":{"subject":"","project_id":79,"tracker_id":40,"status_id":1,"priority_id":2,"assigned_to_id":23,"start_date":"2017-05-06","description":"","custom_fields":[{"id":1,"name":"Subdivision","value":"Other"},{"id":4,"name":"Milepost","value":"18.9397"},{"id":17,"name":"Train ID","value":"79-06"},{"id":16,"name":"Locomotive ID","value":"4033"},{"id":130,"name":"Impact","value":""},{"id":150,"name":"Time of Event (Mountain Time)","value":"22:44:23"},{"id":151,"name":"Denver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82"/>
        <v>start /low /b %USERPROFILE%\Documents\GitHub\eaglep3\Utilities\DownloadLogsFromS3.py --loco 4033 --day 2017-05-06</v>
      </c>
      <c r="AN233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04:44:23"},{"id":29,"name":"Sharepoint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556</v>
      </c>
      <c r="B234" s="7">
        <v>4033</v>
      </c>
      <c r="C234" s="21" t="s">
        <v>210</v>
      </c>
      <c r="D234" s="21" t="s">
        <v>967</v>
      </c>
      <c r="E234" s="13">
        <v>42861.960902777777</v>
      </c>
      <c r="F234" s="13">
        <v>42861.986932870372</v>
      </c>
      <c r="G234" s="7">
        <v>0</v>
      </c>
      <c r="H234" s="21" t="s">
        <v>968</v>
      </c>
      <c r="I234" s="13">
        <v>42861.996840277781</v>
      </c>
      <c r="J234" s="7">
        <v>0</v>
      </c>
      <c r="K234" s="92" t="str">
        <f t="shared" si="66"/>
        <v>4033/4034</v>
      </c>
      <c r="L234" s="21" t="str">
        <f>VLOOKUP(A234,'Trips&amp;Operators'!$C$1:$G$99999,5,FALSE)</f>
        <v>DUNCAN SHEILA</v>
      </c>
      <c r="M234" s="6">
        <f t="shared" si="67"/>
        <v>9.9074074096279219E-3</v>
      </c>
      <c r="N234" s="7">
        <f t="shared" si="68"/>
        <v>14.266666669864208</v>
      </c>
      <c r="O234" s="7"/>
      <c r="P234" s="7"/>
      <c r="Q234" s="22"/>
      <c r="R234" s="190"/>
      <c r="S234" s="196">
        <f t="shared" si="69"/>
        <v>0</v>
      </c>
      <c r="T234" s="190" t="e">
        <f t="shared" si="70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71"/>
        <v>https://d0f6bd738d7f1b3e5a7ca70fe4ff75f0.us-east-1.aws.found.io/app/kibana#/discover/Steve-Slow-Train-Analysis-(2080s-and-2083s)?_g=(refreshInterval:(display:Off,pause:!f,section:0,value:0),time:(from:'2017-05-06T22:03:42-0600',mode:absolute,to:'2017-05-07T00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34" s="192" t="str">
        <f t="shared" si="72"/>
        <v>Y</v>
      </c>
      <c r="X234" s="192" t="e">
        <f t="shared" si="84"/>
        <v>#VALUE!</v>
      </c>
      <c r="Y234" s="192">
        <f t="shared" si="73"/>
        <v>23.2836</v>
      </c>
      <c r="Z234" s="192">
        <f t="shared" si="74"/>
        <v>18.956399999999999</v>
      </c>
      <c r="AA234" s="192">
        <f t="shared" si="75"/>
        <v>4.3272000000000013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76"/>
        <v>79-06</v>
      </c>
      <c r="AE234" s="80" t="str">
        <f t="shared" si="77"/>
        <v>aws s3 cp s3://rtdc.mdm.uploadarchive.raw/RTDC4033/ "%USERPROFILE%\AppData\Local\Temp\OnboardLogs"\RTDC4033\2017-05-06 --exclude "*" --recursive --include "*20170506*" &amp; "%USERPROFILE%\Documents\GitHub\mrs-test-scripts\Headless Mode &amp; Sideloading\WalkAndUnGZ.bat" "%USERPROFILE%\AppData\Local\Temp\OnboardLogs"\RTDC4033\2017-05-06 &amp; aws s3 cp s3://rtdc.mdm.uploadarchive.raw/RTDC4033/ "%USERPROFILE%\AppData\Local\Temp\OnboardLogs"\RTDC4033\2017-05-07 --exclude "*" --recursive --include "*20170507*" &amp; "%USERPROFILE%\Documents\GitHub\mrs-test-scripts\Headless Mode &amp; Sideloading\WalkAndUnGZ.bat" "%USERPROFILE%\AppData\Local\Temp\OnboardLogs"\RTDC4033\2017-05-07</v>
      </c>
      <c r="AF234" s="77" t="str">
        <f t="shared" si="78"/>
        <v>"C:\Program Files (x86)\AstroGrep\AstroGrep.exe" /e /r /s /spath="%USERPROFILE%\AppData\Local\Temp\OnboardLogs" /stypes="app*4033*20170507*" /stext=" 05:.+((SYSTEM_STATE.+slice.+state.+changed )|(ment ac)|(multiple cpu faults)|(system.+state.+changed )|(\[timeout)|(PRM\|1\|D)|(kpr)|(kdp)|(train st.+moving)|(\|lc)|(penalty))"</v>
      </c>
      <c r="AG234" s="1" t="str">
        <f t="shared" si="79"/>
        <v>Other</v>
      </c>
      <c r="AH234" s="81" t="str">
        <f t="shared" si="80"/>
        <v>"%USERPROFILE%\Documents\GitHub\eaglep3\Utilities\RefineRTDCRunTimes.py" --tripid 79-06 --locoid 4033 --swversion DE.1.0.9.0 --startMP 204:232836 --initTime 2017-05-06T23:03:42 --startdatetime 2017-05-06T23:41:11 --delay 0 --endMP 204:189564 --enddatetime 2017-05-06T23:55:27 --enforcementcount 0 &gt;&gt;C:\Users\stu\Documents\GitHub\eaglep3-reporting\EC\2017-05-06-refined-times.txt</v>
      </c>
      <c r="AI234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{"issue":{"subject":"","project_id":79,"tracker_id":40,"status_id":1,"priority_id":2,"assigned_to_id":23,"start_date":"2017-05-06","description":"","custom_fields":[{"id":1,"name":"Subdivision","value":"Other"},{"id":4,"name":"Milepost","value":"18.9564"},{"id":17,"name":"Train ID","value":"79-06"},{"id":16,"name":"Locomotive ID","value":"4033"},{"id":130,"name":"Impact","value":""},{"id":150,"name":"Time of Event (Mountain Time)","value":"23:55:27"},{"id":151,"name":"Denver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82"/>
        <v>start /low /b %USERPROFILE%\Documents\GitHub\eaglep3\Utilities\DownloadLogsFromS3.py --loco 4033 --day 2017-05-06</v>
      </c>
      <c r="AN234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05:55:27"},{"id":29,"name":"Sharepoint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556</v>
      </c>
      <c r="B235" s="7">
        <v>4033</v>
      </c>
      <c r="C235" s="21" t="s">
        <v>210</v>
      </c>
      <c r="D235" s="21" t="s">
        <v>969</v>
      </c>
      <c r="E235" s="13">
        <v>42861.985289351855</v>
      </c>
      <c r="F235" s="13">
        <v>42861.999710648146</v>
      </c>
      <c r="G235" s="7">
        <v>0</v>
      </c>
      <c r="H235" s="21" t="s">
        <v>970</v>
      </c>
      <c r="I235" s="13">
        <v>42862.016145833331</v>
      </c>
      <c r="J235" s="7">
        <v>0</v>
      </c>
      <c r="K235" s="92" t="str">
        <f t="shared" si="66"/>
        <v>4033/4034</v>
      </c>
      <c r="L235" s="21" t="str">
        <f>VLOOKUP(A235,'Trips&amp;Operators'!$C$1:$G$99999,5,FALSE)</f>
        <v>DUNCAN SHEILA</v>
      </c>
      <c r="M235" s="6">
        <f t="shared" si="67"/>
        <v>1.6435185185400769E-2</v>
      </c>
      <c r="N235" s="7">
        <f t="shared" si="68"/>
        <v>23.666666666977108</v>
      </c>
      <c r="O235" s="7"/>
      <c r="P235" s="7"/>
      <c r="Q235" s="22"/>
      <c r="R235" s="190"/>
      <c r="S235" s="196">
        <f t="shared" si="69"/>
        <v>0</v>
      </c>
      <c r="T235" s="190" t="e">
        <f t="shared" si="70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71"/>
        <v>https://d0f6bd738d7f1b3e5a7ca70fe4ff75f0.us-east-1.aws.found.io/app/kibana#/discover/Steve-Slow-Train-Analysis-(2080s-and-2083s)?_g=(refreshInterval:(display:Off,pause:!f,section:0,value:0),time:(from:'2017-05-06T22:38:49-0600',mode:absolute,to:'2017-05-07T01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35" s="192" t="str">
        <f t="shared" si="72"/>
        <v>N</v>
      </c>
      <c r="X235" s="192" t="e">
        <f t="shared" si="84"/>
        <v>#VALUE!</v>
      </c>
      <c r="Y235" s="192">
        <f t="shared" si="73"/>
        <v>23.2849</v>
      </c>
      <c r="Z235" s="192">
        <f t="shared" si="74"/>
        <v>15.3996</v>
      </c>
      <c r="AA235" s="192">
        <f t="shared" si="75"/>
        <v>7.8853000000000009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76"/>
        <v>79-06</v>
      </c>
      <c r="AE235" s="80" t="str">
        <f t="shared" si="77"/>
        <v>aws s3 cp s3://rtdc.mdm.uploadarchive.raw/RTDC4033/ "%USERPROFILE%\AppData\Local\Temp\OnboardLogs"\RTDC4033\2017-05-06 --exclude "*" --recursive --include "*20170506*" &amp; "%USERPROFILE%\Documents\GitHub\mrs-test-scripts\Headless Mode &amp; Sideloading\WalkAndUnGZ.bat" "%USERPROFILE%\AppData\Local\Temp\OnboardLogs"\RTDC4033\2017-05-06 &amp; aws s3 cp s3://rtdc.mdm.uploadarchive.raw/RTDC4033/ "%USERPROFILE%\AppData\Local\Temp\OnboardLogs"\RTDC4033\2017-05-07 --exclude "*" --recursive --include "*20170507*" &amp; "%USERPROFILE%\Documents\GitHub\mrs-test-scripts\Headless Mode &amp; Sideloading\WalkAndUnGZ.bat" "%USERPROFILE%\AppData\Local\Temp\OnboardLogs"\RTDC4033\2017-05-07</v>
      </c>
      <c r="AF235" s="77" t="str">
        <f t="shared" si="78"/>
        <v>"C:\Program Files (x86)\AstroGrep\AstroGrep.exe" /e /r /s /spath="%USERPROFILE%\AppData\Local\Temp\OnboardLogs" /stypes="app*4033*20170507*" /stext=" 06:.+((SYSTEM_STATE.+slice.+state.+changed )|(ment ac)|(multiple cpu faults)|(system.+state.+changed )|(\[timeout)|(PRM\|1\|D)|(kpr)|(kdp)|(train st.+moving)|(\|lc)|(penalty))"</v>
      </c>
      <c r="AG235" s="1" t="str">
        <f t="shared" si="79"/>
        <v>Other</v>
      </c>
      <c r="AH235" s="81" t="str">
        <f t="shared" si="80"/>
        <v>"%USERPROFILE%\Documents\GitHub\eaglep3\Utilities\RefineRTDCRunTimes.py" --tripid 79-06 --locoid 4033 --swversion DE.1.0.9.0 --startMP 204:232849 --initTime 2017-05-06T23:38:49 --startdatetime 2017-05-06T23:59:35 --delay 0 --endMP 204:153996 --enddatetime 2017-05-07T00:23:15 --enforcementcount 0 &gt;&gt;C:\Users\stu\Documents\GitHub\eaglep3-reporting\EC\2017-05-06-refined-times.txt</v>
      </c>
      <c r="AI235" s="99" t="str">
        <f t="shared" si="81"/>
        <v>echo {"issue":{"subject":"","project_id":79,"tracker_id":40,"status_id":1,"priority_id":2,"assigned_to_id":23,"start_date":"2017-05-07","description":"","custom_fields":[{"id":1,"name":"Subdivision","value":"Other"},{"id":4,"name":"Milepost","value":"15.3996"},{"id":17,"name":"Train ID","value":"79-06"},{"id":16,"name":"Locomotive ID","value":"4033"},{"id":130,"name":"Impact","value":""},{"id":150,"name":"Time of Event (Mountain Time)","value":"00:23:15"},{"id":151,"name":"Denver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82"/>
        <v>start /low /b %USERPROFILE%\Documents\GitHub\eaglep3\Utilities\DownloadLogsFromS3.py --loco 4033 --day 2017-05-06</v>
      </c>
      <c r="AN235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06:23:15"},{"id":29,"name":"Sharepoint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556</v>
      </c>
      <c r="B236" s="7">
        <v>4033</v>
      </c>
      <c r="C236" s="21" t="s">
        <v>210</v>
      </c>
      <c r="D236" s="21" t="s">
        <v>971</v>
      </c>
      <c r="E236" s="13">
        <v>42862.019479166665</v>
      </c>
      <c r="F236" s="13">
        <v>42862.044548611113</v>
      </c>
      <c r="G236" s="7">
        <v>1</v>
      </c>
      <c r="H236" s="21" t="s">
        <v>972</v>
      </c>
      <c r="I236" s="13">
        <v>42862.051817129628</v>
      </c>
      <c r="J236" s="7">
        <v>0</v>
      </c>
      <c r="K236" s="92" t="str">
        <f t="shared" si="66"/>
        <v>4033/4034</v>
      </c>
      <c r="L236" s="21" t="str">
        <f>VLOOKUP(A236,'Trips&amp;Operators'!$C$1:$G$99999,5,FALSE)</f>
        <v>DUNCAN SHEILA</v>
      </c>
      <c r="M236" s="6">
        <f t="shared" si="67"/>
        <v>7.2685185150476173E-3</v>
      </c>
      <c r="N236" s="7">
        <f t="shared" si="68"/>
        <v>10.466666661668569</v>
      </c>
      <c r="O236" s="7"/>
      <c r="P236" s="7"/>
      <c r="Q236" s="22"/>
      <c r="R236" s="190"/>
      <c r="S236" s="196">
        <f t="shared" si="69"/>
        <v>0</v>
      </c>
      <c r="T236" s="190" t="e">
        <f t="shared" si="70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71"/>
        <v>https://d0f6bd738d7f1b3e5a7ca70fe4ff75f0.us-east-1.aws.found.io/app/kibana#/discover/Steve-Slow-Train-Analysis-(2080s-and-2083s)?_g=(refreshInterval:(display:Off,pause:!f,section:0,value:0),time:(from:'2017-05-06T23:28:03-0600',mode:absolute,to:'2017-05-07T02:14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36" s="192" t="str">
        <f t="shared" si="72"/>
        <v>Y</v>
      </c>
      <c r="X236" s="192" t="e">
        <f t="shared" si="84"/>
        <v>#VALUE!</v>
      </c>
      <c r="Y236" s="192">
        <f t="shared" si="73"/>
        <v>23.296600000000002</v>
      </c>
      <c r="Z236" s="192">
        <f t="shared" si="74"/>
        <v>18.962299999999999</v>
      </c>
      <c r="AA236" s="192">
        <f t="shared" si="75"/>
        <v>4.3343000000000025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76"/>
        <v>79-06</v>
      </c>
      <c r="AE236" s="80" t="str">
        <f t="shared" si="77"/>
        <v>aws s3 cp s3://rtdc.mdm.uploadarchive.raw/RTDC4033/ "%USERPROFILE%\AppData\Local\Temp\OnboardLogs"\RTDC4033\2017-05-07 --exclude "*" --recursive --include "*20170507*" &amp; "%USERPROFILE%\Documents\GitHub\mrs-test-scripts\Headless Mode &amp; Sideloading\WalkAndUnGZ.bat" "%USERPROFILE%\AppData\Local\Temp\OnboardLogs"\RTDC4033\2017-05-07 &amp; aws s3 cp s3://rtdc.mdm.uploadarchive.raw/RTDC4033/ "%USERPROFILE%\AppData\Local\Temp\OnboardLogs"\RTDC4033\2017-05-08 --exclude "*" --recursive --include "*20170508*" &amp; "%USERPROFILE%\Documents\GitHub\mrs-test-scripts\Headless Mode &amp; Sideloading\WalkAndUnGZ.bat" "%USERPROFILE%\AppData\Local\Temp\OnboardLogs"\RTDC4033\2017-05-08</v>
      </c>
      <c r="AF236" s="77" t="str">
        <f t="shared" si="78"/>
        <v>"C:\Program Files (x86)\AstroGrep\AstroGrep.exe" /e /r /s /spath="%USERPROFILE%\AppData\Local\Temp\OnboardLogs" /stypes="app*4033*20170507*" /stext=" 07:.+((SYSTEM_STATE.+slice.+state.+changed )|(ment ac)|(multiple cpu faults)|(system.+state.+changed )|(\[timeout)|(PRM\|1\|D)|(kpr)|(kdp)|(train st.+moving)|(\|lc)|(penalty))"</v>
      </c>
      <c r="AG236" s="1" t="str">
        <f t="shared" si="79"/>
        <v>Other</v>
      </c>
      <c r="AH236" s="81" t="str">
        <f t="shared" si="80"/>
        <v>"%USERPROFILE%\Documents\GitHub\eaglep3\Utilities\RefineRTDCRunTimes.py" --tripid 79-06 --locoid 4033 --swversion DE.1.0.9.0 --startMP 204:232966 --initTime 2017-05-07T00:28:03 --startdatetime 2017-05-07T01:04:09 --delay 1 --endMP 204:189623 --enddatetime 2017-05-07T01:14:37 --enforcementcount 0 &gt;&gt;C:\Users\stu\Documents\GitHub\eaglep3-reporting\EC\2017-05-06-refined-times.txt</v>
      </c>
      <c r="AI236" s="99" t="str">
        <f t="shared" si="81"/>
        <v>echo {"issue":{"subject":"","project_id":79,"tracker_id":40,"status_id":1,"priority_id":2,"assigned_to_id":23,"start_date":"2017-05-07","description":"","custom_fields":[{"id":1,"name":"Subdivision","value":"Other"},{"id":4,"name":"Milepost","value":"18.9623"},{"id":17,"name":"Train ID","value":"79-06"},{"id":16,"name":"Locomotive ID","value":"4033"},{"id":130,"name":"Impact","value":""},{"id":150,"name":"Time of Event (Mountain Time)","value":"01:14:37"},{"id":151,"name":"Denver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82"/>
        <v>start /low /b %USERPROFILE%\Documents\GitHub\eaglep3\Utilities\DownloadLogsFromS3.py --loco 4033 --day 2017-05-07</v>
      </c>
      <c r="AN236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07:14:37"},{"id":29,"name":"Sharepoint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556</v>
      </c>
      <c r="B237" s="7">
        <v>4033</v>
      </c>
      <c r="C237" s="21" t="s">
        <v>210</v>
      </c>
      <c r="D237" s="21" t="s">
        <v>973</v>
      </c>
      <c r="E237" s="13">
        <v>42862.064467592594</v>
      </c>
      <c r="F237" s="13">
        <v>42862.104629629626</v>
      </c>
      <c r="G237" s="7">
        <v>1</v>
      </c>
      <c r="H237" s="21" t="s">
        <v>974</v>
      </c>
      <c r="I237" s="13">
        <v>25568.708333333332</v>
      </c>
      <c r="J237" s="7">
        <v>0</v>
      </c>
      <c r="K237" s="92" t="str">
        <f t="shared" si="66"/>
        <v>4033/4034</v>
      </c>
      <c r="L237" s="21" t="str">
        <f>VLOOKUP(A237,'Trips&amp;Operators'!$C$1:$G$99999,5,FALSE)</f>
        <v>DUNCAN SHEILA</v>
      </c>
      <c r="M237" s="6">
        <f t="shared" si="67"/>
        <v>-17293.396296296294</v>
      </c>
      <c r="N237" s="7">
        <f t="shared" si="68"/>
        <v>-24902490.666666664</v>
      </c>
      <c r="O237" s="7"/>
      <c r="P237" s="7"/>
      <c r="Q237" s="22"/>
      <c r="R237" s="190"/>
      <c r="S237" s="196">
        <f t="shared" si="69"/>
        <v>0</v>
      </c>
      <c r="T237" s="190" t="e">
        <f t="shared" si="70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71"/>
        <v>https://d0f6bd738d7f1b3e5a7ca70fe4ff75f0.us-east-1.aws.found.io/app/kibana#/discover/Steve-Slow-Train-Analysis-(2080s-and-2083s)?_g=(refreshInterval:(display:Off,pause:!f,section:0,value:0),time:(from:'2017-05-07T00:32:50-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37" s="192" t="str">
        <f t="shared" si="72"/>
        <v>N</v>
      </c>
      <c r="X237" s="192" t="e">
        <f t="shared" si="84"/>
        <v>#VALUE!</v>
      </c>
      <c r="Y237" s="192">
        <f t="shared" si="73"/>
        <v>23.297599999999999</v>
      </c>
      <c r="Z237" s="192">
        <f t="shared" si="74"/>
        <v>2.3099999999999999E-2</v>
      </c>
      <c r="AA237" s="192">
        <f t="shared" si="75"/>
        <v>23.2745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76"/>
        <v>79-06</v>
      </c>
      <c r="AE237" s="80" t="str">
        <f t="shared" si="77"/>
        <v>aws s3 cp s3://rtdc.mdm.uploadarchive.raw/RTDC4033/ "%USERPROFILE%\AppData\Local\Temp\OnboardLogs"\RTDC4033\2017-05-07 --exclude "*" --recursive --include "*20170507*" &amp; "%USERPROFILE%\Documents\GitHub\mrs-test-scripts\Headless Mode &amp; Sideloading\WalkAndUnGZ.bat" "%USERPROFILE%\AppData\Local\Temp\OnboardLogs"\RTDC4033\2017-05-07 &amp; aws s3 cp s3://rtdc.mdm.uploadarchive.raw/RTDC4033/ "%USERPROFILE%\AppData\Local\Temp\OnboardLogs"\RTDC4033\2017-05-08 --exclude "*" --recursive --include "*20170508*" &amp; "%USERPROFILE%\Documents\GitHub\mrs-test-scripts\Headless Mode &amp; Sideloading\WalkAndUnGZ.bat" "%USERPROFILE%\AppData\Local\Temp\OnboardLogs"\RTDC4033\2017-05-08</v>
      </c>
      <c r="AF237" s="77" t="str">
        <f t="shared" si="78"/>
        <v>"C:\Program Files (x86)\AstroGrep\AstroGrep.exe" /e /r /s /spath="%USERPROFILE%\AppData\Local\Temp\OnboardLogs" /stypes="app*4033*19691231*" /stext=" 23:.+((SYSTEM_STATE.+slice.+state.+changed )|(ment ac)|(multiple cpu faults)|(system.+state.+changed )|(\[timeout)|(PRM\|1\|D)|(kpr)|(kdp)|(train st.+moving)|(\|lc)|(penalty))"</v>
      </c>
      <c r="AG237" s="1" t="str">
        <f t="shared" si="79"/>
        <v>Other</v>
      </c>
      <c r="AH237" s="81" t="str">
        <f t="shared" si="80"/>
        <v>"%USERPROFILE%\Documents\GitHub\eaglep3\Utilities\RefineRTDCRunTimes.py" --tripid 79-06 --locoid 4033 --swversion DE.1.0.9.0 --startMP 204:232976 --initTime 2017-05-07T01:32:50 --startdatetime 2017-05-07T02:30:40 --delay 1 --endMP 204:231 --enddatetime 1969-12-31T17:00:00 --enforcementcount 0 &gt;&gt;C:\Users\stu\Documents\GitHub\eaglep3-reporting\EC\2017-05-06-refined-times.txt</v>
      </c>
      <c r="AI237" s="99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{"issue":{"subject":"","project_id":79,"tracker_id":40,"status_id":1,"priority_id":2,"assigned_to_id":23,"start_date":"1969-12-31","description":"","custom_fields":[{"id":1,"name":"Subdivision","value":"Other"},{"id":4,"name":"Milepost","value":"0.0231"},{"id":17,"name":"Train ID","value":"79-06"},{"id":16,"name":"Locomotive ID","value":"4033"},{"id":130,"name":"Impact","value":""},{"id":150,"name":"Time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82"/>
        <v>start /low /b %USERPROFILE%\Documents\GitHub\eaglep3\Utilities\DownloadLogsFromS3.py --loco 4033 --day 2017-05-07</v>
      </c>
      <c r="AN237" s="154" t="str">
        <f t="shared" si="83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556</v>
      </c>
      <c r="B238" s="7">
        <v>4033</v>
      </c>
      <c r="C238" s="21" t="s">
        <v>210</v>
      </c>
      <c r="D238" s="21" t="s">
        <v>463</v>
      </c>
      <c r="E238" s="13">
        <v>42861.924803240741</v>
      </c>
      <c r="F238" s="13">
        <v>42861.965300925927</v>
      </c>
      <c r="G238" s="7">
        <v>1</v>
      </c>
      <c r="H238" s="21" t="s">
        <v>975</v>
      </c>
      <c r="I238" s="13">
        <v>42861.972118055557</v>
      </c>
      <c r="J238" s="7">
        <v>0</v>
      </c>
      <c r="K238" s="92" t="str">
        <f t="shared" si="66"/>
        <v>4033/4034</v>
      </c>
      <c r="L238" s="21" t="str">
        <f>VLOOKUP(A238,'Trips&amp;Operators'!$C$1:$G$99999,5,FALSE)</f>
        <v>DUNCAN SHEILA</v>
      </c>
      <c r="M238" s="6">
        <f t="shared" si="67"/>
        <v>6.8171296297805384E-3</v>
      </c>
      <c r="N238" s="7">
        <f t="shared" si="68"/>
        <v>9.8166666668839753</v>
      </c>
      <c r="O238" s="7"/>
      <c r="P238" s="7"/>
      <c r="Q238" s="22"/>
      <c r="R238" s="190"/>
      <c r="S238" s="196">
        <f t="shared" si="69"/>
        <v>0</v>
      </c>
      <c r="T238" s="190" t="e">
        <f t="shared" si="70"/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 t="shared" si="71"/>
        <v>https://d0f6bd738d7f1b3e5a7ca70fe4ff75f0.us-east-1.aws.found.io/app/kibana#/discover/Steve-Slow-Train-Analysis-(2080s-and-2083s)?_g=(refreshInterval:(display:Off,pause:!f,section:0,value:0),time:(from:'2017-05-06T21:11:43-0600',mode:absolute,to:'2017-05-07T00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38" s="192" t="str">
        <f t="shared" si="72"/>
        <v>Y</v>
      </c>
      <c r="X238" s="192" t="e">
        <f t="shared" si="84"/>
        <v>#VALUE!</v>
      </c>
      <c r="Y238" s="192">
        <f t="shared" si="73"/>
        <v>23.2987</v>
      </c>
      <c r="Z238" s="192">
        <f t="shared" si="74"/>
        <v>18.9527</v>
      </c>
      <c r="AA238" s="192">
        <f t="shared" si="75"/>
        <v>4.3460000000000001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76"/>
        <v>79-06</v>
      </c>
      <c r="AE238" s="80" t="str">
        <f t="shared" si="77"/>
        <v>aws s3 cp s3://rtdc.mdm.uploadarchive.raw/RTDC4033/ "%USERPROFILE%\AppData\Local\Temp\OnboardLogs"\RTDC4033\2017-05-06 --exclude "*" --recursive --include "*20170506*" &amp; "%USERPROFILE%\Documents\GitHub\mrs-test-scripts\Headless Mode &amp; Sideloading\WalkAndUnGZ.bat" "%USERPROFILE%\AppData\Local\Temp\OnboardLogs"\RTDC4033\2017-05-06 &amp; aws s3 cp s3://rtdc.mdm.uploadarchive.raw/RTDC4033/ "%USERPROFILE%\AppData\Local\Temp\OnboardLogs"\RTDC4033\2017-05-07 --exclude "*" --recursive --include "*20170507*" &amp; "%USERPROFILE%\Documents\GitHub\mrs-test-scripts\Headless Mode &amp; Sideloading\WalkAndUnGZ.bat" "%USERPROFILE%\AppData\Local\Temp\OnboardLogs"\RTDC4033\2017-05-07</v>
      </c>
      <c r="AF238" s="77" t="str">
        <f t="shared" si="78"/>
        <v>"C:\Program Files (x86)\AstroGrep\AstroGrep.exe" /e /r /s /spath="%USERPROFILE%\AppData\Local\Temp\OnboardLogs" /stypes="app*4033*20170507*" /stext=" 05:.+((SYSTEM_STATE.+slice.+state.+changed )|(ment ac)|(multiple cpu faults)|(system.+state.+changed )|(\[timeout)|(PRM\|1\|D)|(kpr)|(kdp)|(train st.+moving)|(\|lc)|(penalty))"</v>
      </c>
      <c r="AG238" s="1" t="str">
        <f t="shared" si="79"/>
        <v>Other</v>
      </c>
      <c r="AH238" s="81" t="str">
        <f t="shared" si="80"/>
        <v>"%USERPROFILE%\Documents\GitHub\eaglep3\Utilities\RefineRTDCRunTimes.py" --tripid 79-06 --locoid 4033 --swversion DE.1.0.9.0 --startMP 204:232987 --initTime 2017-05-06T22:11:43 --startdatetime 2017-05-06T23:10:02 --delay 1 --endMP 204:189527 --enddatetime 2017-05-06T23:19:51 --enforcementcount 0 &gt;&gt;C:\Users\stu\Documents\GitHub\eaglep3-reporting\EC\2017-05-06-refined-times.txt</v>
      </c>
      <c r="AI238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{"issue":{"subject":"","project_id":79,"tracker_id":40,"status_id":1,"priority_id":2,"assigned_to_id":23,"start_date":"2017-05-06","description":"","custom_fields":[{"id":1,"name":"Subdivision","value":"Other"},{"id":4,"name":"Milepost","value":"18.9527"},{"id":17,"name":"Train ID","value":"79-06"},{"id":16,"name":"Locomotive ID","value":"4033"},{"id":130,"name":"Impact","value":""},{"id":150,"name":"Time of Event (Mountain Time)","value":"23:19:51"},{"id":151,"name":"Denver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82"/>
        <v>start /low /b %USERPROFILE%\Documents\GitHub\eaglep3\Utilities\DownloadLogsFromS3.py --loco 4033 --day 2017-05-06</v>
      </c>
      <c r="AN238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05:19:51"},{"id":29,"name":"Sharepoint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556</v>
      </c>
      <c r="B239" s="7">
        <v>4033</v>
      </c>
      <c r="C239" s="21" t="s">
        <v>210</v>
      </c>
      <c r="D239" s="21" t="s">
        <v>497</v>
      </c>
      <c r="E239" s="13">
        <v>42862.043425925927</v>
      </c>
      <c r="F239" s="13">
        <v>42862.070347222223</v>
      </c>
      <c r="G239" s="7">
        <v>1</v>
      </c>
      <c r="H239" s="21" t="s">
        <v>976</v>
      </c>
      <c r="I239" s="13">
        <v>42862.101793981485</v>
      </c>
      <c r="J239" s="7">
        <v>0</v>
      </c>
      <c r="K239" s="92" t="str">
        <f t="shared" si="66"/>
        <v>4033/4034</v>
      </c>
      <c r="L239" s="21" t="str">
        <f>VLOOKUP(A239,'Trips&amp;Operators'!$C$1:$G$99999,5,FALSE)</f>
        <v>DUNCAN SHEILA</v>
      </c>
      <c r="M239" s="6">
        <f t="shared" si="67"/>
        <v>3.1446759261598345E-2</v>
      </c>
      <c r="N239" s="7">
        <f t="shared" si="68"/>
        <v>45.283333336701617</v>
      </c>
      <c r="O239" s="7"/>
      <c r="P239" s="7"/>
      <c r="Q239" s="22"/>
      <c r="R239" s="190"/>
      <c r="S239" s="196">
        <f t="shared" si="69"/>
        <v>0</v>
      </c>
      <c r="T239" s="190" t="e">
        <f t="shared" si="70"/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 t="shared" si="71"/>
        <v>https://d0f6bd738d7f1b3e5a7ca70fe4ff75f0.us-east-1.aws.found.io/app/kibana#/discover/Steve-Slow-Train-Analysis-(2080s-and-2083s)?_g=(refreshInterval:(display:Off,pause:!f,section:0,value:0),time:(from:'2017-05-07T00:02:32-0600',mode:absolute,to:'2017-05-07T03:26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39" s="192" t="str">
        <f t="shared" si="72"/>
        <v>Y</v>
      </c>
      <c r="X239" s="192" t="e">
        <f t="shared" si="84"/>
        <v>#VALUE!</v>
      </c>
      <c r="Y239" s="192">
        <f t="shared" si="73"/>
        <v>23.3</v>
      </c>
      <c r="Z239" s="192">
        <f t="shared" si="74"/>
        <v>18.958300000000001</v>
      </c>
      <c r="AA239" s="192">
        <f t="shared" si="75"/>
        <v>4.3416999999999994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76"/>
        <v>79-06</v>
      </c>
      <c r="AE239" s="80" t="str">
        <f t="shared" si="77"/>
        <v>aws s3 cp s3://rtdc.mdm.uploadarchive.raw/RTDC4033/ "%USERPROFILE%\AppData\Local\Temp\OnboardLogs"\RTDC4033\2017-05-07 --exclude "*" --recursive --include "*20170507*" &amp; "%USERPROFILE%\Documents\GitHub\mrs-test-scripts\Headless Mode &amp; Sideloading\WalkAndUnGZ.bat" "%USERPROFILE%\AppData\Local\Temp\OnboardLogs"\RTDC4033\2017-05-07 &amp; aws s3 cp s3://rtdc.mdm.uploadarchive.raw/RTDC4033/ "%USERPROFILE%\AppData\Local\Temp\OnboardLogs"\RTDC4033\2017-05-08 --exclude "*" --recursive --include "*20170508*" &amp; "%USERPROFILE%\Documents\GitHub\mrs-test-scripts\Headless Mode &amp; Sideloading\WalkAndUnGZ.bat" "%USERPROFILE%\AppData\Local\Temp\OnboardLogs"\RTDC4033\2017-05-08</v>
      </c>
      <c r="AF239" s="77" t="str">
        <f t="shared" si="78"/>
        <v>"C:\Program Files (x86)\AstroGrep\AstroGrep.exe" /e /r /s /spath="%USERPROFILE%\AppData\Local\Temp\OnboardLogs" /stypes="app*4033*20170507*" /stext=" 08:.+((SYSTEM_STATE.+slice.+state.+changed )|(ment ac)|(multiple cpu faults)|(system.+state.+changed )|(\[timeout)|(PRM\|1\|D)|(kpr)|(kdp)|(train st.+moving)|(\|lc)|(penalty))"</v>
      </c>
      <c r="AG239" s="1" t="str">
        <f t="shared" si="79"/>
        <v>Other</v>
      </c>
      <c r="AH239" s="81" t="str">
        <f t="shared" si="80"/>
        <v>"%USERPROFILE%\Documents\GitHub\eaglep3\Utilities\RefineRTDCRunTimes.py" --tripid 79-06 --locoid 4033 --swversion DE.1.0.9.0 --startMP 204:233000 --initTime 2017-05-07T01:02:32 --startdatetime 2017-05-07T01:41:18 --delay 1 --endMP 204:189583 --enddatetime 2017-05-07T02:26:35 --enforcementcount 0 &gt;&gt;C:\Users\stu\Documents\GitHub\eaglep3-reporting\EC\2017-05-06-refined-times.txt</v>
      </c>
      <c r="AI239" s="99" t="str">
        <f t="shared" si="81"/>
        <v>echo {"issue":{"subject":"","project_id":79,"tracker_id":40,"status_id":1,"priority_id":2,"assigned_to_id":23,"start_date":"2017-05-07","description":"","custom_fields":[{"id":1,"name":"Subdivision","value":"Other"},{"id":4,"name":"Milepost","value":"18.9583"},{"id":17,"name":"Train ID","value":"79-06"},{"id":16,"name":"Locomotive ID","value":"4033"},{"id":130,"name":"Impact","value":""},{"id":150,"name":"Time of Event (Mountain Time)","value":"02:26:35"},{"id":151,"name":"Denver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82"/>
        <v>start /low /b %USERPROFILE%\Documents\GitHub\eaglep3\Utilities\DownloadLogsFromS3.py --loco 4033 --day 2017-05-07</v>
      </c>
      <c r="AN239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08:26:35"},{"id":29,"name":"Sharepoint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556</v>
      </c>
      <c r="B240" s="7">
        <v>4034</v>
      </c>
      <c r="C240" s="21" t="s">
        <v>210</v>
      </c>
      <c r="D240" s="21" t="s">
        <v>977</v>
      </c>
      <c r="E240" s="13">
        <v>42861.829768518517</v>
      </c>
      <c r="F240" s="13">
        <v>42861.910057870373</v>
      </c>
      <c r="G240" s="7">
        <v>4</v>
      </c>
      <c r="H240" s="21" t="s">
        <v>978</v>
      </c>
      <c r="I240" s="13">
        <v>42861.918483796297</v>
      </c>
      <c r="J240" s="7">
        <v>0</v>
      </c>
      <c r="K240" s="92" t="str">
        <f t="shared" si="66"/>
        <v>4033/4034</v>
      </c>
      <c r="L240" s="21" t="str">
        <f>VLOOKUP(A240,'Trips&amp;Operators'!$C$1:$G$99999,5,FALSE)</f>
        <v>DUNCAN SHEILA</v>
      </c>
      <c r="M240" s="6">
        <f t="shared" si="67"/>
        <v>8.4259259238024242E-3</v>
      </c>
      <c r="N240" s="7">
        <f t="shared" si="68"/>
        <v>12.133333330275491</v>
      </c>
      <c r="O240" s="7"/>
      <c r="P240" s="7"/>
      <c r="Q240" s="22"/>
      <c r="R240" s="190"/>
      <c r="S240" s="196">
        <f t="shared" si="69"/>
        <v>0</v>
      </c>
      <c r="T240" s="190" t="e">
        <f t="shared" si="70"/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 t="shared" si="71"/>
        <v>https://d0f6bd738d7f1b3e5a7ca70fe4ff75f0.us-east-1.aws.found.io/app/kibana#/discover/Steve-Slow-Train-Analysis-(2080s-and-2083s)?_g=(refreshInterval:(display:Off,pause:!f,section:0,value:0),time:(from:'2017-05-06T18:54:52-0600',mode:absolute,to:'2017-05-06T23:02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0" s="192" t="str">
        <f t="shared" si="72"/>
        <v>N</v>
      </c>
      <c r="X240" s="192" t="e">
        <f t="shared" si="84"/>
        <v>#VALUE!</v>
      </c>
      <c r="Y240" s="192">
        <f t="shared" si="73"/>
        <v>0.12230000000000001</v>
      </c>
      <c r="Z240" s="192">
        <f t="shared" si="74"/>
        <v>23.301300000000001</v>
      </c>
      <c r="AA240" s="192">
        <f t="shared" si="75"/>
        <v>23.179000000000002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76"/>
        <v>79-06</v>
      </c>
      <c r="AE240" s="80" t="str">
        <f t="shared" si="77"/>
        <v>aws s3 cp s3://rtdc.mdm.uploadarchive.raw/RTDC4034/ "%USERPROFILE%\AppData\Local\Temp\OnboardLogs"\RTDC4034\2017-05-06 --exclude "*" --recursive --include "*20170506*" &amp; "%USERPROFILE%\Documents\GitHub\mrs-test-scripts\Headless Mode &amp; Sideloading\WalkAndUnGZ.bat" "%USERPROFILE%\AppData\Local\Temp\OnboardLogs"\RTDC4034\2017-05-06 &amp; aws s3 cp s3://rtdc.mdm.uploadarchive.raw/RTDC4034/ "%USERPROFILE%\AppData\Local\Temp\OnboardLogs"\RTDC4034\2017-05-07 --exclude "*" --recursive --include "*20170507*" &amp; "%USERPROFILE%\Documents\GitHub\mrs-test-scripts\Headless Mode &amp; Sideloading\WalkAndUnGZ.bat" "%USERPROFILE%\AppData\Local\Temp\OnboardLogs"\RTDC4034\2017-05-07</v>
      </c>
      <c r="AF240" s="77" t="str">
        <f t="shared" si="78"/>
        <v>"C:\Program Files (x86)\AstroGrep\AstroGrep.exe" /e /r /s /spath="%USERPROFILE%\AppData\Local\Temp\OnboardLogs" /stypes="app*4034*20170507*" /stext=" 04:.+((SYSTEM_STATE.+slice.+state.+changed )|(ment ac)|(multiple cpu faults)|(system.+state.+changed )|(\[timeout)|(PRM\|1\|D)|(kpr)|(kdp)|(train st.+moving)|(\|lc)|(penalty))"</v>
      </c>
      <c r="AG240" s="1" t="str">
        <f t="shared" si="79"/>
        <v>Other</v>
      </c>
      <c r="AH240" s="81" t="str">
        <f t="shared" si="80"/>
        <v>"%USERPROFILE%\Documents\GitHub\eaglep3\Utilities\RefineRTDCRunTimes.py" --tripid 79-06 --locoid 4034 --swversion DE.1.0.9.0 --startMP 204:1223 --initTime 2017-05-06T19:54:52 --startdatetime 2017-05-06T21:50:29 --delay 4 --endMP 204:233013 --enddatetime 2017-05-06T22:02:37 --enforcementcount 0 &gt;&gt;C:\Users\stu\Documents\GitHub\eaglep3-reporting\EC\2017-05-06-refined-times.txt</v>
      </c>
      <c r="AI240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{"issue":{"subject":"","project_id":79,"tracker_id":40,"status_id":1,"priority_id":2,"assigned_to_id":23,"start_date":"2017-05-06","description":"","custom_fields":[{"id":1,"name":"Subdivision","value":"Other"},{"id":4,"name":"Milepost","value":"23.3013"},{"id":17,"name":"Train ID","value":"79-06"},{"id":16,"name":"Locomotive ID","value":"4034"},{"id":130,"name":"Impact","value":""},{"id":150,"name":"Time of Event (Mountain Time)","value":"22:02:37"},{"id":151,"name":"Denver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82"/>
        <v>start /low /b %USERPROFILE%\Documents\GitHub\eaglep3\Utilities\DownloadLogsFromS3.py --loco 4034 --day 2017-05-06</v>
      </c>
      <c r="AN240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04:02:37"},{"id":29,"name":"Sharepoint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556</v>
      </c>
      <c r="B241" s="7">
        <v>4034</v>
      </c>
      <c r="C241" s="21" t="s">
        <v>210</v>
      </c>
      <c r="D241" s="21" t="s">
        <v>979</v>
      </c>
      <c r="E241" s="13">
        <v>42861.998368055552</v>
      </c>
      <c r="F241" s="13">
        <v>42862.032824074071</v>
      </c>
      <c r="G241" s="7">
        <v>1</v>
      </c>
      <c r="H241" s="21" t="s">
        <v>420</v>
      </c>
      <c r="I241" s="13">
        <v>42862.041527777779</v>
      </c>
      <c r="J241" s="7">
        <v>0</v>
      </c>
      <c r="K241" s="92" t="str">
        <f t="shared" si="66"/>
        <v>4033/4034</v>
      </c>
      <c r="L241" s="21" t="str">
        <f>VLOOKUP(A241,'Trips&amp;Operators'!$C$1:$G$99999,5,FALSE)</f>
        <v>DUNCAN SHEILA</v>
      </c>
      <c r="M241" s="6">
        <f t="shared" si="67"/>
        <v>8.7037037083064206E-3</v>
      </c>
      <c r="N241" s="7">
        <f t="shared" si="68"/>
        <v>12.533333339961246</v>
      </c>
      <c r="O241" s="7"/>
      <c r="P241" s="7"/>
      <c r="Q241" s="22"/>
      <c r="R241" s="190"/>
      <c r="S241" s="196">
        <f t="shared" si="69"/>
        <v>0</v>
      </c>
      <c r="T241" s="190" t="e">
        <f t="shared" si="70"/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 t="shared" si="71"/>
        <v>https://d0f6bd738d7f1b3e5a7ca70fe4ff75f0.us-east-1.aws.found.io/app/kibana#/discover/Steve-Slow-Train-Analysis-(2080s-and-2083s)?_g=(refreshInterval:(display:Off,pause:!f,section:0,value:0),time:(from:'2017-05-06T22:57:39-0600',mode:absolute,to:'2017-05-07T01:59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1" s="192" t="str">
        <f t="shared" si="72"/>
        <v>N</v>
      </c>
      <c r="X241" s="192" t="e">
        <f t="shared" si="84"/>
        <v>#VALUE!</v>
      </c>
      <c r="Y241" s="192">
        <f t="shared" si="73"/>
        <v>15.4282</v>
      </c>
      <c r="Z241" s="192">
        <f t="shared" si="74"/>
        <v>23.330200000000001</v>
      </c>
      <c r="AA241" s="192">
        <f t="shared" si="75"/>
        <v>7.902000000000001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76"/>
        <v>79-06</v>
      </c>
      <c r="AE241" s="80" t="str">
        <f t="shared" si="77"/>
        <v>aws s3 cp s3://rtdc.mdm.uploadarchive.raw/RTDC4034/ "%USERPROFILE%\AppData\Local\Temp\OnboardLogs"\RTDC4034\2017-05-07 --exclude "*" --recursive --include "*20170507*" &amp; "%USERPROFILE%\Documents\GitHub\mrs-test-scripts\Headless Mode &amp; Sideloading\WalkAndUnGZ.bat" "%USERPROFILE%\AppData\Local\Temp\OnboardLogs"\RTDC4034\2017-05-07 &amp; aws s3 cp s3://rtdc.mdm.uploadarchive.raw/RTDC4034/ "%USERPROFILE%\AppData\Local\Temp\OnboardLogs"\RTDC4034\2017-05-08 --exclude "*" --recursive --include "*20170508*" &amp; "%USERPROFILE%\Documents\GitHub\mrs-test-scripts\Headless Mode &amp; Sideloading\WalkAndUnGZ.bat" "%USERPROFILE%\AppData\Local\Temp\OnboardLogs"\RTDC4034\2017-05-08</v>
      </c>
      <c r="AF241" s="77" t="str">
        <f t="shared" si="78"/>
        <v>"C:\Program Files (x86)\AstroGrep\AstroGrep.exe" /e /r /s /spath="%USERPROFILE%\AppData\Local\Temp\OnboardLogs" /stypes="app*4034*20170507*" /stext=" 06:.+((SYSTEM_STATE.+slice.+state.+changed )|(ment ac)|(multiple cpu faults)|(system.+state.+changed )|(\[timeout)|(PRM\|1\|D)|(kpr)|(kdp)|(train st.+moving)|(\|lc)|(penalty))"</v>
      </c>
      <c r="AG241" s="1" t="str">
        <f t="shared" si="79"/>
        <v>Other</v>
      </c>
      <c r="AH241" s="81" t="str">
        <f t="shared" si="80"/>
        <v>"%USERPROFILE%\Documents\GitHub\eaglep3\Utilities\RefineRTDCRunTimes.py" --tripid 79-06 --locoid 4034 --swversion DE.1.0.9.0 --startMP 204:154282 --initTime 2017-05-06T23:57:39 --startdatetime 2017-05-07T00:47:16 --delay 1 --endMP 204:233302 --enddatetime 2017-05-07T00:59:48 --enforcementcount 0 &gt;&gt;C:\Users\stu\Documents\GitHub\eaglep3-reporting\EC\2017-05-06-refined-times.txt</v>
      </c>
      <c r="AI241" s="99" t="str">
        <f t="shared" si="81"/>
        <v>echo {"issue":{"subject":"","project_id":79,"tracker_id":40,"status_id":1,"priority_id":2,"assigned_to_id":23,"start_date":"2017-05-07","description":"","custom_fields":[{"id":1,"name":"Subdivision","value":"Other"},{"id":4,"name":"Milepost","value":"23.3302"},{"id":17,"name":"Train ID","value":"79-06"},{"id":16,"name":"Locomotive ID","value":"4034"},{"id":130,"name":"Impact","value":""},{"id":150,"name":"Time of Event (Mountain Time)","value":"00:59:48"},{"id":151,"name":"Denver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82"/>
        <v>start /low /b %USERPROFILE%\Documents\GitHub\eaglep3\Utilities\DownloadLogsFromS3.py --loco 4034 --day 2017-05-07</v>
      </c>
      <c r="AN241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06:59:48"},{"id":29,"name":"Sharepoint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556</v>
      </c>
      <c r="B242" s="7">
        <v>4034</v>
      </c>
      <c r="C242" s="21" t="s">
        <v>210</v>
      </c>
      <c r="D242" s="21" t="s">
        <v>980</v>
      </c>
      <c r="E242" s="13">
        <v>42861.908634259256</v>
      </c>
      <c r="F242" s="13">
        <v>42861.939212962963</v>
      </c>
      <c r="G242" s="7">
        <v>1</v>
      </c>
      <c r="H242" s="21" t="s">
        <v>981</v>
      </c>
      <c r="I242" s="13">
        <v>42861.947488425925</v>
      </c>
      <c r="J242" s="7">
        <v>0</v>
      </c>
      <c r="K242" s="92" t="str">
        <f t="shared" si="66"/>
        <v>4033/4034</v>
      </c>
      <c r="L242" s="21" t="str">
        <f>VLOOKUP(A242,'Trips&amp;Operators'!$C$1:$G$99999,5,FALSE)</f>
        <v>DUNCAN SHEILA</v>
      </c>
      <c r="M242" s="6">
        <f t="shared" si="67"/>
        <v>8.2754629620467313E-3</v>
      </c>
      <c r="N242" s="7">
        <f t="shared" si="68"/>
        <v>11.916666665347293</v>
      </c>
      <c r="O242" s="7"/>
      <c r="P242" s="7"/>
      <c r="Q242" s="22"/>
      <c r="R242" s="190"/>
      <c r="S242" s="196">
        <f t="shared" si="69"/>
        <v>0</v>
      </c>
      <c r="T242" s="190" t="e">
        <f t="shared" si="70"/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 t="shared" si="71"/>
        <v>https://d0f6bd738d7f1b3e5a7ca70fe4ff75f0.us-east-1.aws.found.io/app/kibana#/discover/Steve-Slow-Train-Analysis-(2080s-and-2083s)?_g=(refreshInterval:(display:Off,pause:!f,section:0,value:0),time:(from:'2017-05-06T20:48:26-0600',mode:absolute,to:'2017-05-06T23:44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2" s="192" t="str">
        <f t="shared" si="72"/>
        <v>Y</v>
      </c>
      <c r="X242" s="192" t="e">
        <f t="shared" si="84"/>
        <v>#VALUE!</v>
      </c>
      <c r="Y242" s="192">
        <f t="shared" si="73"/>
        <v>18.954599999999999</v>
      </c>
      <c r="Z242" s="192">
        <f t="shared" si="74"/>
        <v>23.331700000000001</v>
      </c>
      <c r="AA242" s="192">
        <f t="shared" si="75"/>
        <v>4.3771000000000022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76"/>
        <v>79-06</v>
      </c>
      <c r="AE242" s="80" t="str">
        <f t="shared" si="77"/>
        <v>aws s3 cp s3://rtdc.mdm.uploadarchive.raw/RTDC4034/ "%USERPROFILE%\AppData\Local\Temp\OnboardLogs"\RTDC4034\2017-05-06 --exclude "*" --recursive --include "*20170506*" &amp; "%USERPROFILE%\Documents\GitHub\mrs-test-scripts\Headless Mode &amp; Sideloading\WalkAndUnGZ.bat" "%USERPROFILE%\AppData\Local\Temp\OnboardLogs"\RTDC4034\2017-05-06 &amp; aws s3 cp s3://rtdc.mdm.uploadarchive.raw/RTDC4034/ "%USERPROFILE%\AppData\Local\Temp\OnboardLogs"\RTDC4034\2017-05-07 --exclude "*" --recursive --include "*20170507*" &amp; "%USERPROFILE%\Documents\GitHub\mrs-test-scripts\Headless Mode &amp; Sideloading\WalkAndUnGZ.bat" "%USERPROFILE%\AppData\Local\Temp\OnboardLogs"\RTDC4034\2017-05-07</v>
      </c>
      <c r="AF242" s="77" t="str">
        <f t="shared" si="78"/>
        <v>"C:\Program Files (x86)\AstroGrep\AstroGrep.exe" /e /r /s /spath="%USERPROFILE%\AppData\Local\Temp\OnboardLogs" /stypes="app*4034*20170507*" /stext=" 04:.+((SYSTEM_STATE.+slice.+state.+changed )|(ment ac)|(multiple cpu faults)|(system.+state.+changed )|(\[timeout)|(PRM\|1\|D)|(kpr)|(kdp)|(train st.+moving)|(\|lc)|(penalty))"</v>
      </c>
      <c r="AG242" s="1" t="str">
        <f t="shared" si="79"/>
        <v>Other</v>
      </c>
      <c r="AH242" s="81" t="str">
        <f t="shared" si="80"/>
        <v>"%USERPROFILE%\Documents\GitHub\eaglep3\Utilities\RefineRTDCRunTimes.py" --tripid 79-06 --locoid 4034 --swversion DE.1.0.9.0 --startMP 204:189546 --initTime 2017-05-06T21:48:26 --startdatetime 2017-05-06T22:32:28 --delay 1 --endMP 204:233317 --enddatetime 2017-05-06T22:44:23 --enforcementcount 0 &gt;&gt;C:\Users\stu\Documents\GitHub\eaglep3-reporting\EC\2017-05-06-refined-times.txt</v>
      </c>
      <c r="AI242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{"issue":{"subject":"","project_id":79,"tracker_id":40,"status_id":1,"priority_id":2,"assigned_to_id":23,"start_date":"2017-05-06","description":"","custom_fields":[{"id":1,"name":"Subdivision","value":"Other"},{"id":4,"name":"Milepost","value":"23.3317"},{"id":17,"name":"Train ID","value":"79-06"},{"id":16,"name":"Locomotive ID","value":"4034"},{"id":130,"name":"Impact","value":""},{"id":150,"name":"Time of Event (Mountain Time)","value":"22:44:23"},{"id":151,"name":"Denver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82"/>
        <v>start /low /b %USERPROFILE%\Documents\GitHub\eaglep3\Utilities\DownloadLogsFromS3.py --loco 4034 --day 2017-05-06</v>
      </c>
      <c r="AN242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04:44:23"},{"id":29,"name":"Sharepoint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556</v>
      </c>
      <c r="B243" s="7">
        <v>4034</v>
      </c>
      <c r="C243" s="21" t="s">
        <v>210</v>
      </c>
      <c r="D243" s="21" t="s">
        <v>982</v>
      </c>
      <c r="E243" s="13">
        <v>42861.948495370372</v>
      </c>
      <c r="F243" s="13">
        <v>42861.974942129629</v>
      </c>
      <c r="G243" s="7">
        <v>1</v>
      </c>
      <c r="H243" s="21" t="s">
        <v>983</v>
      </c>
      <c r="I243" s="13">
        <v>42861.984513888892</v>
      </c>
      <c r="J243" s="7">
        <v>0</v>
      </c>
      <c r="K243" s="92" t="str">
        <f t="shared" si="66"/>
        <v>4033/4034</v>
      </c>
      <c r="L243" s="21" t="str">
        <f>VLOOKUP(A243,'Trips&amp;Operators'!$C$1:$G$99999,5,FALSE)</f>
        <v>DUNCAN SHEILA</v>
      </c>
      <c r="M243" s="6">
        <f t="shared" si="67"/>
        <v>9.5717592630535364E-3</v>
      </c>
      <c r="N243" s="7">
        <f t="shared" si="68"/>
        <v>13.783333338797092</v>
      </c>
      <c r="O243" s="7"/>
      <c r="P243" s="7"/>
      <c r="Q243" s="22"/>
      <c r="R243" s="190"/>
      <c r="S243" s="196">
        <f t="shared" si="69"/>
        <v>0</v>
      </c>
      <c r="T243" s="190" t="e">
        <f t="shared" si="70"/>
        <v>#VALUE!</v>
      </c>
      <c r="U243" s="19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1" t="str">
        <f t="shared" si="71"/>
        <v>https://d0f6bd738d7f1b3e5a7ca70fe4ff75f0.us-east-1.aws.found.io/app/kibana#/discover/Steve-Slow-Train-Analysis-(2080s-and-2083s)?_g=(refreshInterval:(display:Off,pause:!f,section:0,value:0),time:(from:'2017-05-06T21:45:50-0600',mode:absolute,to:'2017-05-07T00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3" s="192" t="str">
        <f t="shared" si="72"/>
        <v>Y</v>
      </c>
      <c r="X243" s="192" t="e">
        <f t="shared" si="84"/>
        <v>#VALUE!</v>
      </c>
      <c r="Y243" s="192">
        <f t="shared" si="73"/>
        <v>18.982700000000001</v>
      </c>
      <c r="Z243" s="192">
        <f t="shared" si="74"/>
        <v>23.314900000000002</v>
      </c>
      <c r="AA243" s="192">
        <f t="shared" si="75"/>
        <v>4.3322000000000003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76"/>
        <v>79-06</v>
      </c>
      <c r="AE243" s="80" t="str">
        <f t="shared" si="77"/>
        <v>aws s3 cp s3://rtdc.mdm.uploadarchive.raw/RTDC4034/ "%USERPROFILE%\AppData\Local\Temp\OnboardLogs"\RTDC4034\2017-05-06 --exclude "*" --recursive --include "*20170506*" &amp; "%USERPROFILE%\Documents\GitHub\mrs-test-scripts\Headless Mode &amp; Sideloading\WalkAndUnGZ.bat" "%USERPROFILE%\AppData\Local\Temp\OnboardLogs"\RTDC4034\2017-05-06 &amp; aws s3 cp s3://rtdc.mdm.uploadarchive.raw/RTDC4034/ "%USERPROFILE%\AppData\Local\Temp\OnboardLogs"\RTDC4034\2017-05-07 --exclude "*" --recursive --include "*20170507*" &amp; "%USERPROFILE%\Documents\GitHub\mrs-test-scripts\Headless Mode &amp; Sideloading\WalkAndUnGZ.bat" "%USERPROFILE%\AppData\Local\Temp\OnboardLogs"\RTDC4034\2017-05-07</v>
      </c>
      <c r="AF243" s="77" t="str">
        <f t="shared" si="78"/>
        <v>"C:\Program Files (x86)\AstroGrep\AstroGrep.exe" /e /r /s /spath="%USERPROFILE%\AppData\Local\Temp\OnboardLogs" /stypes="app*4034*20170507*" /stext=" 05:.+((SYSTEM_STATE.+slice.+state.+changed )|(ment ac)|(multiple cpu faults)|(system.+state.+changed )|(\[timeout)|(PRM\|1\|D)|(kpr)|(kdp)|(train st.+moving)|(\|lc)|(penalty))"</v>
      </c>
      <c r="AG243" s="1" t="str">
        <f t="shared" si="79"/>
        <v>Other</v>
      </c>
      <c r="AH243" s="81" t="str">
        <f t="shared" si="80"/>
        <v>"%USERPROFILE%\Documents\GitHub\eaglep3\Utilities\RefineRTDCRunTimes.py" --tripid 79-06 --locoid 4034 --swversion DE.1.0.9.0 --startMP 204:189827 --initTime 2017-05-06T22:45:50 --startdatetime 2017-05-06T23:23:55 --delay 1 --endMP 204:233149 --enddatetime 2017-05-06T23:37:42 --enforcementcount 0 &gt;&gt;C:\Users\stu\Documents\GitHub\eaglep3-reporting\EC\2017-05-06-refined-times.txt</v>
      </c>
      <c r="AI243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{"issue":{"subject":"","project_id":79,"tracker_id":40,"status_id":1,"priority_id":2,"assigned_to_id":23,"start_date":"2017-05-06","description":"","custom_fields":[{"id":1,"name":"Subdivision","value":"Other"},{"id":4,"name":"Milepost","value":"23.3149"},{"id":17,"name":"Train ID","value":"79-06"},{"id":16,"name":"Locomotive ID","value":"4034"},{"id":130,"name":"Impact","value":""},{"id":150,"name":"Time of Event (Mountain Time)","value":"23:37:42"},{"id":151,"name":"Denver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82"/>
        <v>start /low /b %USERPROFILE%\Documents\GitHub\eaglep3\Utilities\DownloadLogsFromS3.py --loco 4034 --day 2017-05-06</v>
      </c>
      <c r="AN243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05:37:42"},{"id":29,"name":"Sharepoint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556</v>
      </c>
      <c r="B244" s="7">
        <v>4034</v>
      </c>
      <c r="C244" s="21" t="s">
        <v>210</v>
      </c>
      <c r="D244" s="21" t="s">
        <v>984</v>
      </c>
      <c r="E244" s="13">
        <v>42861.972986111112</v>
      </c>
      <c r="F244" s="13">
        <v>42861.999710648146</v>
      </c>
      <c r="G244" s="7">
        <v>1</v>
      </c>
      <c r="H244" s="21" t="s">
        <v>985</v>
      </c>
      <c r="I244" s="13">
        <v>42862.016145833331</v>
      </c>
      <c r="J244" s="7">
        <v>0</v>
      </c>
      <c r="K244" s="92" t="str">
        <f t="shared" si="66"/>
        <v>4033/4034</v>
      </c>
      <c r="L244" s="21" t="str">
        <f>VLOOKUP(A244,'Trips&amp;Operators'!$C$1:$G$99999,5,FALSE)</f>
        <v>DUNCAN SHEILA</v>
      </c>
      <c r="M244" s="6">
        <f t="shared" si="67"/>
        <v>1.6435185185400769E-2</v>
      </c>
      <c r="N244" s="7">
        <f t="shared" si="68"/>
        <v>23.666666666977108</v>
      </c>
      <c r="O244" s="7"/>
      <c r="P244" s="7"/>
      <c r="Q244" s="22"/>
      <c r="R244" s="190"/>
      <c r="S244" s="196">
        <f t="shared" si="69"/>
        <v>0</v>
      </c>
      <c r="T244" s="190" t="e">
        <f t="shared" si="70"/>
        <v>#VALUE!</v>
      </c>
      <c r="U244" s="19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1" t="str">
        <f t="shared" si="71"/>
        <v>https://d0f6bd738d7f1b3e5a7ca70fe4ff75f0.us-east-1.aws.found.io/app/kibana#/discover/Steve-Slow-Train-Analysis-(2080s-and-2083s)?_g=(refreshInterval:(display:Off,pause:!f,section:0,value:0),time:(from:'2017-05-06T22:21:06-0600',mode:absolute,to:'2017-05-07T01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4" s="192" t="str">
        <f t="shared" si="72"/>
        <v>Y</v>
      </c>
      <c r="X244" s="192" t="e">
        <f t="shared" si="84"/>
        <v>#VALUE!</v>
      </c>
      <c r="Y244" s="192">
        <f t="shared" si="73"/>
        <v>18.987400000000001</v>
      </c>
      <c r="Z244" s="192">
        <f t="shared" si="74"/>
        <v>23.317</v>
      </c>
      <c r="AA244" s="192">
        <f t="shared" si="75"/>
        <v>4.3295999999999992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76"/>
        <v>79-06</v>
      </c>
      <c r="AE244" s="80" t="str">
        <f t="shared" si="77"/>
        <v>aws s3 cp s3://rtdc.mdm.uploadarchive.raw/RTDC4034/ "%USERPROFILE%\AppData\Local\Temp\OnboardLogs"\RTDC4034\2017-05-06 --exclude "*" --recursive --include "*20170506*" &amp; "%USERPROFILE%\Documents\GitHub\mrs-test-scripts\Headless Mode &amp; Sideloading\WalkAndUnGZ.bat" "%USERPROFILE%\AppData\Local\Temp\OnboardLogs"\RTDC4034\2017-05-06 &amp; aws s3 cp s3://rtdc.mdm.uploadarchive.raw/RTDC4034/ "%USERPROFILE%\AppData\Local\Temp\OnboardLogs"\RTDC4034\2017-05-07 --exclude "*" --recursive --include "*20170507*" &amp; "%USERPROFILE%\Documents\GitHub\mrs-test-scripts\Headless Mode &amp; Sideloading\WalkAndUnGZ.bat" "%USERPROFILE%\AppData\Local\Temp\OnboardLogs"\RTDC4034\2017-05-07</v>
      </c>
      <c r="AF244" s="77" t="str">
        <f t="shared" si="78"/>
        <v>"C:\Program Files (x86)\AstroGrep\AstroGrep.exe" /e /r /s /spath="%USERPROFILE%\AppData\Local\Temp\OnboardLogs" /stypes="app*4034*20170507*" /stext=" 06:.+((SYSTEM_STATE.+slice.+state.+changed )|(ment ac)|(multiple cpu faults)|(system.+state.+changed )|(\[timeout)|(PRM\|1\|D)|(kpr)|(kdp)|(train st.+moving)|(\|lc)|(penalty))"</v>
      </c>
      <c r="AG244" s="1" t="str">
        <f t="shared" si="79"/>
        <v>Other</v>
      </c>
      <c r="AH244" s="81" t="str">
        <f t="shared" si="80"/>
        <v>"%USERPROFILE%\Documents\GitHub\eaglep3\Utilities\RefineRTDCRunTimes.py" --tripid 79-06 --locoid 4034 --swversion DE.1.0.9.0 --startMP 204:189874 --initTime 2017-05-06T23:21:06 --startdatetime 2017-05-06T23:59:35 --delay 1 --endMP 204:233170 --enddatetime 2017-05-07T00:23:15 --enforcementcount 0 &gt;&gt;C:\Users\stu\Documents\GitHub\eaglep3-reporting\EC\2017-05-06-refined-times.txt</v>
      </c>
      <c r="AI244" s="99" t="str">
        <f t="shared" si="81"/>
        <v>echo {"issue":{"subject":"","project_id":79,"tracker_id":40,"status_id":1,"priority_id":2,"assigned_to_id":23,"start_date":"2017-05-07","description":"","custom_fields":[{"id":1,"name":"Subdivision","value":"Other"},{"id":4,"name":"Milepost","value":"23.317"},{"id":17,"name":"Train ID","value":"79-06"},{"id":16,"name":"Locomotive ID","value":"4034"},{"id":130,"name":"Impact","value":""},{"id":150,"name":"Time of Event (Mountain Time)","value":"00:23:15"},{"id":151,"name":"Denver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82"/>
        <v>start /low /b %USERPROFILE%\Documents\GitHub\eaglep3\Utilities\DownloadLogsFromS3.py --loco 4034 --day 2017-05-06</v>
      </c>
      <c r="AN244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06:23:15"},{"id":29,"name":"Sharepoint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556</v>
      </c>
      <c r="B245" s="7">
        <v>4034</v>
      </c>
      <c r="C245" s="21" t="s">
        <v>210</v>
      </c>
      <c r="D245" s="21" t="s">
        <v>986</v>
      </c>
      <c r="E245" s="13">
        <v>42862.052916666667</v>
      </c>
      <c r="F245" s="13">
        <v>42862.070347222223</v>
      </c>
      <c r="G245" s="7">
        <v>1</v>
      </c>
      <c r="H245" s="21" t="s">
        <v>401</v>
      </c>
      <c r="I245" s="13">
        <v>42862.101793981485</v>
      </c>
      <c r="J245" s="7">
        <v>0</v>
      </c>
      <c r="K245" s="92" t="str">
        <f t="shared" si="66"/>
        <v>4033/4034</v>
      </c>
      <c r="L245" s="21" t="str">
        <f>VLOOKUP(A245,'Trips&amp;Operators'!$C$1:$G$99999,5,FALSE)</f>
        <v>DUNCAN SHEILA</v>
      </c>
      <c r="M245" s="6">
        <f t="shared" si="67"/>
        <v>3.1446759261598345E-2</v>
      </c>
      <c r="N245" s="7">
        <f t="shared" si="68"/>
        <v>45.283333336701617</v>
      </c>
      <c r="O245" s="7"/>
      <c r="P245" s="7"/>
      <c r="Q245" s="22"/>
      <c r="R245" s="190"/>
      <c r="S245" s="196">
        <f t="shared" si="69"/>
        <v>0</v>
      </c>
      <c r="T245" s="190" t="e">
        <f t="shared" si="70"/>
        <v>#VALUE!</v>
      </c>
      <c r="U245" s="19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1" t="str">
        <f t="shared" si="71"/>
        <v>https://d0f6bd738d7f1b3e5a7ca70fe4ff75f0.us-east-1.aws.found.io/app/kibana#/discover/Steve-Slow-Train-Analysis-(2080s-and-2083s)?_g=(refreshInterval:(display:Off,pause:!f,section:0,value:0),time:(from:'2017-05-07T00:16:12-0600',mode:absolute,to:'2017-05-07T03:26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5" s="192" t="str">
        <f t="shared" si="72"/>
        <v>Y</v>
      </c>
      <c r="X245" s="192" t="e">
        <f t="shared" si="84"/>
        <v>#VALUE!</v>
      </c>
      <c r="Y245" s="192">
        <f t="shared" si="73"/>
        <v>18.989999999999998</v>
      </c>
      <c r="Z245" s="192">
        <f t="shared" si="74"/>
        <v>23.3293</v>
      </c>
      <c r="AA245" s="192">
        <f t="shared" si="75"/>
        <v>4.3393000000000015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76"/>
        <v>79-06</v>
      </c>
      <c r="AE245" s="80" t="str">
        <f t="shared" si="77"/>
        <v>aws s3 cp s3://rtdc.mdm.uploadarchive.raw/RTDC4034/ "%USERPROFILE%\AppData\Local\Temp\OnboardLogs"\RTDC4034\2017-05-07 --exclude "*" --recursive --include "*20170507*" &amp; "%USERPROFILE%\Documents\GitHub\mrs-test-scripts\Headless Mode &amp; Sideloading\WalkAndUnGZ.bat" "%USERPROFILE%\AppData\Local\Temp\OnboardLogs"\RTDC4034\2017-05-07 &amp; aws s3 cp s3://rtdc.mdm.uploadarchive.raw/RTDC4034/ "%USERPROFILE%\AppData\Local\Temp\OnboardLogs"\RTDC4034\2017-05-08 --exclude "*" --recursive --include "*20170508*" &amp; "%USERPROFILE%\Documents\GitHub\mrs-test-scripts\Headless Mode &amp; Sideloading\WalkAndUnGZ.bat" "%USERPROFILE%\AppData\Local\Temp\OnboardLogs"\RTDC4034\2017-05-08</v>
      </c>
      <c r="AF245" s="77" t="str">
        <f t="shared" si="78"/>
        <v>"C:\Program Files (x86)\AstroGrep\AstroGrep.exe" /e /r /s /spath="%USERPROFILE%\AppData\Local\Temp\OnboardLogs" /stypes="app*4034*20170507*" /stext=" 08:.+((SYSTEM_STATE.+slice.+state.+changed )|(ment ac)|(multiple cpu faults)|(system.+state.+changed )|(\[timeout)|(PRM\|1\|D)|(kpr)|(kdp)|(train st.+moving)|(\|lc)|(penalty))"</v>
      </c>
      <c r="AG245" s="1" t="str">
        <f t="shared" si="79"/>
        <v>Other</v>
      </c>
      <c r="AH245" s="81" t="str">
        <f t="shared" si="80"/>
        <v>"%USERPROFILE%\Documents\GitHub\eaglep3\Utilities\RefineRTDCRunTimes.py" --tripid 79-06 --locoid 4034 --swversion DE.1.0.9.0 --startMP 204:189900 --initTime 2017-05-07T01:16:12 --startdatetime 2017-05-07T01:41:18 --delay 1 --endMP 204:233293 --enddatetime 2017-05-07T02:26:35 --enforcementcount 0 &gt;&gt;C:\Users\stu\Documents\GitHub\eaglep3-reporting\EC\2017-05-06-refined-times.txt</v>
      </c>
      <c r="AI245" s="99" t="str">
        <f t="shared" si="81"/>
        <v>echo {"issue":{"subject":"","project_id":79,"tracker_id":40,"status_id":1,"priority_id":2,"assigned_to_id":23,"start_date":"2017-05-07","description":"","custom_fields":[{"id":1,"name":"Subdivision","value":"Other"},{"id":4,"name":"Milepost","value":"23.3293"},{"id":17,"name":"Train ID","value":"79-06"},{"id":16,"name":"Locomotive ID","value":"4034"},{"id":130,"name":"Impact","value":""},{"id":150,"name":"Time of Event (Mountain Time)","value":"02:26:35"},{"id":151,"name":"Denver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82"/>
        <v>start /low /b %USERPROFILE%\Documents\GitHub\eaglep3\Utilities\DownloadLogsFromS3.py --loco 4034 --day 2017-05-07</v>
      </c>
      <c r="AN245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08:26:35"},{"id":29,"name":"Sharepoint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556</v>
      </c>
      <c r="B246" s="7">
        <v>4034</v>
      </c>
      <c r="C246" s="21" t="s">
        <v>210</v>
      </c>
      <c r="D246" s="21" t="s">
        <v>987</v>
      </c>
      <c r="E246" s="13">
        <v>42862.031701388885</v>
      </c>
      <c r="F246" s="13">
        <v>42862.054016203707</v>
      </c>
      <c r="G246" s="7">
        <v>1</v>
      </c>
      <c r="H246" s="21" t="s">
        <v>453</v>
      </c>
      <c r="I246" s="13">
        <v>42862.063344907408</v>
      </c>
      <c r="J246" s="7">
        <v>0</v>
      </c>
      <c r="K246" s="92" t="str">
        <f t="shared" si="66"/>
        <v>4033/4034</v>
      </c>
      <c r="L246" s="21" t="str">
        <f>VLOOKUP(A246,'Trips&amp;Operators'!$C$1:$G$99999,5,FALSE)</f>
        <v>DUNCAN SHEILA</v>
      </c>
      <c r="M246" s="6">
        <f t="shared" si="67"/>
        <v>9.3287037016125396E-3</v>
      </c>
      <c r="N246" s="7">
        <f t="shared" si="68"/>
        <v>13.433333330322057</v>
      </c>
      <c r="O246" s="7"/>
      <c r="P246" s="7"/>
      <c r="Q246" s="22"/>
      <c r="R246" s="190"/>
      <c r="S246" s="196">
        <f t="shared" si="69"/>
        <v>0</v>
      </c>
      <c r="T246" s="190" t="e">
        <f t="shared" si="70"/>
        <v>#VALUE!</v>
      </c>
      <c r="U246" s="190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1" t="str">
        <f t="shared" si="71"/>
        <v>https://d0f6bd738d7f1b3e5a7ca70fe4ff75f0.us-east-1.aws.found.io/app/kibana#/discover/Steve-Slow-Train-Analysis-(2080s-and-2083s)?_g=(refreshInterval:(display:Off,pause:!f,section:0,value:0),time:(from:'2017-05-06T23:45:39-0600',mode:absolute,to:'2017-05-07T02:31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6" s="192" t="str">
        <f t="shared" si="72"/>
        <v>Y</v>
      </c>
      <c r="X246" s="192" t="e">
        <f t="shared" si="84"/>
        <v>#VALUE!</v>
      </c>
      <c r="Y246" s="192">
        <f t="shared" si="73"/>
        <v>18.9939</v>
      </c>
      <c r="Z246" s="192">
        <f t="shared" si="74"/>
        <v>23.3306</v>
      </c>
      <c r="AA246" s="192">
        <f t="shared" si="75"/>
        <v>4.3367000000000004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76"/>
        <v>79-06</v>
      </c>
      <c r="AE246" s="80" t="str">
        <f t="shared" si="77"/>
        <v>aws s3 cp s3://rtdc.mdm.uploadarchive.raw/RTDC4034/ "%USERPROFILE%\AppData\Local\Temp\OnboardLogs"\RTDC4034\2017-05-07 --exclude "*" --recursive --include "*20170507*" &amp; "%USERPROFILE%\Documents\GitHub\mrs-test-scripts\Headless Mode &amp; Sideloading\WalkAndUnGZ.bat" "%USERPROFILE%\AppData\Local\Temp\OnboardLogs"\RTDC4034\2017-05-07 &amp; aws s3 cp s3://rtdc.mdm.uploadarchive.raw/RTDC4034/ "%USERPROFILE%\AppData\Local\Temp\OnboardLogs"\RTDC4034\2017-05-08 --exclude "*" --recursive --include "*20170508*" &amp; "%USERPROFILE%\Documents\GitHub\mrs-test-scripts\Headless Mode &amp; Sideloading\WalkAndUnGZ.bat" "%USERPROFILE%\AppData\Local\Temp\OnboardLogs"\RTDC4034\2017-05-08</v>
      </c>
      <c r="AF246" s="77" t="str">
        <f t="shared" si="78"/>
        <v>"C:\Program Files (x86)\AstroGrep\AstroGrep.exe" /e /r /s /spath="%USERPROFILE%\AppData\Local\Temp\OnboardLogs" /stypes="app*4034*20170507*" /stext=" 07:.+((SYSTEM_STATE.+slice.+state.+changed )|(ment ac)|(multiple cpu faults)|(system.+state.+changed )|(\[timeout)|(PRM\|1\|D)|(kpr)|(kdp)|(train st.+moving)|(\|lc)|(penalty))"</v>
      </c>
      <c r="AG246" s="1" t="str">
        <f t="shared" si="79"/>
        <v>Other</v>
      </c>
      <c r="AH246" s="81" t="str">
        <f t="shared" si="80"/>
        <v>"%USERPROFILE%\Documents\GitHub\eaglep3\Utilities\RefineRTDCRunTimes.py" --tripid 79-06 --locoid 4034 --swversion DE.1.0.9.0 --startMP 204:189939 --initTime 2017-05-07T00:45:39 --startdatetime 2017-05-07T01:17:47 --delay 1 --endMP 204:233306 --enddatetime 2017-05-07T01:31:13 --enforcementcount 0 &gt;&gt;C:\Users\stu\Documents\GitHub\eaglep3-reporting\EC\2017-05-06-refined-times.txt</v>
      </c>
      <c r="AI246" s="99" t="str">
        <f t="shared" si="81"/>
        <v>echo {"issue":{"subject":"","project_id":79,"tracker_id":40,"status_id":1,"priority_id":2,"assigned_to_id":23,"start_date":"2017-05-07","description":"","custom_fields":[{"id":1,"name":"Subdivision","value":"Other"},{"id":4,"name":"Milepost","value":"23.3306"},{"id":17,"name":"Train ID","value":"79-06"},{"id":16,"name":"Locomotive ID","value":"4034"},{"id":130,"name":"Impact","value":""},{"id":150,"name":"Time of Event (Mountain Time)","value":"01:31:13"},{"id":151,"name":"Denver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82"/>
        <v>start /low /b %USERPROFILE%\Documents\GitHub\eaglep3\Utilities\DownloadLogsFromS3.py --loco 4034 --day 2017-05-07</v>
      </c>
      <c r="AN246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07:31:13"},{"id":29,"name":"Sharepoint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556</v>
      </c>
      <c r="B247" s="7">
        <v>4034</v>
      </c>
      <c r="C247" s="21" t="s">
        <v>210</v>
      </c>
      <c r="D247" s="21" t="s">
        <v>988</v>
      </c>
      <c r="E247" s="13">
        <v>42862.10324074074</v>
      </c>
      <c r="F247" s="13">
        <v>42862.104629629626</v>
      </c>
      <c r="G247" s="7">
        <v>1</v>
      </c>
      <c r="H247" s="21" t="s">
        <v>989</v>
      </c>
      <c r="I247" s="13">
        <v>25568.708333333332</v>
      </c>
      <c r="J247" s="7">
        <v>0</v>
      </c>
      <c r="K247" s="92" t="str">
        <f t="shared" si="66"/>
        <v>4033/4034</v>
      </c>
      <c r="L247" s="21" t="str">
        <f>VLOOKUP(A247,'Trips&amp;Operators'!$C$1:$G$99999,5,FALSE)</f>
        <v>DUNCAN SHEILA</v>
      </c>
      <c r="M247" s="6">
        <f t="shared" si="67"/>
        <v>-17293.396296296294</v>
      </c>
      <c r="N247" s="7">
        <f t="shared" si="68"/>
        <v>-24902490.666666664</v>
      </c>
      <c r="O247" s="7"/>
      <c r="P247" s="7"/>
      <c r="Q247" s="22"/>
      <c r="R247" s="190"/>
      <c r="S247" s="196">
        <f t="shared" si="69"/>
        <v>0</v>
      </c>
      <c r="T247" s="190" t="e">
        <f t="shared" si="70"/>
        <v>#VALUE!</v>
      </c>
      <c r="U247" s="190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1" t="str">
        <f t="shared" si="71"/>
        <v>https://d0f6bd738d7f1b3e5a7ca70fe4ff75f0.us-east-1.aws.found.io/app/kibana#/discover/Steve-Slow-Train-Analysis-(2080s-and-2083s)?_g=(refreshInterval:(display:Off,pause:!f,section:0,value:0),time:(from:'2017-05-07T01:28:40-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7" s="192" t="str">
        <f t="shared" si="72"/>
        <v>Y</v>
      </c>
      <c r="X247" s="192" t="e">
        <f t="shared" si="84"/>
        <v>#VALUE!</v>
      </c>
      <c r="Y247" s="192">
        <f t="shared" si="73"/>
        <v>5.2400000000000002E-2</v>
      </c>
      <c r="Z247" s="192">
        <f t="shared" si="74"/>
        <v>2.3311999999999999</v>
      </c>
      <c r="AA247" s="192">
        <f t="shared" si="75"/>
        <v>2.2787999999999999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 t="shared" si="76"/>
        <v>79-06</v>
      </c>
      <c r="AE247" s="80" t="str">
        <f t="shared" si="77"/>
        <v>aws s3 cp s3://rtdc.mdm.uploadarchive.raw/RTDC4034/ "%USERPROFILE%\AppData\Local\Temp\OnboardLogs"\RTDC4034\2017-05-07 --exclude "*" --recursive --include "*20170507*" &amp; "%USERPROFILE%\Documents\GitHub\mrs-test-scripts\Headless Mode &amp; Sideloading\WalkAndUnGZ.bat" "%USERPROFILE%\AppData\Local\Temp\OnboardLogs"\RTDC4034\2017-05-07 &amp; aws s3 cp s3://rtdc.mdm.uploadarchive.raw/RTDC4034/ "%USERPROFILE%\AppData\Local\Temp\OnboardLogs"\RTDC4034\2017-05-08 --exclude "*" --recursive --include "*20170508*" &amp; "%USERPROFILE%\Documents\GitHub\mrs-test-scripts\Headless Mode &amp; Sideloading\WalkAndUnGZ.bat" "%USERPROFILE%\AppData\Local\Temp\OnboardLogs"\RTDC4034\2017-05-08</v>
      </c>
      <c r="AF247" s="77" t="str">
        <f t="shared" si="78"/>
        <v>"C:\Program Files (x86)\AstroGrep\AstroGrep.exe" /e /r /s /spath="%USERPROFILE%\AppData\Local\Temp\OnboardLogs" /stypes="app*4034*19691231*" /stext=" 23:.+((SYSTEM_STATE.+slice.+state.+changed )|(ment ac)|(multiple cpu faults)|(system.+state.+changed )|(\[timeout)|(PRM\|1\|D)|(kpr)|(kdp)|(train st.+moving)|(\|lc)|(penalty))"</v>
      </c>
      <c r="AG247" s="1" t="str">
        <f t="shared" si="79"/>
        <v>Other</v>
      </c>
      <c r="AH247" s="81" t="str">
        <f t="shared" si="80"/>
        <v>"%USERPROFILE%\Documents\GitHub\eaglep3\Utilities\RefineRTDCRunTimes.py" --tripid 79-06 --locoid 4034 --swversion DE.1.0.9.0 --startMP 204:524 --initTime 2017-05-07T02:28:40 --startdatetime 2017-05-07T02:30:40 --delay 1 --endMP 300:23312 --enddatetime 1969-12-31T17:00:00 --enforcementcount 0 &gt;&gt;C:\Users\stu\Documents\GitHub\eaglep3-reporting\EC\2017-05-06-refined-times.txt</v>
      </c>
      <c r="AI247" s="99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ID","value":"79-06"},{"id":16,"name":"Locomotive ID","value":"4034"},{"id":130,"name":"Impact","value":""},{"id":150,"name":"Time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82"/>
        <v>start /low /b %USERPROFILE%\Documents\GitHub\eaglep3\Utilities\DownloadLogsFromS3.py --loco 4034 --day 2017-05-07</v>
      </c>
      <c r="AN247" s="154" t="str">
        <f t="shared" si="83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2" t="s">
        <v>735</v>
      </c>
      <c r="B248" s="7">
        <v>4061</v>
      </c>
      <c r="C248" s="21" t="s">
        <v>210</v>
      </c>
      <c r="D248" s="21" t="s">
        <v>990</v>
      </c>
      <c r="E248" s="13">
        <v>42861.831435185188</v>
      </c>
      <c r="F248" s="13">
        <v>42861.838194444441</v>
      </c>
      <c r="G248" s="7">
        <v>9</v>
      </c>
      <c r="H248" s="21" t="s">
        <v>991</v>
      </c>
      <c r="I248" s="13">
        <v>42861.844664351855</v>
      </c>
      <c r="J248" s="7">
        <v>0</v>
      </c>
      <c r="K248" s="92" t="str">
        <f t="shared" si="66"/>
        <v>4061/4062</v>
      </c>
      <c r="L248" s="21" t="str">
        <f>VLOOKUP(A248,'Trips&amp;Operators'!$C$1:$G$99999,5,FALSE)</f>
        <v>FORTUNATO FRANK</v>
      </c>
      <c r="M248" s="6">
        <f t="shared" si="67"/>
        <v>6.4699074137024581E-3</v>
      </c>
      <c r="N248" s="7">
        <f t="shared" si="68"/>
        <v>9.3166666757315397</v>
      </c>
      <c r="O248" s="7"/>
      <c r="P248" s="7"/>
      <c r="Q248" s="22"/>
      <c r="R248" s="190"/>
      <c r="S248" s="196">
        <f t="shared" si="69"/>
        <v>0</v>
      </c>
      <c r="T248" s="190" t="e">
        <f t="shared" si="70"/>
        <v>#VALUE!</v>
      </c>
      <c r="U248" s="190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1" t="str">
        <f t="shared" si="71"/>
        <v>https://d0f6bd738d7f1b3e5a7ca70fe4ff75f0.us-east-1.aws.found.io/app/kibana#/discover/Steve-Slow-Train-Analysis-(2080s-and-2083s)?_g=(refreshInterval:(display:Off,pause:!f,section:0,value:0),time:(from:'2017-05-06T18:57:16-0600',mode:absolute,to:'2017-05-06T21:16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8" s="192" t="str">
        <f t="shared" si="72"/>
        <v>Y</v>
      </c>
      <c r="X248" s="192" t="e">
        <f t="shared" si="84"/>
        <v>#VALUE!</v>
      </c>
      <c r="Y248" s="192">
        <f t="shared" si="73"/>
        <v>2.3603000000000001</v>
      </c>
      <c r="Z248" s="192">
        <f t="shared" si="74"/>
        <v>0.01</v>
      </c>
      <c r="AA248" s="192">
        <f t="shared" si="75"/>
        <v>2.3503000000000003</v>
      </c>
      <c r="AB248" s="57" t="e">
        <f>VLOOKUP(A248,Enforcements!$C$7:$K$13,8,0)</f>
        <v>#N/A</v>
      </c>
      <c r="AC248" s="53" t="e">
        <f>VLOOKUP(A248,Enforcements!$C$7:$E$13,3,0)</f>
        <v>#N/A</v>
      </c>
      <c r="AD248" s="54" t="str">
        <f t="shared" si="76"/>
        <v>80-06</v>
      </c>
      <c r="AE248" s="80" t="str">
        <f t="shared" si="77"/>
        <v>aws s3 cp s3://rtdc.mdm.uploadarchive.raw/RTDC4061/ "%USERPROFILE%\AppData\Local\Temp\OnboardLogs"\RTDC4061\2017-05-06 --exclude "*" --recursive --include "*20170506*" &amp; "%USERPROFILE%\Documents\GitHub\mrs-test-scripts\Headless Mode &amp; Sideloading\WalkAndUnGZ.bat" "%USERPROFILE%\AppData\Local\Temp\OnboardLogs"\RTDC4061\2017-05-06 &amp; aws s3 cp s3://rtdc.mdm.uploadarchive.raw/RTDC4061/ "%USERPROFILE%\AppData\Local\Temp\OnboardLogs"\RTDC4061\2017-05-07 --exclude "*" --recursive --include "*20170507*" &amp; "%USERPROFILE%\Documents\GitHub\mrs-test-scripts\Headless Mode &amp; Sideloading\WalkAndUnGZ.bat" "%USERPROFILE%\AppData\Local\Temp\OnboardLogs"\RTDC4061\2017-05-07</v>
      </c>
      <c r="AF248" s="77" t="str">
        <f t="shared" si="78"/>
        <v>"C:\Program Files (x86)\AstroGrep\AstroGrep.exe" /e /r /s /spath="%USERPROFILE%\AppData\Local\Temp\OnboardLogs" /stypes="app*4061*20170507*" /stext=" 02:.+((SYSTEM_STATE.+slice.+state.+changed )|(ment ac)|(multiple cpu faults)|(system.+state.+changed )|(\[timeout)|(PRM\|1\|D)|(kpr)|(kdp)|(train st.+moving)|(\|lc)|(penalty))"</v>
      </c>
      <c r="AG248" s="1" t="str">
        <f t="shared" si="79"/>
        <v>Other</v>
      </c>
      <c r="AH248" s="81" t="str">
        <f t="shared" si="80"/>
        <v>"%USERPROFILE%\Documents\GitHub\eaglep3\Utilities\RefineRTDCRunTimes.py" --tripid 80-06 --locoid 4061 --swversion DE.1.0.9.0 --startMP 300:23603 --initTime 2017-05-06T19:57:16 --startdatetime 2017-05-06T20:07:00 --delay 9 --endMP 204:100 --enddatetime 2017-05-06T20:16:19 --enforcementcount 0 &gt;&gt;C:\Users\stu\Documents\GitHub\eaglep3-reporting\EC\2017-05-06-refined-times.txt</v>
      </c>
      <c r="AI248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{"issue":{"subject":"","project_id":79,"tracker_id":40,"status_id":1,"priority_id":2,"assigned_to_id":23,"start_date":"2017-05-06","description":"","custom_fields":[{"id":1,"name":"Subdivision","value":"Other"},{"id":4,"name":"Milepost","value":"0.01"},{"id":17,"name":"Train ID","value":"80-06"},{"id":16,"name":"Locomotive ID","value":"4061"},{"id":130,"name":"Impact","value":""},{"id":150,"name":"Time of Event (Mountain Time)","value":"20:16:19"},{"id":151,"name":"Denver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5" t="str">
        <f t="shared" si="82"/>
        <v>start /low /b %USERPROFILE%\Documents\GitHub\eaglep3\Utilities\DownloadLogsFromS3.py --loco 4061 --day 2017-05-06</v>
      </c>
      <c r="AN248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02:16:19"},{"id":29,"name":"Sharepoint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2" t="s">
        <v>552</v>
      </c>
      <c r="B249" s="7">
        <v>4060</v>
      </c>
      <c r="C249" s="21" t="s">
        <v>210</v>
      </c>
      <c r="D249" s="21" t="s">
        <v>992</v>
      </c>
      <c r="E249" s="13">
        <v>42861.971342592595</v>
      </c>
      <c r="F249" s="13">
        <v>42862.006168981483</v>
      </c>
      <c r="G249" s="7">
        <v>1</v>
      </c>
      <c r="H249" s="21" t="s">
        <v>993</v>
      </c>
      <c r="I249" s="13">
        <v>42862.012696759259</v>
      </c>
      <c r="J249" s="7">
        <v>0</v>
      </c>
      <c r="K249" s="92" t="str">
        <f t="shared" si="66"/>
        <v>4059/4060</v>
      </c>
      <c r="L249" s="21" t="str">
        <f>VLOOKUP(A249,'Trips&amp;Operators'!$C$1:$G$99999,5,FALSE)</f>
        <v>FORTUNATO FRANK</v>
      </c>
      <c r="M249" s="6">
        <f t="shared" si="67"/>
        <v>6.5277777757728472E-3</v>
      </c>
      <c r="N249" s="7">
        <f t="shared" si="68"/>
        <v>9.3999999971129</v>
      </c>
      <c r="O249" s="7"/>
      <c r="P249" s="7"/>
      <c r="Q249" s="22"/>
      <c r="R249" s="190"/>
      <c r="S249" s="196">
        <f t="shared" si="69"/>
        <v>0</v>
      </c>
      <c r="T249" s="190" t="e">
        <f t="shared" si="70"/>
        <v>#VALUE!</v>
      </c>
      <c r="U249" s="190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1" t="str">
        <f t="shared" si="71"/>
        <v>https://d0f6bd738d7f1b3e5a7ca70fe4ff75f0.us-east-1.aws.found.io/app/kibana#/discover/Steve-Slow-Train-Analysis-(2080s-and-2083s)?_g=(refreshInterval:(display:Off,pause:!f,section:0,value:0),time:(from:'2017-05-06T22:18:44-0600',mode:absolute,to:'2017-05-07T01:18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9" s="192" t="str">
        <f t="shared" si="72"/>
        <v>Y</v>
      </c>
      <c r="X249" s="192" t="e">
        <f t="shared" si="84"/>
        <v>#VALUE!</v>
      </c>
      <c r="Y249" s="192">
        <f t="shared" si="73"/>
        <v>0.1268</v>
      </c>
      <c r="Z249" s="192">
        <f t="shared" si="74"/>
        <v>4.4344999999999999</v>
      </c>
      <c r="AA249" s="192">
        <f t="shared" si="75"/>
        <v>4.3076999999999996</v>
      </c>
      <c r="AB249" s="57" t="e">
        <f>VLOOKUP(A249,Enforcements!$C$7:$K$13,8,0)</f>
        <v>#N/A</v>
      </c>
      <c r="AC249" s="53" t="e">
        <f>VLOOKUP(A249,Enforcements!$C$7:$E$13,3,0)</f>
        <v>#N/A</v>
      </c>
      <c r="AD249" s="54" t="str">
        <f t="shared" si="76"/>
        <v>81-06</v>
      </c>
      <c r="AE249" s="80" t="str">
        <f t="shared" si="77"/>
        <v>aws s3 cp s3://rtdc.mdm.uploadarchive.raw/RTDC4060/ "%USERPROFILE%\AppData\Local\Temp\OnboardLogs"\RTDC4060\2017-05-07 --exclude "*" --recursive --include "*20170507*" &amp; "%USERPROFILE%\Documents\GitHub\mrs-test-scripts\Headless Mode &amp; Sideloading\WalkAndUnGZ.bat" "%USERPROFILE%\AppData\Local\Temp\OnboardLogs"\RTDC4060\2017-05-07 &amp; aws s3 cp s3://rtdc.mdm.uploadarchive.raw/RTDC4060/ "%USERPROFILE%\AppData\Local\Temp\OnboardLogs"\RTDC4060\2017-05-08 --exclude "*" --recursive --include "*20170508*" &amp; "%USERPROFILE%\Documents\GitHub\mrs-test-scripts\Headless Mode &amp; Sideloading\WalkAndUnGZ.bat" "%USERPROFILE%\AppData\Local\Temp\OnboardLogs"\RTDC4060\2017-05-08</v>
      </c>
      <c r="AF249" s="77" t="str">
        <f t="shared" si="78"/>
        <v>"C:\Program Files (x86)\AstroGrep\AstroGrep.exe" /e /r /s /spath="%USERPROFILE%\AppData\Local\Temp\OnboardLogs" /stypes="app*4060*20170507*" /stext=" 06:.+((SYSTEM_STATE.+slice.+state.+changed )|(ment ac)|(multiple cpu faults)|(system.+state.+changed )|(\[timeout)|(PRM\|1\|D)|(kpr)|(kdp)|(train st.+moving)|(\|lc)|(penalty))"</v>
      </c>
      <c r="AG249" s="1" t="str">
        <f t="shared" si="79"/>
        <v>Other</v>
      </c>
      <c r="AH249" s="81" t="str">
        <f t="shared" si="80"/>
        <v>"%USERPROFILE%\Documents\GitHub\eaglep3\Utilities\RefineRTDCRunTimes.py" --tripid 81-06 --locoid 4060 --swversion DE.1.0.9.0 --startMP 204:1268 --initTime 2017-05-06T23:18:44 --startdatetime 2017-05-07T00:08:53 --delay 1 --endMP 300:44345 --enddatetime 2017-05-07T00:18:17 --enforcementcount 0 &gt;&gt;C:\Users\stu\Documents\GitHub\eaglep3-reporting\EC\2017-05-06-refined-times.txt</v>
      </c>
      <c r="AI249" s="99" t="str">
        <f t="shared" si="81"/>
        <v>echo {"issue":{"subject":"","project_id":79,"tracker_id":40,"status_id":1,"priority_id":2,"assigned_to_id":23,"start_date":"2017-05-07","description":"","custom_fields":[{"id":1,"name":"Subdivision","value":"Other"},{"id":4,"name":"Milepost","value":"4.4345"},{"id":17,"name":"Train ID","value":"81-06"},{"id":16,"name":"Locomotive ID","value":"4060"},{"id":130,"name":"Impact","value":""},{"id":150,"name":"Time of Event (Mountain Time)","value":"00:18:17"},{"id":151,"name":"Denver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5" t="str">
        <f t="shared" si="82"/>
        <v>start /low /b %USERPROFILE%\Documents\GitHub\eaglep3\Utilities\DownloadLogsFromS3.py --loco 4060 --day 2017-05-07</v>
      </c>
      <c r="AN249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06:18:17"},{"id":29,"name":"Sharepoint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 s="32" t="s">
        <v>552</v>
      </c>
      <c r="B250" s="7">
        <v>4060</v>
      </c>
      <c r="C250" s="21" t="s">
        <v>210</v>
      </c>
      <c r="D250" s="21" t="s">
        <v>994</v>
      </c>
      <c r="E250" s="13">
        <v>42862.029479166667</v>
      </c>
      <c r="F250" s="13">
        <v>42862.060069444444</v>
      </c>
      <c r="G250" s="7">
        <v>1</v>
      </c>
      <c r="H250" s="21" t="s">
        <v>995</v>
      </c>
      <c r="I250" s="13">
        <v>42862.071111111109</v>
      </c>
      <c r="J250" s="7">
        <v>0</v>
      </c>
      <c r="K250" s="92" t="str">
        <f t="shared" si="66"/>
        <v>4059/4060</v>
      </c>
      <c r="L250" s="21" t="str">
        <f>VLOOKUP(A250,'Trips&amp;Operators'!$C$1:$G$99999,5,FALSE)</f>
        <v>FORTUNATO FRANK</v>
      </c>
      <c r="M250" s="6">
        <f t="shared" si="67"/>
        <v>1.1041666664823424E-2</v>
      </c>
      <c r="N250" s="7">
        <f t="shared" si="68"/>
        <v>15.899999997345731</v>
      </c>
      <c r="O250" s="7"/>
      <c r="P250" s="7"/>
      <c r="Q250" s="22"/>
      <c r="R250" s="190"/>
      <c r="S250" s="196">
        <f t="shared" si="69"/>
        <v>0</v>
      </c>
      <c r="T250" s="190" t="e">
        <f t="shared" si="70"/>
        <v>#VALUE!</v>
      </c>
      <c r="U250" s="190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1" t="str">
        <f t="shared" si="71"/>
        <v>https://d0f6bd738d7f1b3e5a7ca70fe4ff75f0.us-east-1.aws.found.io/app/kibana#/discover/Steve-Slow-Train-Analysis-(2080s-and-2083s)?_g=(refreshInterval:(display:Off,pause:!f,section:0,value:0),time:(from:'2017-05-06T23:42:27-0600',mode:absolute,to:'2017-05-07T02:42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50" s="192" t="str">
        <f t="shared" si="72"/>
        <v>Y</v>
      </c>
      <c r="X250" s="192" t="e">
        <f t="shared" si="84"/>
        <v>#VALUE!</v>
      </c>
      <c r="Y250" s="192">
        <f t="shared" si="73"/>
        <v>7.0099999999999996E-2</v>
      </c>
      <c r="Z250" s="192">
        <f t="shared" si="74"/>
        <v>4.5145</v>
      </c>
      <c r="AA250" s="192">
        <f t="shared" si="75"/>
        <v>4.4443999999999999</v>
      </c>
      <c r="AB250" s="57" t="e">
        <f>VLOOKUP(A250,Enforcements!$C$7:$K$13,8,0)</f>
        <v>#N/A</v>
      </c>
      <c r="AC250" s="53" t="e">
        <f>VLOOKUP(A250,Enforcements!$C$7:$E$13,3,0)</f>
        <v>#N/A</v>
      </c>
      <c r="AD250" s="54" t="str">
        <f t="shared" si="76"/>
        <v>81-06</v>
      </c>
      <c r="AE250" s="80" t="str">
        <f t="shared" si="77"/>
        <v>aws s3 cp s3://rtdc.mdm.uploadarchive.raw/RTDC4060/ "%USERPROFILE%\AppData\Local\Temp\OnboardLogs"\RTDC4060\2017-05-07 --exclude "*" --recursive --include "*20170507*" &amp; "%USERPROFILE%\Documents\GitHub\mrs-test-scripts\Headless Mode &amp; Sideloading\WalkAndUnGZ.bat" "%USERPROFILE%\AppData\Local\Temp\OnboardLogs"\RTDC4060\2017-05-07 &amp; aws s3 cp s3://rtdc.mdm.uploadarchive.raw/RTDC4060/ "%USERPROFILE%\AppData\Local\Temp\OnboardLogs"\RTDC4060\2017-05-08 --exclude "*" --recursive --include "*20170508*" &amp; "%USERPROFILE%\Documents\GitHub\mrs-test-scripts\Headless Mode &amp; Sideloading\WalkAndUnGZ.bat" "%USERPROFILE%\AppData\Local\Temp\OnboardLogs"\RTDC4060\2017-05-08</v>
      </c>
      <c r="AF250" s="77" t="str">
        <f t="shared" si="78"/>
        <v>"C:\Program Files (x86)\AstroGrep\AstroGrep.exe" /e /r /s /spath="%USERPROFILE%\AppData\Local\Temp\OnboardLogs" /stypes="app*4060*20170507*" /stext=" 07:.+((SYSTEM_STATE.+slice.+state.+changed )|(ment ac)|(multiple cpu faults)|(system.+state.+changed )|(\[timeout)|(PRM\|1\|D)|(kpr)|(kdp)|(train st.+moving)|(\|lc)|(penalty))"</v>
      </c>
      <c r="AG250" s="1" t="str">
        <f t="shared" si="79"/>
        <v>Other</v>
      </c>
      <c r="AH250" s="81" t="str">
        <f t="shared" si="80"/>
        <v>"%USERPROFILE%\Documents\GitHub\eaglep3\Utilities\RefineRTDCRunTimes.py" --tripid 81-06 --locoid 4060 --swversion DE.1.0.9.0 --startMP 204:701 --initTime 2017-05-07T00:42:27 --startdatetime 2017-05-07T01:26:30 --delay 1 --endMP 300:45145 --enddatetime 2017-05-07T01:42:24 --enforcementcount 0 &gt;&gt;C:\Users\stu\Documents\GitHub\eaglep3-reporting\EC\2017-05-06-refined-times.txt</v>
      </c>
      <c r="AI250" s="99" t="str">
        <f t="shared" si="81"/>
        <v>echo {"issue":{"subject":"","project_id":79,"tracker_id":40,"status_id":1,"priority_id":2,"assigned_to_id":23,"start_date":"2017-05-07","description":"","custom_fields":[{"id":1,"name":"Subdivision","value":"Other"},{"id":4,"name":"Milepost","value":"4.5145"},{"id":17,"name":"Train ID","value":"81-06"},{"id":16,"name":"Locomotive ID","value":"4060"},{"id":130,"name":"Impact","value":""},{"id":150,"name":"Time of Event (Mountain Time)","value":"01:42:24"},{"id":151,"name":"Denver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5" t="str">
        <f t="shared" si="82"/>
        <v>start /low /b %USERPROFILE%\Documents\GitHub\eaglep3\Utilities\DownloadLogsFromS3.py --loco 4060 --day 2017-05-07</v>
      </c>
      <c r="AN250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07:42:24"},{"id":29,"name":"Sharepoint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1" spans="1:40" x14ac:dyDescent="0.25">
      <c r="A251" s="32" t="s">
        <v>552</v>
      </c>
      <c r="B251" s="7">
        <v>4060</v>
      </c>
      <c r="C251" s="21" t="s">
        <v>210</v>
      </c>
      <c r="D251" s="21" t="s">
        <v>503</v>
      </c>
      <c r="E251" s="13">
        <v>42861.846770833334</v>
      </c>
      <c r="F251" s="13">
        <v>42861.919872685183</v>
      </c>
      <c r="G251" s="7">
        <v>1</v>
      </c>
      <c r="H251" s="21" t="s">
        <v>387</v>
      </c>
      <c r="I251" s="13">
        <v>42861.940578703703</v>
      </c>
      <c r="J251" s="7">
        <v>0</v>
      </c>
      <c r="K251" s="92" t="str">
        <f t="shared" si="66"/>
        <v>4059/4060</v>
      </c>
      <c r="L251" s="21" t="str">
        <f>VLOOKUP(A251,'Trips&amp;Operators'!$C$1:$G$99999,5,FALSE)</f>
        <v>FORTUNATO FRANK</v>
      </c>
      <c r="M251" s="6">
        <f t="shared" si="67"/>
        <v>2.0706018520286307E-2</v>
      </c>
      <c r="N251" s="7">
        <f t="shared" si="68"/>
        <v>29.816666669212282</v>
      </c>
      <c r="O251" s="7"/>
      <c r="P251" s="7"/>
      <c r="Q251" s="22"/>
      <c r="R251" s="190"/>
      <c r="S251" s="196">
        <f t="shared" si="69"/>
        <v>0</v>
      </c>
      <c r="T251" s="190" t="e">
        <f t="shared" si="70"/>
        <v>#VALUE!</v>
      </c>
      <c r="U251" s="190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1" t="str">
        <f t="shared" si="71"/>
        <v>https://d0f6bd738d7f1b3e5a7ca70fe4ff75f0.us-east-1.aws.found.io/app/kibana#/discover/Steve-Slow-Train-Analysis-(2080s-and-2083s)?_g=(refreshInterval:(display:Off,pause:!f,section:0,value:0),time:(from:'2017-05-06T19:19:21-0600',mode:absolute,to:'2017-05-06T23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51" s="192" t="str">
        <f t="shared" si="72"/>
        <v>N</v>
      </c>
      <c r="X251" s="192" t="e">
        <f t="shared" si="84"/>
        <v>#VALUE!</v>
      </c>
      <c r="Y251" s="192">
        <f t="shared" si="73"/>
        <v>7.17E-2</v>
      </c>
      <c r="Z251" s="192">
        <f t="shared" si="74"/>
        <v>23.331399999999999</v>
      </c>
      <c r="AA251" s="192">
        <f t="shared" si="75"/>
        <v>23.259699999999999</v>
      </c>
      <c r="AB251" s="57" t="e">
        <f>VLOOKUP(A251,Enforcements!$C$7:$K$13,8,0)</f>
        <v>#N/A</v>
      </c>
      <c r="AC251" s="53" t="e">
        <f>VLOOKUP(A251,Enforcements!$C$7:$E$13,3,0)</f>
        <v>#N/A</v>
      </c>
      <c r="AD251" s="54" t="str">
        <f t="shared" si="76"/>
        <v>81-06</v>
      </c>
      <c r="AE251" s="80" t="str">
        <f t="shared" si="77"/>
        <v>aws s3 cp s3://rtdc.mdm.uploadarchive.raw/RTDC4060/ "%USERPROFILE%\AppData\Local\Temp\OnboardLogs"\RTDC4060\2017-05-06 --exclude "*" --recursive --include "*20170506*" &amp; "%USERPROFILE%\Documents\GitHub\mrs-test-scripts\Headless Mode &amp; Sideloading\WalkAndUnGZ.bat" "%USERPROFILE%\AppData\Local\Temp\OnboardLogs"\RTDC4060\2017-05-06 &amp; aws s3 cp s3://rtdc.mdm.uploadarchive.raw/RTDC4060/ "%USERPROFILE%\AppData\Local\Temp\OnboardLogs"\RTDC4060\2017-05-07 --exclude "*" --recursive --include "*20170507*" &amp; "%USERPROFILE%\Documents\GitHub\mrs-test-scripts\Headless Mode &amp; Sideloading\WalkAndUnGZ.bat" "%USERPROFILE%\AppData\Local\Temp\OnboardLogs"\RTDC4060\2017-05-07</v>
      </c>
      <c r="AF251" s="77" t="str">
        <f t="shared" si="78"/>
        <v>"C:\Program Files (x86)\AstroGrep\AstroGrep.exe" /e /r /s /spath="%USERPROFILE%\AppData\Local\Temp\OnboardLogs" /stypes="app*4060*20170507*" /stext=" 04:.+((SYSTEM_STATE.+slice.+state.+changed )|(ment ac)|(multiple cpu faults)|(system.+state.+changed )|(\[timeout)|(PRM\|1\|D)|(kpr)|(kdp)|(train st.+moving)|(\|lc)|(penalty))"</v>
      </c>
      <c r="AG251" s="1" t="str">
        <f t="shared" si="79"/>
        <v>Other</v>
      </c>
      <c r="AH251" s="81" t="str">
        <f t="shared" si="80"/>
        <v>"%USERPROFILE%\Documents\GitHub\eaglep3\Utilities\RefineRTDCRunTimes.py" --tripid 81-06 --locoid 4060 --swversion DE.1.0.9.0 --startMP 204:717 --initTime 2017-05-06T20:19:21 --startdatetime 2017-05-06T22:04:37 --delay 1 --endMP 204:233314 --enddatetime 2017-05-06T22:34:26 --enforcementcount 0 &gt;&gt;C:\Users\stu\Documents\GitHub\eaglep3-reporting\EC\2017-05-06-refined-times.txt</v>
      </c>
      <c r="AI251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{"issue":{"subject":"","project_id":79,"tracker_id":40,"status_id":1,"priority_id":2,"assigned_to_id":23,"start_date":"2017-05-06","description":"","custom_fields":[{"id":1,"name":"Subdivision","value":"Other"},{"id":4,"name":"Milepost","value":"23.3314"},{"id":17,"name":"Train ID","value":"81-06"},{"id":16,"name":"Locomotive ID","value":"4060"},{"id":130,"name":"Impact","value":""},{"id":150,"name":"Time of Event (Mountain Time)","value":"22:34:26"},{"id":151,"name":"Denver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5" t="str">
        <f t="shared" si="82"/>
        <v>start /low /b %USERPROFILE%\Documents\GitHub\eaglep3\Utilities\DownloadLogsFromS3.py --loco 4060 --day 2017-05-06</v>
      </c>
      <c r="AN251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04:34:26"},{"id":29,"name":"Sharepoint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2" spans="1:40" x14ac:dyDescent="0.25">
      <c r="A252" s="32" t="s">
        <v>552</v>
      </c>
      <c r="B252" s="7">
        <v>4060</v>
      </c>
      <c r="C252" s="21" t="s">
        <v>210</v>
      </c>
      <c r="D252" s="21" t="s">
        <v>503</v>
      </c>
      <c r="E252" s="13">
        <v>42862.058680555558</v>
      </c>
      <c r="F252" s="13">
        <v>42862.060069444444</v>
      </c>
      <c r="G252" s="7">
        <v>1</v>
      </c>
      <c r="H252" s="21" t="s">
        <v>385</v>
      </c>
      <c r="I252" s="13">
        <v>42862.071111111109</v>
      </c>
      <c r="J252" s="7">
        <v>0</v>
      </c>
      <c r="K252" s="92" t="str">
        <f t="shared" si="66"/>
        <v>4059/4060</v>
      </c>
      <c r="L252" s="21" t="str">
        <f>VLOOKUP(A252,'Trips&amp;Operators'!$C$1:$G$99999,5,FALSE)</f>
        <v>FORTUNATO FRANK</v>
      </c>
      <c r="M252" s="6">
        <f t="shared" si="67"/>
        <v>1.1041666664823424E-2</v>
      </c>
      <c r="N252" s="7">
        <f t="shared" si="68"/>
        <v>15.899999997345731</v>
      </c>
      <c r="O252" s="7"/>
      <c r="P252" s="7"/>
      <c r="Q252" s="22"/>
      <c r="R252" s="190"/>
      <c r="S252" s="196">
        <f t="shared" si="69"/>
        <v>0</v>
      </c>
      <c r="T252" s="190" t="e">
        <f t="shared" si="70"/>
        <v>#VALUE!</v>
      </c>
      <c r="U252" s="190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1" t="str">
        <f t="shared" si="71"/>
        <v>https://d0f6bd738d7f1b3e5a7ca70fe4ff75f0.us-east-1.aws.found.io/app/kibana#/discover/Steve-Slow-Train-Analysis-(2080s-and-2083s)?_g=(refreshInterval:(display:Off,pause:!f,section:0,value:0),time:(from:'2017-05-07T00:24:30-0600',mode:absolute,to:'2017-05-07T02:42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52" s="192" t="str">
        <f t="shared" si="72"/>
        <v>Y</v>
      </c>
      <c r="X252" s="192" t="e">
        <f t="shared" si="84"/>
        <v>#VALUE!</v>
      </c>
      <c r="Y252" s="192">
        <f t="shared" si="73"/>
        <v>7.17E-2</v>
      </c>
      <c r="Z252" s="192">
        <f t="shared" si="74"/>
        <v>2.3346</v>
      </c>
      <c r="AA252" s="192">
        <f t="shared" si="75"/>
        <v>2.2629000000000001</v>
      </c>
      <c r="AB252" s="57" t="e">
        <f>VLOOKUP(A252,Enforcements!$C$7:$K$13,8,0)</f>
        <v>#N/A</v>
      </c>
      <c r="AC252" s="53" t="e">
        <f>VLOOKUP(A252,Enforcements!$C$7:$E$13,3,0)</f>
        <v>#N/A</v>
      </c>
      <c r="AD252" s="54" t="str">
        <f t="shared" si="76"/>
        <v>81-06</v>
      </c>
      <c r="AE252" s="80" t="str">
        <f t="shared" si="77"/>
        <v>aws s3 cp s3://rtdc.mdm.uploadarchive.raw/RTDC4060/ "%USERPROFILE%\AppData\Local\Temp\OnboardLogs"\RTDC4060\2017-05-07 --exclude "*" --recursive --include "*20170507*" &amp; "%USERPROFILE%\Documents\GitHub\mrs-test-scripts\Headless Mode &amp; Sideloading\WalkAndUnGZ.bat" "%USERPROFILE%\AppData\Local\Temp\OnboardLogs"\RTDC4060\2017-05-07 &amp; aws s3 cp s3://rtdc.mdm.uploadarchive.raw/RTDC4060/ "%USERPROFILE%\AppData\Local\Temp\OnboardLogs"\RTDC4060\2017-05-08 --exclude "*" --recursive --include "*20170508*" &amp; "%USERPROFILE%\Documents\GitHub\mrs-test-scripts\Headless Mode &amp; Sideloading\WalkAndUnGZ.bat" "%USERPROFILE%\AppData\Local\Temp\OnboardLogs"\RTDC4060\2017-05-08</v>
      </c>
      <c r="AF252" s="77" t="str">
        <f t="shared" si="78"/>
        <v>"C:\Program Files (x86)\AstroGrep\AstroGrep.exe" /e /r /s /spath="%USERPROFILE%\AppData\Local\Temp\OnboardLogs" /stypes="app*4060*20170507*" /stext=" 07:.+((SYSTEM_STATE.+slice.+state.+changed )|(ment ac)|(multiple cpu faults)|(system.+state.+changed )|(\[timeout)|(PRM\|1\|D)|(kpr)|(kdp)|(train st.+moving)|(\|lc)|(penalty))"</v>
      </c>
      <c r="AG252" s="1" t="str">
        <f t="shared" si="79"/>
        <v>Other</v>
      </c>
      <c r="AH252" s="81" t="str">
        <f t="shared" si="80"/>
        <v>"%USERPROFILE%\Documents\GitHub\eaglep3\Utilities\RefineRTDCRunTimes.py" --tripid 81-06 --locoid 4060 --swversion DE.1.0.9.0 --startMP 204:717 --initTime 2017-05-07T01:24:30 --startdatetime 2017-05-07T01:26:30 --delay 1 --endMP 300:23346 --enddatetime 2017-05-07T01:42:24 --enforcementcount 0 &gt;&gt;C:\Users\stu\Documents\GitHub\eaglep3-reporting\EC\2017-05-06-refined-times.txt</v>
      </c>
      <c r="AI252" s="99" t="str">
        <f t="shared" si="81"/>
        <v>echo {"issue":{"subject":"","project_id":79,"tracker_id":40,"status_id":1,"priority_id":2,"assigned_to_id":23,"start_date":"2017-05-07","description":"","custom_fields":[{"id":1,"name":"Subdivision","value":"Other"},{"id":4,"name":"Milepost","value":"2.3346"},{"id":17,"name":"Train ID","value":"81-06"},{"id":16,"name":"Locomotive ID","value":"4060"},{"id":130,"name":"Impact","value":""},{"id":150,"name":"Time of Event (Mountain Time)","value":"01:42:24"},{"id":151,"name":"Denver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5" t="str">
        <f t="shared" si="82"/>
        <v>start /low /b %USERPROFILE%\Documents\GitHub\eaglep3\Utilities\DownloadLogsFromS3.py --loco 4060 --day 2017-05-07</v>
      </c>
      <c r="AN252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07:42:24"},{"id":29,"name":"Sharepoint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3" spans="1:40" x14ac:dyDescent="0.25">
      <c r="A253" s="32" t="s">
        <v>552</v>
      </c>
      <c r="B253" s="7">
        <v>4060</v>
      </c>
      <c r="C253" s="21" t="s">
        <v>210</v>
      </c>
      <c r="D253" s="21" t="s">
        <v>996</v>
      </c>
      <c r="E253" s="13">
        <v>42861.994733796295</v>
      </c>
      <c r="F253" s="13">
        <v>42862.032384259262</v>
      </c>
      <c r="G253" s="7">
        <v>1</v>
      </c>
      <c r="H253" s="21" t="s">
        <v>997</v>
      </c>
      <c r="I253" s="13">
        <v>42862.0390625</v>
      </c>
      <c r="J253" s="7">
        <v>0</v>
      </c>
      <c r="K253" s="92" t="str">
        <f t="shared" si="66"/>
        <v>4059/4060</v>
      </c>
      <c r="L253" s="21" t="str">
        <f>VLOOKUP(A253,'Trips&amp;Operators'!$C$1:$G$99999,5,FALSE)</f>
        <v>FORTUNATO FRANK</v>
      </c>
      <c r="M253" s="6">
        <f t="shared" si="67"/>
        <v>6.6782407375285402E-3</v>
      </c>
      <c r="N253" s="7">
        <f t="shared" si="68"/>
        <v>9.6166666620410979</v>
      </c>
      <c r="O253" s="7"/>
      <c r="P253" s="7"/>
      <c r="Q253" s="22"/>
      <c r="R253" s="190"/>
      <c r="S253" s="196">
        <f t="shared" si="69"/>
        <v>0</v>
      </c>
      <c r="T253" s="190" t="e">
        <f t="shared" si="70"/>
        <v>#VALUE!</v>
      </c>
      <c r="U253" s="190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91" t="str">
        <f t="shared" si="71"/>
        <v>https://d0f6bd738d7f1b3e5a7ca70fe4ff75f0.us-east-1.aws.found.io/app/kibana#/discover/Steve-Slow-Train-Analysis-(2080s-and-2083s)?_g=(refreshInterval:(display:Off,pause:!f,section:0,value:0),time:(from:'2017-05-06T22:52:25-0600',mode:absolute,to:'2017-05-07T01:56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53" s="192" t="str">
        <f t="shared" si="72"/>
        <v>Y</v>
      </c>
      <c r="X253" s="192" t="e">
        <f t="shared" ref="X253:X259" si="85">VALUE(LEFT(AD253,4))-VALUE(LEFT(AD252,4))</f>
        <v>#VALUE!</v>
      </c>
      <c r="Y253" s="192">
        <f t="shared" si="73"/>
        <v>7.1900000000000006E-2</v>
      </c>
      <c r="Z253" s="192">
        <f t="shared" si="74"/>
        <v>4.4946000000000002</v>
      </c>
      <c r="AA253" s="192">
        <f t="shared" si="75"/>
        <v>4.4226999999999999</v>
      </c>
      <c r="AB253" s="57" t="e">
        <f>VLOOKUP(A253,Enforcements!$C$7:$K$13,8,0)</f>
        <v>#N/A</v>
      </c>
      <c r="AC253" s="53" t="e">
        <f>VLOOKUP(A253,Enforcements!$C$7:$E$13,3,0)</f>
        <v>#N/A</v>
      </c>
      <c r="AD253" s="54" t="str">
        <f t="shared" si="76"/>
        <v>81-06</v>
      </c>
      <c r="AE253" s="80" t="str">
        <f t="shared" si="77"/>
        <v>aws s3 cp s3://rtdc.mdm.uploadarchive.raw/RTDC4060/ "%USERPROFILE%\AppData\Local\Temp\OnboardLogs"\RTDC4060\2017-05-07 --exclude "*" --recursive --include "*20170507*" &amp; "%USERPROFILE%\Documents\GitHub\mrs-test-scripts\Headless Mode &amp; Sideloading\WalkAndUnGZ.bat" "%USERPROFILE%\AppData\Local\Temp\OnboardLogs"\RTDC4060\2017-05-07 &amp; aws s3 cp s3://rtdc.mdm.uploadarchive.raw/RTDC4060/ "%USERPROFILE%\AppData\Local\Temp\OnboardLogs"\RTDC4060\2017-05-08 --exclude "*" --recursive --include "*20170508*" &amp; "%USERPROFILE%\Documents\GitHub\mrs-test-scripts\Headless Mode &amp; Sideloading\WalkAndUnGZ.bat" "%USERPROFILE%\AppData\Local\Temp\OnboardLogs"\RTDC4060\2017-05-08</v>
      </c>
      <c r="AF253" s="77" t="str">
        <f t="shared" si="78"/>
        <v>"C:\Program Files (x86)\AstroGrep\AstroGrep.exe" /e /r /s /spath="%USERPROFILE%\AppData\Local\Temp\OnboardLogs" /stypes="app*4060*20170507*" /stext=" 06:.+((SYSTEM_STATE.+slice.+state.+changed )|(ment ac)|(multiple cpu faults)|(system.+state.+changed )|(\[timeout)|(PRM\|1\|D)|(kpr)|(kdp)|(train st.+moving)|(\|lc)|(penalty))"</v>
      </c>
      <c r="AG253" s="1" t="str">
        <f t="shared" si="79"/>
        <v>Other</v>
      </c>
      <c r="AH253" s="81" t="str">
        <f t="shared" si="80"/>
        <v>"%USERPROFILE%\Documents\GitHub\eaglep3\Utilities\RefineRTDCRunTimes.py" --tripid 81-06 --locoid 4060 --swversion DE.1.0.9.0 --startMP 204:719 --initTime 2017-05-06T23:52:25 --startdatetime 2017-05-07T00:46:38 --delay 1 --endMP 300:44946 --enddatetime 2017-05-07T00:56:15 --enforcementcount 0 &gt;&gt;C:\Users\stu\Documents\GitHub\eaglep3-reporting\EC\2017-05-06-refined-times.txt</v>
      </c>
      <c r="AI253" s="99" t="str">
        <f t="shared" si="81"/>
        <v>echo {"issue":{"subject":"","project_id":79,"tracker_id":40,"status_id":1,"priority_id":2,"assigned_to_id":23,"start_date":"2017-05-07","description":"","custom_fields":[{"id":1,"name":"Subdivision","value":"Other"},{"id":4,"name":"Milepost","value":"4.4946"},{"id":17,"name":"Train ID","value":"81-06"},{"id":16,"name":"Locomotive ID","value":"4060"},{"id":130,"name":"Impact","value":""},{"id":150,"name":"Time of Event (Mountain Time)","value":"00:56:15"},{"id":151,"name":"Denver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5" t="str">
        <f t="shared" si="82"/>
        <v>start /low /b %USERPROFILE%\Documents\GitHub\eaglep3\Utilities\DownloadLogsFromS3.py --loco 4060 --day 2017-05-07</v>
      </c>
      <c r="AN253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06:56:15"},{"id":29,"name":"Sharepoint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4" spans="1:40" x14ac:dyDescent="0.25">
      <c r="A254" s="32" t="s">
        <v>552</v>
      </c>
      <c r="B254" s="7">
        <v>4061</v>
      </c>
      <c r="C254" s="21" t="s">
        <v>210</v>
      </c>
      <c r="D254" s="21" t="s">
        <v>998</v>
      </c>
      <c r="E254" s="13">
        <v>42861.95722222222</v>
      </c>
      <c r="F254" s="13">
        <v>42861.984780092593</v>
      </c>
      <c r="G254" s="7">
        <v>0</v>
      </c>
      <c r="H254" s="21" t="s">
        <v>999</v>
      </c>
      <c r="I254" s="13">
        <v>42861.993321759262</v>
      </c>
      <c r="J254" s="7">
        <v>0</v>
      </c>
      <c r="K254" s="92" t="str">
        <f t="shared" si="66"/>
        <v>4061/4062</v>
      </c>
      <c r="L254" s="21" t="str">
        <f>VLOOKUP(A254,'Trips&amp;Operators'!$C$1:$G$99999,5,FALSE)</f>
        <v>FORTUNATO FRANK</v>
      </c>
      <c r="M254" s="6">
        <f t="shared" si="67"/>
        <v>8.5416666697710752E-3</v>
      </c>
      <c r="N254" s="7">
        <f t="shared" si="68"/>
        <v>12.300000004470348</v>
      </c>
      <c r="O254" s="7"/>
      <c r="P254" s="7"/>
      <c r="Q254" s="22"/>
      <c r="R254" s="190"/>
      <c r="S254" s="196">
        <f t="shared" si="69"/>
        <v>0</v>
      </c>
      <c r="T254" s="190" t="e">
        <f t="shared" si="70"/>
        <v>#VALUE!</v>
      </c>
      <c r="U254" s="190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91" t="str">
        <f t="shared" si="71"/>
        <v>https://d0f6bd738d7f1b3e5a7ca70fe4ff75f0.us-east-1.aws.found.io/app/kibana#/discover/Steve-Slow-Train-Analysis-(2080s-and-2083s)?_g=(refreshInterval:(display:Off,pause:!f,section:0,value:0),time:(from:'2017-05-06T21:58:24-0600',mode:absolute,to:'2017-05-07T00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54" s="192" t="str">
        <f t="shared" si="72"/>
        <v>Y</v>
      </c>
      <c r="X254" s="192" t="e">
        <f t="shared" si="85"/>
        <v>#VALUE!</v>
      </c>
      <c r="Y254" s="192">
        <f t="shared" si="73"/>
        <v>1.8708</v>
      </c>
      <c r="Z254" s="192">
        <f t="shared" si="74"/>
        <v>6.6600000000000006E-2</v>
      </c>
      <c r="AA254" s="192">
        <f t="shared" si="75"/>
        <v>1.8042</v>
      </c>
      <c r="AB254" s="57" t="e">
        <f>VLOOKUP(A254,Enforcements!$C$7:$K$13,8,0)</f>
        <v>#N/A</v>
      </c>
      <c r="AC254" s="53" t="e">
        <f>VLOOKUP(A254,Enforcements!$C$7:$E$13,3,0)</f>
        <v>#N/A</v>
      </c>
      <c r="AD254" s="54" t="str">
        <f t="shared" si="76"/>
        <v>81-06</v>
      </c>
      <c r="AE254" s="80" t="str">
        <f t="shared" si="77"/>
        <v>aws s3 cp s3://rtdc.mdm.uploadarchive.raw/RTDC4061/ "%USERPROFILE%\AppData\Local\Temp\OnboardLogs"\RTDC4061\2017-05-06 --exclude "*" --recursive --include "*20170506*" &amp; "%USERPROFILE%\Documents\GitHub\mrs-test-scripts\Headless Mode &amp; Sideloading\WalkAndUnGZ.bat" "%USERPROFILE%\AppData\Local\Temp\OnboardLogs"\RTDC4061\2017-05-06 &amp; aws s3 cp s3://rtdc.mdm.uploadarchive.raw/RTDC4061/ "%USERPROFILE%\AppData\Local\Temp\OnboardLogs"\RTDC4061\2017-05-07 --exclude "*" --recursive --include "*20170507*" &amp; "%USERPROFILE%\Documents\GitHub\mrs-test-scripts\Headless Mode &amp; Sideloading\WalkAndUnGZ.bat" "%USERPROFILE%\AppData\Local\Temp\OnboardLogs"\RTDC4061\2017-05-07</v>
      </c>
      <c r="AF254" s="77" t="str">
        <f t="shared" si="78"/>
        <v>"C:\Program Files (x86)\AstroGrep\AstroGrep.exe" /e /r /s /spath="%USERPROFILE%\AppData\Local\Temp\OnboardLogs" /stypes="app*4061*20170507*" /stext=" 05:.+((SYSTEM_STATE.+slice.+state.+changed )|(ment ac)|(multiple cpu faults)|(system.+state.+changed )|(\[timeout)|(PRM\|1\|D)|(kpr)|(kdp)|(train st.+moving)|(\|lc)|(penalty))"</v>
      </c>
      <c r="AG254" s="1" t="str">
        <f t="shared" si="79"/>
        <v>Other</v>
      </c>
      <c r="AH254" s="81" t="str">
        <f t="shared" si="80"/>
        <v>"%USERPROFILE%\Documents\GitHub\eaglep3\Utilities\RefineRTDCRunTimes.py" --tripid 81-06 --locoid 4061 --swversion DE.1.0.9.0 --startMP 204:18708 --initTime 2017-05-06T22:58:24 --startdatetime 2017-05-06T23:38:05 --delay 0 --endMP 204:666 --enddatetime 2017-05-06T23:50:23 --enforcementcount 0 &gt;&gt;C:\Users\stu\Documents\GitHub\eaglep3-reporting\EC\2017-05-06-refined-times.txt</v>
      </c>
      <c r="AI254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{"issue":{"subject":"","project_id":79,"tracker_id":40,"status_id":1,"priority_id":2,"assigned_to_id":23,"start_date":"2017-05-06","description":"","custom_fields":[{"id":1,"name":"Subdivision","value":"Other"},{"id":4,"name":"Milepost","value":"0.0666"},{"id":17,"name":"Train ID","value":"81-06"},{"id":16,"name":"Locomotive ID","value":"4061"},{"id":130,"name":"Impact","value":""},{"id":150,"name":"Time of Event (Mountain Time)","value":"23:50:23"},{"id":151,"name":"Denver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5" t="str">
        <f t="shared" si="82"/>
        <v>start /low /b %USERPROFILE%\Documents\GitHub\eaglep3\Utilities\DownloadLogsFromS3.py --loco 4061 --day 2017-05-06</v>
      </c>
      <c r="AN254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05:50:23"},{"id":29,"name":"Sharepoint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5" spans="1:40" x14ac:dyDescent="0.25">
      <c r="A255" s="32" t="s">
        <v>552</v>
      </c>
      <c r="B255" s="7">
        <v>4061</v>
      </c>
      <c r="C255" s="21" t="s">
        <v>210</v>
      </c>
      <c r="D255" s="21" t="s">
        <v>1000</v>
      </c>
      <c r="E255" s="13">
        <v>42861.911898148152</v>
      </c>
      <c r="F255" s="13">
        <v>42861.958275462966</v>
      </c>
      <c r="G255" s="7">
        <v>2</v>
      </c>
      <c r="H255" s="21" t="s">
        <v>1001</v>
      </c>
      <c r="I255" s="13">
        <v>42861.963402777779</v>
      </c>
      <c r="J255" s="7">
        <v>0</v>
      </c>
      <c r="K255" s="92" t="str">
        <f t="shared" si="66"/>
        <v>4061/4062</v>
      </c>
      <c r="L255" s="21" t="str">
        <f>VLOOKUP(A255,'Trips&amp;Operators'!$C$1:$G$99999,5,FALSE)</f>
        <v>FORTUNATO FRANK</v>
      </c>
      <c r="M255" s="6">
        <f t="shared" si="67"/>
        <v>5.1273148128530011E-3</v>
      </c>
      <c r="N255" s="7">
        <f t="shared" si="68"/>
        <v>7.3833333305083215</v>
      </c>
      <c r="O255" s="7"/>
      <c r="P255" s="7"/>
      <c r="Q255" s="22"/>
      <c r="R255" s="190"/>
      <c r="S255" s="196">
        <f t="shared" si="69"/>
        <v>0</v>
      </c>
      <c r="T255" s="190" t="e">
        <f t="shared" si="70"/>
        <v>#VALUE!</v>
      </c>
      <c r="U255" s="190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91" t="str">
        <f t="shared" si="71"/>
        <v>https://d0f6bd738d7f1b3e5a7ca70fe4ff75f0.us-east-1.aws.found.io/app/kibana#/discover/Steve-Slow-Train-Analysis-(2080s-and-2083s)?_g=(refreshInterval:(display:Off,pause:!f,section:0,value:0),time:(from:'2017-05-06T20:53:08-0600',mode:absolute,to:'2017-05-07T00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55" s="192" t="str">
        <f t="shared" si="72"/>
        <v>N</v>
      </c>
      <c r="X255" s="192" t="e">
        <f t="shared" si="85"/>
        <v>#VALUE!</v>
      </c>
      <c r="Y255" s="192">
        <f t="shared" si="73"/>
        <v>23.2652</v>
      </c>
      <c r="Z255" s="192">
        <f t="shared" si="74"/>
        <v>6.9945000000000004</v>
      </c>
      <c r="AA255" s="192">
        <f t="shared" si="75"/>
        <v>16.270699999999998</v>
      </c>
      <c r="AB255" s="57" t="e">
        <f>VLOOKUP(A255,Enforcements!$C$7:$K$13,8,0)</f>
        <v>#N/A</v>
      </c>
      <c r="AC255" s="53" t="e">
        <f>VLOOKUP(A255,Enforcements!$C$7:$E$13,3,0)</f>
        <v>#N/A</v>
      </c>
      <c r="AD255" s="54" t="str">
        <f t="shared" si="76"/>
        <v>81-06</v>
      </c>
      <c r="AE255" s="80" t="str">
        <f t="shared" si="77"/>
        <v>aws s3 cp s3://rtdc.mdm.uploadarchive.raw/RTDC4061/ "%USERPROFILE%\AppData\Local\Temp\OnboardLogs"\RTDC4061\2017-05-06 --exclude "*" --recursive --include "*20170506*" &amp; "%USERPROFILE%\Documents\GitHub\mrs-test-scripts\Headless Mode &amp; Sideloading\WalkAndUnGZ.bat" "%USERPROFILE%\AppData\Local\Temp\OnboardLogs"\RTDC4061\2017-05-06 &amp; aws s3 cp s3://rtdc.mdm.uploadarchive.raw/RTDC4061/ "%USERPROFILE%\AppData\Local\Temp\OnboardLogs"\RTDC4061\2017-05-07 --exclude "*" --recursive --include "*20170507*" &amp; "%USERPROFILE%\Documents\GitHub\mrs-test-scripts\Headless Mode &amp; Sideloading\WalkAndUnGZ.bat" "%USERPROFILE%\AppData\Local\Temp\OnboardLogs"\RTDC4061\2017-05-07</v>
      </c>
      <c r="AF255" s="77" t="str">
        <f t="shared" si="78"/>
        <v>"C:\Program Files (x86)\AstroGrep\AstroGrep.exe" /e /r /s /spath="%USERPROFILE%\AppData\Local\Temp\OnboardLogs" /stypes="app*4061*20170507*" /stext=" 05:.+((SYSTEM_STATE.+slice.+state.+changed )|(ment ac)|(multiple cpu faults)|(system.+state.+changed )|(\[timeout)|(PRM\|1\|D)|(kpr)|(kdp)|(train st.+moving)|(\|lc)|(penalty))"</v>
      </c>
      <c r="AG255" s="1" t="str">
        <f t="shared" si="79"/>
        <v>Other</v>
      </c>
      <c r="AH255" s="81" t="str">
        <f t="shared" si="80"/>
        <v>"%USERPROFILE%\Documents\GitHub\eaglep3\Utilities\RefineRTDCRunTimes.py" --tripid 81-06 --locoid 4061 --swversion DE.1.0.9.0 --startMP 204:232652 --initTime 2017-05-06T21:53:08 --startdatetime 2017-05-06T22:59:55 --delay 2 --endMP 204:69945 --enddatetime 2017-05-06T23:07:18 --enforcementcount 0 &gt;&gt;C:\Users\stu\Documents\GitHub\eaglep3-reporting\EC\2017-05-06-refined-times.txt</v>
      </c>
      <c r="AI255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{"issue":{"subject":"","project_id":79,"tracker_id":40,"status_id":1,"priority_id":2,"assigned_to_id":23,"start_date":"2017-05-06","description":"","custom_fields":[{"id":1,"name":"Subdivision","value":"Other"},{"id":4,"name":"Milepost","value":"6.9945"},{"id":17,"name":"Train ID","value":"81-06"},{"id":16,"name":"Locomotive ID","value":"4061"},{"id":130,"name":"Impact","value":""},{"id":150,"name":"Time of Event (Mountain Time)","value":"23:07:18"},{"id":151,"name":"Denver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5" t="str">
        <f t="shared" si="82"/>
        <v>start /low /b %USERPROFILE%\Documents\GitHub\eaglep3\Utilities\DownloadLogsFromS3.py --loco 4061 --day 2017-05-06</v>
      </c>
      <c r="AN255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05:07:18"},{"id":29,"name":"Sharepoint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6" spans="1:40" x14ac:dyDescent="0.25">
      <c r="A256" s="32" t="s">
        <v>552</v>
      </c>
      <c r="B256" s="7">
        <v>4061</v>
      </c>
      <c r="C256" s="21" t="s">
        <v>210</v>
      </c>
      <c r="D256" s="21" t="s">
        <v>1002</v>
      </c>
      <c r="E256" s="13">
        <v>42862.042233796295</v>
      </c>
      <c r="F256" s="13">
        <v>42862.060069444444</v>
      </c>
      <c r="G256" s="7">
        <v>1</v>
      </c>
      <c r="H256" s="21" t="s">
        <v>452</v>
      </c>
      <c r="I256" s="13">
        <v>42862.071111111109</v>
      </c>
      <c r="J256" s="7">
        <v>0</v>
      </c>
      <c r="K256" s="92" t="str">
        <f t="shared" si="66"/>
        <v>4061/4062</v>
      </c>
      <c r="L256" s="21" t="str">
        <f>VLOOKUP(A256,'Trips&amp;Operators'!$C$1:$G$99999,5,FALSE)</f>
        <v>FORTUNATO FRANK</v>
      </c>
      <c r="M256" s="6">
        <f t="shared" si="67"/>
        <v>1.1041666664823424E-2</v>
      </c>
      <c r="N256" s="7">
        <f t="shared" si="68"/>
        <v>15.899999997345731</v>
      </c>
      <c r="O256" s="7"/>
      <c r="P256" s="7"/>
      <c r="Q256" s="22"/>
      <c r="R256" s="190"/>
      <c r="S256" s="196">
        <f t="shared" si="69"/>
        <v>0</v>
      </c>
      <c r="T256" s="190" t="e">
        <f t="shared" si="70"/>
        <v>#VALUE!</v>
      </c>
      <c r="U256" s="190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91" t="str">
        <f t="shared" si="71"/>
        <v>https://d0f6bd738d7f1b3e5a7ca70fe4ff75f0.us-east-1.aws.found.io/app/kibana#/discover/Steve-Slow-Train-Analysis-(2080s-and-2083s)?_g=(refreshInterval:(display:Off,pause:!f,section:0,value:0),time:(from:'2017-05-07T00:00:49-0600',mode:absolute,to:'2017-05-07T02:42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56" s="192" t="str">
        <f t="shared" si="72"/>
        <v>Y</v>
      </c>
      <c r="X256" s="192" t="e">
        <f t="shared" si="85"/>
        <v>#VALUE!</v>
      </c>
      <c r="Y256" s="192">
        <f t="shared" si="73"/>
        <v>4.4508000000000001</v>
      </c>
      <c r="Z256" s="192">
        <f t="shared" si="74"/>
        <v>1.1900000000000001E-2</v>
      </c>
      <c r="AA256" s="192">
        <f t="shared" si="75"/>
        <v>4.4389000000000003</v>
      </c>
      <c r="AB256" s="57" t="e">
        <f>VLOOKUP(A256,Enforcements!$C$7:$K$13,8,0)</f>
        <v>#N/A</v>
      </c>
      <c r="AC256" s="53" t="e">
        <f>VLOOKUP(A256,Enforcements!$C$7:$E$13,3,0)</f>
        <v>#N/A</v>
      </c>
      <c r="AD256" s="54" t="str">
        <f t="shared" si="76"/>
        <v>81-06</v>
      </c>
      <c r="AE256" s="80" t="str">
        <f t="shared" si="77"/>
        <v>aws s3 cp s3://rtdc.mdm.uploadarchive.raw/RTDC4061/ "%USERPROFILE%\AppData\Local\Temp\OnboardLogs"\RTDC4061\2017-05-07 --exclude "*" --recursive --include "*20170507*" &amp; "%USERPROFILE%\Documents\GitHub\mrs-test-scripts\Headless Mode &amp; Sideloading\WalkAndUnGZ.bat" "%USERPROFILE%\AppData\Local\Temp\OnboardLogs"\RTDC4061\2017-05-07 &amp; aws s3 cp s3://rtdc.mdm.uploadarchive.raw/RTDC4061/ "%USERPROFILE%\AppData\Local\Temp\OnboardLogs"\RTDC4061\2017-05-08 --exclude "*" --recursive --include "*20170508*" &amp; "%USERPROFILE%\Documents\GitHub\mrs-test-scripts\Headless Mode &amp; Sideloading\WalkAndUnGZ.bat" "%USERPROFILE%\AppData\Local\Temp\OnboardLogs"\RTDC4061\2017-05-08</v>
      </c>
      <c r="AF256" s="77" t="str">
        <f t="shared" si="78"/>
        <v>"C:\Program Files (x86)\AstroGrep\AstroGrep.exe" /e /r /s /spath="%USERPROFILE%\AppData\Local\Temp\OnboardLogs" /stypes="app*4061*20170507*" /stext=" 07:.+((SYSTEM_STATE.+slice.+state.+changed )|(ment ac)|(multiple cpu faults)|(system.+state.+changed )|(\[timeout)|(PRM\|1\|D)|(kpr)|(kdp)|(train st.+moving)|(\|lc)|(penalty))"</v>
      </c>
      <c r="AG256" s="1" t="str">
        <f t="shared" si="79"/>
        <v>Other</v>
      </c>
      <c r="AH256" s="81" t="str">
        <f t="shared" si="80"/>
        <v>"%USERPROFILE%\Documents\GitHub\eaglep3\Utilities\RefineRTDCRunTimes.py" --tripid 81-06 --locoid 4061 --swversion DE.1.0.9.0 --startMP 300:44508 --initTime 2017-05-07T01:00:49 --startdatetime 2017-05-07T01:26:30 --delay 1 --endMP 204:119 --enddatetime 2017-05-07T01:42:24 --enforcementcount 0 &gt;&gt;C:\Users\stu\Documents\GitHub\eaglep3-reporting\EC\2017-05-06-refined-times.txt</v>
      </c>
      <c r="AI256" s="99" t="str">
        <f t="shared" si="81"/>
        <v>echo {"issue":{"subject":"","project_id":79,"tracker_id":40,"status_id":1,"priority_id":2,"assigned_to_id":23,"start_date":"2017-05-07","description":"","custom_fields":[{"id":1,"name":"Subdivision","value":"Other"},{"id":4,"name":"Milepost","value":"0.0119"},{"id":17,"name":"Train ID","value":"81-06"},{"id":16,"name":"Locomotive ID","value":"4061"},{"id":130,"name":"Impact","value":""},{"id":150,"name":"Time of Event (Mountain Time)","value":"01:42:24"},{"id":151,"name":"Denver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5" t="str">
        <f t="shared" si="82"/>
        <v>start /low /b %USERPROFILE%\Documents\GitHub\eaglep3\Utilities\DownloadLogsFromS3.py --loco 4061 --day 2017-05-07</v>
      </c>
      <c r="AN256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07:42:24"},{"id":29,"name":"Sharepoint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7" spans="1:40" x14ac:dyDescent="0.25">
      <c r="A257" s="32" t="s">
        <v>754</v>
      </c>
      <c r="B257" s="7">
        <v>4061</v>
      </c>
      <c r="C257" s="21" t="s">
        <v>210</v>
      </c>
      <c r="D257" s="21" t="s">
        <v>1003</v>
      </c>
      <c r="E257" s="13">
        <v>42862.016782407409</v>
      </c>
      <c r="F257" s="13">
        <v>42862.017696759256</v>
      </c>
      <c r="G257" s="7">
        <v>0</v>
      </c>
      <c r="H257" s="21" t="s">
        <v>499</v>
      </c>
      <c r="I257" s="13">
        <v>42862.027627314812</v>
      </c>
      <c r="J257" s="7">
        <v>0</v>
      </c>
      <c r="K257" s="92" t="str">
        <f t="shared" si="66"/>
        <v>4061/4062</v>
      </c>
      <c r="L257" s="21" t="str">
        <f>VLOOKUP(A257,'Trips&amp;Operators'!$C$1:$G$99999,5,FALSE)</f>
        <v>FORTUNATO FRANK</v>
      </c>
      <c r="M257" s="6">
        <f t="shared" si="67"/>
        <v>9.930555555911269E-3</v>
      </c>
      <c r="N257" s="7">
        <f t="shared" si="68"/>
        <v>14.300000000512227</v>
      </c>
      <c r="O257" s="7"/>
      <c r="P257" s="7"/>
      <c r="Q257" s="22"/>
      <c r="R257" s="190"/>
      <c r="S257" s="196">
        <f t="shared" si="69"/>
        <v>0</v>
      </c>
      <c r="T257" s="190" t="e">
        <f t="shared" si="70"/>
        <v>#VALUE!</v>
      </c>
      <c r="U257" s="190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191" t="str">
        <f t="shared" si="71"/>
        <v>https://d0f6bd738d7f1b3e5a7ca70fe4ff75f0.us-east-1.aws.found.io/app/kibana#/discover/Steve-Slow-Train-Analysis-(2080s-and-2083s)?_g=(refreshInterval:(display:Off,pause:!f,section:0,value:0),time:(from:'2017-05-06T23:24:10-0600',mode:absolute,to:'2017-05-07T01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57" s="192" t="str">
        <f t="shared" si="72"/>
        <v>Y</v>
      </c>
      <c r="X257" s="192" t="e">
        <f t="shared" si="85"/>
        <v>#VALUE!</v>
      </c>
      <c r="Y257" s="192">
        <f t="shared" si="73"/>
        <v>3.9617</v>
      </c>
      <c r="Z257" s="192">
        <f t="shared" si="74"/>
        <v>1.0999999999999999E-2</v>
      </c>
      <c r="AA257" s="192">
        <f t="shared" si="75"/>
        <v>3.9506999999999999</v>
      </c>
      <c r="AB257" s="57" t="e">
        <f>VLOOKUP(A257,Enforcements!$C$7:$K$13,8,0)</f>
        <v>#N/A</v>
      </c>
      <c r="AC257" s="53" t="e">
        <f>VLOOKUP(A257,Enforcements!$C$7:$E$13,3,0)</f>
        <v>#N/A</v>
      </c>
      <c r="AD257" s="54" t="str">
        <f t="shared" si="76"/>
        <v>82-06</v>
      </c>
      <c r="AE257" s="80" t="str">
        <f t="shared" si="77"/>
        <v>aws s3 cp s3://rtdc.mdm.uploadarchive.raw/RTDC4061/ "%USERPROFILE%\AppData\Local\Temp\OnboardLogs"\RTDC4061\2017-05-07 --exclude "*" --recursive --include "*20170507*" &amp; "%USERPROFILE%\Documents\GitHub\mrs-test-scripts\Headless Mode &amp; Sideloading\WalkAndUnGZ.bat" "%USERPROFILE%\AppData\Local\Temp\OnboardLogs"\RTDC4061\2017-05-07 &amp; aws s3 cp s3://rtdc.mdm.uploadarchive.raw/RTDC4061/ "%USERPROFILE%\AppData\Local\Temp\OnboardLogs"\RTDC4061\2017-05-08 --exclude "*" --recursive --include "*20170508*" &amp; "%USERPROFILE%\Documents\GitHub\mrs-test-scripts\Headless Mode &amp; Sideloading\WalkAndUnGZ.bat" "%USERPROFILE%\AppData\Local\Temp\OnboardLogs"\RTDC4061\2017-05-08</v>
      </c>
      <c r="AF257" s="77" t="str">
        <f t="shared" si="78"/>
        <v>"C:\Program Files (x86)\AstroGrep\AstroGrep.exe" /e /r /s /spath="%USERPROFILE%\AppData\Local\Temp\OnboardLogs" /stypes="app*4061*20170507*" /stext=" 06:.+((SYSTEM_STATE.+slice.+state.+changed )|(ment ac)|(multiple cpu faults)|(system.+state.+changed )|(\[timeout)|(PRM\|1\|D)|(kpr)|(kdp)|(train st.+moving)|(\|lc)|(penalty))"</v>
      </c>
      <c r="AG257" s="1" t="str">
        <f t="shared" si="79"/>
        <v>Other</v>
      </c>
      <c r="AH257" s="81" t="str">
        <f t="shared" si="80"/>
        <v>"%USERPROFILE%\Documents\GitHub\eaglep3\Utilities\RefineRTDCRunTimes.py" --tripid 82-06 --locoid 4061 --swversion DE.1.0.9.0 --startMP 300:39617 --initTime 2017-05-07T00:24:10 --startdatetime 2017-05-07T00:25:29 --delay 0 --endMP 204:110 --enddatetime 2017-05-07T00:39:47 --enforcementcount 0 &gt;&gt;C:\Users\stu\Documents\GitHub\eaglep3-reporting\EC\2017-05-06-refined-times.txt</v>
      </c>
      <c r="AI257" s="99" t="str">
        <f t="shared" si="81"/>
        <v>echo {"issue":{"subject":"","project_id":79,"tracker_id":40,"status_id":1,"priority_id":2,"assigned_to_id":23,"start_date":"2017-05-07","description":"","custom_fields":[{"id":1,"name":"Subdivision","value":"Other"},{"id":4,"name":"Milepost","value":"0.011"},{"id":17,"name":"Train ID","value":"82-06"},{"id":16,"name":"Locomotive ID","value":"4061"},{"id":130,"name":"Impact","value":""},{"id":150,"name":"Time of Event (Mountain Time)","value":"00:39:47"},{"id":151,"name":"Denver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20"/>
      <c r="AK257" s="47"/>
      <c r="AL257" s="47"/>
      <c r="AM257" s="145" t="str">
        <f t="shared" si="82"/>
        <v>start /low /b %USERPROFILE%\Documents\GitHub\eaglep3\Utilities\DownloadLogsFromS3.py --loco 4061 --day 2017-05-07</v>
      </c>
      <c r="AN257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06:39:47"},{"id":29,"name":"Sharepoint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8" spans="1:40" x14ac:dyDescent="0.25">
      <c r="A258" s="32" t="s">
        <v>754</v>
      </c>
      <c r="B258" s="7">
        <v>4061</v>
      </c>
      <c r="C258" s="21" t="s">
        <v>210</v>
      </c>
      <c r="D258" s="21" t="s">
        <v>1004</v>
      </c>
      <c r="E258" s="13">
        <v>42861.98332175926</v>
      </c>
      <c r="F258" s="13">
        <v>42861.984780092593</v>
      </c>
      <c r="G258" s="7">
        <v>1</v>
      </c>
      <c r="H258" s="21" t="s">
        <v>1005</v>
      </c>
      <c r="I258" s="13">
        <v>42861.993321759262</v>
      </c>
      <c r="J258" s="7">
        <v>0</v>
      </c>
      <c r="K258" s="92" t="str">
        <f t="shared" si="66"/>
        <v>4061/4062</v>
      </c>
      <c r="L258" s="21" t="str">
        <f>VLOOKUP(A258,'Trips&amp;Operators'!$C$1:$G$99999,5,FALSE)</f>
        <v>FORTUNATO FRANK</v>
      </c>
      <c r="M258" s="6">
        <f t="shared" si="67"/>
        <v>8.5416666697710752E-3</v>
      </c>
      <c r="N258" s="7">
        <f t="shared" si="68"/>
        <v>12.300000004470348</v>
      </c>
      <c r="O258" s="7"/>
      <c r="P258" s="7"/>
      <c r="Q258" s="22"/>
      <c r="R258" s="190"/>
      <c r="S258" s="196">
        <f t="shared" si="69"/>
        <v>0</v>
      </c>
      <c r="T258" s="190" t="e">
        <f t="shared" si="70"/>
        <v>#VALUE!</v>
      </c>
      <c r="U258" s="190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191" t="str">
        <f t="shared" si="71"/>
        <v>https://d0f6bd738d7f1b3e5a7ca70fe4ff75f0.us-east-1.aws.found.io/app/kibana#/discover/Steve-Slow-Train-Analysis-(2080s-and-2083s)?_g=(refreshInterval:(display:Off,pause:!f,section:0,value:0),time:(from:'2017-05-06T22:35:59-0600',mode:absolute,to:'2017-05-07T00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58" s="192" t="str">
        <f t="shared" si="72"/>
        <v>Y</v>
      </c>
      <c r="X258" s="192" t="e">
        <f t="shared" si="85"/>
        <v>#VALUE!</v>
      </c>
      <c r="Y258" s="192">
        <f t="shared" si="73"/>
        <v>4.3704999999999998</v>
      </c>
      <c r="Z258" s="192">
        <f t="shared" si="74"/>
        <v>1.44E-2</v>
      </c>
      <c r="AA258" s="192">
        <f t="shared" si="75"/>
        <v>4.3560999999999996</v>
      </c>
      <c r="AB258" s="57" t="e">
        <f>VLOOKUP(A258,Enforcements!$C$7:$K$13,8,0)</f>
        <v>#N/A</v>
      </c>
      <c r="AC258" s="53" t="e">
        <f>VLOOKUP(A258,Enforcements!$C$7:$E$13,3,0)</f>
        <v>#N/A</v>
      </c>
      <c r="AD258" s="54" t="str">
        <f t="shared" si="76"/>
        <v>82-06</v>
      </c>
      <c r="AE258" s="80" t="str">
        <f t="shared" si="77"/>
        <v>aws s3 cp s3://rtdc.mdm.uploadarchive.raw/RTDC4061/ "%USERPROFILE%\AppData\Local\Temp\OnboardLogs"\RTDC4061\2017-05-06 --exclude "*" --recursive --include "*20170506*" &amp; "%USERPROFILE%\Documents\GitHub\mrs-test-scripts\Headless Mode &amp; Sideloading\WalkAndUnGZ.bat" "%USERPROFILE%\AppData\Local\Temp\OnboardLogs"\RTDC4061\2017-05-06 &amp; aws s3 cp s3://rtdc.mdm.uploadarchive.raw/RTDC4061/ "%USERPROFILE%\AppData\Local\Temp\OnboardLogs"\RTDC4061\2017-05-07 --exclude "*" --recursive --include "*20170507*" &amp; "%USERPROFILE%\Documents\GitHub\mrs-test-scripts\Headless Mode &amp; Sideloading\WalkAndUnGZ.bat" "%USERPROFILE%\AppData\Local\Temp\OnboardLogs"\RTDC4061\2017-05-07</v>
      </c>
      <c r="AF258" s="77" t="str">
        <f t="shared" si="78"/>
        <v>"C:\Program Files (x86)\AstroGrep\AstroGrep.exe" /e /r /s /spath="%USERPROFILE%\AppData\Local\Temp\OnboardLogs" /stypes="app*4061*20170507*" /stext=" 05:.+((SYSTEM_STATE.+slice.+state.+changed )|(ment ac)|(multiple cpu faults)|(system.+state.+changed )|(\[timeout)|(PRM\|1\|D)|(kpr)|(kdp)|(train st.+moving)|(\|lc)|(penalty))"</v>
      </c>
      <c r="AG258" s="1" t="str">
        <f t="shared" si="79"/>
        <v>Other</v>
      </c>
      <c r="AH258" s="81" t="str">
        <f t="shared" si="80"/>
        <v>"%USERPROFILE%\Documents\GitHub\eaglep3\Utilities\RefineRTDCRunTimes.py" --tripid 82-06 --locoid 4061 --swversion DE.1.0.9.0 --startMP 300:43705 --initTime 2017-05-06T23:35:59 --startdatetime 2017-05-06T23:38:05 --delay 1 --endMP 204:144 --enddatetime 2017-05-06T23:50:23 --enforcementcount 0 &gt;&gt;C:\Users\stu\Documents\GitHub\eaglep3-reporting\EC\2017-05-06-refined-times.txt</v>
      </c>
      <c r="AI258" s="99" t="str">
        <f t="shared" si="81"/>
        <v>echo {"issue":{"subject":"","project_id":79,"tracker_id":40,"status_id":1,"priority_id":2,"assigned_to_id":23,"start_date":"2017-05-06","description":"","custom_fields":[{"id":1,"name":"Subdivision","value":"Other"},{"id":4,"name":"Milepost","value":"0.0144"},{"id":17,"name":"Train ID","value":"82-06"},{"id":16,"name":"Locomotive ID","value":"4061"},{"id":130,"name":"Impact","value":""},{"id":150,"name":"Time of Event (Mountain Time)","value":"23:50:23"},{"id":151,"name":"Denver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20"/>
      <c r="AK258" s="47"/>
      <c r="AL258" s="47"/>
      <c r="AM258" s="145" t="str">
        <f t="shared" si="82"/>
        <v>start /low /b %USERPROFILE%\Documents\GitHub\eaglep3\Utilities\DownloadLogsFromS3.py --loco 4061 --day 2017-05-06</v>
      </c>
      <c r="AN258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05:50:23"},{"id":29,"name":"Sharepoint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9" spans="1:40" x14ac:dyDescent="0.25">
      <c r="A259" s="32" t="s">
        <v>754</v>
      </c>
      <c r="B259" s="7">
        <v>4061</v>
      </c>
      <c r="C259" s="21" t="s">
        <v>210</v>
      </c>
      <c r="D259" s="21" t="s">
        <v>1006</v>
      </c>
      <c r="E259" s="13">
        <v>42862.014108796298</v>
      </c>
      <c r="F259" s="13">
        <v>42862.017696759256</v>
      </c>
      <c r="G259" s="7">
        <v>1</v>
      </c>
      <c r="H259" s="21" t="s">
        <v>1007</v>
      </c>
      <c r="I259" s="13">
        <v>42862.027627314812</v>
      </c>
      <c r="J259" s="7">
        <v>0</v>
      </c>
      <c r="K259" s="92" t="str">
        <f t="shared" si="66"/>
        <v>4061/4062</v>
      </c>
      <c r="L259" s="21" t="str">
        <f>VLOOKUP(A259,'Trips&amp;Operators'!$C$1:$G$99999,5,FALSE)</f>
        <v>FORTUNATO FRANK</v>
      </c>
      <c r="M259" s="6">
        <f t="shared" si="67"/>
        <v>9.930555555911269E-3</v>
      </c>
      <c r="N259" s="7">
        <f t="shared" si="68"/>
        <v>14.300000000512227</v>
      </c>
      <c r="O259" s="7"/>
      <c r="P259" s="7"/>
      <c r="Q259" s="22"/>
      <c r="R259" s="190"/>
      <c r="S259" s="196">
        <f t="shared" si="69"/>
        <v>0</v>
      </c>
      <c r="T259" s="190" t="e">
        <f t="shared" si="70"/>
        <v>#VALUE!</v>
      </c>
      <c r="U259" s="190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191" t="str">
        <f t="shared" si="71"/>
        <v>https://d0f6bd738d7f1b3e5a7ca70fe4ff75f0.us-east-1.aws.found.io/app/kibana#/discover/Steve-Slow-Train-Analysis-(2080s-and-2083s)?_g=(refreshInterval:(display:Off,pause:!f,section:0,value:0),time:(from:'2017-05-06T23:20:19-0600',mode:absolute,to:'2017-05-07T01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59" s="192" t="str">
        <f t="shared" si="72"/>
        <v>Y</v>
      </c>
      <c r="X259" s="192" t="e">
        <f t="shared" si="85"/>
        <v>#VALUE!</v>
      </c>
      <c r="Y259" s="192">
        <f t="shared" si="73"/>
        <v>4.4313000000000002</v>
      </c>
      <c r="Z259" s="192">
        <f t="shared" si="74"/>
        <v>4.1134000000000004</v>
      </c>
      <c r="AA259" s="192">
        <f t="shared" si="75"/>
        <v>0.31789999999999985</v>
      </c>
      <c r="AB259" s="57" t="e">
        <f>VLOOKUP(A259,Enforcements!$C$7:$K$13,8,0)</f>
        <v>#N/A</v>
      </c>
      <c r="AC259" s="53" t="e">
        <f>VLOOKUP(A259,Enforcements!$C$7:$E$13,3,0)</f>
        <v>#N/A</v>
      </c>
      <c r="AD259" s="54" t="str">
        <f t="shared" si="76"/>
        <v>82-06</v>
      </c>
      <c r="AE259" s="80" t="str">
        <f t="shared" si="77"/>
        <v>aws s3 cp s3://rtdc.mdm.uploadarchive.raw/RTDC4061/ "%USERPROFILE%\AppData\Local\Temp\OnboardLogs"\RTDC4061\2017-05-07 --exclude "*" --recursive --include "*20170507*" &amp; "%USERPROFILE%\Documents\GitHub\mrs-test-scripts\Headless Mode &amp; Sideloading\WalkAndUnGZ.bat" "%USERPROFILE%\AppData\Local\Temp\OnboardLogs"\RTDC4061\2017-05-07 &amp; aws s3 cp s3://rtdc.mdm.uploadarchive.raw/RTDC4061/ "%USERPROFILE%\AppData\Local\Temp\OnboardLogs"\RTDC4061\2017-05-08 --exclude "*" --recursive --include "*20170508*" &amp; "%USERPROFILE%\Documents\GitHub\mrs-test-scripts\Headless Mode &amp; Sideloading\WalkAndUnGZ.bat" "%USERPROFILE%\AppData\Local\Temp\OnboardLogs"\RTDC4061\2017-05-08</v>
      </c>
      <c r="AF259" s="77" t="str">
        <f t="shared" si="78"/>
        <v>"C:\Program Files (x86)\AstroGrep\AstroGrep.exe" /e /r /s /spath="%USERPROFILE%\AppData\Local\Temp\OnboardLogs" /stypes="app*4061*20170507*" /stext=" 06:.+((SYSTEM_STATE.+slice.+state.+changed )|(ment ac)|(multiple cpu faults)|(system.+state.+changed )|(\[timeout)|(PRM\|1\|D)|(kpr)|(kdp)|(train st.+moving)|(\|lc)|(penalty))"</v>
      </c>
      <c r="AG259" s="1" t="str">
        <f t="shared" si="79"/>
        <v>Other</v>
      </c>
      <c r="AH259" s="81" t="str">
        <f t="shared" si="80"/>
        <v>"%USERPROFILE%\Documents\GitHub\eaglep3\Utilities\RefineRTDCRunTimes.py" --tripid 82-06 --locoid 4061 --swversion DE.1.0.9.0 --startMP 300:44313 --initTime 2017-05-07T00:20:19 --startdatetime 2017-05-07T00:25:29 --delay 1 --endMP 300:41134 --enddatetime 2017-05-07T00:39:47 --enforcementcount 0 &gt;&gt;C:\Users\stu\Documents\GitHub\eaglep3-reporting\EC\2017-05-06-refined-times.txt</v>
      </c>
      <c r="AI259" s="99" t="str">
        <f t="shared" si="81"/>
        <v>echo {"issue":{"subject":"","project_id":79,"tracker_id":40,"status_id":1,"priority_id":2,"assigned_to_id":23,"start_date":"2017-05-07","description":"","custom_fields":[{"id":1,"name":"Subdivision","value":"Other"},{"id":4,"name":"Milepost","value":"4.1134"},{"id":17,"name":"Train ID","value":"82-06"},{"id":16,"name":"Locomotive ID","value":"4061"},{"id":130,"name":"Impact","value":""},{"id":150,"name":"Time of Event (Mountain Time)","value":"00:39:47"},{"id":151,"name":"Denver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20"/>
      <c r="AK259" s="47"/>
      <c r="AL259" s="47"/>
      <c r="AM259" s="145" t="str">
        <f t="shared" si="82"/>
        <v>start /low /b %USERPROFILE%\Documents\GitHub\eaglep3\Utilities\DownloadLogsFromS3.py --loco 4061 --day 2017-05-07</v>
      </c>
      <c r="AN259" s="154" t="str">
        <f t="shared" si="83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06:39:47"},{"id":29,"name":"Sharepoint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0" spans="1:40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40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40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</sheetData>
  <autoFilter ref="A12:AG256">
    <sortState ref="A13:AG269">
      <sortCondition ref="AG13:AG269"/>
      <sortCondition ref="AD13:AD269"/>
    </sortState>
  </autoFilter>
  <sortState ref="A13:AH200">
    <sortCondition ref="AG13:AG200"/>
    <sortCondition ref="AD13:AD200"/>
  </sortState>
  <mergeCells count="1">
    <mergeCell ref="A11:P11"/>
  </mergeCells>
  <conditionalFormatting sqref="W11:W12 W263:X1048576 W13:X259">
    <cfRule type="cellIs" dxfId="10" priority="401" operator="equal">
      <formula>"Y"</formula>
    </cfRule>
  </conditionalFormatting>
  <conditionalFormatting sqref="X263:X1048576 X13:X259">
    <cfRule type="cellIs" dxfId="9" priority="384" operator="greaterThan">
      <formula>1</formula>
    </cfRule>
  </conditionalFormatting>
  <conditionalFormatting sqref="X263:X1048576 X12:X259">
    <cfRule type="cellIs" dxfId="8" priority="381" operator="equal">
      <formula>0</formula>
    </cfRule>
  </conditionalFormatting>
  <conditionalFormatting sqref="A13:S259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A13:S259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AK13:AK259</xm:sqref>
        </x14:dataValidation>
        <x14:dataValidation type="list" allowBlank="1" showInputMessage="1" showErrorMessage="1">
          <x14:formula1>
            <xm:f>'Redmine List Values'!$C$2:$C$15</xm:f>
          </x14:formula1>
          <xm:sqref>AL13:AL259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abSelected="1" topLeftCell="A2" zoomScaleNormal="100" workbookViewId="0">
      <selection activeCell="P20" sqref="A20:P2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COUNTIF($O$7:$O$291,"=Y")</f>
        <v>4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COUNTA($O$7:$O$291)-O2</f>
        <v>36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- 2017-05-06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200</v>
      </c>
    </row>
    <row r="7" spans="1:32" s="1" customFormat="1" x14ac:dyDescent="0.25">
      <c r="A7" s="31">
        <v>42861.697071759256</v>
      </c>
      <c r="B7" s="30" t="s">
        <v>367</v>
      </c>
      <c r="C7" s="30" t="s">
        <v>542</v>
      </c>
      <c r="D7" s="30" t="s">
        <v>49</v>
      </c>
      <c r="E7" s="30" t="s">
        <v>191</v>
      </c>
      <c r="F7" s="42">
        <v>0</v>
      </c>
      <c r="G7" s="42">
        <v>201</v>
      </c>
      <c r="H7" s="42">
        <v>27021</v>
      </c>
      <c r="I7" s="42">
        <v>27287</v>
      </c>
      <c r="J7" s="30" t="s">
        <v>192</v>
      </c>
      <c r="K7" s="42">
        <v>27053</v>
      </c>
      <c r="L7" s="134" t="s">
        <v>50</v>
      </c>
      <c r="M7" s="135">
        <f t="shared" ref="M7:M46" si="0">CONVERT((I7-K7)/10000,"mi","ft")*IF(L7="Increasing Mileposts (1)",-1,1)</f>
        <v>-123.55200000000001</v>
      </c>
      <c r="N7" s="136" t="str">
        <f>VLOOKUP(C7,'Trips&amp;Operators'!$C$1:$G$99999,5,FALSE)</f>
        <v>STEWART MICHAEL</v>
      </c>
      <c r="O7" s="207" t="s">
        <v>184</v>
      </c>
      <c r="P7" s="137" t="s">
        <v>1038</v>
      </c>
      <c r="Q7" s="30"/>
      <c r="R7" s="84" t="e">
        <f>IF(VLOOKUP(C7,'Train Runs'!$A$13:$AE$9932,1,1)=C7,VLOOKUP(C7,'Train Runs'!$A$13:$AE$9932,31,1),NA())</f>
        <v>#N/A</v>
      </c>
      <c r="S7" s="87" t="str">
        <f>VLOOKUP(C7,'Train Runs'!$A$13:$AE$9932,22,0)</f>
        <v>https://d0f6bd738d7f1b3e5a7ca70fe4ff75f0.us-east-1.aws.found.io/app/kibana#/discover/Steve-Slow-Train-Analysis-(2080s-and-2083s)?_g=(refreshInterval:(display:Off,pause:!f,section:0,value:0),time:(from:'2017-05-06T15:32:57-0600',mode:absolute,to:'2017-05-06T18:18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7" s="89" t="str">
        <f t="shared" ref="T7:T46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/stypes="*4010*201705062*" /stext=" 22:.+((SYSTEM_STATE.+slice.+state.+changed )|(ment ac)|(multiple cpu faults)|(system.+state.+changed )|(\[timeout)|(PRM\|1\|D)|(kpr)|(kdp)|(train st.+moving)|(\|lc)|(penalty))"</v>
      </c>
      <c r="U7" s="9" t="str">
        <f t="shared" ref="U7:U46" si="2">MID(B7,13,4)</f>
        <v>4010</v>
      </c>
      <c r="V7" s="31">
        <f t="shared" ref="V7:V46" si="3">A7-utc_offset/24</f>
        <v>42861.947071759256</v>
      </c>
      <c r="W7" s="45" t="str">
        <f t="shared" ref="W7:W46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46" si="5">IF(AND(E7="TRACK WARRANT AUTHORITY",G7&lt;10),"OMIT","KEEP")</f>
        <v>KEEP</v>
      </c>
      <c r="Y7" s="99" t="str">
        <f t="shared" ref="Y7:Y4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arrival","project_id":79,"tracker_id":40,"status_id":1,"priority_id":2,"assigned_to_id":23,"start_date":"2017-05-06","description":"","custom_fields":[{"id":1,"name":"Subdivision","value":"EC"},{"id":4,"name":"Milepost","value":"2.7053"},{"id":17,"name":"Train ID","value":"203-06"},{"id":16,"name":"Locomotive ID","value":"4010"},{"id":130,"name":"Impact","value":""},{"id":150,"name":"Time of Event (Mountain Time)","value":"16:43:47"},{"id":151,"name":"Denver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46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/cygdrive/c/Users/stu/AppData/Local/Temp/OnboardLogs/RTDC4010 --include="*4010*201705062*"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"%USERPROFILE%\AppData\Local\Temp\OnboardLogs"\RTDC4010\*4010*201705062* &gt;&gt; 2017-05-06-SliceDisagreementCheck.txt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4010 --day 2017-05-06</v>
      </c>
    </row>
    <row r="8" spans="1:32" s="1" customFormat="1" x14ac:dyDescent="0.25">
      <c r="A8" s="31">
        <v>42861.298217592594</v>
      </c>
      <c r="B8" s="30" t="s">
        <v>378</v>
      </c>
      <c r="C8" s="30" t="s">
        <v>517</v>
      </c>
      <c r="D8" s="30" t="s">
        <v>49</v>
      </c>
      <c r="E8" s="30" t="s">
        <v>191</v>
      </c>
      <c r="F8" s="42">
        <v>390</v>
      </c>
      <c r="G8" s="42">
        <v>444</v>
      </c>
      <c r="H8" s="42">
        <v>32721</v>
      </c>
      <c r="I8" s="42">
        <v>33707</v>
      </c>
      <c r="J8" s="30" t="s">
        <v>192</v>
      </c>
      <c r="K8" s="42">
        <v>33137</v>
      </c>
      <c r="L8" s="134" t="s">
        <v>50</v>
      </c>
      <c r="M8" s="135">
        <f t="shared" si="0"/>
        <v>-300.95999999999998</v>
      </c>
      <c r="N8" s="136" t="str">
        <f>VLOOKUP(C8,'Trips&amp;Operators'!$C$1:$G$99999,5,FALSE)</f>
        <v>SANTIZO D. EDY</v>
      </c>
      <c r="O8" s="207" t="s">
        <v>184</v>
      </c>
      <c r="P8" s="137" t="s">
        <v>1038</v>
      </c>
      <c r="Q8" s="30"/>
      <c r="R8" s="84" t="str">
        <f>IF(VLOOKUP(C8,'Train Runs'!$A$13:$AE$9932,1,1)=C8,VLOOKUP(C8,'Train Runs'!$A$13:$AE$9932,31,1),NA())</f>
        <v>aws s3 cp s3://rtdc.mdm.uploadarchive.raw/RTDC4054/ "%USERPROFILE%\AppData\Local\Temp\OnboardLogs"\RTDC4054\2017-05-06 --exclude "*" --recursive --include "*20170506*" &amp; "%USERPROFILE%\Documents\GitHub\mrs-test-scripts\Headless Mode &amp; Sideloading\WalkAndUnGZ.bat" "%USERPROFILE%\AppData\Local\Temp\OnboardLogs"\RTDC4054\2017-05-06 &amp; aws s3 cp s3://rtdc.mdm.uploadarchive.raw/RTDC4054/ "%USERPROFILE%\AppData\Local\Temp\OnboardLogs"\RTDC4054\2017-05-07 --exclude "*" --recursive --include "*20170507*" &amp; "%USERPROFILE%\Documents\GitHub\mrs-test-scripts\Headless Mode &amp; Sideloading\WalkAndUnGZ.bat" "%USERPROFILE%\AppData\Local\Temp\OnboardLogs"\RTDC4054\2017-05-07</v>
      </c>
      <c r="S8" s="87" t="str">
        <f>VLOOKUP(C8,'Train Runs'!$A$13:$AE$9932,22,0)</f>
        <v>https://d0f6bd738d7f1b3e5a7ca70fe4ff75f0.us-east-1.aws.found.io/app/kibana#/discover/Steve-Slow-Train-Analysis-(2080s-and-2083s)?_g=(refreshInterval:(display:Off,pause:!f,section:0,value:0),time:(from:'2017-05-06T05:54:45-0600',mode:absolute,to:'2017-05-06T08:38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8" s="89" t="str">
        <f t="shared" si="1"/>
        <v>"C:\Program Files (x86)\AstroGrep\AstroGrep.exe" /e /r /s /spath="%USERPROFILE%\AppData\Local\Temp\OnboardLogs" /stypes="*4054*201705061*" /stext=" 13:.+((SYSTEM_STATE.+slice.+state.+changed )|(ment ac)|(multiple cpu faults)|(system.+state.+changed )|(\[timeout)|(PRM\|1\|D)|(kpr)|(kdp)|(train st.+moving)|(\|lc)|(penalty))"</v>
      </c>
      <c r="U8" s="9" t="str">
        <f t="shared" si="2"/>
        <v>4054</v>
      </c>
      <c r="V8" s="31">
        <f t="shared" si="3"/>
        <v>42861.548217592594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arrival","project_id":79,"tracker_id":40,"status_id":1,"priority_id":2,"assigned_to_id":23,"start_date":"2017-05-06","description":"","custom_fields":[{"id":1,"name":"Subdivision","value":"EC"},{"id":4,"name":"Milepost","value":"3.3137"},{"id":17,"name":"Train ID","value":"127-06"},{"id":16,"name":"Locomotive ID","value":"4054"},{"id":130,"name":"Impact","value":""},{"id":150,"name":"Time of Event (Mountain Time)","value":"07:09:26"},{"id":151,"name":"Denver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/cygdrive/c/Users/stu/AppData/Local/Temp/OnboardLogs/RTDC4054 --include="*4054*201705061*"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"%USERPROFILE%\AppData\Local\Temp\OnboardLogs"\RTDC4054\*4054*201705061* &gt;&gt; 2017-05-06-SliceDisagreementCheck.txt</v>
      </c>
      <c r="AE8" s="148" t="str">
        <f t="shared" ref="AE8:AE46" si="9">"start /low /b "&amp;dls3logs&amp;" --loco "&amp;U8&amp;" --day "&amp;TEXT(V8,"YYYY-MM-DD")</f>
        <v>start /low /b %USERPROFILE%\Documents\GitHub\eaglep3\Utilities\DownloadLogsFromS3.py --loco 4054 --day 2017-05-06</v>
      </c>
    </row>
    <row r="9" spans="1:32" s="1" customFormat="1" x14ac:dyDescent="0.25">
      <c r="A9" s="31">
        <v>42861.196273148147</v>
      </c>
      <c r="B9" s="30" t="s">
        <v>376</v>
      </c>
      <c r="C9" s="30" t="s">
        <v>513</v>
      </c>
      <c r="D9" s="30" t="s">
        <v>49</v>
      </c>
      <c r="E9" s="30" t="s">
        <v>191</v>
      </c>
      <c r="F9" s="42">
        <v>0</v>
      </c>
      <c r="G9" s="42">
        <v>345</v>
      </c>
      <c r="H9" s="42">
        <v>51505</v>
      </c>
      <c r="I9" s="42">
        <v>52310</v>
      </c>
      <c r="J9" s="30" t="s">
        <v>192</v>
      </c>
      <c r="K9" s="42">
        <v>53155</v>
      </c>
      <c r="L9" s="134" t="s">
        <v>50</v>
      </c>
      <c r="M9" s="135">
        <f t="shared" si="0"/>
        <v>446.16</v>
      </c>
      <c r="N9" s="136" t="str">
        <f>VLOOKUP(C9,'Trips&amp;Operators'!$C$1:$G$99999,5,FALSE)</f>
        <v>MAELZER KURT</v>
      </c>
      <c r="O9" s="207" t="s">
        <v>184</v>
      </c>
      <c r="P9" s="137" t="s">
        <v>1039</v>
      </c>
      <c r="Q9" s="30"/>
      <c r="R9" s="84" t="str">
        <f>IF(VLOOKUP(C9,'Train Runs'!$A$13:$AE$9932,1,1)=C9,VLOOKUP(C9,'Train Runs'!$A$13:$AE$9932,31,1),NA())</f>
        <v>aws s3 cp s3://rtdc.mdm.uploadarchive.raw/RTDC4004/ "%USERPROFILE%\AppData\Local\Temp\OnboardLogs"\RTDC4004\2017-05-06 --exclude "*" --recursive --include "*20170506*" &amp; "%USERPROFILE%\Documents\GitHub\mrs-test-scripts\Headless Mode &amp; Sideloading\WalkAndUnGZ.bat" "%USERPROFILE%\AppData\Local\Temp\OnboardLogs"\RTDC4004\2017-05-06 &amp; 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</v>
      </c>
      <c r="S9" s="87" t="str">
        <f>VLOOKUP(C9,'Train Runs'!$A$13:$AE$9932,22,0)</f>
        <v>https://d0f6bd738d7f1b3e5a7ca70fe4ff75f0.us-east-1.aws.found.io/app/kibana#/discover/Steve-Slow-Train-Analysis-(2080s-and-2083s)?_g=(refreshInterval:(display:Off,pause:!f,section:0,value:0),time:(from:'2017-05-06T03:13:24-0600',mode:absolute,to:'2017-05-06T06:09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9" s="89" t="str">
        <f t="shared" si="1"/>
        <v>"C:\Program Files (x86)\AstroGrep\AstroGrep.exe" /e /r /s /spath="%USERPROFILE%\AppData\Local\Temp\OnboardLogs" /stypes="*4004*201705061*" /stext=" 10:.+((SYSTEM_STATE.+slice.+state.+changed )|(ment ac)|(multiple cpu faults)|(system.+state.+changed )|(\[timeout)|(PRM\|1\|D)|(kpr)|(kdp)|(train st.+moving)|(\|lc)|(penalty))"</v>
      </c>
      <c r="U9" s="9" t="str">
        <f t="shared" si="2"/>
        <v>4004</v>
      </c>
      <c r="V9" s="31">
        <f t="shared" si="3"/>
        <v>42861.446273148147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{"issue":{"subject":"Form C","project_id":79,"tracker_id":40,"status_id":1,"priority_id":2,"assigned_to_id":23,"start_date":"2017-05-06","description":"","custom_fields":[{"id":1,"name":"Subdivision","value":"EC"},{"id":4,"name":"Milepost","value":"5.3155"},{"id":17,"name":"Train ID","value":"107-06"},{"id":16,"name":"Locomotive ID","value":"4004"},{"id":130,"name":"Impact","value":""},{"id":150,"name":"Time of Event (Mountain Time)","value":"04:42:38"},{"id":151,"name":"Denver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/cygdrive/c/Users/stu/AppData/Local/Temp/OnboardLogs/RTDC4004 --include="*4004*201705061*"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"%USERPROFILE%\AppData\Local\Temp\OnboardLogs"\RTDC4004\*4004*201705061* &gt;&gt; 2017-05-06-SliceDisagreementCheck.txt</v>
      </c>
      <c r="AE9" s="148" t="str">
        <f t="shared" si="9"/>
        <v>start /low /b %USERPROFILE%\Documents\GitHub\eaglep3\Utilities\DownloadLogsFromS3.py --loco 4004 --day 2017-05-06</v>
      </c>
    </row>
    <row r="10" spans="1:32" s="1" customFormat="1" x14ac:dyDescent="0.25">
      <c r="A10" s="31">
        <v>42861.268645833334</v>
      </c>
      <c r="B10" s="30" t="s">
        <v>438</v>
      </c>
      <c r="C10" s="30" t="s">
        <v>516</v>
      </c>
      <c r="D10" s="30" t="s">
        <v>49</v>
      </c>
      <c r="E10" s="30" t="s">
        <v>191</v>
      </c>
      <c r="F10" s="42">
        <v>0</v>
      </c>
      <c r="G10" s="42">
        <v>308</v>
      </c>
      <c r="H10" s="42">
        <v>51236</v>
      </c>
      <c r="I10" s="42">
        <v>51947</v>
      </c>
      <c r="J10" s="30" t="s">
        <v>192</v>
      </c>
      <c r="K10" s="42">
        <v>53155</v>
      </c>
      <c r="L10" s="134" t="s">
        <v>50</v>
      </c>
      <c r="M10" s="135">
        <f t="shared" si="0"/>
        <v>637.82399999999996</v>
      </c>
      <c r="N10" s="136" t="str">
        <f>VLOOKUP(C10,'Trips&amp;Operators'!$C$1:$G$99999,5,FALSE)</f>
        <v>ROBINSON KADDIBA</v>
      </c>
      <c r="O10" s="207" t="s">
        <v>184</v>
      </c>
      <c r="P10" s="137" t="s">
        <v>1039</v>
      </c>
      <c r="Q10" s="30"/>
      <c r="R10" s="84" t="str">
        <f>IF(VLOOKUP(C10,'Train Runs'!$A$13:$AE$9932,1,1)=C10,VLOOKUP(C10,'Train Runs'!$A$13:$AE$9932,31,1),NA())</f>
        <v>aws s3 cp s3://rtdc.mdm.uploadarchive.raw/RTDC4024/ "%USERPROFILE%\AppData\Local\Temp\OnboardLogs"\RTDC4024\2017-05-06 --exclude "*" --recursive --include "*20170506*" &amp; "%USERPROFILE%\Documents\GitHub\mrs-test-scripts\Headless Mode &amp; Sideloading\WalkAndUnGZ.bat" "%USERPROFILE%\AppData\Local\Temp\OnboardLogs"\RTDC4024\2017-05-06 &amp; aws s3 cp s3://rtdc.mdm.uploadarchive.raw/RTDC4024/ "%USERPROFILE%\AppData\Local\Temp\OnboardLogs"\RTDC4024\2017-05-07 --exclude "*" --recursive --include "*20170507*" &amp; "%USERPROFILE%\Documents\GitHub\mrs-test-scripts\Headless Mode &amp; Sideloading\WalkAndUnGZ.bat" "%USERPROFILE%\AppData\Local\Temp\OnboardLogs"\RTDC4024\2017-05-07</v>
      </c>
      <c r="S10" s="87" t="str">
        <f>VLOOKUP(C10,'Train Runs'!$A$13:$AE$9932,22,0)</f>
        <v>https://d0f6bd738d7f1b3e5a7ca70fe4ff75f0.us-east-1.aws.found.io/app/kibana#/discover/Steve-Slow-Train-Analysis-(2080s-and-2083s)?_g=(refreshInterval:(display:Off,pause:!f,section:0,value:0),time:(from:'2017-05-06T05:08:46-0600',mode:absolute,to:'2017-05-06T07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0" s="89" t="str">
        <f t="shared" si="1"/>
        <v>"C:\Program Files (x86)\AstroGrep\AstroGrep.exe" /e /r /s /spath="%USERPROFILE%\AppData\Local\Temp\OnboardLogs" /stypes="*4024*201705061*" /stext=" 12:.+((SYSTEM_STATE.+slice.+state.+changed )|(ment ac)|(multiple cpu faults)|(system.+state.+changed )|(\[timeout)|(PRM\|1\|D)|(kpr)|(kdp)|(train st.+moving)|(\|lc)|(penalty))"</v>
      </c>
      <c r="U10" s="9" t="str">
        <f t="shared" si="2"/>
        <v>4024</v>
      </c>
      <c r="V10" s="31">
        <f t="shared" si="3"/>
        <v>42861.518645833334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{"issue":{"subject":"Form C","project_id":79,"tracker_id":40,"status_id":1,"priority_id":2,"assigned_to_id":23,"start_date":"2017-05-06","description":"","custom_fields":[{"id":1,"name":"Subdivision","value":"EC"},{"id":4,"name":"Milepost","value":"5.3155"},{"id":17,"name":"Train ID","value":"121-06"},{"id":16,"name":"Locomotive ID","value":"4024"},{"id":130,"name":"Impact","value":""},{"id":150,"name":"Time of Event (Mountain Time)","value":"06:26:51"},{"id":151,"name":"Denver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/cygdrive/c/Users/stu/AppData/Local/Temp/OnboardLogs/RTDC4024 --include="*4024*201705061*"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"%USERPROFILE%\AppData\Local\Temp\OnboardLogs"\RTDC4024\*4024*201705061* &gt;&gt; 2017-05-06-SliceDisagreementCheck.txt</v>
      </c>
      <c r="AE10" s="148" t="str">
        <f t="shared" si="9"/>
        <v>start /low /b %USERPROFILE%\Documents\GitHub\eaglep3\Utilities\DownloadLogsFromS3.py --loco 4024 --day 2017-05-06</v>
      </c>
    </row>
    <row r="11" spans="1:32" s="1" customFormat="1" x14ac:dyDescent="0.25">
      <c r="A11" s="31">
        <v>42861.394548611112</v>
      </c>
      <c r="B11" s="30" t="s">
        <v>520</v>
      </c>
      <c r="C11" s="30" t="s">
        <v>521</v>
      </c>
      <c r="D11" s="30" t="s">
        <v>49</v>
      </c>
      <c r="E11" s="30" t="s">
        <v>191</v>
      </c>
      <c r="F11" s="42">
        <v>0</v>
      </c>
      <c r="G11" s="42">
        <v>316</v>
      </c>
      <c r="H11" s="42">
        <v>51788</v>
      </c>
      <c r="I11" s="42">
        <v>52400</v>
      </c>
      <c r="J11" s="30" t="s">
        <v>192</v>
      </c>
      <c r="K11" s="42">
        <v>53155</v>
      </c>
      <c r="L11" s="134" t="s">
        <v>50</v>
      </c>
      <c r="M11" s="135">
        <f t="shared" si="0"/>
        <v>398.64</v>
      </c>
      <c r="N11" s="136" t="str">
        <f>VLOOKUP(C11,'Trips&amp;Operators'!$C$1:$G$99999,5,FALSE)</f>
        <v>BADERTSCHER DIANE</v>
      </c>
      <c r="O11" s="207" t="s">
        <v>184</v>
      </c>
      <c r="P11" s="137" t="s">
        <v>1039</v>
      </c>
      <c r="Q11" s="30"/>
      <c r="R11" s="84" t="str">
        <f>IF(VLOOKUP(C11,'Train Runs'!$A$13:$AE$9932,1,1)=C11,VLOOKUP(C11,'Train Runs'!$A$13:$AE$9932,31,1),NA())</f>
        <v>aws s3 cp s3://rtdc.mdm.uploadarchive.raw/RTDC4002/ "%USERPROFILE%\AppData\Local\Temp\OnboardLogs"\RTDC4002\2017-05-06 --exclude "*" --recursive --include "*20170506*" &amp; "%USERPROFILE%\Documents\GitHub\mrs-test-scripts\Headless Mode &amp; Sideloading\WalkAndUnGZ.bat" "%USERPROFILE%\AppData\Local\Temp\OnboardLogs"\RTDC4002\2017-05-06 &amp; aws s3 cp s3://rtdc.mdm.uploadarchive.raw/RTDC4002/ "%USERPROFILE%\AppData\Local\Temp\OnboardLogs"\RTDC4002\2017-05-07 --exclude "*" --recursive --include "*20170507*" &amp; "%USERPROFILE%\Documents\GitHub\mrs-test-scripts\Headless Mode &amp; Sideloading\WalkAndUnGZ.bat" "%USERPROFILE%\AppData\Local\Temp\OnboardLogs"\RTDC4002\2017-05-07</v>
      </c>
      <c r="S11" s="87" t="str">
        <f>VLOOKUP(C11,'Train Runs'!$A$13:$AE$9932,22,0)</f>
        <v>https://d0f6bd738d7f1b3e5a7ca70fe4ff75f0.us-east-1.aws.found.io/app/kibana#/discover/Steve-Slow-Train-Analysis-(2080s-and-2083s)?_g=(refreshInterval:(display:Off,pause:!f,section:0,value:0),time:(from:'2017-05-06T08:11:56-0600',mode:absolute,to:'2017-05-06T10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1" s="89" t="str">
        <f t="shared" si="1"/>
        <v>"C:\Program Files (x86)\AstroGrep\AstroGrep.exe" /e /r /s /spath="%USERPROFILE%\AppData\Local\Temp\OnboardLogs" /stypes="*4002*201705061*" /stext=" 15:.+((SYSTEM_STATE.+slice.+state.+changed )|(ment ac)|(multiple cpu faults)|(system.+state.+changed )|(\[timeout)|(PRM\|1\|D)|(kpr)|(kdp)|(train st.+moving)|(\|lc)|(penalty))"</v>
      </c>
      <c r="U11" s="9" t="str">
        <f t="shared" si="2"/>
        <v>4002</v>
      </c>
      <c r="V11" s="31">
        <f t="shared" si="3"/>
        <v>42861.644548611112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{"issue":{"subject":"Form C","project_id":79,"tracker_id":40,"status_id":1,"priority_id":2,"assigned_to_id":23,"start_date":"2017-05-06","description":"","custom_fields":[{"id":1,"name":"Subdivision","value":"EC"},{"id":4,"name":"Milepost","value":"5.3155"},{"id":17,"name":"Train ID","value":"145-06"},{"id":16,"name":"Locomotive ID","value":"4002"},{"id":130,"name":"Impact","value":""},{"id":150,"name":"Time of Event (Mountain Time)","value":"09:28:09"},{"id":151,"name":"Denver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/cygdrive/c/Users/stu/AppData/Local/Temp/OnboardLogs/RTDC4002 --include="*4002*201705061*"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"%USERPROFILE%\AppData\Local\Temp\OnboardLogs"\RTDC4002\*4002*201705061* &gt;&gt; 2017-05-06-SliceDisagreementCheck.txt</v>
      </c>
      <c r="AE11" s="148" t="str">
        <f t="shared" si="9"/>
        <v>start /low /b %USERPROFILE%\Documents\GitHub\eaglep3\Utilities\DownloadLogsFromS3.py --loco 4002 --day 2017-05-06</v>
      </c>
    </row>
    <row r="12" spans="1:32" s="1" customFormat="1" x14ac:dyDescent="0.25">
      <c r="A12" s="31">
        <v>42861.587002314816</v>
      </c>
      <c r="B12" s="30" t="s">
        <v>386</v>
      </c>
      <c r="C12" s="30" t="s">
        <v>537</v>
      </c>
      <c r="D12" s="30" t="s">
        <v>49</v>
      </c>
      <c r="E12" s="30" t="s">
        <v>191</v>
      </c>
      <c r="F12" s="42">
        <v>0</v>
      </c>
      <c r="G12" s="42">
        <v>296</v>
      </c>
      <c r="H12" s="42">
        <v>51883</v>
      </c>
      <c r="I12" s="42">
        <v>52483</v>
      </c>
      <c r="J12" s="30" t="s">
        <v>192</v>
      </c>
      <c r="K12" s="42">
        <v>53155</v>
      </c>
      <c r="L12" s="134" t="s">
        <v>50</v>
      </c>
      <c r="M12" s="135">
        <f t="shared" si="0"/>
        <v>354.81599999999997</v>
      </c>
      <c r="N12" s="136" t="str">
        <f>VLOOKUP(C12,'Trips&amp;Operators'!$C$1:$G$99999,5,FALSE)</f>
        <v>MCREYNOLDS KYLE</v>
      </c>
      <c r="O12" s="207" t="s">
        <v>184</v>
      </c>
      <c r="P12" s="137" t="s">
        <v>1039</v>
      </c>
      <c r="Q12" s="30"/>
      <c r="R12" s="84" t="str">
        <f>IF(VLOOKUP(C12,'Train Runs'!$A$13:$AE$9932,1,1)=C12,VLOOKUP(C12,'Train Runs'!$A$13:$AE$9932,31,1),NA())</f>
        <v>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 &amp; aws s3 cp s3://rtdc.mdm.uploadarchive.raw/RTDC4018/ "%USERPROFILE%\AppData\Local\Temp\OnboardLogs"\RTDC4018\2017-05-07 --exclude "*" --recursive --include "*20170507*" &amp; "%USERPROFILE%\Documents\GitHub\mrs-test-scripts\Headless Mode &amp; Sideloading\WalkAndUnGZ.bat" "%USERPROFILE%\AppData\Local\Temp\OnboardLogs"\RTDC4018\2017-05-07</v>
      </c>
      <c r="S12" s="87" t="str">
        <f>VLOOKUP(C12,'Train Runs'!$A$13:$AE$9932,22,0)</f>
        <v>https://d0f6bd738d7f1b3e5a7ca70fe4ff75f0.us-east-1.aws.found.io/app/kibana#/discover/Steve-Slow-Train-Analysis-(2080s-and-2083s)?_g=(refreshInterval:(display:Off,pause:!f,section:0,value:0),time:(from:'2017-05-06T12:51:41-0600',mode:absolute,to:'2017-05-06T15:31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2" s="89" t="str">
        <f t="shared" si="1"/>
        <v>"C:\Program Files (x86)\AstroGrep\AstroGrep.exe" /e /r /s /spath="%USERPROFILE%\AppData\Local\Temp\OnboardLogs" /stypes="*4018*201705062*" /stext=" 20:.+((SYSTEM_STATE.+slice.+state.+changed )|(ment ac)|(multiple cpu faults)|(system.+state.+changed )|(\[timeout)|(PRM\|1\|D)|(kpr)|(kdp)|(train st.+moving)|(\|lc)|(penalty))"</v>
      </c>
      <c r="U12" s="9" t="str">
        <f t="shared" si="2"/>
        <v>4018</v>
      </c>
      <c r="V12" s="31">
        <f t="shared" si="3"/>
        <v>42861.837002314816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{"issue":{"subject":"Form C","project_id":79,"tracker_id":40,"status_id":1,"priority_id":2,"assigned_to_id":23,"start_date":"2017-05-06","description":"","custom_fields":[{"id":1,"name":"Subdivision","value":"EC"},{"id":4,"name":"Milepost","value":"5.3155"},{"id":17,"name":"Train ID","value":"181-06"},{"id":16,"name":"Locomotive ID","value":"4018"},{"id":130,"name":"Impact","value":""},{"id":150,"name":"Time of Event (Mountain Time)","value":"14:05:17"},{"id":151,"name":"Denver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/cygdrive/c/Users/stu/AppData/Local/Temp/OnboardLogs/RTDC4018 --include="*4018*201705062*"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"%USERPROFILE%\AppData\Local\Temp\OnboardLogs"\RTDC4018\*4018*201705062* &gt;&gt; 2017-05-06-SliceDisagreementCheck.txt</v>
      </c>
      <c r="AE12" s="148" t="str">
        <f t="shared" si="9"/>
        <v>start /low /b %USERPROFILE%\Documents\GitHub\eaglep3\Utilities\DownloadLogsFromS3.py --loco 4018 --day 2017-05-06</v>
      </c>
    </row>
    <row r="13" spans="1:32" s="1" customFormat="1" x14ac:dyDescent="0.25">
      <c r="A13" s="31">
        <v>42861.633946759262</v>
      </c>
      <c r="B13" s="30" t="s">
        <v>438</v>
      </c>
      <c r="C13" s="30" t="s">
        <v>540</v>
      </c>
      <c r="D13" s="30" t="s">
        <v>49</v>
      </c>
      <c r="E13" s="30" t="s">
        <v>191</v>
      </c>
      <c r="F13" s="42">
        <v>0</v>
      </c>
      <c r="G13" s="42">
        <v>221</v>
      </c>
      <c r="H13" s="42">
        <v>52335</v>
      </c>
      <c r="I13" s="42">
        <v>52697</v>
      </c>
      <c r="J13" s="30" t="s">
        <v>192</v>
      </c>
      <c r="K13" s="42">
        <v>53155</v>
      </c>
      <c r="L13" s="134" t="s">
        <v>50</v>
      </c>
      <c r="M13" s="135">
        <f t="shared" si="0"/>
        <v>241.82400000000001</v>
      </c>
      <c r="N13" s="136" t="str">
        <f>VLOOKUP(C13,'Trips&amp;Operators'!$C$1:$G$99999,5,FALSE)</f>
        <v>BRUDER RICHARD</v>
      </c>
      <c r="O13" s="207" t="s">
        <v>184</v>
      </c>
      <c r="P13" s="137" t="s">
        <v>1039</v>
      </c>
      <c r="Q13" s="30"/>
      <c r="R13" s="84" t="e">
        <f>IF(VLOOKUP(C13,'Train Runs'!$A$13:$AE$9932,1,1)=C13,VLOOKUP(C13,'Train Runs'!$A$13:$AE$9932,31,1),NA())</f>
        <v>#N/A</v>
      </c>
      <c r="S13" s="87" t="str">
        <f>VLOOKUP(C13,'Train Runs'!$A$13:$AE$9932,22,0)</f>
        <v>https://d0f6bd738d7f1b3e5a7ca70fe4ff75f0.us-east-1.aws.found.io/app/kibana#/discover/Steve-Slow-Train-Analysis-(2080s-and-2083s)?_g=(refreshInterval:(display:Off,pause:!f,section:0,value:0),time:(from:'2017-05-06T13:59:17-0600',mode:absolute,to:'2017-05-06T16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3" s="89" t="str">
        <f t="shared" si="1"/>
        <v>"C:\Program Files (x86)\AstroGrep\AstroGrep.exe" /e /r /s /spath="%USERPROFILE%\AppData\Local\Temp\OnboardLogs" /stypes="*4024*201705062*" /stext=" 21:.+((SYSTEM_STATE.+slice.+state.+changed )|(ment ac)|(multiple cpu faults)|(system.+state.+changed )|(\[timeout)|(PRM\|1\|D)|(kpr)|(kdp)|(train st.+moving)|(\|lc)|(penalty))"</v>
      </c>
      <c r="U13" s="9" t="str">
        <f t="shared" si="2"/>
        <v>4024</v>
      </c>
      <c r="V13" s="31">
        <f t="shared" si="3"/>
        <v>42861.883946759262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{"issue":{"subject":"Form C","project_id":79,"tracker_id":40,"status_id":1,"priority_id":2,"assigned_to_id":23,"start_date":"2017-05-06","description":"","custom_fields":[{"id":1,"name":"Subdivision","value":"EC"},{"id":4,"name":"Milepost","value":"5.3155"},{"id":17,"name":"Train ID","value":"191-06"},{"id":16,"name":"Locomotive ID","value":"4024"},{"id":130,"name":"Impact","value":""},{"id":150,"name":"Time of Event (Mountain Time)","value":"15:12:53"},{"id":151,"name":"Denver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/cygdrive/c/Users/stu/AppData/Local/Temp/OnboardLogs/RTDC4024 --include="*4024*201705062*"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"%USERPROFILE%\AppData\Local\Temp\OnboardLogs"\RTDC4024\*4024*201705062* &gt;&gt; 2017-05-06-SliceDisagreementCheck.txt</v>
      </c>
      <c r="AE13" s="148" t="str">
        <f t="shared" si="9"/>
        <v>start /low /b %USERPROFILE%\Documents\GitHub\eaglep3\Utilities\DownloadLogsFromS3.py --loco 4024 --day 2017-05-06</v>
      </c>
    </row>
    <row r="14" spans="1:32" x14ac:dyDescent="0.25">
      <c r="A14" s="31">
        <v>42862.008842592593</v>
      </c>
      <c r="B14" s="30" t="s">
        <v>471</v>
      </c>
      <c r="C14" s="30" t="s">
        <v>553</v>
      </c>
      <c r="D14" s="30" t="s">
        <v>49</v>
      </c>
      <c r="E14" s="30" t="s">
        <v>191</v>
      </c>
      <c r="F14" s="42">
        <v>0</v>
      </c>
      <c r="G14" s="42">
        <v>240</v>
      </c>
      <c r="H14" s="42">
        <v>52312</v>
      </c>
      <c r="I14" s="42">
        <v>52745</v>
      </c>
      <c r="J14" s="30" t="s">
        <v>192</v>
      </c>
      <c r="K14" s="42">
        <v>53155</v>
      </c>
      <c r="L14" s="134" t="s">
        <v>50</v>
      </c>
      <c r="M14" s="135">
        <f t="shared" si="0"/>
        <v>216.48</v>
      </c>
      <c r="N14" s="136" t="str">
        <f>VLOOKUP(C14,'Trips&amp;Operators'!$C$1:$G$99999,5,FALSE)</f>
        <v>STAMBAUGH JAMES</v>
      </c>
      <c r="O14" s="207" t="s">
        <v>184</v>
      </c>
      <c r="P14" s="137" t="s">
        <v>1039</v>
      </c>
      <c r="Q14" s="30"/>
      <c r="R14" s="84" t="e">
        <f>IF(VLOOKUP(C14,'Train Runs'!$A$13:$AE$9932,1,1)=C14,VLOOKUP(C14,'Train Runs'!$A$13:$AE$9932,31,1),NA())</f>
        <v>#N/A</v>
      </c>
      <c r="S14" s="87" t="str">
        <f>VLOOKUP(C14,'Train Runs'!$A$13:$AE$9932,22,0)</f>
        <v>https://d0f6bd738d7f1b3e5a7ca70fe4ff75f0.us-east-1.aws.found.io/app/kibana#/discover/Steve-Slow-Train-Analysis-(2080s-and-2083s)?_g=(refreshInterval:(display:Off,pause:!f,section:0,value:0),time:(from:'2017-05-06T22:45:52-0600',mode:absolute,to:'2017-05-07T01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4" s="89" t="str">
        <f t="shared" si="1"/>
        <v>"C:\Program Files (x86)\AstroGrep\AstroGrep.exe" /e /r /s /spath="%USERPROFILE%\AppData\Local\Temp\OnboardLogs" /stypes="*4020*201705070*" /stext=" 06:.+((SYSTEM_STATE.+slice.+state.+changed )|(ment ac)|(multiple cpu faults)|(system.+state.+changed )|(\[timeout)|(PRM\|1\|D)|(kpr)|(kdp)|(train st.+moving)|(\|lc)|(penalty))"</v>
      </c>
      <c r="U14" s="9" t="str">
        <f t="shared" si="2"/>
        <v>4020</v>
      </c>
      <c r="V14" s="31">
        <f t="shared" si="3"/>
        <v>42862.258842592593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{"issue":{"subject":"Form C","project_id":79,"tracker_id":40,"status_id":1,"priority_id":2,"assigned_to_id":23,"start_date":"2017-05-07","description":"","custom_fields":[{"id":1,"name":"Subdivision","value":"EC"},{"id":4,"name":"Milepost","value":"5.3155"},{"id":17,"name":"Train ID","value":"241-06"},{"id":16,"name":"Locomotive ID","value":"4020"},{"id":130,"name":"Impact","value":""},{"id":150,"name":"Time of Event (Mountain Time)","value":"00:12:44"},{"id":151,"name":"Denver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/cygdrive/c/Users/stu/AppData/Local/Temp/OnboardLogs/RTDC4020 --include="*4020*201705070*"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"%USERPROFILE%\AppData\Local\Temp\OnboardLogs"\RTDC4020\*4020*201705070* &gt;&gt; 2017-05-06-SliceDisagreementCheck.txt</v>
      </c>
      <c r="AE14" s="148" t="str">
        <f t="shared" si="9"/>
        <v>start /low /b %USERPROFILE%\Documents\GitHub\eaglep3\Utilities\DownloadLogsFromS3.py --loco 4020 --day 2017-05-07</v>
      </c>
      <c r="AF14" s="1"/>
    </row>
    <row r="15" spans="1:32" x14ac:dyDescent="0.25">
      <c r="A15" s="31">
        <v>42861.891863425924</v>
      </c>
      <c r="B15" s="30" t="s">
        <v>370</v>
      </c>
      <c r="C15" s="30" t="s">
        <v>550</v>
      </c>
      <c r="D15" s="30" t="s">
        <v>49</v>
      </c>
      <c r="E15" s="30" t="s">
        <v>191</v>
      </c>
      <c r="F15" s="42">
        <v>0</v>
      </c>
      <c r="G15" s="42">
        <v>266</v>
      </c>
      <c r="H15" s="42">
        <v>54289</v>
      </c>
      <c r="I15" s="42">
        <v>53824</v>
      </c>
      <c r="J15" s="30" t="s">
        <v>192</v>
      </c>
      <c r="K15" s="42">
        <v>53277</v>
      </c>
      <c r="L15" s="134" t="s">
        <v>51</v>
      </c>
      <c r="M15" s="135">
        <f t="shared" si="0"/>
        <v>288.81599999999997</v>
      </c>
      <c r="N15" s="136" t="str">
        <f>VLOOKUP(C15,'Trips&amp;Operators'!$C$1:$G$99999,5,FALSE)</f>
        <v>STAMBAUGH JAMES</v>
      </c>
      <c r="O15" s="207" t="s">
        <v>184</v>
      </c>
      <c r="P15" s="137" t="s">
        <v>1039</v>
      </c>
      <c r="Q15" s="30"/>
      <c r="R15" s="84" t="e">
        <f>IF(VLOOKUP(C15,'Train Runs'!$A$13:$AE$9932,1,1)=C15,VLOOKUP(C15,'Train Runs'!$A$13:$AE$9932,31,1),NA())</f>
        <v>#N/A</v>
      </c>
      <c r="S15" s="87" t="str">
        <f>VLOOKUP(C15,'Train Runs'!$A$13:$AE$9932,22,0)</f>
        <v>https://d0f6bd738d7f1b3e5a7ca70fe4ff75f0.us-east-1.aws.found.io/app/kibana#/discover/Steve-Slow-Train-Analysis-(2080s-and-2083s)?_g=(refreshInterval:(display:Off,pause:!f,section:0,value:0),time:(from:'2017-05-06T19:49:38-0600',mode:absolute,to:'2017-05-06T22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5" s="89" t="str">
        <f t="shared" si="1"/>
        <v>"C:\Program Files (x86)\AstroGrep\AstroGrep.exe" /e /r /s /spath="%USERPROFILE%\AppData\Local\Temp\OnboardLogs" /stypes="*4009*201705070*" /stext=" 03:.+((SYSTEM_STATE.+slice.+state.+changed )|(ment ac)|(multiple cpu faults)|(system.+state.+changed )|(\[timeout)|(PRM\|1\|D)|(kpr)|(kdp)|(train st.+moving)|(\|lc)|(penalty))"</v>
      </c>
      <c r="U15" s="9" t="str">
        <f t="shared" si="2"/>
        <v>4009</v>
      </c>
      <c r="V15" s="31">
        <f t="shared" si="3"/>
        <v>42862.141863425924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{"issue":{"subject":"Form C","project_id":79,"tracker_id":40,"status_id":1,"priority_id":2,"assigned_to_id":23,"start_date":"2017-05-06","description":"","custom_fields":[{"id":1,"name":"Subdivision","value":"EC"},{"id":4,"name":"Milepost","value":"5.3277"},{"id":17,"name":"Train ID","value":"226-06"},{"id":16,"name":"Locomotive ID","value":"4009"},{"id":130,"name":"Impact","value":""},{"id":150,"name":"Time of Event (Mountain Time)","value":"21:24:17"},{"id":151,"name":"Denver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/cygdrive/c/Users/stu/AppData/Local/Temp/OnboardLogs/RTDC4009 --include="*4009*201705070*"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"%USERPROFILE%\AppData\Local\Temp\OnboardLogs"\RTDC4009\*4009*201705070* &gt;&gt; 2017-05-06-SliceDisagreementCheck.txt</v>
      </c>
      <c r="AE15" s="148" t="str">
        <f t="shared" si="9"/>
        <v>start /low /b %USERPROFILE%\Documents\GitHub\eaglep3\Utilities\DownloadLogsFromS3.py --loco 4009 --day 2017-05-07</v>
      </c>
      <c r="AF15" s="1"/>
    </row>
    <row r="16" spans="1:32" x14ac:dyDescent="0.25">
      <c r="A16" s="31">
        <v>42861.440879629627</v>
      </c>
      <c r="B16" s="30" t="s">
        <v>527</v>
      </c>
      <c r="C16" s="30" t="s">
        <v>528</v>
      </c>
      <c r="D16" s="30" t="s">
        <v>49</v>
      </c>
      <c r="E16" s="30" t="s">
        <v>191</v>
      </c>
      <c r="F16" s="42">
        <v>360</v>
      </c>
      <c r="G16" s="42">
        <v>422</v>
      </c>
      <c r="H16" s="42">
        <v>110194</v>
      </c>
      <c r="I16" s="42">
        <v>108848</v>
      </c>
      <c r="J16" s="30" t="s">
        <v>192</v>
      </c>
      <c r="K16" s="42">
        <v>109135</v>
      </c>
      <c r="L16" s="134" t="s">
        <v>51</v>
      </c>
      <c r="M16" s="135">
        <f t="shared" si="0"/>
        <v>-151.536</v>
      </c>
      <c r="N16" s="136" t="str">
        <f>VLOOKUP(C16,'Trips&amp;Operators'!$C$1:$G$99999,5,FALSE)</f>
        <v>BADERTSCHER DIANE</v>
      </c>
      <c r="O16" s="207" t="s">
        <v>184</v>
      </c>
      <c r="P16" s="137" t="s">
        <v>1038</v>
      </c>
      <c r="Q16" s="30"/>
      <c r="R16" s="84" t="str">
        <f>IF(VLOOKUP(C16,'Train Runs'!$A$13:$AE$9932,1,1)=C16,VLOOKUP(C16,'Train Runs'!$A$13:$AE$9932,31,1),NA())</f>
        <v>aws s3 cp s3://rtdc.mdm.uploadarchive.raw/RTDC4001/ "%USERPROFILE%\AppData\Local\Temp\OnboardLogs"\RTDC4001\2017-05-06 --exclude "*" --recursive --include "*20170506*" &amp; "%USERPROFILE%\Documents\GitHub\mrs-test-scripts\Headless Mode &amp; Sideloading\WalkAndUnGZ.bat" "%USERPROFILE%\AppData\Local\Temp\OnboardLogs"\RTDC4001\2017-05-06 &amp; aws s3 cp s3://rtdc.mdm.uploadarchive.raw/RTDC4001/ "%USERPROFILE%\AppData\Local\Temp\OnboardLogs"\RTDC4001\2017-05-07 --exclude "*" --recursive --include "*20170507*" &amp; "%USERPROFILE%\Documents\GitHub\mrs-test-scripts\Headless Mode &amp; Sideloading\WalkAndUnGZ.bat" "%USERPROFILE%\AppData\Local\Temp\OnboardLogs"\RTDC4001\2017-05-07</v>
      </c>
      <c r="S16" s="87" t="str">
        <f>VLOOKUP(C16,'Train Runs'!$A$13:$AE$9932,22,0)</f>
        <v>https://d0f6bd738d7f1b3e5a7ca70fe4ff75f0.us-east-1.aws.found.io/app/kibana#/discover/Steve-Slow-Train-Analysis-(2080s-and-2083s)?_g=(refreshInterval:(display:Off,pause:!f,section:0,value:0),time:(from:'2017-05-06T09:05:14-0600',mode:absolute,to:'2017-05-06T11:59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6" s="89" t="str">
        <f t="shared" si="1"/>
        <v>"C:\Program Files (x86)\AstroGrep\AstroGrep.exe" /e /r /s /spath="%USERPROFILE%\AppData\Local\Temp\OnboardLogs" /stypes="*4001*201705061*" /stext=" 16:.+((SYSTEM_STATE.+slice.+state.+changed )|(ment ac)|(multiple cpu faults)|(system.+state.+changed )|(\[timeout)|(PRM\|1\|D)|(kpr)|(kdp)|(train st.+moving)|(\|lc)|(penalty))"</v>
      </c>
      <c r="U16" s="9" t="str">
        <f t="shared" si="2"/>
        <v>4001</v>
      </c>
      <c r="V16" s="31">
        <f t="shared" si="3"/>
        <v>42861.690879629627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arrival","project_id":79,"tracker_id":40,"status_id":1,"priority_id":2,"assigned_to_id":23,"start_date":"2017-05-06","description":"","custom_fields":[{"id":1,"name":"Subdivision","value":"EC"},{"id":4,"name":"Milepost","value":"10.9135"},{"id":17,"name":"Train ID","value":"146-06"},{"id":16,"name":"Locomotive ID","value":"4001"},{"id":130,"name":"Impact","value":""},{"id":150,"name":"Time of Event (Mountain Time)","value":"10:34:52"},{"id":151,"name":"Denver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/cygdrive/c/Users/stu/AppData/Local/Temp/OnboardLogs/RTDC4001 --include="*4001*201705061*"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"%USERPROFILE%\AppData\Local\Temp\OnboardLogs"\RTDC4001\*4001*201705061* &gt;&gt; 2017-05-06-SliceDisagreementCheck.txt</v>
      </c>
      <c r="AE16" s="148" t="str">
        <f t="shared" si="9"/>
        <v>start /low /b %USERPROFILE%\Documents\GitHub\eaglep3\Utilities\DownloadLogsFromS3.py --loco 4001 --day 2017-05-06</v>
      </c>
      <c r="AF16" s="1"/>
    </row>
    <row r="17" spans="1:32" x14ac:dyDescent="0.25">
      <c r="A17" s="31">
        <v>42861.7497337963</v>
      </c>
      <c r="B17" s="30" t="s">
        <v>434</v>
      </c>
      <c r="C17" s="30" t="s">
        <v>547</v>
      </c>
      <c r="D17" s="30" t="s">
        <v>49</v>
      </c>
      <c r="E17" s="30" t="s">
        <v>208</v>
      </c>
      <c r="F17" s="42">
        <v>400</v>
      </c>
      <c r="G17" s="42">
        <v>521</v>
      </c>
      <c r="H17" s="42">
        <v>121315</v>
      </c>
      <c r="I17" s="42">
        <v>119402</v>
      </c>
      <c r="J17" s="30" t="s">
        <v>209</v>
      </c>
      <c r="K17" s="42">
        <v>119716</v>
      </c>
      <c r="L17" s="134" t="s">
        <v>51</v>
      </c>
      <c r="M17" s="135">
        <f t="shared" si="0"/>
        <v>-165.79199999999997</v>
      </c>
      <c r="N17" s="136" t="str">
        <f>VLOOKUP(C17,'Trips&amp;Operators'!$C$1:$G$99999,5,FALSE)</f>
        <v>BRUDER RICHARD</v>
      </c>
      <c r="O17" s="207" t="s">
        <v>184</v>
      </c>
      <c r="P17" s="137"/>
      <c r="Q17" s="30"/>
      <c r="R17" s="84" t="e">
        <f>IF(VLOOKUP(C17,'Train Runs'!$A$13:$AE$9932,1,1)=C17,VLOOKUP(C17,'Train Runs'!$A$13:$AE$9932,31,1),NA())</f>
        <v>#N/A</v>
      </c>
      <c r="S17" s="87" t="str">
        <f>VLOOKUP(C17,'Train Runs'!$A$13:$AE$9932,22,0)</f>
        <v>https://d0f6bd738d7f1b3e5a7ca70fe4ff75f0.us-east-1.aws.found.io/app/kibana#/discover/Steve-Slow-Train-Analysis-(2080s-and-2083s)?_g=(refreshInterval:(display:Off,pause:!f,section:0,value:0),time:(from:'2017-05-06T16:36:14-0600',mode:absolute,to:'2017-05-06T19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7" s="89" t="str">
        <f t="shared" si="1"/>
        <v>"C:\Program Files (x86)\AstroGrep\AstroGrep.exe" /e /r /s /spath="%USERPROFILE%\AppData\Local\Temp\OnboardLogs" /stypes="*4023*201705062*" /stext=" 23:.+((SYSTEM_STATE.+slice.+state.+changed )|(ment ac)|(multiple cpu faults)|(system.+state.+changed )|(\[timeout)|(PRM\|1\|D)|(kpr)|(kdp)|(train st.+moving)|(\|lc)|(penalty))"</v>
      </c>
      <c r="U17" s="9" t="str">
        <f t="shared" si="2"/>
        <v>4023</v>
      </c>
      <c r="V17" s="31">
        <f t="shared" si="3"/>
        <v>42861.9997337963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{"issue":{"subject":"","project_id":79,"tracker_id":40,"status_id":1,"priority_id":2,"assigned_to_id":23,"start_date":"2017-05-06","description":"","custom_fields":[{"id":1,"name":"Subdivision","value":"EC"},{"id":4,"name":"Milepost","value":"11.9716"},{"id":17,"name":"Train ID","value":"206-06"},{"id":16,"name":"Locomotive ID","value":"4023"},{"id":130,"name":"Impact","value":""},{"id":150,"name":"Time of Event (Mountain Time)","value":"17:59:37"},{"id":151,"name":"Denver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/cygdrive/c/Users/stu/AppData/Local/Temp/OnboardLogs/RTDC4023 --include="*4023*201705062*"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"%USERPROFILE%\AppData\Local\Temp\OnboardLogs"\RTDC4023\*4023*201705062* &gt;&gt; 2017-05-06-SliceDisagreementCheck.txt</v>
      </c>
      <c r="AE17" s="148" t="str">
        <f t="shared" si="9"/>
        <v>start /low /b %USERPROFILE%\Documents\GitHub\eaglep3\Utilities\DownloadLogsFromS3.py --loco 4023 --day 2017-05-06</v>
      </c>
      <c r="AF17" s="1"/>
    </row>
    <row r="18" spans="1:32" x14ac:dyDescent="0.25">
      <c r="A18" s="31">
        <v>42861.37841435185</v>
      </c>
      <c r="B18" s="30" t="s">
        <v>434</v>
      </c>
      <c r="C18" s="30" t="s">
        <v>519</v>
      </c>
      <c r="D18" s="30" t="s">
        <v>98</v>
      </c>
      <c r="E18" s="30" t="s">
        <v>208</v>
      </c>
      <c r="F18" s="42">
        <v>700</v>
      </c>
      <c r="G18" s="42">
        <v>750</v>
      </c>
      <c r="H18" s="42">
        <v>179886</v>
      </c>
      <c r="I18" s="42">
        <v>176506</v>
      </c>
      <c r="J18" s="30" t="s">
        <v>209</v>
      </c>
      <c r="K18" s="42">
        <v>183829</v>
      </c>
      <c r="L18" s="134" t="s">
        <v>51</v>
      </c>
      <c r="M18" s="135">
        <f t="shared" si="0"/>
        <v>-3866.5439999999999</v>
      </c>
      <c r="N18" s="136" t="str">
        <f>VLOOKUP(C18,'Trips&amp;Operators'!$C$1:$G$99999,5,FALSE)</f>
        <v>ROBINSON KADDIBA</v>
      </c>
      <c r="O18" s="207" t="s">
        <v>184</v>
      </c>
      <c r="P18" s="137"/>
      <c r="Q18" s="30"/>
      <c r="R18" s="84" t="str">
        <f>IF(VLOOKUP(C18,'Train Runs'!$A$13:$AE$9932,1,1)=C18,VLOOKUP(C18,'Train Runs'!$A$13:$AE$9932,31,1),NA())</f>
        <v>aws s3 cp s3://rtdc.mdm.uploadarchive.raw/RTDC4023/ "%USERPROFILE%\AppData\Local\Temp\OnboardLogs"\RTDC4023\2017-05-06 --exclude "*" --recursive --include "*20170506*" &amp; "%USERPROFILE%\Documents\GitHub\mrs-test-scripts\Headless Mode &amp; Sideloading\WalkAndUnGZ.bat" "%USERPROFILE%\AppData\Local\Temp\OnboardLogs"\RTDC4023\2017-05-06 &amp; aws s3 cp s3://rtdc.mdm.uploadarchive.raw/RTDC4023/ "%USERPROFILE%\AppData\Local\Temp\OnboardLogs"\RTDC4023\2017-05-07 --exclude "*" --recursive --include "*20170507*" &amp; "%USERPROFILE%\Documents\GitHub\mrs-test-scripts\Headless Mode &amp; Sideloading\WalkAndUnGZ.bat" "%USERPROFILE%\AppData\Local\Temp\OnboardLogs"\RTDC4023\2017-05-07</v>
      </c>
      <c r="S18" s="87" t="str">
        <f>VLOOKUP(C18,'Train Runs'!$A$13:$AE$9932,22,0)</f>
        <v>https://d0f6bd738d7f1b3e5a7ca70fe4ff75f0.us-east-1.aws.found.io/app/kibana#/discover/Steve-Slow-Train-Analysis-(2080s-and-2083s)?_g=(refreshInterval:(display:Off,pause:!f,section:0,value:0),time:(from:'2017-05-06T07:44:41-0600',mode:absolute,to:'2017-05-06T10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8" s="89" t="str">
        <f t="shared" si="1"/>
        <v>"C:\Program Files (x86)\AstroGrep\AstroGrep.exe" /e /r /s /spath="%USERPROFILE%\AppData\Local\Temp\OnboardLogs" /stypes="*4023*201705061*" /stext=" 15:.+((SYSTEM_STATE.+slice.+state.+changed )|(ment ac)|(multiple cpu faults)|(system.+state.+changed )|(\[timeout)|(PRM\|1\|D)|(kpr)|(kdp)|(train st.+moving)|(\|lc)|(penalty))"</v>
      </c>
      <c r="U18" s="9" t="str">
        <f t="shared" si="2"/>
        <v>4023</v>
      </c>
      <c r="V18" s="31">
        <f t="shared" si="3"/>
        <v>42861.62841435185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{"issue":{"subject":"","project_id":79,"tracker_id":40,"status_id":1,"priority_id":2,"assigned_to_id":23,"start_date":"2017-05-06","description":"","custom_fields":[{"id":1,"name":"Subdivision","value":"EC"},{"id":4,"name":"Milepost","value":"18.3829"},{"id":17,"name":"Train ID","value":"136-06"},{"id":16,"name":"Locomotive ID","value":"4023"},{"id":130,"name":"Impact","value":""},{"id":150,"name":"Time of Event (Mountain Time)","value":"09:04:55"},{"id":151,"name":"Denver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/cygdrive/c/Users/stu/AppData/Local/Temp/OnboardLogs/RTDC4023 --include="*4023*201705061*"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"%USERPROFILE%\AppData\Local\Temp\OnboardLogs"\RTDC4023\*4023*201705061* &gt;&gt; 2017-05-06-SliceDisagreementCheck.txt</v>
      </c>
      <c r="AE18" s="148" t="str">
        <f t="shared" si="9"/>
        <v>start /low /b %USERPROFILE%\Documents\GitHub\eaglep3\Utilities\DownloadLogsFromS3.py --loco 4023 --day 2017-05-06</v>
      </c>
      <c r="AF18" s="1"/>
    </row>
    <row r="19" spans="1:32" x14ac:dyDescent="0.25">
      <c r="A19" s="31">
        <v>42861.400659722225</v>
      </c>
      <c r="B19" s="30" t="s">
        <v>377</v>
      </c>
      <c r="C19" s="30" t="s">
        <v>522</v>
      </c>
      <c r="D19" s="30" t="s">
        <v>49</v>
      </c>
      <c r="E19" s="30" t="s">
        <v>435</v>
      </c>
      <c r="F19" s="42">
        <v>0</v>
      </c>
      <c r="G19" s="42">
        <v>348</v>
      </c>
      <c r="H19" s="42">
        <v>59778</v>
      </c>
      <c r="I19" s="42">
        <v>58849</v>
      </c>
      <c r="J19" s="30" t="s">
        <v>436</v>
      </c>
      <c r="K19" s="42">
        <v>57897</v>
      </c>
      <c r="L19" s="134" t="s">
        <v>51</v>
      </c>
      <c r="M19" s="135">
        <f t="shared" si="0"/>
        <v>502.65600000000001</v>
      </c>
      <c r="N19" s="136" t="str">
        <f>VLOOKUP(C19,'Trips&amp;Operators'!$C$1:$G$99999,5,FALSE)</f>
        <v>MAELZER KURT</v>
      </c>
      <c r="O19" s="207" t="s">
        <v>439</v>
      </c>
      <c r="P19" s="137" t="s">
        <v>1037</v>
      </c>
      <c r="Q19" s="30"/>
      <c r="R19" s="84" t="str">
        <f>IF(VLOOKUP(C19,'Train Runs'!$A$13:$AE$9932,1,1)=C19,VLOOKUP(C19,'Train Runs'!$A$13:$AE$9932,31,1),NA())</f>
        <v>aws s3 cp s3://rtdc.mdm.uploadarchive.raw/RTDC4003/ "%USERPROFILE%\AppData\Local\Temp\OnboardLogs"\RTDC4003\2017-05-06 --exclude "*" --recursive --include "*20170506*" &amp; "%USERPROFILE%\Documents\GitHub\mrs-test-scripts\Headless Mode &amp; Sideloading\WalkAndUnGZ.bat" "%USERPROFILE%\AppData\Local\Temp\OnboardLogs"\RTDC4003\2017-05-06 &amp; 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</v>
      </c>
      <c r="S19" s="87" t="str">
        <f>VLOOKUP(C19,'Train Runs'!$A$13:$AE$9932,22,0)</f>
        <v>https://d0f6bd738d7f1b3e5a7ca70fe4ff75f0.us-east-1.aws.found.io/app/kibana#/discover/Steve-Slow-Train-Analysis-(2080s-and-2083s)?_g=(refreshInterval:(display:Off,pause:!f,section:0,value:0),time:(from:'2017-05-06T07:58:24-0600',mode:absolute,to:'2017-05-06T10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9" s="89" t="str">
        <f t="shared" si="1"/>
        <v>"C:\Program Files (x86)\AstroGrep\AstroGrep.exe" /e /r /s /spath="%USERPROFILE%\AppData\Local\Temp\OnboardLogs" /stypes="*4003*201705061*" /stext=" 15:.+((SYSTEM_STATE.+slice.+state.+changed )|(ment ac)|(multiple cpu faults)|(system.+state.+changed )|(\[timeout)|(PRM\|1\|D)|(kpr)|(kdp)|(train st.+moving)|(\|lc)|(penalty))"</v>
      </c>
      <c r="U19" s="9" t="str">
        <f t="shared" si="2"/>
        <v>4003</v>
      </c>
      <c r="V19" s="31">
        <f t="shared" si="3"/>
        <v>42861.650659722225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{"issue":{"subject":"Wi-MAX data drop","project_id":79,"tracker_id":40,"status_id":1,"priority_id":2,"assigned_to_id":23,"start_date":"2017-05-06","description":"","custom_fields":[{"id":1,"name":"Subdivision","value":"EC"},{"id":4,"name":"Milepost","value":"5.7897"},{"id":17,"name":"Train ID","value":"138-06"},{"id":16,"name":"Locomotive ID","value":"4003"},{"id":130,"name":"Impact","value":""},{"id":150,"name":"Time of Event (Mountain Time)","value":"09:36:57"},{"id":151,"name":"Denver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/cygdrive/c/Users/stu/AppData/Local/Temp/OnboardLogs/RTDC4003 --include="*4003*201705061*"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"%USERPROFILE%\AppData\Local\Temp\OnboardLogs"\RTDC4003\*4003*201705061* &gt;&gt; 2017-05-06-SliceDisagreementCheck.txt</v>
      </c>
      <c r="AE19" s="148" t="str">
        <f t="shared" si="9"/>
        <v>start /low /b %USERPROFILE%\Documents\GitHub\eaglep3\Utilities\DownloadLogsFromS3.py --loco 4003 --day 2017-05-06</v>
      </c>
      <c r="AF19" s="1"/>
    </row>
    <row r="20" spans="1:32" x14ac:dyDescent="0.25">
      <c r="A20" s="31">
        <v>42861.565138888887</v>
      </c>
      <c r="B20" s="30" t="s">
        <v>472</v>
      </c>
      <c r="C20" s="30" t="s">
        <v>535</v>
      </c>
      <c r="D20" s="30" t="s">
        <v>49</v>
      </c>
      <c r="E20" s="30" t="s">
        <v>435</v>
      </c>
      <c r="F20" s="42">
        <v>0</v>
      </c>
      <c r="G20" s="42">
        <v>65</v>
      </c>
      <c r="H20" s="42">
        <v>58141</v>
      </c>
      <c r="I20" s="42">
        <v>58042</v>
      </c>
      <c r="J20" s="30" t="s">
        <v>436</v>
      </c>
      <c r="K20" s="42">
        <v>57897</v>
      </c>
      <c r="L20" s="134" t="s">
        <v>51</v>
      </c>
      <c r="M20" s="135">
        <f t="shared" si="0"/>
        <v>76.56</v>
      </c>
      <c r="N20" s="136" t="str">
        <f>VLOOKUP(C20,'Trips&amp;Operators'!$C$1:$G$99999,5,FALSE)</f>
        <v>LEVIN SCOTT</v>
      </c>
      <c r="O20" s="207" t="s">
        <v>184</v>
      </c>
      <c r="P20" s="137" t="s">
        <v>1043</v>
      </c>
      <c r="Q20" s="30"/>
      <c r="R20" s="84" t="str">
        <f>IF(VLOOKUP(C20,'Train Runs'!$A$13:$AE$9932,1,1)=C20,VLOOKUP(C20,'Train Runs'!$A$13:$AE$9932,31,1),NA())</f>
        <v>aws s3 cp s3://rtdc.mdm.uploadarchive.raw/RTDC4043/ "%USERPROFILE%\AppData\Local\Temp\OnboardLogs"\RTDC4043\2017-05-06 --exclude "*" --recursive --include "*20170506*" &amp; "%USERPROFILE%\Documents\GitHub\mrs-test-scripts\Headless Mode &amp; Sideloading\WalkAndUnGZ.bat" "%USERPROFILE%\AppData\Local\Temp\OnboardLogs"\RTDC4043\2017-05-06 &amp; 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</v>
      </c>
      <c r="S20" s="87" t="str">
        <f>VLOOKUP(C20,'Train Runs'!$A$13:$AE$9932,22,0)</f>
        <v>https://d0f6bd738d7f1b3e5a7ca70fe4ff75f0.us-east-1.aws.found.io/app/kibana#/discover/Steve-Slow-Train-Analysis-(2080s-and-2083s)?_g=(refreshInterval:(display:Off,pause:!f,section:0,value:0),time:(from:'2017-05-06T11:52:31-0600',mode:absolute,to:'2017-05-06T14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0" s="89" t="str">
        <f t="shared" si="1"/>
        <v>"C:\Program Files (x86)\AstroGrep\AstroGrep.exe" /e /r /s /spath="%USERPROFILE%\AppData\Local\Temp\OnboardLogs" /stypes="*4043*201705061*" /stext=" 19:.+((SYSTEM_STATE.+slice.+state.+changed )|(ment ac)|(multiple cpu faults)|(system.+state.+changed )|(\[timeout)|(PRM\|1\|D)|(kpr)|(kdp)|(train st.+moving)|(\|lc)|(penalty))"</v>
      </c>
      <c r="U20" s="9" t="str">
        <f t="shared" si="2"/>
        <v>4043</v>
      </c>
      <c r="V20" s="31">
        <f t="shared" si="3"/>
        <v>42861.815138888887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{"issue":{"subject":"Foul time at Quebec 2S - truck accident repairs","project_id":79,"tracker_id":40,"status_id":1,"priority_id":2,"assigned_to_id":23,"start_date":"2017-05-06","description":"","custom_fields":[{"id":1,"name":"Subdivision","value":"EC"},{"id":4,"name":"Milepost","value":"5.7897"},{"id":17,"name":"Train ID","value":"168-06"},{"id":16,"name":"Locomotive ID","value":"4043"},{"id":130,"name":"Impact","value":""},{"id":150,"name":"Time of Event (Mountain Time)","value":"13:33:48"},{"id":151,"name":"Denver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/cygdrive/c/Users/stu/AppData/Local/Temp/OnboardLogs/RTDC4043 --include="*4043*201705061*"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"%USERPROFILE%\AppData\Local\Temp\OnboardLogs"\RTDC4043\*4043*201705061* &gt;&gt; 2017-05-06-SliceDisagreementCheck.txt</v>
      </c>
      <c r="AE20" s="148" t="str">
        <f t="shared" si="9"/>
        <v>start /low /b %USERPROFILE%\Documents\GitHub\eaglep3\Utilities\DownloadLogsFromS3.py --loco 4043 --day 2017-05-06</v>
      </c>
      <c r="AF20" s="1"/>
    </row>
    <row r="21" spans="1:32" x14ac:dyDescent="0.25">
      <c r="A21" s="31">
        <v>42861.615937499999</v>
      </c>
      <c r="B21" s="30" t="s">
        <v>378</v>
      </c>
      <c r="C21" s="30" t="s">
        <v>539</v>
      </c>
      <c r="D21" s="30" t="s">
        <v>49</v>
      </c>
      <c r="E21" s="30" t="s">
        <v>435</v>
      </c>
      <c r="F21" s="42">
        <v>0</v>
      </c>
      <c r="G21" s="42">
        <v>32</v>
      </c>
      <c r="H21" s="42">
        <v>107871</v>
      </c>
      <c r="I21" s="42">
        <v>107904</v>
      </c>
      <c r="J21" s="30" t="s">
        <v>436</v>
      </c>
      <c r="K21" s="42">
        <v>107939</v>
      </c>
      <c r="L21" s="134" t="s">
        <v>50</v>
      </c>
      <c r="M21" s="135">
        <f t="shared" si="0"/>
        <v>18.48</v>
      </c>
      <c r="N21" s="136" t="str">
        <f>VLOOKUP(C21,'Trips&amp;Operators'!$C$1:$G$99999,5,FALSE)</f>
        <v>ROMERO CHAD</v>
      </c>
      <c r="O21" s="207" t="s">
        <v>184</v>
      </c>
      <c r="P21" s="137" t="s">
        <v>1046</v>
      </c>
      <c r="Q21" s="30"/>
      <c r="R21" s="84" t="e">
        <f>IF(VLOOKUP(C21,'Train Runs'!$A$13:$AE$9932,1,1)=C21,VLOOKUP(C21,'Train Runs'!$A$13:$AE$9932,31,1),NA())</f>
        <v>#N/A</v>
      </c>
      <c r="S21" s="87" t="str">
        <f>VLOOKUP(C21,'Train Runs'!$A$13:$AE$9932,22,0)</f>
        <v>https://d0f6bd738d7f1b3e5a7ca70fe4ff75f0.us-east-1.aws.found.io/app/kibana#/discover/Steve-Slow-Train-Analysis-(2080s-and-2083s)?_g=(refreshInterval:(display:Off,pause:!f,section:0,value:0),time:(from:'2017-05-06T13:25:51-0600',mode:absolute,to:'2017-05-06T16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1" s="89" t="str">
        <f t="shared" si="1"/>
        <v>"C:\Program Files (x86)\AstroGrep\AstroGrep.exe" /e /r /s /spath="%USERPROFILE%\AppData\Local\Temp\OnboardLogs" /stypes="*4054*201705062*" /stext=" 20:.+((SYSTEM_STATE.+slice.+state.+changed )|(ment ac)|(multiple cpu faults)|(system.+state.+changed )|(\[timeout)|(PRM\|1\|D)|(kpr)|(kdp)|(train st.+moving)|(\|lc)|(penalty))"</v>
      </c>
      <c r="U21" s="9" t="str">
        <f t="shared" si="2"/>
        <v>4054</v>
      </c>
      <c r="V21" s="31">
        <f t="shared" si="3"/>
        <v>42861.865937499999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{"issue":{"subject":"Chambers 2S STOP","project_id":79,"tracker_id":40,"status_id":1,"priority_id":2,"assigned_to_id":23,"start_date":"2017-05-06","description":"","custom_fields":[{"id":1,"name":"Subdivision","value":"EC"},{"id":4,"name":"Milepost","value":"10.7939"},{"id":17,"name":"Train ID","value":"185-06"},{"id":16,"name":"Locomotive ID","value":"4054"},{"id":130,"name":"Impact","value":""},{"id":150,"name":"Time of Event (Mountain Time)","value":"14:46:57"},{"id":151,"name":"Denver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/cygdrive/c/Users/stu/AppData/Local/Temp/OnboardLogs/RTDC4054 --include="*4054*201705062*"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"%USERPROFILE%\AppData\Local\Temp\OnboardLogs"\RTDC4054\*4054*201705062* &gt;&gt; 2017-05-06-SliceDisagreementCheck.txt</v>
      </c>
      <c r="AE21" s="148" t="str">
        <f t="shared" si="9"/>
        <v>start /low /b %USERPROFILE%\Documents\GitHub\eaglep3\Utilities\DownloadLogsFromS3.py --loco 4054 --day 2017-05-06</v>
      </c>
      <c r="AF21" s="1"/>
    </row>
    <row r="22" spans="1:32" x14ac:dyDescent="0.25">
      <c r="A22" s="31">
        <v>42861.811886574076</v>
      </c>
      <c r="B22" s="30" t="s">
        <v>386</v>
      </c>
      <c r="C22" s="30" t="s">
        <v>549</v>
      </c>
      <c r="D22" s="30" t="s">
        <v>49</v>
      </c>
      <c r="E22" s="30" t="s">
        <v>435</v>
      </c>
      <c r="F22" s="42">
        <v>0</v>
      </c>
      <c r="G22" s="42">
        <v>110</v>
      </c>
      <c r="H22" s="42">
        <v>107545</v>
      </c>
      <c r="I22" s="42">
        <v>107666</v>
      </c>
      <c r="J22" s="30" t="s">
        <v>436</v>
      </c>
      <c r="K22" s="42">
        <v>107939</v>
      </c>
      <c r="L22" s="134" t="s">
        <v>50</v>
      </c>
      <c r="M22" s="135">
        <f t="shared" si="0"/>
        <v>144.14400000000001</v>
      </c>
      <c r="N22" s="136" t="str">
        <f>VLOOKUP(C22,'Trips&amp;Operators'!$C$1:$G$99999,5,FALSE)</f>
        <v>BROWN JACOB</v>
      </c>
      <c r="O22" s="207" t="s">
        <v>184</v>
      </c>
      <c r="P22" s="137" t="s">
        <v>1046</v>
      </c>
      <c r="Q22" s="30"/>
      <c r="R22" s="84" t="e">
        <f>IF(VLOOKUP(C22,'Train Runs'!$A$13:$AE$9932,1,1)=C22,VLOOKUP(C22,'Train Runs'!$A$13:$AE$9932,31,1),NA())</f>
        <v>#N/A</v>
      </c>
      <c r="S22" s="87" t="str">
        <f>VLOOKUP(C22,'Train Runs'!$A$13:$AE$9932,22,0)</f>
        <v>https://d0f6bd738d7f1b3e5a7ca70fe4ff75f0.us-east-1.aws.found.io/app/kibana#/discover/Steve-Slow-Train-Analysis-(2080s-and-2083s)?_g=(refreshInterval:(display:Off,pause:!f,section:0,value:0),time:(from:'2017-05-06T18:03:51-0600',mode:absolute,to:'2017-05-06T20:47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2" s="89" t="str">
        <f t="shared" si="1"/>
        <v>"C:\Program Files (x86)\AstroGrep\AstroGrep.exe" /e /r /s /spath="%USERPROFILE%\AppData\Local\Temp\OnboardLogs" /stypes="*4018*201705070*" /stext=" 01:.+((SYSTEM_STATE.+slice.+state.+changed )|(ment ac)|(multiple cpu faults)|(system.+state.+changed )|(\[timeout)|(PRM\|1\|D)|(kpr)|(kdp)|(train st.+moving)|(\|lc)|(penalty))"</v>
      </c>
      <c r="U22" s="9" t="str">
        <f t="shared" si="2"/>
        <v>4018</v>
      </c>
      <c r="V22" s="31">
        <f t="shared" si="3"/>
        <v>42862.061886574076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{"issue":{"subject":"Chambers 2S STOP","project_id":79,"tracker_id":40,"status_id":1,"priority_id":2,"assigned_to_id":23,"start_date":"2017-05-06","description":"","custom_fields":[{"id":1,"name":"Subdivision","value":"EC"},{"id":4,"name":"Milepost","value":"10.7939"},{"id":17,"name":"Train ID","value":"221-06"},{"id":16,"name":"Locomotive ID","value":"4018"},{"id":130,"name":"Impact","value":""},{"id":150,"name":"Time of Event (Mountain Time)","value":"19:29:07"},{"id":151,"name":"Denver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/cygdrive/c/Users/stu/AppData/Local/Temp/OnboardLogs/RTDC4018 --include="*4018*201705070*"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"%USERPROFILE%\AppData\Local\Temp\OnboardLogs"\RTDC4018\*4018*201705070* &gt;&gt; 2017-05-06-SliceDisagreementCheck.txt</v>
      </c>
      <c r="AE22" s="148" t="str">
        <f t="shared" si="9"/>
        <v>start /low /b %USERPROFILE%\Documents\GitHub\eaglep3\Utilities\DownloadLogsFromS3.py --loco 4018 --day 2017-05-07</v>
      </c>
      <c r="AF22" s="1"/>
    </row>
    <row r="23" spans="1:32" x14ac:dyDescent="0.25">
      <c r="A23" s="31">
        <v>42861.429247685184</v>
      </c>
      <c r="B23" s="30" t="s">
        <v>389</v>
      </c>
      <c r="C23" s="30" t="s">
        <v>526</v>
      </c>
      <c r="D23" s="30" t="s">
        <v>49</v>
      </c>
      <c r="E23" s="30" t="s">
        <v>524</v>
      </c>
      <c r="F23" s="42">
        <v>0</v>
      </c>
      <c r="G23" s="42">
        <v>446</v>
      </c>
      <c r="H23" s="42">
        <v>13872</v>
      </c>
      <c r="I23" s="42">
        <v>12418</v>
      </c>
      <c r="J23" s="30" t="s">
        <v>525</v>
      </c>
      <c r="K23" s="42">
        <v>11880</v>
      </c>
      <c r="L23" s="134" t="s">
        <v>51</v>
      </c>
      <c r="M23" s="135">
        <f t="shared" si="0"/>
        <v>284.06400000000002</v>
      </c>
      <c r="N23" s="136" t="str">
        <f>VLOOKUP(C23,'Trips&amp;Operators'!$C$1:$G$99999,5,FALSE)</f>
        <v>SANTIZO D. EDY</v>
      </c>
      <c r="O23" s="207" t="s">
        <v>439</v>
      </c>
      <c r="P23" s="137" t="s">
        <v>1037</v>
      </c>
      <c r="Q23" s="30"/>
      <c r="R23" s="84" t="str">
        <f>IF(VLOOKUP(C23,'Train Runs'!$A$13:$AE$9932,1,1)=C23,VLOOKUP(C23,'Train Runs'!$A$13:$AE$9932,31,1),NA())</f>
        <v>aws s3 cp s3://rtdc.mdm.uploadarchive.raw/RTDC4053/ "%USERPROFILE%\AppData\Local\Temp\OnboardLogs"\RTDC4053\2017-05-06 --exclude "*" --recursive --include "*20170506*" &amp; "%USERPROFILE%\Documents\GitHub\mrs-test-scripts\Headless Mode &amp; Sideloading\WalkAndUnGZ.bat" "%USERPROFILE%\AppData\Local\Temp\OnboardLogs"\RTDC4053\2017-05-06 &amp; aws s3 cp s3://rtdc.mdm.uploadarchive.raw/RTDC4053/ "%USERPROFILE%\AppData\Local\Temp\OnboardLogs"\RTDC4053\2017-05-07 --exclude "*" --recursive --include "*20170507*" &amp; "%USERPROFILE%\Documents\GitHub\mrs-test-scripts\Headless Mode &amp; Sideloading\WalkAndUnGZ.bat" "%USERPROFILE%\AppData\Local\Temp\OnboardLogs"\RTDC4053\2017-05-07</v>
      </c>
      <c r="S23" s="87" t="str">
        <f>VLOOKUP(C23,'Train Runs'!$A$13:$AE$9932,22,0)</f>
        <v>https://d0f6bd738d7f1b3e5a7ca70fe4ff75f0.us-east-1.aws.found.io/app/kibana#/discover/Steve-Slow-Train-Analysis-(2080s-and-2083s)?_g=(refreshInterval:(display:Off,pause:!f,section:0,value:0),time:(from:'2017-05-06T08:23:05-0600',mode:absolute,to:'2017-05-06T11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3" s="89" t="str">
        <f t="shared" si="1"/>
        <v>"C:\Program Files (x86)\AstroGrep\AstroGrep.exe" /e /r /s /spath="%USERPROFILE%\AppData\Local\Temp\OnboardLogs" /stypes="*4053*201705061*" /stext=" 16:.+((SYSTEM_STATE.+slice.+state.+changed )|(ment ac)|(multiple cpu faults)|(system.+state.+changed )|(\[timeout)|(PRM\|1\|D)|(kpr)|(kdp)|(train st.+moving)|(\|lc)|(penalty))"</v>
      </c>
      <c r="U23" s="9" t="str">
        <f t="shared" si="2"/>
        <v>4053</v>
      </c>
      <c r="V23" s="31">
        <f t="shared" si="3"/>
        <v>42861.679247685184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{"issue":{"subject":"Wi-MAX data drop","project_id":79,"tracker_id":40,"status_id":1,"priority_id":2,"assigned_to_id":23,"start_date":"2017-05-06","description":"","custom_fields":[{"id":1,"name":"Subdivision","value":"EC"},{"id":4,"name":"Milepost","value":"1.188"},{"id":17,"name":"Train ID","value":"142-06"},{"id":16,"name":"Locomotive ID","value":"4053"},{"id":130,"name":"Impact","value":""},{"id":150,"name":"Time of Event (Mountain Time)","value":"10:18:07"},{"id":151,"name":"Denver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/cygdrive/c/Users/stu/AppData/Local/Temp/OnboardLogs/RTDC4053 --include="*4053*201705061*"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"%USERPROFILE%\AppData\Local\Temp\OnboardLogs"\RTDC4053\*4053*201705061* &gt;&gt; 2017-05-06-SliceDisagreementCheck.txt</v>
      </c>
      <c r="AE23" s="148" t="str">
        <f t="shared" si="9"/>
        <v>start /low /b %USERPROFILE%\Documents\GitHub\eaglep3\Utilities\DownloadLogsFromS3.py --loco 4053 --day 2017-05-06</v>
      </c>
      <c r="AF23" s="1"/>
    </row>
    <row r="24" spans="1:32" x14ac:dyDescent="0.25">
      <c r="A24" s="31">
        <v>42861.428194444445</v>
      </c>
      <c r="B24" s="30" t="s">
        <v>514</v>
      </c>
      <c r="C24" s="30" t="s">
        <v>523</v>
      </c>
      <c r="D24" s="30" t="s">
        <v>49</v>
      </c>
      <c r="E24" s="30" t="s">
        <v>524</v>
      </c>
      <c r="F24" s="42">
        <v>0</v>
      </c>
      <c r="G24" s="42">
        <v>630</v>
      </c>
      <c r="H24" s="42">
        <v>105665</v>
      </c>
      <c r="I24" s="42">
        <v>102779</v>
      </c>
      <c r="J24" s="30" t="s">
        <v>525</v>
      </c>
      <c r="K24" s="42">
        <v>104776</v>
      </c>
      <c r="L24" s="134" t="s">
        <v>51</v>
      </c>
      <c r="M24" s="135">
        <f t="shared" si="0"/>
        <v>-1054.4159999999999</v>
      </c>
      <c r="N24" s="136" t="str">
        <f>VLOOKUP(C24,'Trips&amp;Operators'!$C$1:$G$99999,5,FALSE)</f>
        <v>LOZA FIDEL</v>
      </c>
      <c r="O24" s="207" t="s">
        <v>439</v>
      </c>
      <c r="P24" s="137" t="s">
        <v>1037</v>
      </c>
      <c r="Q24" s="30"/>
      <c r="R24" s="84" t="str">
        <f>IF(VLOOKUP(C24,'Train Runs'!$A$13:$AE$9932,1,1)=C24,VLOOKUP(C24,'Train Runs'!$A$13:$AE$9932,31,1),NA())</f>
        <v>aws s3 cp s3://rtdc.mdm.uploadarchive.raw/RTDC4005/ "%USERPROFILE%\AppData\Local\Temp\OnboardLogs"\RTDC4005\2017-05-06 --exclude "*" --recursive --include "*20170506*" &amp; "%USERPROFILE%\Documents\GitHub\mrs-test-scripts\Headless Mode &amp; Sideloading\WalkAndUnGZ.bat" "%USERPROFILE%\AppData\Local\Temp\OnboardLogs"\RTDC4005\2017-05-06 &amp; 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</v>
      </c>
      <c r="S24" s="87" t="str">
        <f>VLOOKUP(C24,'Train Runs'!$A$13:$AE$9932,22,0)</f>
        <v>https://d0f6bd738d7f1b3e5a7ca70fe4ff75f0.us-east-1.aws.found.io/app/kibana#/discover/Steve-Slow-Train-Analysis-(2080s-and-2083s)?_g=(refreshInterval:(display:Off,pause:!f,section:0,value:0),time:(from:'2017-05-06T08:51:57-0600',mode:absolute,to:'2017-05-06T11:17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4" s="89" t="str">
        <f t="shared" si="1"/>
        <v>"C:\Program Files (x86)\AstroGrep\AstroGrep.exe" /e /r /s /spath="%USERPROFILE%\AppData\Local\Temp\OnboardLogs" /stypes="*4005*201705061*" /stext=" 16:.+((SYSTEM_STATE.+slice.+state.+changed )|(ment ac)|(multiple cpu faults)|(system.+state.+changed )|(\[timeout)|(PRM\|1\|D)|(kpr)|(kdp)|(train st.+moving)|(\|lc)|(penalty))"</v>
      </c>
      <c r="U24" s="9" t="str">
        <f t="shared" si="2"/>
        <v>4005</v>
      </c>
      <c r="V24" s="31">
        <f t="shared" si="3"/>
        <v>42861.678194444445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{"issue":{"subject":"Wi-MAX data drop","project_id":79,"tracker_id":40,"status_id":1,"priority_id":2,"assigned_to_id":23,"start_date":"2017-05-06","description":"http://stevetu21.github.io/eaglep3/load_kml.html?kml=http://rtdc.gmaps-snips.s3.amazonaws.com/ad6a207a-6716-4a46-9d59-4e38a2b1f16e.kml","custom_fields":[{"id":1,"name":"Subdivision","value":"EC"},{"id":4,"name":"Milepost","value":"10.4776"},{"id":17,"name":"Train ID","value":"144-06"},{"id":16,"name":"Locomotive ID","value":"4005"},{"id":130,"name":"Impact","value":"Enforcement"},{"id":150,"name":"Time of Event (Mountain Time)","value":"10:16:36"},{"id":151,"name":"Denver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4" t="s">
        <v>1036</v>
      </c>
      <c r="AA24" s="47" t="s">
        <v>124</v>
      </c>
      <c r="AB24" s="47" t="s">
        <v>137</v>
      </c>
      <c r="AC24" s="118" t="str">
        <f t="shared" si="7"/>
        <v>grep -hrE -A400 "Enforcement Action" /cygdrive/c/Users/stu/AppData/Local/Temp/OnboardLogs/RTDC4005 --include="*4005*201705061*"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"%USERPROFILE%\AppData\Local\Temp\OnboardLogs"\RTDC4005\*4005*201705061* &gt;&gt; 2017-05-06-SliceDisagreementCheck.txt</v>
      </c>
      <c r="AE24" s="148" t="str">
        <f t="shared" si="9"/>
        <v>start /low /b %USERPROFILE%\Documents\GitHub\eaglep3\Utilities\DownloadLogsFromS3.py --loco 4005 --day 2017-05-06</v>
      </c>
      <c r="AF24" s="1"/>
    </row>
    <row r="25" spans="1:32" x14ac:dyDescent="0.25">
      <c r="A25" s="31">
        <v>42861.215879629628</v>
      </c>
      <c r="B25" s="30" t="s">
        <v>514</v>
      </c>
      <c r="C25" s="30" t="s">
        <v>515</v>
      </c>
      <c r="D25" s="30" t="s">
        <v>49</v>
      </c>
      <c r="E25" s="30" t="s">
        <v>185</v>
      </c>
      <c r="F25" s="42">
        <v>0</v>
      </c>
      <c r="G25" s="42">
        <v>49</v>
      </c>
      <c r="H25" s="42">
        <v>178</v>
      </c>
      <c r="I25" s="42">
        <v>123</v>
      </c>
      <c r="J25" s="30" t="s">
        <v>186</v>
      </c>
      <c r="K25" s="42">
        <v>1</v>
      </c>
      <c r="L25" s="134" t="s">
        <v>51</v>
      </c>
      <c r="M25" s="135">
        <f t="shared" si="0"/>
        <v>64.415999999999997</v>
      </c>
      <c r="N25" s="136" t="str">
        <f>VLOOKUP(C25,'Trips&amp;Operators'!$C$1:$G$99999,5,FALSE)</f>
        <v>BADERTSCHER DIANE</v>
      </c>
      <c r="O25" s="207" t="s">
        <v>184</v>
      </c>
      <c r="P25" s="137"/>
      <c r="Q25" s="30"/>
      <c r="R25" s="84" t="str">
        <f>IF(VLOOKUP(C25,'Train Runs'!$A$13:$AE$9932,1,1)=C25,VLOOKUP(C25,'Train Runs'!$A$13:$AE$9932,31,1),NA())</f>
        <v>aws s3 cp s3://rtdc.mdm.uploadarchive.raw/RTDC4005/ "%USERPROFILE%\AppData\Local\Temp\OnboardLogs"\RTDC4005\2017-05-06 --exclude "*" --recursive --include "*20170506*" &amp; "%USERPROFILE%\Documents\GitHub\mrs-test-scripts\Headless Mode &amp; Sideloading\WalkAndUnGZ.bat" "%USERPROFILE%\AppData\Local\Temp\OnboardLogs"\RTDC4005\2017-05-06 &amp; 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</v>
      </c>
      <c r="S25" s="87" t="str">
        <f>VLOOKUP(C25,'Train Runs'!$A$13:$AE$9932,22,0)</f>
        <v>https://d0f6bd738d7f1b3e5a7ca70fe4ff75f0.us-east-1.aws.found.io/app/kibana#/discover/Steve-Slow-Train-Analysis-(2080s-and-2083s)?_g=(refreshInterval:(display:Off,pause:!f,section:0,value:0),time:(from:'2017-05-06T03:06:51-0600',mode:absolute,to:'2017-05-06T06:10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5" s="89" t="str">
        <f t="shared" si="1"/>
        <v>"C:\Program Files (x86)\AstroGrep\AstroGrep.exe" /e /r /s /spath="%USERPROFILE%\AppData\Local\Temp\OnboardLogs" /stypes="*4005*201705061*" /stext=" 11:.+((SYSTEM_STATE.+slice.+state.+changed )|(ment ac)|(multiple cpu faults)|(system.+state.+changed )|(\[timeout)|(PRM\|1\|D)|(kpr)|(kdp)|(train st.+moving)|(\|lc)|(penalty))"</v>
      </c>
      <c r="U25" s="9" t="str">
        <f t="shared" si="2"/>
        <v>4005</v>
      </c>
      <c r="V25" s="31">
        <f t="shared" si="3"/>
        <v>42861.465879629628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{"issue":{"subject":"","project_id":79,"tracker_id":40,"status_id":1,"priority_id":2,"assigned_to_id":23,"start_date":"2017-05-06","description":"","custom_fields":[{"id":1,"name":"Subdivision","value":"EC"},{"id":4,"name":"Milepost","value":"0.0001"},{"id":17,"name":"Train ID","value":"102-06"},{"id":16,"name":"Locomotive ID","value":"4005"},{"id":130,"name":"Impact","value":""},{"id":150,"name":"Time of Event (Mountain Time)","value":"05:10:52"},{"id":151,"name":"Denver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/cygdrive/c/Users/stu/AppData/Local/Temp/OnboardLogs/RTDC4005 --include="*4005*201705061*"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"%USERPROFILE%\AppData\Local\Temp\OnboardLogs"\RTDC4005\*4005*201705061* &gt;&gt; 2017-05-06-SliceDisagreementCheck.txt</v>
      </c>
      <c r="AE25" s="148" t="str">
        <f t="shared" si="9"/>
        <v>start /low /b %USERPROFILE%\Documents\GitHub\eaglep3\Utilities\DownloadLogsFromS3.py --loco 4005 --day 2017-05-06</v>
      </c>
      <c r="AF25" s="1"/>
    </row>
    <row r="26" spans="1:32" x14ac:dyDescent="0.25">
      <c r="A26" s="31">
        <v>42861.709062499998</v>
      </c>
      <c r="B26" s="30" t="s">
        <v>377</v>
      </c>
      <c r="C26" s="30" t="s">
        <v>544</v>
      </c>
      <c r="D26" s="30" t="s">
        <v>49</v>
      </c>
      <c r="E26" s="30" t="s">
        <v>185</v>
      </c>
      <c r="F26" s="42">
        <v>0</v>
      </c>
      <c r="G26" s="42">
        <v>60</v>
      </c>
      <c r="H26" s="42">
        <v>1027</v>
      </c>
      <c r="I26" s="42">
        <v>969</v>
      </c>
      <c r="J26" s="30" t="s">
        <v>186</v>
      </c>
      <c r="K26" s="42">
        <v>826</v>
      </c>
      <c r="L26" s="134" t="s">
        <v>51</v>
      </c>
      <c r="M26" s="135">
        <f t="shared" si="0"/>
        <v>75.504000000000005</v>
      </c>
      <c r="N26" s="136" t="str">
        <f>VLOOKUP(C26,'Trips&amp;Operators'!$C$1:$G$99999,5,FALSE)</f>
        <v>BRANDNER MELINDA</v>
      </c>
      <c r="O26" s="207" t="s">
        <v>184</v>
      </c>
      <c r="P26" s="137"/>
      <c r="Q26" s="30"/>
      <c r="R26" s="84" t="e">
        <f>IF(VLOOKUP(C26,'Train Runs'!$A$13:$AE$9932,1,1)=C26,VLOOKUP(C26,'Train Runs'!$A$13:$AE$9932,31,1),NA())</f>
        <v>#N/A</v>
      </c>
      <c r="S26" s="87" t="str">
        <f>VLOOKUP(C26,'Train Runs'!$A$13:$AE$9932,22,0)</f>
        <v>https://d0f6bd738d7f1b3e5a7ca70fe4ff75f0.us-east-1.aws.found.io/app/kibana#/discover/Steve-Slow-Train-Analysis-(2080s-and-2083s)?_g=(refreshInterval:(display:Off,pause:!f,section:0,value:0),time:(from:'2017-05-06T15:06:34-0600',mode:absolute,to:'2017-05-06T18:01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6" s="89" t="str">
        <f t="shared" si="1"/>
        <v>"C:\Program Files (x86)\AstroGrep\AstroGrep.exe" /e /r /s /spath="%USERPROFILE%\AppData\Local\Temp\OnboardLogs" /stypes="*4003*201705062*" /stext=" 23:.+((SYSTEM_STATE.+slice.+state.+changed )|(ment ac)|(multiple cpu faults)|(system.+state.+changed )|(\[timeout)|(PRM\|1\|D)|(kpr)|(kdp)|(train st.+moving)|(\|lc)|(penalty))"</v>
      </c>
      <c r="U26" s="9" t="str">
        <f t="shared" si="2"/>
        <v>4003</v>
      </c>
      <c r="V26" s="31">
        <f t="shared" si="3"/>
        <v>42861.959062499998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{"issue":{"subject":"","project_id":79,"tracker_id":40,"status_id":1,"priority_id":2,"assigned_to_id":23,"start_date":"2017-05-06","description":"","custom_fields":[{"id":1,"name":"Subdivision","value":"EC"},{"id":4,"name":"Milepost","value":"0.0826"},{"id":17,"name":"Train ID","value":"194-06"},{"id":16,"name":"Locomotive ID","value":"4003"},{"id":130,"name":"Impact","value":""},{"id":150,"name":"Time of Event (Mountain Time)","value":"17:01:03"},{"id":151,"name":"Denver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/cygdrive/c/Users/stu/AppData/Local/Temp/OnboardLogs/RTDC4003 --include="*4003*201705062*"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"%USERPROFILE%\AppData\Local\Temp\OnboardLogs"\RTDC4003\*4003*201705062* &gt;&gt; 2017-05-06-SliceDisagreementCheck.txt</v>
      </c>
      <c r="AE26" s="148" t="str">
        <f t="shared" si="9"/>
        <v>start /low /b %USERPROFILE%\Documents\GitHub\eaglep3\Utilities\DownloadLogsFromS3.py --loco 4003 --day 2017-05-06</v>
      </c>
      <c r="AF26" s="1"/>
    </row>
    <row r="27" spans="1:32" x14ac:dyDescent="0.25">
      <c r="A27" s="31">
        <v>42861.496180555558</v>
      </c>
      <c r="B27" s="30" t="s">
        <v>470</v>
      </c>
      <c r="C27" s="30" t="s">
        <v>531</v>
      </c>
      <c r="D27" s="30" t="s">
        <v>49</v>
      </c>
      <c r="E27" s="30" t="s">
        <v>185</v>
      </c>
      <c r="F27" s="42">
        <v>0</v>
      </c>
      <c r="G27" s="42">
        <v>64</v>
      </c>
      <c r="H27" s="42">
        <v>1073</v>
      </c>
      <c r="I27" s="42">
        <v>1028</v>
      </c>
      <c r="J27" s="30" t="s">
        <v>186</v>
      </c>
      <c r="K27" s="42">
        <v>839</v>
      </c>
      <c r="L27" s="134" t="s">
        <v>51</v>
      </c>
      <c r="M27" s="135">
        <f t="shared" si="0"/>
        <v>99.792000000000002</v>
      </c>
      <c r="N27" s="136" t="str">
        <f>VLOOKUP(C27,'Trips&amp;Operators'!$C$1:$G$99999,5,FALSE)</f>
        <v>LOPES KIMBERLY</v>
      </c>
      <c r="O27" s="207" t="s">
        <v>184</v>
      </c>
      <c r="P27" s="137"/>
      <c r="Q27" s="30"/>
      <c r="R27" s="84" t="str">
        <f>IF(VLOOKUP(C27,'Train Runs'!$A$13:$AE$9932,1,1)=C27,VLOOKUP(C27,'Train Runs'!$A$13:$AE$9932,31,1),NA())</f>
        <v>aws s3 cp s3://rtdc.mdm.uploadarchive.raw/RTDC4041/ "%USERPROFILE%\AppData\Local\Temp\OnboardLogs"\RTDC4041\2017-05-06 --exclude "*" --recursive --include "*20170506*" &amp; "%USERPROFILE%\Documents\GitHub\mrs-test-scripts\Headless Mode &amp; Sideloading\WalkAndUnGZ.bat" "%USERPROFILE%\AppData\Local\Temp\OnboardLogs"\RTDC4041\2017-05-06 &amp; 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</v>
      </c>
      <c r="S27" s="87" t="str">
        <f>VLOOKUP(C27,'Train Runs'!$A$13:$AE$9932,22,0)</f>
        <v>https://d0f6bd738d7f1b3e5a7ca70fe4ff75f0.us-east-1.aws.found.io/app/kibana#/discover/Steve-Slow-Train-Analysis-(2080s-and-2083s)?_g=(refreshInterval:(display:Off,pause:!f,section:0,value:0),time:(from:'2017-05-06T09:53:50-0600',mode:absolute,to:'2017-05-06T12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7" s="89" t="str">
        <f t="shared" si="1"/>
        <v>"C:\Program Files (x86)\AstroGrep\AstroGrep.exe" /e /r /s /spath="%USERPROFILE%\AppData\Local\Temp\OnboardLogs" /stypes="*4041*201705061*" /stext=" 17:.+((SYSTEM_STATE.+slice.+state.+changed )|(ment ac)|(multiple cpu faults)|(system.+state.+changed )|(\[timeout)|(PRM\|1\|D)|(kpr)|(kdp)|(train st.+moving)|(\|lc)|(penalty))"</v>
      </c>
      <c r="U27" s="9" t="str">
        <f t="shared" si="2"/>
        <v>4041</v>
      </c>
      <c r="V27" s="31">
        <f t="shared" si="3"/>
        <v>42861.746180555558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{"issue":{"subject":"","project_id":79,"tracker_id":40,"status_id":1,"priority_id":2,"assigned_to_id":23,"start_date":"2017-05-06","description":"","custom_fields":[{"id":1,"name":"Subdivision","value":"EC"},{"id":4,"name":"Milepost","value":"0.0839"},{"id":17,"name":"Train ID","value":"154-06"},{"id":16,"name":"Locomotive ID","value":"4041"},{"id":130,"name":"Impact","value":""},{"id":150,"name":"Time of Event (Mountain Time)","value":"11:54:30"},{"id":151,"name":"Denver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/cygdrive/c/Users/stu/AppData/Local/Temp/OnboardLogs/RTDC4041 --include="*4041*201705061*"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"%USERPROFILE%\AppData\Local\Temp\OnboardLogs"\RTDC4041\*4041*201705061* &gt;&gt; 2017-05-06-SliceDisagreementCheck.txt</v>
      </c>
      <c r="AE27" s="148" t="str">
        <f t="shared" si="9"/>
        <v>start /low /b %USERPROFILE%\Documents\GitHub\eaglep3\Utilities\DownloadLogsFromS3.py --loco 4041 --day 2017-05-06</v>
      </c>
      <c r="AF27" s="1"/>
    </row>
    <row r="28" spans="1:32" x14ac:dyDescent="0.25">
      <c r="A28" s="31">
        <v>42861.600914351853</v>
      </c>
      <c r="B28" s="30" t="s">
        <v>514</v>
      </c>
      <c r="C28" s="30" t="s">
        <v>538</v>
      </c>
      <c r="D28" s="30" t="s">
        <v>49</v>
      </c>
      <c r="E28" s="30" t="s">
        <v>185</v>
      </c>
      <c r="F28" s="42">
        <v>0</v>
      </c>
      <c r="G28" s="42">
        <v>102</v>
      </c>
      <c r="H28" s="42">
        <v>1275</v>
      </c>
      <c r="I28" s="42">
        <v>1165</v>
      </c>
      <c r="J28" s="30" t="s">
        <v>186</v>
      </c>
      <c r="K28" s="42">
        <v>839</v>
      </c>
      <c r="L28" s="134" t="s">
        <v>51</v>
      </c>
      <c r="M28" s="135">
        <f t="shared" si="0"/>
        <v>172.12799999999999</v>
      </c>
      <c r="N28" s="136" t="str">
        <f>VLOOKUP(C28,'Trips&amp;Operators'!$C$1:$G$99999,5,FALSE)</f>
        <v>MOSES BRADLEY</v>
      </c>
      <c r="O28" s="207" t="s">
        <v>184</v>
      </c>
      <c r="P28" s="137"/>
      <c r="Q28" s="30"/>
      <c r="R28" s="84" t="str">
        <f>IF(VLOOKUP(C28,'Train Runs'!$A$13:$AE$9932,1,1)=C28,VLOOKUP(C28,'Train Runs'!$A$13:$AE$9932,31,1),NA())</f>
        <v>aws s3 cp s3://rtdc.mdm.uploadarchive.raw/RTDC4005/ "%USERPROFILE%\AppData\Local\Temp\OnboardLogs"\RTDC4005\2017-05-06 --exclude "*" --recursive --include "*20170506*" &amp; "%USERPROFILE%\Documents\GitHub\mrs-test-scripts\Headless Mode &amp; Sideloading\WalkAndUnGZ.bat" "%USERPROFILE%\AppData\Local\Temp\OnboardLogs"\RTDC4005\2017-05-06 &amp; 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</v>
      </c>
      <c r="S28" s="87" t="str">
        <f>VLOOKUP(C28,'Train Runs'!$A$13:$AE$9932,22,0)</f>
        <v>https://d0f6bd738d7f1b3e5a7ca70fe4ff75f0.us-east-1.aws.found.io/app/kibana#/discover/Steve-Slow-Train-Analysis-(2080s-and-2083s)?_g=(refreshInterval:(display:Off,pause:!f,section:0,value:0),time:(from:'2017-05-06T12:41:01-0600',mode:absolute,to:'2017-05-06T15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8" s="89" t="str">
        <f t="shared" si="1"/>
        <v>"C:\Program Files (x86)\AstroGrep\AstroGrep.exe" /e /r /s /spath="%USERPROFILE%\AppData\Local\Temp\OnboardLogs" /stypes="*4005*201705062*" /stext=" 20:.+((SYSTEM_STATE.+slice.+state.+changed )|(ment ac)|(multiple cpu faults)|(system.+state.+changed )|(\[timeout)|(PRM\|1\|D)|(kpr)|(kdp)|(train st.+moving)|(\|lc)|(penalty))"</v>
      </c>
      <c r="U28" s="9" t="str">
        <f t="shared" si="2"/>
        <v>4005</v>
      </c>
      <c r="V28" s="31">
        <f t="shared" si="3"/>
        <v>42861.850914351853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{"issue":{"subject":"","project_id":79,"tracker_id":40,"status_id":1,"priority_id":2,"assigned_to_id":23,"start_date":"2017-05-06","description":"","custom_fields":[{"id":1,"name":"Subdivision","value":"EC"},{"id":4,"name":"Milepost","value":"0.0839"},{"id":17,"name":"Train ID","value":"172-06"},{"id":16,"name":"Locomotive ID","value":"4005"},{"id":130,"name":"Impact","value":""},{"id":150,"name":"Time of Event (Mountain Time)","value":"14:25:19"},{"id":151,"name":"Denver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/cygdrive/c/Users/stu/AppData/Local/Temp/OnboardLogs/RTDC4005 --include="*4005*201705062*"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"%USERPROFILE%\AppData\Local\Temp\OnboardLogs"\RTDC4005\*4005*201705062* &gt;&gt; 2017-05-06-SliceDisagreementCheck.txt</v>
      </c>
      <c r="AE28" s="148" t="str">
        <f t="shared" si="9"/>
        <v>start /low /b %USERPROFILE%\Documents\GitHub\eaglep3\Utilities\DownloadLogsFromS3.py --loco 4005 --day 2017-05-06</v>
      </c>
      <c r="AF28" s="1"/>
    </row>
    <row r="29" spans="1:32" x14ac:dyDescent="0.25">
      <c r="A29" s="31">
        <v>42861.601377314815</v>
      </c>
      <c r="B29" s="30" t="s">
        <v>514</v>
      </c>
      <c r="C29" s="30" t="s">
        <v>538</v>
      </c>
      <c r="D29" s="30" t="s">
        <v>49</v>
      </c>
      <c r="E29" s="30" t="s">
        <v>185</v>
      </c>
      <c r="F29" s="42">
        <v>0</v>
      </c>
      <c r="G29" s="42">
        <v>62</v>
      </c>
      <c r="H29" s="42">
        <v>1005</v>
      </c>
      <c r="I29" s="42">
        <v>935</v>
      </c>
      <c r="J29" s="30" t="s">
        <v>186</v>
      </c>
      <c r="K29" s="42">
        <v>839</v>
      </c>
      <c r="L29" s="134" t="s">
        <v>51</v>
      </c>
      <c r="M29" s="135">
        <f t="shared" si="0"/>
        <v>50.688000000000002</v>
      </c>
      <c r="N29" s="136" t="str">
        <f>VLOOKUP(C29,'Trips&amp;Operators'!$C$1:$G$99999,5,FALSE)</f>
        <v>MOSES BRADLEY</v>
      </c>
      <c r="O29" s="207" t="s">
        <v>184</v>
      </c>
      <c r="P29" s="137"/>
      <c r="Q29" s="30"/>
      <c r="R29" s="84" t="str">
        <f>IF(VLOOKUP(C29,'Train Runs'!$A$13:$AE$9932,1,1)=C29,VLOOKUP(C29,'Train Runs'!$A$13:$AE$9932,31,1),NA())</f>
        <v>aws s3 cp s3://rtdc.mdm.uploadarchive.raw/RTDC4005/ "%USERPROFILE%\AppData\Local\Temp\OnboardLogs"\RTDC4005\2017-05-06 --exclude "*" --recursive --include "*20170506*" &amp; "%USERPROFILE%\Documents\GitHub\mrs-test-scripts\Headless Mode &amp; Sideloading\WalkAndUnGZ.bat" "%USERPROFILE%\AppData\Local\Temp\OnboardLogs"\RTDC4005\2017-05-06 &amp; 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</v>
      </c>
      <c r="S29" s="87" t="str">
        <f>VLOOKUP(C29,'Train Runs'!$A$13:$AE$9932,22,0)</f>
        <v>https://d0f6bd738d7f1b3e5a7ca70fe4ff75f0.us-east-1.aws.found.io/app/kibana#/discover/Steve-Slow-Train-Analysis-(2080s-and-2083s)?_g=(refreshInterval:(display:Off,pause:!f,section:0,value:0),time:(from:'2017-05-06T12:41:01-0600',mode:absolute,to:'2017-05-06T15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9" s="89" t="str">
        <f t="shared" si="1"/>
        <v>"C:\Program Files (x86)\AstroGrep\AstroGrep.exe" /e /r /s /spath="%USERPROFILE%\AppData\Local\Temp\OnboardLogs" /stypes="*4005*201705062*" /stext=" 20:.+((SYSTEM_STATE.+slice.+state.+changed )|(ment ac)|(multiple cpu faults)|(system.+state.+changed )|(\[timeout)|(PRM\|1\|D)|(kpr)|(kdp)|(train st.+moving)|(\|lc)|(penalty))"</v>
      </c>
      <c r="U29" s="9" t="str">
        <f t="shared" si="2"/>
        <v>4005</v>
      </c>
      <c r="V29" s="31">
        <f t="shared" si="3"/>
        <v>42861.851377314815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{"issue":{"subject":"","project_id":79,"tracker_id":40,"status_id":1,"priority_id":2,"assigned_to_id":23,"start_date":"2017-05-06","description":"","custom_fields":[{"id":1,"name":"Subdivision","value":"EC"},{"id":4,"name":"Milepost","value":"0.0839"},{"id":17,"name":"Train ID","value":"172-06"},{"id":16,"name":"Locomotive ID","value":"4005"},{"id":130,"name":"Impact","value":""},{"id":150,"name":"Time of Event (Mountain Time)","value":"14:25:59"},{"id":151,"name":"Denver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/cygdrive/c/Users/stu/AppData/Local/Temp/OnboardLogs/RTDC4005 --include="*4005*201705062*"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"%USERPROFILE%\AppData\Local\Temp\OnboardLogs"\RTDC4005\*4005*201705062* &gt;&gt; 2017-05-06-SliceDisagreementCheck.txt</v>
      </c>
      <c r="AE29" s="148" t="str">
        <f t="shared" si="9"/>
        <v>start /low /b %USERPROFILE%\Documents\GitHub\eaglep3\Utilities\DownloadLogsFromS3.py --loco 4005 --day 2017-05-06</v>
      </c>
      <c r="AF29" s="1"/>
    </row>
    <row r="30" spans="1:32" x14ac:dyDescent="0.25">
      <c r="A30" s="31">
        <v>42862.066400462965</v>
      </c>
      <c r="B30" s="30" t="s">
        <v>475</v>
      </c>
      <c r="C30" s="30" t="s">
        <v>554</v>
      </c>
      <c r="D30" s="30" t="s">
        <v>49</v>
      </c>
      <c r="E30" s="30" t="s">
        <v>185</v>
      </c>
      <c r="F30" s="42">
        <v>0</v>
      </c>
      <c r="G30" s="42">
        <v>88</v>
      </c>
      <c r="H30" s="42">
        <v>1249</v>
      </c>
      <c r="I30" s="42">
        <v>1147</v>
      </c>
      <c r="J30" s="30" t="s">
        <v>186</v>
      </c>
      <c r="K30" s="42">
        <v>839</v>
      </c>
      <c r="L30" s="134" t="s">
        <v>51</v>
      </c>
      <c r="M30" s="135">
        <f t="shared" si="0"/>
        <v>162.624</v>
      </c>
      <c r="N30" s="136" t="str">
        <f>VLOOKUP(C30,'Trips&amp;Operators'!$C$1:$G$99999,5,FALSE)</f>
        <v>STAMBAUGH JAMES</v>
      </c>
      <c r="O30" s="207" t="s">
        <v>184</v>
      </c>
      <c r="P30" s="137"/>
      <c r="Q30" s="30"/>
      <c r="R30" s="84" t="e">
        <f>IF(VLOOKUP(C30,'Train Runs'!$A$13:$AE$9932,1,1)=C30,VLOOKUP(C30,'Train Runs'!$A$13:$AE$9932,31,1),NA())</f>
        <v>#N/A</v>
      </c>
      <c r="S30" s="87" t="str">
        <f>VLOOKUP(C30,'Train Runs'!$A$13:$AE$9932,22,0)</f>
        <v>https://d0f6bd738d7f1b3e5a7ca70fe4ff75f0.us-east-1.aws.found.io/app/kibana#/discover/Steve-Slow-Train-Analysis-(2080s-and-2083s)?_g=(refreshInterval:(display:Off,pause:!f,section:0,value:0),time:(from:'2017-05-06T23:46:54-0600',mode:absolute,to:'2017-05-07T02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0" s="89" t="str">
        <f t="shared" si="1"/>
        <v>"C:\Program Files (x86)\AstroGrep\AstroGrep.exe" /e /r /s /spath="%USERPROFILE%\AppData\Local\Temp\OnboardLogs" /stypes="*4019*201705070*" /stext=" 07:.+((SYSTEM_STATE.+slice.+state.+changed )|(ment ac)|(multiple cpu faults)|(system.+state.+changed )|(\[timeout)|(PRM\|1\|D)|(kpr)|(kdp)|(train st.+moving)|(\|lc)|(penalty))"</v>
      </c>
      <c r="U30" s="9" t="str">
        <f t="shared" si="2"/>
        <v>4019</v>
      </c>
      <c r="V30" s="31">
        <f t="shared" si="3"/>
        <v>42862.316400462965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{"issue":{"subject":"","project_id":79,"tracker_id":40,"status_id":1,"priority_id":2,"assigned_to_id":23,"start_date":"2017-05-07","description":"","custom_fields":[{"id":1,"name":"Subdivision","value":"EC"},{"id":4,"name":"Milepost","value":"0.0839"},{"id":17,"name":"Train ID","value":"242-06"},{"id":16,"name":"Locomotive ID","value":"4019"},{"id":130,"name":"Impact","value":""},{"id":150,"name":"Time of Event (Mountain Time)","value":"01:35:37"},{"id":151,"name":"Denver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/cygdrive/c/Users/stu/AppData/Local/Temp/OnboardLogs/RTDC4019 --include="*4019*201705070*"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"%USERPROFILE%\AppData\Local\Temp\OnboardLogs"\RTDC4019\*4019*201705070* &gt;&gt; 2017-05-06-SliceDisagreementCheck.txt</v>
      </c>
      <c r="AE30" s="148" t="str">
        <f t="shared" si="9"/>
        <v>start /low /b %USERPROFILE%\Documents\GitHub\eaglep3\Utilities\DownloadLogsFromS3.py --loco 4019 --day 2017-05-07</v>
      </c>
      <c r="AF30" s="1"/>
    </row>
    <row r="31" spans="1:32" x14ac:dyDescent="0.25">
      <c r="A31" s="31">
        <v>42861.516076388885</v>
      </c>
      <c r="B31" s="30" t="s">
        <v>376</v>
      </c>
      <c r="C31" s="30" t="s">
        <v>532</v>
      </c>
      <c r="D31" s="30" t="s">
        <v>49</v>
      </c>
      <c r="E31" s="30" t="s">
        <v>185</v>
      </c>
      <c r="F31" s="42">
        <v>0</v>
      </c>
      <c r="G31" s="42">
        <v>58</v>
      </c>
      <c r="H31" s="42">
        <v>233264</v>
      </c>
      <c r="I31" s="42">
        <v>233326</v>
      </c>
      <c r="J31" s="30" t="s">
        <v>186</v>
      </c>
      <c r="K31" s="42">
        <v>233491</v>
      </c>
      <c r="L31" s="134" t="s">
        <v>50</v>
      </c>
      <c r="M31" s="135">
        <f t="shared" si="0"/>
        <v>87.12</v>
      </c>
      <c r="N31" s="136" t="str">
        <f>VLOOKUP(C31,'Trips&amp;Operators'!$C$1:$G$99999,5,FALSE)</f>
        <v>BRANDNER MELINDA</v>
      </c>
      <c r="O31" s="207" t="s">
        <v>184</v>
      </c>
      <c r="P31" s="137"/>
      <c r="Q31" s="30"/>
      <c r="R31" s="84" t="str">
        <f>IF(VLOOKUP(C31,'Train Runs'!$A$13:$AE$9932,1,1)=C31,VLOOKUP(C31,'Train Runs'!$A$13:$AE$9932,31,1),NA())</f>
        <v>aws s3 cp s3://rtdc.mdm.uploadarchive.raw/RTDC4004/ "%USERPROFILE%\AppData\Local\Temp\OnboardLogs"\RTDC4004\2017-05-06 --exclude "*" --recursive --include "*20170506*" &amp; "%USERPROFILE%\Documents\GitHub\mrs-test-scripts\Headless Mode &amp; Sideloading\WalkAndUnGZ.bat" "%USERPROFILE%\AppData\Local\Temp\OnboardLogs"\RTDC4004\2017-05-06 &amp; 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</v>
      </c>
      <c r="S31" s="87" t="str">
        <f>VLOOKUP(C31,'Train Runs'!$A$13:$AE$9932,22,0)</f>
        <v>https://d0f6bd738d7f1b3e5a7ca70fe4ff75f0.us-east-1.aws.found.io/app/kibana#/discover/Steve-Slow-Train-Analysis-(2080s-and-2083s)?_g=(refreshInterval:(display:Off,pause:!f,section:0,value:0),time:(from:'2017-05-06T10:41:58-0600',mode:absolute,to:'2017-05-06T13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1" s="89" t="str">
        <f t="shared" si="1"/>
        <v>"C:\Program Files (x86)\AstroGrep\AstroGrep.exe" /e /r /s /spath="%USERPROFILE%\AppData\Local\Temp\OnboardLogs" /stypes="*4004*201705061*" /stext=" 18:.+((SYSTEM_STATE.+slice.+state.+changed )|(ment ac)|(multiple cpu faults)|(system.+state.+changed )|(\[timeout)|(PRM\|1\|D)|(kpr)|(kdp)|(train st.+moving)|(\|lc)|(penalty))"</v>
      </c>
      <c r="U31" s="9" t="str">
        <f t="shared" si="2"/>
        <v>4004</v>
      </c>
      <c r="V31" s="31">
        <f t="shared" si="3"/>
        <v>42861.766076388885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{"issue":{"subject":"","project_id":79,"tracker_id":40,"status_id":1,"priority_id":2,"assigned_to_id":23,"start_date":"2017-05-06","description":"","custom_fields":[{"id":1,"name":"Subdivision","value":"EC"},{"id":4,"name":"Milepost","value":"23.3491"},{"id":17,"name":"Train ID","value":"165-06"},{"id":16,"name":"Locomotive ID","value":"4004"},{"id":130,"name":"Impact","value":""},{"id":150,"name":"Time of Event (Mountain Time)","value":"12:23:09"},{"id":151,"name":"Denver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/cygdrive/c/Users/stu/AppData/Local/Temp/OnboardLogs/RTDC4004 --include="*4004*201705061*"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"%USERPROFILE%\AppData\Local\Temp\OnboardLogs"\RTDC4004\*4004*201705061* &gt;&gt; 2017-05-06-SliceDisagreementCheck.txt</v>
      </c>
      <c r="AE31" s="148" t="str">
        <f t="shared" si="9"/>
        <v>start /low /b %USERPROFILE%\Documents\GitHub\eaglep3\Utilities\DownloadLogsFromS3.py --loco 4004 --day 2017-05-06</v>
      </c>
      <c r="AF31" s="1"/>
    </row>
    <row r="32" spans="1:32" x14ac:dyDescent="0.25">
      <c r="A32" s="31">
        <v>42861.528368055559</v>
      </c>
      <c r="B32" s="30" t="s">
        <v>476</v>
      </c>
      <c r="C32" s="30" t="s">
        <v>533</v>
      </c>
      <c r="D32" s="30" t="s">
        <v>49</v>
      </c>
      <c r="E32" s="30" t="s">
        <v>185</v>
      </c>
      <c r="F32" s="42">
        <v>0</v>
      </c>
      <c r="G32" s="42">
        <v>31</v>
      </c>
      <c r="H32" s="42">
        <v>233391</v>
      </c>
      <c r="I32" s="42">
        <v>233415</v>
      </c>
      <c r="J32" s="30" t="s">
        <v>186</v>
      </c>
      <c r="K32" s="42">
        <v>233491</v>
      </c>
      <c r="L32" s="134" t="s">
        <v>50</v>
      </c>
      <c r="M32" s="135">
        <f t="shared" si="0"/>
        <v>40.128</v>
      </c>
      <c r="N32" s="136" t="str">
        <f>VLOOKUP(C32,'Trips&amp;Operators'!$C$1:$G$99999,5,FALSE)</f>
        <v>LEVIN SCOTT</v>
      </c>
      <c r="O32" s="207" t="s">
        <v>184</v>
      </c>
      <c r="P32" s="137"/>
      <c r="Q32" s="30"/>
      <c r="R32" s="84" t="str">
        <f>IF(VLOOKUP(C32,'Train Runs'!$A$13:$AE$9932,1,1)=C32,VLOOKUP(C32,'Train Runs'!$A$13:$AE$9932,31,1),NA())</f>
        <v>aws s3 cp s3://rtdc.mdm.uploadarchive.raw/RTDC4044/ "%USERPROFILE%\AppData\Local\Temp\OnboardLogs"\RTDC4044\2017-05-06 --exclude "*" --recursive --include "*20170506*" &amp; "%USERPROFILE%\Documents\GitHub\mrs-test-scripts\Headless Mode &amp; Sideloading\WalkAndUnGZ.bat" "%USERPROFILE%\AppData\Local\Temp\OnboardLogs"\RTDC4044\2017-05-06 &amp; 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</v>
      </c>
      <c r="S32" s="87" t="str">
        <f>VLOOKUP(C32,'Train Runs'!$A$13:$AE$9932,22,0)</f>
        <v>https://d0f6bd738d7f1b3e5a7ca70fe4ff75f0.us-east-1.aws.found.io/app/kibana#/discover/Steve-Slow-Train-Analysis-(2080s-and-2083s)?_g=(refreshInterval:(display:Off,pause:!f,section:0,value:0),time:(from:'2017-05-06T10:49:28-0600',mode:absolute,to:'2017-05-06T13:40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2" s="89" t="str">
        <f t="shared" si="1"/>
        <v>"C:\Program Files (x86)\AstroGrep\AstroGrep.exe" /e /r /s /spath="%USERPROFILE%\AppData\Local\Temp\OnboardLogs" /stypes="*4044*201705061*" /stext=" 18:.+((SYSTEM_STATE.+slice.+state.+changed )|(ment ac)|(multiple cpu faults)|(system.+state.+changed )|(\[timeout)|(PRM\|1\|D)|(kpr)|(kdp)|(train st.+moving)|(\|lc)|(penalty))"</v>
      </c>
      <c r="U32" s="9" t="str">
        <f t="shared" si="2"/>
        <v>4044</v>
      </c>
      <c r="V32" s="31">
        <f t="shared" si="3"/>
        <v>42861.778368055559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{"issue":{"subject":"","project_id":79,"tracker_id":40,"status_id":1,"priority_id":2,"assigned_to_id":23,"start_date":"2017-05-06","description":"","custom_fields":[{"id":1,"name":"Subdivision","value":"EC"},{"id":4,"name":"Milepost","value":"23.3491"},{"id":17,"name":"Train ID","value":"167-06"},{"id":16,"name":"Locomotive ID","value":"4044"},{"id":130,"name":"Impact","value":""},{"id":150,"name":"Time of Event (Mountain Time)","value":"12:40:51"},{"id":151,"name":"Denver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/cygdrive/c/Users/stu/AppData/Local/Temp/OnboardLogs/RTDC4044 --include="*4044*201705061*"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"%USERPROFILE%\AppData\Local\Temp\OnboardLogs"\RTDC4044\*4044*201705061* &gt;&gt; 2017-05-06-SliceDisagreementCheck.txt</v>
      </c>
      <c r="AE32" s="148" t="str">
        <f t="shared" si="9"/>
        <v>start /low /b %USERPROFILE%\Documents\GitHub\eaglep3\Utilities\DownloadLogsFromS3.py --loco 4044 --day 2017-05-06</v>
      </c>
      <c r="AF32" s="1"/>
    </row>
    <row r="33" spans="1:32" x14ac:dyDescent="0.25">
      <c r="A33" s="31">
        <v>42861.682673611111</v>
      </c>
      <c r="B33" s="30" t="s">
        <v>476</v>
      </c>
      <c r="C33" s="30" t="s">
        <v>541</v>
      </c>
      <c r="D33" s="30" t="s">
        <v>49</v>
      </c>
      <c r="E33" s="30" t="s">
        <v>185</v>
      </c>
      <c r="F33" s="42">
        <v>0</v>
      </c>
      <c r="G33" s="42">
        <v>34</v>
      </c>
      <c r="H33" s="42">
        <v>233364</v>
      </c>
      <c r="I33" s="42">
        <v>233378</v>
      </c>
      <c r="J33" s="30" t="s">
        <v>186</v>
      </c>
      <c r="K33" s="42">
        <v>233491</v>
      </c>
      <c r="L33" s="134" t="s">
        <v>50</v>
      </c>
      <c r="M33" s="135">
        <f t="shared" si="0"/>
        <v>59.664000000000001</v>
      </c>
      <c r="N33" s="136" t="str">
        <f>VLOOKUP(C33,'Trips&amp;Operators'!$C$1:$G$99999,5,FALSE)</f>
        <v>LEVIN SCOTT</v>
      </c>
      <c r="O33" s="207" t="s">
        <v>184</v>
      </c>
      <c r="P33" s="137"/>
      <c r="Q33" s="30"/>
      <c r="R33" s="84" t="e">
        <f>IF(VLOOKUP(C33,'Train Runs'!$A$13:$AE$9932,1,1)=C33,VLOOKUP(C33,'Train Runs'!$A$13:$AE$9932,31,1),NA())</f>
        <v>#N/A</v>
      </c>
      <c r="S33" s="87" t="str">
        <f>VLOOKUP(C33,'Train Runs'!$A$13:$AE$9932,22,0)</f>
        <v>https://d0f6bd738d7f1b3e5a7ca70fe4ff75f0.us-east-1.aws.found.io/app/kibana#/discover/Steve-Slow-Train-Analysis-(2080s-and-2083s)?_g=(refreshInterval:(display:Off,pause:!f,section:0,value:0),time:(from:'2017-05-06T14:37:42-0600',mode:absolute,to:'2017-05-06T17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3" s="89" t="str">
        <f t="shared" si="1"/>
        <v>"C:\Program Files (x86)\AstroGrep\AstroGrep.exe" /e /r /s /spath="%USERPROFILE%\AppData\Local\Temp\OnboardLogs" /stypes="*4044*201705062*" /stext=" 22:.+((SYSTEM_STATE.+slice.+state.+changed )|(ment ac)|(multiple cpu faults)|(system.+state.+changed )|(\[timeout)|(PRM\|1\|D)|(kpr)|(kdp)|(train st.+moving)|(\|lc)|(penalty))"</v>
      </c>
      <c r="U33" s="9" t="str">
        <f t="shared" si="2"/>
        <v>4044</v>
      </c>
      <c r="V33" s="31">
        <f t="shared" si="3"/>
        <v>42861.932673611111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{"issue":{"subject":"","project_id":79,"tracker_id":40,"status_id":1,"priority_id":2,"assigned_to_id":23,"start_date":"2017-05-06","description":"","custom_fields":[{"id":1,"name":"Subdivision","value":"EC"},{"id":4,"name":"Milepost","value":"23.3491"},{"id":17,"name":"Train ID","value":"197-06"},{"id":16,"name":"Locomotive ID","value":"4044"},{"id":130,"name":"Impact","value":""},{"id":150,"name":"Time of Event (Mountain Time)","value":"16:23:03"},{"id":151,"name":"Denver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/cygdrive/c/Users/stu/AppData/Local/Temp/OnboardLogs/RTDC4044 --include="*4044*201705062*"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"%USERPROFILE%\AppData\Local\Temp\OnboardLogs"\RTDC4044\*4044*201705062* &gt;&gt; 2017-05-06-SliceDisagreementCheck.txt</v>
      </c>
      <c r="AE33" s="148" t="str">
        <f t="shared" si="9"/>
        <v>start /low /b %USERPROFILE%\Documents\GitHub\eaglep3\Utilities\DownloadLogsFromS3.py --loco 4044 --day 2017-05-06</v>
      </c>
      <c r="AF33" s="1"/>
    </row>
    <row r="34" spans="1:32" x14ac:dyDescent="0.25">
      <c r="A34" s="31">
        <v>42861.70417824074</v>
      </c>
      <c r="B34" s="30" t="s">
        <v>406</v>
      </c>
      <c r="C34" s="30" t="s">
        <v>543</v>
      </c>
      <c r="D34" s="30" t="s">
        <v>49</v>
      </c>
      <c r="E34" s="30" t="s">
        <v>185</v>
      </c>
      <c r="F34" s="42">
        <v>0</v>
      </c>
      <c r="G34" s="42">
        <v>43</v>
      </c>
      <c r="H34" s="42">
        <v>233326</v>
      </c>
      <c r="I34" s="42">
        <v>233345</v>
      </c>
      <c r="J34" s="30" t="s">
        <v>186</v>
      </c>
      <c r="K34" s="42">
        <v>233491</v>
      </c>
      <c r="L34" s="134" t="s">
        <v>50</v>
      </c>
      <c r="M34" s="135">
        <f t="shared" si="0"/>
        <v>77.087999999999994</v>
      </c>
      <c r="N34" s="136" t="str">
        <f>VLOOKUP(C34,'Trips&amp;Operators'!$C$1:$G$99999,5,FALSE)</f>
        <v>MOSES BRADLEY</v>
      </c>
      <c r="O34" s="207" t="s">
        <v>184</v>
      </c>
      <c r="P34" s="137"/>
      <c r="Q34" s="30"/>
      <c r="R34" s="84" t="e">
        <f>IF(VLOOKUP(C34,'Train Runs'!$A$13:$AE$9932,1,1)=C34,VLOOKUP(C34,'Train Runs'!$A$13:$AE$9932,31,1),NA())</f>
        <v>#N/A</v>
      </c>
      <c r="S34" s="87" t="str">
        <f>VLOOKUP(C34,'Train Runs'!$A$13:$AE$9932,22,0)</f>
        <v>https://d0f6bd738d7f1b3e5a7ca70fe4ff75f0.us-east-1.aws.found.io/app/kibana#/discover/Steve-Slow-Train-Analysis-(2080s-and-2083s)?_g=(refreshInterval:(display:Off,pause:!f,section:0,value:0),time:(from:'2017-05-06T15:12:25-0600',mode:absolute,to:'2017-05-06T17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4" s="89" t="str">
        <f t="shared" si="1"/>
        <v>"C:\Program Files (x86)\AstroGrep\AstroGrep.exe" /e /r /s /spath="%USERPROFILE%\AppData\Local\Temp\OnboardLogs" /stypes="*4042*201705062*" /stext=" 22:.+((SYSTEM_STATE.+slice.+state.+changed )|(ment ac)|(multiple cpu faults)|(system.+state.+changed )|(\[timeout)|(PRM\|1\|D)|(kpr)|(kdp)|(train st.+moving)|(\|lc)|(penalty))"</v>
      </c>
      <c r="U34" s="9" t="str">
        <f t="shared" si="2"/>
        <v>4042</v>
      </c>
      <c r="V34" s="31">
        <f t="shared" si="3"/>
        <v>42861.95417824074</v>
      </c>
      <c r="W34" s="45" t="str">
        <f t="shared" si="4"/>
        <v>EC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{"issue":{"subject":"","project_id":79,"tracker_id":40,"status_id":1,"priority_id":2,"assigned_to_id":23,"start_date":"2017-05-06","description":"","custom_fields":[{"id":1,"name":"Subdivision","value":"EC"},{"id":4,"name":"Milepost","value":"23.3491"},{"id":17,"name":"Train ID","value":"201-06"},{"id":16,"name":"Locomotive ID","value":"4042"},{"id":130,"name":"Impact","value":""},{"id":150,"name":"Time of Event (Mountain Time)","value":"16:54:01"},{"id":151,"name":"Denver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/cygdrive/c/Users/stu/AppData/Local/Temp/OnboardLogs/RTDC4042 --include="*4042*201705062*"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"%USERPROFILE%\AppData\Local\Temp\OnboardLogs"\RTDC4042\*4042*201705062* &gt;&gt; 2017-05-06-SliceDisagreementCheck.txt</v>
      </c>
      <c r="AE34" s="148" t="str">
        <f t="shared" si="9"/>
        <v>start /low /b %USERPROFILE%\Documents\GitHub\eaglep3\Utilities\DownloadLogsFromS3.py --loco 4042 --day 2017-05-06</v>
      </c>
      <c r="AF34" s="1"/>
    </row>
    <row r="35" spans="1:32" x14ac:dyDescent="0.25">
      <c r="A35" s="31">
        <v>42861.740671296298</v>
      </c>
      <c r="B35" s="30" t="s">
        <v>520</v>
      </c>
      <c r="C35" s="30" t="s">
        <v>545</v>
      </c>
      <c r="D35" s="30" t="s">
        <v>49</v>
      </c>
      <c r="E35" s="30" t="s">
        <v>185</v>
      </c>
      <c r="F35" s="42">
        <v>0</v>
      </c>
      <c r="G35" s="42">
        <v>91</v>
      </c>
      <c r="H35" s="42">
        <v>233164</v>
      </c>
      <c r="I35" s="42">
        <v>233261</v>
      </c>
      <c r="J35" s="30" t="s">
        <v>186</v>
      </c>
      <c r="K35" s="42">
        <v>233491</v>
      </c>
      <c r="L35" s="134" t="s">
        <v>50</v>
      </c>
      <c r="M35" s="135">
        <f t="shared" si="0"/>
        <v>121.44</v>
      </c>
      <c r="N35" s="136" t="str">
        <f>VLOOKUP(C35,'Trips&amp;Operators'!$C$1:$G$99999,5,FALSE)</f>
        <v>DAVIS MICHAEL</v>
      </c>
      <c r="O35" s="207" t="s">
        <v>184</v>
      </c>
      <c r="P35" s="137"/>
      <c r="Q35" s="30"/>
      <c r="R35" s="84" t="e">
        <f>IF(VLOOKUP(C35,'Train Runs'!$A$13:$AE$9932,1,1)=C35,VLOOKUP(C35,'Train Runs'!$A$13:$AE$9932,31,1),NA())</f>
        <v>#N/A</v>
      </c>
      <c r="S35" s="87" t="str">
        <f>VLOOKUP(C35,'Train Runs'!$A$13:$AE$9932,22,0)</f>
        <v>https://d0f6bd738d7f1b3e5a7ca70fe4ff75f0.us-east-1.aws.found.io/app/kibana#/discover/Steve-Slow-Train-Analysis-(2080s-and-2083s)?_g=(refreshInterval:(display:Off,pause:!f,section:0,value:0),time:(from:'2017-05-06T15:58:30-0600',mode:absolute,to:'2017-05-06T18:46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5" s="89" t="str">
        <f t="shared" si="1"/>
        <v>"C:\Program Files (x86)\AstroGrep\AstroGrep.exe" /e /r /s /spath="%USERPROFILE%\AppData\Local\Temp\OnboardLogs" /stypes="*4002*201705062*" /stext=" 23:.+((SYSTEM_STATE.+slice.+state.+changed )|(ment ac)|(multiple cpu faults)|(system.+state.+changed )|(\[timeout)|(PRM\|1\|D)|(kpr)|(kdp)|(train st.+moving)|(\|lc)|(penalty))"</v>
      </c>
      <c r="U35" s="9" t="str">
        <f t="shared" si="2"/>
        <v>4002</v>
      </c>
      <c r="V35" s="31">
        <f t="shared" si="3"/>
        <v>42861.990671296298</v>
      </c>
      <c r="W35" s="45" t="str">
        <f t="shared" si="4"/>
        <v>EC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{"issue":{"subject":"","project_id":79,"tracker_id":40,"status_id":1,"priority_id":2,"assigned_to_id":23,"start_date":"2017-05-06","description":"","custom_fields":[{"id":1,"name":"Subdivision","value":"EC"},{"id":4,"name":"Milepost","value":"23.3491"},{"id":17,"name":"Train ID","value":"207-06"},{"id":16,"name":"Locomotive ID","value":"4002"},{"id":130,"name":"Impact","value":""},{"id":150,"name":"Time of Event (Mountain Time)","value":"17:46:34"},{"id":151,"name":"Denver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/cygdrive/c/Users/stu/AppData/Local/Temp/OnboardLogs/RTDC4002 --include="*4002*201705062*"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"%USERPROFILE%\AppData\Local\Temp\OnboardLogs"\RTDC4002\*4002*201705062* &gt;&gt; 2017-05-06-SliceDisagreementCheck.txt</v>
      </c>
      <c r="AE35" s="148" t="str">
        <f t="shared" si="9"/>
        <v>start /low /b %USERPROFILE%\Documents\GitHub\eaglep3\Utilities\DownloadLogsFromS3.py --loco 4002 --day 2017-05-06</v>
      </c>
      <c r="AF35" s="1"/>
    </row>
    <row r="36" spans="1:32" x14ac:dyDescent="0.25">
      <c r="A36" s="31">
        <v>42861.797997685186</v>
      </c>
      <c r="B36" s="30" t="s">
        <v>438</v>
      </c>
      <c r="C36" s="30" t="s">
        <v>548</v>
      </c>
      <c r="D36" s="30" t="s">
        <v>49</v>
      </c>
      <c r="E36" s="30" t="s">
        <v>185</v>
      </c>
      <c r="F36" s="42">
        <v>0</v>
      </c>
      <c r="G36" s="42">
        <v>59</v>
      </c>
      <c r="H36" s="42">
        <v>233268</v>
      </c>
      <c r="I36" s="42">
        <v>233334</v>
      </c>
      <c r="J36" s="30" t="s">
        <v>186</v>
      </c>
      <c r="K36" s="42">
        <v>233491</v>
      </c>
      <c r="L36" s="134" t="s">
        <v>50</v>
      </c>
      <c r="M36" s="135">
        <f t="shared" si="0"/>
        <v>82.895999999999987</v>
      </c>
      <c r="N36" s="136" t="str">
        <f>VLOOKUP(C36,'Trips&amp;Operators'!$C$1:$G$99999,5,FALSE)</f>
        <v>SWANSON BRYCE</v>
      </c>
      <c r="O36" s="207" t="s">
        <v>184</v>
      </c>
      <c r="P36" s="137"/>
      <c r="Q36" s="30"/>
      <c r="R36" s="84" t="e">
        <f>IF(VLOOKUP(C36,'Train Runs'!$A$13:$AE$9932,1,1)=C36,VLOOKUP(C36,'Train Runs'!$A$13:$AE$9932,31,1),NA())</f>
        <v>#N/A</v>
      </c>
      <c r="S36" s="87" t="str">
        <f>VLOOKUP(C36,'Train Runs'!$A$13:$AE$9932,22,0)</f>
        <v>https://d0f6bd738d7f1b3e5a7ca70fe4ff75f0.us-east-1.aws.found.io/app/kibana#/discover/Steve-Slow-Train-Analysis-(2080s-and-2083s)?_g=(refreshInterval:(display:Off,pause:!f,section:0,value:0),time:(from:'2017-05-06T17:26:40-0600',mode:absolute,to:'2017-05-06T20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6" s="89" t="str">
        <f t="shared" si="1"/>
        <v>"C:\Program Files (x86)\AstroGrep\AstroGrep.exe" /e /r /s /spath="%USERPROFILE%\AppData\Local\Temp\OnboardLogs" /stypes="*4024*201705070*" /stext=" 01:.+((SYSTEM_STATE.+slice.+state.+changed )|(ment ac)|(multiple cpu faults)|(system.+state.+changed )|(\[timeout)|(PRM\|1\|D)|(kpr)|(kdp)|(train st.+moving)|(\|lc)|(penalty))"</v>
      </c>
      <c r="U36" s="9" t="str">
        <f t="shared" si="2"/>
        <v>4024</v>
      </c>
      <c r="V36" s="31">
        <f t="shared" si="3"/>
        <v>42862.047997685186</v>
      </c>
      <c r="W36" s="45" t="str">
        <f t="shared" si="4"/>
        <v>EC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{"issue":{"subject":"","project_id":79,"tracker_id":40,"status_id":1,"priority_id":2,"assigned_to_id":23,"start_date":"2017-05-06","description":"","custom_fields":[{"id":1,"name":"Subdivision","value":"EC"},{"id":4,"name":"Milepost","value":"23.3491"},{"id":17,"name":"Train ID","value":"219-06"},{"id":16,"name":"Locomotive ID","value":"4024"},{"id":130,"name":"Impact","value":""},{"id":150,"name":"Time of Event (Mountain Time)","value":"19:09:07"},{"id":151,"name":"Denver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/cygdrive/c/Users/stu/AppData/Local/Temp/OnboardLogs/RTDC4024 --include="*4024*201705070*"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"%USERPROFILE%\AppData\Local\Temp\OnboardLogs"\RTDC4024\*4024*201705070* &gt;&gt; 2017-05-06-SliceDisagreementCheck.txt</v>
      </c>
      <c r="AE36" s="148" t="str">
        <f t="shared" si="9"/>
        <v>start /low /b %USERPROFILE%\Documents\GitHub\eaglep3\Utilities\DownloadLogsFromS3.py --loco 4024 --day 2017-05-07</v>
      </c>
      <c r="AF36" s="1"/>
    </row>
    <row r="37" spans="1:32" x14ac:dyDescent="0.25">
      <c r="A37" s="31">
        <v>42861.942280092589</v>
      </c>
      <c r="B37" s="30" t="s">
        <v>367</v>
      </c>
      <c r="C37" s="30" t="s">
        <v>551</v>
      </c>
      <c r="D37" s="30" t="s">
        <v>49</v>
      </c>
      <c r="E37" s="30" t="s">
        <v>185</v>
      </c>
      <c r="F37" s="42">
        <v>0</v>
      </c>
      <c r="G37" s="42">
        <v>14</v>
      </c>
      <c r="H37" s="42">
        <v>233462</v>
      </c>
      <c r="I37" s="42">
        <v>233472</v>
      </c>
      <c r="J37" s="30" t="s">
        <v>186</v>
      </c>
      <c r="K37" s="42">
        <v>233491</v>
      </c>
      <c r="L37" s="134" t="s">
        <v>50</v>
      </c>
      <c r="M37" s="135">
        <f t="shared" si="0"/>
        <v>10.032</v>
      </c>
      <c r="N37" s="136" t="str">
        <f>VLOOKUP(C37,'Trips&amp;Operators'!$C$1:$G$99999,5,FALSE)</f>
        <v>STAMBAUGH JAMES</v>
      </c>
      <c r="O37" s="207" t="s">
        <v>184</v>
      </c>
      <c r="P37" s="137"/>
      <c r="Q37" s="30"/>
      <c r="R37" s="84" t="e">
        <f>IF(VLOOKUP(C37,'Train Runs'!$A$13:$AE$9932,1,1)=C37,VLOOKUP(C37,'Train Runs'!$A$13:$AE$9932,31,1),NA())</f>
        <v>#N/A</v>
      </c>
      <c r="S37" s="87" t="str">
        <f>VLOOKUP(C37,'Train Runs'!$A$13:$AE$9932,22,0)</f>
        <v>https://d0f6bd738d7f1b3e5a7ca70fe4ff75f0.us-east-1.aws.found.io/app/kibana#/discover/Steve-Slow-Train-Analysis-(2080s-and-2083s)?_g=(refreshInterval:(display:Off,pause:!f,section:0,value:0),time:(from:'2017-05-06T20:38:46-0600',mode:absolute,to:'2017-05-06T23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7" s="89" t="str">
        <f t="shared" si="1"/>
        <v>"C:\Program Files (x86)\AstroGrep\AstroGrep.exe" /e /r /s /spath="%USERPROFILE%\AppData\Local\Temp\OnboardLogs" /stypes="*4010*201705070*" /stext=" 04:.+((SYSTEM_STATE.+slice.+state.+changed )|(ment ac)|(multiple cpu faults)|(system.+state.+changed )|(\[timeout)|(PRM\|1\|D)|(kpr)|(kdp)|(train st.+moving)|(\|lc)|(penalty))"</v>
      </c>
      <c r="U37" s="9" t="str">
        <f t="shared" si="2"/>
        <v>4010</v>
      </c>
      <c r="V37" s="31">
        <f t="shared" si="3"/>
        <v>42862.192280092589</v>
      </c>
      <c r="W37" s="45" t="str">
        <f t="shared" si="4"/>
        <v>EC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{"issue":{"subject":"","project_id":79,"tracker_id":40,"status_id":1,"priority_id":2,"assigned_to_id":23,"start_date":"2017-05-06","description":"","custom_fields":[{"id":1,"name":"Subdivision","value":"EC"},{"id":4,"name":"Milepost","value":"23.3491"},{"id":17,"name":"Train ID","value":"233-06"},{"id":16,"name":"Locomotive ID","value":"4010"},{"id":130,"name":"Impact","value":""},{"id":150,"name":"Time of Event (Mountain Time)","value":"22:36:53"},{"id":151,"name":"Denver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/cygdrive/c/Users/stu/AppData/Local/Temp/OnboardLogs/RTDC4010 --include="*4010*201705070*"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"%USERPROFILE%\AppData\Local\Temp\OnboardLogs"\RTDC4010\*4010*201705070* &gt;&gt; 2017-05-06-SliceDisagreementCheck.txt</v>
      </c>
      <c r="AE37" s="148" t="str">
        <f t="shared" si="9"/>
        <v>start /low /b %USERPROFILE%\Documents\GitHub\eaglep3\Utilities\DownloadLogsFromS3.py --loco 4010 --day 2017-05-07</v>
      </c>
      <c r="AF37" s="1"/>
    </row>
    <row r="38" spans="1:32" x14ac:dyDescent="0.25">
      <c r="A38" s="31">
        <v>42862.026203703703</v>
      </c>
      <c r="B38" s="30" t="s">
        <v>471</v>
      </c>
      <c r="C38" s="30" t="s">
        <v>553</v>
      </c>
      <c r="D38" s="30" t="s">
        <v>49</v>
      </c>
      <c r="E38" s="30" t="s">
        <v>185</v>
      </c>
      <c r="F38" s="42">
        <v>0</v>
      </c>
      <c r="G38" s="42">
        <v>14</v>
      </c>
      <c r="H38" s="42">
        <v>233479</v>
      </c>
      <c r="I38" s="42">
        <v>233479</v>
      </c>
      <c r="J38" s="30" t="s">
        <v>186</v>
      </c>
      <c r="K38" s="42">
        <v>233491</v>
      </c>
      <c r="L38" s="134" t="s">
        <v>50</v>
      </c>
      <c r="M38" s="135">
        <f t="shared" si="0"/>
        <v>6.3360000000000003</v>
      </c>
      <c r="N38" s="136" t="str">
        <f>VLOOKUP(C38,'Trips&amp;Operators'!$C$1:$G$99999,5,FALSE)</f>
        <v>STAMBAUGH JAMES</v>
      </c>
      <c r="O38" s="207" t="s">
        <v>184</v>
      </c>
      <c r="P38" s="137"/>
      <c r="Q38" s="30"/>
      <c r="R38" s="84" t="e">
        <f>IF(VLOOKUP(C38,'Train Runs'!$A$13:$AE$9932,1,1)=C38,VLOOKUP(C38,'Train Runs'!$A$13:$AE$9932,31,1),NA())</f>
        <v>#N/A</v>
      </c>
      <c r="S38" s="87" t="str">
        <f>VLOOKUP(C38,'Train Runs'!$A$13:$AE$9932,22,0)</f>
        <v>https://d0f6bd738d7f1b3e5a7ca70fe4ff75f0.us-east-1.aws.found.io/app/kibana#/discover/Steve-Slow-Train-Analysis-(2080s-and-2083s)?_g=(refreshInterval:(display:Off,pause:!f,section:0,value:0),time:(from:'2017-05-06T22:45:52-0600',mode:absolute,to:'2017-05-07T01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8" s="89" t="str">
        <f t="shared" si="1"/>
        <v>"C:\Program Files (x86)\AstroGrep\AstroGrep.exe" /e /r /s /spath="%USERPROFILE%\AppData\Local\Temp\OnboardLogs" /stypes="*4020*201705070*" /stext=" 06:.+((SYSTEM_STATE.+slice.+state.+changed )|(ment ac)|(multiple cpu faults)|(system.+state.+changed )|(\[timeout)|(PRM\|1\|D)|(kpr)|(kdp)|(train st.+moving)|(\|lc)|(penalty))"</v>
      </c>
      <c r="U38" s="9" t="str">
        <f t="shared" si="2"/>
        <v>4020</v>
      </c>
      <c r="V38" s="31">
        <f t="shared" si="3"/>
        <v>42862.276203703703</v>
      </c>
      <c r="W38" s="45" t="str">
        <f t="shared" si="4"/>
        <v>EC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{"issue":{"subject":"","project_id":79,"tracker_id":40,"status_id":1,"priority_id":2,"assigned_to_id":23,"start_date":"2017-05-07","description":"","custom_fields":[{"id":1,"name":"Subdivision","value":"EC"},{"id":4,"name":"Milepost","value":"23.3491"},{"id":17,"name":"Train ID","value":"241-06"},{"id":16,"name":"Locomotive ID","value":"4020"},{"id":130,"name":"Impact","value":""},{"id":150,"name":"Time of Event (Mountain Time)","value":"00:37:44"},{"id":151,"name":"Denver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/cygdrive/c/Users/stu/AppData/Local/Temp/OnboardLogs/RTDC4020 --include="*4020*201705070*"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"%USERPROFILE%\AppData\Local\Temp\OnboardLogs"\RTDC4020\*4020*201705070* &gt;&gt; 2017-05-06-SliceDisagreementCheck.txt</v>
      </c>
      <c r="AE38" s="148" t="str">
        <f t="shared" si="9"/>
        <v>start /low /b %USERPROFILE%\Documents\GitHub\eaglep3\Utilities\DownloadLogsFromS3.py --loco 4020 --day 2017-05-07</v>
      </c>
      <c r="AF38" s="1"/>
    </row>
    <row r="39" spans="1:32" x14ac:dyDescent="0.25">
      <c r="A39" s="31">
        <v>42861.313958333332</v>
      </c>
      <c r="B39" s="30" t="s">
        <v>386</v>
      </c>
      <c r="C39" s="30" t="s">
        <v>518</v>
      </c>
      <c r="D39" s="30" t="s">
        <v>49</v>
      </c>
      <c r="E39" s="30" t="s">
        <v>208</v>
      </c>
      <c r="F39" s="42">
        <v>150</v>
      </c>
      <c r="G39" s="42">
        <v>346</v>
      </c>
      <c r="H39" s="42">
        <v>55571</v>
      </c>
      <c r="I39" s="42">
        <v>56279</v>
      </c>
      <c r="J39" s="30" t="s">
        <v>209</v>
      </c>
      <c r="K39" s="42">
        <v>57008</v>
      </c>
      <c r="L39" s="134" t="s">
        <v>50</v>
      </c>
      <c r="M39" s="135">
        <f t="shared" si="0"/>
        <v>384.91199999999998</v>
      </c>
      <c r="N39" s="136" t="str">
        <f>VLOOKUP(C39,'Trips&amp;Operators'!$C$1:$G$99999,5,FALSE)</f>
        <v>DELGADO DIANAH</v>
      </c>
      <c r="O39" s="207" t="s">
        <v>184</v>
      </c>
      <c r="P39" s="137"/>
      <c r="Q39" s="30"/>
      <c r="R39" s="84" t="e">
        <f>IF(VLOOKUP(C39,'Train Runs'!$A$13:$AE$9932,1,1)=C39,VLOOKUP(C39,'Train Runs'!$A$13:$AE$9932,31,1),NA())</f>
        <v>#N/A</v>
      </c>
      <c r="S39" s="87" t="str">
        <f>VLOOKUP(C39,'Train Runs'!$A$13:$AE$9932,22,0)</f>
        <v>https://d0f6bd738d7f1b3e5a7ca70fe4ff75f0.us-east-1.aws.found.io/app/kibana#/discover/Steve-Slow-Train-Analysis-(2080s-and-2083s)?_g=(refreshInterval:(display:Off,pause:!f,section:0,value:0),time:(from:'2017-05-06T05:57:50-0600',mode:absolute,to:'2017-05-06T08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9" s="89" t="str">
        <f t="shared" si="1"/>
        <v>"C:\Program Files (x86)\AstroGrep\AstroGrep.exe" /e /r /s /spath="%USERPROFILE%\AppData\Local\Temp\OnboardLogs" /stypes="*4018*201705061*" /stext=" 13:.+((SYSTEM_STATE.+slice.+state.+changed )|(ment ac)|(multiple cpu faults)|(system.+state.+changed )|(\[timeout)|(PRM\|1\|D)|(kpr)|(kdp)|(train st.+moving)|(\|lc)|(penalty))"</v>
      </c>
      <c r="U39" s="9" t="str">
        <f t="shared" si="2"/>
        <v>4018</v>
      </c>
      <c r="V39" s="31">
        <f t="shared" si="3"/>
        <v>42861.563958333332</v>
      </c>
      <c r="W39" s="45" t="str">
        <f t="shared" si="4"/>
        <v>NW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{"issue":{"subject":"","project_id":79,"tracker_id":40,"status_id":1,"priority_id":2,"assigned_to_id":23,"start_date":"2017-05-06","description":"","custom_fields":[{"id":1,"name":"Subdivision","value":"NW"},{"id":4,"name":"Milepost","value":"5.7008"},{"id":17,"name":"Train ID","value":"1803-06"},{"id":16,"name":"Locomotive ID","value":"4018"},{"id":130,"name":"Impact","value":""},{"id":150,"name":"Time of Event (Mountain Time)","value":"07:32:06"},{"id":151,"name":"Denver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/cygdrive/c/Users/stu/AppData/Local/Temp/OnboardLogs/RTDC4018 --include="*4018*201705061*"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"%USERPROFILE%\AppData\Local\Temp\OnboardLogs"\RTDC4018\*4018*201705061* &gt;&gt; 2017-05-06-SliceDisagreementCheck.txt</v>
      </c>
      <c r="AE39" s="148" t="str">
        <f t="shared" si="9"/>
        <v>start /low /b %USERPROFILE%\Documents\GitHub\eaglep3\Utilities\DownloadLogsFromS3.py --loco 4018 --day 2017-05-06</v>
      </c>
      <c r="AF39" s="1"/>
    </row>
    <row r="40" spans="1:32" x14ac:dyDescent="0.25">
      <c r="A40" s="31">
        <v>42861.561956018515</v>
      </c>
      <c r="B40" s="30" t="s">
        <v>361</v>
      </c>
      <c r="C40" s="30" t="s">
        <v>534</v>
      </c>
      <c r="D40" s="30" t="s">
        <v>49</v>
      </c>
      <c r="E40" s="30" t="s">
        <v>435</v>
      </c>
      <c r="F40" s="42">
        <v>0</v>
      </c>
      <c r="G40" s="42">
        <v>252</v>
      </c>
      <c r="H40" s="42">
        <v>34101</v>
      </c>
      <c r="I40" s="42">
        <v>34686</v>
      </c>
      <c r="J40" s="30" t="s">
        <v>436</v>
      </c>
      <c r="K40" s="42">
        <v>34583</v>
      </c>
      <c r="L40" s="134" t="s">
        <v>50</v>
      </c>
      <c r="M40" s="135">
        <f t="shared" si="0"/>
        <v>-54.384</v>
      </c>
      <c r="N40" s="136" t="str">
        <f>VLOOKUP(C40,'Trips&amp;Operators'!$C$1:$G$99999,5,FALSE)</f>
        <v>DELGADO DIANAH</v>
      </c>
      <c r="O40" s="207" t="s">
        <v>439</v>
      </c>
      <c r="P40" s="137" t="s">
        <v>1037</v>
      </c>
      <c r="Q40" s="30"/>
      <c r="R40" s="84" t="str">
        <f>IF(VLOOKUP(C40,'Train Runs'!$A$13:$AE$9932,1,1)=C40,VLOOKUP(C40,'Train Runs'!$A$13:$AE$9932,31,1),NA())</f>
        <v>aws s3 cp s3://rtdc.mdm.uploadarchive.raw/RTDC4014/ "%USERPROFILE%\AppData\Local\Temp\OnboardLogs"\RTDC4014\2017-05-06 --exclude "*" --recursive --include "*20170506*" &amp; "%USERPROFILE%\Documents\GitHub\mrs-test-scripts\Headless Mode &amp; Sideloading\WalkAndUnGZ.bat" "%USERPROFILE%\AppData\Local\Temp\OnboardLogs"\RTDC4014\2017-05-06 &amp; aws s3 cp s3://rtdc.mdm.uploadarchive.raw/RTDC4014/ "%USERPROFILE%\AppData\Local\Temp\OnboardLogs"\RTDC4014\2017-05-07 --exclude "*" --recursive --include "*20170507*" &amp; "%USERPROFILE%\Documents\GitHub\mrs-test-scripts\Headless Mode &amp; Sideloading\WalkAndUnGZ.bat" "%USERPROFILE%\AppData\Local\Temp\OnboardLogs"\RTDC4014\2017-05-07</v>
      </c>
      <c r="S40" s="87" t="str">
        <f>VLOOKUP(C40,'Train Runs'!$A$13:$AE$9932,22,0)</f>
        <v>https://d0f6bd738d7f1b3e5a7ca70fe4ff75f0.us-east-1.aws.found.io/app/kibana#/discover/Steve-Slow-Train-Analysis-(2080s-and-2083s)?_g=(refreshInterval:(display:Off,pause:!f,section:0,value:0),time:(from:'2017-05-06T12:08:27-0600',mode:absolute,to:'2017-05-06T14:29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0" s="89" t="str">
        <f t="shared" si="1"/>
        <v>"C:\Program Files (x86)\AstroGrep\AstroGrep.exe" /e /r /s /spath="%USERPROFILE%\AppData\Local\Temp\OnboardLogs" /stypes="*4014*201705061*" /stext=" 19:.+((SYSTEM_STATE.+slice.+state.+changed )|(ment ac)|(multiple cpu faults)|(system.+state.+changed )|(\[timeout)|(PRM\|1\|D)|(kpr)|(kdp)|(train st.+moving)|(\|lc)|(penalty))"</v>
      </c>
      <c r="U40" s="9" t="str">
        <f t="shared" si="2"/>
        <v>4014</v>
      </c>
      <c r="V40" s="31">
        <f t="shared" si="3"/>
        <v>42861.811956018515</v>
      </c>
      <c r="W40" s="45" t="str">
        <f t="shared" si="4"/>
        <v>NW</v>
      </c>
      <c r="X40" s="45" t="str">
        <f t="shared" si="5"/>
        <v>KEEP</v>
      </c>
      <c r="Y40" s="99" t="str">
        <f t="shared" si="6"/>
        <v>echo {"issue":{"subject":"Wi-MAX data drop","project_id":79,"tracker_id":40,"status_id":1,"priority_id":2,"assigned_to_id":23,"start_date":"2017-05-06","description":"","custom_fields":[{"id":1,"name":"Subdivision","value":"NW"},{"id":4,"name":"Milepost","value":"3.4583"},{"id":17,"name":"Train ID","value":"1815-06"},{"id":16,"name":"Locomotive ID","value":"4014"},{"id":130,"name":"Impact","value":""},{"id":150,"name":"Time of Event (Mountain Time)","value":"13:29:13"},{"id":151,"name":"Denver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-hrE -A400 "Enforcement Action" /cygdrive/c/Users/stu/AppData/Local/Temp/OnboardLogs/RTDC4014 --include="*4014*201705061*"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"%USERPROFILE%\AppData\Local\Temp\OnboardLogs"\RTDC4014\*4014*201705061* &gt;&gt; 2017-05-06-SliceDisagreementCheck.txt</v>
      </c>
      <c r="AE40" s="148" t="str">
        <f t="shared" si="9"/>
        <v>start /low /b %USERPROFILE%\Documents\GitHub\eaglep3\Utilities\DownloadLogsFromS3.py --loco 4014 --day 2017-05-06</v>
      </c>
      <c r="AF40" s="1"/>
    </row>
    <row r="41" spans="1:32" x14ac:dyDescent="0.25">
      <c r="A41" s="31">
        <v>42861.579629629632</v>
      </c>
      <c r="B41" s="30" t="s">
        <v>362</v>
      </c>
      <c r="C41" s="30" t="s">
        <v>536</v>
      </c>
      <c r="D41" s="30" t="s">
        <v>49</v>
      </c>
      <c r="E41" s="30" t="s">
        <v>185</v>
      </c>
      <c r="F41" s="42">
        <v>0</v>
      </c>
      <c r="G41" s="42">
        <v>27</v>
      </c>
      <c r="H41" s="42">
        <v>656</v>
      </c>
      <c r="I41" s="42">
        <v>642</v>
      </c>
      <c r="J41" s="30" t="s">
        <v>186</v>
      </c>
      <c r="K41" s="42">
        <v>575</v>
      </c>
      <c r="L41" s="134" t="s">
        <v>51</v>
      </c>
      <c r="M41" s="135">
        <f t="shared" si="0"/>
        <v>35.375999999999998</v>
      </c>
      <c r="N41" s="136" t="str">
        <f>VLOOKUP(C41,'Trips&amp;Operators'!$C$1:$G$99999,5,FALSE)</f>
        <v>DELGADO DIANAH</v>
      </c>
      <c r="O41" s="207" t="s">
        <v>184</v>
      </c>
      <c r="P41" s="137"/>
      <c r="Q41" s="30"/>
      <c r="R41" s="84" t="str">
        <f>IF(VLOOKUP(C41,'Train Runs'!$A$13:$AE$9932,1,1)=C41,VLOOKUP(C41,'Train Runs'!$A$13:$AE$9932,31,1),NA())</f>
        <v>aws s3 cp s3://rtdc.mdm.uploadarchive.raw/RTDC4013/ "%USERPROFILE%\AppData\Local\Temp\OnboardLogs"\RTDC4013\2017-05-06 --exclude "*" --recursive --include "*20170506*" &amp; "%USERPROFILE%\Documents\GitHub\mrs-test-scripts\Headless Mode &amp; Sideloading\WalkAndUnGZ.bat" "%USERPROFILE%\AppData\Local\Temp\OnboardLogs"\RTDC4013\2017-05-06 &amp; aws s3 cp s3://rtdc.mdm.uploadarchive.raw/RTDC4013/ "%USERPROFILE%\AppData\Local\Temp\OnboardLogs"\RTDC4013\2017-05-07 --exclude "*" --recursive --include "*20170507*" &amp; "%USERPROFILE%\Documents\GitHub\mrs-test-scripts\Headless Mode &amp; Sideloading\WalkAndUnGZ.bat" "%USERPROFILE%\AppData\Local\Temp\OnboardLogs"\RTDC4013\2017-05-07</v>
      </c>
      <c r="S41" s="87" t="str">
        <f>VLOOKUP(C41,'Train Runs'!$A$13:$AE$9932,22,0)</f>
        <v>https://d0f6bd738d7f1b3e5a7ca70fe4ff75f0.us-east-1.aws.found.io/app/kibana#/discover/Steve-Slow-Train-Analysis-(2080s-and-2083s)?_g=(refreshInterval:(display:Off,pause:!f,section:0,value:0),time:(from:'2017-05-06T12:38:29-0600',mode:absolute,to:'2017-05-06T14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1" s="89" t="str">
        <f t="shared" si="1"/>
        <v>"C:\Program Files (x86)\AstroGrep\AstroGrep.exe" /e /r /s /spath="%USERPROFILE%\AppData\Local\Temp\OnboardLogs" /stypes="*4013*201705061*" /stext=" 19:.+((SYSTEM_STATE.+slice.+state.+changed )|(ment ac)|(multiple cpu faults)|(system.+state.+changed )|(\[timeout)|(PRM\|1\|D)|(kpr)|(kdp)|(train st.+moving)|(\|lc)|(penalty))"</v>
      </c>
      <c r="U41" s="9" t="str">
        <f t="shared" si="2"/>
        <v>4013</v>
      </c>
      <c r="V41" s="31">
        <f t="shared" si="3"/>
        <v>42861.829629629632</v>
      </c>
      <c r="W41" s="45" t="str">
        <f t="shared" si="4"/>
        <v>NW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{"issue":{"subject":"","project_id":79,"tracker_id":40,"status_id":1,"priority_id":2,"assigned_to_id":23,"start_date":"2017-05-06","description":"","custom_fields":[{"id":1,"name":"Subdivision","value":"NW"},{"id":4,"name":"Milepost","value":"0.0575"},{"id":17,"name":"Train ID","value":"1816-06"},{"id":16,"name":"Locomotive ID","value":"4013"},{"id":130,"name":"Impact","value":""},{"id":150,"name":"Time of Event (Mountain Time)","value":"13:54:40"},{"id":151,"name":"Denver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-hrE -A400 "Enforcement Action" /cygdrive/c/Users/stu/AppData/Local/Temp/OnboardLogs/RTDC4013 --include="*4013*201705061*"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"%USERPROFILE%\AppData\Local\Temp\OnboardLogs"\RTDC4013\*4013*201705061* &gt;&gt; 2017-05-06-SliceDisagreementCheck.txt</v>
      </c>
      <c r="AE41" s="148" t="str">
        <f t="shared" si="9"/>
        <v>start /low /b %USERPROFILE%\Documents\GitHub\eaglep3\Utilities\DownloadLogsFromS3.py --loco 4013 --day 2017-05-06</v>
      </c>
      <c r="AF41" s="1"/>
    </row>
    <row r="42" spans="1:32" x14ac:dyDescent="0.25">
      <c r="A42" s="31">
        <v>42861.746006944442</v>
      </c>
      <c r="B42" s="30" t="s">
        <v>362</v>
      </c>
      <c r="C42" s="30" t="s">
        <v>546</v>
      </c>
      <c r="D42" s="30" t="s">
        <v>49</v>
      </c>
      <c r="E42" s="30" t="s">
        <v>185</v>
      </c>
      <c r="F42" s="42">
        <v>0</v>
      </c>
      <c r="G42" s="42">
        <v>93</v>
      </c>
      <c r="H42" s="42">
        <v>992</v>
      </c>
      <c r="I42" s="42">
        <v>909</v>
      </c>
      <c r="J42" s="30" t="s">
        <v>186</v>
      </c>
      <c r="K42" s="42">
        <v>575</v>
      </c>
      <c r="L42" s="134" t="s">
        <v>51</v>
      </c>
      <c r="M42" s="135">
        <f t="shared" si="0"/>
        <v>176.352</v>
      </c>
      <c r="N42" s="136" t="str">
        <f>VLOOKUP(C42,'Trips&amp;Operators'!$C$1:$G$99999,5,FALSE)</f>
        <v>HELVIE ADAM</v>
      </c>
      <c r="O42" s="207" t="s">
        <v>184</v>
      </c>
      <c r="P42" s="137"/>
      <c r="Q42" s="30"/>
      <c r="R42" s="84" t="str">
        <f>IF(VLOOKUP(C42,'Train Runs'!$A$13:$AE$9932,1,1)=C42,VLOOKUP(C42,'Train Runs'!$A$13:$AE$9932,31,1),NA())</f>
        <v>aws s3 cp s3://rtdc.mdm.uploadarchive.raw/RTDC4013/ "%USERPROFILE%\AppData\Local\Temp\OnboardLogs"\RTDC4013\2017-05-06 --exclude "*" --recursive --include "*20170506*" &amp; "%USERPROFILE%\Documents\GitHub\mrs-test-scripts\Headless Mode &amp; Sideloading\WalkAndUnGZ.bat" "%USERPROFILE%\AppData\Local\Temp\OnboardLogs"\RTDC4013\2017-05-06 &amp; aws s3 cp s3://rtdc.mdm.uploadarchive.raw/RTDC4013/ "%USERPROFILE%\AppData\Local\Temp\OnboardLogs"\RTDC4013\2017-05-07 --exclude "*" --recursive --include "*20170507*" &amp; "%USERPROFILE%\Documents\GitHub\mrs-test-scripts\Headless Mode &amp; Sideloading\WalkAndUnGZ.bat" "%USERPROFILE%\AppData\Local\Temp\OnboardLogs"\RTDC4013\2017-05-07</v>
      </c>
      <c r="S42" s="87" t="str">
        <f>VLOOKUP(C42,'Train Runs'!$A$13:$AE$9932,22,0)</f>
        <v>https://d0f6bd738d7f1b3e5a7ca70fe4ff75f0.us-east-1.aws.found.io/app/kibana#/discover/Steve-Slow-Train-Analysis-(2080s-and-2083s)?_g=(refreshInterval:(display:Off,pause:!f,section:0,value:0),time:(from:'2017-05-06T16:37:03-0600',mode:absolute,to:'2017-05-06T18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2" s="89" t="str">
        <f t="shared" si="1"/>
        <v>"C:\Program Files (x86)\AstroGrep\AstroGrep.exe" /e /r /s /spath="%USERPROFILE%\AppData\Local\Temp\OnboardLogs" /stypes="*4013*201705062*" /stext=" 23:.+((SYSTEM_STATE.+slice.+state.+changed )|(ment ac)|(multiple cpu faults)|(system.+state.+changed )|(\[timeout)|(PRM\|1\|D)|(kpr)|(kdp)|(train st.+moving)|(\|lc)|(penalty))"</v>
      </c>
      <c r="U42" s="9" t="str">
        <f t="shared" si="2"/>
        <v>4013</v>
      </c>
      <c r="V42" s="31">
        <f t="shared" si="3"/>
        <v>42861.996006944442</v>
      </c>
      <c r="W42" s="45" t="str">
        <f t="shared" si="4"/>
        <v>NW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{"issue":{"subject":"","project_id":79,"tracker_id":40,"status_id":1,"priority_id":2,"assigned_to_id":23,"start_date":"2017-05-06","description":"","custom_fields":[{"id":1,"name":"Subdivision","value":"NW"},{"id":4,"name":"Milepost","value":"0.0575"},{"id":17,"name":"Train ID","value":"1824-06"},{"id":16,"name":"Locomotive ID","value":"4013"},{"id":130,"name":"Impact","value":""},{"id":150,"name":"Time of Event (Mountain Time)","value":"17:54:15"},{"id":151,"name":"Denver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-hrE -A400 "Enforcement Action" /cygdrive/c/Users/stu/AppData/Local/Temp/OnboardLogs/RTDC4013 --include="*4013*201705062*"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"%USERPROFILE%\AppData\Local\Temp\OnboardLogs"\RTDC4013\*4013*201705062* &gt;&gt; 2017-05-06-SliceDisagreementCheck.txt</v>
      </c>
      <c r="AE42" s="148" t="str">
        <f t="shared" si="9"/>
        <v>start /low /b %USERPROFILE%\Documents\GitHub\eaglep3\Utilities\DownloadLogsFromS3.py --loco 4013 --day 2017-05-06</v>
      </c>
      <c r="AF42" s="1"/>
    </row>
    <row r="43" spans="1:32" x14ac:dyDescent="0.25">
      <c r="A43" s="31">
        <v>42861.974641203706</v>
      </c>
      <c r="B43" s="30" t="s">
        <v>407</v>
      </c>
      <c r="C43" s="30" t="s">
        <v>552</v>
      </c>
      <c r="D43" s="30" t="s">
        <v>49</v>
      </c>
      <c r="E43" s="30" t="s">
        <v>191</v>
      </c>
      <c r="F43" s="42">
        <v>0</v>
      </c>
      <c r="G43" s="42">
        <v>347</v>
      </c>
      <c r="H43" s="42">
        <v>10416</v>
      </c>
      <c r="I43" s="42">
        <v>11025</v>
      </c>
      <c r="J43" s="30" t="s">
        <v>192</v>
      </c>
      <c r="K43" s="42">
        <v>10714</v>
      </c>
      <c r="L43" s="134" t="s">
        <v>50</v>
      </c>
      <c r="M43" s="135">
        <f t="shared" si="0"/>
        <v>-164.208</v>
      </c>
      <c r="N43" s="136" t="str">
        <f>VLOOKUP(C43,'Trips&amp;Operators'!$C$1:$G$99999,5,FALSE)</f>
        <v>FORTUNATO FRANK</v>
      </c>
      <c r="O43" s="207" t="s">
        <v>184</v>
      </c>
      <c r="P43" s="137"/>
      <c r="Q43" s="30"/>
      <c r="R43" s="84" t="str">
        <f>IF(VLOOKUP(C43,'Train Runs'!$A$13:$AE$9932,1,1)=C43,VLOOKUP(C43,'Train Runs'!$A$13:$AE$9932,31,1),NA())</f>
        <v>aws s3 cp s3://rtdc.mdm.uploadarchive.raw/RTDC4061/ "%USERPROFILE%\AppData\Local\Temp\OnboardLogs"\RTDC4061\2017-05-07 --exclude "*" --recursive --include "*20170507*" &amp; "%USERPROFILE%\Documents\GitHub\mrs-test-scripts\Headless Mode &amp; Sideloading\WalkAndUnGZ.bat" "%USERPROFILE%\AppData\Local\Temp\OnboardLogs"\RTDC4061\2017-05-07 &amp; aws s3 cp s3://rtdc.mdm.uploadarchive.raw/RTDC4061/ "%USERPROFILE%\AppData\Local\Temp\OnboardLogs"\RTDC4061\2017-05-08 --exclude "*" --recursive --include "*20170508*" &amp; "%USERPROFILE%\Documents\GitHub\mrs-test-scripts\Headless Mode &amp; Sideloading\WalkAndUnGZ.bat" "%USERPROFILE%\AppData\Local\Temp\OnboardLogs"\RTDC4061\2017-05-08</v>
      </c>
      <c r="S43" s="87" t="str">
        <f>VLOOKUP(C43,'Train Runs'!$A$13:$AE$9932,22,0)</f>
        <v>https://d0f6bd738d7f1b3e5a7ca70fe4ff75f0.us-east-1.aws.found.io/app/kibana#/discover/Steve-Slow-Train-Analysis-(2080s-and-2083s)?_g=(refreshInterval:(display:Off,pause:!f,section:0,value:0),time:(from:'2017-05-06T22:18:44-0600',mode:absolute,to:'2017-05-07T01:18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43" s="89" t="str">
        <f t="shared" si="1"/>
        <v>"C:\Program Files (x86)\AstroGrep\AstroGrep.exe" /e /r /s /spath="%USERPROFILE%\AppData\Local\Temp\OnboardLogs" /stypes="*4060*201705070*" /stext=" 05:.+((SYSTEM_STATE.+slice.+state.+changed )|(ment ac)|(multiple cpu faults)|(system.+state.+changed )|(\[timeout)|(PRM\|1\|D)|(kpr)|(kdp)|(train st.+moving)|(\|lc)|(penalty))"</v>
      </c>
      <c r="U43" s="9" t="str">
        <f t="shared" si="2"/>
        <v>4060</v>
      </c>
      <c r="V43" s="31">
        <f t="shared" si="3"/>
        <v>42862.224641203706</v>
      </c>
      <c r="W43" s="45" t="str">
        <f t="shared" si="4"/>
        <v>Other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{"issue":{"subject":"","project_id":79,"tracker_id":40,"status_id":1,"priority_id":2,"assigned_to_id":23,"start_date":"2017-05-06","description":"","custom_fields":[{"id":1,"name":"Subdivision","value":"Other"},{"id":4,"name":"Milepost","value":"1.0714"},{"id":17,"name":"Train ID","value":"81-06"},{"id":16,"name":"Locomotive ID","value":"4060"},{"id":130,"name":"Impact","value":""},{"id":150,"name":"Time of Event (Mountain Time)","value":"23:23:29"},{"id":151,"name":"Denver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-hrE -A400 "Enforcement Action" /cygdrive/c/Users/stu/AppData/Local/Temp/OnboardLogs/RTDC4060 --include="*4060*201705070*"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"%USERPROFILE%\AppData\Local\Temp\OnboardLogs"\RTDC4060\*4060*201705070* &gt;&gt; 2017-05-06-SliceDisagreementCheck.txt</v>
      </c>
      <c r="AE43" s="148" t="str">
        <f t="shared" si="9"/>
        <v>start /low /b %USERPROFILE%\Documents\GitHub\eaglep3\Utilities\DownloadLogsFromS3.py --loco 4060 --day 2017-05-07</v>
      </c>
      <c r="AF43" s="1"/>
    </row>
    <row r="44" spans="1:32" x14ac:dyDescent="0.25">
      <c r="A44" s="31">
        <v>42862.072858796295</v>
      </c>
      <c r="B44" s="30" t="s">
        <v>555</v>
      </c>
      <c r="C44" s="30" t="s">
        <v>556</v>
      </c>
      <c r="D44" s="30" t="s">
        <v>98</v>
      </c>
      <c r="E44" s="30" t="s">
        <v>208</v>
      </c>
      <c r="F44" s="42">
        <v>550</v>
      </c>
      <c r="G44" s="42">
        <v>604</v>
      </c>
      <c r="H44" s="42">
        <v>222071</v>
      </c>
      <c r="I44" s="42">
        <v>219353</v>
      </c>
      <c r="J44" s="30" t="s">
        <v>209</v>
      </c>
      <c r="K44" s="42">
        <v>224581</v>
      </c>
      <c r="L44" s="134" t="s">
        <v>51</v>
      </c>
      <c r="M44" s="135">
        <f t="shared" si="0"/>
        <v>-2760.3840000000005</v>
      </c>
      <c r="N44" s="136" t="str">
        <f>VLOOKUP(C44,'Trips&amp;Operators'!$C$1:$G$99999,5,FALSE)</f>
        <v>DUNCAN SHEILA</v>
      </c>
      <c r="O44" s="207" t="s">
        <v>184</v>
      </c>
      <c r="P44" s="137"/>
      <c r="Q44" s="30"/>
      <c r="R44" s="84" t="str">
        <f>IF(VLOOKUP(C44,'Train Runs'!$A$13:$AE$9932,1,1)=C44,VLOOKUP(C44,'Train Runs'!$A$13:$AE$9932,31,1),NA())</f>
        <v>aws s3 cp s3://rtdc.mdm.uploadarchive.raw/RTDC4034/ "%USERPROFILE%\AppData\Local\Temp\OnboardLogs"\RTDC4034\2017-05-07 --exclude "*" --recursive --include "*20170507*" &amp; "%USERPROFILE%\Documents\GitHub\mrs-test-scripts\Headless Mode &amp; Sideloading\WalkAndUnGZ.bat" "%USERPROFILE%\AppData\Local\Temp\OnboardLogs"\RTDC4034\2017-05-07 &amp; aws s3 cp s3://rtdc.mdm.uploadarchive.raw/RTDC4034/ "%USERPROFILE%\AppData\Local\Temp\OnboardLogs"\RTDC4034\2017-05-08 --exclude "*" --recursive --include "*20170508*" &amp; "%USERPROFILE%\Documents\GitHub\mrs-test-scripts\Headless Mode &amp; Sideloading\WalkAndUnGZ.bat" "%USERPROFILE%\AppData\Local\Temp\OnboardLogs"\RTDC4034\2017-05-08</v>
      </c>
      <c r="S44" s="87" t="str">
        <f>VLOOKUP(C44,'Train Runs'!$A$13:$AE$9932,22,0)</f>
        <v>https://d0f6bd738d7f1b3e5a7ca70fe4ff75f0.us-east-1.aws.found.io/app/kibana#/discover/Steve-Slow-Train-Analysis-(2080s-and-2083s)?_g=(refreshInterval:(display:Off,pause:!f,section:0,value:0),time:(from:'2017-05-06T20:20:56-0600',mode:absolute,to:'2017-05-06T23:44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44" s="89" t="str">
        <f t="shared" si="1"/>
        <v>"C:\Program Files (x86)\AstroGrep\AstroGrep.exe" /e /r /s /spath="%USERPROFILE%\AppData\Local\Temp\OnboardLogs" /stypes="*4033*201705070*" /stext=" 07:.+((SYSTEM_STATE.+slice.+state.+changed )|(ment ac)|(multiple cpu faults)|(system.+state.+changed )|(\[timeout)|(PRM\|1\|D)|(kpr)|(kdp)|(train st.+moving)|(\|lc)|(penalty))"</v>
      </c>
      <c r="U44" s="9" t="str">
        <f t="shared" si="2"/>
        <v>4033</v>
      </c>
      <c r="V44" s="31">
        <f t="shared" si="3"/>
        <v>42862.322858796295</v>
      </c>
      <c r="W44" s="45" t="str">
        <f t="shared" si="4"/>
        <v>Other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{"issue":{"subject":"","project_id":79,"tracker_id":40,"status_id":1,"priority_id":2,"assigned_to_id":23,"start_date":"2017-05-07","description":"","custom_fields":[{"id":1,"name":"Subdivision","value":"Other"},{"id":4,"name":"Milepost","value":"22.4581"},{"id":17,"name":"Train ID","value":"79-06"},{"id":16,"name":"Locomotive ID","value":"4033"},{"id":130,"name":"Impact","value":""},{"id":150,"name":"Time of Event (Mountain Time)","value":"01:44:55"},{"id":151,"name":"Denver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-hrE -A400 "Enforcement Action" /cygdrive/c/Users/stu/AppData/Local/Temp/OnboardLogs/RTDC4033 --include="*4033*201705070*"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"%USERPROFILE%\AppData\Local\Temp\OnboardLogs"\RTDC4033\*4033*201705070* &gt;&gt; 2017-05-06-SliceDisagreementCheck.txt</v>
      </c>
      <c r="AE44" s="148" t="str">
        <f t="shared" si="9"/>
        <v>start /low /b %USERPROFILE%\Documents\GitHub\eaglep3\Utilities\DownloadLogsFromS3.py --loco 4033 --day 2017-05-07</v>
      </c>
      <c r="AF44" s="1"/>
    </row>
    <row r="45" spans="1:32" x14ac:dyDescent="0.25">
      <c r="A45" s="31">
        <v>42861.467268518521</v>
      </c>
      <c r="B45" s="30" t="s">
        <v>362</v>
      </c>
      <c r="C45" s="30" t="s">
        <v>529</v>
      </c>
      <c r="D45" s="30" t="s">
        <v>49</v>
      </c>
      <c r="E45" s="30" t="s">
        <v>185</v>
      </c>
      <c r="F45" s="42">
        <v>0</v>
      </c>
      <c r="G45" s="42">
        <v>24</v>
      </c>
      <c r="H45" s="42">
        <v>913</v>
      </c>
      <c r="I45" s="42">
        <v>893</v>
      </c>
      <c r="J45" s="30" t="s">
        <v>186</v>
      </c>
      <c r="K45" s="42">
        <v>826</v>
      </c>
      <c r="L45" s="134" t="s">
        <v>51</v>
      </c>
      <c r="M45" s="135">
        <f t="shared" si="0"/>
        <v>35.375999999999998</v>
      </c>
      <c r="N45" s="136" t="str">
        <f>VLOOKUP(C45,'Trips&amp;Operators'!$C$1:$G$99999,5,FALSE)</f>
        <v>ARNOLD PAUL</v>
      </c>
      <c r="O45" s="207" t="s">
        <v>184</v>
      </c>
      <c r="P45" s="137"/>
      <c r="Q45" s="30"/>
      <c r="R45" s="84" t="str">
        <f>IF(VLOOKUP(C45,'Train Runs'!$A$13:$AE$9932,1,1)=C45,VLOOKUP(C45,'Train Runs'!$A$13:$AE$9932,31,1),NA())</f>
        <v>aws s3 cp s3://rtdc.mdm.uploadarchive.raw/RTDC4014/ "%USERPROFILE%\AppData\Local\Temp\OnboardLogs"\RTDC4014\2017-05-06 --exclude "*" --recursive --include "*20170506*" &amp; "%USERPROFILE%\Documents\GitHub\mrs-test-scripts\Headless Mode &amp; Sideloading\WalkAndUnGZ.bat" "%USERPROFILE%\AppData\Local\Temp\OnboardLogs"\RTDC4014\2017-05-06 &amp; aws s3 cp s3://rtdc.mdm.uploadarchive.raw/RTDC4014/ "%USERPROFILE%\AppData\Local\Temp\OnboardLogs"\RTDC4014\2017-05-07 --exclude "*" --recursive --include "*20170507*" &amp; "%USERPROFILE%\Documents\GitHub\mrs-test-scripts\Headless Mode &amp; Sideloading\WalkAndUnGZ.bat" "%USERPROFILE%\AppData\Local\Temp\OnboardLogs"\RTDC4014\2017-05-07</v>
      </c>
      <c r="S45" s="87" t="str">
        <f>VLOOKUP(C45,'Train Runs'!$A$13:$AE$9932,22,0)</f>
        <v>https://d0f6bd738d7f1b3e5a7ca70fe4ff75f0.us-east-1.aws.found.io/app/kibana#/discover/Steve-Slow-Train-Analysis-(2080s-and-2083s)?_g=(refreshInterval:(display:Off,pause:!f,section:0,value:0),time:(from:'2017-05-06T10:07:30-0600',mode:absolute,to:'2017-05-06T12:12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5" s="89" t="str">
        <f t="shared" si="1"/>
        <v>"C:\Program Files (x86)\AstroGrep\AstroGrep.exe" /e /r /s /spath="%USERPROFILE%\AppData\Local\Temp\OnboardLogs" /stypes="*4013*201705061*" /stext=" 17:.+((SYSTEM_STATE.+slice.+state.+changed )|(ment ac)|(multiple cpu faults)|(system.+state.+changed )|(\[timeout)|(PRM\|1\|D)|(kpr)|(kdp)|(train st.+moving)|(\|lc)|(penalty))"</v>
      </c>
      <c r="U45" s="9" t="str">
        <f t="shared" si="2"/>
        <v>4013</v>
      </c>
      <c r="V45" s="31">
        <f t="shared" si="3"/>
        <v>42861.717268518521</v>
      </c>
      <c r="W45" s="45" t="str">
        <f t="shared" si="4"/>
        <v>Other</v>
      </c>
      <c r="X45" s="45" t="str">
        <f t="shared" si="5"/>
        <v>KEEP</v>
      </c>
      <c r="Y45" s="99" t="str">
        <f t="shared" si="6"/>
        <v>echo {"issue":{"subject":"","project_id":79,"tracker_id":40,"status_id":1,"priority_id":2,"assigned_to_id":23,"start_date":"2017-05-06","description":"","custom_fields":[{"id":1,"name":"Subdivision","value":"Other"},{"id":4,"name":"Milepost","value":"0.0826"},{"id":17,"name":"Train ID","value":"55-06"},{"id":16,"name":"Locomotive ID","value":"4013"},{"id":130,"name":"Impact","value":""},{"id":150,"name":"Time of Event (Mountain Time)","value":"11:12:52"},{"id":151,"name":"Denver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7"/>
        <v>grep -hrE -A400 "Enforcement Action" /cygdrive/c/Users/stu/AppData/Local/Temp/OnboardLogs/RTDC4013 --include="*4013*201705061*"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"%USERPROFILE%\AppData\Local\Temp\OnboardLogs"\RTDC4013\*4013*201705061* &gt;&gt; 2017-05-06-SliceDisagreementCheck.txt</v>
      </c>
      <c r="AE45" s="148" t="str">
        <f t="shared" si="9"/>
        <v>start /low /b %USERPROFILE%\Documents\GitHub\eaglep3\Utilities\DownloadLogsFromS3.py --loco 4013 --day 2017-05-06</v>
      </c>
      <c r="AF45" s="1"/>
    </row>
    <row r="46" spans="1:32" x14ac:dyDescent="0.25">
      <c r="A46" s="31">
        <v>42861.483946759261</v>
      </c>
      <c r="B46" s="30" t="s">
        <v>437</v>
      </c>
      <c r="C46" s="30" t="s">
        <v>530</v>
      </c>
      <c r="D46" s="30" t="s">
        <v>49</v>
      </c>
      <c r="E46" s="30" t="s">
        <v>185</v>
      </c>
      <c r="F46" s="42">
        <v>0</v>
      </c>
      <c r="G46" s="42">
        <v>41</v>
      </c>
      <c r="H46" s="42">
        <v>947</v>
      </c>
      <c r="I46" s="42">
        <v>895</v>
      </c>
      <c r="J46" s="30" t="s">
        <v>186</v>
      </c>
      <c r="K46" s="42">
        <v>826</v>
      </c>
      <c r="L46" s="134" t="s">
        <v>51</v>
      </c>
      <c r="M46" s="135">
        <f t="shared" si="0"/>
        <v>36.432000000000002</v>
      </c>
      <c r="N46" s="136" t="str">
        <f>VLOOKUP(C46,'Trips&amp;Operators'!$C$1:$G$99999,5,FALSE)</f>
        <v>LEVIN SCOTT</v>
      </c>
      <c r="O46" s="207" t="s">
        <v>184</v>
      </c>
      <c r="P46" s="137"/>
      <c r="Q46" s="30"/>
      <c r="R46" s="84" t="str">
        <f>IF(VLOOKUP(C46,'Train Runs'!$A$13:$AE$9932,1,1)=C46,VLOOKUP(C46,'Train Runs'!$A$13:$AE$9932,31,1),NA())</f>
        <v>aws s3 cp s3://rtdc.mdm.uploadarchive.raw/RTDC4051/ "%USERPROFILE%\AppData\Local\Temp\OnboardLogs"\RTDC4051\2017-05-06 --exclude "*" --recursive --include "*20170506*" &amp; "%USERPROFILE%\Documents\GitHub\mrs-test-scripts\Headless Mode &amp; Sideloading\WalkAndUnGZ.bat" "%USERPROFILE%\AppData\Local\Temp\OnboardLogs"\RTDC4051\2017-05-06 &amp; 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</v>
      </c>
      <c r="S46" s="87" t="str">
        <f>VLOOKUP(C46,'Train Runs'!$A$13:$AE$9932,22,0)</f>
        <v>https://d0f6bd738d7f1b3e5a7ca70fe4ff75f0.us-east-1.aws.found.io/app/kibana#/discover/Steve-Slow-Train-Analysis-(2080s-and-2083s)?_g=(refreshInterval:(display:Off,pause:!f,section:0,value:0),time:(from:'2017-05-06T10:22:50-0600',mode:absolute,to:'2017-05-06T12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46" s="89" t="str">
        <f t="shared" si="1"/>
        <v>"C:\Program Files (x86)\AstroGrep\AstroGrep.exe" /e /r /s /spath="%USERPROFILE%\AppData\Local\Temp\OnboardLogs" /stypes="*4051*201705061*" /stext=" 17:.+((SYSTEM_STATE.+slice.+state.+changed )|(ment ac)|(multiple cpu faults)|(system.+state.+changed )|(\[timeout)|(PRM\|1\|D)|(kpr)|(kdp)|(train st.+moving)|(\|lc)|(penalty))"</v>
      </c>
      <c r="U46" s="9" t="str">
        <f t="shared" si="2"/>
        <v>4051</v>
      </c>
      <c r="V46" s="31">
        <f t="shared" si="3"/>
        <v>42861.733946759261</v>
      </c>
      <c r="W46" s="45" t="str">
        <f t="shared" si="4"/>
        <v>Other</v>
      </c>
      <c r="X46" s="45" t="str">
        <f t="shared" si="5"/>
        <v>KEEP</v>
      </c>
      <c r="Y46" s="99" t="str">
        <f t="shared" si="6"/>
        <v>echo {"issue":{"subject":"","project_id":79,"tracker_id":40,"status_id":1,"priority_id":2,"assigned_to_id":23,"start_date":"2017-05-06","description":"","custom_fields":[{"id":1,"name":"Subdivision","value":"Other"},{"id":4,"name":"Milepost","value":"0.0826"},{"id":17,"name":"Train ID","value":"52-06"},{"id":16,"name":"Locomotive ID","value":"4051"},{"id":130,"name":"Impact","value":""},{"id":150,"name":"Time of Event (Mountain Time)","value":"11:36:53"},{"id":151,"name":"Denver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7"/>
        <v>grep -hrE -A400 "Enforcement Action" /cygdrive/c/Users/stu/AppData/Local/Temp/OnboardLogs/RTDC4051 --include="*4051*201705061*"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"%USERPROFILE%\AppData\Local\Temp\OnboardLogs"\RTDC4051\*4051*201705061* &gt;&gt; 2017-05-06-SliceDisagreementCheck.txt</v>
      </c>
      <c r="AE46" s="148" t="str">
        <f t="shared" si="9"/>
        <v>start /low /b %USERPROFILE%\Documents\GitHub\eaglep3\Utilities\DownloadLogsFromS3.py --loco 4051 --day 2017-05-06</v>
      </c>
      <c r="AF46" s="1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</sheetData>
  <autoFilter ref="A6:AC63">
    <sortState ref="A7:AC65">
      <sortCondition ref="W7:W48"/>
      <sortCondition ref="E7:E48"/>
      <sortCondition ref="K7:K48"/>
      <sortCondition ref="F7:F48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4:O1048576 O7:O4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6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AA7:AA46</xm:sqref>
        </x14:dataValidation>
        <x14:dataValidation type="list" allowBlank="1" showInputMessage="1" showErrorMessage="1">
          <x14:formula1>
            <xm:f>'Redmine List Values'!$C$2:$C$15</xm:f>
          </x14:formula1>
          <xm:sqref>AB7:AB46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1"/>
  <sheetViews>
    <sheetView workbookViewId="0">
      <selection activeCell="A3" sqref="A3:A17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2017-05-06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>
        <v>105</v>
      </c>
      <c r="B3" s="42" t="str">
        <f>A3&amp;"-"&amp;IF(DAY(Variables!$A$2)&lt;10,0,"")&amp;DAY(Variables!$A$2)</f>
        <v>105-06</v>
      </c>
      <c r="C3" s="138"/>
      <c r="D3" s="156"/>
      <c r="E3" s="30" t="s">
        <v>1034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22105-06%22)),sort:!(Time.ISO8601,asc))</v>
      </c>
      <c r="J3" s="30" t="e">
        <f>VLOOKUP(B3,'Train Runs'!$A$13:$A$99929,1,FALSE)</f>
        <v>#N/A</v>
      </c>
    </row>
    <row r="4" spans="1:10" x14ac:dyDescent="0.25">
      <c r="A4" s="190">
        <v>106</v>
      </c>
      <c r="B4" s="42" t="str">
        <f>A4&amp;"-"&amp;IF(DAY(Variables!$A$2)&lt;10,0,"")&amp;DAY(Variables!$A$2)</f>
        <v>106-06</v>
      </c>
      <c r="C4" s="138"/>
      <c r="D4" s="156"/>
      <c r="E4" s="30" t="s">
        <v>1034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22106-06%22)),sort:!(Time.ISO8601,asc))</v>
      </c>
      <c r="J4" s="30" t="e">
        <f>VLOOKUP(B4,'Train Runs'!$A$13:$A$99929,1,FALSE)</f>
        <v>#N/A</v>
      </c>
    </row>
    <row r="5" spans="1:10" x14ac:dyDescent="0.25">
      <c r="A5" s="190">
        <v>109</v>
      </c>
      <c r="B5" s="42" t="str">
        <f>A5&amp;"-"&amp;IF(DAY(Variables!$A$2)&lt;10,0,"")&amp;DAY(Variables!$A$2)</f>
        <v>109-06</v>
      </c>
      <c r="C5" s="138"/>
      <c r="D5" s="156"/>
      <c r="E5" s="30" t="s">
        <v>1034</v>
      </c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22109-06%22)),sort:!(Time.ISO8601,asc))</v>
      </c>
      <c r="J5" s="30" t="e">
        <f>VLOOKUP(B5,'Train Runs'!$A$13:$A$99929,1,FALSE)</f>
        <v>#N/A</v>
      </c>
    </row>
    <row r="6" spans="1:10" x14ac:dyDescent="0.25">
      <c r="A6" s="190">
        <v>110</v>
      </c>
      <c r="B6" s="42" t="str">
        <f>A6&amp;"-"&amp;IF(DAY(Variables!$A$2)&lt;10,0,"")&amp;DAY(Variables!$A$2)</f>
        <v>110-06</v>
      </c>
      <c r="C6" s="138"/>
      <c r="D6" s="156"/>
      <c r="E6" s="30" t="s">
        <v>1034</v>
      </c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22110-06%22)),sort:!(Time.ISO8601,asc))</v>
      </c>
      <c r="J6" s="30" t="e">
        <f>VLOOKUP(B6,'Train Runs'!$A$13:$A$99929,1,FALSE)</f>
        <v>#N/A</v>
      </c>
    </row>
    <row r="7" spans="1:10" x14ac:dyDescent="0.25">
      <c r="A7" s="190">
        <v>113</v>
      </c>
      <c r="B7" s="42" t="str">
        <f>A7&amp;"-"&amp;IF(DAY(Variables!$A$2)&lt;10,0,"")&amp;DAY(Variables!$A$2)</f>
        <v>113-06</v>
      </c>
      <c r="C7" s="138"/>
      <c r="D7" s="156"/>
      <c r="E7" s="30" t="s">
        <v>1034</v>
      </c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22113-06%22)),sort:!(Time.ISO8601,asc))</v>
      </c>
      <c r="J7" s="30" t="e">
        <f>VLOOKUP(B7,'Train Runs'!$A$13:$A$99929,1,FALSE)</f>
        <v>#N/A</v>
      </c>
    </row>
    <row r="8" spans="1:10" x14ac:dyDescent="0.25">
      <c r="A8" s="190">
        <v>114</v>
      </c>
      <c r="B8" s="42" t="str">
        <f>A8&amp;"-"&amp;IF(DAY(Variables!$A$2)&lt;10,0,"")&amp;DAY(Variables!$A$2)</f>
        <v>114-06</v>
      </c>
      <c r="C8" s="138"/>
      <c r="D8" s="156"/>
      <c r="E8" s="30" t="s">
        <v>1034</v>
      </c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22114-06%22)),sort:!(Time.ISO8601,asc))</v>
      </c>
      <c r="J8" s="30" t="e">
        <f>VLOOKUP(B8,'Train Runs'!$A$13:$A$99929,1,FALSE)</f>
        <v>#N/A</v>
      </c>
    </row>
    <row r="9" spans="1:10" x14ac:dyDescent="0.25">
      <c r="A9" s="190">
        <v>117</v>
      </c>
      <c r="B9" s="42" t="str">
        <f>A9&amp;"-"&amp;IF(DAY(Variables!$A$2)&lt;10,0,"")&amp;DAY(Variables!$A$2)</f>
        <v>117-06</v>
      </c>
      <c r="C9" s="138"/>
      <c r="D9" s="156"/>
      <c r="E9" s="30" t="s">
        <v>1034</v>
      </c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22117-06%22)),sort:!(Time.ISO8601,asc))</v>
      </c>
      <c r="J9" s="30" t="e">
        <f>VLOOKUP(B9,'Train Runs'!$A$13:$A$99929,1,FALSE)</f>
        <v>#N/A</v>
      </c>
    </row>
    <row r="10" spans="1:10" x14ac:dyDescent="0.25">
      <c r="A10" s="190">
        <v>153</v>
      </c>
      <c r="B10" s="42" t="str">
        <f>A10&amp;"-"&amp;IF(DAY(Variables!$A$2)&lt;10,0,"")&amp;DAY(Variables!$A$2)</f>
        <v>153-06</v>
      </c>
      <c r="C10" s="138"/>
      <c r="D10" s="156"/>
      <c r="E10" s="30" t="s">
        <v>1034</v>
      </c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22153-06%22)),sort:!(Time.ISO8601,asc))</v>
      </c>
      <c r="J10" s="30" t="e">
        <f>VLOOKUP(B10,'Train Runs'!$A$13:$A$99929,1,FALSE)</f>
        <v>#N/A</v>
      </c>
    </row>
    <row r="11" spans="1:10" x14ac:dyDescent="0.25">
      <c r="A11" s="190"/>
      <c r="B11" s="42" t="str">
        <f>A11&amp;"-"&amp;IF(DAY(Variables!$A$2)&lt;10,0,"")&amp;DAY(Variables!$A$2)</f>
        <v>-06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ref="I11:I1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" s="30" t="e">
        <f>VLOOKUP(B11,'Train Runs'!$A$13:$A$99929,1,FALSE)</f>
        <v>#N/A</v>
      </c>
    </row>
    <row r="12" spans="1:10" x14ac:dyDescent="0.25">
      <c r="A12" s="190"/>
      <c r="B12" s="42" t="str">
        <f>A12&amp;"-"&amp;IF(DAY(Variables!$A$2)&lt;10,0,"")&amp;DAY(Variables!$A$2)</f>
        <v>-06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2" s="30" t="e">
        <f>VLOOKUP(B12,'Train Runs'!$A$13:$A$99929,1,FALSE)</f>
        <v>#N/A</v>
      </c>
    </row>
    <row r="13" spans="1:10" x14ac:dyDescent="0.25">
      <c r="A13" s="190"/>
      <c r="B13" s="42" t="str">
        <f>A13&amp;"-"&amp;IF(DAY(Variables!$A$2)&lt;10,0,"")&amp;DAY(Variables!$A$2)</f>
        <v>-06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3" s="30" t="e">
        <f>VLOOKUP(B13,'Train Runs'!$A$13:$A$99929,1,FALSE)</f>
        <v>#N/A</v>
      </c>
    </row>
    <row r="14" spans="1:10" x14ac:dyDescent="0.25">
      <c r="A14" s="190"/>
      <c r="B14" s="42" t="str">
        <f>A14&amp;"-"&amp;IF(DAY(Variables!$A$2)&lt;10,0,"")&amp;DAY(Variables!$A$2)</f>
        <v>-06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4" s="30" t="e">
        <f>VLOOKUP(B14,'Train Runs'!$A$13:$A$99929,1,FALSE)</f>
        <v>#N/A</v>
      </c>
    </row>
    <row r="15" spans="1:10" x14ac:dyDescent="0.25">
      <c r="A15" s="190"/>
      <c r="B15" s="42" t="str">
        <f>A15&amp;"-"&amp;IF(DAY(Variables!$A$2)&lt;10,0,"")&amp;DAY(Variables!$A$2)</f>
        <v>-06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5" s="30" t="e">
        <f>VLOOKUP(B15,'Train Runs'!$A$13:$A$99929,1,FALSE)</f>
        <v>#N/A</v>
      </c>
    </row>
    <row r="16" spans="1:10" x14ac:dyDescent="0.25">
      <c r="A16" s="190"/>
      <c r="B16" s="42" t="str">
        <f>A16&amp;"-"&amp;IF(DAY(Variables!$A$2)&lt;10,0,"")&amp;DAY(Variables!$A$2)</f>
        <v>-06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6" s="30" t="e">
        <f>VLOOKUP(B16,'Train Runs'!$A$13:$A$99929,1,FALSE)</f>
        <v>#N/A</v>
      </c>
    </row>
    <row r="17" spans="1:10" x14ac:dyDescent="0.25">
      <c r="A17" s="190"/>
      <c r="B17" s="42" t="str">
        <f>A17&amp;"-"&amp;IF(DAY(Variables!$A$2)&lt;10,0,"")&amp;DAY(Variables!$A$2)</f>
        <v>-06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7" s="30" t="e">
        <f>VLOOKUP(B17,'Train Runs'!$A$13:$A$99929,1,FALSE)</f>
        <v>#N/A</v>
      </c>
    </row>
    <row r="18" spans="1:10" x14ac:dyDescent="0.25">
      <c r="A18" s="190"/>
      <c r="B18" s="42" t="str">
        <f>A18&amp;"-"&amp;IF(DAY(Variables!$A$2)&lt;10,0,"")&amp;DAY(Variables!$A$2)</f>
        <v>-06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8" s="30" t="e">
        <f>VLOOKUP(B18,'Train Runs'!$A$13:$A$99929,1,FALSE)</f>
        <v>#N/A</v>
      </c>
    </row>
    <row r="19" spans="1:10" x14ac:dyDescent="0.25">
      <c r="A19" s="190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0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0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0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0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0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0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0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0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0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0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0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0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0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0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0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0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0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0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0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0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0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0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0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0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0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0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0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0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0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0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0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0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0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0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0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0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0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0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0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0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0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0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0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0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0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0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0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0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 t="str">
        <f>A72&amp;"-"&amp;IF(DAY(Variables!$A$2)&lt;10,0,"")&amp;DAY(Variables!$A$2)</f>
        <v>-06</v>
      </c>
      <c r="C72" s="138"/>
      <c r="D72" s="156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5" t="str">
        <f t="shared" ref="I72:I81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2" s="30" t="e">
        <f>VLOOKUP(B72,'Train Runs'!$A$13:$A$99929,1,FALSE)</f>
        <v>#N/A</v>
      </c>
    </row>
    <row r="73" spans="1:10" x14ac:dyDescent="0.25">
      <c r="A73" s="190"/>
      <c r="B73" s="42" t="str">
        <f>A73&amp;"-"&amp;IF(DAY(Variables!$A$2)&lt;10,0,"")&amp;DAY(Variables!$A$2)</f>
        <v>-06</v>
      </c>
      <c r="C73" s="138"/>
      <c r="D73" s="156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3" s="30" t="e">
        <f>VLOOKUP(B73,'Train Runs'!$A$13:$A$99929,1,FALSE)</f>
        <v>#N/A</v>
      </c>
    </row>
    <row r="74" spans="1:10" x14ac:dyDescent="0.25">
      <c r="A74" s="190"/>
      <c r="B74" s="42" t="str">
        <f>A74&amp;"-"&amp;IF(DAY(Variables!$A$2)&lt;10,0,"")&amp;DAY(Variables!$A$2)</f>
        <v>-06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4" s="30" t="e">
        <f>VLOOKUP(B74,'Train Runs'!$A$13:$A$99929,1,FALSE)</f>
        <v>#N/A</v>
      </c>
    </row>
    <row r="75" spans="1:10" x14ac:dyDescent="0.25">
      <c r="A75" s="190"/>
      <c r="B75" s="42" t="str">
        <f>A75&amp;"-"&amp;IF(DAY(Variables!$A$2)&lt;10,0,"")&amp;DAY(Variables!$A$2)</f>
        <v>-06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5" s="30" t="e">
        <f>VLOOKUP(B75,'Train Runs'!$A$13:$A$99929,1,FALSE)</f>
        <v>#N/A</v>
      </c>
    </row>
    <row r="76" spans="1:10" x14ac:dyDescent="0.25">
      <c r="A76" s="190"/>
      <c r="B76" s="42" t="str">
        <f>A76&amp;"-"&amp;IF(DAY(Variables!$A$2)&lt;10,0,"")&amp;DAY(Variables!$A$2)</f>
        <v>-06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6" s="30" t="e">
        <f>VLOOKUP(B76,'Train Runs'!$A$13:$A$99929,1,FALSE)</f>
        <v>#N/A</v>
      </c>
    </row>
    <row r="77" spans="1:10" x14ac:dyDescent="0.25">
      <c r="A77" s="190"/>
      <c r="B77" s="42" t="str">
        <f>A77&amp;"-"&amp;IF(DAY(Variables!$A$2)&lt;10,0,"")&amp;DAY(Variables!$A$2)</f>
        <v>-06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7" s="30" t="e">
        <f>VLOOKUP(B77,'Train Runs'!$A$13:$A$99929,1,FALSE)</f>
        <v>#N/A</v>
      </c>
    </row>
    <row r="78" spans="1:10" x14ac:dyDescent="0.25">
      <c r="A78" s="190"/>
      <c r="B78" s="42" t="str">
        <f>A78&amp;"-"&amp;IF(DAY(Variables!$A$2)&lt;10,0,"")&amp;DAY(Variables!$A$2)</f>
        <v>-06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8" s="30" t="e">
        <f>VLOOKUP(B78,'Train Runs'!$A$13:$A$99929,1,FALSE)</f>
        <v>#N/A</v>
      </c>
    </row>
    <row r="79" spans="1:10" x14ac:dyDescent="0.25">
      <c r="A79" s="190"/>
      <c r="B79" s="42" t="str">
        <f>A79&amp;"-"&amp;IF(DAY(Variables!$A$2)&lt;10,0,"")&amp;DAY(Variables!$A$2)</f>
        <v>-06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9" s="30" t="e">
        <f>VLOOKUP(B79,'Train Runs'!$A$13:$A$99929,1,FALSE)</f>
        <v>#N/A</v>
      </c>
    </row>
    <row r="80" spans="1:10" x14ac:dyDescent="0.25">
      <c r="A80" s="190"/>
      <c r="B80" s="42" t="str">
        <f>A80&amp;"-"&amp;IF(DAY(Variables!$A$2)&lt;10,0,"")&amp;DAY(Variables!$A$2)</f>
        <v>-06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0" s="30" t="e">
        <f>VLOOKUP(B80,'Train Runs'!$A$13:$A$99929,1,FALSE)</f>
        <v>#N/A</v>
      </c>
    </row>
    <row r="81" spans="1:10" x14ac:dyDescent="0.25">
      <c r="A81" s="190"/>
      <c r="B81" s="42" t="str">
        <f>A81&amp;"-"&amp;IF(DAY(Variables!$A$2)&lt;10,0,"")&amp;DAY(Variables!$A$2)</f>
        <v>-06</v>
      </c>
      <c r="C81" s="138"/>
      <c r="D81" s="156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1" s="30" t="e">
        <f>VLOOKUP(B81,'Train Runs'!$A$13:$A$99929,1,FALSE)</f>
        <v>#N/A</v>
      </c>
    </row>
  </sheetData>
  <autoFilter ref="A2:J81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9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42861.035462962966</v>
      </c>
      <c r="B2" s="20" t="s">
        <v>354</v>
      </c>
      <c r="C2" s="20" t="s">
        <v>557</v>
      </c>
      <c r="D2" s="141">
        <v>2000000</v>
      </c>
      <c r="E2" s="20" t="s">
        <v>351</v>
      </c>
      <c r="F2" s="20" t="s">
        <v>193</v>
      </c>
      <c r="G2" s="8" t="str">
        <f>E2&amp;" "&amp;F2</f>
        <v>STAMBAUGH JAMES</v>
      </c>
    </row>
    <row r="3" spans="1:7" x14ac:dyDescent="0.25">
      <c r="A3" s="8">
        <v>42861.038518518515</v>
      </c>
      <c r="B3" s="20" t="s">
        <v>349</v>
      </c>
      <c r="C3" s="20" t="s">
        <v>558</v>
      </c>
      <c r="D3" s="141">
        <v>2270000</v>
      </c>
      <c r="E3" s="20" t="s">
        <v>206</v>
      </c>
      <c r="F3" s="20" t="s">
        <v>207</v>
      </c>
      <c r="G3" s="8" t="str">
        <f t="shared" ref="G3:G66" si="0">E3&amp;" "&amp;F3</f>
        <v>BROWN JACOB</v>
      </c>
    </row>
    <row r="4" spans="1:7" x14ac:dyDescent="0.25">
      <c r="A4" s="8">
        <v>42861.044004629628</v>
      </c>
      <c r="B4" s="20" t="s">
        <v>555</v>
      </c>
      <c r="C4" s="20" t="s">
        <v>559</v>
      </c>
      <c r="D4" s="141">
        <v>3000000</v>
      </c>
      <c r="E4" s="20" t="s">
        <v>449</v>
      </c>
      <c r="F4" s="20" t="s">
        <v>425</v>
      </c>
      <c r="G4" s="8" t="str">
        <f t="shared" si="0"/>
        <v>FORTUNATO FRANK</v>
      </c>
    </row>
    <row r="5" spans="1:7" x14ac:dyDescent="0.25">
      <c r="A5" s="8">
        <v>42861.050416666665</v>
      </c>
      <c r="B5" s="20" t="s">
        <v>352</v>
      </c>
      <c r="C5" s="20" t="s">
        <v>560</v>
      </c>
      <c r="D5" s="141">
        <v>1740000</v>
      </c>
      <c r="E5" s="20" t="s">
        <v>359</v>
      </c>
      <c r="F5" s="20" t="s">
        <v>360</v>
      </c>
      <c r="G5" s="8" t="str">
        <f t="shared" si="0"/>
        <v>STORY SAMANTHA</v>
      </c>
    </row>
    <row r="6" spans="1:7" x14ac:dyDescent="0.25">
      <c r="A6" s="8">
        <v>42861.058217592596</v>
      </c>
      <c r="B6" s="20" t="s">
        <v>561</v>
      </c>
      <c r="C6" s="20" t="s">
        <v>562</v>
      </c>
      <c r="D6" s="141">
        <v>2150000</v>
      </c>
      <c r="E6" s="20" t="s">
        <v>347</v>
      </c>
      <c r="F6" s="20" t="s">
        <v>348</v>
      </c>
      <c r="G6" s="8" t="str">
        <f t="shared" si="0"/>
        <v>SWANSON BRYCE</v>
      </c>
    </row>
    <row r="7" spans="1:7" x14ac:dyDescent="0.25">
      <c r="A7" s="8">
        <v>42861.076099537036</v>
      </c>
      <c r="B7" s="20" t="s">
        <v>199</v>
      </c>
      <c r="C7" s="20" t="s">
        <v>563</v>
      </c>
      <c r="D7" s="141">
        <v>2000000</v>
      </c>
      <c r="E7" s="20" t="s">
        <v>351</v>
      </c>
      <c r="F7" s="20" t="s">
        <v>193</v>
      </c>
      <c r="G7" s="8" t="str">
        <f t="shared" si="0"/>
        <v>STAMBAUGH JAMES</v>
      </c>
    </row>
    <row r="8" spans="1:7" x14ac:dyDescent="0.25">
      <c r="A8" s="8">
        <v>42861.078344907408</v>
      </c>
      <c r="B8" s="20" t="s">
        <v>350</v>
      </c>
      <c r="C8" s="20" t="s">
        <v>564</v>
      </c>
      <c r="D8" s="141">
        <v>2270000</v>
      </c>
      <c r="E8" s="20" t="s">
        <v>206</v>
      </c>
      <c r="F8" s="20" t="s">
        <v>207</v>
      </c>
      <c r="G8" s="8" t="str">
        <f t="shared" si="0"/>
        <v>BROWN JACOB</v>
      </c>
    </row>
    <row r="9" spans="1:7" ht="15.75" thickBot="1" x14ac:dyDescent="0.3">
      <c r="A9" s="24">
        <v>42861.078738425924</v>
      </c>
      <c r="B9" s="20" t="s">
        <v>565</v>
      </c>
      <c r="C9" s="20" t="s">
        <v>566</v>
      </c>
      <c r="D9" s="141">
        <v>3000000</v>
      </c>
      <c r="E9" s="20" t="s">
        <v>449</v>
      </c>
      <c r="F9" s="20" t="s">
        <v>425</v>
      </c>
      <c r="G9" s="8" t="str">
        <f t="shared" si="0"/>
        <v>FORTUNATO FRANK</v>
      </c>
    </row>
    <row r="10" spans="1:7" x14ac:dyDescent="0.25">
      <c r="A10" s="8">
        <v>42861.079097222224</v>
      </c>
      <c r="B10" s="20" t="s">
        <v>407</v>
      </c>
      <c r="C10" s="20" t="s">
        <v>567</v>
      </c>
      <c r="D10" s="141">
        <v>3010000</v>
      </c>
      <c r="E10" s="20" t="s">
        <v>568</v>
      </c>
      <c r="F10" s="20" t="s">
        <v>569</v>
      </c>
      <c r="G10" s="8" t="str">
        <f t="shared" si="0"/>
        <v>SULLIVAN BRANDON</v>
      </c>
    </row>
    <row r="11" spans="1:7" x14ac:dyDescent="0.25">
      <c r="A11" s="8">
        <v>42861.092893518522</v>
      </c>
      <c r="B11" s="20" t="s">
        <v>570</v>
      </c>
      <c r="C11" s="20" t="s">
        <v>571</v>
      </c>
      <c r="D11" s="141">
        <v>2150000</v>
      </c>
      <c r="E11" s="20" t="s">
        <v>347</v>
      </c>
      <c r="F11" s="20" t="s">
        <v>348</v>
      </c>
      <c r="G11" s="8" t="str">
        <f t="shared" si="0"/>
        <v>SWANSON BRYCE</v>
      </c>
    </row>
    <row r="12" spans="1:7" x14ac:dyDescent="0.25">
      <c r="A12" s="8">
        <v>42861.11142361111</v>
      </c>
      <c r="B12" s="20" t="s">
        <v>349</v>
      </c>
      <c r="C12" s="20" t="s">
        <v>572</v>
      </c>
      <c r="D12" s="141">
        <v>2270000</v>
      </c>
      <c r="E12" s="20" t="s">
        <v>206</v>
      </c>
      <c r="F12" s="20" t="s">
        <v>207</v>
      </c>
      <c r="G12" s="8" t="str">
        <f t="shared" si="0"/>
        <v>BROWN JACOB</v>
      </c>
    </row>
    <row r="13" spans="1:7" x14ac:dyDescent="0.25">
      <c r="A13" s="8">
        <v>42861.118634259263</v>
      </c>
      <c r="B13" s="20" t="s">
        <v>514</v>
      </c>
      <c r="C13" s="20" t="s">
        <v>573</v>
      </c>
      <c r="D13" s="141">
        <v>2550000</v>
      </c>
      <c r="E13" s="20" t="s">
        <v>440</v>
      </c>
      <c r="F13" s="20" t="s">
        <v>441</v>
      </c>
      <c r="G13" s="8" t="str">
        <f t="shared" si="0"/>
        <v>BADERTSCHER DIANE</v>
      </c>
    </row>
    <row r="14" spans="1:7" x14ac:dyDescent="0.25">
      <c r="A14" s="8">
        <v>42861.132638888892</v>
      </c>
      <c r="B14" s="20" t="s">
        <v>520</v>
      </c>
      <c r="C14" s="20" t="s">
        <v>574</v>
      </c>
      <c r="D14" s="141">
        <v>2550000</v>
      </c>
      <c r="E14" s="20" t="s">
        <v>440</v>
      </c>
      <c r="F14" s="20" t="s">
        <v>441</v>
      </c>
      <c r="G14" s="8" t="str">
        <f t="shared" si="0"/>
        <v>BADERTSCHER DIANE</v>
      </c>
    </row>
    <row r="15" spans="1:7" x14ac:dyDescent="0.25">
      <c r="A15" s="8">
        <v>42861.137013888889</v>
      </c>
      <c r="B15" s="20" t="s">
        <v>434</v>
      </c>
      <c r="C15" s="20" t="s">
        <v>575</v>
      </c>
      <c r="D15" s="141">
        <v>2140000</v>
      </c>
      <c r="E15" s="20" t="s">
        <v>473</v>
      </c>
      <c r="F15" s="20" t="s">
        <v>474</v>
      </c>
      <c r="G15" s="8" t="str">
        <f t="shared" si="0"/>
        <v>ROBINSON KADDIBA</v>
      </c>
    </row>
    <row r="16" spans="1:7" x14ac:dyDescent="0.25">
      <c r="A16" s="8">
        <v>42861.149537037039</v>
      </c>
      <c r="B16" s="20" t="s">
        <v>367</v>
      </c>
      <c r="C16" s="20" t="s">
        <v>576</v>
      </c>
      <c r="D16" s="141">
        <v>2140000</v>
      </c>
      <c r="E16" s="20" t="s">
        <v>473</v>
      </c>
      <c r="F16" s="20" t="s">
        <v>474</v>
      </c>
      <c r="G16" s="8" t="str">
        <f t="shared" si="0"/>
        <v>ROBINSON KADDIBA</v>
      </c>
    </row>
    <row r="17" spans="1:7" x14ac:dyDescent="0.25">
      <c r="A17" s="8">
        <v>42861.162395833337</v>
      </c>
      <c r="B17" s="20" t="s">
        <v>470</v>
      </c>
      <c r="C17" s="20" t="s">
        <v>577</v>
      </c>
      <c r="D17" s="141">
        <v>2010000</v>
      </c>
      <c r="E17" s="20" t="s">
        <v>578</v>
      </c>
      <c r="F17" s="20" t="s">
        <v>579</v>
      </c>
      <c r="G17" s="8" t="str">
        <f t="shared" si="0"/>
        <v>MAELZER KURT</v>
      </c>
    </row>
    <row r="18" spans="1:7" x14ac:dyDescent="0.25">
      <c r="A18" s="8">
        <v>42861.164305555554</v>
      </c>
      <c r="B18" s="20" t="s">
        <v>470</v>
      </c>
      <c r="C18" s="20" t="s">
        <v>577</v>
      </c>
      <c r="D18" s="141">
        <v>2010000</v>
      </c>
      <c r="E18" s="20" t="s">
        <v>578</v>
      </c>
      <c r="F18" s="20" t="s">
        <v>579</v>
      </c>
      <c r="G18" s="8" t="str">
        <f t="shared" si="0"/>
        <v>MAELZER KURT</v>
      </c>
    </row>
    <row r="19" spans="1:7" x14ac:dyDescent="0.25">
      <c r="A19" s="8">
        <v>42861.172893518517</v>
      </c>
      <c r="B19" s="20" t="s">
        <v>514</v>
      </c>
      <c r="C19" s="20" t="s">
        <v>515</v>
      </c>
      <c r="D19" s="141">
        <v>2550000</v>
      </c>
      <c r="E19" s="20" t="s">
        <v>440</v>
      </c>
      <c r="F19" s="20" t="s">
        <v>441</v>
      </c>
      <c r="G19" s="8" t="str">
        <f t="shared" si="0"/>
        <v>BADERTSCHER DIANE</v>
      </c>
    </row>
    <row r="20" spans="1:7" x14ac:dyDescent="0.25">
      <c r="A20" s="8">
        <v>42861.176458333335</v>
      </c>
      <c r="B20" s="20" t="s">
        <v>376</v>
      </c>
      <c r="C20" s="20" t="s">
        <v>513</v>
      </c>
      <c r="D20" s="141">
        <v>2010000</v>
      </c>
      <c r="E20" s="20" t="s">
        <v>578</v>
      </c>
      <c r="F20" s="20" t="s">
        <v>579</v>
      </c>
      <c r="G20" s="8" t="str">
        <f t="shared" si="0"/>
        <v>MAELZER KURT</v>
      </c>
    </row>
    <row r="21" spans="1:7" x14ac:dyDescent="0.25">
      <c r="A21" s="8">
        <v>42861.184351851851</v>
      </c>
      <c r="B21" s="20" t="s">
        <v>389</v>
      </c>
      <c r="C21" s="20" t="s">
        <v>580</v>
      </c>
      <c r="D21" s="141">
        <v>1990000</v>
      </c>
      <c r="E21" s="20" t="s">
        <v>581</v>
      </c>
      <c r="F21" s="20" t="s">
        <v>582</v>
      </c>
      <c r="G21" s="8" t="str">
        <f t="shared" si="0"/>
        <v>DAVIS WENDY</v>
      </c>
    </row>
    <row r="22" spans="1:7" x14ac:dyDescent="0.25">
      <c r="A22" s="26">
        <v>42861.19259259259</v>
      </c>
      <c r="B22" s="20" t="s">
        <v>434</v>
      </c>
      <c r="C22" s="20" t="s">
        <v>583</v>
      </c>
      <c r="D22" s="141">
        <v>2140000</v>
      </c>
      <c r="E22" s="20" t="s">
        <v>473</v>
      </c>
      <c r="F22" s="20" t="s">
        <v>474</v>
      </c>
      <c r="G22" s="8" t="str">
        <f t="shared" si="0"/>
        <v>ROBINSON KADDIBA</v>
      </c>
    </row>
    <row r="23" spans="1:7" x14ac:dyDescent="0.25">
      <c r="A23" s="8">
        <v>42861.200613425928</v>
      </c>
      <c r="B23" s="20" t="s">
        <v>476</v>
      </c>
      <c r="C23" s="20" t="s">
        <v>584</v>
      </c>
      <c r="D23" s="141">
        <v>1990000</v>
      </c>
      <c r="E23" s="20" t="s">
        <v>581</v>
      </c>
      <c r="F23" s="20" t="s">
        <v>582</v>
      </c>
      <c r="G23" s="8" t="str">
        <f t="shared" si="0"/>
        <v>DAVIS WENDY</v>
      </c>
    </row>
    <row r="24" spans="1:7" x14ac:dyDescent="0.25">
      <c r="A24" s="8">
        <v>42861.222696759258</v>
      </c>
      <c r="B24" s="20" t="s">
        <v>520</v>
      </c>
      <c r="C24" s="20" t="s">
        <v>585</v>
      </c>
      <c r="D24" s="141">
        <v>2550000</v>
      </c>
      <c r="E24" s="20" t="s">
        <v>440</v>
      </c>
      <c r="F24" s="20" t="s">
        <v>441</v>
      </c>
      <c r="G24" s="8" t="str">
        <f t="shared" si="0"/>
        <v>BADERTSCHER DIANE</v>
      </c>
    </row>
    <row r="25" spans="1:7" x14ac:dyDescent="0.25">
      <c r="A25" s="8">
        <v>42861.224328703705</v>
      </c>
      <c r="B25" s="20" t="s">
        <v>470</v>
      </c>
      <c r="C25" s="20" t="s">
        <v>586</v>
      </c>
      <c r="D25" s="141">
        <v>2010000</v>
      </c>
      <c r="E25" s="20" t="s">
        <v>578</v>
      </c>
      <c r="F25" s="20" t="s">
        <v>579</v>
      </c>
      <c r="G25" s="8" t="str">
        <f t="shared" si="0"/>
        <v>MAELZER KURT</v>
      </c>
    </row>
    <row r="26" spans="1:7" x14ac:dyDescent="0.25">
      <c r="A26" s="8">
        <v>42861.227395833332</v>
      </c>
      <c r="B26" s="20" t="s">
        <v>392</v>
      </c>
      <c r="C26" s="20" t="s">
        <v>587</v>
      </c>
      <c r="D26" s="141">
        <v>2370000</v>
      </c>
      <c r="E26" s="20" t="s">
        <v>588</v>
      </c>
      <c r="F26" s="20" t="s">
        <v>589</v>
      </c>
      <c r="G26" s="8" t="str">
        <f t="shared" si="0"/>
        <v>DELGADO DIANAH</v>
      </c>
    </row>
    <row r="27" spans="1:7" x14ac:dyDescent="0.25">
      <c r="A27" s="8">
        <v>42861.228344907409</v>
      </c>
      <c r="B27" s="20" t="s">
        <v>392</v>
      </c>
      <c r="C27" s="20" t="s">
        <v>587</v>
      </c>
      <c r="D27" s="141">
        <v>2370000</v>
      </c>
      <c r="E27" s="20" t="s">
        <v>588</v>
      </c>
      <c r="F27" s="20" t="s">
        <v>589</v>
      </c>
      <c r="G27" s="8" t="str">
        <f t="shared" si="0"/>
        <v>DELGADO DIANAH</v>
      </c>
    </row>
    <row r="28" spans="1:7" x14ac:dyDescent="0.25">
      <c r="A28" s="8">
        <v>42861.228912037041</v>
      </c>
      <c r="B28" s="20" t="s">
        <v>392</v>
      </c>
      <c r="C28" s="20" t="s">
        <v>587</v>
      </c>
      <c r="D28" s="141">
        <v>2370000</v>
      </c>
      <c r="E28" s="20" t="s">
        <v>588</v>
      </c>
      <c r="F28" s="20" t="s">
        <v>589</v>
      </c>
      <c r="G28" s="8" t="str">
        <f t="shared" si="0"/>
        <v>DELGADO DIANAH</v>
      </c>
    </row>
    <row r="29" spans="1:7" x14ac:dyDescent="0.25">
      <c r="A29" s="8">
        <v>42861.229490740741</v>
      </c>
      <c r="B29" s="20" t="s">
        <v>392</v>
      </c>
      <c r="C29" s="20" t="s">
        <v>587</v>
      </c>
      <c r="D29" s="141">
        <v>2370000</v>
      </c>
      <c r="E29" s="20" t="s">
        <v>588</v>
      </c>
      <c r="F29" s="20" t="s">
        <v>589</v>
      </c>
      <c r="G29" s="8" t="str">
        <f t="shared" si="0"/>
        <v>DELGADO DIANAH</v>
      </c>
    </row>
    <row r="30" spans="1:7" x14ac:dyDescent="0.25">
      <c r="A30" s="8">
        <v>42861.233043981483</v>
      </c>
      <c r="B30" s="20" t="s">
        <v>386</v>
      </c>
      <c r="C30" s="20" t="s">
        <v>587</v>
      </c>
      <c r="D30" s="141">
        <v>2370000</v>
      </c>
      <c r="E30" s="20" t="s">
        <v>588</v>
      </c>
      <c r="F30" s="20" t="s">
        <v>589</v>
      </c>
      <c r="G30" s="8" t="str">
        <f t="shared" si="0"/>
        <v>DELGADO DIANAH</v>
      </c>
    </row>
    <row r="31" spans="1:7" x14ac:dyDescent="0.25">
      <c r="A31" s="8">
        <v>42861.240555555552</v>
      </c>
      <c r="B31" s="20" t="s">
        <v>392</v>
      </c>
      <c r="C31" s="20" t="s">
        <v>590</v>
      </c>
      <c r="D31" s="141">
        <v>2370000</v>
      </c>
      <c r="E31" s="20" t="s">
        <v>588</v>
      </c>
      <c r="F31" s="20" t="s">
        <v>589</v>
      </c>
      <c r="G31" s="8" t="str">
        <f t="shared" si="0"/>
        <v>DELGADO DIANAH</v>
      </c>
    </row>
    <row r="32" spans="1:7" x14ac:dyDescent="0.25">
      <c r="A32" s="8">
        <v>42861.24695601852</v>
      </c>
      <c r="B32" s="20" t="s">
        <v>389</v>
      </c>
      <c r="C32" s="20" t="s">
        <v>591</v>
      </c>
      <c r="D32" s="141">
        <v>1990000</v>
      </c>
      <c r="E32" s="20" t="s">
        <v>581</v>
      </c>
      <c r="F32" s="20" t="s">
        <v>582</v>
      </c>
      <c r="G32" s="8" t="str">
        <f t="shared" si="0"/>
        <v>DAVIS WENDY</v>
      </c>
    </row>
    <row r="33" spans="1:7" x14ac:dyDescent="0.25">
      <c r="A33" s="8">
        <v>42861.248981481483</v>
      </c>
      <c r="B33" s="20" t="s">
        <v>389</v>
      </c>
      <c r="C33" s="20" t="s">
        <v>591</v>
      </c>
      <c r="D33" s="141">
        <v>1990000</v>
      </c>
      <c r="E33" s="20" t="s">
        <v>581</v>
      </c>
      <c r="F33" s="20" t="s">
        <v>582</v>
      </c>
      <c r="G33" s="8" t="str">
        <f t="shared" si="0"/>
        <v>DAVIS WENDY</v>
      </c>
    </row>
    <row r="34" spans="1:7" x14ac:dyDescent="0.25">
      <c r="A34" s="8">
        <v>42861.249131944445</v>
      </c>
      <c r="B34" s="20" t="s">
        <v>367</v>
      </c>
      <c r="C34" s="20" t="s">
        <v>592</v>
      </c>
      <c r="D34" s="141">
        <v>1100000</v>
      </c>
      <c r="E34" s="20" t="s">
        <v>442</v>
      </c>
      <c r="F34" s="20" t="s">
        <v>443</v>
      </c>
      <c r="G34" s="8" t="str">
        <f t="shared" si="0"/>
        <v>GEBRETEKLE DAGNEW</v>
      </c>
    </row>
    <row r="35" spans="1:7" x14ac:dyDescent="0.25">
      <c r="A35" s="8">
        <v>42861.254884259259</v>
      </c>
      <c r="B35" s="20" t="s">
        <v>438</v>
      </c>
      <c r="C35" s="20" t="s">
        <v>516</v>
      </c>
      <c r="D35" s="141">
        <v>2140000</v>
      </c>
      <c r="E35" s="20" t="s">
        <v>473</v>
      </c>
      <c r="F35" s="20" t="s">
        <v>474</v>
      </c>
      <c r="G35" s="8" t="str">
        <f t="shared" si="0"/>
        <v>ROBINSON KADDIBA</v>
      </c>
    </row>
    <row r="36" spans="1:7" x14ac:dyDescent="0.25">
      <c r="A36" s="8">
        <v>42861.255474537036</v>
      </c>
      <c r="B36" s="20" t="s">
        <v>438</v>
      </c>
      <c r="C36" s="20" t="s">
        <v>516</v>
      </c>
      <c r="D36" s="141">
        <v>2140000</v>
      </c>
      <c r="E36" s="20" t="s">
        <v>473</v>
      </c>
      <c r="F36" s="20" t="s">
        <v>474</v>
      </c>
      <c r="G36" s="8" t="str">
        <f t="shared" si="0"/>
        <v>ROBINSON KADDIBA</v>
      </c>
    </row>
    <row r="37" spans="1:7" x14ac:dyDescent="0.25">
      <c r="A37" s="8">
        <v>42861.256597222222</v>
      </c>
      <c r="B37" s="20" t="s">
        <v>438</v>
      </c>
      <c r="C37" s="20" t="s">
        <v>516</v>
      </c>
      <c r="D37" s="141">
        <v>2140000</v>
      </c>
      <c r="E37" s="20" t="s">
        <v>473</v>
      </c>
      <c r="F37" s="20" t="s">
        <v>474</v>
      </c>
      <c r="G37" s="8" t="str">
        <f t="shared" si="0"/>
        <v>ROBINSON KADDIBA</v>
      </c>
    </row>
    <row r="38" spans="1:7" x14ac:dyDescent="0.25">
      <c r="A38" s="8">
        <v>42861.25980324074</v>
      </c>
      <c r="B38" s="20" t="s">
        <v>386</v>
      </c>
      <c r="C38" s="20" t="s">
        <v>593</v>
      </c>
      <c r="D38" s="141">
        <v>2370000</v>
      </c>
      <c r="E38" s="20" t="s">
        <v>588</v>
      </c>
      <c r="F38" s="20" t="s">
        <v>589</v>
      </c>
      <c r="G38" s="8" t="str">
        <f t="shared" si="0"/>
        <v>DELGADO DIANAH</v>
      </c>
    </row>
    <row r="39" spans="1:7" x14ac:dyDescent="0.25">
      <c r="A39" s="8">
        <v>42861.266539351855</v>
      </c>
      <c r="B39" s="20" t="s">
        <v>376</v>
      </c>
      <c r="C39" s="20" t="s">
        <v>594</v>
      </c>
      <c r="D39" s="141">
        <v>2010000</v>
      </c>
      <c r="E39" s="20" t="s">
        <v>578</v>
      </c>
      <c r="F39" s="20" t="s">
        <v>579</v>
      </c>
      <c r="G39" s="8" t="str">
        <f t="shared" si="0"/>
        <v>MAELZER KURT</v>
      </c>
    </row>
    <row r="40" spans="1:7" x14ac:dyDescent="0.25">
      <c r="A40" s="8">
        <v>42861.272210648145</v>
      </c>
      <c r="B40" s="25" t="s">
        <v>514</v>
      </c>
      <c r="C40" s="20" t="s">
        <v>595</v>
      </c>
      <c r="D40" s="141">
        <v>890000</v>
      </c>
      <c r="E40" s="20" t="s">
        <v>423</v>
      </c>
      <c r="F40" s="20" t="s">
        <v>424</v>
      </c>
      <c r="G40" s="8" t="str">
        <f t="shared" si="0"/>
        <v>LOZA FIDEL</v>
      </c>
    </row>
    <row r="41" spans="1:7" x14ac:dyDescent="0.25">
      <c r="A41" s="8">
        <v>42861.274675925924</v>
      </c>
      <c r="B41" s="20" t="s">
        <v>406</v>
      </c>
      <c r="C41" s="20" t="s">
        <v>596</v>
      </c>
      <c r="D41" s="141">
        <v>1290000</v>
      </c>
      <c r="E41" s="20" t="s">
        <v>597</v>
      </c>
      <c r="F41" s="20" t="s">
        <v>598</v>
      </c>
      <c r="G41" s="8" t="str">
        <f t="shared" si="0"/>
        <v>COOLAHAN JOHN</v>
      </c>
    </row>
    <row r="42" spans="1:7" x14ac:dyDescent="0.25">
      <c r="A42" s="8">
        <v>42861.27579861111</v>
      </c>
      <c r="B42" s="20" t="s">
        <v>392</v>
      </c>
      <c r="C42" s="20" t="s">
        <v>599</v>
      </c>
      <c r="D42" s="141">
        <v>2370000</v>
      </c>
      <c r="E42" s="20" t="s">
        <v>588</v>
      </c>
      <c r="F42" s="20" t="s">
        <v>589</v>
      </c>
      <c r="G42" s="8" t="str">
        <f t="shared" si="0"/>
        <v>DELGADO DIANAH</v>
      </c>
    </row>
    <row r="43" spans="1:7" x14ac:dyDescent="0.25">
      <c r="A43" s="8">
        <v>42861.277222222219</v>
      </c>
      <c r="B43" s="20" t="s">
        <v>527</v>
      </c>
      <c r="C43" s="20" t="s">
        <v>600</v>
      </c>
      <c r="D43" s="141">
        <v>2550000</v>
      </c>
      <c r="E43" s="20" t="s">
        <v>440</v>
      </c>
      <c r="F43" s="20" t="s">
        <v>441</v>
      </c>
      <c r="G43" s="8" t="str">
        <f t="shared" si="0"/>
        <v>BADERTSCHER DIANE</v>
      </c>
    </row>
    <row r="44" spans="1:7" x14ac:dyDescent="0.25">
      <c r="A44" s="8">
        <v>42861.277974537035</v>
      </c>
      <c r="B44" s="20" t="s">
        <v>470</v>
      </c>
      <c r="C44" s="20" t="s">
        <v>596</v>
      </c>
      <c r="D44" s="141">
        <v>1290000</v>
      </c>
      <c r="E44" s="20" t="s">
        <v>597</v>
      </c>
      <c r="F44" s="20" t="s">
        <v>598</v>
      </c>
      <c r="G44" s="8" t="str">
        <f t="shared" si="0"/>
        <v>COOLAHAN JOHN</v>
      </c>
    </row>
    <row r="45" spans="1:7" x14ac:dyDescent="0.25">
      <c r="A45" s="8">
        <v>42861.278715277775</v>
      </c>
      <c r="B45" s="20" t="s">
        <v>470</v>
      </c>
      <c r="C45" s="20" t="s">
        <v>596</v>
      </c>
      <c r="D45" s="141">
        <v>1290000</v>
      </c>
      <c r="E45" s="20" t="s">
        <v>597</v>
      </c>
      <c r="F45" s="20" t="s">
        <v>598</v>
      </c>
      <c r="G45" s="8" t="str">
        <f t="shared" si="0"/>
        <v>COOLAHAN JOHN</v>
      </c>
    </row>
    <row r="46" spans="1:7" x14ac:dyDescent="0.25">
      <c r="A46" s="8">
        <v>42861.285312499997</v>
      </c>
      <c r="B46" s="20" t="s">
        <v>476</v>
      </c>
      <c r="C46" s="20" t="s">
        <v>601</v>
      </c>
      <c r="D46" s="141">
        <v>1990000</v>
      </c>
      <c r="E46" s="20" t="s">
        <v>581</v>
      </c>
      <c r="F46" s="20" t="s">
        <v>582</v>
      </c>
      <c r="G46" s="8" t="str">
        <f t="shared" si="0"/>
        <v>DAVIS WENDY</v>
      </c>
    </row>
    <row r="47" spans="1:7" x14ac:dyDescent="0.25">
      <c r="A47" s="8">
        <v>42861.285740740743</v>
      </c>
      <c r="B47" s="20" t="s">
        <v>370</v>
      </c>
      <c r="C47" s="20" t="s">
        <v>602</v>
      </c>
      <c r="D47" s="141">
        <v>1100000</v>
      </c>
      <c r="E47" s="20" t="s">
        <v>442</v>
      </c>
      <c r="F47" s="20" t="s">
        <v>443</v>
      </c>
      <c r="G47" s="8" t="str">
        <f t="shared" si="0"/>
        <v>GEBRETEKLE DAGNEW</v>
      </c>
    </row>
    <row r="48" spans="1:7" x14ac:dyDescent="0.25">
      <c r="A48" s="8">
        <v>42861.288831018515</v>
      </c>
      <c r="B48" s="20" t="s">
        <v>378</v>
      </c>
      <c r="C48" s="20" t="s">
        <v>517</v>
      </c>
      <c r="D48" s="141">
        <v>1360000</v>
      </c>
      <c r="E48" s="20" t="s">
        <v>603</v>
      </c>
      <c r="F48" s="20" t="s">
        <v>604</v>
      </c>
      <c r="G48" s="8" t="str">
        <f t="shared" si="0"/>
        <v>SANTIZO D. EDY</v>
      </c>
    </row>
    <row r="49" spans="1:7" x14ac:dyDescent="0.25">
      <c r="A49" s="8">
        <v>42861.290543981479</v>
      </c>
      <c r="B49" s="20" t="s">
        <v>386</v>
      </c>
      <c r="C49" s="20" t="s">
        <v>518</v>
      </c>
      <c r="D49" s="141">
        <v>2370000</v>
      </c>
      <c r="E49" s="20" t="s">
        <v>588</v>
      </c>
      <c r="F49" s="20" t="s">
        <v>589</v>
      </c>
      <c r="G49" s="8" t="str">
        <f t="shared" si="0"/>
        <v>DELGADO DIANAH</v>
      </c>
    </row>
    <row r="50" spans="1:7" x14ac:dyDescent="0.25">
      <c r="A50" s="8">
        <v>42861.297627314816</v>
      </c>
      <c r="B50" s="20" t="s">
        <v>434</v>
      </c>
      <c r="C50" s="20" t="s">
        <v>605</v>
      </c>
      <c r="D50" s="141">
        <v>2140000</v>
      </c>
      <c r="E50" s="20" t="s">
        <v>473</v>
      </c>
      <c r="F50" s="20" t="s">
        <v>474</v>
      </c>
      <c r="G50" s="8" t="str">
        <f t="shared" si="0"/>
        <v>ROBINSON KADDIBA</v>
      </c>
    </row>
    <row r="51" spans="1:7" x14ac:dyDescent="0.25">
      <c r="A51" s="8">
        <v>42861.301886574074</v>
      </c>
      <c r="B51" s="20" t="s">
        <v>606</v>
      </c>
      <c r="C51" s="20" t="s">
        <v>607</v>
      </c>
      <c r="D51" s="141">
        <v>890000</v>
      </c>
      <c r="E51" s="20" t="s">
        <v>423</v>
      </c>
      <c r="F51" s="20" t="s">
        <v>424</v>
      </c>
      <c r="G51" s="8" t="str">
        <f t="shared" si="0"/>
        <v>LOZA FIDEL</v>
      </c>
    </row>
    <row r="52" spans="1:7" x14ac:dyDescent="0.25">
      <c r="A52" s="8">
        <v>42861.30568287037</v>
      </c>
      <c r="B52" s="20" t="s">
        <v>377</v>
      </c>
      <c r="C52" s="20" t="s">
        <v>608</v>
      </c>
      <c r="D52" s="141">
        <v>2010000</v>
      </c>
      <c r="E52" s="20" t="s">
        <v>578</v>
      </c>
      <c r="F52" s="20" t="s">
        <v>579</v>
      </c>
      <c r="G52" s="8" t="str">
        <f t="shared" si="0"/>
        <v>MAELZER KURT</v>
      </c>
    </row>
    <row r="53" spans="1:7" x14ac:dyDescent="0.25">
      <c r="A53" s="8">
        <v>42861.309699074074</v>
      </c>
      <c r="B53" s="20" t="s">
        <v>520</v>
      </c>
      <c r="C53" s="20" t="s">
        <v>609</v>
      </c>
      <c r="D53" s="141">
        <v>2550000</v>
      </c>
      <c r="E53" s="20" t="s">
        <v>440</v>
      </c>
      <c r="F53" s="20" t="s">
        <v>441</v>
      </c>
      <c r="G53" s="8" t="str">
        <f t="shared" si="0"/>
        <v>BADERTSCHER DIANE</v>
      </c>
    </row>
    <row r="54" spans="1:7" x14ac:dyDescent="0.25">
      <c r="A54" s="8">
        <v>42861.317430555559</v>
      </c>
      <c r="B54" s="20" t="s">
        <v>392</v>
      </c>
      <c r="C54" s="20" t="s">
        <v>610</v>
      </c>
      <c r="D54" s="141">
        <v>2370000</v>
      </c>
      <c r="E54" s="20" t="s">
        <v>588</v>
      </c>
      <c r="F54" s="20" t="s">
        <v>589</v>
      </c>
      <c r="G54" s="8" t="str">
        <f t="shared" si="0"/>
        <v>DELGADO DIANAH</v>
      </c>
    </row>
    <row r="55" spans="1:7" x14ac:dyDescent="0.25">
      <c r="A55" s="8">
        <v>42861.318541666667</v>
      </c>
      <c r="B55" s="20" t="s">
        <v>472</v>
      </c>
      <c r="C55" s="20" t="s">
        <v>611</v>
      </c>
      <c r="D55" s="141">
        <v>1990000</v>
      </c>
      <c r="E55" s="20" t="s">
        <v>581</v>
      </c>
      <c r="F55" s="20" t="s">
        <v>582</v>
      </c>
      <c r="G55" s="8" t="str">
        <f t="shared" si="0"/>
        <v>DAVIS WENDY</v>
      </c>
    </row>
    <row r="56" spans="1:7" x14ac:dyDescent="0.25">
      <c r="A56" s="8">
        <v>42861.319525462961</v>
      </c>
      <c r="B56" s="20" t="s">
        <v>389</v>
      </c>
      <c r="C56" s="20" t="s">
        <v>612</v>
      </c>
      <c r="D56" s="141">
        <v>1360000</v>
      </c>
      <c r="E56" s="20" t="s">
        <v>603</v>
      </c>
      <c r="F56" s="20" t="s">
        <v>604</v>
      </c>
      <c r="G56" s="8" t="str">
        <f t="shared" si="0"/>
        <v>SANTIZO D. EDY</v>
      </c>
    </row>
    <row r="57" spans="1:7" x14ac:dyDescent="0.25">
      <c r="A57" s="8">
        <v>42861.320138888892</v>
      </c>
      <c r="B57" s="20" t="s">
        <v>367</v>
      </c>
      <c r="C57" s="20" t="s">
        <v>613</v>
      </c>
      <c r="D57" s="141">
        <v>1100000</v>
      </c>
      <c r="E57" s="20" t="s">
        <v>442</v>
      </c>
      <c r="F57" s="20" t="s">
        <v>443</v>
      </c>
      <c r="G57" s="8" t="str">
        <f t="shared" si="0"/>
        <v>GEBRETEKLE DAGNEW</v>
      </c>
    </row>
    <row r="58" spans="1:7" x14ac:dyDescent="0.25">
      <c r="A58" s="8">
        <v>42861.329062500001</v>
      </c>
      <c r="B58" s="20" t="s">
        <v>438</v>
      </c>
      <c r="C58" s="20" t="s">
        <v>614</v>
      </c>
      <c r="D58" s="141">
        <v>2140000</v>
      </c>
      <c r="E58" s="20" t="s">
        <v>473</v>
      </c>
      <c r="F58" s="20" t="s">
        <v>474</v>
      </c>
      <c r="G58" s="8" t="str">
        <f t="shared" si="0"/>
        <v>ROBINSON KADDIBA</v>
      </c>
    </row>
    <row r="59" spans="1:7" x14ac:dyDescent="0.25">
      <c r="A59" s="8">
        <v>42861.333657407406</v>
      </c>
      <c r="B59" s="20" t="s">
        <v>386</v>
      </c>
      <c r="C59" s="20" t="s">
        <v>615</v>
      </c>
      <c r="D59" s="141">
        <v>2370000</v>
      </c>
      <c r="E59" s="20" t="s">
        <v>588</v>
      </c>
      <c r="F59" s="20" t="s">
        <v>589</v>
      </c>
      <c r="G59" s="8" t="str">
        <f t="shared" si="0"/>
        <v>DELGADO DIANAH</v>
      </c>
    </row>
    <row r="60" spans="1:7" x14ac:dyDescent="0.25">
      <c r="A60" s="8">
        <v>42861.338773148149</v>
      </c>
      <c r="B60" s="20" t="s">
        <v>514</v>
      </c>
      <c r="C60" s="20" t="s">
        <v>616</v>
      </c>
      <c r="D60" s="141">
        <v>890000</v>
      </c>
      <c r="E60" s="20" t="s">
        <v>423</v>
      </c>
      <c r="F60" s="20" t="s">
        <v>424</v>
      </c>
      <c r="G60" s="8" t="str">
        <f t="shared" si="0"/>
        <v>LOZA FIDEL</v>
      </c>
    </row>
    <row r="61" spans="1:7" x14ac:dyDescent="0.25">
      <c r="A61" s="8">
        <v>42861.341134259259</v>
      </c>
      <c r="B61" s="20" t="s">
        <v>376</v>
      </c>
      <c r="C61" s="20" t="s">
        <v>617</v>
      </c>
      <c r="D61" s="141">
        <v>2010000</v>
      </c>
      <c r="E61" s="20" t="s">
        <v>578</v>
      </c>
      <c r="F61" s="20" t="s">
        <v>579</v>
      </c>
      <c r="G61" s="8" t="str">
        <f t="shared" si="0"/>
        <v>MAELZER KURT</v>
      </c>
    </row>
    <row r="62" spans="1:7" x14ac:dyDescent="0.25">
      <c r="A62" s="8">
        <v>42861.347453703704</v>
      </c>
      <c r="B62" s="20" t="s">
        <v>527</v>
      </c>
      <c r="C62" s="20" t="s">
        <v>618</v>
      </c>
      <c r="D62" s="141">
        <v>2550000</v>
      </c>
      <c r="E62" s="20" t="s">
        <v>440</v>
      </c>
      <c r="F62" s="20" t="s">
        <v>441</v>
      </c>
      <c r="G62" s="8" t="str">
        <f t="shared" si="0"/>
        <v>BADERTSCHER DIANE</v>
      </c>
    </row>
    <row r="63" spans="1:7" x14ac:dyDescent="0.25">
      <c r="A63" s="8">
        <v>42861.353032407409</v>
      </c>
      <c r="B63" s="20" t="s">
        <v>476</v>
      </c>
      <c r="C63" s="20" t="s">
        <v>619</v>
      </c>
      <c r="D63" s="141">
        <v>1990000</v>
      </c>
      <c r="E63" s="20" t="s">
        <v>581</v>
      </c>
      <c r="F63" s="20" t="s">
        <v>582</v>
      </c>
      <c r="G63" s="8" t="str">
        <f t="shared" si="0"/>
        <v>DAVIS WENDY</v>
      </c>
    </row>
    <row r="64" spans="1:7" x14ac:dyDescent="0.25">
      <c r="A64" s="26">
        <v>42861.358599537038</v>
      </c>
      <c r="B64" s="20" t="s">
        <v>392</v>
      </c>
      <c r="C64" s="20" t="s">
        <v>620</v>
      </c>
      <c r="D64" s="141">
        <v>2370000</v>
      </c>
      <c r="E64" s="20" t="s">
        <v>588</v>
      </c>
      <c r="F64" s="20" t="s">
        <v>589</v>
      </c>
      <c r="G64" s="8" t="str">
        <f t="shared" si="0"/>
        <v>DELGADO DIANAH</v>
      </c>
    </row>
    <row r="65" spans="1:7" x14ac:dyDescent="0.25">
      <c r="A65" s="8">
        <v>42861.359733796293</v>
      </c>
      <c r="B65" s="20" t="s">
        <v>370</v>
      </c>
      <c r="C65" s="20" t="s">
        <v>621</v>
      </c>
      <c r="D65" s="141">
        <v>1100000</v>
      </c>
      <c r="E65" s="20" t="s">
        <v>442</v>
      </c>
      <c r="F65" s="20" t="s">
        <v>443</v>
      </c>
      <c r="G65" s="8" t="str">
        <f t="shared" si="0"/>
        <v>GEBRETEKLE DAGNEW</v>
      </c>
    </row>
    <row r="66" spans="1:7" x14ac:dyDescent="0.25">
      <c r="A66" s="8">
        <v>42861.362569444442</v>
      </c>
      <c r="B66" s="20" t="s">
        <v>378</v>
      </c>
      <c r="C66" s="20" t="s">
        <v>622</v>
      </c>
      <c r="D66" s="141">
        <v>1360000</v>
      </c>
      <c r="E66" s="20" t="s">
        <v>603</v>
      </c>
      <c r="F66" s="20" t="s">
        <v>604</v>
      </c>
      <c r="G66" s="8" t="str">
        <f t="shared" si="0"/>
        <v>SANTIZO D. EDY</v>
      </c>
    </row>
    <row r="67" spans="1:7" x14ac:dyDescent="0.25">
      <c r="A67" s="8">
        <v>42861.364791666667</v>
      </c>
      <c r="B67" s="20" t="s">
        <v>434</v>
      </c>
      <c r="C67" s="20" t="s">
        <v>519</v>
      </c>
      <c r="D67" s="141">
        <v>2140000</v>
      </c>
      <c r="E67" s="20" t="s">
        <v>473</v>
      </c>
      <c r="F67" s="20" t="s">
        <v>474</v>
      </c>
      <c r="G67" s="8" t="str">
        <f t="shared" ref="G67:G130" si="1">E67&amp;" "&amp;F67</f>
        <v>ROBINSON KADDIBA</v>
      </c>
    </row>
    <row r="68" spans="1:7" x14ac:dyDescent="0.25">
      <c r="A68" s="8">
        <v>42861.371782407405</v>
      </c>
      <c r="B68" s="20" t="s">
        <v>606</v>
      </c>
      <c r="C68" s="20" t="s">
        <v>623</v>
      </c>
      <c r="D68" s="141">
        <v>890000</v>
      </c>
      <c r="E68" s="20" t="s">
        <v>423</v>
      </c>
      <c r="F68" s="20" t="s">
        <v>424</v>
      </c>
      <c r="G68" s="8" t="str">
        <f t="shared" si="1"/>
        <v>LOZA FIDEL</v>
      </c>
    </row>
    <row r="69" spans="1:7" x14ac:dyDescent="0.25">
      <c r="A69" s="8">
        <v>42861.373564814814</v>
      </c>
      <c r="B69" s="20" t="s">
        <v>386</v>
      </c>
      <c r="C69" s="20" t="s">
        <v>624</v>
      </c>
      <c r="D69" s="141">
        <v>2370000</v>
      </c>
      <c r="E69" s="20" t="s">
        <v>588</v>
      </c>
      <c r="F69" s="20" t="s">
        <v>589</v>
      </c>
      <c r="G69" s="8" t="str">
        <f t="shared" si="1"/>
        <v>DELGADO DIANAH</v>
      </c>
    </row>
    <row r="70" spans="1:7" x14ac:dyDescent="0.25">
      <c r="A70" s="8">
        <v>42861.374236111114</v>
      </c>
      <c r="B70" s="20" t="s">
        <v>377</v>
      </c>
      <c r="C70" s="20" t="s">
        <v>522</v>
      </c>
      <c r="D70" s="141">
        <v>2010000</v>
      </c>
      <c r="E70" s="20" t="s">
        <v>578</v>
      </c>
      <c r="F70" s="20" t="s">
        <v>579</v>
      </c>
      <c r="G70" s="8" t="str">
        <f t="shared" si="1"/>
        <v>MAELZER KURT</v>
      </c>
    </row>
    <row r="71" spans="1:7" x14ac:dyDescent="0.25">
      <c r="A71" s="8">
        <v>42861.376180555555</v>
      </c>
      <c r="B71" s="20" t="s">
        <v>475</v>
      </c>
      <c r="C71" s="20" t="s">
        <v>625</v>
      </c>
      <c r="D71" s="141">
        <v>2440000</v>
      </c>
      <c r="E71" s="20" t="s">
        <v>626</v>
      </c>
      <c r="F71" s="20" t="s">
        <v>627</v>
      </c>
      <c r="G71" s="8" t="str">
        <f t="shared" si="1"/>
        <v>LOPES KIMBERLY</v>
      </c>
    </row>
    <row r="72" spans="1:7" x14ac:dyDescent="0.25">
      <c r="A72" s="8">
        <v>42861.383703703701</v>
      </c>
      <c r="B72" s="20" t="s">
        <v>520</v>
      </c>
      <c r="C72" s="20" t="s">
        <v>521</v>
      </c>
      <c r="D72" s="141">
        <v>2550000</v>
      </c>
      <c r="E72" s="20" t="s">
        <v>440</v>
      </c>
      <c r="F72" s="20" t="s">
        <v>441</v>
      </c>
      <c r="G72" s="8" t="str">
        <f t="shared" si="1"/>
        <v>BADERTSCHER DIANE</v>
      </c>
    </row>
    <row r="73" spans="1:7" x14ac:dyDescent="0.25">
      <c r="A73" s="8">
        <v>42861.391342592593</v>
      </c>
      <c r="B73" s="20" t="s">
        <v>389</v>
      </c>
      <c r="C73" s="20" t="s">
        <v>526</v>
      </c>
      <c r="D73" s="141">
        <v>1360000</v>
      </c>
      <c r="E73" s="20" t="s">
        <v>603</v>
      </c>
      <c r="F73" s="20" t="s">
        <v>604</v>
      </c>
      <c r="G73" s="8" t="str">
        <f t="shared" si="1"/>
        <v>SANTIZO D. EDY</v>
      </c>
    </row>
    <row r="74" spans="1:7" x14ac:dyDescent="0.25">
      <c r="A74" s="8">
        <v>42861.391574074078</v>
      </c>
      <c r="B74" s="20" t="s">
        <v>472</v>
      </c>
      <c r="C74" s="20" t="s">
        <v>628</v>
      </c>
      <c r="D74" s="141">
        <v>1990000</v>
      </c>
      <c r="E74" s="20" t="s">
        <v>581</v>
      </c>
      <c r="F74" s="20" t="s">
        <v>582</v>
      </c>
      <c r="G74" s="8" t="str">
        <f t="shared" si="1"/>
        <v>DAVIS WENDY</v>
      </c>
    </row>
    <row r="75" spans="1:7" x14ac:dyDescent="0.25">
      <c r="A75" s="8">
        <v>42861.392534722225</v>
      </c>
      <c r="B75" s="20" t="s">
        <v>367</v>
      </c>
      <c r="C75" s="20" t="s">
        <v>629</v>
      </c>
      <c r="D75" s="141">
        <v>1100000</v>
      </c>
      <c r="E75" s="20" t="s">
        <v>442</v>
      </c>
      <c r="F75" s="20" t="s">
        <v>443</v>
      </c>
      <c r="G75" s="8" t="str">
        <f t="shared" si="1"/>
        <v>GEBRETEKLE DAGNEW</v>
      </c>
    </row>
    <row r="76" spans="1:7" x14ac:dyDescent="0.25">
      <c r="A76" s="8">
        <v>42861.400393518517</v>
      </c>
      <c r="B76" s="20" t="s">
        <v>392</v>
      </c>
      <c r="C76" s="20" t="s">
        <v>630</v>
      </c>
      <c r="D76" s="141">
        <v>2370000</v>
      </c>
      <c r="E76" s="20" t="s">
        <v>588</v>
      </c>
      <c r="F76" s="20" t="s">
        <v>589</v>
      </c>
      <c r="G76" s="8" t="str">
        <f t="shared" si="1"/>
        <v>DELGADO DIANAH</v>
      </c>
    </row>
    <row r="77" spans="1:7" x14ac:dyDescent="0.25">
      <c r="A77" s="8">
        <v>42861.403611111113</v>
      </c>
      <c r="B77" s="20" t="s">
        <v>438</v>
      </c>
      <c r="C77" s="20" t="s">
        <v>631</v>
      </c>
      <c r="D77" s="141">
        <v>2140000</v>
      </c>
      <c r="E77" s="20" t="s">
        <v>473</v>
      </c>
      <c r="F77" s="20" t="s">
        <v>474</v>
      </c>
      <c r="G77" s="8" t="str">
        <f t="shared" si="1"/>
        <v>ROBINSON KADDIBA</v>
      </c>
    </row>
    <row r="78" spans="1:7" x14ac:dyDescent="0.25">
      <c r="A78" s="8">
        <v>42861.411527777775</v>
      </c>
      <c r="B78" s="20" t="s">
        <v>514</v>
      </c>
      <c r="C78" s="20" t="s">
        <v>523</v>
      </c>
      <c r="D78" s="141">
        <v>890000</v>
      </c>
      <c r="E78" s="20" t="s">
        <v>423</v>
      </c>
      <c r="F78" s="20" t="s">
        <v>424</v>
      </c>
      <c r="G78" s="8" t="str">
        <f t="shared" si="1"/>
        <v>LOZA FIDEL</v>
      </c>
    </row>
    <row r="79" spans="1:7" x14ac:dyDescent="0.25">
      <c r="A79" s="8">
        <v>42861.414560185185</v>
      </c>
      <c r="B79" s="20" t="s">
        <v>376</v>
      </c>
      <c r="C79" s="20" t="s">
        <v>632</v>
      </c>
      <c r="D79" s="141">
        <v>2010000</v>
      </c>
      <c r="E79" s="20" t="s">
        <v>578</v>
      </c>
      <c r="F79" s="20" t="s">
        <v>579</v>
      </c>
      <c r="G79" s="8" t="str">
        <f t="shared" si="1"/>
        <v>MAELZER KURT</v>
      </c>
    </row>
    <row r="80" spans="1:7" x14ac:dyDescent="0.25">
      <c r="A80" s="8">
        <v>42861.417094907411</v>
      </c>
      <c r="B80" s="20" t="s">
        <v>406</v>
      </c>
      <c r="C80" s="20" t="s">
        <v>633</v>
      </c>
      <c r="D80" s="141">
        <v>2440000</v>
      </c>
      <c r="E80" s="20" t="s">
        <v>626</v>
      </c>
      <c r="F80" s="20" t="s">
        <v>627</v>
      </c>
      <c r="G80" s="8" t="str">
        <f t="shared" si="1"/>
        <v>LOPES KIMBERLY</v>
      </c>
    </row>
    <row r="81" spans="1:7" x14ac:dyDescent="0.25">
      <c r="A81" s="8">
        <v>42861.420763888891</v>
      </c>
      <c r="B81" s="20" t="s">
        <v>527</v>
      </c>
      <c r="C81" s="20" t="s">
        <v>528</v>
      </c>
      <c r="D81" s="141">
        <v>2550000</v>
      </c>
      <c r="E81" s="20" t="s">
        <v>440</v>
      </c>
      <c r="F81" s="20" t="s">
        <v>441</v>
      </c>
      <c r="G81" s="8" t="str">
        <f t="shared" si="1"/>
        <v>BADERTSCHER DIANE</v>
      </c>
    </row>
    <row r="82" spans="1:7" x14ac:dyDescent="0.25">
      <c r="A82" s="8">
        <v>42861.426365740743</v>
      </c>
      <c r="B82" s="20" t="s">
        <v>386</v>
      </c>
      <c r="C82" s="20" t="s">
        <v>634</v>
      </c>
      <c r="D82" s="141">
        <v>2370000</v>
      </c>
      <c r="E82" s="20" t="s">
        <v>588</v>
      </c>
      <c r="F82" s="20" t="s">
        <v>589</v>
      </c>
      <c r="G82" s="8" t="str">
        <f t="shared" si="1"/>
        <v>DELGADO DIANAH</v>
      </c>
    </row>
    <row r="83" spans="1:7" x14ac:dyDescent="0.25">
      <c r="A83" s="8">
        <v>42861.430787037039</v>
      </c>
      <c r="B83" s="20" t="s">
        <v>514</v>
      </c>
      <c r="C83" s="20" t="s">
        <v>523</v>
      </c>
      <c r="D83" s="141">
        <v>890000</v>
      </c>
      <c r="E83" s="20" t="s">
        <v>423</v>
      </c>
      <c r="F83" s="20" t="s">
        <v>424</v>
      </c>
      <c r="G83" s="8" t="str">
        <f t="shared" si="1"/>
        <v>LOZA FIDEL</v>
      </c>
    </row>
    <row r="84" spans="1:7" x14ac:dyDescent="0.25">
      <c r="A84" s="8">
        <v>42861.430995370371</v>
      </c>
      <c r="B84" s="20" t="s">
        <v>370</v>
      </c>
      <c r="C84" s="20" t="s">
        <v>635</v>
      </c>
      <c r="D84" s="141">
        <v>1100000</v>
      </c>
      <c r="E84" s="20" t="s">
        <v>442</v>
      </c>
      <c r="F84" s="20" t="s">
        <v>443</v>
      </c>
      <c r="G84" s="8" t="str">
        <f t="shared" si="1"/>
        <v>GEBRETEKLE DAGNEW</v>
      </c>
    </row>
    <row r="85" spans="1:7" x14ac:dyDescent="0.25">
      <c r="A85" s="8">
        <v>42861.434236111112</v>
      </c>
      <c r="B85" s="20" t="s">
        <v>370</v>
      </c>
      <c r="C85" s="20" t="s">
        <v>635</v>
      </c>
      <c r="D85" s="141">
        <v>1100000</v>
      </c>
      <c r="E85" s="20" t="s">
        <v>442</v>
      </c>
      <c r="F85" s="20" t="s">
        <v>443</v>
      </c>
      <c r="G85" s="8" t="str">
        <f t="shared" si="1"/>
        <v>GEBRETEKLE DAGNEW</v>
      </c>
    </row>
    <row r="86" spans="1:7" x14ac:dyDescent="0.25">
      <c r="A86" s="8">
        <v>42861.436331018522</v>
      </c>
      <c r="B86" s="20" t="s">
        <v>378</v>
      </c>
      <c r="C86" s="20" t="s">
        <v>636</v>
      </c>
      <c r="D86" s="141">
        <v>2470000</v>
      </c>
      <c r="E86" s="20" t="s">
        <v>637</v>
      </c>
      <c r="F86" s="20" t="s">
        <v>638</v>
      </c>
      <c r="G86" s="8" t="str">
        <f t="shared" si="1"/>
        <v>ROMERO CHAD</v>
      </c>
    </row>
    <row r="87" spans="1:7" x14ac:dyDescent="0.25">
      <c r="A87" s="8">
        <v>42861.442210648151</v>
      </c>
      <c r="B87" s="20" t="s">
        <v>392</v>
      </c>
      <c r="C87" s="20" t="s">
        <v>639</v>
      </c>
      <c r="D87" s="141">
        <v>2370000</v>
      </c>
      <c r="E87" s="20" t="s">
        <v>588</v>
      </c>
      <c r="F87" s="20" t="s">
        <v>589</v>
      </c>
      <c r="G87" s="8" t="str">
        <f t="shared" si="1"/>
        <v>DELGADO DIANAH</v>
      </c>
    </row>
    <row r="88" spans="1:7" x14ac:dyDescent="0.25">
      <c r="A88" s="8">
        <v>42861.443923611114</v>
      </c>
      <c r="B88" s="20" t="s">
        <v>434</v>
      </c>
      <c r="C88" s="20" t="s">
        <v>640</v>
      </c>
      <c r="D88" s="141">
        <v>2140000</v>
      </c>
      <c r="E88" s="20" t="s">
        <v>473</v>
      </c>
      <c r="F88" s="20" t="s">
        <v>474</v>
      </c>
      <c r="G88" s="8" t="str">
        <f t="shared" si="1"/>
        <v>ROBINSON KADDIBA</v>
      </c>
    </row>
    <row r="89" spans="1:7" x14ac:dyDescent="0.25">
      <c r="A89" s="8">
        <v>42861.445497685185</v>
      </c>
      <c r="B89" s="20" t="s">
        <v>370</v>
      </c>
      <c r="C89" s="20" t="s">
        <v>635</v>
      </c>
      <c r="D89" s="141">
        <v>1100000</v>
      </c>
      <c r="E89" s="20" t="s">
        <v>442</v>
      </c>
      <c r="F89" s="20" t="s">
        <v>443</v>
      </c>
      <c r="G89" s="8" t="str">
        <f t="shared" si="1"/>
        <v>GEBRETEKLE DAGNEW</v>
      </c>
    </row>
    <row r="90" spans="1:7" x14ac:dyDescent="0.25">
      <c r="A90" s="8">
        <v>42861.447094907409</v>
      </c>
      <c r="B90" s="20" t="s">
        <v>377</v>
      </c>
      <c r="C90" s="20" t="s">
        <v>641</v>
      </c>
      <c r="D90" s="141">
        <v>2010000</v>
      </c>
      <c r="E90" s="20" t="s">
        <v>578</v>
      </c>
      <c r="F90" s="20" t="s">
        <v>579</v>
      </c>
      <c r="G90" s="8" t="str">
        <f t="shared" si="1"/>
        <v>MAELZER KURT</v>
      </c>
    </row>
    <row r="91" spans="1:7" x14ac:dyDescent="0.25">
      <c r="A91" s="8">
        <v>42861.449293981481</v>
      </c>
      <c r="B91" s="20" t="s">
        <v>606</v>
      </c>
      <c r="C91" s="20" t="s">
        <v>642</v>
      </c>
      <c r="D91" s="141">
        <v>2540000</v>
      </c>
      <c r="E91" s="20" t="s">
        <v>643</v>
      </c>
      <c r="F91" s="20" t="s">
        <v>644</v>
      </c>
      <c r="G91" s="8" t="str">
        <f t="shared" si="1"/>
        <v>MCREYNOLDS KYLE</v>
      </c>
    </row>
    <row r="92" spans="1:7" x14ac:dyDescent="0.25">
      <c r="A92" s="8">
        <v>42861.453692129631</v>
      </c>
      <c r="B92" s="20" t="s">
        <v>361</v>
      </c>
      <c r="C92" s="20" t="s">
        <v>529</v>
      </c>
      <c r="D92" s="141">
        <v>860000</v>
      </c>
      <c r="E92" s="20" t="s">
        <v>645</v>
      </c>
      <c r="F92" s="20" t="s">
        <v>646</v>
      </c>
      <c r="G92" s="8" t="str">
        <f t="shared" si="1"/>
        <v>ARNOLD PAUL</v>
      </c>
    </row>
    <row r="93" spans="1:7" x14ac:dyDescent="0.25">
      <c r="A93" s="8">
        <v>42861.454699074071</v>
      </c>
      <c r="B93" s="20" t="s">
        <v>470</v>
      </c>
      <c r="C93" s="20" t="s">
        <v>531</v>
      </c>
      <c r="D93" s="141">
        <v>2440000</v>
      </c>
      <c r="E93" s="20" t="s">
        <v>626</v>
      </c>
      <c r="F93" s="20" t="s">
        <v>627</v>
      </c>
      <c r="G93" s="8" t="str">
        <f t="shared" si="1"/>
        <v>LOPES KIMBERLY</v>
      </c>
    </row>
    <row r="94" spans="1:7" x14ac:dyDescent="0.25">
      <c r="A94" s="8">
        <v>42861.461076388892</v>
      </c>
      <c r="B94" s="20" t="s">
        <v>520</v>
      </c>
      <c r="C94" s="20" t="s">
        <v>647</v>
      </c>
      <c r="D94" s="141">
        <v>880000</v>
      </c>
      <c r="E94" s="20" t="s">
        <v>648</v>
      </c>
      <c r="F94" s="20" t="s">
        <v>196</v>
      </c>
      <c r="G94" s="8" t="str">
        <f t="shared" si="1"/>
        <v>STEWART MICHAEL</v>
      </c>
    </row>
    <row r="95" spans="1:7" x14ac:dyDescent="0.25">
      <c r="A95" s="8">
        <v>42861.463993055557</v>
      </c>
      <c r="B95" s="20" t="s">
        <v>362</v>
      </c>
      <c r="C95" s="20" t="s">
        <v>529</v>
      </c>
      <c r="D95" s="141">
        <v>860000</v>
      </c>
      <c r="E95" s="20" t="s">
        <v>645</v>
      </c>
      <c r="F95" s="20" t="s">
        <v>646</v>
      </c>
      <c r="G95" s="8" t="str">
        <f t="shared" si="1"/>
        <v>ARNOLD PAUL</v>
      </c>
    </row>
    <row r="96" spans="1:7" x14ac:dyDescent="0.25">
      <c r="A96" s="8">
        <v>42861.467812499999</v>
      </c>
      <c r="B96" s="20" t="s">
        <v>389</v>
      </c>
      <c r="C96" s="20" t="s">
        <v>649</v>
      </c>
      <c r="D96" s="141">
        <v>2470000</v>
      </c>
      <c r="E96" s="20" t="s">
        <v>637</v>
      </c>
      <c r="F96" s="20" t="s">
        <v>638</v>
      </c>
      <c r="G96" s="8" t="str">
        <f t="shared" si="1"/>
        <v>ROMERO CHAD</v>
      </c>
    </row>
    <row r="97" spans="1:7" x14ac:dyDescent="0.25">
      <c r="A97" s="8">
        <v>42861.470196759263</v>
      </c>
      <c r="B97" s="20" t="s">
        <v>367</v>
      </c>
      <c r="C97" s="20" t="s">
        <v>650</v>
      </c>
      <c r="D97" s="141">
        <v>920000</v>
      </c>
      <c r="E97" s="20" t="s">
        <v>581</v>
      </c>
      <c r="F97" s="20" t="s">
        <v>196</v>
      </c>
      <c r="G97" s="8" t="str">
        <f t="shared" si="1"/>
        <v>DAVIS MICHAEL</v>
      </c>
    </row>
    <row r="98" spans="1:7" x14ac:dyDescent="0.25">
      <c r="A98" s="8">
        <v>42861.471122685187</v>
      </c>
      <c r="B98" s="20" t="s">
        <v>361</v>
      </c>
      <c r="C98" s="20" t="s">
        <v>651</v>
      </c>
      <c r="D98" s="141">
        <v>2370000</v>
      </c>
      <c r="E98" s="20" t="s">
        <v>588</v>
      </c>
      <c r="F98" s="20" t="s">
        <v>589</v>
      </c>
      <c r="G98" s="8" t="str">
        <f t="shared" si="1"/>
        <v>DELGADO DIANAH</v>
      </c>
    </row>
    <row r="99" spans="1:7" x14ac:dyDescent="0.25">
      <c r="A99" s="8">
        <v>42861.475266203706</v>
      </c>
      <c r="B99" s="20" t="s">
        <v>437</v>
      </c>
      <c r="C99" s="20" t="s">
        <v>530</v>
      </c>
      <c r="D99" s="141">
        <v>1300000</v>
      </c>
      <c r="E99" s="20" t="s">
        <v>652</v>
      </c>
      <c r="F99" s="20" t="s">
        <v>653</v>
      </c>
      <c r="G99" s="8" t="str">
        <f t="shared" si="1"/>
        <v>LEVIN SCOTT</v>
      </c>
    </row>
    <row r="100" spans="1:7" x14ac:dyDescent="0.25">
      <c r="A100" s="8">
        <v>42861.476793981485</v>
      </c>
      <c r="B100" s="20" t="s">
        <v>438</v>
      </c>
      <c r="C100" s="20" t="s">
        <v>654</v>
      </c>
      <c r="D100" s="141">
        <v>1770000</v>
      </c>
      <c r="E100" s="20" t="s">
        <v>447</v>
      </c>
      <c r="F100" s="20" t="s">
        <v>448</v>
      </c>
      <c r="G100" s="8" t="str">
        <f t="shared" si="1"/>
        <v>BRUDER RICHARD</v>
      </c>
    </row>
    <row r="101" spans="1:7" x14ac:dyDescent="0.25">
      <c r="A101" s="8">
        <v>42861.477442129632</v>
      </c>
      <c r="B101" s="20" t="s">
        <v>514</v>
      </c>
      <c r="C101" s="20" t="s">
        <v>655</v>
      </c>
      <c r="D101" s="141">
        <v>2540000</v>
      </c>
      <c r="E101" s="20" t="s">
        <v>643</v>
      </c>
      <c r="F101" s="20" t="s">
        <v>644</v>
      </c>
      <c r="G101" s="8" t="str">
        <f t="shared" si="1"/>
        <v>MCREYNOLDS KYLE</v>
      </c>
    </row>
    <row r="102" spans="1:7" x14ac:dyDescent="0.25">
      <c r="A102" s="8">
        <v>42861.485069444447</v>
      </c>
      <c r="B102" s="20" t="s">
        <v>362</v>
      </c>
      <c r="C102" s="20" t="s">
        <v>656</v>
      </c>
      <c r="D102" s="141">
        <v>2370000</v>
      </c>
      <c r="E102" s="20" t="s">
        <v>588</v>
      </c>
      <c r="F102" s="20" t="s">
        <v>589</v>
      </c>
      <c r="G102" s="8" t="str">
        <f t="shared" si="1"/>
        <v>DELGADO DIANAH</v>
      </c>
    </row>
    <row r="103" spans="1:7" x14ac:dyDescent="0.25">
      <c r="A103" s="8">
        <v>42861.488125000003</v>
      </c>
      <c r="B103" s="20" t="s">
        <v>376</v>
      </c>
      <c r="C103" s="20" t="s">
        <v>532</v>
      </c>
      <c r="D103" s="141">
        <v>2360000</v>
      </c>
      <c r="E103" s="20" t="s">
        <v>477</v>
      </c>
      <c r="F103" s="20" t="s">
        <v>478</v>
      </c>
      <c r="G103" s="8" t="str">
        <f t="shared" si="1"/>
        <v>BRANDNER MELINDA</v>
      </c>
    </row>
    <row r="104" spans="1:7" x14ac:dyDescent="0.25">
      <c r="A104" s="8">
        <v>42861.492222222223</v>
      </c>
      <c r="B104" s="20" t="s">
        <v>444</v>
      </c>
      <c r="C104" s="20" t="s">
        <v>657</v>
      </c>
      <c r="D104" s="141">
        <v>890000</v>
      </c>
      <c r="E104" s="20" t="s">
        <v>423</v>
      </c>
      <c r="F104" s="20" t="s">
        <v>424</v>
      </c>
      <c r="G104" s="8" t="str">
        <f t="shared" si="1"/>
        <v>LOZA FIDEL</v>
      </c>
    </row>
    <row r="105" spans="1:7" x14ac:dyDescent="0.25">
      <c r="A105" s="8">
        <v>42861.49318287037</v>
      </c>
      <c r="B105" s="20" t="s">
        <v>476</v>
      </c>
      <c r="C105" s="20" t="s">
        <v>533</v>
      </c>
      <c r="D105" s="141">
        <v>1300000</v>
      </c>
      <c r="E105" s="20" t="s">
        <v>652</v>
      </c>
      <c r="F105" s="20" t="s">
        <v>653</v>
      </c>
      <c r="G105" s="8" t="str">
        <f t="shared" si="1"/>
        <v>LEVIN SCOTT</v>
      </c>
    </row>
    <row r="106" spans="1:7" x14ac:dyDescent="0.25">
      <c r="A106" s="8">
        <v>42861.496319444443</v>
      </c>
      <c r="B106" s="20" t="s">
        <v>527</v>
      </c>
      <c r="C106" s="20" t="s">
        <v>658</v>
      </c>
      <c r="D106" s="141">
        <v>880000</v>
      </c>
      <c r="E106" s="20" t="s">
        <v>648</v>
      </c>
      <c r="F106" s="20" t="s">
        <v>196</v>
      </c>
      <c r="G106" s="8" t="str">
        <f t="shared" si="1"/>
        <v>STEWART MICHAEL</v>
      </c>
    </row>
    <row r="107" spans="1:7" x14ac:dyDescent="0.25">
      <c r="A107" s="8">
        <v>42861.500451388885</v>
      </c>
      <c r="B107" s="20" t="s">
        <v>476</v>
      </c>
      <c r="C107" s="20" t="s">
        <v>533</v>
      </c>
      <c r="D107" s="141">
        <v>1300000</v>
      </c>
      <c r="E107" s="20" t="s">
        <v>652</v>
      </c>
      <c r="F107" s="20" t="s">
        <v>653</v>
      </c>
      <c r="G107" s="8" t="str">
        <f t="shared" si="1"/>
        <v>LEVIN SCOTT</v>
      </c>
    </row>
    <row r="108" spans="1:7" x14ac:dyDescent="0.25">
      <c r="A108" s="8">
        <v>42861.501759259256</v>
      </c>
      <c r="B108" s="20" t="s">
        <v>476</v>
      </c>
      <c r="C108" s="20" t="s">
        <v>533</v>
      </c>
      <c r="D108" s="141">
        <v>1300000</v>
      </c>
      <c r="E108" s="20" t="s">
        <v>652</v>
      </c>
      <c r="F108" s="20" t="s">
        <v>653</v>
      </c>
      <c r="G108" s="8" t="str">
        <f t="shared" si="1"/>
        <v>LEVIN SCOTT</v>
      </c>
    </row>
    <row r="109" spans="1:7" x14ac:dyDescent="0.25">
      <c r="A109" s="8">
        <v>42861.502928240741</v>
      </c>
      <c r="B109" s="20" t="s">
        <v>361</v>
      </c>
      <c r="C109" s="20" t="s">
        <v>659</v>
      </c>
      <c r="D109" s="141">
        <v>2370000</v>
      </c>
      <c r="E109" s="20" t="s">
        <v>588</v>
      </c>
      <c r="F109" s="20" t="s">
        <v>589</v>
      </c>
      <c r="G109" s="8" t="str">
        <f t="shared" si="1"/>
        <v>DELGADO DIANAH</v>
      </c>
    </row>
    <row r="110" spans="1:7" x14ac:dyDescent="0.25">
      <c r="A110" s="8">
        <v>42861.504710648151</v>
      </c>
      <c r="B110" s="20" t="s">
        <v>370</v>
      </c>
      <c r="C110" s="20" t="s">
        <v>660</v>
      </c>
      <c r="D110" s="141">
        <v>920000</v>
      </c>
      <c r="E110" s="20" t="s">
        <v>581</v>
      </c>
      <c r="F110" s="20" t="s">
        <v>196</v>
      </c>
      <c r="G110" s="8" t="str">
        <f t="shared" si="1"/>
        <v>DAVIS MICHAEL</v>
      </c>
    </row>
    <row r="111" spans="1:7" x14ac:dyDescent="0.25">
      <c r="A111" s="8">
        <v>42861.505729166667</v>
      </c>
      <c r="B111" s="20" t="s">
        <v>378</v>
      </c>
      <c r="C111" s="20" t="s">
        <v>661</v>
      </c>
      <c r="D111" s="141">
        <v>2470000</v>
      </c>
      <c r="E111" s="20" t="s">
        <v>637</v>
      </c>
      <c r="F111" s="20" t="s">
        <v>638</v>
      </c>
      <c r="G111" s="8" t="str">
        <f t="shared" si="1"/>
        <v>ROMERO CHAD</v>
      </c>
    </row>
    <row r="112" spans="1:7" x14ac:dyDescent="0.25">
      <c r="A112" s="8">
        <v>42861.51295138889</v>
      </c>
      <c r="B112" s="20" t="s">
        <v>386</v>
      </c>
      <c r="C112" s="20" t="s">
        <v>662</v>
      </c>
      <c r="D112" s="141">
        <v>2440000</v>
      </c>
      <c r="E112" s="20" t="s">
        <v>626</v>
      </c>
      <c r="F112" s="20" t="s">
        <v>627</v>
      </c>
      <c r="G112" s="8" t="str">
        <f t="shared" si="1"/>
        <v>LOPES KIMBERLY</v>
      </c>
    </row>
    <row r="113" spans="1:7" x14ac:dyDescent="0.25">
      <c r="A113" s="8">
        <v>42861.515324074076</v>
      </c>
      <c r="B113" s="20" t="s">
        <v>434</v>
      </c>
      <c r="C113" s="20" t="s">
        <v>663</v>
      </c>
      <c r="D113" s="141">
        <v>1770000</v>
      </c>
      <c r="E113" s="20" t="s">
        <v>447</v>
      </c>
      <c r="F113" s="20" t="s">
        <v>448</v>
      </c>
      <c r="G113" s="8" t="str">
        <f t="shared" si="1"/>
        <v>BRUDER RICHARD</v>
      </c>
    </row>
    <row r="114" spans="1:7" x14ac:dyDescent="0.25">
      <c r="A114" s="8">
        <v>42861.517002314817</v>
      </c>
      <c r="B114" s="20" t="s">
        <v>606</v>
      </c>
      <c r="C114" s="20" t="s">
        <v>664</v>
      </c>
      <c r="D114" s="141">
        <v>2040000</v>
      </c>
      <c r="E114" s="20" t="s">
        <v>445</v>
      </c>
      <c r="F114" s="20" t="s">
        <v>446</v>
      </c>
      <c r="G114" s="8" t="str">
        <f t="shared" si="1"/>
        <v>MOSES BRADLEY</v>
      </c>
    </row>
    <row r="115" spans="1:7" x14ac:dyDescent="0.25">
      <c r="A115" s="8">
        <v>42861.520185185182</v>
      </c>
      <c r="B115" s="20" t="s">
        <v>392</v>
      </c>
      <c r="C115" s="20" t="s">
        <v>662</v>
      </c>
      <c r="D115" s="141">
        <v>2440000</v>
      </c>
      <c r="E115" s="20" t="s">
        <v>626</v>
      </c>
      <c r="F115" s="20" t="s">
        <v>627</v>
      </c>
      <c r="G115" s="8" t="str">
        <f t="shared" si="1"/>
        <v>LOPES KIMBERLY</v>
      </c>
    </row>
    <row r="116" spans="1:7" x14ac:dyDescent="0.25">
      <c r="A116" s="8">
        <v>42861.520902777775</v>
      </c>
      <c r="B116" s="20" t="s">
        <v>392</v>
      </c>
      <c r="C116" s="20" t="s">
        <v>662</v>
      </c>
      <c r="D116" s="141">
        <v>2440000</v>
      </c>
      <c r="E116" s="20" t="s">
        <v>626</v>
      </c>
      <c r="F116" s="20" t="s">
        <v>627</v>
      </c>
      <c r="G116" s="8" t="str">
        <f t="shared" si="1"/>
        <v>LOPES KIMBERLY</v>
      </c>
    </row>
    <row r="117" spans="1:7" x14ac:dyDescent="0.25">
      <c r="A117" s="8">
        <v>42861.525717592594</v>
      </c>
      <c r="B117" s="20" t="s">
        <v>377</v>
      </c>
      <c r="C117" s="20" t="s">
        <v>665</v>
      </c>
      <c r="D117" s="141">
        <v>2360000</v>
      </c>
      <c r="E117" s="20" t="s">
        <v>477</v>
      </c>
      <c r="F117" s="20" t="s">
        <v>478</v>
      </c>
      <c r="G117" s="8" t="str">
        <f t="shared" si="1"/>
        <v>BRANDNER MELINDA</v>
      </c>
    </row>
    <row r="118" spans="1:7" x14ac:dyDescent="0.25">
      <c r="A118" s="8">
        <v>42861.526041666664</v>
      </c>
      <c r="B118" s="20" t="s">
        <v>362</v>
      </c>
      <c r="C118" s="20" t="s">
        <v>666</v>
      </c>
      <c r="D118" s="141">
        <v>2370000</v>
      </c>
      <c r="E118" s="20" t="s">
        <v>588</v>
      </c>
      <c r="F118" s="20" t="s">
        <v>589</v>
      </c>
      <c r="G118" s="8" t="str">
        <f t="shared" si="1"/>
        <v>DELGADO DIANAH</v>
      </c>
    </row>
    <row r="119" spans="1:7" x14ac:dyDescent="0.25">
      <c r="A119" s="8">
        <v>42861.528923611113</v>
      </c>
      <c r="B119" s="20" t="s">
        <v>520</v>
      </c>
      <c r="C119" s="20" t="s">
        <v>667</v>
      </c>
      <c r="D119" s="141">
        <v>880000</v>
      </c>
      <c r="E119" s="20" t="s">
        <v>648</v>
      </c>
      <c r="F119" s="20" t="s">
        <v>196</v>
      </c>
      <c r="G119" s="8" t="str">
        <f t="shared" si="1"/>
        <v>STEWART MICHAEL</v>
      </c>
    </row>
    <row r="120" spans="1:7" x14ac:dyDescent="0.25">
      <c r="A120" s="8">
        <v>42861.531331018516</v>
      </c>
      <c r="B120" s="20" t="s">
        <v>606</v>
      </c>
      <c r="C120" s="20" t="s">
        <v>664</v>
      </c>
      <c r="D120" s="141">
        <v>2040000</v>
      </c>
      <c r="E120" s="20" t="s">
        <v>445</v>
      </c>
      <c r="F120" s="20" t="s">
        <v>446</v>
      </c>
      <c r="G120" s="8" t="str">
        <f t="shared" si="1"/>
        <v>MOSES BRADLEY</v>
      </c>
    </row>
    <row r="121" spans="1:7" x14ac:dyDescent="0.25">
      <c r="A121" s="8">
        <v>42861.532129629632</v>
      </c>
      <c r="B121" s="20" t="s">
        <v>471</v>
      </c>
      <c r="C121" s="20" t="s">
        <v>668</v>
      </c>
      <c r="D121" s="141">
        <v>2440000</v>
      </c>
      <c r="E121" s="20" t="s">
        <v>626</v>
      </c>
      <c r="F121" s="20" t="s">
        <v>627</v>
      </c>
      <c r="G121" s="8" t="str">
        <f t="shared" si="1"/>
        <v>LOPES KIMBERLY</v>
      </c>
    </row>
    <row r="122" spans="1:7" x14ac:dyDescent="0.25">
      <c r="A122" s="8">
        <v>42861.536956018521</v>
      </c>
      <c r="B122" s="25" t="s">
        <v>389</v>
      </c>
      <c r="C122" s="20" t="s">
        <v>669</v>
      </c>
      <c r="D122" s="141">
        <v>2470000</v>
      </c>
      <c r="E122" s="20" t="s">
        <v>637</v>
      </c>
      <c r="F122" s="20" t="s">
        <v>638</v>
      </c>
      <c r="G122" s="8" t="str">
        <f t="shared" si="1"/>
        <v>ROMERO CHAD</v>
      </c>
    </row>
    <row r="123" spans="1:7" x14ac:dyDescent="0.25">
      <c r="A123" s="8">
        <v>42861.537094907406</v>
      </c>
      <c r="B123" s="20" t="s">
        <v>472</v>
      </c>
      <c r="C123" s="20" t="s">
        <v>535</v>
      </c>
      <c r="D123" s="141">
        <v>1300000</v>
      </c>
      <c r="E123" s="20" t="s">
        <v>652</v>
      </c>
      <c r="F123" s="20" t="s">
        <v>653</v>
      </c>
      <c r="G123" s="8" t="str">
        <f t="shared" si="1"/>
        <v>LEVIN SCOTT</v>
      </c>
    </row>
    <row r="124" spans="1:7" x14ac:dyDescent="0.25">
      <c r="A124" s="8">
        <v>42861.540069444447</v>
      </c>
      <c r="B124" s="20" t="s">
        <v>367</v>
      </c>
      <c r="C124" s="20" t="s">
        <v>670</v>
      </c>
      <c r="D124" s="141">
        <v>920000</v>
      </c>
      <c r="E124" s="20" t="s">
        <v>581</v>
      </c>
      <c r="F124" s="20" t="s">
        <v>196</v>
      </c>
      <c r="G124" s="8" t="str">
        <f t="shared" si="1"/>
        <v>DAVIS MICHAEL</v>
      </c>
    </row>
    <row r="125" spans="1:7" x14ac:dyDescent="0.25">
      <c r="A125" s="8">
        <v>42861.541064814817</v>
      </c>
      <c r="B125" s="20" t="s">
        <v>367</v>
      </c>
      <c r="C125" s="20" t="s">
        <v>670</v>
      </c>
      <c r="D125" s="141">
        <v>920000</v>
      </c>
      <c r="E125" s="20" t="s">
        <v>581</v>
      </c>
      <c r="F125" s="20" t="s">
        <v>196</v>
      </c>
      <c r="G125" s="8" t="str">
        <f t="shared" si="1"/>
        <v>DAVIS MICHAEL</v>
      </c>
    </row>
    <row r="126" spans="1:7" x14ac:dyDescent="0.25">
      <c r="A126" s="8">
        <v>42861.547199074077</v>
      </c>
      <c r="B126" s="20" t="s">
        <v>361</v>
      </c>
      <c r="C126" s="20" t="s">
        <v>666</v>
      </c>
      <c r="D126" s="141">
        <v>2370000</v>
      </c>
      <c r="E126" s="20" t="s">
        <v>588</v>
      </c>
      <c r="F126" s="20" t="s">
        <v>589</v>
      </c>
      <c r="G126" s="8" t="str">
        <f t="shared" si="1"/>
        <v>DELGADO DIANAH</v>
      </c>
    </row>
    <row r="127" spans="1:7" x14ac:dyDescent="0.25">
      <c r="A127" s="8">
        <v>42861.547905092593</v>
      </c>
      <c r="B127" s="20" t="s">
        <v>361</v>
      </c>
      <c r="C127" s="20" t="s">
        <v>534</v>
      </c>
      <c r="D127" s="141">
        <v>2370000</v>
      </c>
      <c r="E127" s="20" t="s">
        <v>588</v>
      </c>
      <c r="F127" s="20" t="s">
        <v>589</v>
      </c>
      <c r="G127" s="8" t="str">
        <f t="shared" si="1"/>
        <v>DELGADO DIANAH</v>
      </c>
    </row>
    <row r="128" spans="1:7" x14ac:dyDescent="0.25">
      <c r="A128" s="8">
        <v>42861.549317129633</v>
      </c>
      <c r="B128" s="20" t="s">
        <v>438</v>
      </c>
      <c r="C128" s="20" t="s">
        <v>671</v>
      </c>
      <c r="D128" s="141">
        <v>1770000</v>
      </c>
      <c r="E128" s="20" t="s">
        <v>447</v>
      </c>
      <c r="F128" s="20" t="s">
        <v>448</v>
      </c>
      <c r="G128" s="8" t="str">
        <f t="shared" si="1"/>
        <v>BRUDER RICHARD</v>
      </c>
    </row>
    <row r="129" spans="1:7" x14ac:dyDescent="0.25">
      <c r="A129" s="8">
        <v>42861.557534722226</v>
      </c>
      <c r="B129" s="20" t="s">
        <v>514</v>
      </c>
      <c r="C129" s="20" t="s">
        <v>538</v>
      </c>
      <c r="D129" s="141">
        <v>2040000</v>
      </c>
      <c r="E129" s="20" t="s">
        <v>445</v>
      </c>
      <c r="F129" s="20" t="s">
        <v>446</v>
      </c>
      <c r="G129" s="8" t="str">
        <f t="shared" si="1"/>
        <v>MOSES BRADLEY</v>
      </c>
    </row>
    <row r="130" spans="1:7" x14ac:dyDescent="0.25">
      <c r="A130" s="8">
        <v>42861.561678240738</v>
      </c>
      <c r="B130" s="20" t="s">
        <v>376</v>
      </c>
      <c r="C130" s="20" t="s">
        <v>672</v>
      </c>
      <c r="D130" s="141">
        <v>2360000</v>
      </c>
      <c r="E130" s="20" t="s">
        <v>477</v>
      </c>
      <c r="F130" s="20" t="s">
        <v>478</v>
      </c>
      <c r="G130" s="8" t="str">
        <f t="shared" si="1"/>
        <v>BRANDNER MELINDA</v>
      </c>
    </row>
    <row r="131" spans="1:7" x14ac:dyDescent="0.25">
      <c r="A131" s="8">
        <v>42861.565833333334</v>
      </c>
      <c r="B131" s="20" t="s">
        <v>527</v>
      </c>
      <c r="C131" s="20" t="s">
        <v>673</v>
      </c>
      <c r="D131" s="141">
        <v>880000</v>
      </c>
      <c r="E131" s="20" t="s">
        <v>648</v>
      </c>
      <c r="F131" s="20" t="s">
        <v>196</v>
      </c>
      <c r="G131" s="8" t="str">
        <f t="shared" ref="G131:G194" si="2">E131&amp;" "&amp;F131</f>
        <v>STEWART MICHAEL</v>
      </c>
    </row>
    <row r="132" spans="1:7" x14ac:dyDescent="0.25">
      <c r="A132" s="8">
        <v>42861.568738425929</v>
      </c>
      <c r="B132" s="20" t="s">
        <v>362</v>
      </c>
      <c r="C132" s="20" t="s">
        <v>536</v>
      </c>
      <c r="D132" s="141">
        <v>2370000</v>
      </c>
      <c r="E132" s="20" t="s">
        <v>588</v>
      </c>
      <c r="F132" s="20" t="s">
        <v>589</v>
      </c>
      <c r="G132" s="8" t="str">
        <f t="shared" si="2"/>
        <v>DELGADO DIANAH</v>
      </c>
    </row>
    <row r="133" spans="1:7" x14ac:dyDescent="0.25">
      <c r="A133" s="8">
        <v>42861.57</v>
      </c>
      <c r="B133" s="20" t="s">
        <v>386</v>
      </c>
      <c r="C133" s="20" t="s">
        <v>674</v>
      </c>
      <c r="D133" s="141">
        <v>2540000</v>
      </c>
      <c r="E133" s="20" t="s">
        <v>643</v>
      </c>
      <c r="F133" s="20" t="s">
        <v>644</v>
      </c>
      <c r="G133" s="8" t="str">
        <f t="shared" si="2"/>
        <v>MCREYNOLDS KYLE</v>
      </c>
    </row>
    <row r="134" spans="1:7" x14ac:dyDescent="0.25">
      <c r="A134" s="8">
        <v>42861.570555555554</v>
      </c>
      <c r="B134" s="20" t="s">
        <v>514</v>
      </c>
      <c r="C134" s="20" t="s">
        <v>538</v>
      </c>
      <c r="D134" s="141">
        <v>2040000</v>
      </c>
      <c r="E134" s="20" t="s">
        <v>445</v>
      </c>
      <c r="F134" s="20" t="s">
        <v>446</v>
      </c>
      <c r="G134" s="8" t="str">
        <f t="shared" si="2"/>
        <v>MOSES BRADLEY</v>
      </c>
    </row>
    <row r="135" spans="1:7" x14ac:dyDescent="0.25">
      <c r="A135" s="8">
        <v>42861.574421296296</v>
      </c>
      <c r="B135" s="20" t="s">
        <v>392</v>
      </c>
      <c r="C135" s="20" t="s">
        <v>674</v>
      </c>
      <c r="D135" s="141">
        <v>2540000</v>
      </c>
      <c r="E135" s="20" t="s">
        <v>643</v>
      </c>
      <c r="F135" s="20" t="s">
        <v>644</v>
      </c>
      <c r="G135" s="8" t="str">
        <f t="shared" si="2"/>
        <v>MCREYNOLDS KYLE</v>
      </c>
    </row>
    <row r="136" spans="1:7" x14ac:dyDescent="0.25">
      <c r="A136" s="8">
        <v>42861.577881944446</v>
      </c>
      <c r="B136" s="20" t="s">
        <v>386</v>
      </c>
      <c r="C136" s="20" t="s">
        <v>537</v>
      </c>
      <c r="D136" s="141">
        <v>2540000</v>
      </c>
      <c r="E136" s="20" t="s">
        <v>643</v>
      </c>
      <c r="F136" s="20" t="s">
        <v>644</v>
      </c>
      <c r="G136" s="8" t="str">
        <f t="shared" si="2"/>
        <v>MCREYNOLDS KYLE</v>
      </c>
    </row>
    <row r="137" spans="1:7" x14ac:dyDescent="0.25">
      <c r="A137" s="8">
        <v>42861.57880787037</v>
      </c>
      <c r="B137" s="20" t="s">
        <v>370</v>
      </c>
      <c r="C137" s="20" t="s">
        <v>675</v>
      </c>
      <c r="D137" s="141">
        <v>920000</v>
      </c>
      <c r="E137" s="20" t="s">
        <v>581</v>
      </c>
      <c r="F137" s="20" t="s">
        <v>196</v>
      </c>
      <c r="G137" s="8" t="str">
        <f t="shared" si="2"/>
        <v>DAVIS MICHAEL</v>
      </c>
    </row>
    <row r="138" spans="1:7" x14ac:dyDescent="0.25">
      <c r="A138" s="8">
        <v>42861.583993055552</v>
      </c>
      <c r="B138" s="20" t="s">
        <v>476</v>
      </c>
      <c r="C138" s="20" t="s">
        <v>676</v>
      </c>
      <c r="D138" s="141">
        <v>1300000</v>
      </c>
      <c r="E138" s="20" t="s">
        <v>652</v>
      </c>
      <c r="F138" s="20" t="s">
        <v>653</v>
      </c>
      <c r="G138" s="8" t="str">
        <f t="shared" si="2"/>
        <v>LEVIN SCOTT</v>
      </c>
    </row>
    <row r="139" spans="1:7" x14ac:dyDescent="0.25">
      <c r="A139" s="8">
        <v>42861.587546296294</v>
      </c>
      <c r="B139" s="20" t="s">
        <v>434</v>
      </c>
      <c r="C139" s="20" t="s">
        <v>677</v>
      </c>
      <c r="D139" s="141">
        <v>1770000</v>
      </c>
      <c r="E139" s="20" t="s">
        <v>447</v>
      </c>
      <c r="F139" s="20" t="s">
        <v>448</v>
      </c>
      <c r="G139" s="8" t="str">
        <f t="shared" si="2"/>
        <v>BRUDER RICHARD</v>
      </c>
    </row>
    <row r="140" spans="1:7" x14ac:dyDescent="0.25">
      <c r="A140" s="8">
        <v>42861.589432870373</v>
      </c>
      <c r="B140" s="20" t="s">
        <v>406</v>
      </c>
      <c r="C140" s="20" t="s">
        <v>678</v>
      </c>
      <c r="D140" s="141">
        <v>2440000</v>
      </c>
      <c r="E140" s="20" t="s">
        <v>626</v>
      </c>
      <c r="F140" s="20" t="s">
        <v>627</v>
      </c>
      <c r="G140" s="8" t="str">
        <f t="shared" si="2"/>
        <v>LOPES KIMBERLY</v>
      </c>
    </row>
    <row r="141" spans="1:7" x14ac:dyDescent="0.25">
      <c r="A141" s="8">
        <v>42861.594201388885</v>
      </c>
      <c r="B141" s="20" t="s">
        <v>470</v>
      </c>
      <c r="C141" s="20" t="s">
        <v>678</v>
      </c>
      <c r="D141" s="141">
        <v>2440000</v>
      </c>
      <c r="E141" s="20" t="s">
        <v>626</v>
      </c>
      <c r="F141" s="20" t="s">
        <v>627</v>
      </c>
      <c r="G141" s="8" t="str">
        <f t="shared" si="2"/>
        <v>LOPES KIMBERLY</v>
      </c>
    </row>
    <row r="142" spans="1:7" x14ac:dyDescent="0.25">
      <c r="A142" s="8">
        <v>42861.594594907408</v>
      </c>
      <c r="B142" s="20" t="s">
        <v>378</v>
      </c>
      <c r="C142" s="20" t="s">
        <v>539</v>
      </c>
      <c r="D142" s="141">
        <v>2470000</v>
      </c>
      <c r="E142" s="20" t="s">
        <v>637</v>
      </c>
      <c r="F142" s="20" t="s">
        <v>638</v>
      </c>
      <c r="G142" s="8" t="str">
        <f t="shared" si="2"/>
        <v>ROMERO CHAD</v>
      </c>
    </row>
    <row r="143" spans="1:7" x14ac:dyDescent="0.25">
      <c r="A143" s="8">
        <v>42861.595127314817</v>
      </c>
      <c r="B143" s="20" t="s">
        <v>434</v>
      </c>
      <c r="C143" s="20" t="s">
        <v>677</v>
      </c>
      <c r="D143" s="141">
        <v>1770000</v>
      </c>
      <c r="E143" s="20" t="s">
        <v>447</v>
      </c>
      <c r="F143" s="20" t="s">
        <v>448</v>
      </c>
      <c r="G143" s="8" t="str">
        <f t="shared" si="2"/>
        <v>BRUDER RICHARD</v>
      </c>
    </row>
    <row r="144" spans="1:7" x14ac:dyDescent="0.25">
      <c r="A144" s="8">
        <v>42861.596261574072</v>
      </c>
      <c r="B144" s="20" t="s">
        <v>361</v>
      </c>
      <c r="C144" s="20" t="s">
        <v>679</v>
      </c>
      <c r="D144" s="141">
        <v>1540000</v>
      </c>
      <c r="E144" s="20" t="s">
        <v>680</v>
      </c>
      <c r="F144" s="20" t="s">
        <v>681</v>
      </c>
      <c r="G144" s="8" t="str">
        <f t="shared" si="2"/>
        <v>HELVIE ADAM</v>
      </c>
    </row>
    <row r="145" spans="1:7" x14ac:dyDescent="0.25">
      <c r="A145" s="8">
        <v>42861.597291666665</v>
      </c>
      <c r="B145" s="20" t="s">
        <v>377</v>
      </c>
      <c r="C145" s="20" t="s">
        <v>682</v>
      </c>
      <c r="D145" s="141">
        <v>2360000</v>
      </c>
      <c r="E145" s="20" t="s">
        <v>477</v>
      </c>
      <c r="F145" s="20" t="s">
        <v>478</v>
      </c>
      <c r="G145" s="8" t="str">
        <f t="shared" si="2"/>
        <v>BRANDNER MELINDA</v>
      </c>
    </row>
    <row r="146" spans="1:7" x14ac:dyDescent="0.25">
      <c r="A146" s="8">
        <v>42861.601840277777</v>
      </c>
      <c r="B146" s="20" t="s">
        <v>378</v>
      </c>
      <c r="C146" s="20" t="s">
        <v>539</v>
      </c>
      <c r="D146" s="141">
        <v>2470000</v>
      </c>
      <c r="E146" s="20" t="s">
        <v>637</v>
      </c>
      <c r="F146" s="20" t="s">
        <v>638</v>
      </c>
      <c r="G146" s="8" t="str">
        <f t="shared" si="2"/>
        <v>ROMERO CHAD</v>
      </c>
    </row>
    <row r="147" spans="1:7" x14ac:dyDescent="0.25">
      <c r="A147" s="8">
        <v>42861.605856481481</v>
      </c>
      <c r="B147" s="20" t="s">
        <v>406</v>
      </c>
      <c r="C147" s="20" t="s">
        <v>683</v>
      </c>
      <c r="D147" s="141">
        <v>2040000</v>
      </c>
      <c r="E147" s="20" t="s">
        <v>445</v>
      </c>
      <c r="F147" s="20" t="s">
        <v>446</v>
      </c>
      <c r="G147" s="8" t="str">
        <f t="shared" si="2"/>
        <v>MOSES BRADLEY</v>
      </c>
    </row>
    <row r="148" spans="1:7" x14ac:dyDescent="0.25">
      <c r="A148" s="8">
        <v>42861.60769675926</v>
      </c>
      <c r="B148" s="20" t="s">
        <v>392</v>
      </c>
      <c r="C148" s="20" t="s">
        <v>684</v>
      </c>
      <c r="D148" s="141">
        <v>2540000</v>
      </c>
      <c r="E148" s="20" t="s">
        <v>643</v>
      </c>
      <c r="F148" s="20" t="s">
        <v>644</v>
      </c>
      <c r="G148" s="8" t="str">
        <f t="shared" si="2"/>
        <v>MCREYNOLDS KYLE</v>
      </c>
    </row>
    <row r="149" spans="1:7" x14ac:dyDescent="0.25">
      <c r="A149" s="8">
        <v>42861.609537037039</v>
      </c>
      <c r="B149" s="20" t="s">
        <v>362</v>
      </c>
      <c r="C149" s="20" t="s">
        <v>685</v>
      </c>
      <c r="D149" s="141">
        <v>1540000</v>
      </c>
      <c r="E149" s="20" t="s">
        <v>680</v>
      </c>
      <c r="F149" s="20" t="s">
        <v>681</v>
      </c>
      <c r="G149" s="8" t="str">
        <f t="shared" si="2"/>
        <v>HELVIE ADAM</v>
      </c>
    </row>
    <row r="150" spans="1:7" x14ac:dyDescent="0.25">
      <c r="A150" s="8">
        <v>42861.616412037038</v>
      </c>
      <c r="B150" s="20" t="s">
        <v>367</v>
      </c>
      <c r="C150" s="20" t="s">
        <v>686</v>
      </c>
      <c r="D150" s="141">
        <v>920000</v>
      </c>
      <c r="E150" s="20" t="s">
        <v>581</v>
      </c>
      <c r="F150" s="20" t="s">
        <v>196</v>
      </c>
      <c r="G150" s="8" t="str">
        <f t="shared" si="2"/>
        <v>DAVIS MICHAEL</v>
      </c>
    </row>
    <row r="151" spans="1:7" x14ac:dyDescent="0.25">
      <c r="A151" s="8">
        <v>42861.618923611109</v>
      </c>
      <c r="B151" s="20" t="s">
        <v>472</v>
      </c>
      <c r="C151" s="20" t="s">
        <v>687</v>
      </c>
      <c r="D151" s="141">
        <v>1300000</v>
      </c>
      <c r="E151" s="20" t="s">
        <v>652</v>
      </c>
      <c r="F151" s="20" t="s">
        <v>653</v>
      </c>
      <c r="G151" s="8" t="str">
        <f t="shared" si="2"/>
        <v>LEVIN SCOTT</v>
      </c>
    </row>
    <row r="152" spans="1:7" x14ac:dyDescent="0.25">
      <c r="A152" s="8">
        <v>42861.624872685185</v>
      </c>
      <c r="B152" s="20" t="s">
        <v>438</v>
      </c>
      <c r="C152" s="20" t="s">
        <v>540</v>
      </c>
      <c r="D152" s="141">
        <v>1770000</v>
      </c>
      <c r="E152" s="20" t="s">
        <v>447</v>
      </c>
      <c r="F152" s="20" t="s">
        <v>448</v>
      </c>
      <c r="G152" s="8" t="str">
        <f t="shared" si="2"/>
        <v>BRUDER RICHARD</v>
      </c>
    </row>
    <row r="153" spans="1:7" x14ac:dyDescent="0.25">
      <c r="A153" s="8">
        <v>42861.629861111112</v>
      </c>
      <c r="B153" s="20" t="s">
        <v>389</v>
      </c>
      <c r="C153" s="20" t="s">
        <v>688</v>
      </c>
      <c r="D153" s="141">
        <v>2470000</v>
      </c>
      <c r="E153" s="20" t="s">
        <v>637</v>
      </c>
      <c r="F153" s="20" t="s">
        <v>638</v>
      </c>
      <c r="G153" s="8" t="str">
        <f t="shared" si="2"/>
        <v>ROMERO CHAD</v>
      </c>
    </row>
    <row r="154" spans="1:7" x14ac:dyDescent="0.25">
      <c r="A154" s="8">
        <v>42861.635162037041</v>
      </c>
      <c r="B154" s="20" t="s">
        <v>376</v>
      </c>
      <c r="C154" s="20" t="s">
        <v>689</v>
      </c>
      <c r="D154" s="141">
        <v>2360000</v>
      </c>
      <c r="E154" s="20" t="s">
        <v>477</v>
      </c>
      <c r="F154" s="20" t="s">
        <v>478</v>
      </c>
      <c r="G154" s="8" t="str">
        <f t="shared" si="2"/>
        <v>BRANDNER MELINDA</v>
      </c>
    </row>
    <row r="155" spans="1:7" x14ac:dyDescent="0.25">
      <c r="A155" s="8">
        <v>42861.637928240743</v>
      </c>
      <c r="B155" s="20" t="s">
        <v>361</v>
      </c>
      <c r="C155" s="20" t="s">
        <v>690</v>
      </c>
      <c r="D155" s="141">
        <v>1540000</v>
      </c>
      <c r="E155" s="20" t="s">
        <v>680</v>
      </c>
      <c r="F155" s="20" t="s">
        <v>681</v>
      </c>
      <c r="G155" s="8" t="str">
        <f t="shared" si="2"/>
        <v>HELVIE ADAM</v>
      </c>
    </row>
    <row r="156" spans="1:7" x14ac:dyDescent="0.25">
      <c r="A156" s="8">
        <v>42861.641655092593</v>
      </c>
      <c r="B156" s="20" t="s">
        <v>470</v>
      </c>
      <c r="C156" s="20" t="s">
        <v>691</v>
      </c>
      <c r="D156" s="141">
        <v>2040000</v>
      </c>
      <c r="E156" s="20" t="s">
        <v>445</v>
      </c>
      <c r="F156" s="20" t="s">
        <v>446</v>
      </c>
      <c r="G156" s="8" t="str">
        <f t="shared" si="2"/>
        <v>MOSES BRADLEY</v>
      </c>
    </row>
    <row r="157" spans="1:7" x14ac:dyDescent="0.25">
      <c r="A157" s="8">
        <v>42861.642511574071</v>
      </c>
      <c r="B157" s="20" t="s">
        <v>386</v>
      </c>
      <c r="C157" s="20" t="s">
        <v>692</v>
      </c>
      <c r="D157" s="141">
        <v>2540000</v>
      </c>
      <c r="E157" s="20" t="s">
        <v>643</v>
      </c>
      <c r="F157" s="20" t="s">
        <v>644</v>
      </c>
      <c r="G157" s="8" t="str">
        <f t="shared" si="2"/>
        <v>MCREYNOLDS KYLE</v>
      </c>
    </row>
    <row r="158" spans="1:7" x14ac:dyDescent="0.25">
      <c r="A158" s="8">
        <v>42861.651273148149</v>
      </c>
      <c r="B158" s="20" t="s">
        <v>362</v>
      </c>
      <c r="C158" s="20" t="s">
        <v>693</v>
      </c>
      <c r="D158" s="141">
        <v>1540000</v>
      </c>
      <c r="E158" s="20" t="s">
        <v>680</v>
      </c>
      <c r="F158" s="20" t="s">
        <v>681</v>
      </c>
      <c r="G158" s="8" t="str">
        <f t="shared" si="2"/>
        <v>HELVIE ADAM</v>
      </c>
    </row>
    <row r="159" spans="1:7" x14ac:dyDescent="0.25">
      <c r="A159" s="8">
        <v>42861.65152777778</v>
      </c>
      <c r="B159" s="20" t="s">
        <v>370</v>
      </c>
      <c r="C159" s="20" t="s">
        <v>694</v>
      </c>
      <c r="D159" s="141">
        <v>920000</v>
      </c>
      <c r="E159" s="20" t="s">
        <v>581</v>
      </c>
      <c r="F159" s="20" t="s">
        <v>196</v>
      </c>
      <c r="G159" s="8" t="str">
        <f t="shared" si="2"/>
        <v>DAVIS MICHAEL</v>
      </c>
    </row>
    <row r="160" spans="1:7" x14ac:dyDescent="0.25">
      <c r="A160" s="8">
        <v>42861.652743055558</v>
      </c>
      <c r="B160" s="20" t="s">
        <v>476</v>
      </c>
      <c r="C160" s="20" t="s">
        <v>541</v>
      </c>
      <c r="D160" s="141">
        <v>1300000</v>
      </c>
      <c r="E160" s="20" t="s">
        <v>652</v>
      </c>
      <c r="F160" s="20" t="s">
        <v>653</v>
      </c>
      <c r="G160" s="8" t="str">
        <f t="shared" si="2"/>
        <v>LEVIN SCOTT</v>
      </c>
    </row>
    <row r="161" spans="1:7" x14ac:dyDescent="0.25">
      <c r="A161" s="8">
        <v>42861.660787037035</v>
      </c>
      <c r="B161" s="20" t="s">
        <v>434</v>
      </c>
      <c r="C161" s="20" t="s">
        <v>695</v>
      </c>
      <c r="D161" s="141">
        <v>1770000</v>
      </c>
      <c r="E161" s="20" t="s">
        <v>447</v>
      </c>
      <c r="F161" s="20" t="s">
        <v>448</v>
      </c>
      <c r="G161" s="8" t="str">
        <f t="shared" si="2"/>
        <v>BRUDER RICHARD</v>
      </c>
    </row>
    <row r="162" spans="1:7" x14ac:dyDescent="0.25">
      <c r="A162" s="8">
        <v>42861.664085648146</v>
      </c>
      <c r="B162" s="20" t="s">
        <v>378</v>
      </c>
      <c r="C162" s="20" t="s">
        <v>688</v>
      </c>
      <c r="D162" s="141">
        <v>2470000</v>
      </c>
      <c r="E162" s="20" t="s">
        <v>637</v>
      </c>
      <c r="F162" s="20" t="s">
        <v>638</v>
      </c>
      <c r="G162" s="8" t="str">
        <f t="shared" si="2"/>
        <v>ROMERO CHAD</v>
      </c>
    </row>
    <row r="163" spans="1:7" x14ac:dyDescent="0.25">
      <c r="A163" s="8">
        <v>42861.665451388886</v>
      </c>
      <c r="B163" s="20" t="s">
        <v>378</v>
      </c>
      <c r="C163" s="20" t="s">
        <v>696</v>
      </c>
      <c r="D163" s="141">
        <v>2470000</v>
      </c>
      <c r="E163" s="20" t="s">
        <v>637</v>
      </c>
      <c r="F163" s="20" t="s">
        <v>638</v>
      </c>
      <c r="G163" s="8" t="str">
        <f t="shared" si="2"/>
        <v>ROMERO CHAD</v>
      </c>
    </row>
    <row r="164" spans="1:7" x14ac:dyDescent="0.25">
      <c r="A164" s="8">
        <v>42861.671631944446</v>
      </c>
      <c r="B164" s="20" t="s">
        <v>377</v>
      </c>
      <c r="C164" s="20" t="s">
        <v>544</v>
      </c>
      <c r="D164" s="141">
        <v>2360000</v>
      </c>
      <c r="E164" s="20" t="s">
        <v>477</v>
      </c>
      <c r="F164" s="20" t="s">
        <v>478</v>
      </c>
      <c r="G164" s="8" t="str">
        <f t="shared" si="2"/>
        <v>BRANDNER MELINDA</v>
      </c>
    </row>
    <row r="165" spans="1:7" x14ac:dyDescent="0.25">
      <c r="A165" s="8">
        <v>42861.675787037035</v>
      </c>
      <c r="B165" s="20" t="s">
        <v>406</v>
      </c>
      <c r="C165" s="20" t="s">
        <v>543</v>
      </c>
      <c r="D165" s="141">
        <v>2040000</v>
      </c>
      <c r="E165" s="20" t="s">
        <v>445</v>
      </c>
      <c r="F165" s="20" t="s">
        <v>446</v>
      </c>
      <c r="G165" s="8" t="str">
        <f t="shared" si="2"/>
        <v>MOSES BRADLEY</v>
      </c>
    </row>
    <row r="166" spans="1:7" x14ac:dyDescent="0.25">
      <c r="A166" s="8">
        <v>42861.680347222224</v>
      </c>
      <c r="B166" s="20" t="s">
        <v>361</v>
      </c>
      <c r="C166" s="20" t="s">
        <v>697</v>
      </c>
      <c r="D166" s="141">
        <v>1540000</v>
      </c>
      <c r="E166" s="20" t="s">
        <v>680</v>
      </c>
      <c r="F166" s="20" t="s">
        <v>681</v>
      </c>
      <c r="G166" s="8" t="str">
        <f t="shared" si="2"/>
        <v>HELVIE ADAM</v>
      </c>
    </row>
    <row r="167" spans="1:7" x14ac:dyDescent="0.25">
      <c r="A167" s="8">
        <v>42861.681481481479</v>
      </c>
      <c r="B167" s="20" t="s">
        <v>392</v>
      </c>
      <c r="C167" s="20" t="s">
        <v>698</v>
      </c>
      <c r="D167" s="141">
        <v>2540000</v>
      </c>
      <c r="E167" s="20" t="s">
        <v>643</v>
      </c>
      <c r="F167" s="20" t="s">
        <v>644</v>
      </c>
      <c r="G167" s="8" t="str">
        <f t="shared" si="2"/>
        <v>MCREYNOLDS KYLE</v>
      </c>
    </row>
    <row r="168" spans="1:7" x14ac:dyDescent="0.25">
      <c r="A168" s="8">
        <v>42861.690300925926</v>
      </c>
      <c r="B168" s="20" t="s">
        <v>367</v>
      </c>
      <c r="C168" s="20" t="s">
        <v>542</v>
      </c>
      <c r="D168" s="141">
        <v>880000</v>
      </c>
      <c r="E168" s="20" t="s">
        <v>648</v>
      </c>
      <c r="F168" s="20" t="s">
        <v>196</v>
      </c>
      <c r="G168" s="8" t="str">
        <f t="shared" si="2"/>
        <v>STEWART MICHAEL</v>
      </c>
    </row>
    <row r="169" spans="1:7" x14ac:dyDescent="0.25">
      <c r="A169" s="8">
        <v>42861.692210648151</v>
      </c>
      <c r="B169" s="20" t="s">
        <v>472</v>
      </c>
      <c r="C169" s="20" t="s">
        <v>699</v>
      </c>
      <c r="D169" s="141">
        <v>1300000</v>
      </c>
      <c r="E169" s="20" t="s">
        <v>652</v>
      </c>
      <c r="F169" s="20" t="s">
        <v>653</v>
      </c>
      <c r="G169" s="8" t="str">
        <f t="shared" si="2"/>
        <v>LEVIN SCOTT</v>
      </c>
    </row>
    <row r="170" spans="1:7" x14ac:dyDescent="0.25">
      <c r="A170" s="8">
        <v>42861.693657407406</v>
      </c>
      <c r="B170" s="20" t="s">
        <v>389</v>
      </c>
      <c r="C170" s="20" t="s">
        <v>700</v>
      </c>
      <c r="D170" s="141">
        <v>2470000</v>
      </c>
      <c r="E170" s="20" t="s">
        <v>637</v>
      </c>
      <c r="F170" s="20" t="s">
        <v>638</v>
      </c>
      <c r="G170" s="8" t="str">
        <f t="shared" si="2"/>
        <v>ROMERO CHAD</v>
      </c>
    </row>
    <row r="171" spans="1:7" x14ac:dyDescent="0.25">
      <c r="A171" s="8">
        <v>42861.694745370369</v>
      </c>
      <c r="B171" s="20" t="s">
        <v>362</v>
      </c>
      <c r="C171" s="20" t="s">
        <v>701</v>
      </c>
      <c r="D171" s="141">
        <v>1540000</v>
      </c>
      <c r="E171" s="20" t="s">
        <v>680</v>
      </c>
      <c r="F171" s="20" t="s">
        <v>681</v>
      </c>
      <c r="G171" s="8" t="str">
        <f t="shared" si="2"/>
        <v>HELVIE ADAM</v>
      </c>
    </row>
    <row r="172" spans="1:7" x14ac:dyDescent="0.25">
      <c r="A172" s="8">
        <v>42861.695196759261</v>
      </c>
      <c r="B172" s="20" t="s">
        <v>438</v>
      </c>
      <c r="C172" s="20" t="s">
        <v>702</v>
      </c>
      <c r="D172" s="141">
        <v>1770000</v>
      </c>
      <c r="E172" s="20" t="s">
        <v>447</v>
      </c>
      <c r="F172" s="20" t="s">
        <v>448</v>
      </c>
      <c r="G172" s="8" t="str">
        <f t="shared" si="2"/>
        <v>BRUDER RICHARD</v>
      </c>
    </row>
    <row r="173" spans="1:7" x14ac:dyDescent="0.25">
      <c r="A173" s="8">
        <v>42861.708437499998</v>
      </c>
      <c r="B173" s="20" t="s">
        <v>520</v>
      </c>
      <c r="C173" s="20" t="s">
        <v>545</v>
      </c>
      <c r="D173" s="141">
        <v>920000</v>
      </c>
      <c r="E173" s="20" t="s">
        <v>581</v>
      </c>
      <c r="F173" s="20" t="s">
        <v>196</v>
      </c>
      <c r="G173" s="8" t="str">
        <f t="shared" si="2"/>
        <v>DAVIS MICHAEL</v>
      </c>
    </row>
    <row r="174" spans="1:7" x14ac:dyDescent="0.25">
      <c r="A174" s="8">
        <v>42861.712407407409</v>
      </c>
      <c r="B174" s="20" t="s">
        <v>470</v>
      </c>
      <c r="C174" s="20" t="s">
        <v>703</v>
      </c>
      <c r="D174" s="141">
        <v>2040000</v>
      </c>
      <c r="E174" s="20" t="s">
        <v>445</v>
      </c>
      <c r="F174" s="20" t="s">
        <v>446</v>
      </c>
      <c r="G174" s="8" t="str">
        <f t="shared" si="2"/>
        <v>MOSES BRADLEY</v>
      </c>
    </row>
    <row r="175" spans="1:7" x14ac:dyDescent="0.25">
      <c r="A175" s="8">
        <v>42861.718206018515</v>
      </c>
      <c r="B175" s="20" t="s">
        <v>386</v>
      </c>
      <c r="C175" s="20" t="s">
        <v>704</v>
      </c>
      <c r="D175" s="141">
        <v>2540000</v>
      </c>
      <c r="E175" s="20" t="s">
        <v>643</v>
      </c>
      <c r="F175" s="20" t="s">
        <v>644</v>
      </c>
      <c r="G175" s="8" t="str">
        <f t="shared" si="2"/>
        <v>MCREYNOLDS KYLE</v>
      </c>
    </row>
    <row r="176" spans="1:7" x14ac:dyDescent="0.25">
      <c r="A176" s="8">
        <v>42861.722326388888</v>
      </c>
      <c r="B176" s="20" t="s">
        <v>361</v>
      </c>
      <c r="C176" s="20" t="s">
        <v>705</v>
      </c>
      <c r="D176" s="141">
        <v>1540000</v>
      </c>
      <c r="E176" s="20" t="s">
        <v>680</v>
      </c>
      <c r="F176" s="20" t="s">
        <v>681</v>
      </c>
      <c r="G176" s="8" t="str">
        <f t="shared" si="2"/>
        <v>HELVIE ADAM</v>
      </c>
    </row>
    <row r="177" spans="1:7" x14ac:dyDescent="0.25">
      <c r="A177" s="8">
        <v>42861.725671296299</v>
      </c>
      <c r="B177" s="20" t="s">
        <v>370</v>
      </c>
      <c r="C177" s="20" t="s">
        <v>706</v>
      </c>
      <c r="D177" s="141">
        <v>880000</v>
      </c>
      <c r="E177" s="20" t="s">
        <v>648</v>
      </c>
      <c r="F177" s="20" t="s">
        <v>196</v>
      </c>
      <c r="G177" s="8" t="str">
        <f t="shared" si="2"/>
        <v>STEWART MICHAEL</v>
      </c>
    </row>
    <row r="178" spans="1:7" x14ac:dyDescent="0.25">
      <c r="A178" s="8">
        <v>42861.728310185186</v>
      </c>
      <c r="B178" s="20" t="s">
        <v>476</v>
      </c>
      <c r="C178" s="20" t="s">
        <v>707</v>
      </c>
      <c r="D178" s="141">
        <v>1300000</v>
      </c>
      <c r="E178" s="20" t="s">
        <v>652</v>
      </c>
      <c r="F178" s="20" t="s">
        <v>653</v>
      </c>
      <c r="G178" s="8" t="str">
        <f t="shared" si="2"/>
        <v>LEVIN SCOTT</v>
      </c>
    </row>
    <row r="179" spans="1:7" x14ac:dyDescent="0.25">
      <c r="A179" s="8">
        <v>42861.733819444446</v>
      </c>
      <c r="B179" s="20" t="s">
        <v>434</v>
      </c>
      <c r="C179" s="20" t="s">
        <v>547</v>
      </c>
      <c r="D179" s="141">
        <v>1770000</v>
      </c>
      <c r="E179" s="20" t="s">
        <v>447</v>
      </c>
      <c r="F179" s="20" t="s">
        <v>448</v>
      </c>
      <c r="G179" s="8" t="str">
        <f t="shared" si="2"/>
        <v>BRUDER RICHARD</v>
      </c>
    </row>
    <row r="180" spans="1:7" x14ac:dyDescent="0.25">
      <c r="A180" s="8">
        <v>42861.734363425923</v>
      </c>
      <c r="B180" s="20" t="s">
        <v>362</v>
      </c>
      <c r="C180" s="20" t="s">
        <v>546</v>
      </c>
      <c r="D180" s="141">
        <v>1540000</v>
      </c>
      <c r="E180" s="20" t="s">
        <v>680</v>
      </c>
      <c r="F180" s="20" t="s">
        <v>681</v>
      </c>
      <c r="G180" s="8" t="str">
        <f t="shared" si="2"/>
        <v>HELVIE ADAM</v>
      </c>
    </row>
    <row r="181" spans="1:7" x14ac:dyDescent="0.25">
      <c r="A181" s="8">
        <v>42861.735717592594</v>
      </c>
      <c r="B181" s="20" t="s">
        <v>378</v>
      </c>
      <c r="C181" s="20" t="s">
        <v>708</v>
      </c>
      <c r="D181" s="141">
        <v>2230000</v>
      </c>
      <c r="E181" s="20" t="s">
        <v>353</v>
      </c>
      <c r="F181" s="20" t="s">
        <v>196</v>
      </c>
      <c r="G181" s="8" t="str">
        <f t="shared" si="2"/>
        <v>SMITH MICHAEL</v>
      </c>
    </row>
    <row r="182" spans="1:7" x14ac:dyDescent="0.25">
      <c r="A182" s="8">
        <v>42861.74763888889</v>
      </c>
      <c r="B182" s="20" t="s">
        <v>527</v>
      </c>
      <c r="C182" s="20" t="s">
        <v>709</v>
      </c>
      <c r="D182" s="141">
        <v>920000</v>
      </c>
      <c r="E182" s="20" t="s">
        <v>581</v>
      </c>
      <c r="F182" s="20" t="s">
        <v>196</v>
      </c>
      <c r="G182" s="8" t="str">
        <f t="shared" si="2"/>
        <v>DAVIS MICHAEL</v>
      </c>
    </row>
    <row r="183" spans="1:7" x14ac:dyDescent="0.25">
      <c r="A183" s="8">
        <v>42861.747754629629</v>
      </c>
      <c r="B183" s="20" t="s">
        <v>475</v>
      </c>
      <c r="C183" s="20" t="s">
        <v>710</v>
      </c>
      <c r="D183" s="141">
        <v>2630000</v>
      </c>
      <c r="E183" s="20" t="s">
        <v>711</v>
      </c>
      <c r="F183" s="20" t="s">
        <v>712</v>
      </c>
      <c r="G183" s="8" t="str">
        <f t="shared" si="2"/>
        <v>SAFIEF AEIMEN</v>
      </c>
    </row>
    <row r="184" spans="1:7" x14ac:dyDescent="0.25">
      <c r="A184" s="8">
        <v>42861.748449074075</v>
      </c>
      <c r="B184" s="20" t="s">
        <v>475</v>
      </c>
      <c r="C184" s="20" t="s">
        <v>710</v>
      </c>
      <c r="D184" s="141">
        <v>2630000</v>
      </c>
      <c r="E184" s="20" t="s">
        <v>711</v>
      </c>
      <c r="F184" s="20" t="s">
        <v>712</v>
      </c>
      <c r="G184" s="8" t="str">
        <f t="shared" si="2"/>
        <v>SAFIEF AEIMEN</v>
      </c>
    </row>
    <row r="185" spans="1:7" x14ac:dyDescent="0.25">
      <c r="A185" s="8">
        <v>42861.749212962961</v>
      </c>
      <c r="B185" s="20" t="s">
        <v>406</v>
      </c>
      <c r="C185" s="20" t="s">
        <v>713</v>
      </c>
      <c r="D185" s="141">
        <v>2040000</v>
      </c>
      <c r="E185" s="20" t="s">
        <v>445</v>
      </c>
      <c r="F185" s="20" t="s">
        <v>446</v>
      </c>
      <c r="G185" s="8" t="str">
        <f t="shared" si="2"/>
        <v>MOSES BRADLEY</v>
      </c>
    </row>
    <row r="186" spans="1:7" x14ac:dyDescent="0.25">
      <c r="A186" s="8">
        <v>42861.752152777779</v>
      </c>
      <c r="B186" s="20" t="s">
        <v>392</v>
      </c>
      <c r="C186" s="20" t="s">
        <v>714</v>
      </c>
      <c r="D186" s="141">
        <v>2540000</v>
      </c>
      <c r="E186" s="20" t="s">
        <v>643</v>
      </c>
      <c r="F186" s="20" t="s">
        <v>644</v>
      </c>
      <c r="G186" s="8" t="str">
        <f t="shared" si="2"/>
        <v>MCREYNOLDS KYLE</v>
      </c>
    </row>
    <row r="187" spans="1:7" x14ac:dyDescent="0.25">
      <c r="A187" s="8">
        <v>42861.758530092593</v>
      </c>
      <c r="B187" s="20" t="s">
        <v>606</v>
      </c>
      <c r="C187" s="20" t="s">
        <v>715</v>
      </c>
      <c r="D187" s="141">
        <v>2360000</v>
      </c>
      <c r="E187" s="20" t="s">
        <v>477</v>
      </c>
      <c r="F187" s="20" t="s">
        <v>478</v>
      </c>
      <c r="G187" s="8" t="str">
        <f t="shared" si="2"/>
        <v>BRANDNER MELINDA</v>
      </c>
    </row>
    <row r="188" spans="1:7" x14ac:dyDescent="0.25">
      <c r="A188" s="8">
        <v>42861.759328703702</v>
      </c>
      <c r="B188" s="20" t="s">
        <v>367</v>
      </c>
      <c r="C188" s="20" t="s">
        <v>716</v>
      </c>
      <c r="D188" s="141">
        <v>2000000</v>
      </c>
      <c r="E188" s="20" t="s">
        <v>351</v>
      </c>
      <c r="F188" s="20" t="s">
        <v>193</v>
      </c>
      <c r="G188" s="8" t="str">
        <f t="shared" si="2"/>
        <v>STAMBAUGH JAMES</v>
      </c>
    </row>
    <row r="189" spans="1:7" x14ac:dyDescent="0.25">
      <c r="A189" s="8">
        <v>42861.763472222221</v>
      </c>
      <c r="B189" s="20" t="s">
        <v>361</v>
      </c>
      <c r="C189" s="20" t="s">
        <v>717</v>
      </c>
      <c r="D189" s="141">
        <v>1540000</v>
      </c>
      <c r="E189" s="20" t="s">
        <v>680</v>
      </c>
      <c r="F189" s="20" t="s">
        <v>681</v>
      </c>
      <c r="G189" s="8" t="str">
        <f t="shared" si="2"/>
        <v>HELVIE ADAM</v>
      </c>
    </row>
    <row r="190" spans="1:7" x14ac:dyDescent="0.25">
      <c r="A190" s="8">
        <v>42861.763969907406</v>
      </c>
      <c r="B190" s="20" t="s">
        <v>472</v>
      </c>
      <c r="C190" s="20" t="s">
        <v>718</v>
      </c>
      <c r="D190" s="141">
        <v>1300000</v>
      </c>
      <c r="E190" s="20" t="s">
        <v>652</v>
      </c>
      <c r="F190" s="20" t="s">
        <v>653</v>
      </c>
      <c r="G190" s="8" t="str">
        <f t="shared" si="2"/>
        <v>LEVIN SCOTT</v>
      </c>
    </row>
    <row r="191" spans="1:7" x14ac:dyDescent="0.25">
      <c r="A191" s="8">
        <v>42861.767638888887</v>
      </c>
      <c r="B191" s="20" t="s">
        <v>606</v>
      </c>
      <c r="C191" s="20" t="s">
        <v>715</v>
      </c>
      <c r="D191" s="141">
        <v>2360000</v>
      </c>
      <c r="E191" s="20" t="s">
        <v>477</v>
      </c>
      <c r="F191" s="20" t="s">
        <v>478</v>
      </c>
      <c r="G191" s="8" t="str">
        <f t="shared" si="2"/>
        <v>BRANDNER MELINDA</v>
      </c>
    </row>
    <row r="192" spans="1:7" x14ac:dyDescent="0.25">
      <c r="A192" s="8">
        <v>42861.769270833334</v>
      </c>
      <c r="B192" s="20" t="s">
        <v>438</v>
      </c>
      <c r="C192" s="20" t="s">
        <v>548</v>
      </c>
      <c r="D192" s="141">
        <v>2150000</v>
      </c>
      <c r="E192" s="20" t="s">
        <v>347</v>
      </c>
      <c r="F192" s="20" t="s">
        <v>348</v>
      </c>
      <c r="G192" s="8" t="str">
        <f t="shared" si="2"/>
        <v>SWANSON BRYCE</v>
      </c>
    </row>
    <row r="193" spans="1:7" x14ac:dyDescent="0.25">
      <c r="A193" s="8">
        <v>42861.770474537036</v>
      </c>
      <c r="B193" s="20" t="s">
        <v>514</v>
      </c>
      <c r="C193" s="20" t="s">
        <v>715</v>
      </c>
      <c r="D193" s="141">
        <v>2360000</v>
      </c>
      <c r="E193" s="20" t="s">
        <v>477</v>
      </c>
      <c r="F193" s="20" t="s">
        <v>478</v>
      </c>
      <c r="G193" s="8" t="str">
        <f t="shared" si="2"/>
        <v>BRANDNER MELINDA</v>
      </c>
    </row>
    <row r="194" spans="1:7" x14ac:dyDescent="0.25">
      <c r="A194" s="8">
        <v>42861.771620370368</v>
      </c>
      <c r="B194" s="20" t="s">
        <v>389</v>
      </c>
      <c r="C194" s="20" t="s">
        <v>719</v>
      </c>
      <c r="D194" s="141">
        <v>2230000</v>
      </c>
      <c r="E194" s="20" t="s">
        <v>353</v>
      </c>
      <c r="F194" s="20" t="s">
        <v>196</v>
      </c>
      <c r="G194" s="8" t="str">
        <f t="shared" si="2"/>
        <v>SMITH MICHAEL</v>
      </c>
    </row>
    <row r="195" spans="1:7" x14ac:dyDescent="0.25">
      <c r="A195" s="8">
        <v>42861.775578703702</v>
      </c>
      <c r="B195" s="20" t="s">
        <v>362</v>
      </c>
      <c r="C195" s="20" t="s">
        <v>720</v>
      </c>
      <c r="D195" s="141">
        <v>1540000</v>
      </c>
      <c r="E195" s="20" t="s">
        <v>680</v>
      </c>
      <c r="F195" s="20" t="s">
        <v>681</v>
      </c>
      <c r="G195" s="8" t="str">
        <f t="shared" ref="G195:G258" si="3">E195&amp;" "&amp;F195</f>
        <v>HELVIE ADAM</v>
      </c>
    </row>
    <row r="196" spans="1:7" x14ac:dyDescent="0.25">
      <c r="A196" s="8">
        <v>42861.776064814818</v>
      </c>
      <c r="B196" s="20" t="s">
        <v>606</v>
      </c>
      <c r="C196" s="20" t="s">
        <v>721</v>
      </c>
      <c r="D196" s="141">
        <v>2360000</v>
      </c>
      <c r="E196" s="20" t="s">
        <v>477</v>
      </c>
      <c r="F196" s="20" t="s">
        <v>478</v>
      </c>
      <c r="G196" s="8" t="str">
        <f t="shared" si="3"/>
        <v>BRANDNER MELINDA</v>
      </c>
    </row>
    <row r="197" spans="1:7" x14ac:dyDescent="0.25">
      <c r="A197" s="8">
        <v>42861.783194444448</v>
      </c>
      <c r="B197" s="20" t="s">
        <v>520</v>
      </c>
      <c r="C197" s="20" t="s">
        <v>722</v>
      </c>
      <c r="D197" s="141">
        <v>920000</v>
      </c>
      <c r="E197" s="20" t="s">
        <v>581</v>
      </c>
      <c r="F197" s="20" t="s">
        <v>196</v>
      </c>
      <c r="G197" s="8" t="str">
        <f t="shared" si="3"/>
        <v>DAVIS MICHAEL</v>
      </c>
    </row>
    <row r="198" spans="1:7" x14ac:dyDescent="0.25">
      <c r="A198" s="8">
        <v>42861.785833333335</v>
      </c>
      <c r="B198" s="20" t="s">
        <v>470</v>
      </c>
      <c r="C198" s="20" t="s">
        <v>723</v>
      </c>
      <c r="D198" s="141">
        <v>2040000</v>
      </c>
      <c r="E198" s="20" t="s">
        <v>445</v>
      </c>
      <c r="F198" s="20" t="s">
        <v>446</v>
      </c>
      <c r="G198" s="8" t="str">
        <f t="shared" si="3"/>
        <v>MOSES BRADLEY</v>
      </c>
    </row>
    <row r="199" spans="1:7" x14ac:dyDescent="0.25">
      <c r="A199" s="8">
        <v>42861.794953703706</v>
      </c>
      <c r="B199" s="20" t="s">
        <v>386</v>
      </c>
      <c r="C199" s="20" t="s">
        <v>549</v>
      </c>
      <c r="D199" s="141">
        <v>2270000</v>
      </c>
      <c r="E199" s="20" t="s">
        <v>206</v>
      </c>
      <c r="F199" s="20" t="s">
        <v>207</v>
      </c>
      <c r="G199" s="8" t="str">
        <f t="shared" si="3"/>
        <v>BROWN JACOB</v>
      </c>
    </row>
    <row r="200" spans="1:7" x14ac:dyDescent="0.25">
      <c r="A200" s="8">
        <v>42861.796412037038</v>
      </c>
      <c r="B200" s="20" t="s">
        <v>370</v>
      </c>
      <c r="C200" s="20" t="s">
        <v>724</v>
      </c>
      <c r="D200" s="141">
        <v>2000000</v>
      </c>
      <c r="E200" s="20" t="s">
        <v>351</v>
      </c>
      <c r="F200" s="20" t="s">
        <v>193</v>
      </c>
      <c r="G200" s="8" t="str">
        <f t="shared" si="3"/>
        <v>STAMBAUGH JAMES</v>
      </c>
    </row>
    <row r="201" spans="1:7" x14ac:dyDescent="0.25">
      <c r="A201" s="8">
        <v>42861.800486111111</v>
      </c>
      <c r="B201" s="20" t="s">
        <v>476</v>
      </c>
      <c r="C201" s="20" t="s">
        <v>725</v>
      </c>
      <c r="D201" s="141">
        <v>1300000</v>
      </c>
      <c r="E201" s="20" t="s">
        <v>652</v>
      </c>
      <c r="F201" s="20" t="s">
        <v>653</v>
      </c>
      <c r="G201" s="8" t="str">
        <f t="shared" si="3"/>
        <v>LEVIN SCOTT</v>
      </c>
    </row>
    <row r="202" spans="1:7" x14ac:dyDescent="0.25">
      <c r="A202" s="26">
        <v>42861.804375</v>
      </c>
      <c r="B202" s="20" t="s">
        <v>434</v>
      </c>
      <c r="C202" s="20" t="s">
        <v>726</v>
      </c>
      <c r="D202" s="141">
        <v>2150000</v>
      </c>
      <c r="E202" s="20" t="s">
        <v>347</v>
      </c>
      <c r="F202" s="20" t="s">
        <v>348</v>
      </c>
      <c r="G202" s="8" t="str">
        <f t="shared" si="3"/>
        <v>SWANSON BRYCE</v>
      </c>
    </row>
    <row r="203" spans="1:7" x14ac:dyDescent="0.25">
      <c r="A203" s="8">
        <v>42861.805474537039</v>
      </c>
      <c r="B203" s="20" t="s">
        <v>361</v>
      </c>
      <c r="C203" s="20" t="s">
        <v>727</v>
      </c>
      <c r="D203" s="141">
        <v>1540000</v>
      </c>
      <c r="E203" s="20" t="s">
        <v>680</v>
      </c>
      <c r="F203" s="20" t="s">
        <v>681</v>
      </c>
      <c r="G203" s="8" t="str">
        <f t="shared" si="3"/>
        <v>HELVIE ADAM</v>
      </c>
    </row>
    <row r="204" spans="1:7" x14ac:dyDescent="0.25">
      <c r="A204" s="8">
        <v>42861.810104166667</v>
      </c>
      <c r="B204" s="20" t="s">
        <v>378</v>
      </c>
      <c r="C204" s="20" t="s">
        <v>728</v>
      </c>
      <c r="D204" s="141">
        <v>2230000</v>
      </c>
      <c r="E204" s="20" t="s">
        <v>353</v>
      </c>
      <c r="F204" s="20" t="s">
        <v>196</v>
      </c>
      <c r="G204" s="8" t="str">
        <f t="shared" si="3"/>
        <v>SMITH MICHAEL</v>
      </c>
    </row>
    <row r="205" spans="1:7" x14ac:dyDescent="0.25">
      <c r="A205" s="8">
        <v>42861.816967592589</v>
      </c>
      <c r="B205" s="20" t="s">
        <v>362</v>
      </c>
      <c r="C205" s="20" t="s">
        <v>729</v>
      </c>
      <c r="D205" s="141">
        <v>1540000</v>
      </c>
      <c r="E205" s="20" t="s">
        <v>680</v>
      </c>
      <c r="F205" s="20" t="s">
        <v>681</v>
      </c>
      <c r="G205" s="8" t="str">
        <f t="shared" si="3"/>
        <v>HELVIE ADAM</v>
      </c>
    </row>
    <row r="206" spans="1:7" x14ac:dyDescent="0.25">
      <c r="A206" s="8">
        <v>42861.8205787037</v>
      </c>
      <c r="B206" s="20" t="s">
        <v>555</v>
      </c>
      <c r="C206" s="20" t="s">
        <v>730</v>
      </c>
      <c r="D206" s="141">
        <v>2680000</v>
      </c>
      <c r="E206" s="20" t="s">
        <v>373</v>
      </c>
      <c r="F206" s="20" t="s">
        <v>374</v>
      </c>
      <c r="G206" s="8" t="str">
        <f t="shared" si="3"/>
        <v>DUNCAN SHEILA</v>
      </c>
    </row>
    <row r="207" spans="1:7" x14ac:dyDescent="0.25">
      <c r="A207" s="8">
        <v>42861.821458333332</v>
      </c>
      <c r="B207" s="20" t="s">
        <v>406</v>
      </c>
      <c r="C207" s="20" t="s">
        <v>731</v>
      </c>
      <c r="D207" s="141">
        <v>2040000</v>
      </c>
      <c r="E207" s="20" t="s">
        <v>445</v>
      </c>
      <c r="F207" s="20" t="s">
        <v>446</v>
      </c>
      <c r="G207" s="8" t="str">
        <f t="shared" si="3"/>
        <v>MOSES BRADLEY</v>
      </c>
    </row>
    <row r="208" spans="1:7" x14ac:dyDescent="0.25">
      <c r="A208" s="8">
        <v>42861.827581018515</v>
      </c>
      <c r="B208" s="20" t="s">
        <v>392</v>
      </c>
      <c r="C208" s="20" t="s">
        <v>732</v>
      </c>
      <c r="D208" s="141">
        <v>2270000</v>
      </c>
      <c r="E208" s="20" t="s">
        <v>206</v>
      </c>
      <c r="F208" s="20" t="s">
        <v>207</v>
      </c>
      <c r="G208" s="8" t="str">
        <f t="shared" si="3"/>
        <v>BROWN JACOB</v>
      </c>
    </row>
    <row r="209" spans="1:7" x14ac:dyDescent="0.25">
      <c r="A209" s="8">
        <v>42861.828125</v>
      </c>
      <c r="B209" s="20" t="s">
        <v>367</v>
      </c>
      <c r="C209" s="20" t="s">
        <v>733</v>
      </c>
      <c r="D209" s="141">
        <v>2000000</v>
      </c>
      <c r="E209" s="20" t="s">
        <v>351</v>
      </c>
      <c r="F209" s="20" t="s">
        <v>193</v>
      </c>
      <c r="G209" s="8" t="str">
        <f t="shared" si="3"/>
        <v>STAMBAUGH JAMES</v>
      </c>
    </row>
    <row r="210" spans="1:7" x14ac:dyDescent="0.25">
      <c r="A210" s="8">
        <v>42861.829606481479</v>
      </c>
      <c r="B210" s="20" t="s">
        <v>471</v>
      </c>
      <c r="C210" s="20" t="s">
        <v>734</v>
      </c>
      <c r="D210" s="141">
        <v>2630000</v>
      </c>
      <c r="E210" s="20" t="s">
        <v>711</v>
      </c>
      <c r="F210" s="20" t="s">
        <v>712</v>
      </c>
      <c r="G210" s="8" t="str">
        <f t="shared" si="3"/>
        <v>SAFIEF AEIMEN</v>
      </c>
    </row>
    <row r="211" spans="1:7" x14ac:dyDescent="0.25">
      <c r="A211" s="8">
        <v>42861.831909722219</v>
      </c>
      <c r="B211" s="20" t="s">
        <v>565</v>
      </c>
      <c r="C211" s="20" t="s">
        <v>556</v>
      </c>
      <c r="D211" s="141">
        <v>2680000</v>
      </c>
      <c r="E211" s="20" t="s">
        <v>373</v>
      </c>
      <c r="F211" s="20" t="s">
        <v>374</v>
      </c>
      <c r="G211" s="8" t="str">
        <f t="shared" si="3"/>
        <v>DUNCAN SHEILA</v>
      </c>
    </row>
    <row r="212" spans="1:7" x14ac:dyDescent="0.25">
      <c r="A212" s="8">
        <v>42861.832141203704</v>
      </c>
      <c r="B212" s="20" t="s">
        <v>400</v>
      </c>
      <c r="C212" s="20" t="s">
        <v>735</v>
      </c>
      <c r="D212" s="141">
        <v>3000000</v>
      </c>
      <c r="E212" s="20" t="s">
        <v>449</v>
      </c>
      <c r="F212" s="20" t="s">
        <v>425</v>
      </c>
      <c r="G212" s="8" t="str">
        <f t="shared" si="3"/>
        <v>FORTUNATO FRANK</v>
      </c>
    </row>
    <row r="213" spans="1:7" x14ac:dyDescent="0.25">
      <c r="A213" s="8">
        <v>42861.835474537038</v>
      </c>
      <c r="B213" s="20" t="s">
        <v>475</v>
      </c>
      <c r="C213" s="20" t="s">
        <v>734</v>
      </c>
      <c r="D213" s="141">
        <v>2630000</v>
      </c>
      <c r="E213" s="20" t="s">
        <v>711</v>
      </c>
      <c r="F213" s="20" t="s">
        <v>712</v>
      </c>
      <c r="G213" s="8" t="str">
        <f t="shared" si="3"/>
        <v>SAFIEF AEIMEN</v>
      </c>
    </row>
    <row r="214" spans="1:7" x14ac:dyDescent="0.25">
      <c r="A214" s="8">
        <v>42861.836574074077</v>
      </c>
      <c r="B214" s="20" t="s">
        <v>475</v>
      </c>
      <c r="C214" s="20" t="s">
        <v>734</v>
      </c>
      <c r="D214" s="141">
        <v>2630000</v>
      </c>
      <c r="E214" s="20" t="s">
        <v>711</v>
      </c>
      <c r="F214" s="20" t="s">
        <v>712</v>
      </c>
      <c r="G214" s="8" t="str">
        <f t="shared" si="3"/>
        <v>SAFIEF AEIMEN</v>
      </c>
    </row>
    <row r="215" spans="1:7" x14ac:dyDescent="0.25">
      <c r="A215" s="8">
        <v>42861.845185185186</v>
      </c>
      <c r="B215" s="20" t="s">
        <v>389</v>
      </c>
      <c r="C215" s="20" t="s">
        <v>736</v>
      </c>
      <c r="D215" s="141">
        <v>2230000</v>
      </c>
      <c r="E215" s="20" t="s">
        <v>353</v>
      </c>
      <c r="F215" s="20" t="s">
        <v>196</v>
      </c>
      <c r="G215" s="8" t="str">
        <f t="shared" si="3"/>
        <v>SMITH MICHAEL</v>
      </c>
    </row>
    <row r="216" spans="1:7" x14ac:dyDescent="0.25">
      <c r="A216" s="8">
        <v>42861.846180555556</v>
      </c>
      <c r="B216" s="20" t="s">
        <v>361</v>
      </c>
      <c r="C216" s="20" t="s">
        <v>737</v>
      </c>
      <c r="D216" s="141">
        <v>1540000</v>
      </c>
      <c r="E216" s="20" t="s">
        <v>680</v>
      </c>
      <c r="F216" s="20" t="s">
        <v>681</v>
      </c>
      <c r="G216" s="8" t="str">
        <f t="shared" si="3"/>
        <v>HELVIE ADAM</v>
      </c>
    </row>
    <row r="217" spans="1:7" x14ac:dyDescent="0.25">
      <c r="A217" s="8">
        <v>42861.847268518519</v>
      </c>
      <c r="B217" s="20" t="s">
        <v>407</v>
      </c>
      <c r="C217" s="20" t="s">
        <v>552</v>
      </c>
      <c r="D217" s="141">
        <v>3000000</v>
      </c>
      <c r="E217" s="20" t="s">
        <v>449</v>
      </c>
      <c r="F217" s="20" t="s">
        <v>425</v>
      </c>
      <c r="G217" s="8" t="str">
        <f t="shared" si="3"/>
        <v>FORTUNATO FRANK</v>
      </c>
    </row>
    <row r="218" spans="1:7" x14ac:dyDescent="0.25">
      <c r="A218" s="8">
        <v>42861.848969907405</v>
      </c>
      <c r="B218" s="20" t="s">
        <v>438</v>
      </c>
      <c r="C218" s="20" t="s">
        <v>738</v>
      </c>
      <c r="D218" s="141">
        <v>2150000</v>
      </c>
      <c r="E218" s="20" t="s">
        <v>347</v>
      </c>
      <c r="F218" s="20" t="s">
        <v>348</v>
      </c>
      <c r="G218" s="8" t="str">
        <f t="shared" si="3"/>
        <v>SWANSON BRYCE</v>
      </c>
    </row>
    <row r="219" spans="1:7" x14ac:dyDescent="0.25">
      <c r="A219" s="8">
        <v>42861.861134259256</v>
      </c>
      <c r="B219" s="20" t="s">
        <v>362</v>
      </c>
      <c r="C219" s="20" t="s">
        <v>739</v>
      </c>
      <c r="D219" s="141">
        <v>1540000</v>
      </c>
      <c r="E219" s="20" t="s">
        <v>680</v>
      </c>
      <c r="F219" s="20" t="s">
        <v>681</v>
      </c>
      <c r="G219" s="8" t="str">
        <f t="shared" si="3"/>
        <v>HELVIE ADAM</v>
      </c>
    </row>
    <row r="220" spans="1:7" x14ac:dyDescent="0.25">
      <c r="A220" s="8">
        <v>42861.868125000001</v>
      </c>
      <c r="B220" s="20" t="s">
        <v>370</v>
      </c>
      <c r="C220" s="20" t="s">
        <v>550</v>
      </c>
      <c r="D220" s="141">
        <v>2000000</v>
      </c>
      <c r="E220" s="20" t="s">
        <v>351</v>
      </c>
      <c r="F220" s="20" t="s">
        <v>193</v>
      </c>
      <c r="G220" s="8" t="str">
        <f t="shared" si="3"/>
        <v>STAMBAUGH JAMES</v>
      </c>
    </row>
    <row r="221" spans="1:7" x14ac:dyDescent="0.25">
      <c r="A221" s="8">
        <v>42861.870069444441</v>
      </c>
      <c r="B221" s="20" t="s">
        <v>386</v>
      </c>
      <c r="C221" s="20" t="s">
        <v>740</v>
      </c>
      <c r="D221" s="141">
        <v>2270000</v>
      </c>
      <c r="E221" s="20" t="s">
        <v>206</v>
      </c>
      <c r="F221" s="20" t="s">
        <v>207</v>
      </c>
      <c r="G221" s="8" t="str">
        <f t="shared" si="3"/>
        <v>BROWN JACOB</v>
      </c>
    </row>
    <row r="222" spans="1:7" x14ac:dyDescent="0.25">
      <c r="A222" s="8">
        <v>42861.886874999997</v>
      </c>
      <c r="B222" s="20" t="s">
        <v>378</v>
      </c>
      <c r="C222" s="20" t="s">
        <v>741</v>
      </c>
      <c r="D222" s="141">
        <v>2230000</v>
      </c>
      <c r="E222" s="20" t="s">
        <v>353</v>
      </c>
      <c r="F222" s="20" t="s">
        <v>196</v>
      </c>
      <c r="G222" s="8" t="str">
        <f t="shared" si="3"/>
        <v>SMITH MICHAEL</v>
      </c>
    </row>
    <row r="223" spans="1:7" x14ac:dyDescent="0.25">
      <c r="A223" s="8">
        <v>42861.889270833337</v>
      </c>
      <c r="B223" s="20" t="s">
        <v>361</v>
      </c>
      <c r="C223" s="20" t="s">
        <v>742</v>
      </c>
      <c r="D223" s="141">
        <v>1540000</v>
      </c>
      <c r="E223" s="20" t="s">
        <v>680</v>
      </c>
      <c r="F223" s="20" t="s">
        <v>681</v>
      </c>
      <c r="G223" s="8" t="str">
        <f t="shared" si="3"/>
        <v>HELVIE ADAM</v>
      </c>
    </row>
    <row r="224" spans="1:7" x14ac:dyDescent="0.25">
      <c r="A224" s="8">
        <v>42861.89099537037</v>
      </c>
      <c r="B224" t="s">
        <v>555</v>
      </c>
      <c r="C224" t="s">
        <v>556</v>
      </c>
      <c r="D224" s="141">
        <v>2680000</v>
      </c>
      <c r="E224" t="s">
        <v>373</v>
      </c>
      <c r="F224" s="20" t="s">
        <v>374</v>
      </c>
      <c r="G224" s="8" t="str">
        <f t="shared" si="3"/>
        <v>DUNCAN SHEILA</v>
      </c>
    </row>
    <row r="225" spans="1:7" x14ac:dyDescent="0.25">
      <c r="A225" s="8">
        <v>42861.891342592593</v>
      </c>
      <c r="B225" t="s">
        <v>434</v>
      </c>
      <c r="C225" t="s">
        <v>743</v>
      </c>
      <c r="D225" s="141">
        <v>2150000</v>
      </c>
      <c r="E225" t="s">
        <v>347</v>
      </c>
      <c r="F225" s="20" t="s">
        <v>348</v>
      </c>
      <c r="G225" s="8" t="str">
        <f t="shared" si="3"/>
        <v>SWANSON BRYCE</v>
      </c>
    </row>
    <row r="226" spans="1:7" x14ac:dyDescent="0.25">
      <c r="A226" s="8">
        <v>42861.901458333334</v>
      </c>
      <c r="B226" t="s">
        <v>362</v>
      </c>
      <c r="C226" t="s">
        <v>744</v>
      </c>
      <c r="D226" s="141">
        <v>1540000</v>
      </c>
      <c r="E226" t="s">
        <v>680</v>
      </c>
      <c r="F226" s="20" t="s">
        <v>681</v>
      </c>
      <c r="G226" s="8" t="str">
        <f t="shared" si="3"/>
        <v>HELVIE ADAM</v>
      </c>
    </row>
    <row r="227" spans="1:7" x14ac:dyDescent="0.25">
      <c r="A227" s="8">
        <v>42861.902314814812</v>
      </c>
      <c r="B227" t="s">
        <v>367</v>
      </c>
      <c r="C227" t="s">
        <v>551</v>
      </c>
      <c r="D227" s="141">
        <v>2000000</v>
      </c>
      <c r="E227" t="s">
        <v>351</v>
      </c>
      <c r="F227" s="20" t="s">
        <v>193</v>
      </c>
      <c r="G227" s="8" t="str">
        <f t="shared" si="3"/>
        <v>STAMBAUGH JAMES</v>
      </c>
    </row>
    <row r="228" spans="1:7" x14ac:dyDescent="0.25">
      <c r="A228" s="8">
        <v>42861.907546296294</v>
      </c>
      <c r="B228" t="s">
        <v>565</v>
      </c>
      <c r="C228" t="s">
        <v>556</v>
      </c>
      <c r="D228" s="141">
        <v>2680000</v>
      </c>
      <c r="E228" t="s">
        <v>373</v>
      </c>
      <c r="F228" s="20" t="s">
        <v>374</v>
      </c>
      <c r="G228" s="8" t="str">
        <f t="shared" si="3"/>
        <v>DUNCAN SHEILA</v>
      </c>
    </row>
    <row r="229" spans="1:7" x14ac:dyDescent="0.25">
      <c r="A229" s="8">
        <v>42861.908113425925</v>
      </c>
      <c r="B229" t="s">
        <v>565</v>
      </c>
      <c r="C229" t="s">
        <v>556</v>
      </c>
      <c r="D229" s="141">
        <v>2680000</v>
      </c>
      <c r="E229" t="s">
        <v>373</v>
      </c>
      <c r="F229" s="20" t="s">
        <v>374</v>
      </c>
      <c r="G229" s="8" t="str">
        <f t="shared" si="3"/>
        <v>DUNCAN SHEILA</v>
      </c>
    </row>
    <row r="230" spans="1:7" x14ac:dyDescent="0.25">
      <c r="A230" s="8">
        <v>42861.90898148148</v>
      </c>
      <c r="B230" t="s">
        <v>565</v>
      </c>
      <c r="C230" t="s">
        <v>556</v>
      </c>
      <c r="D230" s="141">
        <v>2680000</v>
      </c>
      <c r="E230" t="s">
        <v>373</v>
      </c>
      <c r="F230" s="20" t="s">
        <v>374</v>
      </c>
      <c r="G230" s="8" t="str">
        <f t="shared" si="3"/>
        <v>DUNCAN SHEILA</v>
      </c>
    </row>
    <row r="231" spans="1:7" x14ac:dyDescent="0.25">
      <c r="A231" s="8">
        <v>42861.911689814813</v>
      </c>
      <c r="B231" t="s">
        <v>392</v>
      </c>
      <c r="C231" t="s">
        <v>745</v>
      </c>
      <c r="D231" s="141">
        <v>2270000</v>
      </c>
      <c r="E231" t="s">
        <v>206</v>
      </c>
      <c r="F231" s="20" t="s">
        <v>207</v>
      </c>
      <c r="G231" s="8" t="str">
        <f t="shared" si="3"/>
        <v>BROWN JACOB</v>
      </c>
    </row>
    <row r="232" spans="1:7" x14ac:dyDescent="0.25">
      <c r="A232" s="8">
        <v>42861.913043981483</v>
      </c>
      <c r="B232" t="s">
        <v>400</v>
      </c>
      <c r="C232" t="s">
        <v>552</v>
      </c>
      <c r="D232" s="141">
        <v>3000000</v>
      </c>
      <c r="E232" t="s">
        <v>449</v>
      </c>
      <c r="F232" s="20" t="s">
        <v>425</v>
      </c>
      <c r="G232" s="8" t="str">
        <f t="shared" si="3"/>
        <v>FORTUNATO FRANK</v>
      </c>
    </row>
    <row r="233" spans="1:7" x14ac:dyDescent="0.25">
      <c r="A233" s="8">
        <v>42861.920590277776</v>
      </c>
      <c r="B233" t="s">
        <v>555</v>
      </c>
      <c r="C233" t="s">
        <v>556</v>
      </c>
      <c r="D233" s="141">
        <v>2680000</v>
      </c>
      <c r="E233" t="s">
        <v>373</v>
      </c>
      <c r="F233" s="20" t="s">
        <v>374</v>
      </c>
      <c r="G233" s="8" t="str">
        <f t="shared" si="3"/>
        <v>DUNCAN SHEILA</v>
      </c>
    </row>
    <row r="234" spans="1:7" x14ac:dyDescent="0.25">
      <c r="A234" s="8">
        <v>42861.924571759257</v>
      </c>
      <c r="B234" t="s">
        <v>438</v>
      </c>
      <c r="C234" t="s">
        <v>746</v>
      </c>
      <c r="D234" s="141">
        <v>2150000</v>
      </c>
      <c r="E234" t="s">
        <v>347</v>
      </c>
      <c r="F234" s="20" t="s">
        <v>348</v>
      </c>
      <c r="G234" s="8" t="str">
        <f t="shared" si="3"/>
        <v>SWANSON BRYCE</v>
      </c>
    </row>
    <row r="235" spans="1:7" x14ac:dyDescent="0.25">
      <c r="A235" s="8">
        <v>42861.925243055557</v>
      </c>
      <c r="B235" t="s">
        <v>555</v>
      </c>
      <c r="C235" t="s">
        <v>556</v>
      </c>
      <c r="D235" s="141">
        <v>2680000</v>
      </c>
      <c r="E235" t="s">
        <v>373</v>
      </c>
      <c r="F235" s="20" t="s">
        <v>374</v>
      </c>
      <c r="G235" s="8" t="str">
        <f t="shared" si="3"/>
        <v>DUNCAN SHEILA</v>
      </c>
    </row>
    <row r="236" spans="1:7" x14ac:dyDescent="0.25">
      <c r="A236" s="8">
        <v>42861.928912037038</v>
      </c>
      <c r="B236" t="s">
        <v>389</v>
      </c>
      <c r="C236" t="s">
        <v>747</v>
      </c>
      <c r="D236" s="141">
        <v>2230000</v>
      </c>
      <c r="E236" t="s">
        <v>353</v>
      </c>
      <c r="F236" s="20" t="s">
        <v>196</v>
      </c>
      <c r="G236" s="8" t="str">
        <f t="shared" si="3"/>
        <v>SMITH MICHAEL</v>
      </c>
    </row>
    <row r="237" spans="1:7" x14ac:dyDescent="0.25">
      <c r="A237" s="8">
        <v>42861.930219907408</v>
      </c>
      <c r="B237" t="s">
        <v>361</v>
      </c>
      <c r="C237" t="s">
        <v>748</v>
      </c>
      <c r="D237" s="141">
        <v>1540000</v>
      </c>
      <c r="E237" t="s">
        <v>680</v>
      </c>
      <c r="F237" s="20" t="s">
        <v>681</v>
      </c>
      <c r="G237" s="8" t="str">
        <f t="shared" si="3"/>
        <v>HELVIE ADAM</v>
      </c>
    </row>
    <row r="238" spans="1:7" x14ac:dyDescent="0.25">
      <c r="A238" s="8">
        <v>42861.942337962966</v>
      </c>
      <c r="B238" t="s">
        <v>362</v>
      </c>
      <c r="C238" t="s">
        <v>749</v>
      </c>
      <c r="D238" s="141">
        <v>1540000</v>
      </c>
      <c r="E238" t="s">
        <v>680</v>
      </c>
      <c r="F238" s="20" t="s">
        <v>681</v>
      </c>
      <c r="G238" s="8" t="str">
        <f t="shared" si="3"/>
        <v>HELVIE ADAM</v>
      </c>
    </row>
    <row r="239" spans="1:7" x14ac:dyDescent="0.25">
      <c r="A239" s="8">
        <v>42861.948912037034</v>
      </c>
      <c r="B239" t="s">
        <v>565</v>
      </c>
      <c r="C239" t="s">
        <v>556</v>
      </c>
      <c r="D239" s="141">
        <v>2680000</v>
      </c>
      <c r="E239" t="s">
        <v>373</v>
      </c>
      <c r="F239" s="20" t="s">
        <v>374</v>
      </c>
      <c r="G239" s="8" t="str">
        <f t="shared" si="3"/>
        <v>DUNCAN SHEILA</v>
      </c>
    </row>
    <row r="240" spans="1:7" x14ac:dyDescent="0.25">
      <c r="A240" s="8">
        <v>42861.951226851852</v>
      </c>
      <c r="B240" t="s">
        <v>361</v>
      </c>
      <c r="C240" t="s">
        <v>749</v>
      </c>
      <c r="D240" s="141">
        <v>1540000</v>
      </c>
      <c r="E240" t="s">
        <v>680</v>
      </c>
      <c r="F240" s="20" t="s">
        <v>681</v>
      </c>
      <c r="G240" s="8" t="str">
        <f t="shared" si="3"/>
        <v>HELVIE ADAM</v>
      </c>
    </row>
    <row r="241" spans="1:7" x14ac:dyDescent="0.25">
      <c r="A241" s="8">
        <v>42861.952546296299</v>
      </c>
      <c r="B241" t="s">
        <v>370</v>
      </c>
      <c r="C241" t="s">
        <v>750</v>
      </c>
      <c r="D241" s="141">
        <v>2000000</v>
      </c>
      <c r="E241" t="s">
        <v>351</v>
      </c>
      <c r="F241" s="20" t="s">
        <v>193</v>
      </c>
      <c r="G241" s="8" t="str">
        <f t="shared" si="3"/>
        <v>STAMBAUGH JAMES</v>
      </c>
    </row>
    <row r="242" spans="1:7" x14ac:dyDescent="0.25">
      <c r="A242" s="8">
        <v>42861.95416666667</v>
      </c>
      <c r="B242" t="s">
        <v>386</v>
      </c>
      <c r="C242" t="s">
        <v>751</v>
      </c>
      <c r="D242" s="141">
        <v>2270000</v>
      </c>
      <c r="E242" t="s">
        <v>206</v>
      </c>
      <c r="F242" s="20" t="s">
        <v>207</v>
      </c>
      <c r="G242" s="8" t="str">
        <f t="shared" si="3"/>
        <v>BROWN JACOB</v>
      </c>
    </row>
    <row r="243" spans="1:7" x14ac:dyDescent="0.25">
      <c r="A243" s="8">
        <v>42861.957418981481</v>
      </c>
      <c r="B243" t="s">
        <v>400</v>
      </c>
      <c r="C243" t="s">
        <v>552</v>
      </c>
      <c r="D243" s="141">
        <v>3000000</v>
      </c>
      <c r="E243" t="s">
        <v>449</v>
      </c>
      <c r="F243" s="20" t="s">
        <v>425</v>
      </c>
      <c r="G243" s="8" t="str">
        <f t="shared" si="3"/>
        <v>FORTUNATO FRANK</v>
      </c>
    </row>
    <row r="244" spans="1:7" x14ac:dyDescent="0.25">
      <c r="A244" s="8">
        <v>42861.959293981483</v>
      </c>
      <c r="B244" t="s">
        <v>555</v>
      </c>
      <c r="C244" t="s">
        <v>556</v>
      </c>
      <c r="D244" s="141">
        <v>2680000</v>
      </c>
      <c r="E244" t="s">
        <v>373</v>
      </c>
      <c r="F244" s="20" t="s">
        <v>374</v>
      </c>
      <c r="G244" s="8" t="str">
        <f t="shared" si="3"/>
        <v>DUNCAN SHEILA</v>
      </c>
    </row>
    <row r="245" spans="1:7" x14ac:dyDescent="0.25">
      <c r="A245" s="8">
        <v>42861.959953703707</v>
      </c>
      <c r="B245" t="s">
        <v>555</v>
      </c>
      <c r="C245" t="s">
        <v>556</v>
      </c>
      <c r="D245" s="141">
        <v>2680000</v>
      </c>
      <c r="E245" t="s">
        <v>373</v>
      </c>
      <c r="F245" s="20" t="s">
        <v>374</v>
      </c>
      <c r="G245" s="8" t="str">
        <f t="shared" si="3"/>
        <v>DUNCAN SHEILA</v>
      </c>
    </row>
    <row r="246" spans="1:7" x14ac:dyDescent="0.25">
      <c r="A246" s="8">
        <v>42861.961157407408</v>
      </c>
      <c r="B246" t="s">
        <v>555</v>
      </c>
      <c r="C246" t="s">
        <v>556</v>
      </c>
      <c r="D246" s="141">
        <v>2680000</v>
      </c>
      <c r="E246" t="s">
        <v>373</v>
      </c>
      <c r="F246" s="20" t="s">
        <v>374</v>
      </c>
      <c r="G246" s="8" t="str">
        <f t="shared" si="3"/>
        <v>DUNCAN SHEILA</v>
      </c>
    </row>
    <row r="247" spans="1:7" x14ac:dyDescent="0.25">
      <c r="A247" s="8">
        <v>42861.964560185188</v>
      </c>
      <c r="B247" t="s">
        <v>389</v>
      </c>
      <c r="C247" t="s">
        <v>747</v>
      </c>
      <c r="D247" s="141">
        <v>2230000</v>
      </c>
      <c r="E247" t="s">
        <v>353</v>
      </c>
      <c r="F247" s="20" t="s">
        <v>196</v>
      </c>
      <c r="G247" s="8" t="str">
        <f t="shared" si="3"/>
        <v>SMITH MICHAEL</v>
      </c>
    </row>
    <row r="248" spans="1:7" x14ac:dyDescent="0.25">
      <c r="A248" s="8">
        <v>42861.965231481481</v>
      </c>
      <c r="B248" t="s">
        <v>471</v>
      </c>
      <c r="C248" t="s">
        <v>734</v>
      </c>
      <c r="D248" s="141">
        <v>2630000</v>
      </c>
      <c r="E248" t="s">
        <v>711</v>
      </c>
      <c r="F248" s="20" t="s">
        <v>712</v>
      </c>
      <c r="G248" s="8" t="str">
        <f t="shared" si="3"/>
        <v>SAFIEF AEIMEN</v>
      </c>
    </row>
    <row r="249" spans="1:7" x14ac:dyDescent="0.25">
      <c r="A249" s="8">
        <v>42861.966053240743</v>
      </c>
      <c r="B249" t="s">
        <v>471</v>
      </c>
      <c r="C249" t="s">
        <v>734</v>
      </c>
      <c r="D249" s="141">
        <v>2630000</v>
      </c>
      <c r="E249" t="s">
        <v>711</v>
      </c>
      <c r="F249" s="20" t="s">
        <v>712</v>
      </c>
      <c r="G249" s="8" t="str">
        <f t="shared" si="3"/>
        <v>SAFIEF AEIMEN</v>
      </c>
    </row>
    <row r="250" spans="1:7" x14ac:dyDescent="0.25">
      <c r="A250" s="8">
        <v>42861.966863425929</v>
      </c>
      <c r="B250" t="s">
        <v>471</v>
      </c>
      <c r="C250" t="s">
        <v>734</v>
      </c>
      <c r="D250" s="141">
        <v>2630000</v>
      </c>
      <c r="E250" t="s">
        <v>711</v>
      </c>
      <c r="F250" s="20" t="s">
        <v>712</v>
      </c>
      <c r="G250" s="8" t="str">
        <f t="shared" si="3"/>
        <v>SAFIEF AEIMEN</v>
      </c>
    </row>
    <row r="251" spans="1:7" x14ac:dyDescent="0.25">
      <c r="A251" s="8">
        <v>42861.968819444446</v>
      </c>
      <c r="B251" t="s">
        <v>407</v>
      </c>
      <c r="C251" t="s">
        <v>552</v>
      </c>
      <c r="D251" s="141">
        <v>3000000</v>
      </c>
      <c r="E251" t="s">
        <v>449</v>
      </c>
      <c r="F251" s="20" t="s">
        <v>425</v>
      </c>
      <c r="G251" s="8" t="str">
        <f t="shared" si="3"/>
        <v>FORTUNATO FRANK</v>
      </c>
    </row>
    <row r="252" spans="1:7" x14ac:dyDescent="0.25">
      <c r="A252" s="8">
        <v>42861.970046296294</v>
      </c>
      <c r="B252" t="s">
        <v>407</v>
      </c>
      <c r="C252" t="s">
        <v>552</v>
      </c>
      <c r="D252" s="141">
        <v>3000000</v>
      </c>
      <c r="E252" t="s">
        <v>449</v>
      </c>
      <c r="F252" s="20" t="s">
        <v>425</v>
      </c>
      <c r="G252" s="8" t="str">
        <f t="shared" si="3"/>
        <v>FORTUNATO FRANK</v>
      </c>
    </row>
    <row r="253" spans="1:7" x14ac:dyDescent="0.25">
      <c r="A253" s="8">
        <v>42861.970821759256</v>
      </c>
      <c r="B253" t="s">
        <v>475</v>
      </c>
      <c r="C253" t="s">
        <v>734</v>
      </c>
      <c r="D253" s="141">
        <v>2630000</v>
      </c>
      <c r="E253" t="s">
        <v>711</v>
      </c>
      <c r="F253" s="20" t="s">
        <v>712</v>
      </c>
      <c r="G253" s="8" t="str">
        <f t="shared" si="3"/>
        <v>SAFIEF AEIMEN</v>
      </c>
    </row>
    <row r="254" spans="1:7" x14ac:dyDescent="0.25">
      <c r="A254" s="8">
        <v>42861.971666666665</v>
      </c>
      <c r="B254" t="s">
        <v>407</v>
      </c>
      <c r="C254" t="s">
        <v>552</v>
      </c>
      <c r="D254" s="141">
        <v>3000000</v>
      </c>
      <c r="E254" t="s">
        <v>449</v>
      </c>
      <c r="F254" s="20" t="s">
        <v>425</v>
      </c>
      <c r="G254" s="8" t="str">
        <f t="shared" si="3"/>
        <v>FORTUNATO FRANK</v>
      </c>
    </row>
    <row r="255" spans="1:7" x14ac:dyDescent="0.25">
      <c r="A255" s="8">
        <v>42861.972245370373</v>
      </c>
      <c r="B255" t="s">
        <v>434</v>
      </c>
      <c r="C255" t="s">
        <v>752</v>
      </c>
      <c r="D255" s="141">
        <v>2150000</v>
      </c>
      <c r="E255" t="s">
        <v>347</v>
      </c>
      <c r="F255" s="20" t="s">
        <v>348</v>
      </c>
      <c r="G255" s="8" t="str">
        <f t="shared" si="3"/>
        <v>SWANSON BRYCE</v>
      </c>
    </row>
    <row r="256" spans="1:7" x14ac:dyDescent="0.25">
      <c r="A256" s="8">
        <v>42861.973298611112</v>
      </c>
      <c r="B256" t="s">
        <v>565</v>
      </c>
      <c r="C256" t="s">
        <v>556</v>
      </c>
      <c r="D256" s="141">
        <v>2680000</v>
      </c>
      <c r="E256" t="s">
        <v>373</v>
      </c>
      <c r="F256" s="20" t="s">
        <v>374</v>
      </c>
      <c r="G256" s="8" t="str">
        <f t="shared" si="3"/>
        <v>DUNCAN SHEILA</v>
      </c>
    </row>
    <row r="257" spans="1:7" x14ac:dyDescent="0.25">
      <c r="A257" s="8">
        <v>42861.977025462962</v>
      </c>
      <c r="B257" t="s">
        <v>378</v>
      </c>
      <c r="C257" t="s">
        <v>753</v>
      </c>
      <c r="D257" s="141">
        <v>2230000</v>
      </c>
      <c r="E257" t="s">
        <v>353</v>
      </c>
      <c r="F257" s="20" t="s">
        <v>196</v>
      </c>
      <c r="G257" s="8" t="str">
        <f t="shared" si="3"/>
        <v>SMITH MICHAEL</v>
      </c>
    </row>
    <row r="258" spans="1:7" x14ac:dyDescent="0.25">
      <c r="A258" s="8">
        <v>42861.982581018521</v>
      </c>
      <c r="B258" t="s">
        <v>400</v>
      </c>
      <c r="C258" t="s">
        <v>552</v>
      </c>
      <c r="D258" s="141">
        <v>3000000</v>
      </c>
      <c r="E258" t="s">
        <v>449</v>
      </c>
      <c r="F258" s="20" t="s">
        <v>425</v>
      </c>
      <c r="G258" s="8" t="str">
        <f t="shared" si="3"/>
        <v>FORTUNATO FRANK</v>
      </c>
    </row>
    <row r="259" spans="1:7" x14ac:dyDescent="0.25">
      <c r="A259" s="8">
        <v>42861.98364583333</v>
      </c>
      <c r="B259" t="s">
        <v>400</v>
      </c>
      <c r="C259" t="s">
        <v>754</v>
      </c>
      <c r="D259" s="141">
        <v>3000000</v>
      </c>
      <c r="E259" t="s">
        <v>449</v>
      </c>
      <c r="F259" s="20" t="s">
        <v>425</v>
      </c>
      <c r="G259" s="8" t="str">
        <f t="shared" ref="G259:G322" si="4">E259&amp;" "&amp;F259</f>
        <v>FORTUNATO FRANK</v>
      </c>
    </row>
    <row r="260" spans="1:7" x14ac:dyDescent="0.25">
      <c r="A260" s="8">
        <v>42861.985555555555</v>
      </c>
      <c r="B260" t="s">
        <v>555</v>
      </c>
      <c r="C260" t="s">
        <v>556</v>
      </c>
      <c r="D260" s="141">
        <v>2680000</v>
      </c>
      <c r="E260" t="s">
        <v>373</v>
      </c>
      <c r="F260" s="20" t="s">
        <v>374</v>
      </c>
      <c r="G260" s="8" t="str">
        <f t="shared" si="4"/>
        <v>DUNCAN SHEILA</v>
      </c>
    </row>
    <row r="261" spans="1:7" x14ac:dyDescent="0.25">
      <c r="A261" s="8">
        <v>42861.990671296298</v>
      </c>
      <c r="B261" t="s">
        <v>471</v>
      </c>
      <c r="C261" t="s">
        <v>553</v>
      </c>
      <c r="D261" s="141">
        <v>2000000</v>
      </c>
      <c r="E261" t="s">
        <v>351</v>
      </c>
      <c r="F261" s="20" t="s">
        <v>193</v>
      </c>
      <c r="G261" s="8" t="str">
        <f t="shared" si="4"/>
        <v>STAMBAUGH JAMES</v>
      </c>
    </row>
    <row r="262" spans="1:7" x14ac:dyDescent="0.25">
      <c r="A262" s="8">
        <v>42861.995150462964</v>
      </c>
      <c r="B262" t="s">
        <v>407</v>
      </c>
      <c r="C262" t="s">
        <v>552</v>
      </c>
      <c r="D262" s="141">
        <v>3000000</v>
      </c>
      <c r="E262" t="s">
        <v>449</v>
      </c>
      <c r="F262" s="20" t="s">
        <v>425</v>
      </c>
      <c r="G262" s="8" t="str">
        <f t="shared" si="4"/>
        <v>FORTUNATO FRANK</v>
      </c>
    </row>
    <row r="263" spans="1:7" x14ac:dyDescent="0.25">
      <c r="A263" s="8">
        <v>42861.996365740742</v>
      </c>
      <c r="B263" t="s">
        <v>392</v>
      </c>
      <c r="C263" t="s">
        <v>755</v>
      </c>
      <c r="D263" s="141">
        <v>2270000</v>
      </c>
      <c r="E263" t="s">
        <v>206</v>
      </c>
      <c r="F263" s="20" t="s">
        <v>207</v>
      </c>
      <c r="G263" s="8" t="str">
        <f t="shared" si="4"/>
        <v>BROWN JACOB</v>
      </c>
    </row>
    <row r="264" spans="1:7" x14ac:dyDescent="0.25">
      <c r="A264" s="8">
        <v>42861.998726851853</v>
      </c>
      <c r="B264" t="s">
        <v>565</v>
      </c>
      <c r="C264" t="s">
        <v>556</v>
      </c>
      <c r="D264" s="141">
        <v>2680000</v>
      </c>
      <c r="E264" t="s">
        <v>373</v>
      </c>
      <c r="F264" s="20" t="s">
        <v>374</v>
      </c>
      <c r="G264" s="8" t="str">
        <f t="shared" si="4"/>
        <v>DUNCAN SHEILA</v>
      </c>
    </row>
    <row r="265" spans="1:7" x14ac:dyDescent="0.25">
      <c r="A265" s="8">
        <v>42862.008969907409</v>
      </c>
      <c r="B265" t="s">
        <v>438</v>
      </c>
      <c r="C265" t="s">
        <v>756</v>
      </c>
      <c r="D265" s="141">
        <v>2150000</v>
      </c>
      <c r="E265" t="s">
        <v>347</v>
      </c>
      <c r="F265" s="20" t="s">
        <v>348</v>
      </c>
      <c r="G265" s="8" t="str">
        <f t="shared" si="4"/>
        <v>SWANSON BRYCE</v>
      </c>
    </row>
    <row r="266" spans="1:7" x14ac:dyDescent="0.25">
      <c r="A266" s="8">
        <v>42862.011782407404</v>
      </c>
      <c r="B266" t="s">
        <v>389</v>
      </c>
      <c r="C266" t="s">
        <v>757</v>
      </c>
      <c r="D266" s="141">
        <v>2230000</v>
      </c>
      <c r="E266" t="s">
        <v>353</v>
      </c>
      <c r="F266" s="20" t="s">
        <v>196</v>
      </c>
      <c r="G266" s="8" t="str">
        <f t="shared" si="4"/>
        <v>SMITH MICHAEL</v>
      </c>
    </row>
    <row r="267" spans="1:7" x14ac:dyDescent="0.25">
      <c r="A267" s="8">
        <v>42862.014490740738</v>
      </c>
      <c r="B267" t="s">
        <v>400</v>
      </c>
      <c r="C267" t="s">
        <v>754</v>
      </c>
      <c r="D267" s="141">
        <v>3000000</v>
      </c>
      <c r="E267" t="s">
        <v>449</v>
      </c>
      <c r="F267" s="20" t="s">
        <v>425</v>
      </c>
      <c r="G267" s="8" t="str">
        <f t="shared" si="4"/>
        <v>FORTUNATO FRANK</v>
      </c>
    </row>
    <row r="268" spans="1:7" x14ac:dyDescent="0.25">
      <c r="A268" s="8">
        <v>42862.017013888886</v>
      </c>
      <c r="B268" t="s">
        <v>400</v>
      </c>
      <c r="C268" t="s">
        <v>754</v>
      </c>
      <c r="D268" s="141">
        <v>3000000</v>
      </c>
      <c r="E268" t="s">
        <v>449</v>
      </c>
      <c r="F268" s="20" t="s">
        <v>425</v>
      </c>
      <c r="G268" s="8" t="str">
        <f t="shared" si="4"/>
        <v>FORTUNATO FRANK</v>
      </c>
    </row>
    <row r="269" spans="1:7" x14ac:dyDescent="0.25">
      <c r="A269" s="8">
        <v>42862.018101851849</v>
      </c>
      <c r="B269" t="s">
        <v>555</v>
      </c>
      <c r="C269" t="s">
        <v>556</v>
      </c>
      <c r="D269" s="141">
        <v>2680000</v>
      </c>
      <c r="E269" t="s">
        <v>373</v>
      </c>
      <c r="F269" s="20" t="s">
        <v>374</v>
      </c>
      <c r="G269" s="8" t="str">
        <f t="shared" si="4"/>
        <v>DUNCAN SHEILA</v>
      </c>
    </row>
    <row r="270" spans="1:7" x14ac:dyDescent="0.25">
      <c r="A270" s="8">
        <v>42862.018842592595</v>
      </c>
      <c r="B270" t="s">
        <v>555</v>
      </c>
      <c r="C270" t="s">
        <v>556</v>
      </c>
      <c r="D270" s="141">
        <v>2680000</v>
      </c>
      <c r="E270" t="s">
        <v>373</v>
      </c>
      <c r="F270" s="20" t="s">
        <v>374</v>
      </c>
      <c r="G270" s="8" t="str">
        <f t="shared" si="4"/>
        <v>DUNCAN SHEILA</v>
      </c>
    </row>
    <row r="271" spans="1:7" x14ac:dyDescent="0.25">
      <c r="A271" s="8">
        <v>42862.019918981481</v>
      </c>
      <c r="B271" t="s">
        <v>555</v>
      </c>
      <c r="C271" t="s">
        <v>556</v>
      </c>
      <c r="D271" s="141">
        <v>2680000</v>
      </c>
      <c r="E271" t="s">
        <v>373</v>
      </c>
      <c r="F271" s="20" t="s">
        <v>374</v>
      </c>
      <c r="G271" s="8" t="str">
        <f t="shared" si="4"/>
        <v>DUNCAN SHEILA</v>
      </c>
    </row>
    <row r="272" spans="1:7" x14ac:dyDescent="0.25">
      <c r="A272" s="8">
        <v>42862.025578703702</v>
      </c>
      <c r="B272" t="s">
        <v>367</v>
      </c>
      <c r="C272" t="s">
        <v>734</v>
      </c>
      <c r="D272" s="141">
        <v>2630000</v>
      </c>
      <c r="E272" t="s">
        <v>711</v>
      </c>
      <c r="F272" s="20" t="s">
        <v>712</v>
      </c>
      <c r="G272" s="8" t="str">
        <f t="shared" si="4"/>
        <v>SAFIEF AEIMEN</v>
      </c>
    </row>
    <row r="273" spans="1:7" x14ac:dyDescent="0.25">
      <c r="A273" s="8">
        <v>42862.02615740741</v>
      </c>
      <c r="B273" t="s">
        <v>367</v>
      </c>
      <c r="C273" t="s">
        <v>734</v>
      </c>
      <c r="D273" s="141">
        <v>2630000</v>
      </c>
      <c r="E273" t="s">
        <v>711</v>
      </c>
      <c r="F273" s="20" t="s">
        <v>712</v>
      </c>
      <c r="G273" s="8" t="str">
        <f t="shared" si="4"/>
        <v>SAFIEF AEIMEN</v>
      </c>
    </row>
    <row r="274" spans="1:7" x14ac:dyDescent="0.25">
      <c r="A274" s="8">
        <v>42862.028055555558</v>
      </c>
      <c r="B274" t="s">
        <v>367</v>
      </c>
      <c r="C274" t="s">
        <v>734</v>
      </c>
      <c r="D274" s="141">
        <v>2630000</v>
      </c>
      <c r="E274" t="s">
        <v>711</v>
      </c>
      <c r="F274" s="20" t="s">
        <v>712</v>
      </c>
      <c r="G274" s="8" t="str">
        <f t="shared" si="4"/>
        <v>SAFIEF AEIMEN</v>
      </c>
    </row>
    <row r="275" spans="1:7" x14ac:dyDescent="0.25">
      <c r="A275" s="8">
        <v>42862.029826388891</v>
      </c>
      <c r="B275" t="s">
        <v>407</v>
      </c>
      <c r="C275" t="s">
        <v>552</v>
      </c>
      <c r="D275" s="141">
        <v>3000000</v>
      </c>
      <c r="E275" t="s">
        <v>449</v>
      </c>
      <c r="F275" s="20" t="s">
        <v>425</v>
      </c>
      <c r="G275" s="8" t="str">
        <f t="shared" si="4"/>
        <v>FORTUNATO FRANK</v>
      </c>
    </row>
    <row r="276" spans="1:7" x14ac:dyDescent="0.25">
      <c r="A276" s="8">
        <v>42862.031261574077</v>
      </c>
      <c r="B276" t="s">
        <v>565</v>
      </c>
      <c r="C276" t="s">
        <v>556</v>
      </c>
      <c r="D276" s="141">
        <v>2680000</v>
      </c>
      <c r="E276" t="s">
        <v>373</v>
      </c>
      <c r="F276" s="20" t="s">
        <v>374</v>
      </c>
      <c r="G276" s="8" t="str">
        <f t="shared" si="4"/>
        <v>DUNCAN SHEILA</v>
      </c>
    </row>
    <row r="277" spans="1:7" x14ac:dyDescent="0.25">
      <c r="A277" s="8">
        <v>42862.031967592593</v>
      </c>
      <c r="B277" t="s">
        <v>565</v>
      </c>
      <c r="C277" t="s">
        <v>556</v>
      </c>
      <c r="D277" s="141">
        <v>2680000</v>
      </c>
      <c r="E277" t="s">
        <v>373</v>
      </c>
      <c r="F277" s="20" t="s">
        <v>374</v>
      </c>
      <c r="G277" s="8" t="str">
        <f t="shared" si="4"/>
        <v>DUNCAN SHEILA</v>
      </c>
    </row>
    <row r="278" spans="1:7" x14ac:dyDescent="0.25">
      <c r="A278" s="8">
        <v>42862.033078703702</v>
      </c>
      <c r="B278" t="s">
        <v>475</v>
      </c>
      <c r="C278" t="s">
        <v>554</v>
      </c>
      <c r="D278" s="141">
        <v>2000000</v>
      </c>
      <c r="E278" t="s">
        <v>351</v>
      </c>
      <c r="F278" s="20" t="s">
        <v>193</v>
      </c>
      <c r="G278" s="8" t="str">
        <f t="shared" si="4"/>
        <v>STAMBAUGH JAMES</v>
      </c>
    </row>
    <row r="279" spans="1:7" x14ac:dyDescent="0.25">
      <c r="A279" s="8">
        <v>42862.036145833335</v>
      </c>
      <c r="B279" t="s">
        <v>370</v>
      </c>
      <c r="C279" t="s">
        <v>734</v>
      </c>
      <c r="D279" s="141">
        <v>2630000</v>
      </c>
      <c r="E279" t="s">
        <v>711</v>
      </c>
      <c r="F279" s="20" t="s">
        <v>712</v>
      </c>
      <c r="G279" s="8" t="str">
        <f t="shared" si="4"/>
        <v>SAFIEF AEIMEN</v>
      </c>
    </row>
    <row r="280" spans="1:7" x14ac:dyDescent="0.25">
      <c r="A280" s="8">
        <v>42862.037488425929</v>
      </c>
      <c r="B280" t="s">
        <v>386</v>
      </c>
      <c r="C280" t="s">
        <v>758</v>
      </c>
      <c r="D280" s="141">
        <v>2270000</v>
      </c>
      <c r="E280" t="s">
        <v>206</v>
      </c>
      <c r="F280" s="20" t="s">
        <v>207</v>
      </c>
      <c r="G280" s="8" t="str">
        <f t="shared" si="4"/>
        <v>BROWN JACOB</v>
      </c>
    </row>
    <row r="281" spans="1:7" x14ac:dyDescent="0.25">
      <c r="A281" s="8">
        <v>42862.042731481481</v>
      </c>
      <c r="B281" t="s">
        <v>400</v>
      </c>
      <c r="C281" t="s">
        <v>552</v>
      </c>
      <c r="D281" s="141">
        <v>3000000</v>
      </c>
      <c r="E281" t="s">
        <v>449</v>
      </c>
      <c r="F281" s="20" t="s">
        <v>425</v>
      </c>
      <c r="G281" s="8" t="str">
        <f t="shared" si="4"/>
        <v>FORTUNATO FRANK</v>
      </c>
    </row>
    <row r="282" spans="1:7" x14ac:dyDescent="0.25">
      <c r="A282" s="8">
        <v>42862.042997685188</v>
      </c>
      <c r="B282" t="s">
        <v>555</v>
      </c>
      <c r="C282" t="s">
        <v>556</v>
      </c>
      <c r="D282" s="141">
        <v>2680000</v>
      </c>
      <c r="E282" t="s">
        <v>373</v>
      </c>
      <c r="F282" s="20" t="s">
        <v>374</v>
      </c>
      <c r="G282" s="8" t="str">
        <f t="shared" si="4"/>
        <v>DUNCAN SHEILA</v>
      </c>
    </row>
    <row r="283" spans="1:7" x14ac:dyDescent="0.25">
      <c r="A283" s="8">
        <v>42862.043738425928</v>
      </c>
      <c r="B283" t="s">
        <v>555</v>
      </c>
      <c r="C283" t="s">
        <v>556</v>
      </c>
      <c r="D283" s="141">
        <v>2680000</v>
      </c>
      <c r="E283" t="s">
        <v>373</v>
      </c>
      <c r="F283" s="20" t="s">
        <v>374</v>
      </c>
      <c r="G283" s="8" t="str">
        <f t="shared" si="4"/>
        <v>DUNCAN SHEILA</v>
      </c>
    </row>
    <row r="284" spans="1:7" x14ac:dyDescent="0.25">
      <c r="A284" s="8">
        <v>42862.049340277779</v>
      </c>
      <c r="B284" t="s">
        <v>434</v>
      </c>
      <c r="C284" t="s">
        <v>759</v>
      </c>
      <c r="D284" s="141">
        <v>2150000</v>
      </c>
      <c r="E284" t="s">
        <v>347</v>
      </c>
      <c r="F284" s="20" t="s">
        <v>348</v>
      </c>
      <c r="G284" s="8" t="str">
        <f t="shared" si="4"/>
        <v>SWANSON BRYCE</v>
      </c>
    </row>
    <row r="285" spans="1:7" x14ac:dyDescent="0.25">
      <c r="A285" s="8">
        <v>42862.050034722219</v>
      </c>
      <c r="B285" t="s">
        <v>378</v>
      </c>
      <c r="C285" t="s">
        <v>760</v>
      </c>
      <c r="D285" s="141">
        <v>2230000</v>
      </c>
      <c r="E285" t="s">
        <v>353</v>
      </c>
      <c r="F285" s="20" t="s">
        <v>196</v>
      </c>
      <c r="G285" s="8" t="str">
        <f t="shared" si="4"/>
        <v>SMITH MICHAEL</v>
      </c>
    </row>
    <row r="286" spans="1:7" x14ac:dyDescent="0.25">
      <c r="A286" s="8">
        <v>42862.053240740737</v>
      </c>
      <c r="B286" t="s">
        <v>565</v>
      </c>
      <c r="C286" t="s">
        <v>556</v>
      </c>
      <c r="D286" s="141">
        <v>2680000</v>
      </c>
      <c r="E286" t="s">
        <v>373</v>
      </c>
      <c r="F286" s="20" t="s">
        <v>374</v>
      </c>
      <c r="G286" s="8" t="str">
        <f t="shared" si="4"/>
        <v>DUNCAN SHEILA</v>
      </c>
    </row>
    <row r="287" spans="1:7" x14ac:dyDescent="0.25">
      <c r="A287" s="8">
        <v>42862.058993055558</v>
      </c>
      <c r="B287" t="s">
        <v>407</v>
      </c>
      <c r="C287" t="s">
        <v>552</v>
      </c>
      <c r="D287" s="141">
        <v>3000000</v>
      </c>
      <c r="E287" t="s">
        <v>449</v>
      </c>
      <c r="F287" s="20" t="s">
        <v>425</v>
      </c>
      <c r="G287" s="8" t="str">
        <f t="shared" si="4"/>
        <v>FORTUNATO FRANK</v>
      </c>
    </row>
    <row r="288" spans="1:7" x14ac:dyDescent="0.25">
      <c r="A288" s="8">
        <v>42862.064722222225</v>
      </c>
      <c r="B288" t="s">
        <v>555</v>
      </c>
      <c r="C288" t="s">
        <v>556</v>
      </c>
      <c r="D288" s="141">
        <v>2680000</v>
      </c>
      <c r="E288" t="s">
        <v>373</v>
      </c>
      <c r="F288" s="20" t="s">
        <v>374</v>
      </c>
      <c r="G288" s="8" t="str">
        <f t="shared" si="4"/>
        <v>DUNCAN SHEILA</v>
      </c>
    </row>
    <row r="289" spans="1:7" x14ac:dyDescent="0.25">
      <c r="A289" s="8">
        <v>42862.070497685185</v>
      </c>
      <c r="B289" t="s">
        <v>367</v>
      </c>
      <c r="C289" t="s">
        <v>761</v>
      </c>
      <c r="D289" s="141">
        <v>2000000</v>
      </c>
      <c r="E289" t="s">
        <v>351</v>
      </c>
      <c r="F289" s="20" t="s">
        <v>193</v>
      </c>
      <c r="G289" s="8" t="str">
        <f t="shared" si="4"/>
        <v>STAMBAUGH JAMES</v>
      </c>
    </row>
    <row r="290" spans="1:7" x14ac:dyDescent="0.25">
      <c r="A290" s="8">
        <v>42862.081712962965</v>
      </c>
      <c r="B290" t="s">
        <v>392</v>
      </c>
      <c r="C290" t="s">
        <v>762</v>
      </c>
      <c r="D290" s="141">
        <v>2270000</v>
      </c>
      <c r="E290" t="s">
        <v>206</v>
      </c>
      <c r="F290" s="20" t="s">
        <v>207</v>
      </c>
      <c r="G290" s="8" t="str">
        <f t="shared" si="4"/>
        <v>BROWN JACOB</v>
      </c>
    </row>
    <row r="291" spans="1:7" x14ac:dyDescent="0.25">
      <c r="A291" s="8">
        <v>42862.089421296296</v>
      </c>
      <c r="B291" t="s">
        <v>438</v>
      </c>
      <c r="C291" t="s">
        <v>763</v>
      </c>
      <c r="D291" s="141">
        <v>2150000</v>
      </c>
      <c r="E291" t="s">
        <v>347</v>
      </c>
      <c r="F291" s="20" t="s">
        <v>348</v>
      </c>
      <c r="G291" s="8" t="str">
        <f t="shared" si="4"/>
        <v>SWANSON BRYCE</v>
      </c>
    </row>
    <row r="292" spans="1:7" x14ac:dyDescent="0.25">
      <c r="A292" s="8">
        <v>42862.102824074071</v>
      </c>
      <c r="B292" t="s">
        <v>565</v>
      </c>
      <c r="C292" t="s">
        <v>556</v>
      </c>
      <c r="D292" s="141">
        <v>2680000</v>
      </c>
      <c r="E292" t="s">
        <v>373</v>
      </c>
      <c r="F292" s="20" t="s">
        <v>374</v>
      </c>
      <c r="G292" s="8" t="str">
        <f t="shared" si="4"/>
        <v>DUNCAN SHEILA</v>
      </c>
    </row>
    <row r="293" spans="1:7" x14ac:dyDescent="0.25">
      <c r="A293" s="8">
        <v>42862.103506944448</v>
      </c>
      <c r="B293" t="s">
        <v>565</v>
      </c>
      <c r="C293" t="s">
        <v>556</v>
      </c>
      <c r="D293" s="141">
        <v>2680000</v>
      </c>
      <c r="E293" t="s">
        <v>373</v>
      </c>
      <c r="F293" s="20" t="s">
        <v>374</v>
      </c>
      <c r="G293" s="8" t="str">
        <f t="shared" si="4"/>
        <v>DUNCAN SHEILA</v>
      </c>
    </row>
    <row r="294" spans="1:7" x14ac:dyDescent="0.25">
      <c r="A294" s="8">
        <v>42813.079872685186</v>
      </c>
      <c r="B294" t="s">
        <v>349</v>
      </c>
      <c r="C294" t="s">
        <v>355</v>
      </c>
      <c r="D294" s="141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349</v>
      </c>
      <c r="C295" t="s">
        <v>355</v>
      </c>
      <c r="D295" s="141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352</v>
      </c>
      <c r="C296" t="s">
        <v>356</v>
      </c>
      <c r="D296" s="141">
        <v>2150000</v>
      </c>
      <c r="E296" t="s">
        <v>347</v>
      </c>
      <c r="F296" s="20" t="s">
        <v>348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350</v>
      </c>
      <c r="C297" t="s">
        <v>357</v>
      </c>
      <c r="D297" s="141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163</v>
      </c>
      <c r="K1" s="201" t="s">
        <v>161</v>
      </c>
      <c r="L1" s="201" t="s">
        <v>156</v>
      </c>
      <c r="M1" s="201" t="s">
        <v>166</v>
      </c>
      <c r="N1" s="201" t="s">
        <v>160</v>
      </c>
      <c r="O1" s="201" t="s">
        <v>167</v>
      </c>
      <c r="P1" s="201" t="s">
        <v>164</v>
      </c>
      <c r="Q1"/>
      <c r="R1"/>
    </row>
    <row r="2" spans="1:18" x14ac:dyDescent="0.25">
      <c r="A2" s="168">
        <v>58.71</v>
      </c>
      <c r="B2" s="168">
        <v>0.19</v>
      </c>
      <c r="C2" s="168">
        <v>36.630000000000003</v>
      </c>
      <c r="D2" s="8">
        <v>42861</v>
      </c>
      <c r="E2" s="168">
        <v>0.44</v>
      </c>
      <c r="F2" s="168" t="s">
        <v>451</v>
      </c>
      <c r="G2" s="168">
        <v>322.61</v>
      </c>
      <c r="H2" s="168">
        <v>0</v>
      </c>
      <c r="I2" s="168">
        <v>0</v>
      </c>
      <c r="J2" s="168">
        <v>1012.27</v>
      </c>
      <c r="K2" s="168" t="s">
        <v>450</v>
      </c>
      <c r="L2" s="168">
        <v>58.71</v>
      </c>
      <c r="M2" s="168">
        <v>1494050400</v>
      </c>
      <c r="N2" s="168">
        <v>4.47</v>
      </c>
      <c r="O2" s="168">
        <v>177</v>
      </c>
      <c r="P2" s="168">
        <v>3.8</v>
      </c>
      <c r="Q2"/>
      <c r="R2"/>
    </row>
    <row r="3" spans="1:18" x14ac:dyDescent="0.25">
      <c r="A3" s="168">
        <v>55.72</v>
      </c>
      <c r="B3" s="168">
        <v>0.17</v>
      </c>
      <c r="C3" s="168">
        <v>35.92</v>
      </c>
      <c r="D3" s="8">
        <v>42861.041666666664</v>
      </c>
      <c r="E3" s="168">
        <v>0.47</v>
      </c>
      <c r="F3" s="168" t="s">
        <v>451</v>
      </c>
      <c r="G3" s="168">
        <v>321.73</v>
      </c>
      <c r="H3" s="168">
        <v>0</v>
      </c>
      <c r="I3" s="168">
        <v>0</v>
      </c>
      <c r="J3" s="168">
        <v>1012.16</v>
      </c>
      <c r="K3" s="168" t="s">
        <v>450</v>
      </c>
      <c r="L3" s="168">
        <v>55.72</v>
      </c>
      <c r="M3" s="168">
        <v>1494054000</v>
      </c>
      <c r="N3" s="168">
        <v>4.6900000000000004</v>
      </c>
      <c r="O3" s="168">
        <v>188</v>
      </c>
      <c r="P3" s="168">
        <v>3.26</v>
      </c>
      <c r="Q3"/>
      <c r="R3"/>
    </row>
    <row r="4" spans="1:18" x14ac:dyDescent="0.25">
      <c r="A4" s="168">
        <v>54.82</v>
      </c>
      <c r="B4" s="168">
        <v>0.16</v>
      </c>
      <c r="C4" s="168">
        <v>36.85</v>
      </c>
      <c r="D4" s="8">
        <v>42861.083333333336</v>
      </c>
      <c r="E4" s="168">
        <v>0.51</v>
      </c>
      <c r="F4" s="168" t="s">
        <v>451</v>
      </c>
      <c r="G4" s="168">
        <v>320.85000000000002</v>
      </c>
      <c r="H4" s="168">
        <v>0</v>
      </c>
      <c r="I4" s="168">
        <v>0</v>
      </c>
      <c r="J4" s="168">
        <v>1012.06</v>
      </c>
      <c r="K4" s="168" t="s">
        <v>450</v>
      </c>
      <c r="L4" s="168">
        <v>54.82</v>
      </c>
      <c r="M4" s="168">
        <v>1494057600</v>
      </c>
      <c r="N4" s="168">
        <v>4.8600000000000003</v>
      </c>
      <c r="O4" s="168">
        <v>184</v>
      </c>
      <c r="P4" s="168">
        <v>3.16</v>
      </c>
      <c r="Q4"/>
      <c r="R4"/>
    </row>
    <row r="5" spans="1:18" x14ac:dyDescent="0.25">
      <c r="A5" s="168">
        <v>53.12</v>
      </c>
      <c r="B5" s="168">
        <v>0.18</v>
      </c>
      <c r="C5" s="168">
        <v>36.68</v>
      </c>
      <c r="D5" s="8">
        <v>42861.125</v>
      </c>
      <c r="E5" s="168">
        <v>0.53</v>
      </c>
      <c r="F5" s="168" t="s">
        <v>451</v>
      </c>
      <c r="G5" s="168">
        <v>319.95999999999998</v>
      </c>
      <c r="H5" s="168">
        <v>0</v>
      </c>
      <c r="I5" s="168">
        <v>0</v>
      </c>
      <c r="J5" s="168">
        <v>1011.96</v>
      </c>
      <c r="K5" s="168" t="s">
        <v>450</v>
      </c>
      <c r="L5" s="168">
        <v>53.12</v>
      </c>
      <c r="M5" s="168">
        <v>1494061200</v>
      </c>
      <c r="N5" s="168">
        <v>10</v>
      </c>
      <c r="O5" s="168">
        <v>210</v>
      </c>
      <c r="P5" s="168">
        <v>3.17</v>
      </c>
      <c r="Q5"/>
      <c r="R5"/>
    </row>
    <row r="6" spans="1:18" x14ac:dyDescent="0.25">
      <c r="A6" s="168">
        <v>52.75</v>
      </c>
      <c r="B6" s="168">
        <v>0.22</v>
      </c>
      <c r="C6" s="168">
        <v>36.590000000000003</v>
      </c>
      <c r="D6" s="8">
        <v>42861.166666666664</v>
      </c>
      <c r="E6" s="168">
        <v>0.54</v>
      </c>
      <c r="F6" s="168" t="s">
        <v>451</v>
      </c>
      <c r="G6" s="168">
        <v>319.02999999999997</v>
      </c>
      <c r="H6" s="168">
        <v>0</v>
      </c>
      <c r="I6" s="168">
        <v>0</v>
      </c>
      <c r="J6" s="168">
        <v>1011.98</v>
      </c>
      <c r="K6" s="168" t="s">
        <v>450</v>
      </c>
      <c r="L6" s="168">
        <v>52.75</v>
      </c>
      <c r="M6" s="168">
        <v>1494064800</v>
      </c>
      <c r="N6" s="168">
        <v>4.71</v>
      </c>
      <c r="O6" s="168">
        <v>192</v>
      </c>
      <c r="P6" s="168">
        <v>2.92</v>
      </c>
      <c r="Q6"/>
      <c r="R6"/>
    </row>
    <row r="7" spans="1:18" x14ac:dyDescent="0.25">
      <c r="A7" s="168">
        <v>51.39</v>
      </c>
      <c r="B7" s="168">
        <v>0.24</v>
      </c>
      <c r="C7" s="168">
        <v>35.96</v>
      </c>
      <c r="D7" s="8">
        <v>42861.208333333336</v>
      </c>
      <c r="E7" s="168">
        <v>0.55000000000000004</v>
      </c>
      <c r="F7" s="168" t="s">
        <v>451</v>
      </c>
      <c r="G7" s="168">
        <v>318.10000000000002</v>
      </c>
      <c r="H7" s="168">
        <v>0</v>
      </c>
      <c r="I7" s="168">
        <v>0</v>
      </c>
      <c r="J7" s="168">
        <v>1011.98</v>
      </c>
      <c r="K7" s="168" t="s">
        <v>450</v>
      </c>
      <c r="L7" s="168">
        <v>51.39</v>
      </c>
      <c r="M7" s="168">
        <v>1494068400</v>
      </c>
      <c r="N7" s="168">
        <v>5.73</v>
      </c>
      <c r="O7" s="168">
        <v>208</v>
      </c>
      <c r="P7" s="168">
        <v>2.94</v>
      </c>
      <c r="Q7"/>
      <c r="R7"/>
    </row>
    <row r="8" spans="1:18" x14ac:dyDescent="0.25">
      <c r="A8" s="168">
        <v>50.45</v>
      </c>
      <c r="B8" s="168">
        <v>0.27</v>
      </c>
      <c r="C8" s="168">
        <v>35.32</v>
      </c>
      <c r="D8" s="8">
        <v>42861.25</v>
      </c>
      <c r="E8" s="168">
        <v>0.56000000000000005</v>
      </c>
      <c r="F8" s="168" t="s">
        <v>764</v>
      </c>
      <c r="G8" s="168">
        <v>317.31</v>
      </c>
      <c r="H8" s="168">
        <v>0</v>
      </c>
      <c r="I8" s="168">
        <v>0</v>
      </c>
      <c r="J8" s="168">
        <v>1011.63</v>
      </c>
      <c r="K8" s="168" t="s">
        <v>765</v>
      </c>
      <c r="L8" s="168">
        <v>50.45</v>
      </c>
      <c r="M8" s="168">
        <v>1494072000</v>
      </c>
      <c r="N8" s="168">
        <v>4.83</v>
      </c>
      <c r="O8" s="168">
        <v>222</v>
      </c>
      <c r="P8" s="168">
        <v>2.63</v>
      </c>
      <c r="Q8"/>
      <c r="R8"/>
    </row>
    <row r="9" spans="1:18" x14ac:dyDescent="0.25">
      <c r="A9" s="168">
        <v>54.39</v>
      </c>
      <c r="B9" s="168">
        <v>0.27</v>
      </c>
      <c r="C9" s="168">
        <v>37.85</v>
      </c>
      <c r="D9" s="8">
        <v>42861.291666666664</v>
      </c>
      <c r="E9" s="168">
        <v>0.53</v>
      </c>
      <c r="F9" s="168" t="s">
        <v>764</v>
      </c>
      <c r="G9" s="168">
        <v>316.62</v>
      </c>
      <c r="H9" s="168">
        <v>0</v>
      </c>
      <c r="I9" s="168">
        <v>0</v>
      </c>
      <c r="J9" s="168">
        <v>1010.8</v>
      </c>
      <c r="K9" s="168" t="s">
        <v>765</v>
      </c>
      <c r="L9" s="168">
        <v>54.39</v>
      </c>
      <c r="M9" s="168">
        <v>1494075600</v>
      </c>
      <c r="N9" s="168">
        <v>3.99</v>
      </c>
      <c r="O9" s="168">
        <v>258</v>
      </c>
      <c r="P9" s="168">
        <v>1.87</v>
      </c>
      <c r="Q9"/>
      <c r="R9"/>
    </row>
    <row r="10" spans="1:18" x14ac:dyDescent="0.25">
      <c r="A10" s="168">
        <v>62.12</v>
      </c>
      <c r="B10" s="168">
        <v>0.28000000000000003</v>
      </c>
      <c r="C10" s="168">
        <v>38.729999999999997</v>
      </c>
      <c r="D10" s="8">
        <v>42861.333333333336</v>
      </c>
      <c r="E10" s="168">
        <v>0.42</v>
      </c>
      <c r="F10" s="168" t="s">
        <v>764</v>
      </c>
      <c r="G10" s="168">
        <v>316.06</v>
      </c>
      <c r="H10" s="168">
        <v>0</v>
      </c>
      <c r="I10" s="168">
        <v>0</v>
      </c>
      <c r="J10" s="168">
        <v>1009.74</v>
      </c>
      <c r="K10" s="168" t="s">
        <v>765</v>
      </c>
      <c r="L10" s="168">
        <v>62.12</v>
      </c>
      <c r="M10" s="168">
        <v>1494079200</v>
      </c>
      <c r="N10" s="168">
        <v>3.58</v>
      </c>
      <c r="O10" s="168">
        <v>230</v>
      </c>
      <c r="P10" s="168">
        <v>1.7</v>
      </c>
      <c r="Q10"/>
      <c r="R10"/>
    </row>
    <row r="11" spans="1:18" x14ac:dyDescent="0.25">
      <c r="A11" s="168">
        <v>67.36</v>
      </c>
      <c r="B11" s="168">
        <v>0.26</v>
      </c>
      <c r="C11" s="168">
        <v>38.44</v>
      </c>
      <c r="D11" s="8">
        <v>42861.375</v>
      </c>
      <c r="E11" s="168">
        <v>0.35</v>
      </c>
      <c r="F11" s="168" t="s">
        <v>764</v>
      </c>
      <c r="G11" s="168">
        <v>315.95999999999998</v>
      </c>
      <c r="H11" s="168">
        <v>0</v>
      </c>
      <c r="I11" s="168">
        <v>0</v>
      </c>
      <c r="J11" s="168">
        <v>1008.77</v>
      </c>
      <c r="K11" s="168" t="s">
        <v>765</v>
      </c>
      <c r="L11" s="168">
        <v>67.36</v>
      </c>
      <c r="M11" s="168">
        <v>1494082800</v>
      </c>
      <c r="N11" s="168">
        <v>3.4</v>
      </c>
      <c r="O11" s="168">
        <v>177</v>
      </c>
      <c r="P11" s="168">
        <v>1.1399999999999999</v>
      </c>
      <c r="Q11"/>
      <c r="R11"/>
    </row>
    <row r="12" spans="1:18" x14ac:dyDescent="0.25">
      <c r="A12" s="168">
        <v>73.59</v>
      </c>
      <c r="B12" s="168">
        <v>0.26</v>
      </c>
      <c r="C12" s="168">
        <v>39.68</v>
      </c>
      <c r="D12" s="8">
        <v>42861.416666666664</v>
      </c>
      <c r="E12" s="168">
        <v>0.28999999999999998</v>
      </c>
      <c r="F12" s="168" t="s">
        <v>764</v>
      </c>
      <c r="G12" s="168">
        <v>316.73</v>
      </c>
      <c r="H12" s="168">
        <v>0</v>
      </c>
      <c r="I12" s="168">
        <v>0</v>
      </c>
      <c r="J12" s="168">
        <v>1008.04</v>
      </c>
      <c r="K12" s="168" t="s">
        <v>765</v>
      </c>
      <c r="L12" s="168">
        <v>73.59</v>
      </c>
      <c r="M12" s="168">
        <v>1494086400</v>
      </c>
      <c r="N12" s="168">
        <v>3.36</v>
      </c>
      <c r="O12" s="168">
        <v>112</v>
      </c>
      <c r="P12" s="168">
        <v>0.78</v>
      </c>
      <c r="Q12"/>
      <c r="R12"/>
    </row>
    <row r="13" spans="1:18" x14ac:dyDescent="0.25">
      <c r="A13" s="168">
        <v>79.05</v>
      </c>
      <c r="B13" s="168">
        <v>0.27</v>
      </c>
      <c r="C13" s="168">
        <v>39.25</v>
      </c>
      <c r="D13" s="8">
        <v>42861.458333333336</v>
      </c>
      <c r="E13" s="168">
        <v>0.24</v>
      </c>
      <c r="F13" s="168" t="s">
        <v>764</v>
      </c>
      <c r="G13" s="168">
        <v>317.95</v>
      </c>
      <c r="H13" s="168">
        <v>0</v>
      </c>
      <c r="I13" s="168">
        <v>0</v>
      </c>
      <c r="J13" s="168">
        <v>1007.39</v>
      </c>
      <c r="K13" s="168" t="s">
        <v>765</v>
      </c>
      <c r="L13" s="168">
        <v>79.05</v>
      </c>
      <c r="M13" s="168">
        <v>1494090000</v>
      </c>
      <c r="N13" s="168">
        <v>3.42</v>
      </c>
      <c r="O13" s="168">
        <v>142</v>
      </c>
      <c r="P13" s="168">
        <v>0.73</v>
      </c>
      <c r="Q13"/>
      <c r="R13"/>
    </row>
    <row r="14" spans="1:18" x14ac:dyDescent="0.25">
      <c r="A14" s="168">
        <v>80.430000000000007</v>
      </c>
      <c r="B14" s="168">
        <v>0.27</v>
      </c>
      <c r="C14" s="168">
        <v>36.49</v>
      </c>
      <c r="D14" s="8">
        <v>42861.5</v>
      </c>
      <c r="E14" s="168">
        <v>0.19</v>
      </c>
      <c r="F14" s="168" t="s">
        <v>764</v>
      </c>
      <c r="G14" s="168">
        <v>318.66000000000003</v>
      </c>
      <c r="H14" s="168">
        <v>0</v>
      </c>
      <c r="I14" s="168">
        <v>0</v>
      </c>
      <c r="J14" s="168">
        <v>1006.73</v>
      </c>
      <c r="K14" s="168" t="s">
        <v>765</v>
      </c>
      <c r="L14" s="168">
        <v>82.88</v>
      </c>
      <c r="M14" s="168">
        <v>1494093600</v>
      </c>
      <c r="N14" s="168">
        <v>3.5</v>
      </c>
      <c r="O14" s="168">
        <v>139</v>
      </c>
      <c r="P14" s="168">
        <v>1.74</v>
      </c>
      <c r="Q14"/>
      <c r="R14"/>
    </row>
    <row r="15" spans="1:18" x14ac:dyDescent="0.25">
      <c r="A15" s="168">
        <v>82.11</v>
      </c>
      <c r="B15" s="168">
        <v>0.28000000000000003</v>
      </c>
      <c r="C15" s="168">
        <v>32</v>
      </c>
      <c r="D15" s="8">
        <v>42861.541666666664</v>
      </c>
      <c r="E15" s="168">
        <v>0.15</v>
      </c>
      <c r="F15" s="168" t="s">
        <v>764</v>
      </c>
      <c r="G15" s="168">
        <v>318.3</v>
      </c>
      <c r="H15" s="168">
        <v>0</v>
      </c>
      <c r="I15" s="168">
        <v>0</v>
      </c>
      <c r="J15" s="168">
        <v>1005.96</v>
      </c>
      <c r="K15" s="168" t="s">
        <v>765</v>
      </c>
      <c r="L15" s="168">
        <v>85.31</v>
      </c>
      <c r="M15" s="168">
        <v>1494097200</v>
      </c>
      <c r="N15" s="168">
        <v>3.55</v>
      </c>
      <c r="O15" s="168">
        <v>109</v>
      </c>
      <c r="P15" s="168">
        <v>2.69</v>
      </c>
      <c r="Q15"/>
      <c r="R15"/>
    </row>
    <row r="16" spans="1:18" x14ac:dyDescent="0.25">
      <c r="A16" s="168">
        <v>82.4</v>
      </c>
      <c r="B16" s="168">
        <v>0.3</v>
      </c>
      <c r="C16" s="168">
        <v>31.4</v>
      </c>
      <c r="D16" s="8">
        <v>42861.583333333336</v>
      </c>
      <c r="E16" s="168">
        <v>0.14000000000000001</v>
      </c>
      <c r="F16" s="168" t="s">
        <v>764</v>
      </c>
      <c r="G16" s="168">
        <v>317.43</v>
      </c>
      <c r="H16" s="168">
        <v>0</v>
      </c>
      <c r="I16" s="168">
        <v>0</v>
      </c>
      <c r="J16" s="168">
        <v>1005.17</v>
      </c>
      <c r="K16" s="168" t="s">
        <v>765</v>
      </c>
      <c r="L16" s="168">
        <v>85.69</v>
      </c>
      <c r="M16" s="168">
        <v>1494100800</v>
      </c>
      <c r="N16" s="168">
        <v>3.52</v>
      </c>
      <c r="O16" s="168">
        <v>121</v>
      </c>
      <c r="P16" s="168">
        <v>3</v>
      </c>
      <c r="Q16"/>
      <c r="R16"/>
    </row>
    <row r="17" spans="1:18" x14ac:dyDescent="0.25">
      <c r="A17" s="168">
        <v>80.19</v>
      </c>
      <c r="B17" s="168">
        <v>0.37</v>
      </c>
      <c r="C17" s="168">
        <v>30.74</v>
      </c>
      <c r="D17" s="8">
        <v>42861.625</v>
      </c>
      <c r="E17" s="168">
        <v>0.15</v>
      </c>
      <c r="F17" s="168" t="s">
        <v>764</v>
      </c>
      <c r="G17" s="168">
        <v>316.77</v>
      </c>
      <c r="H17" s="168">
        <v>0</v>
      </c>
      <c r="I17" s="168">
        <v>0</v>
      </c>
      <c r="J17" s="168">
        <v>1004.45</v>
      </c>
      <c r="K17" s="168" t="s">
        <v>765</v>
      </c>
      <c r="L17" s="168">
        <v>82.71</v>
      </c>
      <c r="M17" s="168">
        <v>1494104400</v>
      </c>
      <c r="N17" s="168">
        <v>3.59</v>
      </c>
      <c r="O17" s="168">
        <v>102</v>
      </c>
      <c r="P17" s="168">
        <v>1.75</v>
      </c>
      <c r="Q17"/>
      <c r="R17"/>
    </row>
    <row r="18" spans="1:18" x14ac:dyDescent="0.25">
      <c r="A18" s="168">
        <v>78.91</v>
      </c>
      <c r="B18" s="168">
        <v>0.49</v>
      </c>
      <c r="C18" s="168">
        <v>31.69</v>
      </c>
      <c r="D18" s="8">
        <v>42861.666666666664</v>
      </c>
      <c r="E18" s="168">
        <v>0.17</v>
      </c>
      <c r="F18" s="168" t="s">
        <v>764</v>
      </c>
      <c r="G18" s="168">
        <v>316.70999999999998</v>
      </c>
      <c r="H18" s="168">
        <v>0</v>
      </c>
      <c r="I18" s="168">
        <v>0</v>
      </c>
      <c r="J18" s="168">
        <v>1004.09</v>
      </c>
      <c r="K18" s="168" t="s">
        <v>765</v>
      </c>
      <c r="L18" s="168">
        <v>80.760000000000005</v>
      </c>
      <c r="M18" s="168">
        <v>1494108000</v>
      </c>
      <c r="N18" s="168">
        <v>3.65</v>
      </c>
      <c r="O18" s="168">
        <v>204</v>
      </c>
      <c r="P18" s="168">
        <v>1.49</v>
      </c>
      <c r="Q18"/>
      <c r="R18"/>
    </row>
    <row r="19" spans="1:18" x14ac:dyDescent="0.25">
      <c r="A19" s="168">
        <v>78.09</v>
      </c>
      <c r="B19" s="168">
        <v>0.61</v>
      </c>
      <c r="C19" s="168">
        <v>36.4</v>
      </c>
      <c r="D19" s="8">
        <v>42861.708333333336</v>
      </c>
      <c r="E19" s="168">
        <v>0.22</v>
      </c>
      <c r="F19" s="168" t="s">
        <v>764</v>
      </c>
      <c r="G19" s="168">
        <v>316.86</v>
      </c>
      <c r="H19" s="168">
        <v>0</v>
      </c>
      <c r="I19" s="168">
        <v>0</v>
      </c>
      <c r="J19" s="168">
        <v>1003.98</v>
      </c>
      <c r="K19" s="168" t="s">
        <v>766</v>
      </c>
      <c r="L19" s="168">
        <v>78.09</v>
      </c>
      <c r="M19" s="168">
        <v>1494111600</v>
      </c>
      <c r="N19" s="168">
        <v>3.76</v>
      </c>
      <c r="O19" s="168">
        <v>137</v>
      </c>
      <c r="P19" s="168">
        <v>7.02</v>
      </c>
      <c r="Q19"/>
      <c r="R19"/>
    </row>
    <row r="20" spans="1:18" x14ac:dyDescent="0.25">
      <c r="A20" s="168">
        <v>77.69</v>
      </c>
      <c r="B20" s="168">
        <v>0.67</v>
      </c>
      <c r="C20" s="168">
        <v>37.479999999999997</v>
      </c>
      <c r="D20" s="8">
        <v>42861.75</v>
      </c>
      <c r="E20" s="168">
        <v>0.24</v>
      </c>
      <c r="F20" s="168" t="s">
        <v>764</v>
      </c>
      <c r="G20" s="168">
        <v>316.77999999999997</v>
      </c>
      <c r="H20" s="168">
        <v>0</v>
      </c>
      <c r="I20" s="168">
        <v>0</v>
      </c>
      <c r="J20" s="168">
        <v>1004.07</v>
      </c>
      <c r="K20" s="168" t="s">
        <v>766</v>
      </c>
      <c r="L20" s="168">
        <v>77.69</v>
      </c>
      <c r="M20" s="168">
        <v>1494115200</v>
      </c>
      <c r="N20" s="168">
        <v>10</v>
      </c>
      <c r="O20" s="168">
        <v>121</v>
      </c>
      <c r="P20" s="168">
        <v>5.43</v>
      </c>
      <c r="Q20"/>
      <c r="R20"/>
    </row>
    <row r="21" spans="1:18" x14ac:dyDescent="0.25">
      <c r="A21" s="168">
        <v>76</v>
      </c>
      <c r="B21" s="168">
        <v>0.59</v>
      </c>
      <c r="C21" s="168">
        <v>36.76</v>
      </c>
      <c r="D21" s="8">
        <v>42861.791666666664</v>
      </c>
      <c r="E21" s="168">
        <v>0.24</v>
      </c>
      <c r="F21" s="168" t="s">
        <v>764</v>
      </c>
      <c r="G21" s="168">
        <v>316.29000000000002</v>
      </c>
      <c r="H21" s="168">
        <v>0</v>
      </c>
      <c r="I21" s="168">
        <v>0</v>
      </c>
      <c r="J21" s="168">
        <v>1004.19</v>
      </c>
      <c r="K21" s="168" t="s">
        <v>765</v>
      </c>
      <c r="L21" s="168">
        <v>76</v>
      </c>
      <c r="M21" s="168">
        <v>1494118800</v>
      </c>
      <c r="N21" s="168">
        <v>4.41</v>
      </c>
      <c r="O21" s="168">
        <v>153</v>
      </c>
      <c r="P21" s="168">
        <v>5.62</v>
      </c>
      <c r="Q21"/>
      <c r="R21"/>
    </row>
    <row r="22" spans="1:18" x14ac:dyDescent="0.25">
      <c r="A22" s="168">
        <v>72.459999999999994</v>
      </c>
      <c r="B22" s="168">
        <v>0.44</v>
      </c>
      <c r="C22" s="168">
        <v>36.47</v>
      </c>
      <c r="D22" s="8">
        <v>42861.833333333336</v>
      </c>
      <c r="E22" s="168">
        <v>0.27</v>
      </c>
      <c r="F22" s="168" t="s">
        <v>767</v>
      </c>
      <c r="G22" s="168">
        <v>315.57</v>
      </c>
      <c r="H22" s="168">
        <v>0</v>
      </c>
      <c r="I22" s="168">
        <v>0</v>
      </c>
      <c r="J22" s="168">
        <v>1004.57</v>
      </c>
      <c r="K22" s="168" t="s">
        <v>765</v>
      </c>
      <c r="L22" s="168">
        <v>72.459999999999994</v>
      </c>
      <c r="M22" s="168">
        <v>1494122400</v>
      </c>
      <c r="N22" s="168">
        <v>5.14</v>
      </c>
      <c r="O22" s="168">
        <v>177</v>
      </c>
      <c r="P22" s="168">
        <v>4.92</v>
      </c>
      <c r="Q22"/>
      <c r="R22"/>
    </row>
    <row r="23" spans="1:18" x14ac:dyDescent="0.25">
      <c r="A23" s="168">
        <v>69.81</v>
      </c>
      <c r="B23" s="168">
        <v>0.41</v>
      </c>
      <c r="C23" s="168">
        <v>36.78</v>
      </c>
      <c r="D23" s="8">
        <v>42861.875</v>
      </c>
      <c r="E23" s="168">
        <v>0.3</v>
      </c>
      <c r="F23" s="168" t="s">
        <v>767</v>
      </c>
      <c r="G23" s="168">
        <v>314.72000000000003</v>
      </c>
      <c r="H23" s="168">
        <v>0</v>
      </c>
      <c r="I23" s="168">
        <v>0</v>
      </c>
      <c r="J23" s="168">
        <v>1004.9</v>
      </c>
      <c r="K23" s="168" t="s">
        <v>765</v>
      </c>
      <c r="L23" s="168">
        <v>69.81</v>
      </c>
      <c r="M23" s="168">
        <v>1494126000</v>
      </c>
      <c r="N23" s="168">
        <v>6.32</v>
      </c>
      <c r="O23" s="168">
        <v>191</v>
      </c>
      <c r="P23" s="168">
        <v>7.15</v>
      </c>
      <c r="Q23"/>
      <c r="R23"/>
    </row>
    <row r="24" spans="1:18" x14ac:dyDescent="0.25">
      <c r="A24" s="168">
        <v>68.08</v>
      </c>
      <c r="B24" s="168">
        <v>0.56999999999999995</v>
      </c>
      <c r="C24" s="168">
        <v>36.979999999999997</v>
      </c>
      <c r="D24" s="8">
        <v>42861.916666666664</v>
      </c>
      <c r="E24" s="168">
        <v>0.32</v>
      </c>
      <c r="F24" s="168" t="s">
        <v>767</v>
      </c>
      <c r="G24" s="168">
        <v>313.74</v>
      </c>
      <c r="H24" s="168">
        <v>0</v>
      </c>
      <c r="I24" s="168">
        <v>0</v>
      </c>
      <c r="J24" s="168">
        <v>1005.13</v>
      </c>
      <c r="K24" s="168" t="s">
        <v>765</v>
      </c>
      <c r="L24" s="168">
        <v>68.08</v>
      </c>
      <c r="M24" s="168">
        <v>1494129600</v>
      </c>
      <c r="N24" s="168">
        <v>4.62</v>
      </c>
      <c r="O24" s="168">
        <v>172</v>
      </c>
      <c r="P24" s="168">
        <v>5.74</v>
      </c>
      <c r="Q24"/>
      <c r="R24"/>
    </row>
    <row r="25" spans="1:18" x14ac:dyDescent="0.25">
      <c r="A25" s="168">
        <v>67.349999999999994</v>
      </c>
      <c r="B25" s="168">
        <v>0.75</v>
      </c>
      <c r="C25" s="168">
        <v>36.79</v>
      </c>
      <c r="D25" s="8">
        <v>42861.958333333336</v>
      </c>
      <c r="E25" s="168">
        <v>0.32</v>
      </c>
      <c r="F25" s="168" t="s">
        <v>767</v>
      </c>
      <c r="G25" s="168">
        <v>312.63</v>
      </c>
      <c r="H25" s="168">
        <v>0</v>
      </c>
      <c r="I25" s="168">
        <v>0</v>
      </c>
      <c r="J25" s="168">
        <v>1005.3</v>
      </c>
      <c r="K25" s="168" t="s">
        <v>766</v>
      </c>
      <c r="L25" s="168">
        <v>67.349999999999994</v>
      </c>
      <c r="M25" s="168">
        <v>1494133200</v>
      </c>
      <c r="N25" s="168">
        <v>3.62</v>
      </c>
      <c r="O25" s="168">
        <v>197</v>
      </c>
      <c r="P25" s="168">
        <v>5.2</v>
      </c>
      <c r="Q25"/>
      <c r="R25"/>
    </row>
    <row r="26" spans="1:18" x14ac:dyDescent="0.25">
      <c r="A26" s="168">
        <v>66.23</v>
      </c>
      <c r="B26" s="168">
        <v>0.83</v>
      </c>
      <c r="C26" s="168">
        <v>37.04</v>
      </c>
      <c r="D26" s="8">
        <v>42862</v>
      </c>
      <c r="E26" s="168">
        <v>0.34</v>
      </c>
      <c r="F26" s="168" t="s">
        <v>767</v>
      </c>
      <c r="G26" s="168">
        <v>311.52999999999997</v>
      </c>
      <c r="H26" s="168">
        <v>0</v>
      </c>
      <c r="I26" s="168">
        <v>0</v>
      </c>
      <c r="J26" s="168">
        <v>1005.42</v>
      </c>
      <c r="K26" s="168" t="s">
        <v>766</v>
      </c>
      <c r="L26" s="168">
        <v>66.23</v>
      </c>
      <c r="M26" s="168">
        <v>1494136800</v>
      </c>
      <c r="N26" s="168">
        <v>3.26</v>
      </c>
      <c r="O26" s="168">
        <v>196</v>
      </c>
      <c r="P26" s="168">
        <v>4.96</v>
      </c>
      <c r="Q26"/>
      <c r="R26"/>
    </row>
    <row r="27" spans="1:18" x14ac:dyDescent="0.25">
      <c r="A27" s="168">
        <v>64.900000000000006</v>
      </c>
      <c r="B27" s="168">
        <v>0.75</v>
      </c>
      <c r="C27" s="168">
        <v>37.200000000000003</v>
      </c>
      <c r="D27" s="8">
        <v>42862.041666666664</v>
      </c>
      <c r="E27" s="168">
        <v>0.36</v>
      </c>
      <c r="F27" s="168" t="s">
        <v>767</v>
      </c>
      <c r="G27" s="168">
        <v>310.51</v>
      </c>
      <c r="H27" s="168">
        <v>0</v>
      </c>
      <c r="I27" s="168">
        <v>0</v>
      </c>
      <c r="J27" s="168">
        <v>1005.55</v>
      </c>
      <c r="K27" s="168" t="s">
        <v>766</v>
      </c>
      <c r="L27" s="168">
        <v>64.900000000000006</v>
      </c>
      <c r="M27" s="168">
        <v>1494140400</v>
      </c>
      <c r="N27" s="168">
        <v>3.21</v>
      </c>
      <c r="O27" s="168">
        <v>182</v>
      </c>
      <c r="P27" s="168">
        <v>4.18</v>
      </c>
      <c r="Q27"/>
      <c r="R27"/>
    </row>
    <row r="28" spans="1:18" x14ac:dyDescent="0.25">
      <c r="A28" s="168">
        <v>63.75</v>
      </c>
      <c r="B28" s="168">
        <v>0.71</v>
      </c>
      <c r="C28" s="168">
        <v>36.93</v>
      </c>
      <c r="D28" s="8">
        <v>42862.083333333336</v>
      </c>
      <c r="E28" s="168">
        <v>0.37</v>
      </c>
      <c r="F28" s="168" t="s">
        <v>767</v>
      </c>
      <c r="G28" s="168">
        <v>309.49</v>
      </c>
      <c r="H28" s="168">
        <v>0</v>
      </c>
      <c r="I28" s="168">
        <v>0</v>
      </c>
      <c r="J28" s="168">
        <v>1005.62</v>
      </c>
      <c r="K28" s="168" t="s">
        <v>766</v>
      </c>
      <c r="L28" s="168">
        <v>63.75</v>
      </c>
      <c r="M28" s="168">
        <v>1494144000</v>
      </c>
      <c r="N28" s="168">
        <v>2.98</v>
      </c>
      <c r="O28" s="168">
        <v>167</v>
      </c>
      <c r="P28" s="168">
        <v>2.92</v>
      </c>
      <c r="Q28"/>
      <c r="R28"/>
    </row>
    <row r="29" spans="1:18" x14ac:dyDescent="0.25">
      <c r="A29" s="168">
        <v>62.92</v>
      </c>
      <c r="B29" s="168">
        <v>0.68</v>
      </c>
      <c r="C29" s="168">
        <v>36.94</v>
      </c>
      <c r="D29" s="8">
        <v>42862.125</v>
      </c>
      <c r="E29" s="168">
        <v>0.38</v>
      </c>
      <c r="F29" s="168" t="s">
        <v>767</v>
      </c>
      <c r="G29" s="168">
        <v>308.47000000000003</v>
      </c>
      <c r="H29" s="168">
        <v>0</v>
      </c>
      <c r="I29" s="168">
        <v>0</v>
      </c>
      <c r="J29" s="168">
        <v>1005.68</v>
      </c>
      <c r="K29" s="168" t="s">
        <v>766</v>
      </c>
      <c r="L29" s="168">
        <v>62.92</v>
      </c>
      <c r="M29" s="168">
        <v>1494147600</v>
      </c>
      <c r="N29" s="168">
        <v>2.5299999999999998</v>
      </c>
      <c r="O29" s="168">
        <v>160</v>
      </c>
      <c r="P29" s="168">
        <v>3.59</v>
      </c>
      <c r="Q29"/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3"/>
  <sheetViews>
    <sheetView workbookViewId="0">
      <selection activeCell="A24" sqref="A24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342</v>
      </c>
      <c r="U1" s="159"/>
      <c r="V1" s="159"/>
      <c r="W1" s="159"/>
      <c r="X1" s="159"/>
    </row>
    <row r="2" spans="1:24" ht="15.75" thickBot="1" x14ac:dyDescent="0.3">
      <c r="A2" s="12">
        <v>42861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343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344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345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346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1008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1009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1010</v>
      </c>
      <c r="J20" s="143" t="s">
        <v>87</v>
      </c>
      <c r="M20" s="157" t="s">
        <v>422</v>
      </c>
      <c r="N20" s="157" t="s">
        <v>341</v>
      </c>
      <c r="T20" s="158"/>
      <c r="U20" s="158"/>
      <c r="V20" s="158"/>
      <c r="W20" s="158"/>
      <c r="X20" s="158"/>
    </row>
    <row r="21" spans="3:24" x14ac:dyDescent="0.25">
      <c r="C21" t="s">
        <v>1011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1012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1013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1014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1015</v>
      </c>
      <c r="J25" s="143" t="s">
        <v>150</v>
      </c>
      <c r="M25" s="157" t="b">
        <v>1</v>
      </c>
    </row>
    <row r="26" spans="3:24" x14ac:dyDescent="0.25">
      <c r="C26" t="s">
        <v>1016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C:\Users\stu\Documents\GitHub\eaglep3-reporting\EC\2017-05-06-refined-times.txt</v>
      </c>
    </row>
    <row r="27" spans="3:24" x14ac:dyDescent="0.25">
      <c r="C27" t="s">
        <v>1017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C:\Users\stu\Documents\GitHub\eaglep3-reporting\EC\2017-05-06-Enforcements.txt</v>
      </c>
    </row>
    <row r="28" spans="3:24" x14ac:dyDescent="0.25">
      <c r="C28" t="s">
        <v>1018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C:\Users\stu\Documents\GitHub\eaglep3-reporting\EC\2017-05-06-Runs-refined.txt</v>
      </c>
    </row>
    <row r="29" spans="3:24" x14ac:dyDescent="0.25">
      <c r="C29" t="s">
        <v>1019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C:\Users\stu\Documents\GitHub\eaglep3-reporting\EC\2017-05-06-Trips.txt</v>
      </c>
    </row>
    <row r="30" spans="3:24" x14ac:dyDescent="0.25">
      <c r="C30" t="s">
        <v>1020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C:\Users\stu\Documents\GitHub\eaglep3-reporting\EC\2017-05-06-Weather.txt</v>
      </c>
    </row>
    <row r="31" spans="3:24" x14ac:dyDescent="0.25">
      <c r="C31" t="s">
        <v>1021</v>
      </c>
      <c r="J31" s="143" t="s">
        <v>201</v>
      </c>
      <c r="M31" s="157" t="s">
        <v>202</v>
      </c>
    </row>
    <row r="32" spans="3:24" x14ac:dyDescent="0.25">
      <c r="C32" t="s">
        <v>1022</v>
      </c>
    </row>
    <row r="33" spans="3:3" x14ac:dyDescent="0.25">
      <c r="C33" t="s">
        <v>1023</v>
      </c>
    </row>
    <row r="34" spans="3:3" x14ac:dyDescent="0.25">
      <c r="C34" t="s">
        <v>1024</v>
      </c>
    </row>
    <row r="35" spans="3:3" x14ac:dyDescent="0.25">
      <c r="C35" t="s">
        <v>1025</v>
      </c>
    </row>
    <row r="36" spans="3:3" x14ac:dyDescent="0.25">
      <c r="C36" t="s">
        <v>1026</v>
      </c>
    </row>
    <row r="37" spans="3:3" x14ac:dyDescent="0.25">
      <c r="C37" t="s">
        <v>1027</v>
      </c>
    </row>
    <row r="38" spans="3:3" x14ac:dyDescent="0.25">
      <c r="C38" t="s">
        <v>1028</v>
      </c>
    </row>
    <row r="39" spans="3:3" x14ac:dyDescent="0.25">
      <c r="C39" t="s">
        <v>1029</v>
      </c>
    </row>
    <row r="40" spans="3:3" x14ac:dyDescent="0.25">
      <c r="C40" t="s">
        <v>1030</v>
      </c>
    </row>
    <row r="41" spans="3:3" x14ac:dyDescent="0.25">
      <c r="C41" t="s">
        <v>1031</v>
      </c>
    </row>
    <row r="42" spans="3:3" x14ac:dyDescent="0.25">
      <c r="C42" t="s">
        <v>1032</v>
      </c>
    </row>
    <row r="43" spans="3:3" x14ac:dyDescent="0.25">
      <c r="C43" t="s">
        <v>1033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365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366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211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212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213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214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215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216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217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218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219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220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221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222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223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224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225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226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227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228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229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230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231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232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233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234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235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236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237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238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239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240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241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242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243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244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245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246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247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248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249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250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251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252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253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254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255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256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257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258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259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260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261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262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263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264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265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266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267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268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269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270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271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272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273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274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275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276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277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278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279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280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281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282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283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284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285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286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287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288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289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290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291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292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293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294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295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296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297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298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299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300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301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302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303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304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305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306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307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308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309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310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311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312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313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314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315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316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317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318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319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320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321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322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323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324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325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326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327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328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329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330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331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332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333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334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335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336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337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338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339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340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2017-05-09T15:42:39Z</dcterms:modified>
</cp:coreProperties>
</file>