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Variables" sheetId="5" r:id="rId5"/>
    <sheet name="Redmine List Values" sheetId="7" r:id="rId6"/>
  </sheets>
  <externalReferences>
    <externalReference r:id="rId7"/>
    <externalReference r:id="rId8"/>
  </externalReferences>
  <definedNames>
    <definedName name="_xlnm._FilterDatabase" localSheetId="1" hidden="1">Enforcements!$A$6:$Z$61</definedName>
    <definedName name="_xlnm._FilterDatabase" localSheetId="2" hidden="1">'Missing Trips'!$B$2:$I$2</definedName>
    <definedName name="_xlnm._FilterDatabase" localSheetId="0" hidden="1">'Train Runs'!$A$12:$AG$241</definedName>
    <definedName name="_xlnm._FilterDatabase" localSheetId="3" hidden="1">'Trips&amp;Operators'!$A$1:$E$211</definedName>
    <definedName name="astrogrep_path">Variables!$M$18</definedName>
    <definedName name="Denver_Train_Runs_04122016" localSheetId="0">'Train Runs'!$A$12:$J$64</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s3_bucket">Variables!$M$21</definedName>
    <definedName name="search_path">Variables!$M$19</definedName>
    <definedName name="search_regexp">Variables!$M$20</definedName>
    <definedName name="utc_offset">Variables!$M$23</definedName>
    <definedName name="walkandungz">Variables!$M$22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15" i="1" l="1"/>
  <c r="L115" i="1"/>
  <c r="M115" i="1"/>
  <c r="V115" i="1"/>
  <c r="Y115" i="1"/>
  <c r="Z115" i="1"/>
  <c r="AB115" i="1"/>
  <c r="AC115" i="1"/>
  <c r="AD115" i="1"/>
  <c r="T115" i="1" s="1"/>
  <c r="AE115" i="1"/>
  <c r="AF115" i="1"/>
  <c r="AH115" i="1"/>
  <c r="K15" i="1"/>
  <c r="L15" i="1"/>
  <c r="M15" i="1"/>
  <c r="V15" i="1"/>
  <c r="Y15" i="1"/>
  <c r="Z15" i="1"/>
  <c r="AB15" i="1"/>
  <c r="AC15" i="1"/>
  <c r="AD15" i="1"/>
  <c r="AG15" i="1" s="1"/>
  <c r="AE15" i="1"/>
  <c r="AF15" i="1"/>
  <c r="AH15" i="1"/>
  <c r="K14" i="1"/>
  <c r="L14" i="1"/>
  <c r="M14" i="1"/>
  <c r="N14" i="1" s="1"/>
  <c r="V14" i="1"/>
  <c r="Y14" i="1"/>
  <c r="Z14" i="1"/>
  <c r="AB14" i="1"/>
  <c r="AC14" i="1"/>
  <c r="AD14" i="1"/>
  <c r="AE14" i="1"/>
  <c r="AF14" i="1"/>
  <c r="K16" i="1"/>
  <c r="L16" i="1"/>
  <c r="M16" i="1"/>
  <c r="N16" i="1" s="1"/>
  <c r="V16" i="1"/>
  <c r="Y16" i="1"/>
  <c r="Z16" i="1"/>
  <c r="AB16" i="1"/>
  <c r="AC16" i="1"/>
  <c r="AD16" i="1"/>
  <c r="T16" i="1" s="1"/>
  <c r="AE16" i="1"/>
  <c r="AF16" i="1"/>
  <c r="K17" i="1"/>
  <c r="L17" i="1"/>
  <c r="M17" i="1"/>
  <c r="N17" i="1" s="1"/>
  <c r="V17" i="1"/>
  <c r="Y17" i="1"/>
  <c r="Z17" i="1"/>
  <c r="AB17" i="1"/>
  <c r="AC17" i="1"/>
  <c r="AD17" i="1"/>
  <c r="AG17" i="1" s="1"/>
  <c r="AE17" i="1"/>
  <c r="AF17" i="1"/>
  <c r="K18" i="1"/>
  <c r="L18" i="1"/>
  <c r="M18" i="1"/>
  <c r="N18" i="1" s="1"/>
  <c r="V18" i="1"/>
  <c r="Y18" i="1"/>
  <c r="Z18" i="1"/>
  <c r="AB18" i="1"/>
  <c r="AC18" i="1"/>
  <c r="AD18" i="1"/>
  <c r="AE18" i="1"/>
  <c r="AF18" i="1"/>
  <c r="K19" i="1"/>
  <c r="L19" i="1"/>
  <c r="M19" i="1"/>
  <c r="V19" i="1"/>
  <c r="Y19" i="1"/>
  <c r="Z19" i="1"/>
  <c r="AB19" i="1"/>
  <c r="AC19" i="1"/>
  <c r="AD19" i="1"/>
  <c r="AE19" i="1"/>
  <c r="AF19" i="1"/>
  <c r="K20" i="1"/>
  <c r="L20" i="1"/>
  <c r="M20" i="1"/>
  <c r="V20" i="1"/>
  <c r="Y20" i="1"/>
  <c r="Z20" i="1"/>
  <c r="AB20" i="1"/>
  <c r="AC20" i="1"/>
  <c r="AD20" i="1"/>
  <c r="AG20" i="1" s="1"/>
  <c r="AE20" i="1"/>
  <c r="AF20" i="1"/>
  <c r="K21" i="1"/>
  <c r="L21" i="1"/>
  <c r="M21" i="1"/>
  <c r="N21" i="1" s="1"/>
  <c r="V21" i="1"/>
  <c r="Y21" i="1"/>
  <c r="Z21" i="1"/>
  <c r="AB21" i="1"/>
  <c r="AC21" i="1"/>
  <c r="AD21" i="1"/>
  <c r="AG21" i="1" s="1"/>
  <c r="AE21" i="1"/>
  <c r="AF21" i="1"/>
  <c r="K22" i="1"/>
  <c r="L22" i="1"/>
  <c r="M22" i="1"/>
  <c r="N22" i="1" s="1"/>
  <c r="V22" i="1"/>
  <c r="Y22" i="1"/>
  <c r="Z22" i="1"/>
  <c r="AB22" i="1"/>
  <c r="AC22" i="1"/>
  <c r="AD22" i="1"/>
  <c r="T22" i="1" s="1"/>
  <c r="AE22" i="1"/>
  <c r="AF22" i="1"/>
  <c r="K23" i="1"/>
  <c r="L23" i="1"/>
  <c r="M23" i="1"/>
  <c r="N23" i="1" s="1"/>
  <c r="V23" i="1"/>
  <c r="Y23" i="1"/>
  <c r="Z23" i="1"/>
  <c r="AB23" i="1"/>
  <c r="AC23" i="1"/>
  <c r="AD23" i="1"/>
  <c r="AE23" i="1"/>
  <c r="AF23" i="1"/>
  <c r="K24" i="1"/>
  <c r="L24" i="1"/>
  <c r="M24" i="1"/>
  <c r="N24" i="1" s="1"/>
  <c r="V24" i="1"/>
  <c r="Y24" i="1"/>
  <c r="Z24" i="1"/>
  <c r="AB24" i="1"/>
  <c r="AC24" i="1"/>
  <c r="AD24" i="1"/>
  <c r="AG24" i="1" s="1"/>
  <c r="AE24" i="1"/>
  <c r="AF24" i="1"/>
  <c r="K25" i="1"/>
  <c r="L25" i="1"/>
  <c r="M25" i="1"/>
  <c r="N25" i="1" s="1"/>
  <c r="V25" i="1"/>
  <c r="Y25" i="1"/>
  <c r="Z25" i="1"/>
  <c r="AB25" i="1"/>
  <c r="AC25" i="1"/>
  <c r="AD25" i="1"/>
  <c r="AG25" i="1" s="1"/>
  <c r="AE25" i="1"/>
  <c r="AF25" i="1"/>
  <c r="K26" i="1"/>
  <c r="L26" i="1"/>
  <c r="M26" i="1"/>
  <c r="N26" i="1" s="1"/>
  <c r="V26" i="1"/>
  <c r="Y26" i="1"/>
  <c r="Z26" i="1"/>
  <c r="AB26" i="1"/>
  <c r="AC26" i="1"/>
  <c r="AD26" i="1"/>
  <c r="T26" i="1" s="1"/>
  <c r="AE26" i="1"/>
  <c r="AF26" i="1"/>
  <c r="K27" i="1"/>
  <c r="L27" i="1"/>
  <c r="M27" i="1"/>
  <c r="N27" i="1" s="1"/>
  <c r="V27" i="1"/>
  <c r="Y27" i="1"/>
  <c r="Z27" i="1"/>
  <c r="AB27" i="1"/>
  <c r="AC27" i="1"/>
  <c r="AD27" i="1"/>
  <c r="AE27" i="1"/>
  <c r="AF27" i="1"/>
  <c r="K28" i="1"/>
  <c r="L28" i="1"/>
  <c r="M28" i="1"/>
  <c r="N28" i="1" s="1"/>
  <c r="V28" i="1"/>
  <c r="Y28" i="1"/>
  <c r="Z28" i="1"/>
  <c r="AB28" i="1"/>
  <c r="AC28" i="1"/>
  <c r="AD28" i="1"/>
  <c r="T28" i="1" s="1"/>
  <c r="AE28" i="1"/>
  <c r="AF28" i="1"/>
  <c r="K29" i="1"/>
  <c r="L29" i="1"/>
  <c r="M29" i="1"/>
  <c r="N29" i="1" s="1"/>
  <c r="V29" i="1"/>
  <c r="Y29" i="1"/>
  <c r="Z29" i="1"/>
  <c r="AB29" i="1"/>
  <c r="AC29" i="1"/>
  <c r="AD29" i="1"/>
  <c r="AG29" i="1" s="1"/>
  <c r="AE29" i="1"/>
  <c r="AF29" i="1"/>
  <c r="K30" i="1"/>
  <c r="L30" i="1"/>
  <c r="M30" i="1"/>
  <c r="N30" i="1" s="1"/>
  <c r="V30" i="1"/>
  <c r="Y30" i="1"/>
  <c r="Z30" i="1"/>
  <c r="AB30" i="1"/>
  <c r="AC30" i="1"/>
  <c r="AD30" i="1"/>
  <c r="T30" i="1" s="1"/>
  <c r="AE30" i="1"/>
  <c r="AF30" i="1"/>
  <c r="K31" i="1"/>
  <c r="L31" i="1"/>
  <c r="M31" i="1"/>
  <c r="N31" i="1" s="1"/>
  <c r="V31" i="1"/>
  <c r="Y31" i="1"/>
  <c r="Z31" i="1"/>
  <c r="AB31" i="1"/>
  <c r="AC31" i="1"/>
  <c r="AD31" i="1"/>
  <c r="T31" i="1" s="1"/>
  <c r="AE31" i="1"/>
  <c r="AF31" i="1"/>
  <c r="K32" i="1"/>
  <c r="L32" i="1"/>
  <c r="M32" i="1"/>
  <c r="N32" i="1" s="1"/>
  <c r="V32" i="1"/>
  <c r="Y32" i="1"/>
  <c r="Z32" i="1"/>
  <c r="AB32" i="1"/>
  <c r="AC32" i="1"/>
  <c r="AD32" i="1"/>
  <c r="T32" i="1" s="1"/>
  <c r="AE32" i="1"/>
  <c r="AF32" i="1"/>
  <c r="K33" i="1"/>
  <c r="L33" i="1"/>
  <c r="M33" i="1"/>
  <c r="N33" i="1" s="1"/>
  <c r="V33" i="1"/>
  <c r="Y33" i="1"/>
  <c r="Z33" i="1"/>
  <c r="AB33" i="1"/>
  <c r="AC33" i="1"/>
  <c r="AD33" i="1"/>
  <c r="AG33" i="1" s="1"/>
  <c r="AE33" i="1"/>
  <c r="AF33" i="1"/>
  <c r="K34" i="1"/>
  <c r="L34" i="1"/>
  <c r="M34" i="1"/>
  <c r="N34" i="1" s="1"/>
  <c r="V34" i="1"/>
  <c r="Y34" i="1"/>
  <c r="Z34" i="1"/>
  <c r="AB34" i="1"/>
  <c r="AC34" i="1"/>
  <c r="AD34" i="1"/>
  <c r="T34" i="1" s="1"/>
  <c r="AE34" i="1"/>
  <c r="AF34" i="1"/>
  <c r="K35" i="1"/>
  <c r="L35" i="1"/>
  <c r="M35" i="1"/>
  <c r="N35" i="1" s="1"/>
  <c r="V35" i="1"/>
  <c r="Y35" i="1"/>
  <c r="Z35" i="1"/>
  <c r="AB35" i="1"/>
  <c r="AC35" i="1"/>
  <c r="AD35" i="1"/>
  <c r="T35" i="1" s="1"/>
  <c r="AE35" i="1"/>
  <c r="AF35" i="1"/>
  <c r="K36" i="1"/>
  <c r="L36" i="1"/>
  <c r="M36" i="1"/>
  <c r="N36" i="1" s="1"/>
  <c r="V36" i="1"/>
  <c r="Y36" i="1"/>
  <c r="Z36" i="1"/>
  <c r="AB36" i="1"/>
  <c r="AC36" i="1"/>
  <c r="AD36" i="1"/>
  <c r="AG36" i="1" s="1"/>
  <c r="AE36" i="1"/>
  <c r="AF36" i="1"/>
  <c r="K37" i="1"/>
  <c r="L37" i="1"/>
  <c r="M37" i="1"/>
  <c r="N37" i="1" s="1"/>
  <c r="V37" i="1"/>
  <c r="Y37" i="1"/>
  <c r="Z37" i="1"/>
  <c r="AB37" i="1"/>
  <c r="AC37" i="1"/>
  <c r="AD37" i="1"/>
  <c r="AE37" i="1"/>
  <c r="AF37" i="1"/>
  <c r="K38" i="1"/>
  <c r="L38" i="1"/>
  <c r="M38" i="1"/>
  <c r="V38" i="1"/>
  <c r="Y38" i="1"/>
  <c r="Z38" i="1"/>
  <c r="AB38" i="1"/>
  <c r="AC38" i="1"/>
  <c r="AD38" i="1"/>
  <c r="AE38" i="1"/>
  <c r="AF38" i="1"/>
  <c r="K39" i="1"/>
  <c r="L39" i="1"/>
  <c r="M39" i="1"/>
  <c r="V39" i="1"/>
  <c r="Y39" i="1"/>
  <c r="Z39" i="1"/>
  <c r="AB39" i="1"/>
  <c r="AC39" i="1"/>
  <c r="AD39" i="1"/>
  <c r="AE39" i="1"/>
  <c r="AF39" i="1"/>
  <c r="K40" i="1"/>
  <c r="L40" i="1"/>
  <c r="M40" i="1"/>
  <c r="N40" i="1" s="1"/>
  <c r="V40" i="1"/>
  <c r="Y40" i="1"/>
  <c r="Z40" i="1"/>
  <c r="AB40" i="1"/>
  <c r="AC40" i="1"/>
  <c r="AD40" i="1"/>
  <c r="AE40" i="1"/>
  <c r="AF40" i="1"/>
  <c r="K41" i="1"/>
  <c r="L41" i="1"/>
  <c r="M41" i="1"/>
  <c r="N41" i="1" s="1"/>
  <c r="V41" i="1"/>
  <c r="Y41" i="1"/>
  <c r="Z41" i="1"/>
  <c r="AB41" i="1"/>
  <c r="AC41" i="1"/>
  <c r="AD41" i="1"/>
  <c r="AG41" i="1" s="1"/>
  <c r="AE41" i="1"/>
  <c r="AF41" i="1"/>
  <c r="K42" i="1"/>
  <c r="L42" i="1"/>
  <c r="M42" i="1"/>
  <c r="N42" i="1" s="1"/>
  <c r="V42" i="1"/>
  <c r="Y42" i="1"/>
  <c r="Z42" i="1"/>
  <c r="AB42" i="1"/>
  <c r="AC42" i="1"/>
  <c r="AD42" i="1"/>
  <c r="AE42" i="1"/>
  <c r="AF42" i="1"/>
  <c r="K43" i="1"/>
  <c r="L43" i="1"/>
  <c r="M43" i="1"/>
  <c r="N43" i="1" s="1"/>
  <c r="V43" i="1"/>
  <c r="Y43" i="1"/>
  <c r="Z43" i="1"/>
  <c r="AB43" i="1"/>
  <c r="AC43" i="1"/>
  <c r="AD43" i="1"/>
  <c r="AE43" i="1"/>
  <c r="AF43" i="1"/>
  <c r="K44" i="1"/>
  <c r="L44" i="1"/>
  <c r="M44" i="1"/>
  <c r="N44" i="1" s="1"/>
  <c r="V44" i="1"/>
  <c r="Y44" i="1"/>
  <c r="Z44" i="1"/>
  <c r="AB44" i="1"/>
  <c r="AC44" i="1"/>
  <c r="AD44" i="1"/>
  <c r="T44" i="1" s="1"/>
  <c r="AE44" i="1"/>
  <c r="AF44" i="1"/>
  <c r="K45" i="1"/>
  <c r="L45" i="1"/>
  <c r="M45" i="1"/>
  <c r="N45" i="1" s="1"/>
  <c r="V45" i="1"/>
  <c r="Y45" i="1"/>
  <c r="Z45" i="1"/>
  <c r="AB45" i="1"/>
  <c r="AC45" i="1"/>
  <c r="AD45" i="1"/>
  <c r="AE45" i="1"/>
  <c r="AF45" i="1"/>
  <c r="K46" i="1"/>
  <c r="L46" i="1"/>
  <c r="M46" i="1"/>
  <c r="N46" i="1" s="1"/>
  <c r="V46" i="1"/>
  <c r="Y46" i="1"/>
  <c r="Z46" i="1"/>
  <c r="AB46" i="1"/>
  <c r="AC46" i="1"/>
  <c r="AD46" i="1"/>
  <c r="AE46" i="1"/>
  <c r="AF46" i="1"/>
  <c r="K47" i="1"/>
  <c r="L47" i="1"/>
  <c r="M47" i="1"/>
  <c r="N47" i="1" s="1"/>
  <c r="V47" i="1"/>
  <c r="Y47" i="1"/>
  <c r="Z47" i="1"/>
  <c r="AB47" i="1"/>
  <c r="AC47" i="1"/>
  <c r="AD47" i="1"/>
  <c r="AE47" i="1"/>
  <c r="AF47" i="1"/>
  <c r="K48" i="1"/>
  <c r="L48" i="1"/>
  <c r="M48" i="1"/>
  <c r="N48" i="1" s="1"/>
  <c r="V48" i="1"/>
  <c r="Y48" i="1"/>
  <c r="Z48" i="1"/>
  <c r="AB48" i="1"/>
  <c r="AC48" i="1"/>
  <c r="AD48" i="1"/>
  <c r="AG48" i="1" s="1"/>
  <c r="AE48" i="1"/>
  <c r="AF48" i="1"/>
  <c r="K49" i="1"/>
  <c r="L49" i="1"/>
  <c r="M49" i="1"/>
  <c r="N49" i="1" s="1"/>
  <c r="V49" i="1"/>
  <c r="Y49" i="1"/>
  <c r="Z49" i="1"/>
  <c r="AB49" i="1"/>
  <c r="AC49" i="1"/>
  <c r="AD49" i="1"/>
  <c r="AG49" i="1" s="1"/>
  <c r="AE49" i="1"/>
  <c r="AF49" i="1"/>
  <c r="K50" i="1"/>
  <c r="L50" i="1"/>
  <c r="M50" i="1"/>
  <c r="N50" i="1" s="1"/>
  <c r="V50" i="1"/>
  <c r="Y50" i="1"/>
  <c r="Z50" i="1"/>
  <c r="AB50" i="1"/>
  <c r="AC50" i="1"/>
  <c r="AD50" i="1"/>
  <c r="AG50" i="1" s="1"/>
  <c r="AE50" i="1"/>
  <c r="AF50" i="1"/>
  <c r="K51" i="1"/>
  <c r="L51" i="1"/>
  <c r="M51" i="1"/>
  <c r="N51" i="1" s="1"/>
  <c r="V51" i="1"/>
  <c r="Y51" i="1"/>
  <c r="Z51" i="1"/>
  <c r="AB51" i="1"/>
  <c r="AC51" i="1"/>
  <c r="AD51" i="1"/>
  <c r="AE51" i="1"/>
  <c r="AF51" i="1"/>
  <c r="K52" i="1"/>
  <c r="L52" i="1"/>
  <c r="M52" i="1"/>
  <c r="N52" i="1" s="1"/>
  <c r="V52" i="1"/>
  <c r="Y52" i="1"/>
  <c r="Z52" i="1"/>
  <c r="AB52" i="1"/>
  <c r="AC52" i="1"/>
  <c r="AD52" i="1"/>
  <c r="T52" i="1" s="1"/>
  <c r="AE52" i="1"/>
  <c r="AF52" i="1"/>
  <c r="K53" i="1"/>
  <c r="L53" i="1"/>
  <c r="M53" i="1"/>
  <c r="N53" i="1" s="1"/>
  <c r="V53" i="1"/>
  <c r="Y53" i="1"/>
  <c r="Z53" i="1"/>
  <c r="AB53" i="1"/>
  <c r="AC53" i="1"/>
  <c r="AD53" i="1"/>
  <c r="AE53" i="1"/>
  <c r="AF53" i="1"/>
  <c r="K54" i="1"/>
  <c r="L54" i="1"/>
  <c r="M54" i="1"/>
  <c r="N54" i="1" s="1"/>
  <c r="V54" i="1"/>
  <c r="Y54" i="1"/>
  <c r="Z54" i="1"/>
  <c r="AB54" i="1"/>
  <c r="AC54" i="1"/>
  <c r="AD54" i="1"/>
  <c r="T54" i="1" s="1"/>
  <c r="AE54" i="1"/>
  <c r="AF54" i="1"/>
  <c r="K55" i="1"/>
  <c r="L55" i="1"/>
  <c r="M55" i="1"/>
  <c r="N55" i="1" s="1"/>
  <c r="V55" i="1"/>
  <c r="Y55" i="1"/>
  <c r="Z55" i="1"/>
  <c r="AB55" i="1"/>
  <c r="AC55" i="1"/>
  <c r="AD55" i="1"/>
  <c r="AG55" i="1" s="1"/>
  <c r="AE55" i="1"/>
  <c r="AF55" i="1"/>
  <c r="K56" i="1"/>
  <c r="L56" i="1"/>
  <c r="M56" i="1"/>
  <c r="N56" i="1" s="1"/>
  <c r="V56" i="1"/>
  <c r="Y56" i="1"/>
  <c r="Z56" i="1"/>
  <c r="AB56" i="1"/>
  <c r="AC56" i="1"/>
  <c r="AD56" i="1"/>
  <c r="T56" i="1" s="1"/>
  <c r="AE56" i="1"/>
  <c r="AF56" i="1"/>
  <c r="K57" i="1"/>
  <c r="L57" i="1"/>
  <c r="M57" i="1"/>
  <c r="N57" i="1" s="1"/>
  <c r="V57" i="1"/>
  <c r="Y57" i="1"/>
  <c r="Z57" i="1"/>
  <c r="AB57" i="1"/>
  <c r="AC57" i="1"/>
  <c r="AD57" i="1"/>
  <c r="AE57" i="1"/>
  <c r="AF57" i="1"/>
  <c r="K58" i="1"/>
  <c r="L58" i="1"/>
  <c r="M58" i="1"/>
  <c r="N58" i="1" s="1"/>
  <c r="V58" i="1"/>
  <c r="Y58" i="1"/>
  <c r="Z58" i="1"/>
  <c r="AB58" i="1"/>
  <c r="AC58" i="1"/>
  <c r="AD58" i="1"/>
  <c r="T58" i="1" s="1"/>
  <c r="AE58" i="1"/>
  <c r="AF58" i="1"/>
  <c r="K59" i="1"/>
  <c r="L59" i="1"/>
  <c r="M59" i="1"/>
  <c r="N59" i="1" s="1"/>
  <c r="V59" i="1"/>
  <c r="Y59" i="1"/>
  <c r="Z59" i="1"/>
  <c r="AB59" i="1"/>
  <c r="AC59" i="1"/>
  <c r="AD59" i="1"/>
  <c r="AG59" i="1" s="1"/>
  <c r="AE59" i="1"/>
  <c r="AF59" i="1"/>
  <c r="K60" i="1"/>
  <c r="L60" i="1"/>
  <c r="M60" i="1"/>
  <c r="N60" i="1" s="1"/>
  <c r="V60" i="1"/>
  <c r="Y60" i="1"/>
  <c r="Z60" i="1"/>
  <c r="AB60" i="1"/>
  <c r="AC60" i="1"/>
  <c r="AD60" i="1"/>
  <c r="T60" i="1" s="1"/>
  <c r="AE60" i="1"/>
  <c r="AF60" i="1"/>
  <c r="K61" i="1"/>
  <c r="L61" i="1"/>
  <c r="M61" i="1"/>
  <c r="N61" i="1" s="1"/>
  <c r="V61" i="1"/>
  <c r="Y61" i="1"/>
  <c r="Z61" i="1"/>
  <c r="AB61" i="1"/>
  <c r="AC61" i="1"/>
  <c r="AD61" i="1"/>
  <c r="AE61" i="1"/>
  <c r="AF61" i="1"/>
  <c r="K62" i="1"/>
  <c r="L62" i="1"/>
  <c r="M62" i="1"/>
  <c r="N62" i="1" s="1"/>
  <c r="V62" i="1"/>
  <c r="Y62" i="1"/>
  <c r="Z62" i="1"/>
  <c r="AB62" i="1"/>
  <c r="AC62" i="1"/>
  <c r="AD62" i="1"/>
  <c r="AE62" i="1"/>
  <c r="AF62" i="1"/>
  <c r="K63" i="1"/>
  <c r="L63" i="1"/>
  <c r="M63" i="1"/>
  <c r="N63" i="1" s="1"/>
  <c r="V63" i="1"/>
  <c r="Y63" i="1"/>
  <c r="Z63" i="1"/>
  <c r="AB63" i="1"/>
  <c r="AC63" i="1"/>
  <c r="AD63" i="1"/>
  <c r="AG63" i="1" s="1"/>
  <c r="AE63" i="1"/>
  <c r="AF63" i="1"/>
  <c r="K64" i="1"/>
  <c r="L64" i="1"/>
  <c r="M64" i="1"/>
  <c r="N64" i="1" s="1"/>
  <c r="V64" i="1"/>
  <c r="Y64" i="1"/>
  <c r="Z64" i="1"/>
  <c r="AB64" i="1"/>
  <c r="AC64" i="1"/>
  <c r="AD64" i="1"/>
  <c r="T64" i="1" s="1"/>
  <c r="AE64" i="1"/>
  <c r="AF64" i="1"/>
  <c r="K65" i="1"/>
  <c r="L65" i="1"/>
  <c r="M65" i="1"/>
  <c r="N65" i="1" s="1"/>
  <c r="V65" i="1"/>
  <c r="Y65" i="1"/>
  <c r="Z65" i="1"/>
  <c r="AB65" i="1"/>
  <c r="AC65" i="1"/>
  <c r="AD65" i="1"/>
  <c r="AE65" i="1"/>
  <c r="AF65" i="1"/>
  <c r="K66" i="1"/>
  <c r="L66" i="1"/>
  <c r="M66" i="1"/>
  <c r="N66" i="1" s="1"/>
  <c r="V66" i="1"/>
  <c r="Y66" i="1"/>
  <c r="Z66" i="1"/>
  <c r="AB66" i="1"/>
  <c r="AC66" i="1"/>
  <c r="AD66" i="1"/>
  <c r="T66" i="1" s="1"/>
  <c r="AE66" i="1"/>
  <c r="AF66" i="1"/>
  <c r="K67" i="1"/>
  <c r="L67" i="1"/>
  <c r="M67" i="1"/>
  <c r="N67" i="1" s="1"/>
  <c r="V67" i="1"/>
  <c r="Y67" i="1"/>
  <c r="Z67" i="1"/>
  <c r="AB67" i="1"/>
  <c r="AC67" i="1"/>
  <c r="AD67" i="1"/>
  <c r="AG67" i="1" s="1"/>
  <c r="AE67" i="1"/>
  <c r="AF67" i="1"/>
  <c r="K68" i="1"/>
  <c r="L68" i="1"/>
  <c r="M68" i="1"/>
  <c r="V68" i="1"/>
  <c r="Y68" i="1"/>
  <c r="Z68" i="1"/>
  <c r="AB68" i="1"/>
  <c r="AC68" i="1"/>
  <c r="AD68" i="1"/>
  <c r="AE68" i="1"/>
  <c r="AF68" i="1"/>
  <c r="K69" i="1"/>
  <c r="L69" i="1"/>
  <c r="M69" i="1"/>
  <c r="V69" i="1"/>
  <c r="Y69" i="1"/>
  <c r="Z69" i="1"/>
  <c r="AB69" i="1"/>
  <c r="AC69" i="1"/>
  <c r="AD69" i="1"/>
  <c r="AE69" i="1"/>
  <c r="AF69" i="1"/>
  <c r="K70" i="1"/>
  <c r="L70" i="1"/>
  <c r="M70" i="1"/>
  <c r="N70" i="1" s="1"/>
  <c r="V70" i="1"/>
  <c r="Y70" i="1"/>
  <c r="Z70" i="1"/>
  <c r="AB70" i="1"/>
  <c r="AC70" i="1"/>
  <c r="AD70" i="1"/>
  <c r="T70" i="1" s="1"/>
  <c r="AE70" i="1"/>
  <c r="AF70" i="1"/>
  <c r="K71" i="1"/>
  <c r="L71" i="1"/>
  <c r="M71" i="1"/>
  <c r="N71" i="1" s="1"/>
  <c r="V71" i="1"/>
  <c r="Y71" i="1"/>
  <c r="Z71" i="1"/>
  <c r="AB71" i="1"/>
  <c r="AC71" i="1"/>
  <c r="AD71" i="1"/>
  <c r="AG71" i="1" s="1"/>
  <c r="AE71" i="1"/>
  <c r="AF71" i="1"/>
  <c r="K72" i="1"/>
  <c r="L72" i="1"/>
  <c r="M72" i="1"/>
  <c r="N72" i="1" s="1"/>
  <c r="V72" i="1"/>
  <c r="Y72" i="1"/>
  <c r="Z72" i="1"/>
  <c r="AB72" i="1"/>
  <c r="AC72" i="1"/>
  <c r="AD72" i="1"/>
  <c r="AE72" i="1"/>
  <c r="AF72" i="1"/>
  <c r="K73" i="1"/>
  <c r="L73" i="1"/>
  <c r="M73" i="1"/>
  <c r="N73" i="1" s="1"/>
  <c r="V73" i="1"/>
  <c r="Y73" i="1"/>
  <c r="Z73" i="1"/>
  <c r="AB73" i="1"/>
  <c r="AC73" i="1"/>
  <c r="AD73" i="1"/>
  <c r="AE73" i="1"/>
  <c r="AF73" i="1"/>
  <c r="K74" i="1"/>
  <c r="L74" i="1"/>
  <c r="M74" i="1"/>
  <c r="N74" i="1" s="1"/>
  <c r="V74" i="1"/>
  <c r="Y74" i="1"/>
  <c r="Z74" i="1"/>
  <c r="AB74" i="1"/>
  <c r="AC74" i="1"/>
  <c r="AD74" i="1"/>
  <c r="AG74" i="1" s="1"/>
  <c r="AE74" i="1"/>
  <c r="AF74" i="1"/>
  <c r="K75" i="1"/>
  <c r="L75" i="1"/>
  <c r="M75" i="1"/>
  <c r="P75" i="1" s="1"/>
  <c r="V75" i="1"/>
  <c r="Y75" i="1"/>
  <c r="Z75" i="1"/>
  <c r="AB75" i="1"/>
  <c r="AC75" i="1"/>
  <c r="AD75" i="1"/>
  <c r="AG75" i="1" s="1"/>
  <c r="AE75" i="1"/>
  <c r="AF75" i="1"/>
  <c r="K76" i="1"/>
  <c r="L76" i="1"/>
  <c r="M76" i="1"/>
  <c r="N76" i="1" s="1"/>
  <c r="V76" i="1"/>
  <c r="Y76" i="1"/>
  <c r="Z76" i="1"/>
  <c r="AB76" i="1"/>
  <c r="AC76" i="1"/>
  <c r="AD76" i="1"/>
  <c r="AG76" i="1" s="1"/>
  <c r="AE76" i="1"/>
  <c r="AF76" i="1"/>
  <c r="K77" i="1"/>
  <c r="L77" i="1"/>
  <c r="M77" i="1"/>
  <c r="N77" i="1" s="1"/>
  <c r="V77" i="1"/>
  <c r="Y77" i="1"/>
  <c r="Z77" i="1"/>
  <c r="AB77" i="1"/>
  <c r="AC77" i="1"/>
  <c r="AD77" i="1"/>
  <c r="T77" i="1" s="1"/>
  <c r="AE77" i="1"/>
  <c r="AF77" i="1"/>
  <c r="K78" i="1"/>
  <c r="L78" i="1"/>
  <c r="M78" i="1"/>
  <c r="N78" i="1" s="1"/>
  <c r="V78" i="1"/>
  <c r="Y78" i="1"/>
  <c r="Z78" i="1"/>
  <c r="AB78" i="1"/>
  <c r="AC78" i="1"/>
  <c r="AD78" i="1"/>
  <c r="T78" i="1" s="1"/>
  <c r="AE78" i="1"/>
  <c r="AF78" i="1"/>
  <c r="K79" i="1"/>
  <c r="L79" i="1"/>
  <c r="M79" i="1"/>
  <c r="N79" i="1" s="1"/>
  <c r="V79" i="1"/>
  <c r="Y79" i="1"/>
  <c r="Z79" i="1"/>
  <c r="AB79" i="1"/>
  <c r="AC79" i="1"/>
  <c r="AD79" i="1"/>
  <c r="AE79" i="1"/>
  <c r="AF79" i="1"/>
  <c r="K80" i="1"/>
  <c r="L80" i="1"/>
  <c r="M80" i="1"/>
  <c r="N80" i="1" s="1"/>
  <c r="V80" i="1"/>
  <c r="Y80" i="1"/>
  <c r="Z80" i="1"/>
  <c r="AB80" i="1"/>
  <c r="AC80" i="1"/>
  <c r="AD80" i="1"/>
  <c r="AE80" i="1"/>
  <c r="AF80" i="1"/>
  <c r="K81" i="1"/>
  <c r="L81" i="1"/>
  <c r="M81" i="1"/>
  <c r="N81" i="1" s="1"/>
  <c r="V81" i="1"/>
  <c r="Y81" i="1"/>
  <c r="Z81" i="1"/>
  <c r="AB81" i="1"/>
  <c r="AC81" i="1"/>
  <c r="AD81" i="1"/>
  <c r="T81" i="1" s="1"/>
  <c r="AE81" i="1"/>
  <c r="AF81" i="1"/>
  <c r="K82" i="1"/>
  <c r="L82" i="1"/>
  <c r="M82" i="1"/>
  <c r="N82" i="1" s="1"/>
  <c r="V82" i="1"/>
  <c r="Y82" i="1"/>
  <c r="Z82" i="1"/>
  <c r="AB82" i="1"/>
  <c r="AC82" i="1"/>
  <c r="AD82" i="1"/>
  <c r="T82" i="1" s="1"/>
  <c r="AE82" i="1"/>
  <c r="AF82" i="1"/>
  <c r="K83" i="1"/>
  <c r="L83" i="1"/>
  <c r="M83" i="1"/>
  <c r="N83" i="1" s="1"/>
  <c r="V83" i="1"/>
  <c r="Y83" i="1"/>
  <c r="Z83" i="1"/>
  <c r="AB83" i="1"/>
  <c r="AC83" i="1"/>
  <c r="AD83" i="1"/>
  <c r="AG83" i="1" s="1"/>
  <c r="AE83" i="1"/>
  <c r="AF83" i="1"/>
  <c r="K84" i="1"/>
  <c r="L84" i="1"/>
  <c r="M84" i="1"/>
  <c r="N84" i="1" s="1"/>
  <c r="V84" i="1"/>
  <c r="Y84" i="1"/>
  <c r="Z84" i="1"/>
  <c r="AB84" i="1"/>
  <c r="AC84" i="1"/>
  <c r="AD84" i="1"/>
  <c r="AE84" i="1"/>
  <c r="AF84" i="1"/>
  <c r="K85" i="1"/>
  <c r="L85" i="1"/>
  <c r="M85" i="1"/>
  <c r="N85" i="1" s="1"/>
  <c r="V85" i="1"/>
  <c r="Y85" i="1"/>
  <c r="Z85" i="1"/>
  <c r="AB85" i="1"/>
  <c r="AC85" i="1"/>
  <c r="AD85" i="1"/>
  <c r="T85" i="1" s="1"/>
  <c r="AE85" i="1"/>
  <c r="AF85" i="1"/>
  <c r="K86" i="1"/>
  <c r="L86" i="1"/>
  <c r="M86" i="1"/>
  <c r="N86" i="1" s="1"/>
  <c r="V86" i="1"/>
  <c r="Y86" i="1"/>
  <c r="Z86" i="1"/>
  <c r="AB86" i="1"/>
  <c r="AC86" i="1"/>
  <c r="AD86" i="1"/>
  <c r="AE86" i="1"/>
  <c r="AF86" i="1"/>
  <c r="K87" i="1"/>
  <c r="L87" i="1"/>
  <c r="M87" i="1"/>
  <c r="P87" i="1" s="1"/>
  <c r="V87" i="1"/>
  <c r="Y87" i="1"/>
  <c r="Z87" i="1"/>
  <c r="AB87" i="1"/>
  <c r="AC87" i="1"/>
  <c r="AD87" i="1"/>
  <c r="AG87" i="1" s="1"/>
  <c r="AE87" i="1"/>
  <c r="AF87" i="1"/>
  <c r="K88" i="1"/>
  <c r="L88" i="1"/>
  <c r="M88" i="1"/>
  <c r="N88" i="1" s="1"/>
  <c r="V88" i="1"/>
  <c r="Y88" i="1"/>
  <c r="Z88" i="1"/>
  <c r="AB88" i="1"/>
  <c r="AC88" i="1"/>
  <c r="AD88" i="1"/>
  <c r="AE88" i="1"/>
  <c r="AF88" i="1"/>
  <c r="K89" i="1"/>
  <c r="L89" i="1"/>
  <c r="M89" i="1"/>
  <c r="N89" i="1" s="1"/>
  <c r="V89" i="1"/>
  <c r="Y89" i="1"/>
  <c r="Z89" i="1"/>
  <c r="AB89" i="1"/>
  <c r="AC89" i="1"/>
  <c r="AD89" i="1"/>
  <c r="AE89" i="1"/>
  <c r="AF89" i="1"/>
  <c r="K90" i="1"/>
  <c r="L90" i="1"/>
  <c r="M90" i="1"/>
  <c r="N90" i="1" s="1"/>
  <c r="V90" i="1"/>
  <c r="Y90" i="1"/>
  <c r="Z90" i="1"/>
  <c r="AB90" i="1"/>
  <c r="AC90" i="1"/>
  <c r="AD90" i="1"/>
  <c r="T90" i="1" s="1"/>
  <c r="AE90" i="1"/>
  <c r="AF90" i="1"/>
  <c r="K91" i="1"/>
  <c r="L91" i="1"/>
  <c r="M91" i="1"/>
  <c r="N91" i="1" s="1"/>
  <c r="V91" i="1"/>
  <c r="Y91" i="1"/>
  <c r="Z91" i="1"/>
  <c r="AB91" i="1"/>
  <c r="AC91" i="1"/>
  <c r="AD91" i="1"/>
  <c r="AE91" i="1"/>
  <c r="AF91" i="1"/>
  <c r="K92" i="1"/>
  <c r="L92" i="1"/>
  <c r="M92" i="1"/>
  <c r="N92" i="1" s="1"/>
  <c r="V92" i="1"/>
  <c r="Y92" i="1"/>
  <c r="Z92" i="1"/>
  <c r="AB92" i="1"/>
  <c r="AC92" i="1"/>
  <c r="AD92" i="1"/>
  <c r="AG92" i="1" s="1"/>
  <c r="AE92" i="1"/>
  <c r="AF92" i="1"/>
  <c r="K93" i="1"/>
  <c r="L93" i="1"/>
  <c r="M93" i="1"/>
  <c r="N93" i="1" s="1"/>
  <c r="V93" i="1"/>
  <c r="Y93" i="1"/>
  <c r="Z93" i="1"/>
  <c r="AB93" i="1"/>
  <c r="AC93" i="1"/>
  <c r="AD93" i="1"/>
  <c r="T93" i="1" s="1"/>
  <c r="AE93" i="1"/>
  <c r="AF93" i="1"/>
  <c r="K94" i="1"/>
  <c r="L94" i="1"/>
  <c r="M94" i="1"/>
  <c r="N94" i="1" s="1"/>
  <c r="V94" i="1"/>
  <c r="Y94" i="1"/>
  <c r="Z94" i="1"/>
  <c r="AB94" i="1"/>
  <c r="AC94" i="1"/>
  <c r="AD94" i="1"/>
  <c r="AE94" i="1"/>
  <c r="AF94" i="1"/>
  <c r="K95" i="1"/>
  <c r="L95" i="1"/>
  <c r="M95" i="1"/>
  <c r="N95" i="1" s="1"/>
  <c r="V95" i="1"/>
  <c r="Y95" i="1"/>
  <c r="Z95" i="1"/>
  <c r="AB95" i="1"/>
  <c r="AC95" i="1"/>
  <c r="AD95" i="1"/>
  <c r="AE95" i="1"/>
  <c r="AF95" i="1"/>
  <c r="K96" i="1"/>
  <c r="L96" i="1"/>
  <c r="M96" i="1"/>
  <c r="N96" i="1" s="1"/>
  <c r="V96" i="1"/>
  <c r="Y96" i="1"/>
  <c r="Z96" i="1"/>
  <c r="AB96" i="1"/>
  <c r="AC96" i="1"/>
  <c r="AD96" i="1"/>
  <c r="AE96" i="1"/>
  <c r="AF96" i="1"/>
  <c r="K97" i="1"/>
  <c r="L97" i="1"/>
  <c r="M97" i="1"/>
  <c r="N97" i="1" s="1"/>
  <c r="V97" i="1"/>
  <c r="Y97" i="1"/>
  <c r="Z97" i="1"/>
  <c r="AB97" i="1"/>
  <c r="AC97" i="1"/>
  <c r="AD97" i="1"/>
  <c r="T97" i="1" s="1"/>
  <c r="AE97" i="1"/>
  <c r="AF97" i="1"/>
  <c r="K98" i="1"/>
  <c r="L98" i="1"/>
  <c r="M98" i="1"/>
  <c r="N98" i="1" s="1"/>
  <c r="V98" i="1"/>
  <c r="Y98" i="1"/>
  <c r="Z98" i="1"/>
  <c r="AB98" i="1"/>
  <c r="AC98" i="1"/>
  <c r="AD98" i="1"/>
  <c r="T98" i="1" s="1"/>
  <c r="AE98" i="1"/>
  <c r="AF98" i="1"/>
  <c r="K99" i="1"/>
  <c r="L99" i="1"/>
  <c r="M99" i="1"/>
  <c r="N99" i="1" s="1"/>
  <c r="V99" i="1"/>
  <c r="Y99" i="1"/>
  <c r="Z99" i="1"/>
  <c r="AB99" i="1"/>
  <c r="AC99" i="1"/>
  <c r="AD99" i="1"/>
  <c r="AG99" i="1" s="1"/>
  <c r="AE99" i="1"/>
  <c r="AF99" i="1"/>
  <c r="K100" i="1"/>
  <c r="L100" i="1"/>
  <c r="M100" i="1"/>
  <c r="N100" i="1" s="1"/>
  <c r="V100" i="1"/>
  <c r="Y100" i="1"/>
  <c r="Z100" i="1"/>
  <c r="AB100" i="1"/>
  <c r="AC100" i="1"/>
  <c r="AD100" i="1"/>
  <c r="AE100" i="1"/>
  <c r="AF100" i="1"/>
  <c r="K101" i="1"/>
  <c r="L101" i="1"/>
  <c r="M101" i="1"/>
  <c r="N101" i="1" s="1"/>
  <c r="V101" i="1"/>
  <c r="Y101" i="1"/>
  <c r="Z101" i="1"/>
  <c r="AB101" i="1"/>
  <c r="AC101" i="1"/>
  <c r="AD101" i="1"/>
  <c r="T101" i="1" s="1"/>
  <c r="AE101" i="1"/>
  <c r="AF101" i="1"/>
  <c r="K102" i="1"/>
  <c r="L102" i="1"/>
  <c r="M102" i="1"/>
  <c r="N102" i="1" s="1"/>
  <c r="V102" i="1"/>
  <c r="Y102" i="1"/>
  <c r="Z102" i="1"/>
  <c r="AB102" i="1"/>
  <c r="AC102" i="1"/>
  <c r="AD102" i="1"/>
  <c r="T102" i="1" s="1"/>
  <c r="AE102" i="1"/>
  <c r="AF102" i="1"/>
  <c r="K103" i="1"/>
  <c r="L103" i="1"/>
  <c r="M103" i="1"/>
  <c r="N103" i="1" s="1"/>
  <c r="V103" i="1"/>
  <c r="Y103" i="1"/>
  <c r="Z103" i="1"/>
  <c r="AB103" i="1"/>
  <c r="AC103" i="1"/>
  <c r="AD103" i="1"/>
  <c r="AG103" i="1" s="1"/>
  <c r="AE103" i="1"/>
  <c r="AF103" i="1"/>
  <c r="K104" i="1"/>
  <c r="L104" i="1"/>
  <c r="M104" i="1"/>
  <c r="N104" i="1" s="1"/>
  <c r="V104" i="1"/>
  <c r="Y104" i="1"/>
  <c r="Z104" i="1"/>
  <c r="AB104" i="1"/>
  <c r="AC104" i="1"/>
  <c r="AD104" i="1"/>
  <c r="AE104" i="1"/>
  <c r="AF104" i="1"/>
  <c r="K105" i="1"/>
  <c r="L105" i="1"/>
  <c r="M105" i="1"/>
  <c r="N105" i="1" s="1"/>
  <c r="V105" i="1"/>
  <c r="Y105" i="1"/>
  <c r="Z105" i="1"/>
  <c r="AB105" i="1"/>
  <c r="AC105" i="1"/>
  <c r="AD105" i="1"/>
  <c r="AE105" i="1"/>
  <c r="AF105" i="1"/>
  <c r="K106" i="1"/>
  <c r="L106" i="1"/>
  <c r="M106" i="1"/>
  <c r="N106" i="1" s="1"/>
  <c r="V106" i="1"/>
  <c r="Y106" i="1"/>
  <c r="Z106" i="1"/>
  <c r="AB106" i="1"/>
  <c r="AC106" i="1"/>
  <c r="AD106" i="1"/>
  <c r="AG106" i="1" s="1"/>
  <c r="AE106" i="1"/>
  <c r="AF106" i="1"/>
  <c r="K107" i="1"/>
  <c r="L107" i="1"/>
  <c r="M107" i="1"/>
  <c r="N107" i="1" s="1"/>
  <c r="V107" i="1"/>
  <c r="Y107" i="1"/>
  <c r="Z107" i="1"/>
  <c r="AB107" i="1"/>
  <c r="AC107" i="1"/>
  <c r="AD107" i="1"/>
  <c r="AG107" i="1" s="1"/>
  <c r="AE107" i="1"/>
  <c r="AF107" i="1"/>
  <c r="K108" i="1"/>
  <c r="L108" i="1"/>
  <c r="M108" i="1"/>
  <c r="N108" i="1" s="1"/>
  <c r="V108" i="1"/>
  <c r="Y108" i="1"/>
  <c r="Z108" i="1"/>
  <c r="AB108" i="1"/>
  <c r="AC108" i="1"/>
  <c r="AD108" i="1"/>
  <c r="AE108" i="1"/>
  <c r="AF108" i="1"/>
  <c r="K109" i="1"/>
  <c r="L109" i="1"/>
  <c r="M109" i="1"/>
  <c r="N109" i="1" s="1"/>
  <c r="V109" i="1"/>
  <c r="Y109" i="1"/>
  <c r="Z109" i="1"/>
  <c r="AB109" i="1"/>
  <c r="AC109" i="1"/>
  <c r="AD109" i="1"/>
  <c r="T109" i="1" s="1"/>
  <c r="AE109" i="1"/>
  <c r="AF109" i="1"/>
  <c r="K110" i="1"/>
  <c r="L110" i="1"/>
  <c r="M110" i="1"/>
  <c r="N110" i="1" s="1"/>
  <c r="V110" i="1"/>
  <c r="Y110" i="1"/>
  <c r="Z110" i="1"/>
  <c r="AB110" i="1"/>
  <c r="AC110" i="1"/>
  <c r="AD110" i="1"/>
  <c r="AG110" i="1" s="1"/>
  <c r="AE110" i="1"/>
  <c r="AF110" i="1"/>
  <c r="K111" i="1"/>
  <c r="L111" i="1"/>
  <c r="M111" i="1"/>
  <c r="N111" i="1" s="1"/>
  <c r="V111" i="1"/>
  <c r="Y111" i="1"/>
  <c r="Z111" i="1"/>
  <c r="AB111" i="1"/>
  <c r="AC111" i="1"/>
  <c r="AD111" i="1"/>
  <c r="AE111" i="1"/>
  <c r="AF111" i="1"/>
  <c r="K112" i="1"/>
  <c r="L112" i="1"/>
  <c r="M112" i="1"/>
  <c r="N112" i="1" s="1"/>
  <c r="V112" i="1"/>
  <c r="Y112" i="1"/>
  <c r="Z112" i="1"/>
  <c r="AB112" i="1"/>
  <c r="AC112" i="1"/>
  <c r="AD112" i="1"/>
  <c r="T112" i="1" s="1"/>
  <c r="AE112" i="1"/>
  <c r="AF112" i="1"/>
  <c r="K113" i="1"/>
  <c r="L113" i="1"/>
  <c r="M113" i="1"/>
  <c r="N113" i="1" s="1"/>
  <c r="V113" i="1"/>
  <c r="Y113" i="1"/>
  <c r="Z113" i="1"/>
  <c r="AB113" i="1"/>
  <c r="AC113" i="1"/>
  <c r="AD113" i="1"/>
  <c r="AE113" i="1"/>
  <c r="AF113" i="1"/>
  <c r="K114" i="1"/>
  <c r="L114" i="1"/>
  <c r="M114" i="1"/>
  <c r="P114" i="1" s="1"/>
  <c r="V114" i="1"/>
  <c r="Y114" i="1"/>
  <c r="Z114" i="1"/>
  <c r="AB114" i="1"/>
  <c r="AC114" i="1"/>
  <c r="AD114" i="1"/>
  <c r="AG114" i="1" s="1"/>
  <c r="AE114" i="1"/>
  <c r="AF114" i="1"/>
  <c r="K116" i="1"/>
  <c r="L116" i="1"/>
  <c r="M116" i="1"/>
  <c r="N116" i="1" s="1"/>
  <c r="V116" i="1"/>
  <c r="Y116" i="1"/>
  <c r="Z116" i="1"/>
  <c r="AB116" i="1"/>
  <c r="AC116" i="1"/>
  <c r="AD116" i="1"/>
  <c r="AE116" i="1"/>
  <c r="AF116" i="1"/>
  <c r="K117" i="1"/>
  <c r="L117" i="1"/>
  <c r="M117" i="1"/>
  <c r="N117" i="1" s="1"/>
  <c r="V117" i="1"/>
  <c r="Y117" i="1"/>
  <c r="Z117" i="1"/>
  <c r="AB117" i="1"/>
  <c r="AC117" i="1"/>
  <c r="AD117" i="1"/>
  <c r="T117" i="1" s="1"/>
  <c r="AE117" i="1"/>
  <c r="AF117" i="1"/>
  <c r="K118" i="1"/>
  <c r="L118" i="1"/>
  <c r="M118" i="1"/>
  <c r="N118" i="1" s="1"/>
  <c r="V118" i="1"/>
  <c r="Y118" i="1"/>
  <c r="Z118" i="1"/>
  <c r="AB118" i="1"/>
  <c r="AC118" i="1"/>
  <c r="AD118" i="1"/>
  <c r="AE118" i="1"/>
  <c r="AF118" i="1"/>
  <c r="K119" i="1"/>
  <c r="L119" i="1"/>
  <c r="M119" i="1"/>
  <c r="N119" i="1" s="1"/>
  <c r="V119" i="1"/>
  <c r="Y119" i="1"/>
  <c r="Z119" i="1"/>
  <c r="AB119" i="1"/>
  <c r="AC119" i="1"/>
  <c r="AD119" i="1"/>
  <c r="AG119" i="1" s="1"/>
  <c r="AE119" i="1"/>
  <c r="AF119" i="1"/>
  <c r="K120" i="1"/>
  <c r="L120" i="1"/>
  <c r="M120" i="1"/>
  <c r="N120" i="1" s="1"/>
  <c r="V120" i="1"/>
  <c r="Y120" i="1"/>
  <c r="Z120" i="1"/>
  <c r="AB120" i="1"/>
  <c r="AC120" i="1"/>
  <c r="AD120" i="1"/>
  <c r="AE120" i="1"/>
  <c r="AF120" i="1"/>
  <c r="K121" i="1"/>
  <c r="L121" i="1"/>
  <c r="M121" i="1"/>
  <c r="N121" i="1" s="1"/>
  <c r="V121" i="1"/>
  <c r="Y121" i="1"/>
  <c r="Z121" i="1"/>
  <c r="AB121" i="1"/>
  <c r="AC121" i="1"/>
  <c r="AD121" i="1"/>
  <c r="T121" i="1" s="1"/>
  <c r="AE121" i="1"/>
  <c r="AF121" i="1"/>
  <c r="K122" i="1"/>
  <c r="L122" i="1"/>
  <c r="M122" i="1"/>
  <c r="N122" i="1" s="1"/>
  <c r="V122" i="1"/>
  <c r="Y122" i="1"/>
  <c r="Z122" i="1"/>
  <c r="AB122" i="1"/>
  <c r="AC122" i="1"/>
  <c r="AD122" i="1"/>
  <c r="AE122" i="1"/>
  <c r="AF122" i="1"/>
  <c r="K123" i="1"/>
  <c r="L123" i="1"/>
  <c r="M123" i="1"/>
  <c r="N123" i="1" s="1"/>
  <c r="V123" i="1"/>
  <c r="Y123" i="1"/>
  <c r="Z123" i="1"/>
  <c r="AB123" i="1"/>
  <c r="AC123" i="1"/>
  <c r="AD123" i="1"/>
  <c r="AG123" i="1" s="1"/>
  <c r="AE123" i="1"/>
  <c r="AF123" i="1"/>
  <c r="K124" i="1"/>
  <c r="L124" i="1"/>
  <c r="M124" i="1"/>
  <c r="N124" i="1" s="1"/>
  <c r="V124" i="1"/>
  <c r="Y124" i="1"/>
  <c r="Z124" i="1"/>
  <c r="AB124" i="1"/>
  <c r="AC124" i="1"/>
  <c r="AD124" i="1"/>
  <c r="AE124" i="1"/>
  <c r="AF124" i="1"/>
  <c r="K125" i="1"/>
  <c r="L125" i="1"/>
  <c r="M125" i="1"/>
  <c r="N125" i="1" s="1"/>
  <c r="V125" i="1"/>
  <c r="Y125" i="1"/>
  <c r="Z125" i="1"/>
  <c r="AB125" i="1"/>
  <c r="AC125" i="1"/>
  <c r="AD125" i="1"/>
  <c r="AE125" i="1"/>
  <c r="AF125" i="1"/>
  <c r="K126" i="1"/>
  <c r="L126" i="1"/>
  <c r="M126" i="1"/>
  <c r="N126" i="1" s="1"/>
  <c r="V126" i="1"/>
  <c r="Y126" i="1"/>
  <c r="Z126" i="1"/>
  <c r="AB126" i="1"/>
  <c r="AC126" i="1"/>
  <c r="AD126" i="1"/>
  <c r="AG126" i="1" s="1"/>
  <c r="AE126" i="1"/>
  <c r="AF126" i="1"/>
  <c r="K127" i="1"/>
  <c r="L127" i="1"/>
  <c r="M127" i="1"/>
  <c r="N127" i="1" s="1"/>
  <c r="V127" i="1"/>
  <c r="Y127" i="1"/>
  <c r="Z127" i="1"/>
  <c r="AB127" i="1"/>
  <c r="AC127" i="1"/>
  <c r="AD127" i="1"/>
  <c r="AE127" i="1"/>
  <c r="AF127" i="1"/>
  <c r="K128" i="1"/>
  <c r="L128" i="1"/>
  <c r="M128" i="1"/>
  <c r="N128" i="1" s="1"/>
  <c r="V128" i="1"/>
  <c r="Y128" i="1"/>
  <c r="Z128" i="1"/>
  <c r="AB128" i="1"/>
  <c r="AC128" i="1"/>
  <c r="AD128" i="1"/>
  <c r="AE128" i="1"/>
  <c r="AF128" i="1"/>
  <c r="K129" i="1"/>
  <c r="L129" i="1"/>
  <c r="M129" i="1"/>
  <c r="N129" i="1" s="1"/>
  <c r="V129" i="1"/>
  <c r="Y129" i="1"/>
  <c r="Z129" i="1"/>
  <c r="AB129" i="1"/>
  <c r="AC129" i="1"/>
  <c r="AD129" i="1"/>
  <c r="AG129" i="1" s="1"/>
  <c r="AE129" i="1"/>
  <c r="AF129" i="1"/>
  <c r="K130" i="1"/>
  <c r="L130" i="1"/>
  <c r="M130" i="1"/>
  <c r="N130" i="1" s="1"/>
  <c r="V130" i="1"/>
  <c r="Y130" i="1"/>
  <c r="Z130" i="1"/>
  <c r="AB130" i="1"/>
  <c r="AC130" i="1"/>
  <c r="AD130" i="1"/>
  <c r="T130" i="1" s="1"/>
  <c r="AE130" i="1"/>
  <c r="AF130" i="1"/>
  <c r="K131" i="1"/>
  <c r="L131" i="1"/>
  <c r="M131" i="1"/>
  <c r="N131" i="1" s="1"/>
  <c r="V131" i="1"/>
  <c r="Y131" i="1"/>
  <c r="Z131" i="1"/>
  <c r="AB131" i="1"/>
  <c r="AC131" i="1"/>
  <c r="AD131" i="1"/>
  <c r="AG131" i="1" s="1"/>
  <c r="AE131" i="1"/>
  <c r="AF131" i="1"/>
  <c r="K132" i="1"/>
  <c r="L132" i="1"/>
  <c r="M132" i="1"/>
  <c r="N132" i="1" s="1"/>
  <c r="V132" i="1"/>
  <c r="Y132" i="1"/>
  <c r="Z132" i="1"/>
  <c r="AB132" i="1"/>
  <c r="AC132" i="1"/>
  <c r="AD132" i="1"/>
  <c r="AE132" i="1"/>
  <c r="AF132" i="1"/>
  <c r="K133" i="1"/>
  <c r="L133" i="1"/>
  <c r="M133" i="1"/>
  <c r="N133" i="1" s="1"/>
  <c r="V133" i="1"/>
  <c r="Y133" i="1"/>
  <c r="Z133" i="1"/>
  <c r="AB133" i="1"/>
  <c r="AC133" i="1"/>
  <c r="AD133" i="1"/>
  <c r="T133" i="1" s="1"/>
  <c r="AE133" i="1"/>
  <c r="AF133" i="1"/>
  <c r="K134" i="1"/>
  <c r="L134" i="1"/>
  <c r="M134" i="1"/>
  <c r="N134" i="1" s="1"/>
  <c r="V134" i="1"/>
  <c r="Y134" i="1"/>
  <c r="Z134" i="1"/>
  <c r="AB134" i="1"/>
  <c r="AC134" i="1"/>
  <c r="AD134" i="1"/>
  <c r="T134" i="1" s="1"/>
  <c r="AE134" i="1"/>
  <c r="AF134" i="1"/>
  <c r="K135" i="1"/>
  <c r="L135" i="1"/>
  <c r="M135" i="1"/>
  <c r="N135" i="1" s="1"/>
  <c r="V135" i="1"/>
  <c r="Y135" i="1"/>
  <c r="Z135" i="1"/>
  <c r="AB135" i="1"/>
  <c r="AC135" i="1"/>
  <c r="AD135" i="1"/>
  <c r="AG135" i="1" s="1"/>
  <c r="AE135" i="1"/>
  <c r="AF135" i="1"/>
  <c r="K136" i="1"/>
  <c r="L136" i="1"/>
  <c r="M136" i="1"/>
  <c r="N136" i="1" s="1"/>
  <c r="V136" i="1"/>
  <c r="Y136" i="1"/>
  <c r="Z136" i="1"/>
  <c r="AB136" i="1"/>
  <c r="AC136" i="1"/>
  <c r="AD136" i="1"/>
  <c r="AE136" i="1"/>
  <c r="AF136" i="1"/>
  <c r="K137" i="1"/>
  <c r="L137" i="1"/>
  <c r="M137" i="1"/>
  <c r="N137" i="1" s="1"/>
  <c r="V137" i="1"/>
  <c r="Y137" i="1"/>
  <c r="Z137" i="1"/>
  <c r="AB137" i="1"/>
  <c r="AC137" i="1"/>
  <c r="AD137" i="1"/>
  <c r="AE137" i="1"/>
  <c r="AF137" i="1"/>
  <c r="K138" i="1"/>
  <c r="L138" i="1"/>
  <c r="M138" i="1"/>
  <c r="N138" i="1" s="1"/>
  <c r="V138" i="1"/>
  <c r="Y138" i="1"/>
  <c r="Z138" i="1"/>
  <c r="AB138" i="1"/>
  <c r="AC138" i="1"/>
  <c r="AD138" i="1"/>
  <c r="AG138" i="1" s="1"/>
  <c r="AE138" i="1"/>
  <c r="AF138" i="1"/>
  <c r="K139" i="1"/>
  <c r="L139" i="1"/>
  <c r="M139" i="1"/>
  <c r="N139" i="1" s="1"/>
  <c r="V139" i="1"/>
  <c r="Y139" i="1"/>
  <c r="Z139" i="1"/>
  <c r="AB139" i="1"/>
  <c r="AC139" i="1"/>
  <c r="AD139" i="1"/>
  <c r="AE139" i="1"/>
  <c r="AF139" i="1"/>
  <c r="K140" i="1"/>
  <c r="L140" i="1"/>
  <c r="M140" i="1"/>
  <c r="N140" i="1" s="1"/>
  <c r="V140" i="1"/>
  <c r="Y140" i="1"/>
  <c r="Z140" i="1"/>
  <c r="AB140" i="1"/>
  <c r="AC140" i="1"/>
  <c r="AD140" i="1"/>
  <c r="AG140" i="1" s="1"/>
  <c r="AE140" i="1"/>
  <c r="AF140" i="1"/>
  <c r="K141" i="1"/>
  <c r="L141" i="1"/>
  <c r="M141" i="1"/>
  <c r="N141" i="1" s="1"/>
  <c r="V141" i="1"/>
  <c r="Y141" i="1"/>
  <c r="Z141" i="1"/>
  <c r="AB141" i="1"/>
  <c r="AC141" i="1"/>
  <c r="AD141" i="1"/>
  <c r="T141" i="1" s="1"/>
  <c r="AE141" i="1"/>
  <c r="AF141" i="1"/>
  <c r="K142" i="1"/>
  <c r="L142" i="1"/>
  <c r="M142" i="1"/>
  <c r="N142" i="1" s="1"/>
  <c r="V142" i="1"/>
  <c r="Y142" i="1"/>
  <c r="Z142" i="1"/>
  <c r="AB142" i="1"/>
  <c r="AC142" i="1"/>
  <c r="AD142" i="1"/>
  <c r="AG142" i="1" s="1"/>
  <c r="AE142" i="1"/>
  <c r="AF142" i="1"/>
  <c r="K143" i="1"/>
  <c r="L143" i="1"/>
  <c r="M143" i="1"/>
  <c r="N143" i="1" s="1"/>
  <c r="V143" i="1"/>
  <c r="Y143" i="1"/>
  <c r="Z143" i="1"/>
  <c r="AB143" i="1"/>
  <c r="AC143" i="1"/>
  <c r="AD143" i="1"/>
  <c r="AG143" i="1" s="1"/>
  <c r="AE143" i="1"/>
  <c r="AF143" i="1"/>
  <c r="K144" i="1"/>
  <c r="L144" i="1"/>
  <c r="M144" i="1"/>
  <c r="N144" i="1" s="1"/>
  <c r="V144" i="1"/>
  <c r="Y144" i="1"/>
  <c r="Z144" i="1"/>
  <c r="AB144" i="1"/>
  <c r="AC144" i="1"/>
  <c r="AD144" i="1"/>
  <c r="AG144" i="1" s="1"/>
  <c r="AE144" i="1"/>
  <c r="AF144" i="1"/>
  <c r="K145" i="1"/>
  <c r="L145" i="1"/>
  <c r="M145" i="1"/>
  <c r="N145" i="1" s="1"/>
  <c r="V145" i="1"/>
  <c r="Y145" i="1"/>
  <c r="Z145" i="1"/>
  <c r="AB145" i="1"/>
  <c r="AC145" i="1"/>
  <c r="AD145" i="1"/>
  <c r="AE145" i="1"/>
  <c r="AF145" i="1"/>
  <c r="K146" i="1"/>
  <c r="L146" i="1"/>
  <c r="M146" i="1"/>
  <c r="N146" i="1" s="1"/>
  <c r="V146" i="1"/>
  <c r="Y146" i="1"/>
  <c r="Z146" i="1"/>
  <c r="AB146" i="1"/>
  <c r="AC146" i="1"/>
  <c r="AD146" i="1"/>
  <c r="T146" i="1" s="1"/>
  <c r="AE146" i="1"/>
  <c r="AF146" i="1"/>
  <c r="K147" i="1"/>
  <c r="L147" i="1"/>
  <c r="M147" i="1"/>
  <c r="N147" i="1" s="1"/>
  <c r="V147" i="1"/>
  <c r="Y147" i="1"/>
  <c r="Z147" i="1"/>
  <c r="AB147" i="1"/>
  <c r="AC147" i="1"/>
  <c r="AD147" i="1"/>
  <c r="AG147" i="1" s="1"/>
  <c r="AE147" i="1"/>
  <c r="AF147" i="1"/>
  <c r="K148" i="1"/>
  <c r="L148" i="1"/>
  <c r="M148" i="1"/>
  <c r="N148" i="1" s="1"/>
  <c r="V148" i="1"/>
  <c r="Y148" i="1"/>
  <c r="Z148" i="1"/>
  <c r="AB148" i="1"/>
  <c r="AC148" i="1"/>
  <c r="AD148" i="1"/>
  <c r="AE148" i="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G151" i="1" s="1"/>
  <c r="AE151" i="1"/>
  <c r="AF151" i="1"/>
  <c r="K152" i="1"/>
  <c r="L152" i="1"/>
  <c r="M152" i="1"/>
  <c r="N152" i="1" s="1"/>
  <c r="V152" i="1"/>
  <c r="Y152" i="1"/>
  <c r="Z152" i="1"/>
  <c r="AB152" i="1"/>
  <c r="AC152" i="1"/>
  <c r="AD152" i="1"/>
  <c r="AE152" i="1"/>
  <c r="AF152" i="1"/>
  <c r="K153" i="1"/>
  <c r="L153" i="1"/>
  <c r="M153" i="1"/>
  <c r="N153" i="1" s="1"/>
  <c r="V153" i="1"/>
  <c r="Y153" i="1"/>
  <c r="Z153" i="1"/>
  <c r="AB153" i="1"/>
  <c r="AC153" i="1"/>
  <c r="AD153" i="1"/>
  <c r="AE153" i="1"/>
  <c r="AF153" i="1"/>
  <c r="K154" i="1"/>
  <c r="L154" i="1"/>
  <c r="M154" i="1"/>
  <c r="N154" i="1" s="1"/>
  <c r="V154" i="1"/>
  <c r="Y154" i="1"/>
  <c r="Z154" i="1"/>
  <c r="AB154" i="1"/>
  <c r="AC154" i="1"/>
  <c r="AD154" i="1"/>
  <c r="T154" i="1" s="1"/>
  <c r="AE154" i="1"/>
  <c r="AF154" i="1"/>
  <c r="K155" i="1"/>
  <c r="L155" i="1"/>
  <c r="M155" i="1"/>
  <c r="N155" i="1" s="1"/>
  <c r="V155" i="1"/>
  <c r="Y155" i="1"/>
  <c r="Z155" i="1"/>
  <c r="AB155" i="1"/>
  <c r="AC155" i="1"/>
  <c r="AD155" i="1"/>
  <c r="T155" i="1" s="1"/>
  <c r="AE155" i="1"/>
  <c r="AF155" i="1"/>
  <c r="K156" i="1"/>
  <c r="L156" i="1"/>
  <c r="M156" i="1"/>
  <c r="N156" i="1" s="1"/>
  <c r="V156" i="1"/>
  <c r="Y156" i="1"/>
  <c r="Z156" i="1"/>
  <c r="AB156" i="1"/>
  <c r="AC156" i="1"/>
  <c r="AD156" i="1"/>
  <c r="AG156" i="1" s="1"/>
  <c r="AE156" i="1"/>
  <c r="AF156" i="1"/>
  <c r="K157" i="1"/>
  <c r="L157" i="1"/>
  <c r="M157" i="1"/>
  <c r="N157" i="1" s="1"/>
  <c r="V157" i="1"/>
  <c r="Y157" i="1"/>
  <c r="Z157" i="1"/>
  <c r="AB157" i="1"/>
  <c r="AC157" i="1"/>
  <c r="AD157" i="1"/>
  <c r="AE157" i="1"/>
  <c r="AF157" i="1"/>
  <c r="K158" i="1"/>
  <c r="L158" i="1"/>
  <c r="M158" i="1"/>
  <c r="N158" i="1" s="1"/>
  <c r="V158" i="1"/>
  <c r="Y158" i="1"/>
  <c r="Z158" i="1"/>
  <c r="AB158" i="1"/>
  <c r="AC158" i="1"/>
  <c r="AD158" i="1"/>
  <c r="T158" i="1" s="1"/>
  <c r="AE158" i="1"/>
  <c r="AF158" i="1"/>
  <c r="K159" i="1"/>
  <c r="L159" i="1"/>
  <c r="M159" i="1"/>
  <c r="N159" i="1" s="1"/>
  <c r="V159" i="1"/>
  <c r="Y159" i="1"/>
  <c r="Z159" i="1"/>
  <c r="AB159" i="1"/>
  <c r="AC159" i="1"/>
  <c r="AD159" i="1"/>
  <c r="AG159" i="1" s="1"/>
  <c r="AE159" i="1"/>
  <c r="AF159" i="1"/>
  <c r="K207" i="1"/>
  <c r="L207" i="1"/>
  <c r="M207" i="1"/>
  <c r="N207" i="1" s="1"/>
  <c r="V207" i="1"/>
  <c r="Y207" i="1"/>
  <c r="Z207" i="1"/>
  <c r="AB207" i="1"/>
  <c r="AC207" i="1"/>
  <c r="AD207" i="1"/>
  <c r="AG207" i="1" s="1"/>
  <c r="AE207" i="1"/>
  <c r="AF207" i="1"/>
  <c r="K208" i="1"/>
  <c r="L208" i="1"/>
  <c r="M208" i="1"/>
  <c r="N208" i="1" s="1"/>
  <c r="V208" i="1"/>
  <c r="Y208" i="1"/>
  <c r="Z208" i="1"/>
  <c r="AB208" i="1"/>
  <c r="AC208" i="1"/>
  <c r="AD208" i="1"/>
  <c r="AE208" i="1"/>
  <c r="AF208" i="1"/>
  <c r="K209" i="1"/>
  <c r="L209" i="1"/>
  <c r="M209" i="1"/>
  <c r="N209" i="1" s="1"/>
  <c r="V209" i="1"/>
  <c r="Y209" i="1"/>
  <c r="Z209" i="1"/>
  <c r="AB209" i="1"/>
  <c r="AC209" i="1"/>
  <c r="AD209" i="1"/>
  <c r="AE209" i="1"/>
  <c r="AF209" i="1"/>
  <c r="K210" i="1"/>
  <c r="L210" i="1"/>
  <c r="M210" i="1"/>
  <c r="N210" i="1" s="1"/>
  <c r="V210" i="1"/>
  <c r="Y210" i="1"/>
  <c r="Z210" i="1"/>
  <c r="AB210" i="1"/>
  <c r="AC210" i="1"/>
  <c r="AD210" i="1"/>
  <c r="AE210" i="1"/>
  <c r="AF210" i="1"/>
  <c r="K211" i="1"/>
  <c r="L211" i="1"/>
  <c r="M211" i="1"/>
  <c r="N211" i="1" s="1"/>
  <c r="V211" i="1"/>
  <c r="Y211" i="1"/>
  <c r="Z211" i="1"/>
  <c r="AB211" i="1"/>
  <c r="AC211" i="1"/>
  <c r="AD211" i="1"/>
  <c r="AG211" i="1" s="1"/>
  <c r="AE211" i="1"/>
  <c r="AF211" i="1"/>
  <c r="K212" i="1"/>
  <c r="L212" i="1"/>
  <c r="M212" i="1"/>
  <c r="N212" i="1" s="1"/>
  <c r="V212" i="1"/>
  <c r="Y212" i="1"/>
  <c r="Z212" i="1"/>
  <c r="AB212" i="1"/>
  <c r="AC212" i="1"/>
  <c r="AD212" i="1"/>
  <c r="AE212" i="1"/>
  <c r="AF212" i="1"/>
  <c r="K213" i="1"/>
  <c r="L213" i="1"/>
  <c r="M213" i="1"/>
  <c r="N213" i="1" s="1"/>
  <c r="V213" i="1"/>
  <c r="Y213" i="1"/>
  <c r="Z213" i="1"/>
  <c r="AB213" i="1"/>
  <c r="AC213" i="1"/>
  <c r="AD213" i="1"/>
  <c r="T213" i="1" s="1"/>
  <c r="AE213" i="1"/>
  <c r="AF213" i="1"/>
  <c r="K214" i="1"/>
  <c r="L214" i="1"/>
  <c r="M214" i="1"/>
  <c r="N214" i="1" s="1"/>
  <c r="V214" i="1"/>
  <c r="Y214" i="1"/>
  <c r="Z214" i="1"/>
  <c r="AB214" i="1"/>
  <c r="AC214" i="1"/>
  <c r="AD214" i="1"/>
  <c r="T214" i="1" s="1"/>
  <c r="AE214" i="1"/>
  <c r="AF214" i="1"/>
  <c r="K215" i="1"/>
  <c r="L215" i="1"/>
  <c r="M215" i="1"/>
  <c r="N215" i="1" s="1"/>
  <c r="V215" i="1"/>
  <c r="Y215" i="1"/>
  <c r="Z215" i="1"/>
  <c r="AB215" i="1"/>
  <c r="AC215" i="1"/>
  <c r="AD215" i="1"/>
  <c r="AG215" i="1" s="1"/>
  <c r="AE215" i="1"/>
  <c r="AF215" i="1"/>
  <c r="K219" i="1"/>
  <c r="L219" i="1"/>
  <c r="M219" i="1"/>
  <c r="N219" i="1" s="1"/>
  <c r="V219" i="1"/>
  <c r="Y219" i="1"/>
  <c r="Z219" i="1"/>
  <c r="AB219" i="1"/>
  <c r="AC219" i="1"/>
  <c r="AD219" i="1"/>
  <c r="AE219" i="1"/>
  <c r="AF219" i="1"/>
  <c r="K220" i="1"/>
  <c r="L220" i="1"/>
  <c r="M220" i="1"/>
  <c r="N220" i="1" s="1"/>
  <c r="V220" i="1"/>
  <c r="Y220" i="1"/>
  <c r="Z220" i="1"/>
  <c r="AB220" i="1"/>
  <c r="AC220" i="1"/>
  <c r="AD220" i="1"/>
  <c r="T220" i="1" s="1"/>
  <c r="AE220" i="1"/>
  <c r="AF220" i="1"/>
  <c r="K221" i="1"/>
  <c r="L221" i="1"/>
  <c r="M221" i="1"/>
  <c r="N221" i="1" s="1"/>
  <c r="V221" i="1"/>
  <c r="Y221" i="1"/>
  <c r="Z221" i="1"/>
  <c r="AB221" i="1"/>
  <c r="AC221" i="1"/>
  <c r="AD221" i="1"/>
  <c r="AE221" i="1"/>
  <c r="AF221" i="1"/>
  <c r="K222" i="1"/>
  <c r="L222" i="1"/>
  <c r="M222" i="1"/>
  <c r="N222" i="1" s="1"/>
  <c r="V222" i="1"/>
  <c r="Y222" i="1"/>
  <c r="Z222" i="1"/>
  <c r="AB222" i="1"/>
  <c r="AC222" i="1"/>
  <c r="AD222" i="1"/>
  <c r="AG222" i="1" s="1"/>
  <c r="AE222" i="1"/>
  <c r="AF222" i="1"/>
  <c r="K223" i="1"/>
  <c r="L223" i="1"/>
  <c r="M223" i="1"/>
  <c r="N223" i="1" s="1"/>
  <c r="V223" i="1"/>
  <c r="Y223" i="1"/>
  <c r="Z223" i="1"/>
  <c r="AB223" i="1"/>
  <c r="AC223" i="1"/>
  <c r="AD223" i="1"/>
  <c r="AE223" i="1"/>
  <c r="AF223" i="1"/>
  <c r="K224" i="1"/>
  <c r="L224" i="1"/>
  <c r="M224" i="1"/>
  <c r="N224" i="1" s="1"/>
  <c r="V224" i="1"/>
  <c r="Y224" i="1"/>
  <c r="Z224" i="1"/>
  <c r="AB224" i="1"/>
  <c r="AC224" i="1"/>
  <c r="AD224" i="1"/>
  <c r="T224" i="1" s="1"/>
  <c r="AE224" i="1"/>
  <c r="AF224" i="1"/>
  <c r="K225" i="1"/>
  <c r="L225" i="1"/>
  <c r="M225" i="1"/>
  <c r="N225" i="1" s="1"/>
  <c r="V225" i="1"/>
  <c r="Y225" i="1"/>
  <c r="Z225" i="1"/>
  <c r="AB225" i="1"/>
  <c r="AC225" i="1"/>
  <c r="AD225" i="1"/>
  <c r="AE225" i="1"/>
  <c r="AF225" i="1"/>
  <c r="K160" i="1"/>
  <c r="L160" i="1"/>
  <c r="M160" i="1"/>
  <c r="N160" i="1" s="1"/>
  <c r="V160" i="1"/>
  <c r="Y160" i="1"/>
  <c r="Z160" i="1"/>
  <c r="AB160" i="1"/>
  <c r="AC160" i="1"/>
  <c r="AD160" i="1"/>
  <c r="AG160" i="1" s="1"/>
  <c r="AE160" i="1"/>
  <c r="AF160" i="1"/>
  <c r="K161" i="1"/>
  <c r="L161" i="1"/>
  <c r="M161" i="1"/>
  <c r="N161" i="1" s="1"/>
  <c r="V161" i="1"/>
  <c r="Y161" i="1"/>
  <c r="Z161" i="1"/>
  <c r="AB161" i="1"/>
  <c r="AC161" i="1"/>
  <c r="AD161" i="1"/>
  <c r="AE161" i="1"/>
  <c r="AF161" i="1"/>
  <c r="K162" i="1"/>
  <c r="L162" i="1"/>
  <c r="M162" i="1"/>
  <c r="N162" i="1" s="1"/>
  <c r="V162" i="1"/>
  <c r="Y162" i="1"/>
  <c r="Z162" i="1"/>
  <c r="AB162" i="1"/>
  <c r="AC162" i="1"/>
  <c r="AD162" i="1"/>
  <c r="AE162" i="1"/>
  <c r="AF162" i="1"/>
  <c r="K163" i="1"/>
  <c r="L163" i="1"/>
  <c r="M163" i="1"/>
  <c r="N163" i="1" s="1"/>
  <c r="V163" i="1"/>
  <c r="Y163" i="1"/>
  <c r="Z163" i="1"/>
  <c r="AB163" i="1"/>
  <c r="AC163" i="1"/>
  <c r="AD163" i="1"/>
  <c r="T163" i="1" s="1"/>
  <c r="AE163" i="1"/>
  <c r="AF163" i="1"/>
  <c r="K164" i="1"/>
  <c r="L164" i="1"/>
  <c r="M164" i="1"/>
  <c r="N164" i="1" s="1"/>
  <c r="V164" i="1"/>
  <c r="Y164" i="1"/>
  <c r="Z164" i="1"/>
  <c r="AB164" i="1"/>
  <c r="AC164" i="1"/>
  <c r="AD164" i="1"/>
  <c r="AG164" i="1" s="1"/>
  <c r="AE164" i="1"/>
  <c r="AF164" i="1"/>
  <c r="K165" i="1"/>
  <c r="L165" i="1"/>
  <c r="M165" i="1"/>
  <c r="N165" i="1" s="1"/>
  <c r="V165" i="1"/>
  <c r="Y165" i="1"/>
  <c r="Z165" i="1"/>
  <c r="AB165" i="1"/>
  <c r="AC165" i="1"/>
  <c r="AD165" i="1"/>
  <c r="AE165" i="1"/>
  <c r="AF165" i="1"/>
  <c r="K166" i="1"/>
  <c r="L166" i="1"/>
  <c r="M166" i="1"/>
  <c r="N166" i="1" s="1"/>
  <c r="V166" i="1"/>
  <c r="Y166" i="1"/>
  <c r="Z166" i="1"/>
  <c r="AB166" i="1"/>
  <c r="AC166" i="1"/>
  <c r="AD166" i="1"/>
  <c r="AE166" i="1"/>
  <c r="AF166" i="1"/>
  <c r="K167" i="1"/>
  <c r="L167" i="1"/>
  <c r="M167" i="1"/>
  <c r="N167" i="1" s="1"/>
  <c r="V167" i="1"/>
  <c r="Y167" i="1"/>
  <c r="Z167" i="1"/>
  <c r="AB167" i="1"/>
  <c r="AC167" i="1"/>
  <c r="AD167" i="1"/>
  <c r="T167" i="1" s="1"/>
  <c r="AE167" i="1"/>
  <c r="AF167" i="1"/>
  <c r="K168" i="1"/>
  <c r="L168" i="1"/>
  <c r="M168" i="1"/>
  <c r="N168" i="1" s="1"/>
  <c r="V168" i="1"/>
  <c r="Y168" i="1"/>
  <c r="Z168" i="1"/>
  <c r="AB168" i="1"/>
  <c r="AC168" i="1"/>
  <c r="AD168" i="1"/>
  <c r="AG168" i="1" s="1"/>
  <c r="AE168" i="1"/>
  <c r="AF168" i="1"/>
  <c r="K169" i="1"/>
  <c r="L169" i="1"/>
  <c r="M169" i="1"/>
  <c r="N169" i="1" s="1"/>
  <c r="V169" i="1"/>
  <c r="Y169" i="1"/>
  <c r="Z169" i="1"/>
  <c r="AB169" i="1"/>
  <c r="AC169" i="1"/>
  <c r="AD169" i="1"/>
  <c r="AE169" i="1"/>
  <c r="AF169" i="1"/>
  <c r="K170" i="1"/>
  <c r="L170" i="1"/>
  <c r="M170" i="1"/>
  <c r="N170" i="1" s="1"/>
  <c r="V170" i="1"/>
  <c r="Y170" i="1"/>
  <c r="Z170" i="1"/>
  <c r="AB170" i="1"/>
  <c r="AC170" i="1"/>
  <c r="AD170" i="1"/>
  <c r="AG170" i="1" s="1"/>
  <c r="AE170" i="1"/>
  <c r="AF170" i="1"/>
  <c r="K171" i="1"/>
  <c r="L171" i="1"/>
  <c r="M171" i="1"/>
  <c r="N171" i="1" s="1"/>
  <c r="V171" i="1"/>
  <c r="Y171" i="1"/>
  <c r="Z171" i="1"/>
  <c r="AB171" i="1"/>
  <c r="AC171" i="1"/>
  <c r="AD171" i="1"/>
  <c r="T171" i="1" s="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Y174" i="1"/>
  <c r="Z174" i="1"/>
  <c r="AB174" i="1"/>
  <c r="AC174" i="1"/>
  <c r="AD174" i="1"/>
  <c r="AE174" i="1"/>
  <c r="AF174" i="1"/>
  <c r="K175" i="1"/>
  <c r="L175" i="1"/>
  <c r="M175" i="1"/>
  <c r="N175" i="1" s="1"/>
  <c r="V175" i="1"/>
  <c r="Y175" i="1"/>
  <c r="Z175" i="1"/>
  <c r="AB175" i="1"/>
  <c r="AC175" i="1"/>
  <c r="AD175" i="1"/>
  <c r="AG175" i="1" s="1"/>
  <c r="AE175" i="1"/>
  <c r="AF175" i="1"/>
  <c r="K176" i="1"/>
  <c r="L176" i="1"/>
  <c r="M176" i="1"/>
  <c r="N176" i="1" s="1"/>
  <c r="V176" i="1"/>
  <c r="Y176" i="1"/>
  <c r="Z176" i="1"/>
  <c r="AB176" i="1"/>
  <c r="AC176" i="1"/>
  <c r="AD176" i="1"/>
  <c r="AG176" i="1" s="1"/>
  <c r="AE176" i="1"/>
  <c r="AF176" i="1"/>
  <c r="K177" i="1"/>
  <c r="L177" i="1"/>
  <c r="M177" i="1"/>
  <c r="N177" i="1" s="1"/>
  <c r="V177" i="1"/>
  <c r="Y177" i="1"/>
  <c r="Z177" i="1"/>
  <c r="AB177" i="1"/>
  <c r="AC177" i="1"/>
  <c r="AD177" i="1"/>
  <c r="AG177" i="1" s="1"/>
  <c r="AE177" i="1"/>
  <c r="AF177" i="1"/>
  <c r="K178" i="1"/>
  <c r="L178" i="1"/>
  <c r="M178" i="1"/>
  <c r="N178" i="1" s="1"/>
  <c r="V178" i="1"/>
  <c r="Y178" i="1"/>
  <c r="Z178" i="1"/>
  <c r="AB178" i="1"/>
  <c r="AC178" i="1"/>
  <c r="AD178" i="1"/>
  <c r="AE178" i="1"/>
  <c r="AF178" i="1"/>
  <c r="K179" i="1"/>
  <c r="L179" i="1"/>
  <c r="M179" i="1"/>
  <c r="N179" i="1" s="1"/>
  <c r="V179" i="1"/>
  <c r="Y179" i="1"/>
  <c r="Z179" i="1"/>
  <c r="AB179" i="1"/>
  <c r="AC179" i="1"/>
  <c r="AD179" i="1"/>
  <c r="T179" i="1" s="1"/>
  <c r="AE179" i="1"/>
  <c r="AF179" i="1"/>
  <c r="K180" i="1"/>
  <c r="L180" i="1"/>
  <c r="M180" i="1"/>
  <c r="N180" i="1" s="1"/>
  <c r="V180" i="1"/>
  <c r="Y180" i="1"/>
  <c r="Z180" i="1"/>
  <c r="AB180" i="1"/>
  <c r="AC180" i="1"/>
  <c r="AD180" i="1"/>
  <c r="AG180" i="1" s="1"/>
  <c r="AE180" i="1"/>
  <c r="AF180" i="1"/>
  <c r="K181" i="1"/>
  <c r="L181" i="1"/>
  <c r="M181" i="1"/>
  <c r="N181" i="1" s="1"/>
  <c r="V181" i="1"/>
  <c r="Y181" i="1"/>
  <c r="Z181" i="1"/>
  <c r="AB181" i="1"/>
  <c r="AC181" i="1"/>
  <c r="AD181" i="1"/>
  <c r="AE181" i="1"/>
  <c r="AF181" i="1"/>
  <c r="K182" i="1"/>
  <c r="L182" i="1"/>
  <c r="M182" i="1"/>
  <c r="N182" i="1" s="1"/>
  <c r="V182" i="1"/>
  <c r="Y182" i="1"/>
  <c r="Z182" i="1"/>
  <c r="AB182" i="1"/>
  <c r="AC182" i="1"/>
  <c r="AD182" i="1"/>
  <c r="T182" i="1" s="1"/>
  <c r="AE182" i="1"/>
  <c r="AF182" i="1"/>
  <c r="K183" i="1"/>
  <c r="L183" i="1"/>
  <c r="M183" i="1"/>
  <c r="N183" i="1" s="1"/>
  <c r="V183" i="1"/>
  <c r="Y183" i="1"/>
  <c r="Z183" i="1"/>
  <c r="AB183" i="1"/>
  <c r="AC183" i="1"/>
  <c r="AD183" i="1"/>
  <c r="AG183" i="1" s="1"/>
  <c r="AE183" i="1"/>
  <c r="AF183" i="1"/>
  <c r="K184" i="1"/>
  <c r="L184" i="1"/>
  <c r="M184" i="1"/>
  <c r="N184" i="1" s="1"/>
  <c r="V184" i="1"/>
  <c r="Y184" i="1"/>
  <c r="Z184" i="1"/>
  <c r="AB184" i="1"/>
  <c r="AC184" i="1"/>
  <c r="AD184" i="1"/>
  <c r="AG184" i="1" s="1"/>
  <c r="AE184" i="1"/>
  <c r="AF184" i="1"/>
  <c r="K185" i="1"/>
  <c r="L185" i="1"/>
  <c r="M185" i="1"/>
  <c r="N185" i="1" s="1"/>
  <c r="V185" i="1"/>
  <c r="Y185" i="1"/>
  <c r="Z185" i="1"/>
  <c r="AB185" i="1"/>
  <c r="AC185" i="1"/>
  <c r="AD185" i="1"/>
  <c r="AG185" i="1" s="1"/>
  <c r="AE185" i="1"/>
  <c r="AF185" i="1"/>
  <c r="K186" i="1"/>
  <c r="L186" i="1"/>
  <c r="M186" i="1"/>
  <c r="N186" i="1" s="1"/>
  <c r="V186" i="1"/>
  <c r="Y186" i="1"/>
  <c r="Z186" i="1"/>
  <c r="AB186" i="1"/>
  <c r="AC186" i="1"/>
  <c r="AD186" i="1"/>
  <c r="AE186" i="1"/>
  <c r="AF186" i="1"/>
  <c r="K187" i="1"/>
  <c r="L187" i="1"/>
  <c r="M187" i="1"/>
  <c r="N187" i="1" s="1"/>
  <c r="V187" i="1"/>
  <c r="Y187" i="1"/>
  <c r="Z187" i="1"/>
  <c r="AB187" i="1"/>
  <c r="AC187" i="1"/>
  <c r="AD187" i="1"/>
  <c r="AG187" i="1" s="1"/>
  <c r="AE187" i="1"/>
  <c r="AF187" i="1"/>
  <c r="K188" i="1"/>
  <c r="L188" i="1"/>
  <c r="M188" i="1"/>
  <c r="N188" i="1" s="1"/>
  <c r="V188" i="1"/>
  <c r="Y188" i="1"/>
  <c r="Z188" i="1"/>
  <c r="AB188" i="1"/>
  <c r="AC188" i="1"/>
  <c r="AD188" i="1"/>
  <c r="AG188" i="1" s="1"/>
  <c r="AE188" i="1"/>
  <c r="AF188" i="1"/>
  <c r="K189" i="1"/>
  <c r="L189" i="1"/>
  <c r="M189" i="1"/>
  <c r="N189" i="1" s="1"/>
  <c r="V189" i="1"/>
  <c r="Y189" i="1"/>
  <c r="Z189" i="1"/>
  <c r="AB189" i="1"/>
  <c r="AC189" i="1"/>
  <c r="AD189" i="1"/>
  <c r="AG189" i="1" s="1"/>
  <c r="AE189" i="1"/>
  <c r="AF189" i="1"/>
  <c r="K190" i="1"/>
  <c r="L190" i="1"/>
  <c r="M190" i="1"/>
  <c r="N190" i="1" s="1"/>
  <c r="V190" i="1"/>
  <c r="Y190" i="1"/>
  <c r="Z190" i="1"/>
  <c r="AB190" i="1"/>
  <c r="AC190" i="1"/>
  <c r="AD190" i="1"/>
  <c r="AE190" i="1"/>
  <c r="AF190" i="1"/>
  <c r="K191" i="1"/>
  <c r="L191" i="1"/>
  <c r="M191" i="1"/>
  <c r="N191" i="1" s="1"/>
  <c r="V191" i="1"/>
  <c r="Y191" i="1"/>
  <c r="Z191" i="1"/>
  <c r="AB191" i="1"/>
  <c r="AC191" i="1"/>
  <c r="AD191" i="1"/>
  <c r="AG191" i="1" s="1"/>
  <c r="AE191" i="1"/>
  <c r="AF191" i="1"/>
  <c r="K192" i="1"/>
  <c r="L192" i="1"/>
  <c r="M192" i="1"/>
  <c r="N192" i="1" s="1"/>
  <c r="V192" i="1"/>
  <c r="Y192" i="1"/>
  <c r="Z192" i="1"/>
  <c r="AB192" i="1"/>
  <c r="AC192" i="1"/>
  <c r="AD192" i="1"/>
  <c r="AG192" i="1" s="1"/>
  <c r="AE192" i="1"/>
  <c r="AF192" i="1"/>
  <c r="K193" i="1"/>
  <c r="L193" i="1"/>
  <c r="M193" i="1"/>
  <c r="N193" i="1" s="1"/>
  <c r="V193" i="1"/>
  <c r="Y193" i="1"/>
  <c r="Z193" i="1"/>
  <c r="AB193" i="1"/>
  <c r="AC193" i="1"/>
  <c r="AD193" i="1"/>
  <c r="AG193" i="1" s="1"/>
  <c r="AE193" i="1"/>
  <c r="AF193" i="1"/>
  <c r="K194" i="1"/>
  <c r="L194" i="1"/>
  <c r="M194" i="1"/>
  <c r="N194" i="1" s="1"/>
  <c r="V194" i="1"/>
  <c r="Y194" i="1"/>
  <c r="Z194" i="1"/>
  <c r="AB194" i="1"/>
  <c r="AC194" i="1"/>
  <c r="AD194" i="1"/>
  <c r="T194" i="1" s="1"/>
  <c r="AE194" i="1"/>
  <c r="AF194" i="1"/>
  <c r="K195" i="1"/>
  <c r="L195" i="1"/>
  <c r="M195" i="1"/>
  <c r="N195" i="1" s="1"/>
  <c r="V195" i="1"/>
  <c r="Y195" i="1"/>
  <c r="Z195" i="1"/>
  <c r="AB195" i="1"/>
  <c r="AC195" i="1"/>
  <c r="AD195" i="1"/>
  <c r="T195" i="1" s="1"/>
  <c r="AE195" i="1"/>
  <c r="AF195" i="1"/>
  <c r="K196" i="1"/>
  <c r="L196" i="1"/>
  <c r="M196" i="1"/>
  <c r="N196" i="1" s="1"/>
  <c r="V196" i="1"/>
  <c r="Y196" i="1"/>
  <c r="Z196" i="1"/>
  <c r="AB196" i="1"/>
  <c r="AC196" i="1"/>
  <c r="AD196" i="1"/>
  <c r="AG196" i="1" s="1"/>
  <c r="AE196" i="1"/>
  <c r="AF196" i="1"/>
  <c r="K197" i="1"/>
  <c r="L197" i="1"/>
  <c r="M197" i="1"/>
  <c r="N197" i="1" s="1"/>
  <c r="V197" i="1"/>
  <c r="Y197" i="1"/>
  <c r="Z197" i="1"/>
  <c r="AB197" i="1"/>
  <c r="AC197" i="1"/>
  <c r="AD197" i="1"/>
  <c r="AE197" i="1"/>
  <c r="AF197" i="1"/>
  <c r="K198" i="1"/>
  <c r="L198" i="1"/>
  <c r="M198" i="1"/>
  <c r="N198" i="1" s="1"/>
  <c r="V198" i="1"/>
  <c r="Y198" i="1"/>
  <c r="Z198" i="1"/>
  <c r="AB198" i="1"/>
  <c r="AC198" i="1"/>
  <c r="AD198" i="1"/>
  <c r="T198" i="1" s="1"/>
  <c r="AE198" i="1"/>
  <c r="AF198" i="1"/>
  <c r="K199" i="1"/>
  <c r="L199" i="1"/>
  <c r="M199" i="1"/>
  <c r="N199" i="1" s="1"/>
  <c r="V199" i="1"/>
  <c r="Y199" i="1"/>
  <c r="Z199" i="1"/>
  <c r="AB199" i="1"/>
  <c r="AC199" i="1"/>
  <c r="AD199" i="1"/>
  <c r="AE199" i="1"/>
  <c r="AF199" i="1"/>
  <c r="K200" i="1"/>
  <c r="L200" i="1"/>
  <c r="M200" i="1"/>
  <c r="N200" i="1" s="1"/>
  <c r="V200" i="1"/>
  <c r="Y200" i="1"/>
  <c r="Z200" i="1"/>
  <c r="AB200" i="1"/>
  <c r="AC200" i="1"/>
  <c r="AD200" i="1"/>
  <c r="AG200" i="1" s="1"/>
  <c r="AE200" i="1"/>
  <c r="AF200" i="1"/>
  <c r="K201" i="1"/>
  <c r="L201" i="1"/>
  <c r="M201" i="1"/>
  <c r="N201" i="1" s="1"/>
  <c r="V201" i="1"/>
  <c r="Y201" i="1"/>
  <c r="Z201" i="1"/>
  <c r="AB201" i="1"/>
  <c r="AC201" i="1"/>
  <c r="AD201" i="1"/>
  <c r="AG201" i="1" s="1"/>
  <c r="AE201" i="1"/>
  <c r="AF201" i="1"/>
  <c r="K202" i="1"/>
  <c r="L202" i="1"/>
  <c r="M202" i="1"/>
  <c r="N202" i="1" s="1"/>
  <c r="V202" i="1"/>
  <c r="Y202" i="1"/>
  <c r="Z202" i="1"/>
  <c r="AB202" i="1"/>
  <c r="AC202" i="1"/>
  <c r="AD202" i="1"/>
  <c r="AE202" i="1"/>
  <c r="AF202" i="1"/>
  <c r="K203" i="1"/>
  <c r="L203" i="1"/>
  <c r="M203" i="1"/>
  <c r="N203" i="1" s="1"/>
  <c r="V203" i="1"/>
  <c r="Y203" i="1"/>
  <c r="Z203" i="1"/>
  <c r="AB203" i="1"/>
  <c r="AC203" i="1"/>
  <c r="AD203" i="1"/>
  <c r="AG203" i="1" s="1"/>
  <c r="AE203" i="1"/>
  <c r="AF203" i="1"/>
  <c r="K204" i="1"/>
  <c r="L204" i="1"/>
  <c r="M204" i="1"/>
  <c r="N204" i="1" s="1"/>
  <c r="V204" i="1"/>
  <c r="Y204" i="1"/>
  <c r="Z204" i="1"/>
  <c r="AB204" i="1"/>
  <c r="AC204" i="1"/>
  <c r="AD204" i="1"/>
  <c r="AG204" i="1" s="1"/>
  <c r="AE204" i="1"/>
  <c r="AF204" i="1"/>
  <c r="K205" i="1"/>
  <c r="L205" i="1"/>
  <c r="M205" i="1"/>
  <c r="N205" i="1" s="1"/>
  <c r="V205" i="1"/>
  <c r="Y205" i="1"/>
  <c r="Z205" i="1"/>
  <c r="AB205" i="1"/>
  <c r="AC205" i="1"/>
  <c r="AD205" i="1"/>
  <c r="AG205" i="1" s="1"/>
  <c r="AE205" i="1"/>
  <c r="AF205" i="1"/>
  <c r="K206" i="1"/>
  <c r="L206" i="1"/>
  <c r="M206" i="1"/>
  <c r="N206" i="1" s="1"/>
  <c r="V206" i="1"/>
  <c r="Y206" i="1"/>
  <c r="Z206" i="1"/>
  <c r="AB206" i="1"/>
  <c r="AC206" i="1"/>
  <c r="AD206" i="1"/>
  <c r="AE206" i="1"/>
  <c r="AF206" i="1"/>
  <c r="K216" i="1"/>
  <c r="L216" i="1"/>
  <c r="M216" i="1"/>
  <c r="N216" i="1" s="1"/>
  <c r="V216" i="1"/>
  <c r="Y216" i="1"/>
  <c r="Z216" i="1"/>
  <c r="AB216" i="1"/>
  <c r="AC216" i="1"/>
  <c r="AD216" i="1"/>
  <c r="AE216" i="1"/>
  <c r="AF216" i="1"/>
  <c r="K217" i="1"/>
  <c r="L217" i="1"/>
  <c r="M217" i="1"/>
  <c r="N217" i="1" s="1"/>
  <c r="V217" i="1"/>
  <c r="Y217" i="1"/>
  <c r="Z217" i="1"/>
  <c r="AB217" i="1"/>
  <c r="AC217" i="1"/>
  <c r="AD217" i="1"/>
  <c r="AG217" i="1" s="1"/>
  <c r="AE217" i="1"/>
  <c r="AF217" i="1"/>
  <c r="K218" i="1"/>
  <c r="L218" i="1"/>
  <c r="M218" i="1"/>
  <c r="N218" i="1" s="1"/>
  <c r="V218" i="1"/>
  <c r="Y218" i="1"/>
  <c r="Z218" i="1"/>
  <c r="AB218" i="1"/>
  <c r="AC218" i="1"/>
  <c r="AD218" i="1"/>
  <c r="AG218" i="1" s="1"/>
  <c r="AE218" i="1"/>
  <c r="AF218" i="1"/>
  <c r="S15" i="3"/>
  <c r="R15" i="3" s="1"/>
  <c r="T15" i="3"/>
  <c r="U15" i="3"/>
  <c r="V15" i="3"/>
  <c r="S20" i="3"/>
  <c r="R20" i="3" s="1"/>
  <c r="T20" i="3"/>
  <c r="U20" i="3"/>
  <c r="V20" i="3"/>
  <c r="S42" i="3"/>
  <c r="R42" i="3" s="1"/>
  <c r="T42" i="3"/>
  <c r="U42" i="3"/>
  <c r="V42" i="3"/>
  <c r="S12" i="3"/>
  <c r="R12" i="3" s="1"/>
  <c r="T12" i="3"/>
  <c r="U12" i="3"/>
  <c r="V12" i="3"/>
  <c r="S19" i="3"/>
  <c r="R19" i="3" s="1"/>
  <c r="T19" i="3"/>
  <c r="U19" i="3"/>
  <c r="V19" i="3"/>
  <c r="S33" i="3"/>
  <c r="R33" i="3" s="1"/>
  <c r="T33" i="3"/>
  <c r="U33" i="3"/>
  <c r="V33" i="3"/>
  <c r="S38" i="3"/>
  <c r="R38" i="3" s="1"/>
  <c r="T38" i="3"/>
  <c r="U38" i="3"/>
  <c r="V38" i="3"/>
  <c r="S34" i="3"/>
  <c r="R34" i="3" s="1"/>
  <c r="T34" i="3"/>
  <c r="U34" i="3"/>
  <c r="V34" i="3"/>
  <c r="S21" i="3"/>
  <c r="R21" i="3" s="1"/>
  <c r="T21" i="3"/>
  <c r="U21" i="3"/>
  <c r="V21" i="3"/>
  <c r="S22" i="3"/>
  <c r="R22" i="3" s="1"/>
  <c r="T22" i="3"/>
  <c r="U22" i="3"/>
  <c r="V22" i="3"/>
  <c r="S13" i="3"/>
  <c r="R13" i="3" s="1"/>
  <c r="T13" i="3"/>
  <c r="U13" i="3"/>
  <c r="V13" i="3"/>
  <c r="S23" i="3"/>
  <c r="R23" i="3" s="1"/>
  <c r="T23" i="3"/>
  <c r="U23" i="3"/>
  <c r="V23" i="3"/>
  <c r="S16" i="3"/>
  <c r="R16" i="3" s="1"/>
  <c r="T16" i="3"/>
  <c r="U16" i="3"/>
  <c r="V16" i="3"/>
  <c r="S31" i="3"/>
  <c r="R31" i="3" s="1"/>
  <c r="T31" i="3"/>
  <c r="U31" i="3"/>
  <c r="V31" i="3"/>
  <c r="S11" i="3"/>
  <c r="R11" i="3" s="1"/>
  <c r="T11" i="3"/>
  <c r="U11" i="3"/>
  <c r="V11" i="3"/>
  <c r="S40" i="3"/>
  <c r="R40" i="3" s="1"/>
  <c r="T40" i="3"/>
  <c r="U40" i="3"/>
  <c r="V40" i="3"/>
  <c r="S41" i="3"/>
  <c r="R41" i="3" s="1"/>
  <c r="T41" i="3"/>
  <c r="U41" i="3"/>
  <c r="V41" i="3"/>
  <c r="S17" i="3"/>
  <c r="R17" i="3" s="1"/>
  <c r="T17" i="3"/>
  <c r="U17" i="3"/>
  <c r="V17" i="3"/>
  <c r="S24" i="3"/>
  <c r="R24" i="3" s="1"/>
  <c r="T24" i="3"/>
  <c r="U24" i="3"/>
  <c r="V24" i="3"/>
  <c r="S39" i="3"/>
  <c r="R39" i="3" s="1"/>
  <c r="T39" i="3"/>
  <c r="U39" i="3"/>
  <c r="V39" i="3"/>
  <c r="S25" i="3"/>
  <c r="R25" i="3" s="1"/>
  <c r="T25" i="3"/>
  <c r="U25" i="3"/>
  <c r="V25" i="3"/>
  <c r="S35" i="3"/>
  <c r="R35" i="3" s="1"/>
  <c r="T35" i="3"/>
  <c r="U35" i="3"/>
  <c r="V35" i="3"/>
  <c r="S26" i="3"/>
  <c r="R26" i="3" s="1"/>
  <c r="T26" i="3"/>
  <c r="U26" i="3"/>
  <c r="V26" i="3"/>
  <c r="S27" i="3"/>
  <c r="R27" i="3" s="1"/>
  <c r="T27" i="3"/>
  <c r="U27" i="3"/>
  <c r="V27" i="3"/>
  <c r="S43" i="3"/>
  <c r="R43" i="3" s="1"/>
  <c r="T43" i="3"/>
  <c r="U43" i="3"/>
  <c r="V43" i="3"/>
  <c r="S28" i="3"/>
  <c r="R28" i="3" s="1"/>
  <c r="T28" i="3"/>
  <c r="U28" i="3"/>
  <c r="V28" i="3"/>
  <c r="S36" i="3"/>
  <c r="R36" i="3" s="1"/>
  <c r="T36" i="3"/>
  <c r="U36" i="3"/>
  <c r="V36" i="3"/>
  <c r="S18" i="3"/>
  <c r="R18" i="3" s="1"/>
  <c r="T18" i="3"/>
  <c r="U18" i="3"/>
  <c r="V18" i="3"/>
  <c r="S32" i="3"/>
  <c r="R32" i="3" s="1"/>
  <c r="T32" i="3"/>
  <c r="U32" i="3"/>
  <c r="V32" i="3"/>
  <c r="S14" i="3"/>
  <c r="R14" i="3" s="1"/>
  <c r="T14" i="3"/>
  <c r="U14" i="3"/>
  <c r="V14" i="3"/>
  <c r="S29" i="3"/>
  <c r="R29" i="3" s="1"/>
  <c r="T29" i="3"/>
  <c r="U29" i="3"/>
  <c r="V29" i="3"/>
  <c r="S9" i="3"/>
  <c r="R9" i="3" s="1"/>
  <c r="T9" i="3"/>
  <c r="U9" i="3"/>
  <c r="V9" i="3"/>
  <c r="S7" i="3"/>
  <c r="R7" i="3" s="1"/>
  <c r="T7" i="3"/>
  <c r="U7" i="3"/>
  <c r="V7" i="3"/>
  <c r="S30" i="3"/>
  <c r="R30" i="3" s="1"/>
  <c r="T30" i="3"/>
  <c r="U30" i="3"/>
  <c r="V30" i="3"/>
  <c r="S10" i="3"/>
  <c r="R10" i="3" s="1"/>
  <c r="T10" i="3"/>
  <c r="U10" i="3"/>
  <c r="V10" i="3"/>
  <c r="S8" i="3"/>
  <c r="R8" i="3" s="1"/>
  <c r="T8" i="3"/>
  <c r="U8" i="3"/>
  <c r="V8" i="3"/>
  <c r="AA77" i="1" l="1"/>
  <c r="AA138" i="1"/>
  <c r="AA36" i="1"/>
  <c r="W36" i="1" s="1"/>
  <c r="AA60" i="1"/>
  <c r="T33" i="1"/>
  <c r="U33" i="1" s="1"/>
  <c r="S33" i="1" s="1"/>
  <c r="AA188" i="1"/>
  <c r="AI188" i="1" s="1"/>
  <c r="AA172" i="1"/>
  <c r="W172" i="1" s="1"/>
  <c r="X206" i="1"/>
  <c r="T184" i="1"/>
  <c r="T175" i="1"/>
  <c r="U175" i="1" s="1"/>
  <c r="S175" i="1" s="1"/>
  <c r="AA165" i="1"/>
  <c r="AA131" i="1"/>
  <c r="W131" i="1" s="1"/>
  <c r="AA71" i="1"/>
  <c r="AI71" i="1" s="1"/>
  <c r="P68" i="1"/>
  <c r="X40" i="1"/>
  <c r="X118" i="1"/>
  <c r="X73" i="1"/>
  <c r="P19" i="1"/>
  <c r="X18" i="1"/>
  <c r="AG32" i="1"/>
  <c r="U32" i="1" s="1"/>
  <c r="S32" i="1" s="1"/>
  <c r="X17" i="1"/>
  <c r="AA191" i="1"/>
  <c r="AI191" i="1" s="1"/>
  <c r="AA99" i="1"/>
  <c r="AI99" i="1" s="1"/>
  <c r="AA218" i="1"/>
  <c r="AG66" i="1"/>
  <c r="U66" i="1" s="1"/>
  <c r="S66" i="1" s="1"/>
  <c r="T40" i="1"/>
  <c r="P38" i="1"/>
  <c r="T87" i="1"/>
  <c r="U87" i="1" s="1"/>
  <c r="S87" i="1" s="1"/>
  <c r="AA152" i="1"/>
  <c r="AA94" i="1"/>
  <c r="AA87" i="1"/>
  <c r="W87" i="1" s="1"/>
  <c r="AA75" i="1"/>
  <c r="AI75" i="1" s="1"/>
  <c r="AA74" i="1"/>
  <c r="AA63" i="1"/>
  <c r="W63" i="1" s="1"/>
  <c r="AA59" i="1"/>
  <c r="AI59" i="1" s="1"/>
  <c r="AA15" i="1"/>
  <c r="AI15" i="1" s="1"/>
  <c r="X16" i="1"/>
  <c r="AA115" i="1"/>
  <c r="X117" i="1"/>
  <c r="X15" i="1"/>
  <c r="X116" i="1"/>
  <c r="X225" i="1"/>
  <c r="X145" i="1"/>
  <c r="AG134" i="1"/>
  <c r="X134" i="1"/>
  <c r="AA39" i="1"/>
  <c r="AA35" i="1"/>
  <c r="AA30" i="1"/>
  <c r="X115" i="1"/>
  <c r="T191" i="1"/>
  <c r="U191" i="1" s="1"/>
  <c r="S191" i="1" s="1"/>
  <c r="AG115" i="1"/>
  <c r="U115" i="1" s="1"/>
  <c r="S115" i="1" s="1"/>
  <c r="T15" i="1"/>
  <c r="U15" i="1" s="1"/>
  <c r="S15" i="1" s="1"/>
  <c r="W10" i="3"/>
  <c r="W7" i="3"/>
  <c r="W29" i="3"/>
  <c r="W32" i="3"/>
  <c r="W36" i="3"/>
  <c r="W43" i="3"/>
  <c r="W26" i="3"/>
  <c r="W25" i="3"/>
  <c r="W24" i="3"/>
  <c r="W41" i="3"/>
  <c r="W11" i="3"/>
  <c r="W16" i="3"/>
  <c r="W23" i="3"/>
  <c r="W13" i="3"/>
  <c r="W22" i="3"/>
  <c r="W34" i="3"/>
  <c r="W33" i="3"/>
  <c r="W12" i="3"/>
  <c r="W20" i="3"/>
  <c r="AA214" i="1"/>
  <c r="AA211" i="1"/>
  <c r="W211" i="1" s="1"/>
  <c r="X156" i="1"/>
  <c r="AA119" i="1"/>
  <c r="AI119" i="1" s="1"/>
  <c r="AA83" i="1"/>
  <c r="AI83" i="1" s="1"/>
  <c r="AG58" i="1"/>
  <c r="U58" i="1" s="1"/>
  <c r="S58" i="1" s="1"/>
  <c r="AA55" i="1"/>
  <c r="AI55" i="1" s="1"/>
  <c r="AA51" i="1"/>
  <c r="AA50" i="1"/>
  <c r="AA42" i="1"/>
  <c r="AA203" i="1"/>
  <c r="W203" i="1" s="1"/>
  <c r="AA194" i="1"/>
  <c r="AA173" i="1"/>
  <c r="AA168" i="1"/>
  <c r="W168" i="1" s="1"/>
  <c r="AA164" i="1"/>
  <c r="W164" i="1" s="1"/>
  <c r="AA142" i="1"/>
  <c r="AI142" i="1" s="1"/>
  <c r="AA38" i="1"/>
  <c r="AA217" i="1"/>
  <c r="W217" i="1" s="1"/>
  <c r="AA201" i="1"/>
  <c r="AI201" i="1" s="1"/>
  <c r="AG194" i="1"/>
  <c r="U194" i="1" s="1"/>
  <c r="S194" i="1" s="1"/>
  <c r="X194" i="1"/>
  <c r="AA185" i="1"/>
  <c r="W185" i="1" s="1"/>
  <c r="AA175" i="1"/>
  <c r="W175" i="1" s="1"/>
  <c r="AG167" i="1"/>
  <c r="U167" i="1" s="1"/>
  <c r="S167" i="1" s="1"/>
  <c r="AA160" i="1"/>
  <c r="W160" i="1" s="1"/>
  <c r="T159" i="1"/>
  <c r="U159" i="1" s="1"/>
  <c r="S159" i="1" s="1"/>
  <c r="AA156" i="1"/>
  <c r="AI156" i="1" s="1"/>
  <c r="AA154" i="1"/>
  <c r="T151" i="1"/>
  <c r="U151" i="1" s="1"/>
  <c r="S151" i="1" s="1"/>
  <c r="AA148" i="1"/>
  <c r="AA143" i="1"/>
  <c r="AI143" i="1" s="1"/>
  <c r="T142" i="1"/>
  <c r="U142" i="1" s="1"/>
  <c r="S142" i="1" s="1"/>
  <c r="AA139" i="1"/>
  <c r="AA132" i="1"/>
  <c r="T126" i="1"/>
  <c r="U126" i="1" s="1"/>
  <c r="S126" i="1" s="1"/>
  <c r="AA124" i="1"/>
  <c r="AA123" i="1"/>
  <c r="AI123" i="1" s="1"/>
  <c r="AG90" i="1"/>
  <c r="U90" i="1" s="1"/>
  <c r="S90" i="1" s="1"/>
  <c r="AA88" i="1"/>
  <c r="AG77" i="1"/>
  <c r="W77" i="1" s="1"/>
  <c r="X77" i="1"/>
  <c r="AA68" i="1"/>
  <c r="AA61" i="1"/>
  <c r="X59" i="1"/>
  <c r="AG40" i="1"/>
  <c r="X39" i="1"/>
  <c r="AG26" i="1"/>
  <c r="T200" i="1"/>
  <c r="U200" i="1" s="1"/>
  <c r="S200" i="1" s="1"/>
  <c r="T203" i="1"/>
  <c r="U203" i="1" s="1"/>
  <c r="S203" i="1" s="1"/>
  <c r="AA200" i="1"/>
  <c r="AI200" i="1" s="1"/>
  <c r="AA192" i="1"/>
  <c r="W192" i="1" s="1"/>
  <c r="AA187" i="1"/>
  <c r="W187" i="1" s="1"/>
  <c r="X187" i="1"/>
  <c r="AA178" i="1"/>
  <c r="AA169" i="1"/>
  <c r="AA161" i="1"/>
  <c r="AA212" i="1"/>
  <c r="AA157" i="1"/>
  <c r="AA151" i="1"/>
  <c r="W151" i="1" s="1"/>
  <c r="AA149" i="1"/>
  <c r="AA144" i="1"/>
  <c r="AI144" i="1" s="1"/>
  <c r="AA104" i="1"/>
  <c r="AA56" i="1"/>
  <c r="AA41" i="1"/>
  <c r="AI41" i="1" s="1"/>
  <c r="AA37" i="1"/>
  <c r="T29" i="1"/>
  <c r="U29" i="1" s="1"/>
  <c r="S29" i="1" s="1"/>
  <c r="AG28" i="1"/>
  <c r="AA24" i="1"/>
  <c r="AI24" i="1" s="1"/>
  <c r="AA18" i="1"/>
  <c r="X203" i="1"/>
  <c r="T187" i="1"/>
  <c r="U187" i="1" s="1"/>
  <c r="S187" i="1" s="1"/>
  <c r="AA184" i="1"/>
  <c r="W184" i="1" s="1"/>
  <c r="T183" i="1"/>
  <c r="AA179" i="1"/>
  <c r="AA176" i="1"/>
  <c r="AI176" i="1" s="1"/>
  <c r="AA215" i="1"/>
  <c r="W215" i="1" s="1"/>
  <c r="AA207" i="1"/>
  <c r="W207" i="1" s="1"/>
  <c r="AA153" i="1"/>
  <c r="AA150" i="1"/>
  <c r="AA128" i="1"/>
  <c r="AA114" i="1"/>
  <c r="AA78" i="1"/>
  <c r="AA70" i="1"/>
  <c r="AA52" i="1"/>
  <c r="X41" i="1"/>
  <c r="AG216" i="1"/>
  <c r="T216" i="1"/>
  <c r="AG127" i="1"/>
  <c r="U127" i="1" s="1"/>
  <c r="S127" i="1" s="1"/>
  <c r="X127" i="1"/>
  <c r="AG113" i="1"/>
  <c r="T113" i="1"/>
  <c r="U113" i="1" s="1"/>
  <c r="S113" i="1" s="1"/>
  <c r="T108" i="1"/>
  <c r="AG108" i="1"/>
  <c r="T43" i="1"/>
  <c r="X43" i="1"/>
  <c r="AG43" i="1"/>
  <c r="X199" i="1"/>
  <c r="T199" i="1"/>
  <c r="X190" i="1"/>
  <c r="T178" i="1"/>
  <c r="AG178" i="1"/>
  <c r="X137" i="1"/>
  <c r="AG137" i="1"/>
  <c r="X86" i="1"/>
  <c r="AG86" i="1"/>
  <c r="T86" i="1"/>
  <c r="X87" i="1"/>
  <c r="T209" i="1"/>
  <c r="AG209" i="1"/>
  <c r="T18" i="1"/>
  <c r="AG18" i="1"/>
  <c r="AA216" i="1"/>
  <c r="W216" i="1" s="1"/>
  <c r="T221" i="1"/>
  <c r="AG221" i="1"/>
  <c r="T94" i="1"/>
  <c r="AG94" i="1"/>
  <c r="AG62" i="1"/>
  <c r="T62" i="1"/>
  <c r="AA163" i="1"/>
  <c r="AA195" i="1"/>
  <c r="X95" i="1"/>
  <c r="X167" i="1"/>
  <c r="AG213" i="1"/>
  <c r="U213" i="1" s="1"/>
  <c r="S213" i="1" s="1"/>
  <c r="AG149" i="1"/>
  <c r="W149" i="1" s="1"/>
  <c r="AA146" i="1"/>
  <c r="AA140" i="1"/>
  <c r="AI140" i="1" s="1"/>
  <c r="AA136" i="1"/>
  <c r="AA204" i="1"/>
  <c r="W204" i="1" s="1"/>
  <c r="AA193" i="1"/>
  <c r="W193" i="1" s="1"/>
  <c r="X171" i="1"/>
  <c r="AI168" i="1"/>
  <c r="T225" i="1"/>
  <c r="AA222" i="1"/>
  <c r="X215" i="1"/>
  <c r="X210" i="1"/>
  <c r="AA210" i="1"/>
  <c r="AA209" i="1"/>
  <c r="AG154" i="1"/>
  <c r="X131" i="1"/>
  <c r="AA127" i="1"/>
  <c r="X126" i="1"/>
  <c r="AG121" i="1"/>
  <c r="U121" i="1" s="1"/>
  <c r="S121" i="1" s="1"/>
  <c r="AG117" i="1"/>
  <c r="U117" i="1" s="1"/>
  <c r="S117" i="1" s="1"/>
  <c r="X114" i="1"/>
  <c r="X110" i="1"/>
  <c r="AA107" i="1"/>
  <c r="AI107" i="1" s="1"/>
  <c r="AG102" i="1"/>
  <c r="X102" i="1"/>
  <c r="AA100" i="1"/>
  <c r="AA92" i="1"/>
  <c r="AI92" i="1" s="1"/>
  <c r="AA91" i="1"/>
  <c r="AA82" i="1"/>
  <c r="AG78" i="1"/>
  <c r="U78" i="1" s="1"/>
  <c r="S78" i="1" s="1"/>
  <c r="AA54" i="1"/>
  <c r="AA44" i="1"/>
  <c r="AA43" i="1"/>
  <c r="AG34" i="1"/>
  <c r="U34" i="1" s="1"/>
  <c r="S34" i="1" s="1"/>
  <c r="AA26" i="1"/>
  <c r="AA23" i="1"/>
  <c r="AA22" i="1"/>
  <c r="T20" i="1"/>
  <c r="U20" i="1" s="1"/>
  <c r="AA155" i="1"/>
  <c r="AA147" i="1"/>
  <c r="AI147" i="1" s="1"/>
  <c r="AA122" i="1"/>
  <c r="AA121" i="1"/>
  <c r="AA118" i="1"/>
  <c r="AA116" i="1"/>
  <c r="AA110" i="1"/>
  <c r="W110" i="1" s="1"/>
  <c r="AA106" i="1"/>
  <c r="W106" i="1" s="1"/>
  <c r="AA98" i="1"/>
  <c r="AA95" i="1"/>
  <c r="X90" i="1"/>
  <c r="AA84" i="1"/>
  <c r="AA76" i="1"/>
  <c r="W76" i="1" s="1"/>
  <c r="AA67" i="1"/>
  <c r="AI67" i="1" s="1"/>
  <c r="AA64" i="1"/>
  <c r="AA49" i="1"/>
  <c r="AI49" i="1" s="1"/>
  <c r="AA48" i="1"/>
  <c r="W48" i="1" s="1"/>
  <c r="AA46" i="1"/>
  <c r="AA33" i="1"/>
  <c r="W33" i="1" s="1"/>
  <c r="AA20" i="1"/>
  <c r="W20" i="1" s="1"/>
  <c r="W138" i="1"/>
  <c r="AI138" i="1"/>
  <c r="AI207" i="1"/>
  <c r="X182" i="1"/>
  <c r="T168" i="1"/>
  <c r="U168" i="1" s="1"/>
  <c r="S168" i="1" s="1"/>
  <c r="T207" i="1"/>
  <c r="U207" i="1" s="1"/>
  <c r="S207" i="1" s="1"/>
  <c r="W218" i="1"/>
  <c r="X198" i="1"/>
  <c r="AA199" i="1"/>
  <c r="AG198" i="1"/>
  <c r="X196" i="1"/>
  <c r="AG195" i="1"/>
  <c r="X195" i="1"/>
  <c r="AA183" i="1"/>
  <c r="W183" i="1" s="1"/>
  <c r="AG182" i="1"/>
  <c r="U182" i="1" s="1"/>
  <c r="S182" i="1" s="1"/>
  <c r="X180" i="1"/>
  <c r="AG179" i="1"/>
  <c r="X179" i="1"/>
  <c r="T172" i="1"/>
  <c r="U172" i="1" s="1"/>
  <c r="S172" i="1" s="1"/>
  <c r="AA167" i="1"/>
  <c r="AG166" i="1"/>
  <c r="X164" i="1"/>
  <c r="AG163" i="1"/>
  <c r="U163" i="1" s="1"/>
  <c r="S163" i="1" s="1"/>
  <c r="AA162" i="1"/>
  <c r="T160" i="1"/>
  <c r="U160" i="1" s="1"/>
  <c r="S160" i="1" s="1"/>
  <c r="AA223" i="1"/>
  <c r="X222" i="1"/>
  <c r="AA221" i="1"/>
  <c r="AG220" i="1"/>
  <c r="U220" i="1" s="1"/>
  <c r="S220" i="1" s="1"/>
  <c r="AG214" i="1"/>
  <c r="W214" i="1" s="1"/>
  <c r="X214" i="1"/>
  <c r="T211" i="1"/>
  <c r="U211" i="1" s="1"/>
  <c r="S211" i="1" s="1"/>
  <c r="T210" i="1"/>
  <c r="AA208" i="1"/>
  <c r="AA159" i="1"/>
  <c r="W159" i="1" s="1"/>
  <c r="AG158" i="1"/>
  <c r="U158" i="1" s="1"/>
  <c r="S158" i="1" s="1"/>
  <c r="AG155" i="1"/>
  <c r="X155" i="1"/>
  <c r="AG150" i="1"/>
  <c r="W150" i="1" s="1"/>
  <c r="X150" i="1"/>
  <c r="X147" i="1"/>
  <c r="AG146" i="1"/>
  <c r="X146" i="1"/>
  <c r="AA145" i="1"/>
  <c r="T138" i="1"/>
  <c r="U138" i="1" s="1"/>
  <c r="S138" i="1" s="1"/>
  <c r="X138" i="1"/>
  <c r="AA133" i="1"/>
  <c r="T131" i="1"/>
  <c r="U131" i="1" s="1"/>
  <c r="S131" i="1" s="1"/>
  <c r="X130" i="1"/>
  <c r="AG130" i="1"/>
  <c r="AA130" i="1"/>
  <c r="T127" i="1"/>
  <c r="W201" i="1"/>
  <c r="AA205" i="1"/>
  <c r="W205" i="1" s="1"/>
  <c r="AG202" i="1"/>
  <c r="X202" i="1"/>
  <c r="AG199" i="1"/>
  <c r="U199" i="1" s="1"/>
  <c r="S199" i="1" s="1"/>
  <c r="AA189" i="1"/>
  <c r="W189" i="1" s="1"/>
  <c r="AG186" i="1"/>
  <c r="X186" i="1"/>
  <c r="X183" i="1"/>
  <c r="X176" i="1"/>
  <c r="AA171" i="1"/>
  <c r="X168" i="1"/>
  <c r="AA225" i="1"/>
  <c r="AG224" i="1"/>
  <c r="U224" i="1" s="1"/>
  <c r="S224" i="1" s="1"/>
  <c r="X221" i="1"/>
  <c r="T215" i="1"/>
  <c r="U215" i="1" s="1"/>
  <c r="S215" i="1" s="1"/>
  <c r="X207" i="1"/>
  <c r="X159" i="1"/>
  <c r="T156" i="1"/>
  <c r="U156" i="1" s="1"/>
  <c r="S156" i="1" s="1"/>
  <c r="X143" i="1"/>
  <c r="W140" i="1"/>
  <c r="T135" i="1"/>
  <c r="U135" i="1" s="1"/>
  <c r="S135" i="1" s="1"/>
  <c r="X122" i="1"/>
  <c r="AG122" i="1"/>
  <c r="X123" i="1"/>
  <c r="T122" i="1"/>
  <c r="T118" i="1"/>
  <c r="AG118" i="1"/>
  <c r="X217" i="1"/>
  <c r="AA198" i="1"/>
  <c r="AA197" i="1"/>
  <c r="AA196" i="1"/>
  <c r="AI196" i="1" s="1"/>
  <c r="T196" i="1"/>
  <c r="U196" i="1" s="1"/>
  <c r="S196" i="1" s="1"/>
  <c r="X192" i="1"/>
  <c r="AA182" i="1"/>
  <c r="AA181" i="1"/>
  <c r="AA180" i="1"/>
  <c r="AI180" i="1" s="1"/>
  <c r="T180" i="1"/>
  <c r="U180" i="1" s="1"/>
  <c r="S180" i="1" s="1"/>
  <c r="AA177" i="1"/>
  <c r="W177" i="1" s="1"/>
  <c r="X175" i="1"/>
  <c r="X172" i="1"/>
  <c r="AG171" i="1"/>
  <c r="AI171" i="1" s="1"/>
  <c r="AA166" i="1"/>
  <c r="T164" i="1"/>
  <c r="U164" i="1" s="1"/>
  <c r="S164" i="1" s="1"/>
  <c r="X160" i="1"/>
  <c r="AG225" i="1"/>
  <c r="T222" i="1"/>
  <c r="U222" i="1" s="1"/>
  <c r="S222" i="1" s="1"/>
  <c r="AA219" i="1"/>
  <c r="X211" i="1"/>
  <c r="AG210" i="1"/>
  <c r="T147" i="1"/>
  <c r="U147" i="1" s="1"/>
  <c r="S147" i="1" s="1"/>
  <c r="AA135" i="1"/>
  <c r="AI135" i="1" s="1"/>
  <c r="AA134" i="1"/>
  <c r="AG133" i="1"/>
  <c r="X133" i="1"/>
  <c r="T125" i="1"/>
  <c r="AG125" i="1"/>
  <c r="W114" i="1"/>
  <c r="AI114" i="1"/>
  <c r="X113" i="1"/>
  <c r="T110" i="1"/>
  <c r="U110" i="1" s="1"/>
  <c r="S110" i="1" s="1"/>
  <c r="T106" i="1"/>
  <c r="U106" i="1" s="1"/>
  <c r="S106" i="1" s="1"/>
  <c r="X106" i="1"/>
  <c r="T67" i="1"/>
  <c r="U67" i="1" s="1"/>
  <c r="S67" i="1" s="1"/>
  <c r="T48" i="1"/>
  <c r="U48" i="1" s="1"/>
  <c r="S48" i="1" s="1"/>
  <c r="T36" i="1"/>
  <c r="U36" i="1" s="1"/>
  <c r="S36" i="1" s="1"/>
  <c r="T24" i="1"/>
  <c r="U24" i="1" s="1"/>
  <c r="S24" i="1" s="1"/>
  <c r="AA19" i="1"/>
  <c r="AA125" i="1"/>
  <c r="AI125" i="1" s="1"/>
  <c r="T123" i="1"/>
  <c r="U123" i="1" s="1"/>
  <c r="S123" i="1" s="1"/>
  <c r="AA120" i="1"/>
  <c r="X119" i="1"/>
  <c r="T114" i="1"/>
  <c r="U114" i="1" s="1"/>
  <c r="S114" i="1" s="1"/>
  <c r="AA111" i="1"/>
  <c r="AG109" i="1"/>
  <c r="U109" i="1" s="1"/>
  <c r="S109" i="1" s="1"/>
  <c r="X109" i="1"/>
  <c r="T107" i="1"/>
  <c r="U107" i="1" s="1"/>
  <c r="S107" i="1" s="1"/>
  <c r="AG105" i="1"/>
  <c r="X105" i="1"/>
  <c r="X103" i="1"/>
  <c r="AA101" i="1"/>
  <c r="X99" i="1"/>
  <c r="AG98" i="1"/>
  <c r="U98" i="1" s="1"/>
  <c r="S98" i="1" s="1"/>
  <c r="X98" i="1"/>
  <c r="AA97" i="1"/>
  <c r="AA93" i="1"/>
  <c r="AA85" i="1"/>
  <c r="X83" i="1"/>
  <c r="AG82" i="1"/>
  <c r="U82" i="1" s="1"/>
  <c r="S82" i="1" s="1"/>
  <c r="X82" i="1"/>
  <c r="AA81" i="1"/>
  <c r="X78" i="1"/>
  <c r="T75" i="1"/>
  <c r="U75" i="1" s="1"/>
  <c r="S75" i="1" s="1"/>
  <c r="T74" i="1"/>
  <c r="U74" i="1" s="1"/>
  <c r="S74" i="1" s="1"/>
  <c r="AG70" i="1"/>
  <c r="U70" i="1" s="1"/>
  <c r="AA66" i="1"/>
  <c r="AA65" i="1"/>
  <c r="T63" i="1"/>
  <c r="U63" i="1" s="1"/>
  <c r="S63" i="1" s="1"/>
  <c r="X55" i="1"/>
  <c r="AG54" i="1"/>
  <c r="U54" i="1" s="1"/>
  <c r="S54" i="1" s="1"/>
  <c r="AA53" i="1"/>
  <c r="X51" i="1"/>
  <c r="AA45" i="1"/>
  <c r="AG44" i="1"/>
  <c r="U44" i="1" s="1"/>
  <c r="S44" i="1" s="1"/>
  <c r="X44" i="1"/>
  <c r="AG30" i="1"/>
  <c r="AI30" i="1" s="1"/>
  <c r="AA29" i="1"/>
  <c r="W29" i="1" s="1"/>
  <c r="AA28" i="1"/>
  <c r="AA27" i="1"/>
  <c r="U26" i="1"/>
  <c r="S26" i="1" s="1"/>
  <c r="AA25" i="1"/>
  <c r="W25" i="1" s="1"/>
  <c r="T25" i="1"/>
  <c r="U25" i="1" s="1"/>
  <c r="S25" i="1" s="1"/>
  <c r="X21" i="1"/>
  <c r="AA17" i="1"/>
  <c r="W17" i="1" s="1"/>
  <c r="T17" i="1"/>
  <c r="U17" i="1" s="1"/>
  <c r="S17" i="1" s="1"/>
  <c r="AA16" i="1"/>
  <c r="AA14" i="1"/>
  <c r="T89" i="1"/>
  <c r="W74" i="1"/>
  <c r="X71" i="1"/>
  <c r="X67" i="1"/>
  <c r="T59" i="1"/>
  <c r="U59" i="1" s="1"/>
  <c r="S59" i="1" s="1"/>
  <c r="T41" i="1"/>
  <c r="U41" i="1" s="1"/>
  <c r="S41" i="1" s="1"/>
  <c r="AA34" i="1"/>
  <c r="AI34" i="1" s="1"/>
  <c r="AA32" i="1"/>
  <c r="AA126" i="1"/>
  <c r="W126" i="1" s="1"/>
  <c r="T119" i="1"/>
  <c r="U119" i="1" s="1"/>
  <c r="S119" i="1" s="1"/>
  <c r="AA113" i="1"/>
  <c r="AG112" i="1"/>
  <c r="U112" i="1" s="1"/>
  <c r="S112" i="1" s="1"/>
  <c r="AA109" i="1"/>
  <c r="T105" i="1"/>
  <c r="AA103" i="1"/>
  <c r="AI103" i="1" s="1"/>
  <c r="AA102" i="1"/>
  <c r="AG101" i="1"/>
  <c r="X101" i="1"/>
  <c r="T99" i="1"/>
  <c r="U99" i="1" s="1"/>
  <c r="S99" i="1" s="1"/>
  <c r="X94" i="1"/>
  <c r="AG93" i="1"/>
  <c r="U93" i="1" s="1"/>
  <c r="S93" i="1" s="1"/>
  <c r="X93" i="1"/>
  <c r="AA90" i="1"/>
  <c r="AA86" i="1"/>
  <c r="AI86" i="1" s="1"/>
  <c r="AG85" i="1"/>
  <c r="X85" i="1"/>
  <c r="T83" i="1"/>
  <c r="U83" i="1" s="1"/>
  <c r="S83" i="1" s="1"/>
  <c r="AA79" i="1"/>
  <c r="AA72" i="1"/>
  <c r="X63" i="1"/>
  <c r="AA58" i="1"/>
  <c r="AA57" i="1"/>
  <c r="T55" i="1"/>
  <c r="U55" i="1" s="1"/>
  <c r="S55" i="1" s="1"/>
  <c r="X33" i="1"/>
  <c r="AA31" i="1"/>
  <c r="X25" i="1"/>
  <c r="AG22" i="1"/>
  <c r="AA21" i="1"/>
  <c r="W21" i="1" s="1"/>
  <c r="T21" i="1"/>
  <c r="U21" i="1" s="1"/>
  <c r="S21" i="1" s="1"/>
  <c r="AG16" i="1"/>
  <c r="U16" i="1" s="1"/>
  <c r="S16" i="1" s="1"/>
  <c r="W200" i="1"/>
  <c r="T218" i="1"/>
  <c r="U218" i="1" s="1"/>
  <c r="S218" i="1" s="1"/>
  <c r="X218" i="1"/>
  <c r="X216" i="1"/>
  <c r="AA206" i="1"/>
  <c r="T202" i="1"/>
  <c r="T193" i="1"/>
  <c r="U193" i="1" s="1"/>
  <c r="S193" i="1" s="1"/>
  <c r="X193" i="1"/>
  <c r="X191" i="1"/>
  <c r="AA190" i="1"/>
  <c r="T186" i="1"/>
  <c r="U184" i="1"/>
  <c r="S184" i="1" s="1"/>
  <c r="U179" i="1"/>
  <c r="S179" i="1" s="1"/>
  <c r="T177" i="1"/>
  <c r="U177" i="1" s="1"/>
  <c r="S177" i="1" s="1"/>
  <c r="X177" i="1"/>
  <c r="AA174" i="1"/>
  <c r="T173" i="1"/>
  <c r="X173" i="1"/>
  <c r="AG173" i="1"/>
  <c r="T170" i="1"/>
  <c r="U170" i="1" s="1"/>
  <c r="S170" i="1" s="1"/>
  <c r="X170" i="1"/>
  <c r="T223" i="1"/>
  <c r="X223" i="1"/>
  <c r="AG223" i="1"/>
  <c r="AA213" i="1"/>
  <c r="T157" i="1"/>
  <c r="X157" i="1"/>
  <c r="AG157" i="1"/>
  <c r="W157" i="1" s="1"/>
  <c r="AG139" i="1"/>
  <c r="X139" i="1"/>
  <c r="T139" i="1"/>
  <c r="U134" i="1"/>
  <c r="S134" i="1" s="1"/>
  <c r="T80" i="1"/>
  <c r="X80" i="1"/>
  <c r="AG80" i="1"/>
  <c r="AI218" i="1"/>
  <c r="U183" i="1"/>
  <c r="S183" i="1" s="1"/>
  <c r="T174" i="1"/>
  <c r="X174" i="1"/>
  <c r="T161" i="1"/>
  <c r="X161" i="1"/>
  <c r="AG161" i="1"/>
  <c r="T219" i="1"/>
  <c r="X219" i="1"/>
  <c r="AG219" i="1"/>
  <c r="W156" i="1"/>
  <c r="T153" i="1"/>
  <c r="X153" i="1"/>
  <c r="AG153" i="1"/>
  <c r="AG37" i="1"/>
  <c r="T37" i="1"/>
  <c r="X37" i="1"/>
  <c r="T206" i="1"/>
  <c r="T197" i="1"/>
  <c r="X197" i="1"/>
  <c r="T190" i="1"/>
  <c r="T181" i="1"/>
  <c r="X181" i="1"/>
  <c r="AG206" i="1"/>
  <c r="T204" i="1"/>
  <c r="U204" i="1" s="1"/>
  <c r="S204" i="1" s="1"/>
  <c r="T201" i="1"/>
  <c r="U201" i="1" s="1"/>
  <c r="S201" i="1" s="1"/>
  <c r="X201" i="1"/>
  <c r="X200" i="1"/>
  <c r="AG197" i="1"/>
  <c r="AG190" i="1"/>
  <c r="T188" i="1"/>
  <c r="U188" i="1" s="1"/>
  <c r="S188" i="1" s="1"/>
  <c r="T185" i="1"/>
  <c r="U185" i="1" s="1"/>
  <c r="S185" i="1" s="1"/>
  <c r="X185" i="1"/>
  <c r="X184" i="1"/>
  <c r="AG181" i="1"/>
  <c r="AG174" i="1"/>
  <c r="T165" i="1"/>
  <c r="X165" i="1"/>
  <c r="AG165" i="1"/>
  <c r="T162" i="1"/>
  <c r="X162" i="1"/>
  <c r="AA224" i="1"/>
  <c r="T212" i="1"/>
  <c r="X212" i="1"/>
  <c r="AG212" i="1"/>
  <c r="AA158" i="1"/>
  <c r="X141" i="1"/>
  <c r="AG141" i="1"/>
  <c r="X142" i="1"/>
  <c r="T116" i="1"/>
  <c r="AG116" i="1"/>
  <c r="T217" i="1"/>
  <c r="U217" i="1" s="1"/>
  <c r="S217" i="1" s="1"/>
  <c r="T205" i="1"/>
  <c r="U205" i="1" s="1"/>
  <c r="S205" i="1" s="1"/>
  <c r="X205" i="1"/>
  <c r="X204" i="1"/>
  <c r="AA202" i="1"/>
  <c r="T192" i="1"/>
  <c r="U192" i="1" s="1"/>
  <c r="S192" i="1" s="1"/>
  <c r="T189" i="1"/>
  <c r="U189" i="1" s="1"/>
  <c r="S189" i="1" s="1"/>
  <c r="X189" i="1"/>
  <c r="X188" i="1"/>
  <c r="AA186" i="1"/>
  <c r="X178" i="1"/>
  <c r="T176" i="1"/>
  <c r="U176" i="1" s="1"/>
  <c r="S176" i="1" s="1"/>
  <c r="AA170" i="1"/>
  <c r="W170" i="1" s="1"/>
  <c r="T169" i="1"/>
  <c r="X169" i="1"/>
  <c r="AG169" i="1"/>
  <c r="T166" i="1"/>
  <c r="U166" i="1" s="1"/>
  <c r="S166" i="1" s="1"/>
  <c r="X166" i="1"/>
  <c r="X163" i="1"/>
  <c r="AG162" i="1"/>
  <c r="AA220" i="1"/>
  <c r="T208" i="1"/>
  <c r="X208" i="1"/>
  <c r="AG208" i="1"/>
  <c r="T148" i="1"/>
  <c r="X148" i="1"/>
  <c r="AG148" i="1"/>
  <c r="X149" i="1"/>
  <c r="W143" i="1"/>
  <c r="U155" i="1"/>
  <c r="S155" i="1" s="1"/>
  <c r="T144" i="1"/>
  <c r="U144" i="1" s="1"/>
  <c r="S144" i="1" s="1"/>
  <c r="X144" i="1"/>
  <c r="AA141" i="1"/>
  <c r="T137" i="1"/>
  <c r="U137" i="1" s="1"/>
  <c r="S137" i="1" s="1"/>
  <c r="T132" i="1"/>
  <c r="X132" i="1"/>
  <c r="AG132" i="1"/>
  <c r="T129" i="1"/>
  <c r="U129" i="1" s="1"/>
  <c r="S129" i="1" s="1"/>
  <c r="X129" i="1"/>
  <c r="T120" i="1"/>
  <c r="X120" i="1"/>
  <c r="AG120" i="1"/>
  <c r="AA112" i="1"/>
  <c r="AA108" i="1"/>
  <c r="T96" i="1"/>
  <c r="X96" i="1"/>
  <c r="AG96" i="1"/>
  <c r="W71" i="1"/>
  <c r="AA62" i="1"/>
  <c r="AI175" i="1"/>
  <c r="X224" i="1"/>
  <c r="X220" i="1"/>
  <c r="X213" i="1"/>
  <c r="X209" i="1"/>
  <c r="X158" i="1"/>
  <c r="X154" i="1"/>
  <c r="T152" i="1"/>
  <c r="X152" i="1"/>
  <c r="X151" i="1"/>
  <c r="T145" i="1"/>
  <c r="T136" i="1"/>
  <c r="X136" i="1"/>
  <c r="X135" i="1"/>
  <c r="T111" i="1"/>
  <c r="X111" i="1"/>
  <c r="AG111" i="1"/>
  <c r="T100" i="1"/>
  <c r="X100" i="1"/>
  <c r="AG100" i="1"/>
  <c r="AG152" i="1"/>
  <c r="AG145" i="1"/>
  <c r="T143" i="1"/>
  <c r="U143" i="1" s="1"/>
  <c r="S143" i="1" s="1"/>
  <c r="T140" i="1"/>
  <c r="U140" i="1" s="1"/>
  <c r="S140" i="1" s="1"/>
  <c r="X140" i="1"/>
  <c r="AA137" i="1"/>
  <c r="AG136" i="1"/>
  <c r="AA129" i="1"/>
  <c r="W129" i="1" s="1"/>
  <c r="T128" i="1"/>
  <c r="X128" i="1"/>
  <c r="AG128" i="1"/>
  <c r="T124" i="1"/>
  <c r="X124" i="1"/>
  <c r="AG124" i="1"/>
  <c r="AA117" i="1"/>
  <c r="T84" i="1"/>
  <c r="X84" i="1"/>
  <c r="AG84" i="1"/>
  <c r="AA96" i="1"/>
  <c r="AA80" i="1"/>
  <c r="T72" i="1"/>
  <c r="X72" i="1"/>
  <c r="AG72" i="1"/>
  <c r="X125" i="1"/>
  <c r="X121" i="1"/>
  <c r="X112" i="1"/>
  <c r="X108" i="1"/>
  <c r="X107" i="1"/>
  <c r="T104" i="1"/>
  <c r="X104" i="1"/>
  <c r="AG104" i="1"/>
  <c r="T103" i="1"/>
  <c r="U103" i="1" s="1"/>
  <c r="S103" i="1" s="1"/>
  <c r="X97" i="1"/>
  <c r="AG97" i="1"/>
  <c r="AG95" i="1"/>
  <c r="T95" i="1"/>
  <c r="AG91" i="1"/>
  <c r="X91" i="1"/>
  <c r="T91" i="1"/>
  <c r="T88" i="1"/>
  <c r="X88" i="1"/>
  <c r="AG88" i="1"/>
  <c r="X81" i="1"/>
  <c r="AG81" i="1"/>
  <c r="AG79" i="1"/>
  <c r="T79" i="1"/>
  <c r="X48" i="1"/>
  <c r="X47" i="1"/>
  <c r="AG47" i="1"/>
  <c r="T47" i="1"/>
  <c r="AG89" i="1"/>
  <c r="X89" i="1"/>
  <c r="X79" i="1"/>
  <c r="AI74" i="1"/>
  <c r="T53" i="1"/>
  <c r="X53" i="1"/>
  <c r="AG53" i="1"/>
  <c r="X54" i="1"/>
  <c r="AA40" i="1"/>
  <c r="AA105" i="1"/>
  <c r="T92" i="1"/>
  <c r="U92" i="1" s="1"/>
  <c r="S92" i="1" s="1"/>
  <c r="X92" i="1"/>
  <c r="AA89" i="1"/>
  <c r="T76" i="1"/>
  <c r="U76" i="1" s="1"/>
  <c r="S76" i="1" s="1"/>
  <c r="X76" i="1"/>
  <c r="X75" i="1"/>
  <c r="X74" i="1"/>
  <c r="AA73" i="1"/>
  <c r="AA69" i="1"/>
  <c r="T68" i="1"/>
  <c r="X68" i="1"/>
  <c r="AG68" i="1"/>
  <c r="T65" i="1"/>
  <c r="X65" i="1"/>
  <c r="AG65" i="1"/>
  <c r="X66" i="1"/>
  <c r="W50" i="1"/>
  <c r="W75" i="1"/>
  <c r="T73" i="1"/>
  <c r="T69" i="1"/>
  <c r="X69" i="1"/>
  <c r="T61" i="1"/>
  <c r="X61" i="1"/>
  <c r="AG61" i="1"/>
  <c r="X62" i="1"/>
  <c r="AI50" i="1"/>
  <c r="AG45" i="1"/>
  <c r="X45" i="1"/>
  <c r="T45" i="1"/>
  <c r="U28" i="1"/>
  <c r="S28" i="1" s="1"/>
  <c r="AG27" i="1"/>
  <c r="X28" i="1"/>
  <c r="T27" i="1"/>
  <c r="X27" i="1"/>
  <c r="AG73" i="1"/>
  <c r="T71" i="1"/>
  <c r="U71" i="1" s="1"/>
  <c r="S71" i="1" s="1"/>
  <c r="X70" i="1"/>
  <c r="AG69" i="1"/>
  <c r="T57" i="1"/>
  <c r="X57" i="1"/>
  <c r="AG57" i="1"/>
  <c r="X58" i="1"/>
  <c r="T38" i="1"/>
  <c r="X38" i="1"/>
  <c r="AG38" i="1"/>
  <c r="T51" i="1"/>
  <c r="T42" i="1"/>
  <c r="X42" i="1"/>
  <c r="AG31" i="1"/>
  <c r="X32" i="1"/>
  <c r="AG64" i="1"/>
  <c r="AG60" i="1"/>
  <c r="AG56" i="1"/>
  <c r="AG52" i="1"/>
  <c r="AG51" i="1"/>
  <c r="T49" i="1"/>
  <c r="U49" i="1" s="1"/>
  <c r="S49" i="1" s="1"/>
  <c r="T46" i="1"/>
  <c r="X46" i="1"/>
  <c r="AG42" i="1"/>
  <c r="T39" i="1"/>
  <c r="AG35" i="1"/>
  <c r="X36" i="1"/>
  <c r="X31" i="1"/>
  <c r="T14" i="1"/>
  <c r="AG14" i="1"/>
  <c r="X64" i="1"/>
  <c r="X60" i="1"/>
  <c r="X56" i="1"/>
  <c r="X52" i="1"/>
  <c r="T50" i="1"/>
  <c r="U50" i="1" s="1"/>
  <c r="S50" i="1" s="1"/>
  <c r="X50" i="1"/>
  <c r="X49" i="1"/>
  <c r="AA47" i="1"/>
  <c r="AG46" i="1"/>
  <c r="AG39" i="1"/>
  <c r="X35" i="1"/>
  <c r="X29" i="1"/>
  <c r="T23" i="1"/>
  <c r="X23" i="1"/>
  <c r="AG23" i="1"/>
  <c r="X24" i="1"/>
  <c r="T19" i="1"/>
  <c r="X19" i="1"/>
  <c r="AG19" i="1"/>
  <c r="X20" i="1"/>
  <c r="X34" i="1"/>
  <c r="X30" i="1"/>
  <c r="X26" i="1"/>
  <c r="X22" i="1"/>
  <c r="W8" i="3"/>
  <c r="W30" i="3"/>
  <c r="W9" i="3"/>
  <c r="W14" i="3"/>
  <c r="W18" i="3"/>
  <c r="W28" i="3"/>
  <c r="W27" i="3"/>
  <c r="W35" i="3"/>
  <c r="W39" i="3"/>
  <c r="W17" i="3"/>
  <c r="W40" i="3"/>
  <c r="W31" i="3"/>
  <c r="W21" i="3"/>
  <c r="W38" i="3"/>
  <c r="W19" i="3"/>
  <c r="W42" i="3"/>
  <c r="W15" i="3"/>
  <c r="Q12" i="3"/>
  <c r="P12" i="3"/>
  <c r="Q19" i="3"/>
  <c r="P19" i="3"/>
  <c r="Q21" i="3"/>
  <c r="P21" i="3"/>
  <c r="Q22" i="3"/>
  <c r="P22" i="3"/>
  <c r="Q13" i="3"/>
  <c r="P13" i="3"/>
  <c r="Q23" i="3"/>
  <c r="P23" i="3"/>
  <c r="Q16" i="3"/>
  <c r="P16" i="3"/>
  <c r="Q11" i="3"/>
  <c r="P11" i="3"/>
  <c r="Q31" i="3"/>
  <c r="P31" i="3"/>
  <c r="Q24" i="3"/>
  <c r="P24" i="3"/>
  <c r="Q17" i="3"/>
  <c r="P17" i="3"/>
  <c r="Q25" i="3"/>
  <c r="P25" i="3"/>
  <c r="Q26" i="3"/>
  <c r="P26" i="3"/>
  <c r="Q27" i="3"/>
  <c r="P27" i="3"/>
  <c r="Q28" i="3"/>
  <c r="P28" i="3"/>
  <c r="Q29" i="3"/>
  <c r="P29" i="3"/>
  <c r="Q32" i="3"/>
  <c r="P32" i="3"/>
  <c r="Q30" i="3"/>
  <c r="P30" i="3"/>
  <c r="Q10" i="3"/>
  <c r="P10" i="3"/>
  <c r="Q8" i="3"/>
  <c r="P8" i="3"/>
  <c r="Q43" i="3"/>
  <c r="P43" i="3"/>
  <c r="Q42" i="3"/>
  <c r="P42" i="3"/>
  <c r="Q34" i="3"/>
  <c r="P34" i="3"/>
  <c r="Q39" i="3"/>
  <c r="P39" i="3"/>
  <c r="Q35" i="3"/>
  <c r="P35" i="3"/>
  <c r="Q36" i="3"/>
  <c r="P36" i="3"/>
  <c r="L15" i="3"/>
  <c r="L20" i="3"/>
  <c r="L42" i="3"/>
  <c r="L12" i="3"/>
  <c r="L19" i="3"/>
  <c r="L33" i="3"/>
  <c r="L38" i="3"/>
  <c r="L34" i="3"/>
  <c r="L21" i="3"/>
  <c r="L22" i="3"/>
  <c r="L13" i="3"/>
  <c r="L23" i="3"/>
  <c r="L16" i="3"/>
  <c r="L31" i="3"/>
  <c r="L11" i="3"/>
  <c r="L40" i="3"/>
  <c r="L41" i="3"/>
  <c r="L17" i="3"/>
  <c r="L24" i="3"/>
  <c r="L39" i="3"/>
  <c r="L25" i="3"/>
  <c r="L35" i="3"/>
  <c r="L26" i="3"/>
  <c r="L27" i="3"/>
  <c r="L43" i="3"/>
  <c r="L28" i="3"/>
  <c r="L36" i="3"/>
  <c r="L18" i="3"/>
  <c r="L32" i="3"/>
  <c r="L14" i="3"/>
  <c r="L29" i="3"/>
  <c r="L9" i="3"/>
  <c r="L7" i="3"/>
  <c r="L30" i="3"/>
  <c r="L10" i="3"/>
  <c r="L8" i="3"/>
  <c r="L37" i="3"/>
  <c r="S37" i="3"/>
  <c r="R37" i="3" s="1"/>
  <c r="T37" i="3"/>
  <c r="U37" i="3"/>
  <c r="V37" i="3"/>
  <c r="W41" i="1" l="1"/>
  <c r="AI172" i="1"/>
  <c r="W59" i="1"/>
  <c r="W31" i="1"/>
  <c r="AI36" i="1"/>
  <c r="AI204" i="1"/>
  <c r="AI21" i="1"/>
  <c r="W83" i="1"/>
  <c r="AI208" i="1"/>
  <c r="W176" i="1"/>
  <c r="W32" i="1"/>
  <c r="W134" i="1"/>
  <c r="AI199" i="1"/>
  <c r="AI26" i="1"/>
  <c r="AI164" i="1"/>
  <c r="AI29" i="1"/>
  <c r="W89" i="1"/>
  <c r="AI113" i="1"/>
  <c r="AI66" i="1"/>
  <c r="AI131" i="1"/>
  <c r="W40" i="1"/>
  <c r="AI187" i="1"/>
  <c r="W139" i="1"/>
  <c r="AI44" i="1"/>
  <c r="AI160" i="1"/>
  <c r="AI149" i="1"/>
  <c r="W55" i="1"/>
  <c r="AI63" i="1"/>
  <c r="W103" i="1"/>
  <c r="W188" i="1"/>
  <c r="AI70" i="1"/>
  <c r="AI133" i="1"/>
  <c r="U210" i="1"/>
  <c r="S210" i="1" s="1"/>
  <c r="W182" i="1"/>
  <c r="W37" i="1"/>
  <c r="W102" i="1"/>
  <c r="W195" i="1"/>
  <c r="W18" i="1"/>
  <c r="U40" i="1"/>
  <c r="S40" i="1" s="1"/>
  <c r="W99" i="1"/>
  <c r="W137" i="1"/>
  <c r="W107" i="1"/>
  <c r="W44" i="1"/>
  <c r="W146" i="1"/>
  <c r="U43" i="1"/>
  <c r="S43" i="1" s="1"/>
  <c r="AI216" i="1"/>
  <c r="AI28" i="1"/>
  <c r="W35" i="1"/>
  <c r="W117" i="1"/>
  <c r="AI87" i="1"/>
  <c r="U149" i="1"/>
  <c r="S149" i="1" s="1"/>
  <c r="AI163" i="1"/>
  <c r="W123" i="1"/>
  <c r="W158" i="1"/>
  <c r="W165" i="1"/>
  <c r="W198" i="1"/>
  <c r="W43" i="1"/>
  <c r="W127" i="1"/>
  <c r="U209" i="1"/>
  <c r="S209" i="1" s="1"/>
  <c r="U178" i="1"/>
  <c r="S178" i="1" s="1"/>
  <c r="U108" i="1"/>
  <c r="S108" i="1" s="1"/>
  <c r="U150" i="1"/>
  <c r="S150" i="1" s="1"/>
  <c r="AI182" i="1"/>
  <c r="U202" i="1"/>
  <c r="S202" i="1" s="1"/>
  <c r="AI22" i="1"/>
  <c r="W26" i="1"/>
  <c r="W130" i="1"/>
  <c r="W191" i="1"/>
  <c r="W121" i="1"/>
  <c r="U221" i="1"/>
  <c r="S221" i="1" s="1"/>
  <c r="W28" i="1"/>
  <c r="AI225" i="1"/>
  <c r="AI122" i="1"/>
  <c r="W194" i="1"/>
  <c r="W92" i="1"/>
  <c r="W57" i="1"/>
  <c r="AI58" i="1"/>
  <c r="W62" i="1"/>
  <c r="AI110" i="1"/>
  <c r="AI192" i="1"/>
  <c r="AI121" i="1"/>
  <c r="U214" i="1"/>
  <c r="S214" i="1" s="1"/>
  <c r="W119" i="1"/>
  <c r="AI20" i="1"/>
  <c r="S70" i="1"/>
  <c r="W45" i="1"/>
  <c r="W96" i="1"/>
  <c r="W186" i="1"/>
  <c r="W171" i="1"/>
  <c r="AI98" i="1"/>
  <c r="W15" i="1"/>
  <c r="W90" i="1"/>
  <c r="AI90" i="1"/>
  <c r="W222" i="1"/>
  <c r="W180" i="1"/>
  <c r="AI106" i="1"/>
  <c r="AI102" i="1"/>
  <c r="W94" i="1"/>
  <c r="AI203" i="1"/>
  <c r="AI179" i="1"/>
  <c r="W154" i="1"/>
  <c r="W115" i="1"/>
  <c r="AI115" i="1"/>
  <c r="W37" i="3"/>
  <c r="W86" i="1"/>
  <c r="W66" i="1"/>
  <c r="W58" i="1"/>
  <c r="U102" i="1"/>
  <c r="S102" i="1" s="1"/>
  <c r="AI167" i="1"/>
  <c r="AI194" i="1"/>
  <c r="AI215" i="1"/>
  <c r="AI214" i="1"/>
  <c r="AI18" i="1"/>
  <c r="W221" i="1"/>
  <c r="W167" i="1"/>
  <c r="AI48" i="1"/>
  <c r="AI78" i="1"/>
  <c r="AI33" i="1"/>
  <c r="W42" i="1"/>
  <c r="W51" i="1"/>
  <c r="W68" i="1"/>
  <c r="U77" i="1"/>
  <c r="S77" i="1" s="1"/>
  <c r="AI126" i="1"/>
  <c r="W80" i="1"/>
  <c r="W147" i="1"/>
  <c r="W112" i="1"/>
  <c r="AI211" i="1"/>
  <c r="AI198" i="1"/>
  <c r="AI16" i="1"/>
  <c r="AI85" i="1"/>
  <c r="AI93" i="1"/>
  <c r="W109" i="1"/>
  <c r="W34" i="1"/>
  <c r="W118" i="1"/>
  <c r="W144" i="1"/>
  <c r="W178" i="1"/>
  <c r="W142" i="1"/>
  <c r="AI184" i="1"/>
  <c r="W78" i="1"/>
  <c r="W19" i="1"/>
  <c r="AI54" i="1"/>
  <c r="W91" i="1"/>
  <c r="AI76" i="1"/>
  <c r="AI112" i="1"/>
  <c r="W98" i="1"/>
  <c r="AI151" i="1"/>
  <c r="AI162" i="1"/>
  <c r="AI134" i="1"/>
  <c r="AI195" i="1"/>
  <c r="AI205" i="1"/>
  <c r="U198" i="1"/>
  <c r="S198" i="1" s="1"/>
  <c r="AI219" i="1"/>
  <c r="AI223" i="1"/>
  <c r="AI183" i="1"/>
  <c r="W24" i="1"/>
  <c r="AI217" i="1"/>
  <c r="W122" i="1"/>
  <c r="AI155" i="1"/>
  <c r="AI154" i="1"/>
  <c r="U62" i="1"/>
  <c r="S62" i="1" s="1"/>
  <c r="AI82" i="1"/>
  <c r="AI210" i="1"/>
  <c r="AI43" i="1"/>
  <c r="AI77" i="1"/>
  <c r="U122" i="1"/>
  <c r="S122" i="1" s="1"/>
  <c r="W124" i="1"/>
  <c r="AI146" i="1"/>
  <c r="U86" i="1"/>
  <c r="S86" i="1" s="1"/>
  <c r="W108" i="1"/>
  <c r="U146" i="1"/>
  <c r="S146" i="1" s="1"/>
  <c r="W202" i="1"/>
  <c r="U154" i="1"/>
  <c r="S154" i="1" s="1"/>
  <c r="W197" i="1"/>
  <c r="W135" i="1"/>
  <c r="U195" i="1"/>
  <c r="S195" i="1" s="1"/>
  <c r="AI193" i="1"/>
  <c r="AI130" i="1"/>
  <c r="W133" i="1"/>
  <c r="W166" i="1"/>
  <c r="W179" i="1"/>
  <c r="AI117" i="1"/>
  <c r="W101" i="1"/>
  <c r="W14" i="1"/>
  <c r="AI25" i="1"/>
  <c r="W49" i="1"/>
  <c r="W53" i="1"/>
  <c r="U85" i="1"/>
  <c r="S85" i="1" s="1"/>
  <c r="U133" i="1"/>
  <c r="S133" i="1" s="1"/>
  <c r="W120" i="1"/>
  <c r="W148" i="1"/>
  <c r="W220" i="1"/>
  <c r="AI212" i="1"/>
  <c r="W181" i="1"/>
  <c r="W93" i="1"/>
  <c r="U105" i="1"/>
  <c r="S105" i="1" s="1"/>
  <c r="W155" i="1"/>
  <c r="W209" i="1"/>
  <c r="AI209" i="1"/>
  <c r="U18" i="1"/>
  <c r="S18" i="1" s="1"/>
  <c r="AI118" i="1"/>
  <c r="U101" i="1"/>
  <c r="S101" i="1" s="1"/>
  <c r="U225" i="1"/>
  <c r="S225" i="1" s="1"/>
  <c r="U171" i="1"/>
  <c r="S171" i="1" s="1"/>
  <c r="W116" i="1"/>
  <c r="U130" i="1"/>
  <c r="S130" i="1" s="1"/>
  <c r="W224" i="1"/>
  <c r="AI221" i="1"/>
  <c r="AI150" i="1"/>
  <c r="W196" i="1"/>
  <c r="W113" i="1"/>
  <c r="W210" i="1"/>
  <c r="AI94" i="1"/>
  <c r="AI127" i="1"/>
  <c r="AI17" i="1"/>
  <c r="AI32" i="1"/>
  <c r="AI109" i="1"/>
  <c r="AI159" i="1"/>
  <c r="U22" i="1"/>
  <c r="S22" i="1" s="1"/>
  <c r="AI62" i="1"/>
  <c r="W85" i="1"/>
  <c r="AI101" i="1"/>
  <c r="W141" i="1"/>
  <c r="AI166" i="1"/>
  <c r="W213" i="1"/>
  <c r="U186" i="1"/>
  <c r="S186" i="1" s="1"/>
  <c r="U94" i="1"/>
  <c r="S94" i="1" s="1"/>
  <c r="U125" i="1"/>
  <c r="S125" i="1" s="1"/>
  <c r="W67" i="1"/>
  <c r="W105" i="1"/>
  <c r="U118" i="1"/>
  <c r="S118" i="1" s="1"/>
  <c r="W136" i="1"/>
  <c r="W82" i="1"/>
  <c r="U30" i="1"/>
  <c r="S30" i="1" s="1"/>
  <c r="U216" i="1"/>
  <c r="S216" i="1" s="1"/>
  <c r="W199" i="1"/>
  <c r="AI224" i="1"/>
  <c r="W174" i="1"/>
  <c r="W16" i="1"/>
  <c r="W125" i="1"/>
  <c r="W54" i="1"/>
  <c r="W163" i="1"/>
  <c r="AI105" i="1"/>
  <c r="AI186" i="1"/>
  <c r="AI220" i="1"/>
  <c r="W70" i="1"/>
  <c r="W225" i="1"/>
  <c r="W22" i="1"/>
  <c r="W30" i="1"/>
  <c r="AI69" i="1"/>
  <c r="U69" i="1"/>
  <c r="W73" i="1"/>
  <c r="AI47" i="1"/>
  <c r="U47" i="1"/>
  <c r="S47" i="1" s="1"/>
  <c r="AI81" i="1"/>
  <c r="U81" i="1"/>
  <c r="S81" i="1" s="1"/>
  <c r="U95" i="1"/>
  <c r="S95" i="1" s="1"/>
  <c r="AI95" i="1"/>
  <c r="AI72" i="1"/>
  <c r="U72" i="1"/>
  <c r="S72" i="1" s="1"/>
  <c r="W81" i="1"/>
  <c r="U100" i="1"/>
  <c r="S100" i="1" s="1"/>
  <c r="AI100" i="1"/>
  <c r="U111" i="1"/>
  <c r="S111" i="1" s="1"/>
  <c r="AI111" i="1"/>
  <c r="U120" i="1"/>
  <c r="S120" i="1" s="1"/>
  <c r="AI120" i="1"/>
  <c r="U212" i="1"/>
  <c r="S212" i="1" s="1"/>
  <c r="AI165" i="1"/>
  <c r="AI129" i="1"/>
  <c r="W212" i="1"/>
  <c r="AI170" i="1"/>
  <c r="U161" i="1"/>
  <c r="S161" i="1" s="1"/>
  <c r="AI177" i="1"/>
  <c r="W111" i="1"/>
  <c r="U139" i="1"/>
  <c r="S139" i="1" s="1"/>
  <c r="AI139" i="1"/>
  <c r="U157" i="1"/>
  <c r="S157" i="1" s="1"/>
  <c r="AI157" i="1"/>
  <c r="U223" i="1"/>
  <c r="S223" i="1" s="1"/>
  <c r="AI173" i="1"/>
  <c r="W95" i="1"/>
  <c r="U52" i="1"/>
  <c r="S52" i="1" s="1"/>
  <c r="AI52" i="1"/>
  <c r="W52" i="1"/>
  <c r="AI27" i="1"/>
  <c r="U27" i="1"/>
  <c r="S27" i="1" s="1"/>
  <c r="AI61" i="1"/>
  <c r="U61" i="1"/>
  <c r="S61" i="1" s="1"/>
  <c r="W72" i="1"/>
  <c r="AI97" i="1"/>
  <c r="U97" i="1"/>
  <c r="S97" i="1" s="1"/>
  <c r="U104" i="1"/>
  <c r="S104" i="1" s="1"/>
  <c r="AI104" i="1"/>
  <c r="U84" i="1"/>
  <c r="S84" i="1" s="1"/>
  <c r="AI84" i="1"/>
  <c r="U124" i="1"/>
  <c r="S124" i="1" s="1"/>
  <c r="AI124" i="1"/>
  <c r="U152" i="1"/>
  <c r="S152" i="1" s="1"/>
  <c r="AI152" i="1"/>
  <c r="AI108" i="1"/>
  <c r="AI137" i="1"/>
  <c r="W223" i="1"/>
  <c r="U181" i="1"/>
  <c r="S181" i="1" s="1"/>
  <c r="AI197" i="1"/>
  <c r="AI222" i="1"/>
  <c r="U206" i="1"/>
  <c r="S206" i="1" s="1"/>
  <c r="U37" i="1"/>
  <c r="S37" i="1" s="1"/>
  <c r="AI37" i="1"/>
  <c r="U153" i="1"/>
  <c r="S153" i="1" s="1"/>
  <c r="AI153" i="1"/>
  <c r="U219" i="1"/>
  <c r="S219" i="1" s="1"/>
  <c r="AI169" i="1"/>
  <c r="U173" i="1"/>
  <c r="S173" i="1" s="1"/>
  <c r="AI189" i="1"/>
  <c r="W206" i="1"/>
  <c r="AI73" i="1"/>
  <c r="U73" i="1"/>
  <c r="S73" i="1" s="1"/>
  <c r="AI39" i="1"/>
  <c r="U39" i="1"/>
  <c r="W47" i="1"/>
  <c r="U56" i="1"/>
  <c r="S56" i="1" s="1"/>
  <c r="AI56" i="1"/>
  <c r="W39" i="1"/>
  <c r="U45" i="1"/>
  <c r="S45" i="1" s="1"/>
  <c r="AI45" i="1"/>
  <c r="W69" i="1"/>
  <c r="AI53" i="1"/>
  <c r="U53" i="1"/>
  <c r="S53" i="1" s="1"/>
  <c r="U88" i="1"/>
  <c r="S88" i="1" s="1"/>
  <c r="AI88" i="1"/>
  <c r="U128" i="1"/>
  <c r="S128" i="1" s="1"/>
  <c r="AI128" i="1"/>
  <c r="W128" i="1"/>
  <c r="U136" i="1"/>
  <c r="S136" i="1" s="1"/>
  <c r="AI136" i="1"/>
  <c r="W56" i="1"/>
  <c r="W84" i="1"/>
  <c r="U132" i="1"/>
  <c r="S132" i="1" s="1"/>
  <c r="AI132" i="1"/>
  <c r="AI148" i="1"/>
  <c r="U148" i="1"/>
  <c r="S148" i="1" s="1"/>
  <c r="U208" i="1"/>
  <c r="S208" i="1" s="1"/>
  <c r="AI161" i="1"/>
  <c r="AI141" i="1"/>
  <c r="U141" i="1"/>
  <c r="S141" i="1" s="1"/>
  <c r="W152" i="1"/>
  <c r="W208" i="1"/>
  <c r="AI190" i="1"/>
  <c r="U174" i="1"/>
  <c r="S174" i="1" s="1"/>
  <c r="W88" i="1"/>
  <c r="W132" i="1"/>
  <c r="AI80" i="1"/>
  <c r="U80" i="1"/>
  <c r="S80" i="1" s="1"/>
  <c r="W190" i="1"/>
  <c r="W161" i="1"/>
  <c r="AI35" i="1"/>
  <c r="U35" i="1"/>
  <c r="S35" i="1" s="1"/>
  <c r="AI51" i="1"/>
  <c r="U51" i="1"/>
  <c r="S51" i="1" s="1"/>
  <c r="U64" i="1"/>
  <c r="S64" i="1" s="1"/>
  <c r="AI64" i="1"/>
  <c r="AI31" i="1"/>
  <c r="U31" i="1"/>
  <c r="S31" i="1" s="1"/>
  <c r="AI19" i="1"/>
  <c r="U19" i="1"/>
  <c r="S19" i="1" s="1"/>
  <c r="U46" i="1"/>
  <c r="S46" i="1" s="1"/>
  <c r="AI46" i="1"/>
  <c r="W46" i="1"/>
  <c r="AI23" i="1"/>
  <c r="U23" i="1"/>
  <c r="S23" i="1" s="1"/>
  <c r="W27" i="1"/>
  <c r="AI14" i="1"/>
  <c r="U14" i="1"/>
  <c r="S14" i="1" s="1"/>
  <c r="W23" i="1"/>
  <c r="U42" i="1"/>
  <c r="S42" i="1" s="1"/>
  <c r="AI42" i="1"/>
  <c r="U60" i="1"/>
  <c r="S60" i="1" s="1"/>
  <c r="W60" i="1"/>
  <c r="AI60" i="1"/>
  <c r="AI38" i="1"/>
  <c r="U38" i="1"/>
  <c r="S38" i="1" s="1"/>
  <c r="AI57" i="1"/>
  <c r="U57" i="1"/>
  <c r="S57" i="1" s="1"/>
  <c r="W38" i="1"/>
  <c r="AI40" i="1"/>
  <c r="W61" i="1"/>
  <c r="AI65" i="1"/>
  <c r="U65" i="1"/>
  <c r="S65" i="1" s="1"/>
  <c r="U68" i="1"/>
  <c r="AI68" i="1"/>
  <c r="AI89" i="1"/>
  <c r="U89" i="1"/>
  <c r="S89" i="1" s="1"/>
  <c r="U79" i="1"/>
  <c r="S79" i="1" s="1"/>
  <c r="AI79" i="1"/>
  <c r="U91" i="1"/>
  <c r="S91" i="1" s="1"/>
  <c r="AI91" i="1"/>
  <c r="W65" i="1"/>
  <c r="AI145" i="1"/>
  <c r="U145" i="1"/>
  <c r="S145" i="1" s="1"/>
  <c r="W79" i="1"/>
  <c r="W97" i="1"/>
  <c r="W64" i="1"/>
  <c r="AI96" i="1"/>
  <c r="U96" i="1"/>
  <c r="S96" i="1" s="1"/>
  <c r="W104" i="1"/>
  <c r="W145" i="1"/>
  <c r="AI178" i="1"/>
  <c r="U162" i="1"/>
  <c r="S162" i="1" s="1"/>
  <c r="U169" i="1"/>
  <c r="S169" i="1" s="1"/>
  <c r="AI185" i="1"/>
  <c r="W169" i="1"/>
  <c r="U116" i="1"/>
  <c r="S116" i="1" s="1"/>
  <c r="AI116" i="1"/>
  <c r="U165" i="1"/>
  <c r="S165" i="1" s="1"/>
  <c r="AI181" i="1"/>
  <c r="AI206" i="1"/>
  <c r="U190" i="1"/>
  <c r="S190" i="1" s="1"/>
  <c r="U197" i="1"/>
  <c r="S197" i="1" s="1"/>
  <c r="AI213" i="1"/>
  <c r="AI202" i="1"/>
  <c r="W100" i="1"/>
  <c r="W162" i="1"/>
  <c r="W153" i="1"/>
  <c r="AI158" i="1"/>
  <c r="W219" i="1"/>
  <c r="AI174" i="1"/>
  <c r="W173" i="1"/>
  <c r="P41" i="3"/>
  <c r="P40" i="3"/>
  <c r="Q7" i="3"/>
  <c r="Q9" i="3"/>
  <c r="Q18" i="3"/>
  <c r="Q14" i="3"/>
  <c r="P15" i="3"/>
  <c r="P20" i="3"/>
  <c r="Q38" i="3"/>
  <c r="Q33" i="3"/>
  <c r="P7" i="3"/>
  <c r="P9" i="3"/>
  <c r="P14" i="3"/>
  <c r="P18" i="3"/>
  <c r="Q15" i="3"/>
  <c r="Q20" i="3"/>
  <c r="Q41" i="3"/>
  <c r="Q40" i="3"/>
  <c r="P38" i="3"/>
  <c r="P33" i="3"/>
  <c r="B4" i="6"/>
  <c r="B5" i="6"/>
  <c r="B6" i="6"/>
  <c r="B7" i="6"/>
  <c r="B8" i="6"/>
  <c r="B9" i="6"/>
  <c r="B3" i="6"/>
  <c r="S68" i="1" l="1"/>
  <c r="Q37" i="3"/>
  <c r="P37" i="3"/>
  <c r="F3" i="6" l="1"/>
  <c r="G3" i="6"/>
  <c r="H3" i="6"/>
  <c r="I3" i="6"/>
  <c r="F4" i="6"/>
  <c r="G4" i="6"/>
  <c r="H4" i="6"/>
  <c r="I4" i="6"/>
  <c r="F5" i="6"/>
  <c r="G5" i="6"/>
  <c r="H5" i="6"/>
  <c r="I5" i="6"/>
  <c r="F6" i="6"/>
  <c r="G6" i="6"/>
  <c r="H6" i="6"/>
  <c r="I6" i="6"/>
  <c r="F7" i="6"/>
  <c r="G7" i="6"/>
  <c r="H7" i="6"/>
  <c r="I7" i="6"/>
  <c r="F8" i="6"/>
  <c r="G8" i="6"/>
  <c r="H8" i="6"/>
  <c r="I8" i="6"/>
  <c r="F9" i="6"/>
  <c r="G9" i="6"/>
  <c r="H9" i="6"/>
  <c r="I9" i="6"/>
  <c r="K13" i="1" l="1"/>
  <c r="L13" i="1"/>
  <c r="M13" i="1"/>
  <c r="N13" i="1" s="1"/>
  <c r="V13" i="1"/>
  <c r="Y13" i="1"/>
  <c r="Z13" i="1"/>
  <c r="AB13" i="1"/>
  <c r="AC13" i="1"/>
  <c r="AD13" i="1"/>
  <c r="X14" i="1" s="1"/>
  <c r="AE13" i="1"/>
  <c r="AF13" i="1"/>
  <c r="T13" i="1" l="1"/>
  <c r="X13" i="1"/>
  <c r="AA13" i="1"/>
  <c r="AG13" i="1"/>
  <c r="M26" i="5"/>
  <c r="AH17" i="1" l="1"/>
  <c r="AH18" i="1"/>
  <c r="AH28" i="1"/>
  <c r="AH33" i="1"/>
  <c r="AH34" i="1"/>
  <c r="AH52" i="1"/>
  <c r="AH53" i="1"/>
  <c r="AH54" i="1"/>
  <c r="AH65" i="1"/>
  <c r="AH81" i="1"/>
  <c r="AH82" i="1"/>
  <c r="AH95" i="1"/>
  <c r="AH96" i="1"/>
  <c r="AH97" i="1"/>
  <c r="AH98" i="1"/>
  <c r="AH120" i="1"/>
  <c r="AH121" i="1"/>
  <c r="AH122" i="1"/>
  <c r="AH134" i="1"/>
  <c r="AH135" i="1"/>
  <c r="AH136" i="1"/>
  <c r="AH137" i="1"/>
  <c r="AH138" i="1"/>
  <c r="AH139" i="1"/>
  <c r="AH143" i="1"/>
  <c r="AH176" i="1"/>
  <c r="AH181" i="1"/>
  <c r="AH182" i="1"/>
  <c r="AH188" i="1"/>
  <c r="AH189" i="1"/>
  <c r="AH190" i="1"/>
  <c r="AH199" i="1"/>
  <c r="AH203" i="1"/>
  <c r="AH207" i="1"/>
  <c r="AH19" i="1"/>
  <c r="AH20" i="1"/>
  <c r="AH29" i="1"/>
  <c r="AH30" i="1"/>
  <c r="AH31" i="1"/>
  <c r="AH40" i="1"/>
  <c r="AH55" i="1"/>
  <c r="AH56" i="1"/>
  <c r="AH57" i="1"/>
  <c r="AH83" i="1"/>
  <c r="AH84" i="1"/>
  <c r="AH85" i="1"/>
  <c r="AH86" i="1"/>
  <c r="AH99" i="1"/>
  <c r="AH100" i="1"/>
  <c r="AH101" i="1"/>
  <c r="AH102" i="1"/>
  <c r="AH103" i="1"/>
  <c r="AH104" i="1"/>
  <c r="AH105" i="1"/>
  <c r="AH106" i="1"/>
  <c r="AH123" i="1"/>
  <c r="AH124" i="1"/>
  <c r="AH125" i="1"/>
  <c r="AH131" i="1"/>
  <c r="AH132" i="1"/>
  <c r="AH133" i="1"/>
  <c r="AH140" i="1"/>
  <c r="AH141" i="1"/>
  <c r="AH144" i="1"/>
  <c r="AH145" i="1"/>
  <c r="AH146" i="1"/>
  <c r="AH147" i="1"/>
  <c r="AH148" i="1"/>
  <c r="AH149" i="1"/>
  <c r="AH150" i="1"/>
  <c r="AH156" i="1"/>
  <c r="AH157" i="1"/>
  <c r="AH158" i="1"/>
  <c r="AH164" i="1"/>
  <c r="AH165" i="1"/>
  <c r="AH166" i="1"/>
  <c r="AH167" i="1"/>
  <c r="AH177" i="1"/>
  <c r="AH178" i="1"/>
  <c r="AH21" i="1"/>
  <c r="AH22" i="1"/>
  <c r="AH23" i="1"/>
  <c r="AH24" i="1"/>
  <c r="AH25" i="1"/>
  <c r="AH35" i="1"/>
  <c r="AH36" i="1"/>
  <c r="AH37" i="1"/>
  <c r="AH38" i="1"/>
  <c r="AH39" i="1"/>
  <c r="AH41" i="1"/>
  <c r="AH42" i="1"/>
  <c r="AH43" i="1"/>
  <c r="AH44" i="1"/>
  <c r="AH58" i="1"/>
  <c r="AH66" i="1"/>
  <c r="AH67" i="1"/>
  <c r="AH68" i="1"/>
  <c r="AH69" i="1"/>
  <c r="AH70" i="1"/>
  <c r="AH71" i="1"/>
  <c r="AH77" i="1"/>
  <c r="AH78" i="1"/>
  <c r="AH87" i="1"/>
  <c r="AH88" i="1"/>
  <c r="AH89" i="1"/>
  <c r="AH107" i="1"/>
  <c r="AH108" i="1"/>
  <c r="AH109" i="1"/>
  <c r="AH110" i="1"/>
  <c r="AH111" i="1"/>
  <c r="AH112" i="1"/>
  <c r="AH113" i="1"/>
  <c r="AH114" i="1"/>
  <c r="AH116" i="1"/>
  <c r="AH117" i="1"/>
  <c r="AH118" i="1"/>
  <c r="AH126" i="1"/>
  <c r="AH127" i="1"/>
  <c r="AH159" i="1"/>
  <c r="AH160" i="1"/>
  <c r="AH168" i="1"/>
  <c r="AH169" i="1"/>
  <c r="AH170" i="1"/>
  <c r="AH171" i="1"/>
  <c r="AH172" i="1"/>
  <c r="AH180" i="1"/>
  <c r="AH187" i="1"/>
  <c r="AH191" i="1"/>
  <c r="AH192" i="1"/>
  <c r="AH193" i="1"/>
  <c r="AH194" i="1"/>
  <c r="AH195" i="1"/>
  <c r="AH200" i="1"/>
  <c r="AH206" i="1"/>
  <c r="AH210" i="1"/>
  <c r="AH211" i="1"/>
  <c r="AH212" i="1"/>
  <c r="AH213" i="1"/>
  <c r="AH214" i="1"/>
  <c r="AH215" i="1"/>
  <c r="AH222" i="1"/>
  <c r="AH223" i="1"/>
  <c r="AH14" i="1"/>
  <c r="AH16" i="1"/>
  <c r="AH26" i="1"/>
  <c r="AH27" i="1"/>
  <c r="AH32" i="1"/>
  <c r="AH45" i="1"/>
  <c r="AH46" i="1"/>
  <c r="AH47" i="1"/>
  <c r="AH48" i="1"/>
  <c r="AH49" i="1"/>
  <c r="AH50" i="1"/>
  <c r="AH51" i="1"/>
  <c r="AH59" i="1"/>
  <c r="AH60" i="1"/>
  <c r="AH61" i="1"/>
  <c r="AH62" i="1"/>
  <c r="AH63" i="1"/>
  <c r="AH64" i="1"/>
  <c r="AH72" i="1"/>
  <c r="AH73" i="1"/>
  <c r="AH74" i="1"/>
  <c r="AH75" i="1"/>
  <c r="AH79" i="1"/>
  <c r="AH80" i="1"/>
  <c r="AH119" i="1"/>
  <c r="AH128" i="1"/>
  <c r="AH129" i="1"/>
  <c r="AH130" i="1"/>
  <c r="AH161" i="1"/>
  <c r="AH162" i="1"/>
  <c r="AH163" i="1"/>
  <c r="AH198" i="1"/>
  <c r="AH225" i="1"/>
  <c r="AH153" i="1"/>
  <c r="AH76" i="1"/>
  <c r="AH179" i="1"/>
  <c r="AH201" i="1"/>
  <c r="AH202" i="1"/>
  <c r="AH216" i="1"/>
  <c r="AH217" i="1"/>
  <c r="AH220" i="1"/>
  <c r="AH94" i="1"/>
  <c r="AH174" i="1"/>
  <c r="AH175" i="1"/>
  <c r="AH185" i="1"/>
  <c r="AH186" i="1"/>
  <c r="AH205" i="1"/>
  <c r="AH218" i="1"/>
  <c r="AH196" i="1"/>
  <c r="AH197" i="1"/>
  <c r="AH209" i="1"/>
  <c r="AH224" i="1"/>
  <c r="AH151" i="1"/>
  <c r="AH152" i="1"/>
  <c r="AH155" i="1"/>
  <c r="AH219" i="1"/>
  <c r="AH90" i="1"/>
  <c r="AH91" i="1"/>
  <c r="AH92" i="1"/>
  <c r="AH93" i="1"/>
  <c r="AH173" i="1"/>
  <c r="AH183" i="1"/>
  <c r="AH184" i="1"/>
  <c r="AH204" i="1"/>
  <c r="AH221" i="1"/>
  <c r="AH208" i="1"/>
  <c r="AH142" i="1"/>
  <c r="AH154" i="1"/>
  <c r="AI13" i="1"/>
  <c r="AH13" i="1"/>
  <c r="W13" i="1"/>
  <c r="U13" i="1"/>
  <c r="S13" i="1" s="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36" i="4" l="1"/>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F252" i="4"/>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23" i="4"/>
  <c r="F24" i="4"/>
  <c r="G24" i="4"/>
  <c r="F25" i="4"/>
  <c r="G25" i="4"/>
  <c r="F26" i="4"/>
  <c r="G26" i="4"/>
  <c r="F27" i="4"/>
  <c r="G27" i="4"/>
  <c r="F28" i="4"/>
  <c r="G28" i="4"/>
  <c r="F29" i="4"/>
  <c r="G29" i="4"/>
  <c r="F30" i="4"/>
  <c r="G30" i="4"/>
  <c r="F31" i="4"/>
  <c r="G31" i="4"/>
  <c r="F32" i="4"/>
  <c r="G32" i="4"/>
  <c r="F33" i="4"/>
  <c r="G33" i="4"/>
  <c r="F34" i="4"/>
  <c r="G34" i="4"/>
  <c r="F35" i="4"/>
  <c r="G35" i="4"/>
  <c r="F36" i="4"/>
  <c r="G36" i="4"/>
  <c r="F37" i="4"/>
  <c r="G37" i="4"/>
  <c r="F38" i="4"/>
  <c r="G38" i="4"/>
  <c r="F39" i="4"/>
  <c r="G39" i="4"/>
  <c r="F40" i="4"/>
  <c r="G40" i="4"/>
  <c r="F41" i="4"/>
  <c r="G41" i="4"/>
  <c r="F42" i="4"/>
  <c r="G42" i="4"/>
  <c r="F43" i="4"/>
  <c r="G43" i="4"/>
  <c r="F44" i="4"/>
  <c r="G44" i="4"/>
  <c r="F45" i="4"/>
  <c r="G45" i="4"/>
  <c r="F46" i="4"/>
  <c r="G46" i="4"/>
  <c r="F47" i="4"/>
  <c r="G47" i="4"/>
  <c r="F48" i="4"/>
  <c r="G48" i="4"/>
  <c r="F49" i="4"/>
  <c r="G49" i="4"/>
  <c r="F50" i="4"/>
  <c r="G50" i="4"/>
  <c r="F51" i="4"/>
  <c r="G51" i="4"/>
  <c r="F52" i="4"/>
  <c r="G52" i="4"/>
  <c r="F53" i="4"/>
  <c r="G53" i="4"/>
  <c r="F54" i="4"/>
  <c r="G54" i="4"/>
  <c r="F55" i="4"/>
  <c r="G55" i="4"/>
  <c r="F56" i="4"/>
  <c r="G56" i="4"/>
  <c r="F57" i="4"/>
  <c r="G57" i="4"/>
  <c r="F58" i="4"/>
  <c r="G58" i="4"/>
  <c r="F59" i="4"/>
  <c r="G59" i="4"/>
  <c r="F60" i="4"/>
  <c r="G60" i="4"/>
  <c r="F61" i="4"/>
  <c r="G61" i="4"/>
  <c r="F62" i="4"/>
  <c r="G62" i="4"/>
  <c r="F63" i="4"/>
  <c r="G63" i="4"/>
  <c r="F64" i="4"/>
  <c r="G64" i="4"/>
  <c r="F65" i="4"/>
  <c r="G65" i="4"/>
  <c r="F66" i="4"/>
  <c r="G66" i="4"/>
  <c r="F67" i="4"/>
  <c r="G67" i="4"/>
  <c r="F68" i="4"/>
  <c r="G68" i="4"/>
  <c r="F69" i="4"/>
  <c r="G69" i="4"/>
  <c r="F70" i="4"/>
  <c r="G70" i="4"/>
  <c r="F71" i="4"/>
  <c r="G71" i="4"/>
  <c r="F72" i="4"/>
  <c r="G72" i="4"/>
  <c r="F73" i="4"/>
  <c r="G73" i="4"/>
  <c r="F74" i="4"/>
  <c r="G74" i="4"/>
  <c r="F75" i="4"/>
  <c r="G75" i="4"/>
  <c r="F76" i="4"/>
  <c r="G76" i="4"/>
  <c r="F77" i="4"/>
  <c r="G77" i="4"/>
  <c r="F78" i="4"/>
  <c r="G78" i="4"/>
  <c r="F79" i="4"/>
  <c r="G79" i="4"/>
  <c r="F80" i="4"/>
  <c r="G80" i="4"/>
  <c r="F81" i="4"/>
  <c r="G81" i="4"/>
  <c r="F82" i="4"/>
  <c r="G82" i="4"/>
  <c r="F83" i="4"/>
  <c r="G83" i="4"/>
  <c r="F84" i="4"/>
  <c r="G84" i="4"/>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23" i="4"/>
  <c r="F224" i="4"/>
  <c r="G224" i="4"/>
  <c r="F225" i="4"/>
  <c r="G225" i="4"/>
  <c r="F226" i="4"/>
  <c r="G226" i="4"/>
  <c r="F227" i="4"/>
  <c r="G227" i="4"/>
  <c r="F228" i="4"/>
  <c r="G228" i="4"/>
  <c r="F229" i="4"/>
  <c r="G229" i="4"/>
  <c r="F230" i="4"/>
  <c r="G230" i="4"/>
  <c r="F231" i="4"/>
  <c r="G231" i="4"/>
  <c r="F232" i="4"/>
  <c r="G232" i="4"/>
  <c r="F233" i="4"/>
  <c r="G233" i="4"/>
  <c r="F234" i="4"/>
  <c r="G234" i="4"/>
  <c r="F235" i="4"/>
  <c r="G235" i="4"/>
  <c r="G1" i="4"/>
  <c r="F1" i="4"/>
  <c r="M14" i="5" l="1"/>
  <c r="M13" i="5"/>
  <c r="M12" i="5"/>
  <c r="M11" i="5"/>
  <c r="M10" i="5"/>
  <c r="M9" i="5"/>
  <c r="M8" i="5"/>
  <c r="M7" i="5"/>
  <c r="M6" i="5"/>
  <c r="M5" i="5"/>
  <c r="M4" i="5"/>
  <c r="M3" i="5"/>
  <c r="M2" i="3" l="1"/>
  <c r="M3" i="3" s="1"/>
  <c r="J7" i="1" l="1"/>
  <c r="S7" i="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<sst xmlns="http://schemas.openxmlformats.org/spreadsheetml/2006/main" count="2069" uniqueCount="738">
  <si>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</si>
  <si>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</si>
  <si>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</si>
  <si>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</si>
  <si>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</si>
  <si>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</si>
  <si>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</si>
  <si>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</si>
  <si>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</si>
  <si>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</si>
  <si>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</si>
  <si>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</si>
  <si>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</si>
  <si>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</si>
  <si>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</si>
  <si>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</si>
  <si>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</si>
  <si>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</si>
  <si>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</si>
  <si>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</si>
  <si>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</si>
  <si>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</si>
  <si>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</si>
  <si>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</si>
  <si>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</si>
  <si>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</si>
  <si>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</si>
  <si>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</si>
  <si>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</si>
  <si>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</si>
  <si>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</si>
  <si>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</si>
  <si>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</si>
  <si>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</si>
  <si>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</si>
  <si>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</si>
  <si>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</si>
  <si>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</si>
  <si>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</si>
  <si>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</si>
  <si>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</si>
  <si>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</si>
  <si>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</si>
  <si>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</si>
  <si>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</si>
  <si>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</si>
  <si>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</si>
  <si>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</si>
  <si>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</si>
  <si>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</si>
  <si>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TRACK WARRANT AUTHORITY</t>
  </si>
  <si>
    <t>Form based authority (4)</t>
  </si>
  <si>
    <t>Increasing Mileposts (1)</t>
  </si>
  <si>
    <t>Decreasing Mileposts (2)</t>
  </si>
  <si>
    <t>SIGNAL</t>
  </si>
  <si>
    <t>Signal based authority (5)</t>
  </si>
  <si>
    <t>PERMANENT SPEED RESTRICTION</t>
  </si>
  <si>
    <t>Speed (6)</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</si>
  <si>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</si>
  <si>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</si>
  <si>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</si>
  <si>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</si>
  <si>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</si>
  <si>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</si>
  <si>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</si>
  <si>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</si>
  <si>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</si>
  <si>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</si>
  <si>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</si>
  <si>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</si>
  <si>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</si>
  <si>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</si>
  <si>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</si>
  <si>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</si>
  <si>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</si>
  <si>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</si>
  <si>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</si>
  <si>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</si>
  <si>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</si>
  <si>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</si>
  <si>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</si>
  <si>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</si>
  <si>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</si>
  <si>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</si>
  <si>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</si>
  <si>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</si>
  <si>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N</t>
  </si>
  <si>
    <t>Possible System Enforcement</t>
  </si>
  <si>
    <t>Training enforcement</t>
  </si>
  <si>
    <t>204:143</t>
  </si>
  <si>
    <t>rtdc.l.rtdc.4013:itc</t>
  </si>
  <si>
    <t>rtdc.l.rtdc.4029:itc</t>
  </si>
  <si>
    <t>rtdc.l.rtdc.4030:itc</t>
  </si>
  <si>
    <t>rtdc.l.rtdc.4027:itc</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</si>
  <si>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</si>
  <si>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</si>
  <si>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</si>
  <si>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</si>
  <si>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</si>
  <si>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</si>
  <si>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</si>
  <si>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</si>
  <si>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</si>
  <si>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</si>
  <si>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</si>
  <si>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</si>
  <si>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</si>
  <si>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</si>
  <si>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</si>
  <si>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204:462</t>
  </si>
  <si>
    <t>Omit due to TWC &lt; 1</t>
  </si>
  <si>
    <t>Reactive Enforcement (3)</t>
  </si>
  <si>
    <t>rtdc.l.rtdc.4014:itc</t>
  </si>
  <si>
    <t>DE.1.0.7.0</t>
  </si>
  <si>
    <t>rtdc.l.rtdc.4031:itc</t>
  </si>
  <si>
    <t>rtdc.l.rtdc.4032:itc</t>
  </si>
  <si>
    <t>EC Threshold for Pink Highlight (Slow Run) (mins)</t>
  </si>
  <si>
    <t>NWGL Threshold for Pink Highlight (Slow run) (mins)</t>
  </si>
  <si>
    <t>EC Crossings</t>
  </si>
  <si>
    <t>NW Crossings</t>
  </si>
  <si>
    <t>BNSF FUEL YARD</t>
  </si>
  <si>
    <t>Kibana link</t>
  </si>
  <si>
    <t>EC</t>
  </si>
  <si>
    <t>NW</t>
  </si>
  <si>
    <t>EC/NW/GL</t>
  </si>
  <si>
    <t>204:455</t>
  </si>
  <si>
    <t>RefineRTDCRunTimes</t>
  </si>
  <si>
    <t>RefineTime</t>
  </si>
  <si>
    <t>"%USERPROFILE%\Documents\GitHub\eaglep3\Utilities\RefineRTDCRunTimes.py"</t>
  </si>
  <si>
    <t>%USERPROFILE%\Documents\GitHub\mrs-test-scripts\Headless Mode &amp; Sideloading\WalkAndUnGZ.bat</t>
  </si>
  <si>
    <t>"%USERPROFILE%\AppData\Local\Temp\OnboardLogs"</t>
  </si>
  <si>
    <t>204:158</t>
  </si>
  <si>
    <t>204:147</t>
  </si>
  <si>
    <t>204:453</t>
  </si>
  <si>
    <t>204:232994</t>
  </si>
  <si>
    <t>204:449</t>
  </si>
  <si>
    <t>204:149</t>
  </si>
  <si>
    <t>ISHMAEL</t>
  </si>
  <si>
    <t>204:467</t>
  </si>
  <si>
    <t>LEVIN</t>
  </si>
  <si>
    <t>204:457</t>
  </si>
  <si>
    <t>STAMBAUGH</t>
  </si>
  <si>
    <t>rtdc.l.rtdc.4037:itc</t>
  </si>
  <si>
    <t xml:space="preserve">baselines for EC: </t>
  </si>
  <si>
    <t>baselines for NWES:</t>
  </si>
  <si>
    <t>M - F = 47 trips</t>
  </si>
  <si>
    <t>Sat - Sun = 33 Trips</t>
  </si>
  <si>
    <t>rtdc.l.rtdc.4042:itc</t>
  </si>
  <si>
    <t>rtdc.l.rtdc.4038:itc</t>
  </si>
  <si>
    <t>204:156</t>
  </si>
  <si>
    <t>204:451</t>
  </si>
  <si>
    <t>204:233291</t>
  </si>
  <si>
    <t>204:154</t>
  </si>
  <si>
    <t>236-12</t>
  </si>
  <si>
    <t>238-12</t>
  </si>
  <si>
    <t>240-12</t>
  </si>
  <si>
    <t>241-12</t>
  </si>
  <si>
    <t>242-12</t>
  </si>
  <si>
    <t>243-12</t>
  </si>
  <si>
    <t>244-12</t>
  </si>
  <si>
    <t>245-12</t>
  </si>
  <si>
    <t>246-12</t>
  </si>
  <si>
    <t>309-12</t>
  </si>
  <si>
    <t>311-12</t>
  </si>
  <si>
    <t>315-12</t>
  </si>
  <si>
    <t>YANAI</t>
  </si>
  <si>
    <t>313-12</t>
  </si>
  <si>
    <t>204:152</t>
  </si>
  <si>
    <t>rtdc.l.rtdc.4009:itc</t>
  </si>
  <si>
    <t>rtdc.l.rtdc.4010:itc</t>
  </si>
  <si>
    <t>CHANDLER</t>
  </si>
  <si>
    <t>204:471</t>
  </si>
  <si>
    <t>rtdc.l.rtdc.4002:itc</t>
  </si>
  <si>
    <t>:.+((SYSTEM_STATE.+slice.+state.+changed )|(ment ac)|(system.+state.+changed )|(\|lc)|(penalty)|(\[timeout)|(PRM\|1\|D)|(kpr)|(kdp))</t>
  </si>
  <si>
    <t>204:145</t>
  </si>
  <si>
    <t>204:447</t>
  </si>
  <si>
    <t>rtdc.l.rtdc.4041:itc</t>
  </si>
  <si>
    <t>204:160</t>
  </si>
  <si>
    <t>204:233293</t>
  </si>
  <si>
    <t>rtdc.l.rtdc.4003:itc</t>
  </si>
  <si>
    <t>204:460</t>
  </si>
  <si>
    <t>204:232986</t>
  </si>
  <si>
    <t>204:435</t>
  </si>
  <si>
    <t>204:233327</t>
  </si>
  <si>
    <t>204:233312</t>
  </si>
  <si>
    <t>204:233000</t>
  </si>
  <si>
    <t>204:139</t>
  </si>
  <si>
    <t>HAITHCOX</t>
  </si>
  <si>
    <t>204:233320</t>
  </si>
  <si>
    <t>204:134</t>
  </si>
  <si>
    <t>204:464</t>
  </si>
  <si>
    <t>204:232989</t>
  </si>
  <si>
    <t>rtdc.l.rtdc.4004:itc</t>
  </si>
  <si>
    <t>ARVIDSON</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</si>
  <si>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</si>
  <si>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</si>
  <si>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</si>
  <si>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</si>
  <si>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</si>
  <si>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</si>
  <si>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</si>
  <si>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</si>
  <si>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</si>
  <si>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</si>
  <si>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</si>
  <si>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</si>
  <si>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</si>
  <si>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</si>
  <si>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</si>
  <si>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</si>
  <si>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</si>
  <si>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</si>
  <si>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</si>
  <si>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</si>
  <si>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</si>
  <si>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</si>
  <si>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Loco – PTC</t>
  </si>
  <si>
    <t>Subdiv</t>
  </si>
  <si>
    <t>RTDC Issue</t>
  </si>
  <si>
    <t>TBD</t>
  </si>
  <si>
    <t>Training</t>
  </si>
  <si>
    <t>Redmine Status</t>
  </si>
  <si>
    <t>Redmine Priority</t>
  </si>
  <si>
    <t>Redmine Assignee</t>
  </si>
  <si>
    <t>Redmine Operational Impact</t>
  </si>
  <si>
    <t>Redmine cURL</t>
  </si>
  <si>
    <t>Redmine add'l desc</t>
  </si>
  <si>
    <t>Seg't</t>
  </si>
  <si>
    <t>204:130</t>
  </si>
  <si>
    <t>204:232980</t>
  </si>
  <si>
    <t>204:232977</t>
  </si>
  <si>
    <t>From 08-24-2016 13:14:05.327 until 13:28:22.128, 61st 2S should have been clear (controls sent to it the entire time was CLEAR). However, it cycled back and forth between PROCEED CAB and STOP. Any ideas why?</t>
  </si>
  <si>
    <t>204:438</t>
  </si>
  <si>
    <t>204:233282</t>
  </si>
  <si>
    <t>204:233301</t>
  </si>
  <si>
    <t>rtdc.l.rtdc.4019:itc</t>
  </si>
  <si>
    <t>rtdc.l.rtdc.4020:itc</t>
  </si>
  <si>
    <t>Output Refined Run Times to File?</t>
  </si>
  <si>
    <t>RefinedRTDCRunTimesOutputFile</t>
  </si>
  <si>
    <t>rtdc.l.rtdc.4040:itc</t>
  </si>
  <si>
    <t>DAVIS</t>
  </si>
  <si>
    <t>rtdc.l.rtdc.4039:itc</t>
  </si>
  <si>
    <t>rtdc.l.rtdc.4028:itc</t>
  </si>
  <si>
    <t>245-26</t>
  </si>
  <si>
    <t>242-26</t>
  </si>
  <si>
    <t>309-26</t>
  </si>
  <si>
    <t>244-26</t>
  </si>
  <si>
    <t>311-26</t>
  </si>
  <si>
    <t>246-26</t>
  </si>
  <si>
    <t>313-26</t>
  </si>
  <si>
    <t>Bulletin (2)</t>
  </si>
  <si>
    <t>GRADE CROSSING</t>
  </si>
  <si>
    <t>204:232971</t>
  </si>
  <si>
    <t>204:458</t>
  </si>
  <si>
    <t>204:233316</t>
  </si>
  <si>
    <t>204:233295</t>
  </si>
  <si>
    <t>204:232988</t>
  </si>
  <si>
    <t>204:232985</t>
  </si>
  <si>
    <t>204:233299</t>
  </si>
  <si>
    <t>204:232974</t>
  </si>
  <si>
    <t>204:233329</t>
  </si>
  <si>
    <t>204:232973</t>
  </si>
  <si>
    <t>204:466</t>
  </si>
  <si>
    <t>204:233297</t>
  </si>
  <si>
    <t>204:233311</t>
  </si>
  <si>
    <t>204:475</t>
  </si>
  <si>
    <t>204:233359</t>
  </si>
  <si>
    <t>300:58933</t>
  </si>
  <si>
    <t>204:232981</t>
  </si>
  <si>
    <t>204:233285</t>
  </si>
  <si>
    <t>204:233288</t>
  </si>
  <si>
    <t>204:232990</t>
  </si>
  <si>
    <t>KILLION</t>
  </si>
  <si>
    <t>BARTLETT</t>
  </si>
  <si>
    <t>DE LA ROSA</t>
  </si>
  <si>
    <t>STARKS</t>
  </si>
  <si>
    <t>CLARK</t>
  </si>
  <si>
    <t>YOUNG</t>
  </si>
  <si>
    <t>COOLAHAN</t>
  </si>
  <si>
    <t>NEWELL</t>
  </si>
  <si>
    <t>204:232961</t>
  </si>
  <si>
    <t>204:233289</t>
  </si>
  <si>
    <t>204:232976</t>
  </si>
  <si>
    <t>300:58611</t>
  </si>
  <si>
    <t>204:1025</t>
  </si>
  <si>
    <t>300:58615</t>
  </si>
  <si>
    <t>204:1020</t>
  </si>
  <si>
    <t>300:58606</t>
  </si>
  <si>
    <t>204:671</t>
  </si>
  <si>
    <t>204:974</t>
  </si>
  <si>
    <t>300:58916</t>
  </si>
  <si>
    <t>204:232998</t>
  </si>
  <si>
    <t>204:233308</t>
  </si>
  <si>
    <t>204:442</t>
  </si>
  <si>
    <t>204:233008</t>
  </si>
  <si>
    <t>204:431</t>
  </si>
  <si>
    <t>204:233013</t>
  </si>
  <si>
    <t>204:446</t>
  </si>
  <si>
    <t>Trip Number</t>
  </si>
  <si>
    <t>40th 4S STOP, cleared shortly</t>
  </si>
  <si>
    <t>Early arrival</t>
  </si>
  <si>
    <t>SPECTOR</t>
  </si>
  <si>
    <t>rtdc.l.rtdc.4018:itc</t>
  </si>
  <si>
    <t>SANTIZO</t>
  </si>
  <si>
    <t>rtdc.l.rtdc.4017:itc</t>
  </si>
  <si>
    <t>rtdc.l.rtdc.4005:itc</t>
  </si>
  <si>
    <t>rtdc.l.rtdc.4011:itc</t>
  </si>
  <si>
    <t>rtdc.l.rtdc.4006:itc</t>
  </si>
  <si>
    <t>242-29</t>
  </si>
  <si>
    <t>311-29</t>
  </si>
  <si>
    <t>244-29</t>
  </si>
  <si>
    <t>313-29</t>
  </si>
  <si>
    <t>315-29</t>
  </si>
  <si>
    <t>SWITCH UNKNOWN</t>
  </si>
  <si>
    <t>Track device (7)</t>
  </si>
  <si>
    <t>Y</t>
  </si>
  <si>
    <t>204:233323</t>
  </si>
  <si>
    <t>204:233314</t>
  </si>
  <si>
    <t>204:136</t>
  </si>
  <si>
    <t>204:163</t>
  </si>
  <si>
    <t>204:497</t>
  </si>
  <si>
    <t>204:232975</t>
  </si>
  <si>
    <t>204:232965</t>
  </si>
  <si>
    <t>204:233303</t>
  </si>
  <si>
    <t>204:232996</t>
  </si>
  <si>
    <t>204:232993</t>
  </si>
  <si>
    <t>204:232978</t>
  </si>
  <si>
    <t>204:232964</t>
  </si>
  <si>
    <t>204:233298</t>
  </si>
  <si>
    <t>204:232987</t>
  </si>
  <si>
    <t>204:233276</t>
  </si>
  <si>
    <t>204:233321</t>
  </si>
  <si>
    <t>204:233307</t>
  </si>
  <si>
    <t>204:232982</t>
  </si>
  <si>
    <t>204:233001</t>
  </si>
  <si>
    <t>204:232959</t>
  </si>
  <si>
    <t>204:232963</t>
  </si>
  <si>
    <t>300:23306</t>
  </si>
  <si>
    <t>300:25124</t>
  </si>
  <si>
    <t>300:22049</t>
  </si>
  <si>
    <t>300:22845</t>
  </si>
  <si>
    <t>300:58922</t>
  </si>
  <si>
    <t>300:58604</t>
  </si>
  <si>
    <t>204:724</t>
  </si>
  <si>
    <t>300:58926</t>
  </si>
  <si>
    <t>204:1007</t>
  </si>
  <si>
    <t>204:719</t>
  </si>
  <si>
    <t>204:727</t>
  </si>
  <si>
    <t>204:692</t>
  </si>
  <si>
    <t>300:58924</t>
  </si>
  <si>
    <t>204:678</t>
  </si>
  <si>
    <t>204:682</t>
  </si>
  <si>
    <t>Onboard in-route failure</t>
  </si>
  <si>
    <t>800-30</t>
  </si>
  <si>
    <t>rtdc.l.rtdc.4015:itc</t>
  </si>
  <si>
    <t>106-30</t>
  </si>
  <si>
    <t>803-30</t>
  </si>
  <si>
    <t>119-30</t>
  </si>
  <si>
    <t>125-30</t>
  </si>
  <si>
    <t>804-30</t>
  </si>
  <si>
    <t>805-30</t>
  </si>
  <si>
    <t>128-30</t>
  </si>
  <si>
    <t>130-30</t>
  </si>
  <si>
    <t>143-30</t>
  </si>
  <si>
    <t>148-30</t>
  </si>
  <si>
    <t>rtdc.l.rtdc.4012:itc</t>
  </si>
  <si>
    <t>154-30</t>
  </si>
  <si>
    <t>159-30</t>
  </si>
  <si>
    <t>158-30</t>
  </si>
  <si>
    <t>819-30</t>
  </si>
  <si>
    <t>166-30</t>
  </si>
  <si>
    <t>162-30</t>
  </si>
  <si>
    <t>820-30</t>
  </si>
  <si>
    <t>170-30</t>
  </si>
  <si>
    <t>829-30</t>
  </si>
  <si>
    <t>192-30</t>
  </si>
  <si>
    <t>198-30</t>
  </si>
  <si>
    <t>rtdc.l.rtdc.4021:itc</t>
  </si>
  <si>
    <t>62-30</t>
  </si>
  <si>
    <t>202-30</t>
  </si>
  <si>
    <t>835-30</t>
  </si>
  <si>
    <t>210-30</t>
  </si>
  <si>
    <t>213-30</t>
  </si>
  <si>
    <t>208-30</t>
  </si>
  <si>
    <t>214-30</t>
  </si>
  <si>
    <t>222-30</t>
  </si>
  <si>
    <t>230-30</t>
  </si>
  <si>
    <t>232-30</t>
  </si>
  <si>
    <t>302-30</t>
  </si>
  <si>
    <t>101-30</t>
  </si>
  <si>
    <t>105-30</t>
  </si>
  <si>
    <t>SMITH</t>
  </si>
  <si>
    <t>102-30</t>
  </si>
  <si>
    <t>107-30</t>
  </si>
  <si>
    <t>104-30</t>
  </si>
  <si>
    <t>109-30</t>
  </si>
  <si>
    <t>111-30</t>
  </si>
  <si>
    <t>GEBRETEKLE</t>
  </si>
  <si>
    <t>113-30</t>
  </si>
  <si>
    <t>108-30</t>
  </si>
  <si>
    <t>115-30</t>
  </si>
  <si>
    <t>ROCHA</t>
  </si>
  <si>
    <t>110-30</t>
  </si>
  <si>
    <t>117-30</t>
  </si>
  <si>
    <t>801-30</t>
  </si>
  <si>
    <t>112-30</t>
  </si>
  <si>
    <t>114-30</t>
  </si>
  <si>
    <t>802-30</t>
  </si>
  <si>
    <t>121-30</t>
  </si>
  <si>
    <t>123-30</t>
  </si>
  <si>
    <t>116-30</t>
  </si>
  <si>
    <t>118-30</t>
  </si>
  <si>
    <t>120-30</t>
  </si>
  <si>
    <t>127-30</t>
  </si>
  <si>
    <t>807-30</t>
  </si>
  <si>
    <t>122-30</t>
  </si>
  <si>
    <t>806-30</t>
  </si>
  <si>
    <t>129-30</t>
  </si>
  <si>
    <t>124-30</t>
  </si>
  <si>
    <t>131-30</t>
  </si>
  <si>
    <t>808-30</t>
  </si>
  <si>
    <t>126-30</t>
  </si>
  <si>
    <t>133-30</t>
  </si>
  <si>
    <t>809-30</t>
  </si>
  <si>
    <t>811-30</t>
  </si>
  <si>
    <t>135-30</t>
  </si>
  <si>
    <t>810-30</t>
  </si>
  <si>
    <t>137-30</t>
  </si>
  <si>
    <t>132-30</t>
  </si>
  <si>
    <t>139-30</t>
  </si>
  <si>
    <t>134-30</t>
  </si>
  <si>
    <t>903-30</t>
  </si>
  <si>
    <t>812-30</t>
  </si>
  <si>
    <t>141-30</t>
  </si>
  <si>
    <t>136-30</t>
  </si>
  <si>
    <t>138-30</t>
  </si>
  <si>
    <t>813-30</t>
  </si>
  <si>
    <t>BEAM</t>
  </si>
  <si>
    <t>145-30</t>
  </si>
  <si>
    <t>140-30</t>
  </si>
  <si>
    <t>147-30</t>
  </si>
  <si>
    <t>142-30</t>
  </si>
  <si>
    <t>814-30</t>
  </si>
  <si>
    <t>149-30</t>
  </si>
  <si>
    <t>144-30</t>
  </si>
  <si>
    <t>151-30</t>
  </si>
  <si>
    <t>146-30</t>
  </si>
  <si>
    <t>153-30</t>
  </si>
  <si>
    <t>815-30</t>
  </si>
  <si>
    <t>155-30</t>
  </si>
  <si>
    <t>150-30</t>
  </si>
  <si>
    <t>816-30</t>
  </si>
  <si>
    <t>157-30</t>
  </si>
  <si>
    <t>152-30</t>
  </si>
  <si>
    <t>161-30</t>
  </si>
  <si>
    <t>817-30</t>
  </si>
  <si>
    <t>156-30</t>
  </si>
  <si>
    <t>163-30</t>
  </si>
  <si>
    <t>MAHAN</t>
  </si>
  <si>
    <t>818-30</t>
  </si>
  <si>
    <t>165-30</t>
  </si>
  <si>
    <t>BROWN</t>
  </si>
  <si>
    <t>160-30</t>
  </si>
  <si>
    <t>167-30</t>
  </si>
  <si>
    <t>171-30</t>
  </si>
  <si>
    <t>WEBSTER</t>
  </si>
  <si>
    <t>169-30</t>
  </si>
  <si>
    <t>164-30</t>
  </si>
  <si>
    <t>rtdc.l.rtdc.4016:itc</t>
  </si>
  <si>
    <t>173-30</t>
  </si>
  <si>
    <t>168-30</t>
  </si>
  <si>
    <t>175-30</t>
  </si>
  <si>
    <t>821-30</t>
  </si>
  <si>
    <t>BRUDER</t>
  </si>
  <si>
    <t>177-30</t>
  </si>
  <si>
    <t>172-30</t>
  </si>
  <si>
    <t>179-30</t>
  </si>
  <si>
    <t>174-30</t>
  </si>
  <si>
    <t>822-30</t>
  </si>
  <si>
    <t>181-30</t>
  </si>
  <si>
    <t>176-30</t>
  </si>
  <si>
    <t>183-30</t>
  </si>
  <si>
    <t>185-30</t>
  </si>
  <si>
    <t>178-30</t>
  </si>
  <si>
    <t>823-30</t>
  </si>
  <si>
    <t>180-30</t>
  </si>
  <si>
    <t>187-30</t>
  </si>
  <si>
    <t>182-30</t>
  </si>
  <si>
    <t>824-30</t>
  </si>
  <si>
    <t>189-30</t>
  </si>
  <si>
    <t>184-30</t>
  </si>
  <si>
    <t>191-30</t>
  </si>
  <si>
    <t>186-30</t>
  </si>
  <si>
    <t>193-30</t>
  </si>
  <si>
    <t>825-30</t>
  </si>
  <si>
    <t>188-30</t>
  </si>
  <si>
    <t>904-30</t>
  </si>
  <si>
    <t>CRAYTON</t>
  </si>
  <si>
    <t>190-30</t>
  </si>
  <si>
    <t>195-30</t>
  </si>
  <si>
    <t>826-30</t>
  </si>
  <si>
    <t>197-30</t>
  </si>
  <si>
    <t>827-30</t>
  </si>
  <si>
    <t>194-30</t>
  </si>
  <si>
    <t>199-30</t>
  </si>
  <si>
    <t>828-30</t>
  </si>
  <si>
    <t>201-30</t>
  </si>
  <si>
    <t>196-30</t>
  </si>
  <si>
    <t>203-30</t>
  </si>
  <si>
    <t>830-30</t>
  </si>
  <si>
    <t>831-30</t>
  </si>
  <si>
    <t>205-30</t>
  </si>
  <si>
    <t>207-30</t>
  </si>
  <si>
    <t>832-30</t>
  </si>
  <si>
    <t>209-30</t>
  </si>
  <si>
    <t>HILLS</t>
  </si>
  <si>
    <t>833-30</t>
  </si>
  <si>
    <t>204-30</t>
  </si>
  <si>
    <t>211-30</t>
  </si>
  <si>
    <t>206-30</t>
  </si>
  <si>
    <t>834-30</t>
  </si>
  <si>
    <t>66-30</t>
  </si>
  <si>
    <t>215-30</t>
  </si>
  <si>
    <t>836-30</t>
  </si>
  <si>
    <t>rtdc.l.rtdc.4022:itc</t>
  </si>
  <si>
    <t>58-30</t>
  </si>
  <si>
    <t>217-30</t>
  </si>
  <si>
    <t>837-30</t>
  </si>
  <si>
    <t>212-30</t>
  </si>
  <si>
    <t>56-30</t>
  </si>
  <si>
    <t>219-30</t>
  </si>
  <si>
    <t>839-30</t>
  </si>
  <si>
    <t>838-30</t>
  </si>
  <si>
    <t>303-30</t>
  </si>
  <si>
    <t>216-30</t>
  </si>
  <si>
    <t>221-30</t>
  </si>
  <si>
    <t>218-30</t>
  </si>
  <si>
    <t>906-30</t>
  </si>
  <si>
    <t>841-30</t>
  </si>
  <si>
    <t>220-30</t>
  </si>
  <si>
    <t>223-30</t>
  </si>
  <si>
    <t>840-30</t>
  </si>
  <si>
    <t>307-30</t>
  </si>
  <si>
    <t>225-30</t>
  </si>
  <si>
    <t>843-30</t>
  </si>
  <si>
    <t>224-30</t>
  </si>
  <si>
    <t>227-30</t>
  </si>
  <si>
    <t>842-30</t>
  </si>
  <si>
    <t>229-30</t>
  </si>
  <si>
    <t>226-30</t>
  </si>
  <si>
    <t>845-30</t>
  </si>
  <si>
    <t>228-30</t>
  </si>
  <si>
    <t>231-30</t>
  </si>
  <si>
    <t>233-30</t>
  </si>
  <si>
    <t>844-30</t>
  </si>
  <si>
    <t>847-30</t>
  </si>
  <si>
    <t>235-30</t>
  </si>
  <si>
    <t>908-30</t>
  </si>
  <si>
    <t>234-30</t>
  </si>
  <si>
    <t>237-30</t>
  </si>
  <si>
    <t>236-30</t>
  </si>
  <si>
    <t>239-30</t>
  </si>
  <si>
    <t>241-30</t>
  </si>
  <si>
    <t>238-30</t>
  </si>
  <si>
    <t>240-30</t>
  </si>
  <si>
    <t>243-30</t>
  </si>
  <si>
    <t>309-30</t>
  </si>
  <si>
    <t>242-30</t>
  </si>
  <si>
    <t>311-30</t>
  </si>
  <si>
    <t>244-30</t>
  </si>
  <si>
    <t>313-30</t>
  </si>
  <si>
    <t>51-31</t>
  </si>
  <si>
    <t>CHIONE</t>
  </si>
  <si>
    <t>315-30</t>
  </si>
  <si>
    <t>50-31</t>
  </si>
  <si>
    <t>204:801</t>
  </si>
  <si>
    <t>204:232635</t>
  </si>
  <si>
    <t>204:232679</t>
  </si>
  <si>
    <t>204:127</t>
  </si>
  <si>
    <t>204:741</t>
  </si>
  <si>
    <t>204:232644</t>
  </si>
  <si>
    <t>204:251</t>
  </si>
  <si>
    <t>204:19123</t>
  </si>
  <si>
    <t>204:233319</t>
  </si>
  <si>
    <t>204:766</t>
  </si>
  <si>
    <t>204:233302</t>
  </si>
  <si>
    <t>204:232969</t>
  </si>
  <si>
    <t>204:233325</t>
  </si>
  <si>
    <t>204:233286</t>
  </si>
  <si>
    <t>204:757</t>
  </si>
  <si>
    <t>204:233315</t>
  </si>
  <si>
    <t>204:233324</t>
  </si>
  <si>
    <t>204:233331</t>
  </si>
  <si>
    <t>204:233025</t>
  </si>
  <si>
    <t>204:19134</t>
  </si>
  <si>
    <t>204:233309</t>
  </si>
  <si>
    <t>204:2129</t>
  </si>
  <si>
    <t>204:232992</t>
  </si>
  <si>
    <t>204:233283</t>
  </si>
  <si>
    <t>204:161</t>
  </si>
  <si>
    <t>204:233300</t>
  </si>
  <si>
    <t>204:440</t>
  </si>
  <si>
    <t>204:473</t>
  </si>
  <si>
    <t>204:232970</t>
  </si>
  <si>
    <t>204:262</t>
  </si>
  <si>
    <t>204:233305</t>
  </si>
  <si>
    <t>204:127852</t>
  </si>
  <si>
    <t>204:190546</t>
  </si>
  <si>
    <t>204:477</t>
  </si>
  <si>
    <t>204:233372</t>
  </si>
  <si>
    <t>204:233027</t>
  </si>
  <si>
    <t>204:18765</t>
  </si>
  <si>
    <t>204:604</t>
  </si>
  <si>
    <t>204:232984</t>
  </si>
  <si>
    <t>204:198</t>
  </si>
  <si>
    <t>204:233345</t>
  </si>
  <si>
    <t>204:174</t>
  </si>
  <si>
    <t>204:233395</t>
  </si>
  <si>
    <t>204:233088</t>
  </si>
  <si>
    <t>204:233310</t>
  </si>
  <si>
    <t>204:233015</t>
  </si>
  <si>
    <t>204:478</t>
  </si>
  <si>
    <t>204:233339</t>
  </si>
  <si>
    <t>204:181</t>
  </si>
  <si>
    <t>204:232991</t>
  </si>
  <si>
    <t>204:233284</t>
  </si>
  <si>
    <t>204:480</t>
  </si>
  <si>
    <t>204:233342</t>
  </si>
  <si>
    <t>204:189</t>
  </si>
  <si>
    <t>204:433</t>
  </si>
  <si>
    <t>204:1244</t>
  </si>
  <si>
    <t>204:229</t>
  </si>
  <si>
    <t>204:498</t>
  </si>
  <si>
    <t>204:233010</t>
  </si>
  <si>
    <t>204:138</t>
  </si>
  <si>
    <t>204:233334</t>
  </si>
  <si>
    <t>204:99</t>
  </si>
  <si>
    <t>204:560</t>
  </si>
  <si>
    <t>204:98</t>
  </si>
  <si>
    <t>204:223</t>
  </si>
  <si>
    <t>204:170</t>
  </si>
  <si>
    <t>204:533</t>
  </si>
  <si>
    <t>204:129</t>
  </si>
  <si>
    <t>204:123</t>
  </si>
  <si>
    <t>204:233274</t>
  </si>
  <si>
    <t>204:172</t>
  </si>
  <si>
    <t>204:232967</t>
  </si>
  <si>
    <t>300:25130</t>
  </si>
  <si>
    <t>300:24595</t>
  </si>
  <si>
    <t>300:23310</t>
  </si>
  <si>
    <t>204:520</t>
  </si>
  <si>
    <t>300:23299</t>
  </si>
  <si>
    <t>300:23346</t>
  </si>
  <si>
    <t>300:22877</t>
  </si>
  <si>
    <t>300:31142</t>
  </si>
  <si>
    <t>300:5280</t>
  </si>
  <si>
    <t>204:1177</t>
  </si>
  <si>
    <t>300:31462</t>
  </si>
  <si>
    <t>300:5540</t>
  </si>
  <si>
    <t>300:31265</t>
  </si>
  <si>
    <t>204:1461</t>
  </si>
  <si>
    <t>204:415</t>
  </si>
  <si>
    <t>300:24218</t>
  </si>
  <si>
    <t>300:22017</t>
  </si>
  <si>
    <t>204:128</t>
  </si>
  <si>
    <t>300:23193</t>
  </si>
  <si>
    <t>204:417</t>
  </si>
  <si>
    <t>204:715</t>
  </si>
  <si>
    <t>204:890</t>
  </si>
  <si>
    <t>300:58967</t>
  </si>
  <si>
    <t>300:58645</t>
  </si>
  <si>
    <t>204:817</t>
  </si>
  <si>
    <t>204:1000</t>
  </si>
  <si>
    <t>300:58613</t>
  </si>
  <si>
    <t>204:1102</t>
  </si>
  <si>
    <t>300:58946</t>
  </si>
  <si>
    <t>300:58623</t>
  </si>
  <si>
    <t>204:736</t>
  </si>
  <si>
    <t>204:1009</t>
  </si>
  <si>
    <t>204:733</t>
  </si>
  <si>
    <t>300:58943</t>
  </si>
  <si>
    <t>300:58628</t>
  </si>
  <si>
    <t>300:58992</t>
  </si>
  <si>
    <t>300:58668</t>
  </si>
  <si>
    <t>204:794</t>
  </si>
  <si>
    <t>204:1090</t>
  </si>
  <si>
    <t>300:59022</t>
  </si>
  <si>
    <t>300:58712</t>
  </si>
  <si>
    <t>204:775</t>
  </si>
  <si>
    <t>204:1083</t>
  </si>
  <si>
    <t>300:59016</t>
  </si>
  <si>
    <t>300:58692</t>
  </si>
  <si>
    <t>204:635</t>
  </si>
  <si>
    <t>204:1014</t>
  </si>
  <si>
    <t>300:58929</t>
  </si>
  <si>
    <t>300:58626</t>
  </si>
  <si>
    <t>204:929</t>
  </si>
  <si>
    <t>300:58608</t>
  </si>
  <si>
    <t>204:957</t>
  </si>
  <si>
    <t>204:971</t>
  </si>
  <si>
    <t>300:58609</t>
  </si>
  <si>
    <t>204:972</t>
  </si>
  <si>
    <t>300:58918</t>
  </si>
  <si>
    <t>204:1021</t>
  </si>
  <si>
    <t>300:58600</t>
  </si>
  <si>
    <t>204:769</t>
  </si>
  <si>
    <t>204:976</t>
  </si>
  <si>
    <t>204:684</t>
  </si>
  <si>
    <t>204:1039</t>
  </si>
  <si>
    <t>300:58909</t>
  </si>
  <si>
    <t>204:755</t>
  </si>
  <si>
    <t>204:694</t>
  </si>
  <si>
    <t>204:1027</t>
  </si>
  <si>
    <t>300:58965</t>
  </si>
  <si>
    <t>204:680</t>
  </si>
  <si>
    <t>300:58621</t>
  </si>
  <si>
    <t>300:58937</t>
  </si>
  <si>
    <t>300:58636</t>
  </si>
  <si>
    <t>204:759</t>
  </si>
  <si>
    <t>204:953</t>
  </si>
  <si>
    <t>300:58954</t>
  </si>
  <si>
    <t>204:1032</t>
  </si>
  <si>
    <t>300:58944</t>
  </si>
  <si>
    <t>300:23392</t>
  </si>
  <si>
    <t>300:28795</t>
  </si>
  <si>
    <t>300:58641</t>
  </si>
  <si>
    <t>300:21700</t>
  </si>
  <si>
    <t>103-30</t>
  </si>
  <si>
    <t>Did not initialize</t>
  </si>
  <si>
    <t>200-30</t>
  </si>
  <si>
    <t>NW map displayed because DUS switches were aligned for NW. No need to cut out. Recommend waiting for switches to align for EC.</t>
  </si>
  <si>
    <t>TMDS or dispatcher issue - no clear requests sent to Pena 2S</t>
  </si>
  <si>
    <t>DUS 2N stuck at STOP (did not clear in response to controls)</t>
  </si>
  <si>
    <t>Clear requests sent to signal 2N at 16:11:29, but signal 2N never cleared. Does anything look out of the ordinary? As additional info, the signal prior to this incident downgraded to STOP around 16:10:19 (from what looks like normal train movement). Also, the next time the signal cleared was at 16:26:09</t>
  </si>
  <si>
    <t>Pena 4S STOP, cleared shortly</t>
  </si>
  <si>
    <t>Westminster 2S STOP, cleared shortly</t>
  </si>
  <si>
    <t>Train was headed toward DUS Main 3</t>
  </si>
  <si>
    <t>Train 153-30 approached Pena 2S around 11:16. Signal was STOP and stayed that way for a long time. Train was talked past signal. In fact, no clear controls were sent to Pena 2S for the entire 11:00-11:59 timeframe. Signals 2N and 4S, however, were cleared and driven past several times during this same timeframe. Need help looking into TMDS logs to see if there were any routing issues, or was it simply inefficient dispatching?</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</si>
</sst>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17"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0" fontId="10" fillId="0" borderId="0"/>
  </cellStyleXfs>
  <cellXfs count="166">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5" xfId="0" applyFill="1" applyBorder="1" applyAlignment="1">
      <alignment vertical="center"/>
    </xf>
    <xf numFmtId="169" fontId="0" fillId="0" borderId="0" xfId="0" applyAlignment="1">
      <alignment horizontal="center" vertical="center"/>
    </xf>
    <xf numFmtId="1" fontId="0" fillId="0" borderId="0" xfId="0" applyNumberFormat="1"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165" fontId="0" fillId="0" borderId="0" xfId="2" applyNumberFormat="1" applyFont="1" applyAlignment="1">
      <alignment horizontal="left"/>
    </xf>
    <xf numFmtId="2" fontId="0" fillId="0" borderId="0" xfId="0" applyNumberFormat="1"/>
    <xf numFmtId="169" fontId="1" fillId="0" borderId="5" xfId="0" applyNumberFormat="1" applyFont="1" applyFill="1" applyBorder="1" applyAlignment="1">
      <alignment horizontal="center" wrapText="1"/>
    </xf>
    <xf numFmtId="169" fontId="1" fillId="0" borderId="5" xfId="0" applyNumberFormat="1" applyFont="1" applyBorder="1" applyAlignment="1">
      <alignment horizontal="center" vertical="center" wrapText="1"/>
    </xf>
    <xf numFmtId="169" fontId="1" fillId="0" borderId="5" xfId="0" applyNumberFormat="1" applyFont="1" applyFill="1" applyBorder="1" applyAlignment="1">
      <alignment horizontal="center" vertical="center"/>
    </xf>
    <xf numFmtId="169" fontId="1" fillId="0" borderId="5" xfId="0" applyNumberFormat="1" applyFont="1" applyBorder="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0" fillId="0" borderId="17" xfId="0" applyFill="1" applyBorder="1" applyAlignment="1">
      <alignment horizontal="left" vertical="center"/>
    </xf>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0" fontId="0" fillId="0" borderId="0" xfId="0" applyNumberFormat="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5" xfId="0" applyNumberFormat="1" applyBorder="1" applyAlignment="1">
      <alignment horizontal="center" vertical="center" wrapText="1"/>
    </xf>
    <xf numFmtId="0" fontId="0" fillId="0" borderId="5" xfId="0" applyNumberFormat="1" applyFill="1" applyBorder="1"/>
    <xf numFmtId="0" fontId="1" fillId="0" borderId="0" xfId="0" applyNumberFormat="1" applyFont="1" applyBorder="1" applyAlignment="1">
      <alignment horizontal="center" wrapText="1"/>
    </xf>
    <xf numFmtId="0" fontId="1" fillId="0" borderId="0" xfId="0" applyNumberFormat="1" applyFont="1" applyBorder="1" applyAlignment="1">
      <alignment horizontal="left" wrapText="1"/>
    </xf>
    <xf numFmtId="0" fontId="0" fillId="0" borderId="5" xfId="0" applyNumberFormat="1" applyBorder="1"/>
    <xf numFmtId="0" fontId="0" fillId="0" borderId="0" xfId="0" applyNumberFormat="1" applyAlignment="1">
      <alignment horizontal="center"/>
    </xf>
    <xf numFmtId="0" fontId="0" fillId="0" borderId="5" xfId="0" applyNumberFormat="1" applyFill="1" applyBorder="1" applyAlignment="1"/>
    <xf numFmtId="169" fontId="0" fillId="0" borderId="17" xfId="0" applyFill="1" applyBorder="1" applyAlignment="1">
      <alignment horizontal="left"/>
    </xf>
    <xf numFmtId="169" fontId="0" fillId="2" borderId="11" xfId="0" applyFill="1" applyBorder="1" applyAlignment="1">
      <alignment vertical="center"/>
    </xf>
    <xf numFmtId="169" fontId="0" fillId="2" borderId="12" xfId="0" applyFill="1" applyBorder="1" applyAlignment="1">
      <alignment horizontal="left" vertical="center"/>
    </xf>
    <xf numFmtId="0" fontId="0" fillId="2" borderId="13" xfId="0" applyNumberFormat="1" applyFill="1" applyBorder="1" applyAlignment="1"/>
    <xf numFmtId="169" fontId="0" fillId="0" borderId="0" xfId="0" applyAlignment="1"/>
    <xf numFmtId="169" fontId="0" fillId="0" borderId="14" xfId="0" applyBorder="1" applyAlignment="1">
      <alignment vertical="center"/>
    </xf>
    <xf numFmtId="169" fontId="0" fillId="0" borderId="15" xfId="0" applyBorder="1" applyAlignment="1">
      <alignment horizontal="left" vertical="center"/>
    </xf>
    <xf numFmtId="0" fontId="0" fillId="0" borderId="16" xfId="0" applyNumberFormat="1" applyBorder="1" applyAlignment="1"/>
    <xf numFmtId="1" fontId="1" fillId="0" borderId="0" xfId="0" applyNumberFormat="1" applyFont="1" applyBorder="1"/>
    <xf numFmtId="169" fontId="0" fillId="9" borderId="0" xfId="0" applyFill="1"/>
    <xf numFmtId="0" fontId="1" fillId="0" borderId="0" xfId="3" applyFont="1"/>
    <xf numFmtId="0" fontId="10" fillId="0" borderId="0" xfId="3"/>
    <xf numFmtId="0" fontId="12" fillId="0" borderId="0" xfId="0" applyNumberFormat="1" applyFont="1"/>
    <xf numFmtId="0" fontId="10" fillId="0" borderId="0" xfId="3" applyNumberFormat="1"/>
    <xf numFmtId="0" fontId="0" fillId="0" borderId="0" xfId="3" applyFont="1"/>
    <xf numFmtId="0"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3" fillId="0" borderId="5" xfId="0" applyFont="1" applyFill="1" applyBorder="1" applyAlignment="1">
      <alignment horizontal="left" vertical="center" wrapText="1"/>
    </xf>
    <xf numFmtId="0"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0" fontId="0" fillId="0" borderId="0" xfId="0" applyNumberFormat="1" applyBorder="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9">
    <dxf>
      <font>
        <color rgb="FF9C6500"/>
      </font>
      <fill>
        <patternFill>
          <bgColor rgb="FFFFEB9C"/>
        </patternFill>
      </fill>
    </dxf>
    <dxf>
      <fill>
        <patternFill>
          <bgColor rgb="FFFFFF00"/>
        </patternFill>
      </fill>
    </dxf>
    <dxf>
      <font>
        <color rgb="FF9C6500"/>
      </font>
      <fill>
        <patternFill>
          <bgColor rgb="FFFFEB9C"/>
        </patternFill>
      </fill>
    </dxf>
    <dxf>
      <fill>
        <patternFill>
          <bgColor theme="5" tint="0.79998168889431442"/>
        </patternFill>
      </fill>
    </dxf>
    <dxf>
      <font>
        <color theme="0"/>
      </font>
      <fill>
        <patternFill>
          <bgColor rgb="FFFF0000"/>
        </patternFill>
      </fill>
    </dxf>
    <dxf>
      <fill>
        <patternFill>
          <bgColor rgb="FFFFFF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352425</xdr:colOff>
          <xdr:row>1</xdr:row>
          <xdr:rowOff>28575</xdr:rowOff>
        </xdr:from>
        <xdr:to>
          <xdr:col>13</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41"/>
  <sheetViews>
    <sheetView tabSelected="1" workbookViewId="0"/>
  </sheetViews>
  <sheetFormatPr defaultRowHeight="15" x14ac:dyDescent="0.25"/>
  <cols>
    <col min="1" max="1" width="8" style="41" customWidth="1"/>
    <col min="2" max="2" width="6.140625" style="43" customWidth="1"/>
    <col min="3" max="3" width="13.5703125" style="30" hidden="1" customWidth="1"/>
    <col min="4" max="4" width="16.140625" style="30" hidden="1" customWidth="1"/>
    <col min="5" max="5" width="19.5703125" style="40" hidden="1" customWidth="1"/>
    <col min="6" max="6" width="18.28515625" style="40" customWidth="1"/>
    <col min="7" max="7" width="4.85546875" style="43" hidden="1" customWidth="1"/>
    <col min="8" max="8" width="22.140625" style="40" hidden="1" customWidth="1"/>
    <col min="9" max="9" width="18.5703125" style="40" customWidth="1"/>
    <col min="10" max="10" width="7.28515625" style="43" customWidth="1"/>
    <col min="11" max="11" width="10.42578125" style="30" customWidth="1"/>
    <col min="12" max="12" width="13.28515625" style="30" customWidth="1"/>
    <col min="13" max="13" width="9.5703125" style="42" customWidth="1"/>
    <col min="14" max="14" width="3.7109375" style="43" customWidth="1"/>
    <col min="15" max="15" width="4.7109375" style="2" customWidth="1"/>
    <col min="16" max="16" width="4" style="2" customWidth="1"/>
    <col min="17" max="17" width="5.85546875" hidden="1" customWidth="1"/>
    <col min="18" max="18" width="34.28515625" customWidth="1"/>
    <col min="19" max="19" width="7.7109375" style="23" customWidth="1"/>
    <col min="20" max="20" width="3.85546875" customWidth="1"/>
    <col min="21" max="21" width="5" style="114" customWidth="1"/>
    <col min="22" max="22" width="5.7109375" style="104" customWidth="1"/>
    <col min="23" max="23" width="3.85546875" style="22" customWidth="1"/>
    <col min="24" max="24" width="5.28515625" style="118" customWidth="1"/>
    <col min="25" max="25" width="9.140625" style="67"/>
    <col min="26" max="26" width="7.28515625" style="67" customWidth="1"/>
    <col min="27" max="27" width="9.140625" style="67"/>
    <col min="28" max="28" width="10.7109375" style="64" hidden="1" customWidth="1"/>
    <col min="29" max="29" width="9.42578125" style="58" hidden="1" customWidth="1"/>
    <col min="30" max="30" width="7.85546875" style="59" customWidth="1"/>
    <col min="31" max="31" width="4.5703125" style="97" customWidth="1"/>
    <col min="32" max="32" width="6.28515625" style="94" customWidth="1"/>
    <col min="33" max="33" width="5.42578125" customWidth="1"/>
    <col min="34" max="34" width="5" style="100" customWidth="1"/>
    <col min="35" max="35" width="5.7109375" style="141" customWidth="1"/>
    <col min="36" max="36" width="9.85546875" customWidth="1"/>
    <col min="37" max="37" width="7.7109375" customWidth="1"/>
    <col min="38" max="38" width="7.85546875" customWidth="1"/>
  </cols>
  <sheetData>
    <row r="1" spans="1:91" s="23" customFormat="1" ht="15.75" thickBot="1" x14ac:dyDescent="0.3">
      <c r="A1" s="41"/>
      <c r="B1" s="43"/>
      <c r="C1" s="30"/>
      <c r="D1" s="30"/>
      <c r="E1" s="40"/>
      <c r="F1" s="40"/>
      <c r="G1" s="43"/>
      <c r="H1" s="40"/>
      <c r="I1" s="40" t="s">
        <v>122</v>
      </c>
      <c r="J1" s="43"/>
      <c r="K1" s="30"/>
      <c r="L1" s="30"/>
      <c r="M1" s="42"/>
      <c r="N1" s="43"/>
      <c r="O1" s="2"/>
      <c r="P1" s="2"/>
      <c r="R1" s="40" t="s">
        <v>123</v>
      </c>
      <c r="S1" s="43"/>
      <c r="T1" s="30"/>
      <c r="U1" s="121"/>
      <c r="V1" s="42"/>
      <c r="W1" s="43"/>
      <c r="X1" s="114"/>
      <c r="Y1" s="67"/>
      <c r="Z1" s="67"/>
      <c r="AA1" s="67"/>
      <c r="AB1" s="64"/>
      <c r="AC1" s="58"/>
      <c r="AD1" s="59"/>
      <c r="AE1" s="1"/>
      <c r="AF1" s="1"/>
      <c r="AG1" s="1"/>
      <c r="AH1" s="55"/>
      <c r="AI1" s="1"/>
    </row>
    <row r="2" spans="1:91" s="23" customFormat="1" ht="15.75" thickBot="1" x14ac:dyDescent="0.3">
      <c r="A2" s="41"/>
      <c r="B2" s="43"/>
      <c r="C2" s="30"/>
      <c r="D2" s="30"/>
      <c r="E2" s="40"/>
      <c r="F2" s="40"/>
      <c r="G2" s="43"/>
      <c r="H2" s="40"/>
      <c r="I2" s="78">
        <f>Variables!$A$2</f>
        <v>42612</v>
      </c>
      <c r="J2" s="79"/>
      <c r="K2" s="80"/>
      <c r="L2" s="80"/>
      <c r="M2" s="81" t="s">
        <v>8</v>
      </c>
      <c r="N2" s="82"/>
      <c r="O2" s="83"/>
      <c r="P2" s="2"/>
      <c r="R2" s="78">
        <f>Variables!$A$2</f>
        <v>42612</v>
      </c>
      <c r="S2" s="79"/>
      <c r="T2" s="80"/>
      <c r="U2" s="122"/>
      <c r="V2" s="102" t="s">
        <v>8</v>
      </c>
      <c r="W2" s="82"/>
      <c r="X2" s="115"/>
      <c r="Y2" s="67"/>
      <c r="Z2" s="67"/>
      <c r="AA2" s="67"/>
      <c r="AB2" s="64"/>
      <c r="AC2" s="58"/>
      <c r="AD2" s="59"/>
      <c r="AE2" s="1"/>
      <c r="AF2" s="1"/>
      <c r="AG2" s="1"/>
      <c r="AH2" s="55"/>
      <c r="AI2" s="1"/>
    </row>
    <row r="3" spans="1:91" s="23" customFormat="1" ht="15.75" thickBot="1" x14ac:dyDescent="0.3">
      <c r="A3" s="41"/>
      <c r="B3" s="43"/>
      <c r="C3" s="30"/>
      <c r="D3" s="30"/>
      <c r="E3" s="40"/>
      <c r="F3" s="40"/>
      <c r="G3" s="43"/>
      <c r="H3" s="40"/>
      <c r="I3" s="84" t="s">
        <v>10</v>
      </c>
      <c r="J3" s="85"/>
      <c r="K3" s="86"/>
      <c r="L3" s="86"/>
      <c r="M3" s="44" t="s">
        <v>11</v>
      </c>
      <c r="N3" s="45" t="s">
        <v>12</v>
      </c>
      <c r="O3" s="3" t="s">
        <v>13</v>
      </c>
      <c r="P3" s="2"/>
      <c r="R3" s="84" t="s">
        <v>10</v>
      </c>
      <c r="S3" s="85"/>
      <c r="T3" s="86"/>
      <c r="U3" s="123"/>
      <c r="V3" s="44" t="s">
        <v>11</v>
      </c>
      <c r="W3" s="45" t="s">
        <v>12</v>
      </c>
      <c r="X3" s="116" t="s">
        <v>13</v>
      </c>
      <c r="Y3" s="67"/>
      <c r="Z3" s="67"/>
      <c r="AA3" s="67"/>
      <c r="AB3" s="64"/>
      <c r="AC3" s="58"/>
      <c r="AD3" s="59"/>
      <c r="AE3" s="1"/>
      <c r="AF3" s="1"/>
      <c r="AG3" s="1"/>
      <c r="AH3" s="55"/>
      <c r="AI3" s="1"/>
    </row>
    <row r="4" spans="1:91" s="23" customFormat="1" ht="15.75" thickBot="1" x14ac:dyDescent="0.3">
      <c r="A4" s="41"/>
      <c r="B4" s="43"/>
      <c r="C4" s="30"/>
      <c r="D4" s="30"/>
      <c r="E4" s="40"/>
      <c r="F4" s="40"/>
      <c r="G4" s="43"/>
      <c r="H4" s="40"/>
      <c r="I4" s="87" t="s">
        <v>14</v>
      </c>
      <c r="J4" s="57">
        <f>SUM(J5:J7)</f>
        <v>144</v>
      </c>
      <c r="K4" s="46"/>
      <c r="L4" s="46"/>
      <c r="M4" s="47" t="s">
        <v>15</v>
      </c>
      <c r="N4" s="45" t="s">
        <v>15</v>
      </c>
      <c r="O4" s="3" t="s">
        <v>15</v>
      </c>
      <c r="P4" s="2"/>
      <c r="R4" s="87" t="s">
        <v>14</v>
      </c>
      <c r="S4" s="57">
        <f>SUM(S5:S7)</f>
        <v>47</v>
      </c>
      <c r="T4" s="46"/>
      <c r="U4" s="124"/>
      <c r="V4" s="47" t="s">
        <v>15</v>
      </c>
      <c r="W4" s="45" t="s">
        <v>15</v>
      </c>
      <c r="X4" s="116" t="s">
        <v>15</v>
      </c>
      <c r="Y4" s="67"/>
      <c r="Z4" s="67"/>
      <c r="AA4" s="67"/>
      <c r="AB4" s="64"/>
      <c r="AC4" s="58"/>
      <c r="AD4" s="59"/>
      <c r="AE4" s="1"/>
      <c r="AF4" s="1"/>
      <c r="AG4" s="1"/>
      <c r="AH4" s="55"/>
      <c r="AI4" s="1"/>
    </row>
    <row r="5" spans="1:91" s="23" customFormat="1" ht="15.75" thickBot="1" x14ac:dyDescent="0.3">
      <c r="A5" s="41"/>
      <c r="B5" s="43"/>
      <c r="C5" s="30"/>
      <c r="D5" s="30"/>
      <c r="E5" s="40"/>
      <c r="F5" s="40"/>
      <c r="G5" s="43"/>
      <c r="H5" s="40"/>
      <c r="I5" s="87" t="s">
        <v>17</v>
      </c>
      <c r="J5" s="57">
        <f>COUNTIFS($N$13:$N$9396,"&gt;0",$AG$13:$AG$9396,I1)</f>
        <v>136</v>
      </c>
      <c r="K5" s="46"/>
      <c r="L5" s="46"/>
      <c r="M5" s="47">
        <f>AVERAGEIFS($N$13:$N$9396,$AG$13:$AG$9396,I1)</f>
        <v>38.942647058754709</v>
      </c>
      <c r="N5" s="45">
        <f t="array" ref="N5">MIN(IF($AG$13:$AG$9396=I1,IF(ISNUMBER($N$13:$N$9396),IF($N$13:$N$9396&gt;0,$N$13:$N$9396))))</f>
        <v>32.916666670935228</v>
      </c>
      <c r="O5" s="3">
        <f t="array" ref="O5">MAX(IF($AG$13:$AG$9396=I1,IF(ISNUMBER($N$13:$N$9396),IF($N$13:$N$9396&gt;0,$N$13:$N$9396))))</f>
        <v>46.750000000465661</v>
      </c>
      <c r="P5" s="2"/>
      <c r="R5" s="87" t="s">
        <v>17</v>
      </c>
      <c r="S5" s="57">
        <f>COUNTIFS($N$13:$N$9396,"&gt;0",$AG$13:$AG$9396,R1)</f>
        <v>47</v>
      </c>
      <c r="T5" s="46"/>
      <c r="U5" s="124"/>
      <c r="V5" s="47">
        <f>AVERAGEIFS($N$13:$N$9396,$AG$13:$AG$9396,R1)</f>
        <v>15.415248227568265</v>
      </c>
      <c r="W5" s="45">
        <f t="array" ref="W5">MIN(IF($AG$13:$AG$9396=R1,IF(ISNUMBER($N$13:$N$9396),IF($N$13:$N$9396&gt;0,$N$13:$N$9396))))</f>
        <v>13.099999992409721</v>
      </c>
      <c r="X5" s="116">
        <f t="array" ref="X5">MAX(IF($AG$13:$AG$9396=R1,IF(ISNUMBER($N$13:$N$9396),IF($N$13:$N$9396&gt;0,$N$13:$N$9396))))</f>
        <v>22.349999996367842</v>
      </c>
      <c r="Y5" s="67"/>
      <c r="Z5" s="67"/>
      <c r="AA5" s="67"/>
      <c r="AB5" s="64"/>
      <c r="AC5" s="58"/>
      <c r="AD5" s="59"/>
      <c r="AE5" s="1"/>
      <c r="AF5" s="1"/>
      <c r="AG5" s="1"/>
      <c r="AH5" s="55"/>
      <c r="AI5" s="1"/>
    </row>
    <row r="6" spans="1:91" s="23" customFormat="1" ht="15.75" thickBot="1" x14ac:dyDescent="0.3">
      <c r="A6" s="41"/>
      <c r="B6" s="43"/>
      <c r="C6" s="30"/>
      <c r="D6" s="30"/>
      <c r="E6" s="40"/>
      <c r="F6" s="40"/>
      <c r="G6" s="43"/>
      <c r="H6" s="40"/>
      <c r="I6" s="88" t="s">
        <v>43</v>
      </c>
      <c r="J6" s="57">
        <f>COUNT($O$13:$O$155)</f>
        <v>0</v>
      </c>
      <c r="K6" s="46"/>
      <c r="L6" s="46"/>
      <c r="M6" s="47">
        <f>IFERROR(AVERAGE($O$13:$O$155),0)</f>
        <v>0</v>
      </c>
      <c r="N6" s="45">
        <f>MIN($O$13:$O$155)</f>
        <v>0</v>
      </c>
      <c r="O6" s="3">
        <f>MAX($O$13:$O$155)</f>
        <v>0</v>
      </c>
      <c r="P6" s="2"/>
      <c r="R6" s="88" t="s">
        <v>43</v>
      </c>
      <c r="S6" s="57">
        <f>COUNT($O$13:$O$155)</f>
        <v>0</v>
      </c>
      <c r="T6" s="46"/>
      <c r="U6" s="124"/>
      <c r="V6" s="47">
        <f>IFERROR(AVERAGE($O$13:$O$155),0)</f>
        <v>0</v>
      </c>
      <c r="W6" s="45">
        <f>MIN($O$13:$O$155)</f>
        <v>0</v>
      </c>
      <c r="X6" s="116">
        <f>MAX($O$13:$O$155)</f>
        <v>0</v>
      </c>
      <c r="Y6" s="67"/>
      <c r="Z6" s="67"/>
      <c r="AA6" s="67"/>
      <c r="AB6" s="64"/>
      <c r="AC6" s="58"/>
      <c r="AD6" s="59"/>
      <c r="AE6" s="1"/>
      <c r="AF6" s="1"/>
      <c r="AG6" s="1"/>
      <c r="AH6" s="55"/>
      <c r="AI6" s="1"/>
    </row>
    <row r="7" spans="1:91" s="23" customFormat="1" ht="15.75" thickBot="1" x14ac:dyDescent="0.3">
      <c r="A7" s="41"/>
      <c r="B7" s="43"/>
      <c r="C7" s="30"/>
      <c r="D7" s="30"/>
      <c r="E7" s="40"/>
      <c r="F7" s="40"/>
      <c r="G7" s="43"/>
      <c r="H7" s="40"/>
      <c r="I7" s="89" t="s">
        <v>9</v>
      </c>
      <c r="J7" s="57">
        <f>COUNTIFS($P$13:$P$9396,"&gt;0",$AG$13:$AG$9396,I1)</f>
        <v>8</v>
      </c>
      <c r="K7" s="46"/>
      <c r="L7" s="46"/>
      <c r="M7" s="45" t="s">
        <v>15</v>
      </c>
      <c r="N7" s="45" t="s">
        <v>15</v>
      </c>
      <c r="O7" s="3" t="s">
        <v>15</v>
      </c>
      <c r="P7" s="2"/>
      <c r="R7" s="89" t="s">
        <v>9</v>
      </c>
      <c r="S7" s="57">
        <f>COUNTIFS($P$13:$P$9396,"&gt;0",$AG$13:$AG$9396,R1)</f>
        <v>0</v>
      </c>
      <c r="T7" s="46"/>
      <c r="U7" s="124"/>
      <c r="V7" s="47" t="s">
        <v>15</v>
      </c>
      <c r="W7" s="45" t="s">
        <v>15</v>
      </c>
      <c r="X7" s="116" t="s">
        <v>15</v>
      </c>
      <c r="Y7" s="67"/>
      <c r="Z7" s="67"/>
      <c r="AA7" s="67"/>
      <c r="AB7" s="64"/>
      <c r="AC7" s="58"/>
      <c r="AD7" s="59"/>
      <c r="AE7" s="1"/>
      <c r="AF7" s="1"/>
      <c r="AG7" s="1"/>
      <c r="AH7" s="55"/>
      <c r="AI7" s="1"/>
    </row>
    <row r="8" spans="1:91" s="23" customFormat="1" ht="15.75" thickBot="1" x14ac:dyDescent="0.3">
      <c r="A8" s="41"/>
      <c r="B8" s="43"/>
      <c r="C8" s="30"/>
      <c r="D8" s="30"/>
      <c r="E8" s="40"/>
      <c r="F8" s="40"/>
      <c r="G8" s="43"/>
      <c r="H8" s="40"/>
      <c r="I8" s="87" t="s">
        <v>16</v>
      </c>
      <c r="J8" s="57">
        <f>J5</f>
        <v>136</v>
      </c>
      <c r="K8" s="46"/>
      <c r="L8" s="46"/>
      <c r="M8" s="47">
        <f>M5</f>
        <v>38.942647058754709</v>
      </c>
      <c r="N8" s="45">
        <f>N5</f>
        <v>32.916666670935228</v>
      </c>
      <c r="O8" s="3">
        <f>O5</f>
        <v>46.750000000465661</v>
      </c>
      <c r="P8" s="2"/>
      <c r="R8" s="87" t="s">
        <v>16</v>
      </c>
      <c r="S8" s="57">
        <f>S5</f>
        <v>47</v>
      </c>
      <c r="T8" s="46"/>
      <c r="U8" s="124"/>
      <c r="V8" s="47">
        <f>V5</f>
        <v>15.415248227568265</v>
      </c>
      <c r="W8" s="45">
        <f>W5</f>
        <v>13.099999992409721</v>
      </c>
      <c r="X8" s="116">
        <f>X5</f>
        <v>22.349999996367842</v>
      </c>
      <c r="Y8" s="67"/>
      <c r="Z8" s="67"/>
      <c r="AA8" s="67"/>
      <c r="AB8" s="64"/>
      <c r="AC8" s="58"/>
      <c r="AD8" s="59"/>
      <c r="AE8" s="1"/>
      <c r="AF8" s="1"/>
      <c r="AG8" s="1"/>
      <c r="AH8" s="55"/>
      <c r="AI8" s="1"/>
    </row>
    <row r="9" spans="1:91" s="23" customFormat="1" ht="15.75" thickBot="1" x14ac:dyDescent="0.3">
      <c r="A9" s="41"/>
      <c r="B9" s="43"/>
      <c r="C9" s="30"/>
      <c r="D9" s="30"/>
      <c r="E9" s="40"/>
      <c r="F9" s="40"/>
      <c r="G9" s="43"/>
      <c r="H9" s="40"/>
      <c r="I9" s="87" t="s">
        <v>19</v>
      </c>
      <c r="J9" s="71">
        <f>J8/J4</f>
        <v>0.94444444444444442</v>
      </c>
      <c r="K9" s="48"/>
      <c r="L9" s="48"/>
      <c r="M9" s="90"/>
      <c r="N9" s="43"/>
      <c r="O9" s="91"/>
      <c r="P9" s="2"/>
      <c r="R9" s="87" t="s">
        <v>19</v>
      </c>
      <c r="S9" s="71">
        <f>S8/S4</f>
        <v>1</v>
      </c>
      <c r="T9" s="48"/>
      <c r="U9" s="121"/>
      <c r="V9" s="90"/>
      <c r="W9" s="43"/>
      <c r="X9" s="117"/>
      <c r="Y9" s="67"/>
      <c r="Z9" s="67"/>
      <c r="AA9" s="67"/>
      <c r="AB9" s="64"/>
      <c r="AC9" s="58"/>
      <c r="AD9" s="59"/>
      <c r="AE9" s="1"/>
      <c r="AF9" s="1"/>
      <c r="AG9" s="1"/>
      <c r="AH9" s="55"/>
      <c r="AI9" s="1"/>
    </row>
    <row r="10" spans="1:91" s="23" customFormat="1" x14ac:dyDescent="0.25">
      <c r="A10" s="41"/>
      <c r="B10" s="43"/>
      <c r="C10" s="30"/>
      <c r="D10" s="30"/>
      <c r="E10" s="40"/>
      <c r="F10" s="40"/>
      <c r="G10" s="43"/>
      <c r="H10" s="40"/>
      <c r="I10" s="40"/>
      <c r="J10" s="43"/>
      <c r="K10" s="30"/>
      <c r="L10" s="30"/>
      <c r="M10" s="42"/>
      <c r="N10" s="43"/>
      <c r="O10" s="2"/>
      <c r="P10" s="2"/>
      <c r="U10" s="114"/>
      <c r="V10" s="103"/>
      <c r="W10" s="22"/>
      <c r="X10" s="118"/>
      <c r="Y10" s="67"/>
      <c r="Z10" s="67"/>
      <c r="AA10" s="67"/>
      <c r="AB10" s="64"/>
      <c r="AC10" s="58"/>
      <c r="AD10" s="59"/>
      <c r="AE10" s="1"/>
      <c r="AF10" s="1"/>
      <c r="AG10" s="1"/>
      <c r="AH10" s="55"/>
      <c r="AI10" s="1"/>
    </row>
    <row r="11" spans="1:91" ht="16.5" thickBot="1" x14ac:dyDescent="0.3">
      <c r="A11" s="164" t="str">
        <f>"Eagle P3 System Performance - "&amp;TEXT(Variables!A2,"yyyy-mm-dd")</f>
        <v>Eagle P3 System Performance - 2016-08-30</v>
      </c>
      <c r="B11" s="164"/>
      <c r="C11" s="164"/>
      <c r="D11" s="164"/>
      <c r="E11" s="164"/>
      <c r="F11" s="164"/>
      <c r="G11" s="164"/>
      <c r="H11" s="164"/>
      <c r="I11" s="164"/>
      <c r="J11" s="164"/>
      <c r="K11" s="164"/>
      <c r="L11" s="164"/>
      <c r="M11" s="164"/>
      <c r="N11" s="164"/>
      <c r="O11" s="164"/>
      <c r="P11" s="164"/>
      <c r="S11" s="72">
        <f>AVERAGE(S13:S100)</f>
        <v>0.97647058823529409</v>
      </c>
      <c r="V11" s="103"/>
      <c r="AE11" s="1"/>
      <c r="AF11" s="1"/>
      <c r="AG11" s="1"/>
      <c r="AH11" s="55"/>
      <c r="AI11" s="1"/>
    </row>
    <row r="12" spans="1:91" s="5" customFormat="1" ht="69" customHeight="1" thickBot="1" x14ac:dyDescent="0.3">
      <c r="A12" s="16" t="s">
        <v>0</v>
      </c>
      <c r="B12" s="20" t="s">
        <v>44</v>
      </c>
      <c r="C12" s="17" t="s">
        <v>26</v>
      </c>
      <c r="D12" s="17" t="s">
        <v>1</v>
      </c>
      <c r="E12" s="18" t="s">
        <v>2</v>
      </c>
      <c r="F12" s="18" t="s">
        <v>3</v>
      </c>
      <c r="G12" s="20" t="s">
        <v>4</v>
      </c>
      <c r="H12" s="18" t="s">
        <v>5</v>
      </c>
      <c r="I12" s="18" t="s">
        <v>6</v>
      </c>
      <c r="J12" s="20" t="s">
        <v>7</v>
      </c>
      <c r="K12" s="93" t="s">
        <v>60</v>
      </c>
      <c r="L12" s="17" t="s">
        <v>47</v>
      </c>
      <c r="M12" s="19" t="s">
        <v>8</v>
      </c>
      <c r="N12" s="17" t="s">
        <v>41</v>
      </c>
      <c r="O12" s="20" t="s">
        <v>42</v>
      </c>
      <c r="P12" s="20" t="s">
        <v>18</v>
      </c>
      <c r="Q12" s="21" t="s">
        <v>46</v>
      </c>
      <c r="R12" s="21" t="s">
        <v>24</v>
      </c>
      <c r="S12" s="21" t="s">
        <v>69</v>
      </c>
      <c r="T12" s="56" t="s">
        <v>70</v>
      </c>
      <c r="U12" s="125" t="s">
        <v>71</v>
      </c>
      <c r="V12" s="105" t="s">
        <v>45</v>
      </c>
      <c r="W12" s="53" t="s">
        <v>23</v>
      </c>
      <c r="X12" s="119" t="s">
        <v>48</v>
      </c>
      <c r="Y12" s="68" t="s">
        <v>20</v>
      </c>
      <c r="Z12" s="68" t="s">
        <v>21</v>
      </c>
      <c r="AA12" s="68" t="s">
        <v>22</v>
      </c>
      <c r="AB12" s="65" t="s">
        <v>39</v>
      </c>
      <c r="AC12" s="61" t="s">
        <v>40</v>
      </c>
      <c r="AD12" s="60" t="s">
        <v>94</v>
      </c>
      <c r="AE12" s="98" t="s">
        <v>101</v>
      </c>
      <c r="AF12" s="95" t="s">
        <v>106</v>
      </c>
      <c r="AG12" s="4" t="s">
        <v>124</v>
      </c>
      <c r="AH12" s="101" t="s">
        <v>127</v>
      </c>
      <c r="AI12" s="148" t="s">
        <v>225</v>
      </c>
      <c r="AJ12" s="53" t="s">
        <v>226</v>
      </c>
      <c r="AK12" s="53" t="s">
        <v>198</v>
      </c>
      <c r="AL12" s="53" t="s">
        <v>227</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9" t="s">
        <v>389</v>
      </c>
      <c r="B13" s="7">
        <v>4011</v>
      </c>
      <c r="C13" s="24" t="s">
        <v>113</v>
      </c>
      <c r="D13" s="24" t="s">
        <v>575</v>
      </c>
      <c r="E13" s="15">
        <v>42612.129965277774</v>
      </c>
      <c r="F13" s="15">
        <v>42612.135625000003</v>
      </c>
      <c r="G13" s="7">
        <v>1</v>
      </c>
      <c r="H13" s="15" t="s">
        <v>233</v>
      </c>
      <c r="I13" s="15">
        <v>42612.160752314812</v>
      </c>
      <c r="J13" s="7">
        <v>0</v>
      </c>
      <c r="K13" s="132" t="str">
        <f t="shared" ref="K13:K76" si="0">IF(ISEVEN(B13),(B13-1)&amp;"/"&amp;B13,B13&amp;"/"&amp;(B13+1))</f>
        <v>4011/4012</v>
      </c>
      <c r="L13" s="24" t="str">
        <f>VLOOKUP(A13,'Trips&amp;Operators'!$C$1:$E$10000,3,FALSE)</f>
        <v>KILLION</v>
      </c>
      <c r="M13" s="6">
        <f t="shared" ref="M13:M76" si="1">I13-F13</f>
        <v>2.512731480965158E-2</v>
      </c>
      <c r="N13" s="7">
        <f>24*60*SUM($M13:$M13)</f>
        <v>36.183333325898275</v>
      </c>
      <c r="O13" s="7"/>
      <c r="P13" s="7"/>
      <c r="Q13" s="25"/>
      <c r="R13" s="25"/>
      <c r="S13" s="37">
        <f t="shared" ref="S13:S18" si="2">SUM(U13:U13)/IF(AG13="EC",12,1)</f>
        <v>1</v>
      </c>
      <c r="T13" s="52" t="str">
        <f t="shared" ref="T13:T76" si="3">IF(ISEVEN(LEFT(AD13,4)),"Southbound","NorthBound")</f>
        <v>NorthBound</v>
      </c>
      <c r="U13" s="126">
        <f>IF(AG13="EC",COUNTIFS(Variables!$M$2:$M$19,IF(T13="NorthBound","&gt;=","&lt;=")&amp;Y13,Variables!$M$2:$M$19,IF(T13="NorthBound","&lt;=","&gt;=")&amp;Z13),COUNTIFS(Variables!$P$2:$P$19,IF(T13="NorthBound","&gt;=","&lt;=")&amp;Y13,Variables!$P$2:$P$19,IF(T13="NorthBound","&lt;=","&gt;=")&amp;Z13))</f>
        <v>12</v>
      </c>
      <c r="V13" s="106" t="str">
        <f t="shared" ref="V13:V76"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13&amp;"%22')),sort:!(Time,asc))"</f>
        <v>https://search-rtdc-monitor-bjffxe2xuh6vdkpspy63sjmuny.us-east-1.es.amazonaws.com/_plugin/kibana/#/discover/Steve-Slow-Train-Analysis-(2080s-and-2083s)?_g=(refreshInterval:(display:Off,section:0,value:0),time:(from:'2016-08-30 02:07:09-0600',mode:absolute,to:'2016-08-30 04:51: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3" s="54" t="str">
        <f t="shared" ref="W13:W76" si="5">IF(AA13&lt;IF(AG13="EC",23,5.65),"Y","N")</f>
        <v>N</v>
      </c>
      <c r="X13" s="120" t="e">
        <f>VALUE(LEFT(AD13,4))-VALUE(LEFT(AD12,4))</f>
        <v>#VALUE!</v>
      </c>
      <c r="Y13" s="69">
        <f t="shared" ref="Y13:Y76" si="6">RIGHT(D13,LEN(D13)-4)/10000</f>
        <v>8.0100000000000005E-2</v>
      </c>
      <c r="Z13" s="69">
        <f t="shared" ref="Z13:Z76" si="7">RIGHT(H13,LEN(H13)-4)/10000</f>
        <v>23.328199999999999</v>
      </c>
      <c r="AA13" s="69">
        <f t="shared" ref="AA13:AA76" si="8">ABS(Z13-Y13)</f>
        <v>23.248099999999997</v>
      </c>
      <c r="AB13" s="66" t="e">
        <f>VLOOKUP(A13,Enforcements!$C$7:$J$21,8,0)</f>
        <v>#N/A</v>
      </c>
      <c r="AC13" s="62" t="e">
        <f>VLOOKUP(A13,Enforcements!$C$7:$E$21,3,0)</f>
        <v>#N/A</v>
      </c>
      <c r="AD13" s="63" t="str">
        <f t="shared" ref="AD13:AD76" si="9">IF(LEN(A13)=6,"0"&amp;A13,A13)</f>
        <v>0101-30</v>
      </c>
      <c r="AE13" s="99" t="str">
        <f t="shared" ref="AE13:AE76" si="10">"aws s3 cp "&amp;s3_bucket&amp;"/RTDC"&amp;B13&amp;"/"&amp;TEXT(F13,"YYYY-MM-DD")&amp;"/ "&amp;search_path&amp;"\RTDC"&amp;B13&amp;"\"&amp;TEXT(F13,"YYYY-MM-DD")&amp;" --recursive &amp; """&amp;walkandungz&amp;""" "&amp;search_path&amp;"\RTDC"&amp;B13&amp;"\"&amp;TEXT(F13,"YYYY-MM-DD")
&amp;" &amp; "&amp;"aws s3 cp "&amp;s3_bucket&amp;"/RTDC"&amp;B13&amp;"/"&amp;TEXT(F13+1,"YYYY-MM-DD")&amp;"/ "&amp;search_path&amp;"\RTDC"&amp;B13&amp;"\"&amp;TEXT(F13+1,"YYYY-MM-DD")&amp;" --recursive &amp; """&amp;walkandungz&amp;""" "&amp;search_path&amp;"\RTDC"&amp;B13&amp;"\"&amp;TEXT(F13+1,"YYYY-MM-DD")</f>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3" s="96" t="str">
        <f t="shared" ref="AF13:AF76" si="11">astrogrep_path&amp;" /spath="&amp;search_path&amp;" /stypes=""*"&amp;B13&amp;"*"&amp;TEXT(I13-utc_offset/24,"YYYYMMDD")&amp;"*"" /stext="" "&amp;TEXT(I13-utc_offset/24,"HH")&amp;search_regexp&amp;""" /e /r /s"</f>
        <v>"C:\Program Files (x86)\AstroGrep\AstroGrep.exe" /spath="%USERPROFILE%\AppData\Local\Temp\OnboardLogs" /stypes="*4011*20160830*" /stext=" 09:.+((SYSTEM_STATE.+slice.+state.+changed )|(ment ac)|(system.+state.+changed )|(\|lc)|(penalty)|(\[timeout)|(PRM\|1\|D)|(kpr)|(kdp))" /e /r /s</v>
      </c>
      <c r="AG13" s="1" t="str">
        <f t="shared" ref="AG13:AG76" si="12">IFERROR(IF(VALUE(LEFT(AD13,2))&lt;=2,"EC",IF(OR(VALUE(LEFT(AD13,2))=8,VALUE(LEFT(AD13,2))=18),"NW","Other")),"Other")</f>
        <v>EC</v>
      </c>
      <c r="AH13" s="100" t="str">
        <f t="shared" ref="AH13" si="13">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101-30 --locoid 4011 --swversion DE.1.0.7.0 --startMP 204:801 --initTime 2016-08-30T03:07:09 --startdatetime 2016-08-30T03:15:18 --delay 1 --endMP 204:233282 --enddatetime 2016-08-30T03:51:29 --enforcementcount 0 &gt;&gt;C:\Users\stu\Documents\GitHub\eaglep3-reporting\EC\2016-08-30-refined-times.txt</v>
      </c>
      <c r="AI13" s="149" t="str">
        <f t="shared" ref="AI13" si="14">"echo {""issue"":{""subject"":"""&amp;R13&amp;""",""project_id"":79,""tracker_id"":40,""status_id"":"&amp;redmine_status&amp;",""priority_id"":"&amp;redmine_priority&amp;",""assigned_to_id"":"&amp;redmine_assignee&amp;",""start_date"":"""&amp;TEXT(I13,"YYYY-mm-dd")&amp;""",""description"":"""&amp;AJ13&amp;""",""custom_fields"":[{""id"":1,""name"":""Subdivision"",""value"":"""&amp;AG13&amp;"""},{""id"":4,""name"":""Milepost"",""value"":"""&amp;AA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{"issue":{"subject":"","project_id":79,"tracker_id":40,"status_id":1,"priority_id":2,"assigned_to_id":23,"start_date":"2016-08-30","description":"","custom_fields":[{"id":1,"name":"Subdivision","value":"EC"},{"id":4,"name":"Milepost","value":"23.2481"},{"id":17,"name":"Train ID","value":"101-30"},{"id":16,"name":"Locomotive ID","value":"4011"},{"id":130,"name":"Impact","value":""},{"id":150,"name":"Time of Event (Mountain Time)","value":"03:51:29"},{"id":151,"name":"Denver Issue ID","value":""},{"id":178,"name":"Operational Impact","value":"Yes"},{"id":179,"name":"Denver Segment Assigned","value":""}]}} | curl -X POST -H "Content-Type: application/json" -H "X-Redmine-API-Key: d6333d4a04012a730768444271f8ca06482dae87" https://secure.xorail.net/redmine/issues.json --data @-</v>
      </c>
      <c r="AJ13" s="55"/>
      <c r="AK13" s="55"/>
      <c r="AL13" s="55"/>
    </row>
    <row r="14" spans="1:91" s="1" customFormat="1" x14ac:dyDescent="0.25">
      <c r="A14" s="39" t="s">
        <v>392</v>
      </c>
      <c r="B14" s="7">
        <v>4041</v>
      </c>
      <c r="C14" s="24" t="s">
        <v>113</v>
      </c>
      <c r="D14" s="24" t="s">
        <v>576</v>
      </c>
      <c r="E14" s="15">
        <v>42612.167881944442</v>
      </c>
      <c r="F14" s="15">
        <v>42612.174537037034</v>
      </c>
      <c r="G14" s="7">
        <v>1</v>
      </c>
      <c r="H14" s="15" t="s">
        <v>132</v>
      </c>
      <c r="I14" s="15">
        <v>42612.201099537036</v>
      </c>
      <c r="J14" s="7">
        <v>0</v>
      </c>
      <c r="K14" s="132" t="str">
        <f t="shared" si="0"/>
        <v>4041/4042</v>
      </c>
      <c r="L14" s="24" t="str">
        <f>VLOOKUP(A14,'Trips&amp;Operators'!$C$1:$E$10000,3,FALSE)</f>
        <v>KILLION</v>
      </c>
      <c r="M14" s="6">
        <f t="shared" si="1"/>
        <v>2.6562500002910383E-2</v>
      </c>
      <c r="N14" s="7">
        <f>24*60*SUM($M14:$M14)</f>
        <v>38.250000004190952</v>
      </c>
      <c r="O14" s="7"/>
      <c r="P14" s="7"/>
      <c r="Q14" s="25"/>
      <c r="R14" s="25"/>
      <c r="S14" s="37">
        <f t="shared" si="2"/>
        <v>1</v>
      </c>
      <c r="T14" s="52" t="str">
        <f t="shared" si="3"/>
        <v>Southbound</v>
      </c>
      <c r="U14" s="126">
        <f>IF(AG14="EC",COUNTIFS(Variables!$M$2:$M$19,IF(T14="NorthBound","&gt;=","&lt;=")&amp;Y14,Variables!$M$2:$M$19,IF(T14="NorthBound","&lt;=","&gt;=")&amp;Z14),COUNTIFS(Variables!$P$2:$P$19,IF(T14="NorthBound","&gt;=","&lt;=")&amp;Y14,Variables!$P$2:$P$19,IF(T14="NorthBound","&lt;=","&gt;=")&amp;Z14))</f>
        <v>12</v>
      </c>
      <c r="V14" s="106" t="str">
        <f t="shared" si="4"/>
        <v>https://search-rtdc-monitor-bjffxe2xuh6vdkpspy63sjmuny.us-east-1.es.amazonaws.com/_plugin/kibana/#/discover/Steve-Slow-Train-Analysis-(2080s-and-2083s)?_g=(refreshInterval:(display:Off,section:0,value:0),time:(from:'2016-08-30 03:01:45-0600',mode:absolute,to:'2016-08-30 05:49: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14" s="54" t="str">
        <f t="shared" si="5"/>
        <v>N</v>
      </c>
      <c r="X14" s="120">
        <f>VALUE(LEFT(AD14,4))-VALUE(LEFT(AD13,4))</f>
        <v>1</v>
      </c>
      <c r="Y14" s="69">
        <f t="shared" si="6"/>
        <v>23.263500000000001</v>
      </c>
      <c r="Z14" s="69">
        <f t="shared" si="7"/>
        <v>1.47E-2</v>
      </c>
      <c r="AA14" s="69">
        <f t="shared" si="8"/>
        <v>23.248799999999999</v>
      </c>
      <c r="AB14" s="66" t="e">
        <f>VLOOKUP(A14,Enforcements!$C$7:$J$21,8,0)</f>
        <v>#N/A</v>
      </c>
      <c r="AC14" s="62" t="e">
        <f>VLOOKUP(A14,Enforcements!$C$7:$E$21,3,0)</f>
        <v>#N/A</v>
      </c>
      <c r="AD14" s="63" t="str">
        <f t="shared" si="9"/>
        <v>0102-30</v>
      </c>
      <c r="AE14" s="99" t="str">
        <f t="shared" si="1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14" s="96" t="str">
        <f t="shared" si="11"/>
        <v>"C:\Program Files (x86)\AstroGrep\AstroGrep.exe" /spath="%USERPROFILE%\AppData\Local\Temp\OnboardLogs" /stypes="*4041*20160830*" /stext=" 10:.+((SYSTEM_STATE.+slice.+state.+changed )|(ment ac)|(system.+state.+changed )|(\|lc)|(penalty)|(\[timeout)|(PRM\|1\|D)|(kpr)|(kdp))" /e /r /s</v>
      </c>
      <c r="AG14" s="1" t="str">
        <f t="shared" si="12"/>
        <v>EC</v>
      </c>
      <c r="AH14" s="100" t="str">
        <f t="shared" ref="AH14:AH78" si="15">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102-30 --locoid 4041 --swversion DE.1.0.7.0 --startMP 204:232635 --initTime 2016-08-30T04:01:45 --startdatetime 2016-08-30T04:11:20 --delay 1 --endMP 204:147 --enddatetime 2016-08-30T04:49:35 --enforcementcount 0 &gt;&gt;C:\Users\stu\Documents\GitHub\eaglep3-reporting\EC\2016-08-30-refined-times.txt</v>
      </c>
      <c r="AI14" s="149" t="str">
        <f t="shared" ref="AI14:AI78" si="16">"echo {""issue"":{""subject"":"""&amp;R14&amp;""",""project_id"":79,""tracker_id"":40,""status_id"":"&amp;redmine_status&amp;",""priority_id"":"&amp;redmine_priority&amp;",""assigned_to_id"":"&amp;redmine_assignee&amp;",""start_date"":"""&amp;TEXT(I14,"YYYY-mm-dd")&amp;""",""description"":"""&amp;AJ14&amp;""",""custom_fields"":[{""id"":1,""name"":""Subdivision"",""value"":"""&amp;AG14&amp;"""},{""id"":4,""name"":""Milepost"",""value"":"""&amp;AA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{"issue":{"subject":"","project_id":79,"tracker_id":40,"status_id":1,"priority_id":2,"assigned_to_id":23,"start_date":"2016-08-30","description":"","custom_fields":[{"id":1,"name":"Subdivision","value":"EC"},{"id":4,"name":"Milepost","value":"23.2488"},{"id":17,"name":"Train ID","value":"102-30"},{"id":16,"name":"Locomotive ID","value":"4041"},{"id":130,"name":"Impact","value":""},{"id":150,"name":"Time of Event (Mountain Time)","value":"04:49:35"},{"id":151,"name":"Denver Issue ID","value":""},{"id":178,"name":"Operational Impact","value":"Yes"},{"id":179,"name":"Denver Segment Assigned","value":""}]}} | curl -X POST -H "Content-Type: application/json" -H "X-Redmine-API-Key: d6333d4a04012a730768444271f8ca06482dae87" https://secure.xorail.net/redmine/issues.json --data @-</v>
      </c>
      <c r="AJ14" s="55"/>
      <c r="AK14" s="55"/>
      <c r="AL14" s="55"/>
    </row>
    <row r="15" spans="1:91" s="1" customFormat="1" x14ac:dyDescent="0.25">
      <c r="A15" s="39" t="s">
        <v>727</v>
      </c>
      <c r="B15" s="7"/>
      <c r="C15" s="24"/>
      <c r="D15" s="24"/>
      <c r="E15" s="15"/>
      <c r="F15" s="15"/>
      <c r="G15" s="7"/>
      <c r="H15" s="15"/>
      <c r="I15" s="15"/>
      <c r="J15" s="7">
        <v>0</v>
      </c>
      <c r="K15" s="132" t="str">
        <f t="shared" si="0"/>
        <v>-1/</v>
      </c>
      <c r="L15" s="24" t="e">
        <f>VLOOKUP(A15,'Trips&amp;Operators'!$C$1:$E$10000,3,FALSE)</f>
        <v>#N/A</v>
      </c>
      <c r="M15" s="6">
        <f t="shared" si="1"/>
        <v>0</v>
      </c>
      <c r="N15" s="7"/>
      <c r="O15" s="7"/>
      <c r="P15" s="7">
        <v>1</v>
      </c>
      <c r="Q15" s="25"/>
      <c r="R15" s="25" t="s">
        <v>728</v>
      </c>
      <c r="S15" s="37">
        <f t="shared" si="2"/>
        <v>0</v>
      </c>
      <c r="T15" s="52" t="str">
        <f t="shared" si="3"/>
        <v>NorthBound</v>
      </c>
      <c r="U15" s="126">
        <f>IF(AG15="EC",COUNTIFS(Variables!$M$2:$M$19,IF(T15="NorthBound","&gt;=","&lt;=")&amp;Y15,Variables!$M$2:$M$19,IF(T15="NorthBound","&lt;=","&gt;=")&amp;Z15),COUNTIFS(Variables!$P$2:$P$19,IF(T15="NorthBound","&gt;=","&lt;=")&amp;Y15,Variables!$P$2:$P$19,IF(T15="NorthBound","&lt;=","&gt;=")&amp;Z15))</f>
        <v>0</v>
      </c>
      <c r="V15" s="106" t="e">
        <f t="shared" si="4"/>
        <v>#VALUE!</v>
      </c>
      <c r="W15" s="54" t="e">
        <f t="shared" si="5"/>
        <v>#VALUE!</v>
      </c>
      <c r="X15" s="120">
        <f t="shared" ref="X15:X18" si="17">VALUE(LEFT(AD15,4))-VALUE(LEFT(AD14,4))</f>
        <v>1</v>
      </c>
      <c r="Y15" s="69" t="e">
        <f t="shared" si="6"/>
        <v>#VALUE!</v>
      </c>
      <c r="Z15" s="69" t="e">
        <f t="shared" si="7"/>
        <v>#VALUE!</v>
      </c>
      <c r="AA15" s="69" t="e">
        <f t="shared" si="8"/>
        <v>#VALUE!</v>
      </c>
      <c r="AB15" s="66" t="e">
        <f>VLOOKUP(A15,Enforcements!$C$7:$J$21,8,0)</f>
        <v>#N/A</v>
      </c>
      <c r="AC15" s="62" t="e">
        <f>VLOOKUP(A15,Enforcements!$C$7:$E$21,3,0)</f>
        <v>#N/A</v>
      </c>
      <c r="AD15" s="63" t="str">
        <f t="shared" si="9"/>
        <v>0103-30</v>
      </c>
      <c r="AE15" s="99" t="str">
        <f t="shared" si="10"/>
        <v>aws s3 cp s3://rtdc.mdm.uploadarchive/RTDC/1900-01-00/ "%USERPROFILE%\AppData\Local\Temp\OnboardLogs"\RTDC\1900-01-00 --recursive &amp; "%USERPROFILE%\Documents\GitHub\mrs-test-scripts\Headless Mode &amp; Sideloading\WalkAndUnGZ.bat" "%USERPROFILE%\AppData\Local\Temp\OnboardLogs"\RTDC\1900-01-00 &amp; aws s3 cp s3://rtdc.mdm.uploadarchive/RTDC/1900-01-01/ "%USERPROFILE%\AppData\Local\Temp\OnboardLogs"\RTDC\1900-01-01 --recursive &amp; "%USERPROFILE%\Documents\GitHub\mrs-test-scripts\Headless Mode &amp; Sideloading\WalkAndUnGZ.bat" "%USERPROFILE%\AppData\Local\Temp\OnboardLogs"\RTDC\1900-01-01</v>
      </c>
      <c r="AF15" s="96" t="str">
        <f t="shared" si="11"/>
        <v>"C:\Program Files (x86)\AstroGrep\AstroGrep.exe" /spath="%USERPROFILE%\AppData\Local\Temp\OnboardLogs" /stypes="**19000100*" /stext=" 06:.+((SYSTEM_STATE.+slice.+state.+changed )|(ment ac)|(system.+state.+changed )|(\|lc)|(penalty)|(\[timeout)|(PRM\|1\|D)|(kpr)|(kdp))" /e /r /s</v>
      </c>
      <c r="AG15" s="1" t="str">
        <f t="shared" si="12"/>
        <v>EC</v>
      </c>
      <c r="AH15" s="100" t="str">
        <f t="shared" ref="AH15" si="18">refinertdcruntimes&amp;" --tripid "&amp;A15&amp;" --locoid "&amp;B15&amp;" --swversion "&amp;C15&amp;" --startMP "&amp;D15&amp;" --initTime "&amp;TEXT(E15,"yyyy-mm-ddTHH:MM:SS")&amp;" --startdatetime "&amp;TEXT(F15,"yyyy-mm-ddTHH:MM:SS")&amp;" --delay "&amp;G15&amp;" --endMP "&amp;H15&amp;" --enddatetime "&amp;TEXT(I15,"yyyy-mm-ddTHH:MM:SS")&amp;" --enforcementcount "&amp;J15&amp;IF(outputrefinedruntimes," &gt;&gt;"&amp;RefinedRTDCRunTimesOutputFile,"")</f>
        <v>"%USERPROFILE%\Documents\GitHub\eaglep3\Utilities\RefineRTDCRunTimes.py" --tripid 103-30 --locoid  --swversion  --startMP  --initTime 1900-01-00T00:00:00 --startdatetime 1900-01-00T00:00:00 --delay  --endMP  --enddatetime 1900-01-00T00:00:00 --enforcementcount 0 &gt;&gt;C:\Users\stu\Documents\GitHub\eaglep3-reporting\EC\2016-08-30-refined-times.txt</v>
      </c>
      <c r="AI15" s="149" t="e">
        <f t="shared" ref="AI15" si="19">"echo {""issue"":{""subject"":"""&amp;R15&amp;""",""project_id"":79,""tracker_id"":40,""status_id"":"&amp;redmine_status&amp;",""priority_id"":"&amp;redmine_priority&amp;",""assigned_to_id"":"&amp;redmine_assignee&amp;",""start_date"":"""&amp;TEXT(I15,"YYYY-mm-dd")&amp;""",""description"":"""&amp;AJ15&amp;""",""custom_fields"":[{""id"":1,""name"":""Subdivision"",""value"":"""&amp;AG15&amp;"""},{""id"":4,""name"":""Milepost"",""value"":"""&amp;AA15&amp;"""},{""id"":17,""name"":""Train ID"",""value"":"""&amp;A15&amp;"""},{""id"":16,""name"":""Locomotive ID"",""value"":"""&amp;B15&amp;"""},{""id"":130,""name"":""Impact"",""value"":"""&amp;AK15&amp;"""},{""id"":150,""name"":""Time of Event (Mountain Time)"",""value"":"""&amp;TEXT(I15,"hh:mm:ss")&amp;"""},{""id"":151,""name"":""Denver Issue ID"",""value"":"""&amp;"""},{""id"":178,""name"":""Operational Impact"",""value"":"""&amp;redmine_op_impact&amp;"""},{""id"":179,""name"":""Denver Segment Assigned"",""value"":"""&amp;AL15&amp;"""}]}}"&amp;" | curl -X POST -H ""Content-Type: application/json"" -H ""X-Redmine-API-Key: "&amp;redm_api_key&amp;""" "&amp;redm_url&amp;" --data @-"</f>
        <v>#VALUE!</v>
      </c>
      <c r="AJ15" s="55"/>
      <c r="AK15" s="55"/>
      <c r="AL15" s="55"/>
    </row>
    <row r="16" spans="1:91" s="1" customFormat="1" x14ac:dyDescent="0.25">
      <c r="A16" s="39" t="s">
        <v>394</v>
      </c>
      <c r="B16" s="7">
        <v>4037</v>
      </c>
      <c r="C16" s="24" t="s">
        <v>113</v>
      </c>
      <c r="D16" s="24" t="s">
        <v>577</v>
      </c>
      <c r="E16" s="15">
        <v>42612.192395833335</v>
      </c>
      <c r="F16" s="15">
        <v>42612.195416666669</v>
      </c>
      <c r="G16" s="7">
        <v>1</v>
      </c>
      <c r="H16" s="15" t="s">
        <v>578</v>
      </c>
      <c r="I16" s="15">
        <v>42612.226157407407</v>
      </c>
      <c r="J16" s="7">
        <v>0</v>
      </c>
      <c r="K16" s="132" t="str">
        <f t="shared" si="0"/>
        <v>4037/4038</v>
      </c>
      <c r="L16" s="24" t="str">
        <f>VLOOKUP(A16,'Trips&amp;Operators'!$C$1:$E$10000,3,FALSE)</f>
        <v>ARVIDSON</v>
      </c>
      <c r="M16" s="6">
        <f t="shared" si="1"/>
        <v>3.0740740738110617E-2</v>
      </c>
      <c r="N16" s="7">
        <f>24*60*SUM($M16:$M16)</f>
        <v>44.266666662879288</v>
      </c>
      <c r="O16" s="7"/>
      <c r="P16" s="7"/>
      <c r="Q16" s="25"/>
      <c r="R16" s="25"/>
      <c r="S16" s="37">
        <f t="shared" si="2"/>
        <v>1</v>
      </c>
      <c r="T16" s="52" t="str">
        <f t="shared" si="3"/>
        <v>Southbound</v>
      </c>
      <c r="U16" s="126">
        <f>IF(AG16="EC",COUNTIFS(Variables!$M$2:$M$19,IF(T16="NorthBound","&gt;=","&lt;=")&amp;Y16,Variables!$M$2:$M$19,IF(T16="NorthBound","&lt;=","&gt;=")&amp;Z16),COUNTIFS(Variables!$P$2:$P$19,IF(T16="NorthBound","&gt;=","&lt;=")&amp;Y16,Variables!$P$2:$P$19,IF(T16="NorthBound","&lt;=","&gt;=")&amp;Z16))</f>
        <v>12</v>
      </c>
      <c r="V16" s="106" t="str">
        <f t="shared" si="4"/>
        <v>https://search-rtdc-monitor-bjffxe2xuh6vdkpspy63sjmuny.us-east-1.es.amazonaws.com/_plugin/kibana/#/discover/Steve-Slow-Train-Analysis-(2080s-and-2083s)?_g=(refreshInterval:(display:Off,section:0,value:0),time:(from:'2016-08-30 03:37:03-0600',mode:absolute,to:'2016-08-30 06:25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16" s="54" t="str">
        <f t="shared" si="5"/>
        <v>N</v>
      </c>
      <c r="X16" s="120">
        <f t="shared" si="17"/>
        <v>1</v>
      </c>
      <c r="Y16" s="69">
        <f t="shared" si="6"/>
        <v>23.267900000000001</v>
      </c>
      <c r="Z16" s="69">
        <f t="shared" si="7"/>
        <v>1.2699999999999999E-2</v>
      </c>
      <c r="AA16" s="69">
        <f t="shared" si="8"/>
        <v>23.255200000000002</v>
      </c>
      <c r="AB16" s="66" t="e">
        <f>VLOOKUP(A16,Enforcements!$C$7:$J$21,8,0)</f>
        <v>#N/A</v>
      </c>
      <c r="AC16" s="62" t="e">
        <f>VLOOKUP(A16,Enforcements!$C$7:$E$21,3,0)</f>
        <v>#N/A</v>
      </c>
      <c r="AD16" s="63" t="str">
        <f t="shared" si="9"/>
        <v>0104-30</v>
      </c>
      <c r="AE16" s="99" t="str">
        <f t="shared" si="10"/>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16" s="96" t="str">
        <f t="shared" si="11"/>
        <v>"C:\Program Files (x86)\AstroGrep\AstroGrep.exe" /spath="%USERPROFILE%\AppData\Local\Temp\OnboardLogs" /stypes="*4037*20160830*" /stext=" 11:.+((SYSTEM_STATE.+slice.+state.+changed )|(ment ac)|(system.+state.+changed )|(\|lc)|(penalty)|(\[timeout)|(PRM\|1\|D)|(kpr)|(kdp))" /e /r /s</v>
      </c>
      <c r="AG16" s="1" t="str">
        <f t="shared" si="12"/>
        <v>EC</v>
      </c>
      <c r="AH16" s="100" t="str">
        <f t="shared" si="15"/>
        <v>"%USERPROFILE%\Documents\GitHub\eaglep3\Utilities\RefineRTDCRunTimes.py" --tripid 104-30 --locoid 4037 --swversion DE.1.0.7.0 --startMP 204:232679 --initTime 2016-08-30T04:37:03 --startdatetime 2016-08-30T04:41:24 --delay 1 --endMP 204:127 --enddatetime 2016-08-30T05:25:40 --enforcementcount 0 &gt;&gt;C:\Users\stu\Documents\GitHub\eaglep3-reporting\EC\2016-08-30-refined-times.txt</v>
      </c>
      <c r="AI16" s="149" t="str">
        <f t="shared" si="16"/>
        <v>echo {"issue":{"subject":"","project_id":79,"tracker_id":40,"status_id":1,"priority_id":2,"assigned_to_id":23,"start_date":"2016-08-30","description":"","custom_fields":[{"id":1,"name":"Subdivision","value":"EC"},{"id":4,"name":"Milepost","value":"23.2552"},{"id":17,"name":"Train ID","value":"104-30"},{"id":16,"name":"Locomotive ID","value":"4037"},{"id":130,"name":"Impact","value":""},{"id":150,"name":"Time of Event (Mountain Time)","value":"05:25:40"},{"id":151,"name":"Denver Issue ID","value":""},{"id":178,"name":"Operational Impact","value":"Yes"},{"id":179,"name":"Denver Segment Assigned","value":""}]}} | curl -X POST -H "Content-Type: application/json" -H "X-Redmine-API-Key: d6333d4a04012a730768444271f8ca06482dae87" https://secure.xorail.net/redmine/issues.json --data @-</v>
      </c>
      <c r="AJ16" s="55"/>
      <c r="AK16" s="55"/>
      <c r="AL16" s="55"/>
    </row>
    <row r="17" spans="1:38" s="1" customFormat="1" x14ac:dyDescent="0.25">
      <c r="A17" s="39" t="s">
        <v>390</v>
      </c>
      <c r="B17" s="7">
        <v>4020</v>
      </c>
      <c r="C17" s="24" t="s">
        <v>113</v>
      </c>
      <c r="D17" s="24" t="s">
        <v>579</v>
      </c>
      <c r="E17" s="15">
        <v>42612.163657407407</v>
      </c>
      <c r="F17" s="15">
        <v>42612.177488425928</v>
      </c>
      <c r="G17" s="7">
        <v>1</v>
      </c>
      <c r="H17" s="15" t="s">
        <v>281</v>
      </c>
      <c r="I17" s="15">
        <v>42612.205011574071</v>
      </c>
      <c r="J17" s="7">
        <v>0</v>
      </c>
      <c r="K17" s="132" t="str">
        <f t="shared" si="0"/>
        <v>4019/4020</v>
      </c>
      <c r="L17" s="24" t="str">
        <f>VLOOKUP(A17,'Trips&amp;Operators'!$C$1:$E$10000,3,FALSE)</f>
        <v>SMITH</v>
      </c>
      <c r="M17" s="6">
        <f t="shared" si="1"/>
        <v>2.7523148142790888E-2</v>
      </c>
      <c r="N17" s="7">
        <f>24*60*SUM($M17:$M17)</f>
        <v>39.633333325618878</v>
      </c>
      <c r="O17" s="7"/>
      <c r="P17" s="7"/>
      <c r="Q17" s="25"/>
      <c r="R17" s="25"/>
      <c r="S17" s="37">
        <f t="shared" si="2"/>
        <v>1</v>
      </c>
      <c r="T17" s="52" t="str">
        <f t="shared" si="3"/>
        <v>NorthBound</v>
      </c>
      <c r="U17" s="126">
        <f>IF(AG17="EC",COUNTIFS(Variables!$M$2:$M$19,IF(T17="NorthBound","&gt;=","&lt;=")&amp;Y17,Variables!$M$2:$M$19,IF(T17="NorthBound","&lt;=","&gt;=")&amp;Z17),COUNTIFS(Variables!$P$2:$P$19,IF(T17="NorthBound","&gt;=","&lt;=")&amp;Y17,Variables!$P$2:$P$19,IF(T17="NorthBound","&lt;=","&gt;=")&amp;Z17))</f>
        <v>12</v>
      </c>
      <c r="V17" s="106" t="str">
        <f t="shared" si="4"/>
        <v>https://search-rtdc-monitor-bjffxe2xuh6vdkpspy63sjmuny.us-east-1.es.amazonaws.com/_plugin/kibana/#/discover/Steve-Slow-Train-Analysis-(2080s-and-2083s)?_g=(refreshInterval:(display:Off,section:0,value:0),time:(from:'2016-08-30 02:55:40-0600',mode:absolute,to:'2016-08-30 05:55: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7" s="54" t="str">
        <f t="shared" si="5"/>
        <v>N</v>
      </c>
      <c r="X17" s="120">
        <f t="shared" si="17"/>
        <v>1</v>
      </c>
      <c r="Y17" s="69">
        <f t="shared" si="6"/>
        <v>7.4099999999999999E-2</v>
      </c>
      <c r="Z17" s="69">
        <f t="shared" si="7"/>
        <v>23.328900000000001</v>
      </c>
      <c r="AA17" s="69">
        <f t="shared" si="8"/>
        <v>23.254799999999999</v>
      </c>
      <c r="AB17" s="66" t="e">
        <f>VLOOKUP(A17,Enforcements!$C$7:$J$21,8,0)</f>
        <v>#N/A</v>
      </c>
      <c r="AC17" s="62" t="e">
        <f>VLOOKUP(A17,Enforcements!$C$7:$E$21,3,0)</f>
        <v>#N/A</v>
      </c>
      <c r="AD17" s="63" t="str">
        <f t="shared" si="9"/>
        <v>0105-30</v>
      </c>
      <c r="AE17" s="99" t="str">
        <f t="shared" si="1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7" s="96" t="str">
        <f t="shared" si="11"/>
        <v>"C:\Program Files (x86)\AstroGrep\AstroGrep.exe" /spath="%USERPROFILE%\AppData\Local\Temp\OnboardLogs" /stypes="*4020*20160830*" /stext=" 10:.+((SYSTEM_STATE.+slice.+state.+changed )|(ment ac)|(system.+state.+changed )|(\|lc)|(penalty)|(\[timeout)|(PRM\|1\|D)|(kpr)|(kdp))" /e /r /s</v>
      </c>
      <c r="AG17" s="1" t="str">
        <f t="shared" si="12"/>
        <v>EC</v>
      </c>
      <c r="AH17" s="100" t="str">
        <f t="shared" si="15"/>
        <v>"%USERPROFILE%\Documents\GitHub\eaglep3\Utilities\RefineRTDCRunTimes.py" --tripid 105-30 --locoid 4020 --swversion DE.1.0.7.0 --startMP 204:741 --initTime 2016-08-30T03:55:40 --startdatetime 2016-08-30T04:15:35 --delay 1 --endMP 204:233289 --enddatetime 2016-08-30T04:55:13 --enforcementcount 0 &gt;&gt;C:\Users\stu\Documents\GitHub\eaglep3-reporting\EC\2016-08-30-refined-times.txt</v>
      </c>
      <c r="AI17" s="149" t="str">
        <f t="shared" si="16"/>
        <v>echo {"issue":{"subject":"","project_id":79,"tracker_id":40,"status_id":1,"priority_id":2,"assigned_to_id":23,"start_date":"2016-08-30","description":"","custom_fields":[{"id":1,"name":"Subdivision","value":"EC"},{"id":4,"name":"Milepost","value":"23.2548"},{"id":17,"name":"Train ID","value":"105-30"},{"id":16,"name":"Locomotive ID","value":"4020"},{"id":130,"name":"Impact","value":""},{"id":150,"name":"Time of Event (Mountain Time)","value":"04:55:13"},{"id":151,"name":"Denver Issue ID","value":""},{"id":178,"name":"Operational Impact","value":"Yes"},{"id":179,"name":"Denver Segment Assigned","value":""}]}} | curl -X POST -H "Content-Type: application/json" -H "X-Redmine-API-Key: d6333d4a04012a730768444271f8ca06482dae87" https://secure.xorail.net/redmine/issues.json --data @-</v>
      </c>
      <c r="AJ17" s="55"/>
      <c r="AK17" s="55"/>
      <c r="AL17" s="55"/>
    </row>
    <row r="18" spans="1:38" s="1" customFormat="1" x14ac:dyDescent="0.25">
      <c r="A18" s="39" t="s">
        <v>355</v>
      </c>
      <c r="B18" s="7">
        <v>4015</v>
      </c>
      <c r="C18" s="24" t="s">
        <v>113</v>
      </c>
      <c r="D18" s="24" t="s">
        <v>580</v>
      </c>
      <c r="E18" s="15">
        <v>42612.207453703704</v>
      </c>
      <c r="F18" s="15">
        <v>42612.216192129628</v>
      </c>
      <c r="G18" s="7">
        <v>1</v>
      </c>
      <c r="H18" s="15" t="s">
        <v>581</v>
      </c>
      <c r="I18" s="15">
        <v>42612.244328703702</v>
      </c>
      <c r="J18" s="7">
        <v>0</v>
      </c>
      <c r="K18" s="132" t="str">
        <f t="shared" si="0"/>
        <v>4015/4016</v>
      </c>
      <c r="L18" s="24" t="str">
        <f>VLOOKUP(A18,'Trips&amp;Operators'!$C$1:$E$10000,3,FALSE)</f>
        <v>SMITH</v>
      </c>
      <c r="M18" s="6">
        <f t="shared" si="1"/>
        <v>2.8136574073869269E-2</v>
      </c>
      <c r="N18" s="7">
        <f>24*60*SUM($M18:$M18)</f>
        <v>40.516666666371748</v>
      </c>
      <c r="O18" s="7"/>
      <c r="P18" s="7"/>
      <c r="Q18" s="25"/>
      <c r="R18" s="25"/>
      <c r="S18" s="37">
        <f t="shared" si="2"/>
        <v>1</v>
      </c>
      <c r="T18" s="52" t="str">
        <f t="shared" si="3"/>
        <v>Southbound</v>
      </c>
      <c r="U18" s="126">
        <f>IF(AG18="EC",COUNTIFS(Variables!$M$2:$M$19,IF(T18="NorthBound","&gt;=","&lt;=")&amp;Y18,Variables!$M$2:$M$19,IF(T18="NorthBound","&lt;=","&gt;=")&amp;Z18),COUNTIFS(Variables!$P$2:$P$19,IF(T18="NorthBound","&gt;=","&lt;=")&amp;Y18,Variables!$P$2:$P$19,IF(T18="NorthBound","&lt;=","&gt;=")&amp;Z18))</f>
        <v>12</v>
      </c>
      <c r="V18" s="106" t="str">
        <f t="shared" si="4"/>
        <v>https://search-rtdc-monitor-bjffxe2xuh6vdkpspy63sjmuny.us-east-1.es.amazonaws.com/_plugin/kibana/#/discover/Steve-Slow-Train-Analysis-(2080s-and-2083s)?_g=(refreshInterval:(display:Off,section:0,value:0),time:(from:'2016-08-30 03:58:44-0600',mode:absolute,to:'2016-08-30 06:51: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8" s="54" t="str">
        <f t="shared" si="5"/>
        <v>N</v>
      </c>
      <c r="X18" s="120">
        <f t="shared" si="17"/>
        <v>1</v>
      </c>
      <c r="Y18" s="69">
        <f t="shared" si="6"/>
        <v>23.264399999999998</v>
      </c>
      <c r="Z18" s="69">
        <f t="shared" si="7"/>
        <v>2.5100000000000001E-2</v>
      </c>
      <c r="AA18" s="69">
        <f t="shared" si="8"/>
        <v>23.2393</v>
      </c>
      <c r="AB18" s="66">
        <f>VLOOKUP(A18,Enforcements!$C$7:$J$21,8,0)</f>
        <v>191723</v>
      </c>
      <c r="AC18" s="62" t="str">
        <f>VLOOKUP(A18,Enforcements!$C$7:$E$21,3,0)</f>
        <v>SIGNAL</v>
      </c>
      <c r="AD18" s="63" t="str">
        <f t="shared" si="9"/>
        <v>0106-30</v>
      </c>
      <c r="AE18" s="99" t="str">
        <f t="shared" si="10"/>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AF18" s="96" t="str">
        <f t="shared" si="11"/>
        <v>"C:\Program Files (x86)\AstroGrep\AstroGrep.exe" /spath="%USERPROFILE%\AppData\Local\Temp\OnboardLogs" /stypes="*4015*20160830*" /stext=" 11:.+((SYSTEM_STATE.+slice.+state.+changed )|(ment ac)|(system.+state.+changed )|(\|lc)|(penalty)|(\[timeout)|(PRM\|1\|D)|(kpr)|(kdp))" /e /r /s</v>
      </c>
      <c r="AG18" s="1" t="str">
        <f t="shared" si="12"/>
        <v>EC</v>
      </c>
      <c r="AH18" s="100" t="str">
        <f t="shared" si="15"/>
        <v>"%USERPROFILE%\Documents\GitHub\eaglep3\Utilities\RefineRTDCRunTimes.py" --tripid 106-30 --locoid 4015 --swversion DE.1.0.7.0 --startMP 204:232644 --initTime 2016-08-30T04:58:44 --startdatetime 2016-08-30T05:11:19 --delay 1 --endMP 204:251 --enddatetime 2016-08-30T05:51:50 --enforcementcount 0 &gt;&gt;C:\Users\stu\Documents\GitHub\eaglep3-reporting\EC\2016-08-30-refined-times.txt</v>
      </c>
      <c r="AI18" s="149" t="str">
        <f t="shared" si="16"/>
        <v>echo {"issue":{"subject":"","project_id":79,"tracker_id":40,"status_id":1,"priority_id":2,"assigned_to_id":23,"start_date":"2016-08-30","description":"","custom_fields":[{"id":1,"name":"Subdivision","value":"EC"},{"id":4,"name":"Milepost","value":"23.2393"},{"id":17,"name":"Train ID","value":"106-30"},{"id":16,"name":"Locomotive ID","value":"4015"},{"id":130,"name":"Impact","value":""},{"id":150,"name":"Time of Event (Mountain Time)","value":"05:51:50"},{"id":151,"name":"Denver Issue ID","value":""},{"id":178,"name":"Operational Impact","value":"Yes"},{"id":179,"name":"Denver Segment Assigned","value":""}]}} | curl -X POST -H "Content-Type: application/json" -H "X-Redmine-API-Key: d6333d4a04012a730768444271f8ca06482dae87" https://secure.xorail.net/redmine/issues.json --data @-</v>
      </c>
      <c r="AJ18" s="55"/>
      <c r="AK18" s="55"/>
      <c r="AL18" s="55"/>
    </row>
    <row r="19" spans="1:38" s="1" customFormat="1" x14ac:dyDescent="0.25">
      <c r="A19" s="39" t="s">
        <v>393</v>
      </c>
      <c r="B19" s="7">
        <v>4018</v>
      </c>
      <c r="C19" s="24" t="s">
        <v>113</v>
      </c>
      <c r="D19" s="24" t="s">
        <v>582</v>
      </c>
      <c r="E19" s="15">
        <v>42612.190752314818</v>
      </c>
      <c r="F19" s="15">
        <v>42612.191701388889</v>
      </c>
      <c r="G19" s="7">
        <v>0</v>
      </c>
      <c r="H19" s="15" t="s">
        <v>583</v>
      </c>
      <c r="I19" s="15">
        <v>42612.213784722226</v>
      </c>
      <c r="J19" s="7">
        <v>0</v>
      </c>
      <c r="K19" s="132" t="str">
        <f t="shared" si="0"/>
        <v>4017/4018</v>
      </c>
      <c r="L19" s="24" t="str">
        <f>VLOOKUP(A19,'Trips&amp;Operators'!$C$1:$E$10000,3,FALSE)</f>
        <v>SPECTOR</v>
      </c>
      <c r="M19" s="6">
        <f t="shared" si="1"/>
        <v>2.2083333336922806E-2</v>
      </c>
      <c r="N19" s="7"/>
      <c r="O19" s="7"/>
      <c r="P19" s="7">
        <f>24*60*SUM($M19:$M20)</f>
        <v>63.600000010337681</v>
      </c>
      <c r="Q19" s="25"/>
      <c r="R19" s="25" t="s">
        <v>730</v>
      </c>
      <c r="S19" s="37">
        <f>SUM(U19:U20)/IF(AG19="EC",12,1)</f>
        <v>1</v>
      </c>
      <c r="T19" s="52" t="str">
        <f t="shared" si="3"/>
        <v>NorthBound</v>
      </c>
      <c r="U19" s="126">
        <f>IF(AG19="EC",COUNTIFS(Variables!$M$2:$M$19,IF(T19="NorthBound","&gt;=","&lt;=")&amp;Y19,Variables!$M$2:$M$19,IF(T19="NorthBound","&lt;=","&gt;=")&amp;Z19),COUNTIFS(Variables!$P$2:$P$19,IF(T19="NorthBound","&gt;=","&lt;=")&amp;Y19,Variables!$P$2:$P$19,IF(T19="NorthBound","&lt;=","&gt;=")&amp;Z19))</f>
        <v>12</v>
      </c>
      <c r="V19" s="106" t="str">
        <f t="shared" si="4"/>
        <v>https://search-rtdc-monitor-bjffxe2xuh6vdkpspy63sjmuny.us-east-1.es.amazonaws.com/_plugin/kibana/#/discover/Steve-Slow-Train-Analysis-(2080s-and-2083s)?_g=(refreshInterval:(display:Off,section:0,value:0),time:(from:'2016-08-30 03:34:41-0600',mode:absolute,to:'2016-08-30 06:07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9" s="54" t="str">
        <f t="shared" si="5"/>
        <v>Y</v>
      </c>
      <c r="X19" s="120">
        <f t="shared" ref="X19:X50" si="20">VALUE(LEFT(AD19,4))-VALUE(LEFT(AD18,4))</f>
        <v>1</v>
      </c>
      <c r="Y19" s="69">
        <f t="shared" si="6"/>
        <v>1.9123000000000001</v>
      </c>
      <c r="Z19" s="69">
        <f t="shared" si="7"/>
        <v>23.331900000000001</v>
      </c>
      <c r="AA19" s="69">
        <f t="shared" si="8"/>
        <v>21.419600000000003</v>
      </c>
      <c r="AB19" s="66" t="e">
        <f>VLOOKUP(A19,Enforcements!$C$7:$J$21,8,0)</f>
        <v>#N/A</v>
      </c>
      <c r="AC19" s="62" t="e">
        <f>VLOOKUP(A19,Enforcements!$C$7:$E$21,3,0)</f>
        <v>#N/A</v>
      </c>
      <c r="AD19" s="63" t="str">
        <f t="shared" si="9"/>
        <v>0107-30</v>
      </c>
      <c r="AE19" s="99" t="str">
        <f t="shared" si="1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9" s="96" t="str">
        <f t="shared" si="11"/>
        <v>"C:\Program Files (x86)\AstroGrep\AstroGrep.exe" /spath="%USERPROFILE%\AppData\Local\Temp\OnboardLogs" /stypes="*4018*20160830*" /stext=" 11:.+((SYSTEM_STATE.+slice.+state.+changed )|(ment ac)|(system.+state.+changed )|(\|lc)|(penalty)|(\[timeout)|(PRM\|1\|D)|(kpr)|(kdp))" /e /r /s</v>
      </c>
      <c r="AG19" s="1" t="str">
        <f t="shared" si="12"/>
        <v>EC</v>
      </c>
      <c r="AH19" s="100" t="str">
        <f t="shared" si="15"/>
        <v>"%USERPROFILE%\Documents\GitHub\eaglep3\Utilities\RefineRTDCRunTimes.py" --tripid 107-30 --locoid 4018 --swversion DE.1.0.7.0 --startMP 204:19123 --initTime 2016-08-30T04:34:41 --startdatetime 2016-08-30T04:36:03 --delay 0 --endMP 204:233319 --enddatetime 2016-08-30T05:07:51 --enforcementcount 0 &gt;&gt;C:\Users\stu\Documents\GitHub\eaglep3-reporting\EC\2016-08-30-refined-times.txt</v>
      </c>
      <c r="AI19" s="149" t="str">
        <f t="shared" si="16"/>
        <v>echo {"issue":{"subject":"NW map displayed because DUS switches were aligned for NW. No need to cut out. Recommend waiting for switches to align for EC.","project_id":79,"tracker_id":40,"status_id":1,"priority_id":2,"assigned_to_id":23,"start_date":"2016-08-30","description":"","custom_fields":[{"id":1,"name":"Subdivision","value":"EC"},{"id":4,"name":"Milepost","value":"21.4196"},{"id":17,"name":"Train ID","value":"107-30"},{"id":16,"name":"Locomotive ID","value":"4018"},{"id":130,"name":"Impact","value":""},{"id":150,"name":"Time of Event (Mountain Time)","value":"05:07:51"},{"id":151,"name":"Denver Issue ID","value":""},{"id":178,"name":"Operational Impact","value":"Yes"},{"id":179,"name":"Denver Segment Assigned","value":""}]}} | curl -X POST -H "Content-Type: application/json" -H "X-Redmine-API-Key: d6333d4a04012a730768444271f8ca06482dae87" https://secure.xorail.net/redmine/issues.json --data @-</v>
      </c>
      <c r="AJ19" s="55"/>
      <c r="AK19" s="55"/>
      <c r="AL19" s="55"/>
    </row>
    <row r="20" spans="1:38" s="1" customFormat="1" x14ac:dyDescent="0.25">
      <c r="A20" s="39" t="s">
        <v>393</v>
      </c>
      <c r="B20" s="7">
        <v>4018</v>
      </c>
      <c r="C20" s="24" t="s">
        <v>113</v>
      </c>
      <c r="D20" s="24" t="s">
        <v>180</v>
      </c>
      <c r="E20" s="15">
        <v>42612.180393518516</v>
      </c>
      <c r="F20" s="15">
        <v>42612.191701388889</v>
      </c>
      <c r="G20" s="7">
        <v>1</v>
      </c>
      <c r="H20" s="15" t="s">
        <v>253</v>
      </c>
      <c r="I20" s="15">
        <v>42612.213784722226</v>
      </c>
      <c r="J20" s="7">
        <v>0</v>
      </c>
      <c r="K20" s="132" t="str">
        <f t="shared" si="0"/>
        <v>4017/4018</v>
      </c>
      <c r="L20" s="24" t="str">
        <f>VLOOKUP(A20,'Trips&amp;Operators'!$C$1:$E$10000,3,FALSE)</f>
        <v>SPECTOR</v>
      </c>
      <c r="M20" s="6">
        <f t="shared" si="1"/>
        <v>2.2083333336922806E-2</v>
      </c>
      <c r="N20" s="7"/>
      <c r="O20" s="7"/>
      <c r="P20" s="7"/>
      <c r="Q20" s="25"/>
      <c r="R20" s="25"/>
      <c r="S20" s="37"/>
      <c r="T20" s="52" t="str">
        <f t="shared" si="3"/>
        <v>NorthBound</v>
      </c>
      <c r="U20" s="126">
        <f>IF(AG20="EC",COUNTIFS(Variables!$M$2:$M$19,IF(T20="NorthBound","&gt;=","&lt;=")&amp;Y20,Variables!$M$2:$M$19,IF(T20="NorthBound","&lt;=","&gt;=")&amp;Z20),COUNTIFS(Variables!$P$2:$P$19,IF(T20="NorthBound","&gt;=","&lt;=")&amp;Y20,Variables!$P$2:$P$19,IF(T20="NorthBound","&lt;=","&gt;=")&amp;Z20))</f>
        <v>0</v>
      </c>
      <c r="V20" s="106" t="str">
        <f t="shared" si="4"/>
        <v>https://search-rtdc-monitor-bjffxe2xuh6vdkpspy63sjmuny.us-east-1.es.amazonaws.com/_plugin/kibana/#/discover/Steve-Slow-Train-Analysis-(2080s-and-2083s)?_g=(refreshInterval:(display:Off,section:0,value:0),time:(from:'2016-08-30 03:19:46-0600',mode:absolute,to:'2016-08-30 06:07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20" s="54" t="str">
        <f t="shared" si="5"/>
        <v>Y</v>
      </c>
      <c r="X20" s="120">
        <f t="shared" si="20"/>
        <v>0</v>
      </c>
      <c r="Y20" s="69">
        <f t="shared" si="6"/>
        <v>4.5999999999999999E-2</v>
      </c>
      <c r="Z20" s="69">
        <f t="shared" si="7"/>
        <v>4.58E-2</v>
      </c>
      <c r="AA20" s="69">
        <f t="shared" si="8"/>
        <v>1.9999999999999879E-4</v>
      </c>
      <c r="AB20" s="66" t="e">
        <f>VLOOKUP(A20,Enforcements!$C$7:$J$21,8,0)</f>
        <v>#N/A</v>
      </c>
      <c r="AC20" s="62" t="e">
        <f>VLOOKUP(A20,Enforcements!$C$7:$E$21,3,0)</f>
        <v>#N/A</v>
      </c>
      <c r="AD20" s="63" t="str">
        <f t="shared" si="9"/>
        <v>0107-30</v>
      </c>
      <c r="AE20" s="99" t="str">
        <f t="shared" si="1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20" s="96" t="str">
        <f t="shared" si="11"/>
        <v>"C:\Program Files (x86)\AstroGrep\AstroGrep.exe" /spath="%USERPROFILE%\AppData\Local\Temp\OnboardLogs" /stypes="*4018*20160830*" /stext=" 11:.+((SYSTEM_STATE.+slice.+state.+changed )|(ment ac)|(system.+state.+changed )|(\|lc)|(penalty)|(\[timeout)|(PRM\|1\|D)|(kpr)|(kdp))" /e /r /s</v>
      </c>
      <c r="AG20" s="1" t="str">
        <f t="shared" si="12"/>
        <v>EC</v>
      </c>
      <c r="AH20" s="100" t="str">
        <f t="shared" si="15"/>
        <v>"%USERPROFILE%\Documents\GitHub\eaglep3\Utilities\RefineRTDCRunTimes.py" --tripid 107-30 --locoid 4018 --swversion DE.1.0.7.0 --startMP 204:460 --initTime 2016-08-30T04:19:46 --startdatetime 2016-08-30T04:36:03 --delay 1 --endMP 204:458 --enddatetime 2016-08-30T05:07:51 --enforcementcount 0 &gt;&gt;C:\Users\stu\Documents\GitHub\eaglep3-reporting\EC\2016-08-30-refined-times.txt</v>
      </c>
      <c r="AI20" s="149" t="str">
        <f t="shared" si="16"/>
        <v>echo {"issue":{"subject":"","project_id":79,"tracker_id":40,"status_id":1,"priority_id":2,"assigned_to_id":23,"start_date":"2016-08-30","description":"","custom_fields":[{"id":1,"name":"Subdivision","value":"EC"},{"id":4,"name":"Milepost","value":"0.000199999999999999"},{"id":17,"name":"Train ID","value":"107-30"},{"id":16,"name":"Locomotive ID","value":"4018"},{"id":130,"name":"Impact","value":""},{"id":150,"name":"Time of Event (Mountain Time)","value":"05:07:51"},{"id":151,"name":"Denver Issue ID","value":""},{"id":178,"name":"Operational Impact","value":"Yes"},{"id":179,"name":"Denver Segment Assigned","value":""}]}} | curl -X POST -H "Content-Type: application/json" -H "X-Redmine-API-Key: d6333d4a04012a730768444271f8ca06482dae87" https://secure.xorail.net/redmine/issues.json --data @-</v>
      </c>
      <c r="AJ20" s="55"/>
      <c r="AK20" s="55"/>
      <c r="AL20" s="55"/>
    </row>
    <row r="21" spans="1:38" s="1" customFormat="1" x14ac:dyDescent="0.25">
      <c r="A21" s="39" t="s">
        <v>399</v>
      </c>
      <c r="B21" s="7">
        <v>4017</v>
      </c>
      <c r="C21" s="24" t="s">
        <v>113</v>
      </c>
      <c r="D21" s="24" t="s">
        <v>294</v>
      </c>
      <c r="E21" s="15">
        <v>42612.22252314815</v>
      </c>
      <c r="F21" s="15">
        <v>42612.226574074077</v>
      </c>
      <c r="G21" s="7">
        <v>1</v>
      </c>
      <c r="H21" s="15" t="s">
        <v>318</v>
      </c>
      <c r="I21" s="15">
        <v>42612.252708333333</v>
      </c>
      <c r="J21" s="7">
        <v>0</v>
      </c>
      <c r="K21" s="132" t="str">
        <f t="shared" si="0"/>
        <v>4017/4018</v>
      </c>
      <c r="L21" s="24" t="str">
        <f>VLOOKUP(A21,'Trips&amp;Operators'!$C$1:$E$10000,3,FALSE)</f>
        <v>SPECTOR</v>
      </c>
      <c r="M21" s="6">
        <f t="shared" si="1"/>
        <v>2.6134259256650694E-2</v>
      </c>
      <c r="N21" s="7">
        <f t="shared" ref="N21:N37" si="21">24*60*SUM($M21:$M21)</f>
        <v>37.633333329576999</v>
      </c>
      <c r="O21" s="7"/>
      <c r="P21" s="7"/>
      <c r="Q21" s="25"/>
      <c r="R21" s="25"/>
      <c r="S21" s="37">
        <f t="shared" ref="S21:S37" si="22">SUM(U21:U21)/IF(AG21="EC",12,1)</f>
        <v>1</v>
      </c>
      <c r="T21" s="52" t="str">
        <f t="shared" si="3"/>
        <v>Southbound</v>
      </c>
      <c r="U21" s="126">
        <f>IF(AG21="EC",COUNTIFS(Variables!$M$2:$M$19,IF(T21="NorthBound","&gt;=","&lt;=")&amp;Y21,Variables!$M$2:$M$19,IF(T21="NorthBound","&lt;=","&gt;=")&amp;Z21),COUNTIFS(Variables!$P$2:$P$19,IF(T21="NorthBound","&gt;=","&lt;=")&amp;Y21,Variables!$P$2:$P$19,IF(T21="NorthBound","&lt;=","&gt;=")&amp;Z21))</f>
        <v>12</v>
      </c>
      <c r="V21" s="106" t="str">
        <f t="shared" si="4"/>
        <v>https://search-rtdc-monitor-bjffxe2xuh6vdkpspy63sjmuny.us-east-1.es.amazonaws.com/_plugin/kibana/#/discover/Steve-Slow-Train-Analysis-(2080s-and-2083s)?_g=(refreshInterval:(display:Off,section:0,value:0),time:(from:'2016-08-30 04:20:26-0600',mode:absolute,to:'2016-08-30 07:03: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21" s="54" t="str">
        <f t="shared" si="5"/>
        <v>N</v>
      </c>
      <c r="X21" s="120">
        <f t="shared" si="20"/>
        <v>1</v>
      </c>
      <c r="Y21" s="69">
        <f t="shared" si="6"/>
        <v>23.300799999999999</v>
      </c>
      <c r="Z21" s="69">
        <f t="shared" si="7"/>
        <v>1.3599999999999999E-2</v>
      </c>
      <c r="AA21" s="69">
        <f t="shared" si="8"/>
        <v>23.287199999999999</v>
      </c>
      <c r="AB21" s="66" t="e">
        <f>VLOOKUP(A21,Enforcements!$C$7:$J$21,8,0)</f>
        <v>#N/A</v>
      </c>
      <c r="AC21" s="62" t="e">
        <f>VLOOKUP(A21,Enforcements!$C$7:$E$21,3,0)</f>
        <v>#N/A</v>
      </c>
      <c r="AD21" s="63" t="str">
        <f t="shared" si="9"/>
        <v>0108-30</v>
      </c>
      <c r="AE21" s="99" t="str">
        <f t="shared" si="1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21" s="96" t="str">
        <f t="shared" si="11"/>
        <v>"C:\Program Files (x86)\AstroGrep\AstroGrep.exe" /spath="%USERPROFILE%\AppData\Local\Temp\OnboardLogs" /stypes="*4017*20160830*" /stext=" 12:.+((SYSTEM_STATE.+slice.+state.+changed )|(ment ac)|(system.+state.+changed )|(\|lc)|(penalty)|(\[timeout)|(PRM\|1\|D)|(kpr)|(kdp))" /e /r /s</v>
      </c>
      <c r="AG21" s="1" t="str">
        <f t="shared" si="12"/>
        <v>EC</v>
      </c>
      <c r="AH21" s="100" t="str">
        <f t="shared" si="15"/>
        <v>"%USERPROFILE%\Documents\GitHub\eaglep3\Utilities\RefineRTDCRunTimes.py" --tripid 108-30 --locoid 4017 --swversion DE.1.0.7.0 --startMP 204:233008 --initTime 2016-08-30T05:20:26 --startdatetime 2016-08-30T05:26:16 --delay 1 --endMP 204:136 --enddatetime 2016-08-30T06:03:54 --enforcementcount 0 &gt;&gt;C:\Users\stu\Documents\GitHub\eaglep3-reporting\EC\2016-08-30-refined-times.txt</v>
      </c>
      <c r="AI21" s="149" t="str">
        <f t="shared" si="16"/>
        <v>echo {"issue":{"subject":"","project_id":79,"tracker_id":40,"status_id":1,"priority_id":2,"assigned_to_id":23,"start_date":"2016-08-30","description":"","custom_fields":[{"id":1,"name":"Subdivision","value":"EC"},{"id":4,"name":"Milepost","value":"23.2872"},{"id":17,"name":"Train ID","value":"108-30"},{"id":16,"name":"Locomotive ID","value":"4017"},{"id":130,"name":"Impact","value":""},{"id":150,"name":"Time of Event (Mountain Time)","value":"06:03:54"},{"id":151,"name":"Denver Issue ID","value":""},{"id":178,"name":"Operational Impact","value":"Yes"},{"id":179,"name":"Denver Segment Assigned","value":""}]}} | curl -X POST -H "Content-Type: application/json" -H "X-Redmine-API-Key: d6333d4a04012a730768444271f8ca06482dae87" https://secure.xorail.net/redmine/issues.json --data @-</v>
      </c>
      <c r="AJ21" s="55"/>
      <c r="AK21" s="55"/>
      <c r="AL21" s="55"/>
    </row>
    <row r="22" spans="1:38" s="1" customFormat="1" x14ac:dyDescent="0.25">
      <c r="A22" s="39" t="s">
        <v>395</v>
      </c>
      <c r="B22" s="7">
        <v>4029</v>
      </c>
      <c r="C22" s="24" t="s">
        <v>113</v>
      </c>
      <c r="D22" s="24" t="s">
        <v>253</v>
      </c>
      <c r="E22" s="15">
        <v>42612.19363425926</v>
      </c>
      <c r="F22" s="15">
        <v>42612.19809027778</v>
      </c>
      <c r="G22" s="7">
        <v>1</v>
      </c>
      <c r="H22" s="15" t="s">
        <v>264</v>
      </c>
      <c r="I22" s="15">
        <v>42612.223356481481</v>
      </c>
      <c r="J22" s="7">
        <v>0</v>
      </c>
      <c r="K22" s="132" t="str">
        <f t="shared" si="0"/>
        <v>4029/4030</v>
      </c>
      <c r="L22" s="24" t="str">
        <f>VLOOKUP(A22,'Trips&amp;Operators'!$C$1:$E$10000,3,FALSE)</f>
        <v>DAVIS</v>
      </c>
      <c r="M22" s="6">
        <f t="shared" si="1"/>
        <v>2.5266203701903578E-2</v>
      </c>
      <c r="N22" s="7">
        <f t="shared" si="21"/>
        <v>36.383333330741152</v>
      </c>
      <c r="O22" s="7"/>
      <c r="P22" s="7"/>
      <c r="Q22" s="25"/>
      <c r="R22" s="25"/>
      <c r="S22" s="37">
        <f t="shared" si="22"/>
        <v>1</v>
      </c>
      <c r="T22" s="52" t="str">
        <f t="shared" si="3"/>
        <v>NorthBound</v>
      </c>
      <c r="U22" s="126">
        <f>IF(AG22="EC",COUNTIFS(Variables!$M$2:$M$19,IF(T22="NorthBound","&gt;=","&lt;=")&amp;Y22,Variables!$M$2:$M$19,IF(T22="NorthBound","&lt;=","&gt;=")&amp;Z22),COUNTIFS(Variables!$P$2:$P$19,IF(T22="NorthBound","&gt;=","&lt;=")&amp;Y22,Variables!$P$2:$P$19,IF(T22="NorthBound","&lt;=","&gt;=")&amp;Z22))</f>
        <v>12</v>
      </c>
      <c r="V22" s="106" t="str">
        <f t="shared" si="4"/>
        <v>https://search-rtdc-monitor-bjffxe2xuh6vdkpspy63sjmuny.us-east-1.es.amazonaws.com/_plugin/kibana/#/discover/Steve-Slow-Train-Analysis-(2080s-and-2083s)?_g=(refreshInterval:(display:Off,section:0,value:0),time:(from:'2016-08-30 03:38:50-0600',mode:absolute,to:'2016-08-30 06: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2" s="54" t="str">
        <f t="shared" si="5"/>
        <v>N</v>
      </c>
      <c r="X22" s="120">
        <f t="shared" si="20"/>
        <v>1</v>
      </c>
      <c r="Y22" s="69">
        <f t="shared" si="6"/>
        <v>4.58E-2</v>
      </c>
      <c r="Z22" s="69">
        <f t="shared" si="7"/>
        <v>23.331099999999999</v>
      </c>
      <c r="AA22" s="69">
        <f t="shared" si="8"/>
        <v>23.285299999999999</v>
      </c>
      <c r="AB22" s="66" t="e">
        <f>VLOOKUP(A22,Enforcements!$C$7:$J$21,8,0)</f>
        <v>#N/A</v>
      </c>
      <c r="AC22" s="62" t="e">
        <f>VLOOKUP(A22,Enforcements!$C$7:$E$21,3,0)</f>
        <v>#N/A</v>
      </c>
      <c r="AD22" s="63" t="str">
        <f t="shared" si="9"/>
        <v>0109-30</v>
      </c>
      <c r="AE22" s="99" t="str">
        <f t="shared" si="1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22" s="96" t="str">
        <f t="shared" si="11"/>
        <v>"C:\Program Files (x86)\AstroGrep\AstroGrep.exe" /spath="%USERPROFILE%\AppData\Local\Temp\OnboardLogs" /stypes="*4029*20160830*" /stext=" 11:.+((SYSTEM_STATE.+slice.+state.+changed )|(ment ac)|(system.+state.+changed )|(\|lc)|(penalty)|(\[timeout)|(PRM\|1\|D)|(kpr)|(kdp))" /e /r /s</v>
      </c>
      <c r="AG22" s="1" t="str">
        <f t="shared" si="12"/>
        <v>EC</v>
      </c>
      <c r="AH22" s="100" t="str">
        <f t="shared" si="15"/>
        <v>"%USERPROFILE%\Documents\GitHub\eaglep3\Utilities\RefineRTDCRunTimes.py" --tripid 109-30 --locoid 4029 --swversion DE.1.0.7.0 --startMP 204:458 --initTime 2016-08-30T04:38:50 --startdatetime 2016-08-30T04:45:15 --delay 1 --endMP 204:233311 --enddatetime 2016-08-30T05:21:38 --enforcementcount 0 &gt;&gt;C:\Users\stu\Documents\GitHub\eaglep3-reporting\EC\2016-08-30-refined-times.txt</v>
      </c>
      <c r="AI22" s="149" t="str">
        <f t="shared" si="16"/>
        <v>echo {"issue":{"subject":"","project_id":79,"tracker_id":40,"status_id":1,"priority_id":2,"assigned_to_id":23,"start_date":"2016-08-30","description":"","custom_fields":[{"id":1,"name":"Subdivision","value":"EC"},{"id":4,"name":"Milepost","value":"23.2853"},{"id":17,"name":"Train ID","value":"109-30"},{"id":16,"name":"Locomotive ID","value":"4029"},{"id":130,"name":"Impact","value":""},{"id":150,"name":"Time of Event (Mountain Time)","value":"05:21:38"},{"id":151,"name":"Denver Issue ID","value":""},{"id":178,"name":"Operational Impact","value":"Yes"},{"id":179,"name":"Denver Segment Assigned","value":""}]}} | curl -X POST -H "Content-Type: application/json" -H "X-Redmine-API-Key: d6333d4a04012a730768444271f8ca06482dae87" https://secure.xorail.net/redmine/issues.json --data @-</v>
      </c>
      <c r="AJ22" s="55"/>
      <c r="AK22" s="55"/>
      <c r="AL22" s="55"/>
    </row>
    <row r="23" spans="1:38" s="1" customFormat="1" x14ac:dyDescent="0.25">
      <c r="A23" s="39" t="s">
        <v>402</v>
      </c>
      <c r="B23" s="7">
        <v>4030</v>
      </c>
      <c r="C23" s="24" t="s">
        <v>113</v>
      </c>
      <c r="D23" s="24" t="s">
        <v>333</v>
      </c>
      <c r="E23" s="15">
        <v>42612.232546296298</v>
      </c>
      <c r="F23" s="15">
        <v>42612.236967592595</v>
      </c>
      <c r="G23" s="7">
        <v>1</v>
      </c>
      <c r="H23" s="15" t="s">
        <v>167</v>
      </c>
      <c r="I23" s="15">
        <v>42612.264224537037</v>
      </c>
      <c r="J23" s="7">
        <v>0</v>
      </c>
      <c r="K23" s="132" t="str">
        <f t="shared" si="0"/>
        <v>4029/4030</v>
      </c>
      <c r="L23" s="24" t="str">
        <f>VLOOKUP(A23,'Trips&amp;Operators'!$C$1:$E$10000,3,FALSE)</f>
        <v>DAVIS</v>
      </c>
      <c r="M23" s="6">
        <f t="shared" si="1"/>
        <v>2.7256944442342501E-2</v>
      </c>
      <c r="N23" s="7">
        <f t="shared" si="21"/>
        <v>39.249999996973202</v>
      </c>
      <c r="O23" s="7"/>
      <c r="P23" s="7"/>
      <c r="Q23" s="25"/>
      <c r="R23" s="25"/>
      <c r="S23" s="37">
        <f t="shared" si="22"/>
        <v>1</v>
      </c>
      <c r="T23" s="52" t="str">
        <f t="shared" si="3"/>
        <v>Southbound</v>
      </c>
      <c r="U23" s="126">
        <f>IF(AG23="EC",COUNTIFS(Variables!$M$2:$M$19,IF(T23="NorthBound","&gt;=","&lt;=")&amp;Y23,Variables!$M$2:$M$19,IF(T23="NorthBound","&lt;=","&gt;=")&amp;Z23),COUNTIFS(Variables!$P$2:$P$19,IF(T23="NorthBound","&gt;=","&lt;=")&amp;Y23,Variables!$P$2:$P$19,IF(T23="NorthBound","&lt;=","&gt;=")&amp;Z23))</f>
        <v>12</v>
      </c>
      <c r="V23" s="106" t="str">
        <f t="shared" si="4"/>
        <v>https://search-rtdc-monitor-bjffxe2xuh6vdkpspy63sjmuny.us-east-1.es.amazonaws.com/_plugin/kibana/#/discover/Steve-Slow-Train-Analysis-(2080s-and-2083s)?_g=(refreshInterval:(display:Off,section:0,value:0),time:(from:'2016-08-30 04:34:52-0600',mode:absolute,to:'2016-08-30 07:20: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23" s="54" t="str">
        <f t="shared" si="5"/>
        <v>N</v>
      </c>
      <c r="X23" s="120">
        <f t="shared" si="20"/>
        <v>1</v>
      </c>
      <c r="Y23" s="69">
        <f t="shared" si="6"/>
        <v>23.298200000000001</v>
      </c>
      <c r="Z23" s="69">
        <f t="shared" si="7"/>
        <v>1.52E-2</v>
      </c>
      <c r="AA23" s="69">
        <f t="shared" si="8"/>
        <v>23.283000000000001</v>
      </c>
      <c r="AB23" s="66" t="e">
        <f>VLOOKUP(A23,Enforcements!$C$7:$J$21,8,0)</f>
        <v>#N/A</v>
      </c>
      <c r="AC23" s="62" t="e">
        <f>VLOOKUP(A23,Enforcements!$C$7:$E$21,3,0)</f>
        <v>#N/A</v>
      </c>
      <c r="AD23" s="63" t="str">
        <f t="shared" si="9"/>
        <v>0110-30</v>
      </c>
      <c r="AE23" s="99" t="str">
        <f t="shared" si="10"/>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23" s="96" t="str">
        <f t="shared" si="11"/>
        <v>"C:\Program Files (x86)\AstroGrep\AstroGrep.exe" /spath="%USERPROFILE%\AppData\Local\Temp\OnboardLogs" /stypes="*4030*20160830*" /stext=" 12:.+((SYSTEM_STATE.+slice.+state.+changed )|(ment ac)|(system.+state.+changed )|(\|lc)|(penalty)|(\[timeout)|(PRM\|1\|D)|(kpr)|(kdp))" /e /r /s</v>
      </c>
      <c r="AG23" s="1" t="str">
        <f t="shared" si="12"/>
        <v>EC</v>
      </c>
      <c r="AH23" s="100" t="str">
        <f t="shared" si="15"/>
        <v>"%USERPROFILE%\Documents\GitHub\eaglep3\Utilities\RefineRTDCRunTimes.py" --tripid 110-30 --locoid 4030 --swversion DE.1.0.7.0 --startMP 204:232982 --initTime 2016-08-30T05:34:52 --startdatetime 2016-08-30T05:41:14 --delay 1 --endMP 204:152 --enddatetime 2016-08-30T06:20:29 --enforcementcount 0 &gt;&gt;C:\Users\stu\Documents\GitHub\eaglep3-reporting\EC\2016-08-30-refined-times.txt</v>
      </c>
      <c r="AI23" s="149" t="str">
        <f t="shared" si="16"/>
        <v>echo {"issue":{"subject":"","project_id":79,"tracker_id":40,"status_id":1,"priority_id":2,"assigned_to_id":23,"start_date":"2016-08-30","description":"","custom_fields":[{"id":1,"name":"Subdivision","value":"EC"},{"id":4,"name":"Milepost","value":"23.283"},{"id":17,"name":"Train ID","value":"110-30"},{"id":16,"name":"Locomotive ID","value":"4030"},{"id":130,"name":"Impact","value":""},{"id":150,"name":"Time of Event (Mountain Time)","value":"06:20:29"},{"id":151,"name":"Denver Issue ID","value":""},{"id":178,"name":"Operational Impact","value":"Yes"},{"id":179,"name":"Denver Segment Assigned","value":""}]}} | curl -X POST -H "Content-Type: application/json" -H "X-Redmine-API-Key: d6333d4a04012a730768444271f8ca06482dae87" https://secure.xorail.net/redmine/issues.json --data @-</v>
      </c>
      <c r="AJ23" s="55"/>
      <c r="AK23" s="55"/>
      <c r="AL23" s="55"/>
    </row>
    <row r="24" spans="1:38" s="1" customFormat="1" x14ac:dyDescent="0.25">
      <c r="A24" s="39" t="s">
        <v>396</v>
      </c>
      <c r="B24" s="7">
        <v>4011</v>
      </c>
      <c r="C24" s="24" t="s">
        <v>113</v>
      </c>
      <c r="D24" s="24" t="s">
        <v>584</v>
      </c>
      <c r="E24" s="15">
        <v>42612.204745370371</v>
      </c>
      <c r="F24" s="15">
        <v>42612.20853009259</v>
      </c>
      <c r="G24" s="7">
        <v>1</v>
      </c>
      <c r="H24" s="15" t="s">
        <v>585</v>
      </c>
      <c r="I24" s="15">
        <v>42612.233923611115</v>
      </c>
      <c r="J24" s="7">
        <v>0</v>
      </c>
      <c r="K24" s="132" t="str">
        <f t="shared" si="0"/>
        <v>4011/4012</v>
      </c>
      <c r="L24" s="24" t="str">
        <f>VLOOKUP(A24,'Trips&amp;Operators'!$C$1:$E$10000,3,FALSE)</f>
        <v>GEBRETEKLE</v>
      </c>
      <c r="M24" s="6">
        <f t="shared" si="1"/>
        <v>2.5393518524651881E-2</v>
      </c>
      <c r="N24" s="7">
        <f t="shared" si="21"/>
        <v>36.566666675498709</v>
      </c>
      <c r="O24" s="7"/>
      <c r="P24" s="7"/>
      <c r="Q24" s="25"/>
      <c r="R24" s="25"/>
      <c r="S24" s="37">
        <f t="shared" si="22"/>
        <v>1</v>
      </c>
      <c r="T24" s="52" t="str">
        <f t="shared" si="3"/>
        <v>NorthBound</v>
      </c>
      <c r="U24" s="126">
        <f>IF(AG24="EC",COUNTIFS(Variables!$M$2:$M$19,IF(T24="NorthBound","&gt;=","&lt;=")&amp;Y24,Variables!$M$2:$M$19,IF(T24="NorthBound","&lt;=","&gt;=")&amp;Z24),COUNTIFS(Variables!$P$2:$P$19,IF(T24="NorthBound","&gt;=","&lt;=")&amp;Y24,Variables!$P$2:$P$19,IF(T24="NorthBound","&lt;=","&gt;=")&amp;Z24))</f>
        <v>12</v>
      </c>
      <c r="V24" s="106" t="str">
        <f t="shared" si="4"/>
        <v>https://search-rtdc-monitor-bjffxe2xuh6vdkpspy63sjmuny.us-east-1.es.amazonaws.com/_plugin/kibana/#/discover/Steve-Slow-Train-Analysis-(2080s-and-2083s)?_g=(refreshInterval:(display:Off,section:0,value:0),time:(from:'2016-08-30 03:54:50-0600',mode:absolute,to:'2016-08-30 06:36: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24" s="54" t="str">
        <f t="shared" si="5"/>
        <v>N</v>
      </c>
      <c r="X24" s="120">
        <f t="shared" si="20"/>
        <v>1</v>
      </c>
      <c r="Y24" s="69">
        <f t="shared" si="6"/>
        <v>7.6600000000000001E-2</v>
      </c>
      <c r="Z24" s="69">
        <f t="shared" si="7"/>
        <v>23.330200000000001</v>
      </c>
      <c r="AA24" s="69">
        <f t="shared" si="8"/>
        <v>23.253600000000002</v>
      </c>
      <c r="AB24" s="66" t="e">
        <f>VLOOKUP(A24,Enforcements!$C$7:$J$21,8,0)</f>
        <v>#N/A</v>
      </c>
      <c r="AC24" s="62" t="e">
        <f>VLOOKUP(A24,Enforcements!$C$7:$E$21,3,0)</f>
        <v>#N/A</v>
      </c>
      <c r="AD24" s="63" t="str">
        <f t="shared" si="9"/>
        <v>0111-30</v>
      </c>
      <c r="AE24" s="99" t="str">
        <f t="shared" si="1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24" s="96" t="str">
        <f t="shared" si="11"/>
        <v>"C:\Program Files (x86)\AstroGrep\AstroGrep.exe" /spath="%USERPROFILE%\AppData\Local\Temp\OnboardLogs" /stypes="*4011*20160830*" /stext=" 11:.+((SYSTEM_STATE.+slice.+state.+changed )|(ment ac)|(system.+state.+changed )|(\|lc)|(penalty)|(\[timeout)|(PRM\|1\|D)|(kpr)|(kdp))" /e /r /s</v>
      </c>
      <c r="AG24" s="1" t="str">
        <f t="shared" si="12"/>
        <v>EC</v>
      </c>
      <c r="AH24" s="100" t="str">
        <f t="shared" si="15"/>
        <v>"%USERPROFILE%\Documents\GitHub\eaglep3\Utilities\RefineRTDCRunTimes.py" --tripid 111-30 --locoid 4011 --swversion DE.1.0.7.0 --startMP 204:766 --initTime 2016-08-30T04:54:50 --startdatetime 2016-08-30T05:00:17 --delay 1 --endMP 204:233302 --enddatetime 2016-08-30T05:36:51 --enforcementcount 0 &gt;&gt;C:\Users\stu\Documents\GitHub\eaglep3-reporting\EC\2016-08-30-refined-times.txt</v>
      </c>
      <c r="AI24" s="149" t="str">
        <f t="shared" si="16"/>
        <v>echo {"issue":{"subject":"","project_id":79,"tracker_id":40,"status_id":1,"priority_id":2,"assigned_to_id":23,"start_date":"2016-08-30","description":"","custom_fields":[{"id":1,"name":"Subdivision","value":"EC"},{"id":4,"name":"Milepost","value":"23.2536"},{"id":17,"name":"Train ID","value":"111-30"},{"id":16,"name":"Locomotive ID","value":"4011"},{"id":130,"name":"Impact","value":""},{"id":150,"name":"Time of Event (Mountain Time)","value":"05:36:51"},{"id":151,"name":"Denver Issue ID","value":""},{"id":178,"name":"Operational Impact","value":"Yes"},{"id":179,"name":"Denver Segment Assigned","value":""}]}} | curl -X POST -H "Content-Type: application/json" -H "X-Redmine-API-Key: d6333d4a04012a730768444271f8ca06482dae87" https://secure.xorail.net/redmine/issues.json --data @-</v>
      </c>
      <c r="AJ24" s="55"/>
      <c r="AK24" s="55"/>
      <c r="AL24" s="55"/>
    </row>
    <row r="25" spans="1:38" s="1" customFormat="1" x14ac:dyDescent="0.25">
      <c r="A25" s="39" t="s">
        <v>405</v>
      </c>
      <c r="B25" s="7">
        <v>4012</v>
      </c>
      <c r="C25" s="24" t="s">
        <v>113</v>
      </c>
      <c r="D25" s="24" t="s">
        <v>268</v>
      </c>
      <c r="E25" s="15">
        <v>42612.243935185186</v>
      </c>
      <c r="F25" s="15">
        <v>42612.247418981482</v>
      </c>
      <c r="G25" s="7">
        <v>1</v>
      </c>
      <c r="H25" s="15" t="s">
        <v>174</v>
      </c>
      <c r="I25" s="15">
        <v>42612.275219907409</v>
      </c>
      <c r="J25" s="7">
        <v>0</v>
      </c>
      <c r="K25" s="132" t="str">
        <f t="shared" si="0"/>
        <v>4011/4012</v>
      </c>
      <c r="L25" s="24" t="str">
        <f>VLOOKUP(A25,'Trips&amp;Operators'!$C$1:$E$10000,3,FALSE)</f>
        <v>GEBRETEKLE</v>
      </c>
      <c r="M25" s="6">
        <f t="shared" si="1"/>
        <v>2.7800925927294884E-2</v>
      </c>
      <c r="N25" s="7">
        <f t="shared" si="21"/>
        <v>40.033333335304633</v>
      </c>
      <c r="O25" s="7"/>
      <c r="P25" s="7"/>
      <c r="Q25" s="25"/>
      <c r="R25" s="25"/>
      <c r="S25" s="37">
        <f t="shared" si="22"/>
        <v>1</v>
      </c>
      <c r="T25" s="52" t="str">
        <f t="shared" si="3"/>
        <v>Southbound</v>
      </c>
      <c r="U25" s="126">
        <f>IF(AG25="EC",COUNTIFS(Variables!$M$2:$M$19,IF(T25="NorthBound","&gt;=","&lt;=")&amp;Y25,Variables!$M$2:$M$19,IF(T25="NorthBound","&lt;=","&gt;=")&amp;Z25),COUNTIFS(Variables!$P$2:$P$19,IF(T25="NorthBound","&gt;=","&lt;=")&amp;Y25,Variables!$P$2:$P$19,IF(T25="NorthBound","&lt;=","&gt;=")&amp;Z25))</f>
        <v>12</v>
      </c>
      <c r="V25" s="106" t="str">
        <f t="shared" si="4"/>
        <v>https://search-rtdc-monitor-bjffxe2xuh6vdkpspy63sjmuny.us-east-1.es.amazonaws.com/_plugin/kibana/#/discover/Steve-Slow-Train-Analysis-(2080s-and-2083s)?_g=(refreshInterval:(display:Off,section:0,value:0),time:(from:'2016-08-30 04:51:16-0600',mode:absolute,to:'2016-08-30 07:36: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25" s="54" t="str">
        <f t="shared" si="5"/>
        <v>N</v>
      </c>
      <c r="X25" s="120">
        <f t="shared" si="20"/>
        <v>1</v>
      </c>
      <c r="Y25" s="69">
        <f t="shared" si="6"/>
        <v>23.298100000000002</v>
      </c>
      <c r="Z25" s="69">
        <f t="shared" si="7"/>
        <v>1.4500000000000001E-2</v>
      </c>
      <c r="AA25" s="69">
        <f t="shared" si="8"/>
        <v>23.2836</v>
      </c>
      <c r="AB25" s="66" t="e">
        <f>VLOOKUP(A25,Enforcements!$C$7:$J$21,8,0)</f>
        <v>#N/A</v>
      </c>
      <c r="AC25" s="62" t="e">
        <f>VLOOKUP(A25,Enforcements!$C$7:$E$21,3,0)</f>
        <v>#N/A</v>
      </c>
      <c r="AD25" s="63" t="str">
        <f t="shared" si="9"/>
        <v>0112-30</v>
      </c>
      <c r="AE25" s="99" t="str">
        <f t="shared" si="1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25" s="96" t="str">
        <f t="shared" si="11"/>
        <v>"C:\Program Files (x86)\AstroGrep\AstroGrep.exe" /spath="%USERPROFILE%\AppData\Local\Temp\OnboardLogs" /stypes="*4012*20160830*" /stext=" 12:.+((SYSTEM_STATE.+slice.+state.+changed )|(ment ac)|(system.+state.+changed )|(\|lc)|(penalty)|(\[timeout)|(PRM\|1\|D)|(kpr)|(kdp))" /e /r /s</v>
      </c>
      <c r="AG25" s="1" t="str">
        <f t="shared" si="12"/>
        <v>EC</v>
      </c>
      <c r="AH25" s="100" t="str">
        <f t="shared" si="15"/>
        <v>"%USERPROFILE%\Documents\GitHub\eaglep3\Utilities\RefineRTDCRunTimes.py" --tripid 112-30 --locoid 4012 --swversion DE.1.0.7.0 --startMP 204:232981 --initTime 2016-08-30T05:51:16 --startdatetime 2016-08-30T05:56:17 --delay 1 --endMP 204:145 --enddatetime 2016-08-30T06:36:19 --enforcementcount 0 &gt;&gt;C:\Users\stu\Documents\GitHub\eaglep3-reporting\EC\2016-08-30-refined-times.txt</v>
      </c>
      <c r="AI25" s="149" t="str">
        <f t="shared" si="16"/>
        <v>echo {"issue":{"subject":"","project_id":79,"tracker_id":40,"status_id":1,"priority_id":2,"assigned_to_id":23,"start_date":"2016-08-30","description":"","custom_fields":[{"id":1,"name":"Subdivision","value":"EC"},{"id":4,"name":"Milepost","value":"23.2836"},{"id":17,"name":"Train ID","value":"112-30"},{"id":16,"name":"Locomotive ID","value":"4012"},{"id":130,"name":"Impact","value":""},{"id":150,"name":"Time of Event (Mountain Time)","value":"06:36:19"},{"id":151,"name":"Denver Issue ID","value":""},{"id":178,"name":"Operational Impact","value":"Yes"},{"id":179,"name":"Denver Segment Assigned","value":""}]}} | curl -X POST -H "Content-Type: application/json" -H "X-Redmine-API-Key: d6333d4a04012a730768444271f8ca06482dae87" https://secure.xorail.net/redmine/issues.json --data @-</v>
      </c>
      <c r="AJ25" s="55"/>
      <c r="AK25" s="55"/>
      <c r="AL25" s="55"/>
    </row>
    <row r="26" spans="1:38" s="1" customFormat="1" x14ac:dyDescent="0.25">
      <c r="A26" s="39" t="s">
        <v>398</v>
      </c>
      <c r="B26" s="7">
        <v>4042</v>
      </c>
      <c r="C26" s="24" t="s">
        <v>113</v>
      </c>
      <c r="D26" s="24" t="s">
        <v>253</v>
      </c>
      <c r="E26" s="15">
        <v>42612.207013888888</v>
      </c>
      <c r="F26" s="15">
        <v>42612.218935185185</v>
      </c>
      <c r="G26" s="7">
        <v>0</v>
      </c>
      <c r="H26" s="15" t="s">
        <v>270</v>
      </c>
      <c r="I26" s="15">
        <v>42612.244108796294</v>
      </c>
      <c r="J26" s="7">
        <v>0</v>
      </c>
      <c r="K26" s="132" t="str">
        <f t="shared" si="0"/>
        <v>4041/4042</v>
      </c>
      <c r="L26" s="24" t="str">
        <f>VLOOKUP(A26,'Trips&amp;Operators'!$C$1:$E$10000,3,FALSE)</f>
        <v>KILLION</v>
      </c>
      <c r="M26" s="6">
        <f t="shared" si="1"/>
        <v>2.5173611109494232E-2</v>
      </c>
      <c r="N26" s="7">
        <f t="shared" si="21"/>
        <v>36.249999997671694</v>
      </c>
      <c r="O26" s="7"/>
      <c r="P26" s="7"/>
      <c r="Q26" s="25"/>
      <c r="R26" s="25"/>
      <c r="S26" s="37">
        <f t="shared" si="22"/>
        <v>1</v>
      </c>
      <c r="T26" s="52" t="str">
        <f t="shared" si="3"/>
        <v>NorthBound</v>
      </c>
      <c r="U26" s="126">
        <f>IF(AG26="EC",COUNTIFS(Variables!$M$2:$M$19,IF(T26="NorthBound","&gt;=","&lt;=")&amp;Y26,Variables!$M$2:$M$19,IF(T26="NorthBound","&lt;=","&gt;=")&amp;Z26),COUNTIFS(Variables!$P$2:$P$19,IF(T26="NorthBound","&gt;=","&lt;=")&amp;Y26,Variables!$P$2:$P$19,IF(T26="NorthBound","&lt;=","&gt;=")&amp;Z26))</f>
        <v>12</v>
      </c>
      <c r="V26" s="106" t="str">
        <f t="shared" si="4"/>
        <v>https://search-rtdc-monitor-bjffxe2xuh6vdkpspy63sjmuny.us-east-1.es.amazonaws.com/_plugin/kibana/#/discover/Steve-Slow-Train-Analysis-(2080s-and-2083s)?_g=(refreshInterval:(display:Off,section:0,value:0),time:(from:'2016-08-30 03:58:06-0600',mode:absolute,to:'2016-08-30 06: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26" s="54" t="str">
        <f t="shared" si="5"/>
        <v>N</v>
      </c>
      <c r="X26" s="120">
        <f t="shared" si="20"/>
        <v>1</v>
      </c>
      <c r="Y26" s="69">
        <f t="shared" si="6"/>
        <v>4.58E-2</v>
      </c>
      <c r="Z26" s="69">
        <f t="shared" si="7"/>
        <v>23.328800000000001</v>
      </c>
      <c r="AA26" s="69">
        <f t="shared" si="8"/>
        <v>23.283000000000001</v>
      </c>
      <c r="AB26" s="66" t="e">
        <f>VLOOKUP(A26,Enforcements!$C$7:$J$21,8,0)</f>
        <v>#N/A</v>
      </c>
      <c r="AC26" s="62" t="e">
        <f>VLOOKUP(A26,Enforcements!$C$7:$E$21,3,0)</f>
        <v>#N/A</v>
      </c>
      <c r="AD26" s="63" t="str">
        <f t="shared" si="9"/>
        <v>0113-30</v>
      </c>
      <c r="AE26" s="99" t="str">
        <f t="shared" si="10"/>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26" s="96" t="str">
        <f t="shared" si="11"/>
        <v>"C:\Program Files (x86)\AstroGrep\AstroGrep.exe" /spath="%USERPROFILE%\AppData\Local\Temp\OnboardLogs" /stypes="*4042*20160830*" /stext=" 11:.+((SYSTEM_STATE.+slice.+state.+changed )|(ment ac)|(system.+state.+changed )|(\|lc)|(penalty)|(\[timeout)|(PRM\|1\|D)|(kpr)|(kdp))" /e /r /s</v>
      </c>
      <c r="AG26" s="1" t="str">
        <f t="shared" si="12"/>
        <v>EC</v>
      </c>
      <c r="AH26" s="100" t="str">
        <f t="shared" si="15"/>
        <v>"%USERPROFILE%\Documents\GitHub\eaglep3\Utilities\RefineRTDCRunTimes.py" --tripid 113-30 --locoid 4042 --swversion DE.1.0.7.0 --startMP 204:458 --initTime 2016-08-30T04:58:06 --startdatetime 2016-08-30T05:15:16 --delay 0 --endMP 204:233288 --enddatetime 2016-08-30T05:51:31 --enforcementcount 0 &gt;&gt;C:\Users\stu\Documents\GitHub\eaglep3-reporting\EC\2016-08-30-refined-times.txt</v>
      </c>
      <c r="AI26" s="149" t="str">
        <f t="shared" si="16"/>
        <v>echo {"issue":{"subject":"","project_id":79,"tracker_id":40,"status_id":1,"priority_id":2,"assigned_to_id":23,"start_date":"2016-08-30","description":"","custom_fields":[{"id":1,"name":"Subdivision","value":"EC"},{"id":4,"name":"Milepost","value":"23.283"},{"id":17,"name":"Train ID","value":"113-30"},{"id":16,"name":"Locomotive ID","value":"4042"},{"id":130,"name":"Impact","value":""},{"id":150,"name":"Time of Event (Mountain Time)","value":"05:51:31"},{"id":151,"name":"Denver Issue ID","value":""},{"id":178,"name":"Operational Impact","value":"Yes"},{"id":179,"name":"Denver Segment Assigned","value":""}]}} | curl -X POST -H "Content-Type: application/json" -H "X-Redmine-API-Key: d6333d4a04012a730768444271f8ca06482dae87" https://secure.xorail.net/redmine/issues.json --data @-</v>
      </c>
      <c r="AJ26" s="55"/>
      <c r="AK26" s="55"/>
      <c r="AL26" s="55"/>
    </row>
    <row r="27" spans="1:38" s="1" customFormat="1" x14ac:dyDescent="0.25">
      <c r="A27" s="39" t="s">
        <v>406</v>
      </c>
      <c r="B27" s="7">
        <v>4041</v>
      </c>
      <c r="C27" s="24" t="s">
        <v>113</v>
      </c>
      <c r="D27" s="24" t="s">
        <v>586</v>
      </c>
      <c r="E27" s="15">
        <v>42612.251793981479</v>
      </c>
      <c r="F27" s="15">
        <v>42612.2578125</v>
      </c>
      <c r="G27" s="7">
        <v>1</v>
      </c>
      <c r="H27" s="15" t="s">
        <v>149</v>
      </c>
      <c r="I27" s="15">
        <v>42612.284768518519</v>
      </c>
      <c r="J27" s="7">
        <v>0</v>
      </c>
      <c r="K27" s="132" t="str">
        <f t="shared" si="0"/>
        <v>4041/4042</v>
      </c>
      <c r="L27" s="24" t="str">
        <f>VLOOKUP(A27,'Trips&amp;Operators'!$C$1:$E$10000,3,FALSE)</f>
        <v>KILLION</v>
      </c>
      <c r="M27" s="6">
        <f t="shared" si="1"/>
        <v>2.6956018518831115E-2</v>
      </c>
      <c r="N27" s="7">
        <f t="shared" si="21"/>
        <v>38.816666667116806</v>
      </c>
      <c r="O27" s="7"/>
      <c r="P27" s="7"/>
      <c r="Q27" s="25"/>
      <c r="R27" s="25"/>
      <c r="S27" s="37">
        <f t="shared" si="22"/>
        <v>1</v>
      </c>
      <c r="T27" s="52" t="str">
        <f t="shared" si="3"/>
        <v>Southbound</v>
      </c>
      <c r="U27" s="126">
        <f>IF(AG27="EC",COUNTIFS(Variables!$M$2:$M$19,IF(T27="NorthBound","&gt;=","&lt;=")&amp;Y27,Variables!$M$2:$M$19,IF(T27="NorthBound","&lt;=","&gt;=")&amp;Z27),COUNTIFS(Variables!$P$2:$P$19,IF(T27="NorthBound","&gt;=","&lt;=")&amp;Y27,Variables!$P$2:$P$19,IF(T27="NorthBound","&lt;=","&gt;=")&amp;Z27))</f>
        <v>12</v>
      </c>
      <c r="V27" s="106" t="str">
        <f t="shared" si="4"/>
        <v>https://search-rtdc-monitor-bjffxe2xuh6vdkpspy63sjmuny.us-east-1.es.amazonaws.com/_plugin/kibana/#/discover/Steve-Slow-Train-Analysis-(2080s-and-2083s)?_g=(refreshInterval:(display:Off,section:0,value:0),time:(from:'2016-08-30 05:02:35-0600',mode:absolute,to:'2016-08-30 07:50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27" s="54" t="str">
        <f t="shared" si="5"/>
        <v>N</v>
      </c>
      <c r="X27" s="120">
        <f t="shared" si="20"/>
        <v>1</v>
      </c>
      <c r="Y27" s="69">
        <f t="shared" si="6"/>
        <v>23.296900000000001</v>
      </c>
      <c r="Z27" s="69">
        <f t="shared" si="7"/>
        <v>1.5599999999999999E-2</v>
      </c>
      <c r="AA27" s="69">
        <f t="shared" si="8"/>
        <v>23.281300000000002</v>
      </c>
      <c r="AB27" s="66" t="e">
        <f>VLOOKUP(A27,Enforcements!$C$7:$J$21,8,0)</f>
        <v>#N/A</v>
      </c>
      <c r="AC27" s="62" t="e">
        <f>VLOOKUP(A27,Enforcements!$C$7:$E$21,3,0)</f>
        <v>#N/A</v>
      </c>
      <c r="AD27" s="63" t="str">
        <f t="shared" si="9"/>
        <v>0114-30</v>
      </c>
      <c r="AE27" s="99" t="str">
        <f t="shared" si="1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27" s="96" t="str">
        <f t="shared" si="11"/>
        <v>"C:\Program Files (x86)\AstroGrep\AstroGrep.exe" /spath="%USERPROFILE%\AppData\Local\Temp\OnboardLogs" /stypes="*4041*20160830*" /stext=" 12:.+((SYSTEM_STATE.+slice.+state.+changed )|(ment ac)|(system.+state.+changed )|(\|lc)|(penalty)|(\[timeout)|(PRM\|1\|D)|(kpr)|(kdp))" /e /r /s</v>
      </c>
      <c r="AG27" s="1" t="str">
        <f t="shared" si="12"/>
        <v>EC</v>
      </c>
      <c r="AH27" s="100" t="str">
        <f t="shared" si="15"/>
        <v>"%USERPROFILE%\Documents\GitHub\eaglep3\Utilities\RefineRTDCRunTimes.py" --tripid 114-30 --locoid 4041 --swversion DE.1.0.7.0 --startMP 204:232969 --initTime 2016-08-30T06:02:35 --startdatetime 2016-08-30T06:11:15 --delay 1 --endMP 204:156 --enddatetime 2016-08-30T06:50:04 --enforcementcount 0 &gt;&gt;C:\Users\stu\Documents\GitHub\eaglep3-reporting\EC\2016-08-30-refined-times.txt</v>
      </c>
      <c r="AI27" s="149" t="str">
        <f t="shared" si="16"/>
        <v>echo {"issue":{"subject":"","project_id":79,"tracker_id":40,"status_id":1,"priority_id":2,"assigned_to_id":23,"start_date":"2016-08-30","description":"","custom_fields":[{"id":1,"name":"Subdivision","value":"EC"},{"id":4,"name":"Milepost","value":"23.2813"},{"id":17,"name":"Train ID","value":"114-30"},{"id":16,"name":"Locomotive ID","value":"4041"},{"id":130,"name":"Impact","value":""},{"id":150,"name":"Time of Event (Mountain Time)","value":"06:50:04"},{"id":151,"name":"Denver Issue ID","value":""},{"id":178,"name":"Operational Impact","value":"Yes"},{"id":179,"name":"Denver Segment Assigned","value":""}]}} | curl -X POST -H "Content-Type: application/json" -H "X-Redmine-API-Key: d6333d4a04012a730768444271f8ca06482dae87" https://secure.xorail.net/redmine/issues.json --data @-</v>
      </c>
      <c r="AJ27" s="55"/>
      <c r="AK27" s="55"/>
      <c r="AL27" s="55"/>
    </row>
    <row r="28" spans="1:38" s="1" customFormat="1" x14ac:dyDescent="0.25">
      <c r="A28" s="39" t="s">
        <v>400</v>
      </c>
      <c r="B28" s="7">
        <v>4040</v>
      </c>
      <c r="C28" s="24" t="s">
        <v>113</v>
      </c>
      <c r="D28" s="24" t="s">
        <v>348</v>
      </c>
      <c r="E28" s="15">
        <v>42612.229490740741</v>
      </c>
      <c r="F28" s="15">
        <v>42612.232002314813</v>
      </c>
      <c r="G28" s="7">
        <v>1</v>
      </c>
      <c r="H28" s="15" t="s">
        <v>587</v>
      </c>
      <c r="I28" s="15">
        <v>42612.254861111112</v>
      </c>
      <c r="J28" s="7">
        <v>0</v>
      </c>
      <c r="K28" s="132" t="str">
        <f t="shared" si="0"/>
        <v>4039/4040</v>
      </c>
      <c r="L28" s="24" t="str">
        <f>VLOOKUP(A28,'Trips&amp;Operators'!$C$1:$E$10000,3,FALSE)</f>
        <v>ROCHA</v>
      </c>
      <c r="M28" s="6">
        <f t="shared" si="1"/>
        <v>2.2858796299260575E-2</v>
      </c>
      <c r="N28" s="7">
        <f t="shared" si="21"/>
        <v>32.916666670935228</v>
      </c>
      <c r="O28" s="7"/>
      <c r="P28" s="7"/>
      <c r="Q28" s="25"/>
      <c r="R28" s="25"/>
      <c r="S28" s="37">
        <f t="shared" si="22"/>
        <v>1</v>
      </c>
      <c r="T28" s="52" t="str">
        <f t="shared" si="3"/>
        <v>NorthBound</v>
      </c>
      <c r="U28" s="126">
        <f>IF(AG28="EC",COUNTIFS(Variables!$M$2:$M$19,IF(T28="NorthBound","&gt;=","&lt;=")&amp;Y28,Variables!$M$2:$M$19,IF(T28="NorthBound","&lt;=","&gt;=")&amp;Z28),COUNTIFS(Variables!$P$2:$P$19,IF(T28="NorthBound","&gt;=","&lt;=")&amp;Y28,Variables!$P$2:$P$19,IF(T28="NorthBound","&lt;=","&gt;=")&amp;Z28))</f>
        <v>12</v>
      </c>
      <c r="V28" s="106" t="str">
        <f t="shared" si="4"/>
        <v>https://search-rtdc-monitor-bjffxe2xuh6vdkpspy63sjmuny.us-east-1.es.amazonaws.com/_plugin/kibana/#/discover/Steve-Slow-Train-Analysis-(2080s-and-2083s)?_g=(refreshInterval:(display:Off,section:0,value:0),time:(from:'2016-08-30 04:30:28-0600',mode:absolute,to:'2016-08-30 07:07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28" s="54" t="str">
        <f t="shared" si="5"/>
        <v>N</v>
      </c>
      <c r="X28" s="120">
        <f t="shared" si="20"/>
        <v>1</v>
      </c>
      <c r="Y28" s="69">
        <f t="shared" si="6"/>
        <v>6.9199999999999998E-2</v>
      </c>
      <c r="Z28" s="69">
        <f t="shared" si="7"/>
        <v>23.3325</v>
      </c>
      <c r="AA28" s="69">
        <f t="shared" si="8"/>
        <v>23.263300000000001</v>
      </c>
      <c r="AB28" s="66" t="e">
        <f>VLOOKUP(A28,Enforcements!$C$7:$J$21,8,0)</f>
        <v>#N/A</v>
      </c>
      <c r="AC28" s="62" t="e">
        <f>VLOOKUP(A28,Enforcements!$C$7:$E$21,3,0)</f>
        <v>#N/A</v>
      </c>
      <c r="AD28" s="63" t="str">
        <f t="shared" si="9"/>
        <v>0115-30</v>
      </c>
      <c r="AE28" s="99" t="str">
        <f t="shared" si="1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28" s="96" t="str">
        <f t="shared" si="11"/>
        <v>"C:\Program Files (x86)\AstroGrep\AstroGrep.exe" /spath="%USERPROFILE%\AppData\Local\Temp\OnboardLogs" /stypes="*4040*20160830*" /stext=" 12:.+((SYSTEM_STATE.+slice.+state.+changed )|(ment ac)|(system.+state.+changed )|(\|lc)|(penalty)|(\[timeout)|(PRM\|1\|D)|(kpr)|(kdp))" /e /r /s</v>
      </c>
      <c r="AG28" s="1" t="str">
        <f t="shared" si="12"/>
        <v>EC</v>
      </c>
      <c r="AH28" s="100" t="str">
        <f t="shared" si="15"/>
        <v>"%USERPROFILE%\Documents\GitHub\eaglep3\Utilities\RefineRTDCRunTimes.py" --tripid 115-30 --locoid 4040 --swversion DE.1.0.7.0 --startMP 204:692 --initTime 2016-08-30T05:30:28 --startdatetime 2016-08-30T05:34:05 --delay 1 --endMP 204:233325 --enddatetime 2016-08-30T06:07:00 --enforcementcount 0 &gt;&gt;C:\Users\stu\Documents\GitHub\eaglep3-reporting\EC\2016-08-30-refined-times.txt</v>
      </c>
      <c r="AI28" s="149" t="str">
        <f t="shared" si="16"/>
        <v>echo {"issue":{"subject":"","project_id":79,"tracker_id":40,"status_id":1,"priority_id":2,"assigned_to_id":23,"start_date":"2016-08-30","description":"","custom_fields":[{"id":1,"name":"Subdivision","value":"EC"},{"id":4,"name":"Milepost","value":"23.2633"},{"id":17,"name":"Train ID","value":"115-30"},{"id":16,"name":"Locomotive ID","value":"4040"},{"id":130,"name":"Impact","value":""},{"id":150,"name":"Time of Event (Mountain Time)","value":"06:07:00"},{"id":151,"name":"Denver Issue ID","value":""},{"id":178,"name":"Operational Impact","value":"Yes"},{"id":179,"name":"Denver Segment Assigned","value":""}]}} | curl -X POST -H "Content-Type: application/json" -H "X-Redmine-API-Key: d6333d4a04012a730768444271f8ca06482dae87" https://secure.xorail.net/redmine/issues.json --data @-</v>
      </c>
      <c r="AJ28" s="55"/>
      <c r="AK28" s="55"/>
      <c r="AL28" s="55"/>
    </row>
    <row r="29" spans="1:38" s="1" customFormat="1" x14ac:dyDescent="0.25">
      <c r="A29" s="39" t="s">
        <v>410</v>
      </c>
      <c r="B29" s="7">
        <v>4039</v>
      </c>
      <c r="C29" s="24" t="s">
        <v>113</v>
      </c>
      <c r="D29" s="24" t="s">
        <v>329</v>
      </c>
      <c r="E29" s="15">
        <v>42612.268148148149</v>
      </c>
      <c r="F29" s="15">
        <v>42612.269837962966</v>
      </c>
      <c r="G29" s="7">
        <v>1</v>
      </c>
      <c r="H29" s="15" t="s">
        <v>177</v>
      </c>
      <c r="I29" s="15">
        <v>42612.294745370367</v>
      </c>
      <c r="J29" s="7">
        <v>0</v>
      </c>
      <c r="K29" s="132" t="str">
        <f t="shared" si="0"/>
        <v>4039/4040</v>
      </c>
      <c r="L29" s="24" t="str">
        <f>VLOOKUP(A29,'Trips&amp;Operators'!$C$1:$E$10000,3,FALSE)</f>
        <v>ROCHA</v>
      </c>
      <c r="M29" s="6">
        <f t="shared" si="1"/>
        <v>2.4907407401769888E-2</v>
      </c>
      <c r="N29" s="7">
        <f t="shared" si="21"/>
        <v>35.866666658548638</v>
      </c>
      <c r="O29" s="7"/>
      <c r="P29" s="7"/>
      <c r="Q29" s="25"/>
      <c r="R29" s="25"/>
      <c r="S29" s="37">
        <f t="shared" si="22"/>
        <v>1</v>
      </c>
      <c r="T29" s="52" t="str">
        <f t="shared" si="3"/>
        <v>Southbound</v>
      </c>
      <c r="U29" s="126">
        <f>IF(AG29="EC",COUNTIFS(Variables!$M$2:$M$19,IF(T29="NorthBound","&gt;=","&lt;=")&amp;Y29,Variables!$M$2:$M$19,IF(T29="NorthBound","&lt;=","&gt;=")&amp;Z29),COUNTIFS(Variables!$P$2:$P$19,IF(T29="NorthBound","&gt;=","&lt;=")&amp;Y29,Variables!$P$2:$P$19,IF(T29="NorthBound","&lt;=","&gt;=")&amp;Z29))</f>
        <v>12</v>
      </c>
      <c r="V29" s="106" t="str">
        <f t="shared" si="4"/>
        <v>https://search-rtdc-monitor-bjffxe2xuh6vdkpspy63sjmuny.us-east-1.es.amazonaws.com/_plugin/kibana/#/discover/Steve-Slow-Train-Analysis-(2080s-and-2083s)?_g=(refreshInterval:(display:Off,section:0,value:0),time:(from:'2016-08-30 05:26:08-0600',mode:absolute,to:'2016-08-30 08:04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29" s="54" t="str">
        <f t="shared" si="5"/>
        <v>N</v>
      </c>
      <c r="X29" s="120">
        <f t="shared" si="20"/>
        <v>1</v>
      </c>
      <c r="Y29" s="69">
        <f t="shared" si="6"/>
        <v>23.2987</v>
      </c>
      <c r="Z29" s="69">
        <f t="shared" si="7"/>
        <v>1.6E-2</v>
      </c>
      <c r="AA29" s="69">
        <f t="shared" si="8"/>
        <v>23.282700000000002</v>
      </c>
      <c r="AB29" s="66" t="e">
        <f>VLOOKUP(A29,Enforcements!$C$7:$J$21,8,0)</f>
        <v>#N/A</v>
      </c>
      <c r="AC29" s="62" t="e">
        <f>VLOOKUP(A29,Enforcements!$C$7:$E$21,3,0)</f>
        <v>#N/A</v>
      </c>
      <c r="AD29" s="63" t="str">
        <f t="shared" si="9"/>
        <v>0116-30</v>
      </c>
      <c r="AE29" s="99" t="str">
        <f t="shared" si="10"/>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29" s="96" t="str">
        <f t="shared" si="11"/>
        <v>"C:\Program Files (x86)\AstroGrep\AstroGrep.exe" /spath="%USERPROFILE%\AppData\Local\Temp\OnboardLogs" /stypes="*4039*20160830*" /stext=" 13:.+((SYSTEM_STATE.+slice.+state.+changed )|(ment ac)|(system.+state.+changed )|(\|lc)|(penalty)|(\[timeout)|(PRM\|1\|D)|(kpr)|(kdp))" /e /r /s</v>
      </c>
      <c r="AG29" s="1" t="str">
        <f t="shared" si="12"/>
        <v>EC</v>
      </c>
      <c r="AH29" s="100" t="str">
        <f t="shared" si="15"/>
        <v>"%USERPROFILE%\Documents\GitHub\eaglep3\Utilities\RefineRTDCRunTimes.py" --tripid 116-30 --locoid 4039 --swversion DE.1.0.7.0 --startMP 204:232987 --initTime 2016-08-30T06:26:08 --startdatetime 2016-08-30T06:28:34 --delay 1 --endMP 204:160 --enddatetime 2016-08-30T07:04:26 --enforcementcount 0 &gt;&gt;C:\Users\stu\Documents\GitHub\eaglep3-reporting\EC\2016-08-30-refined-times.txt</v>
      </c>
      <c r="AI29" s="149" t="str">
        <f t="shared" si="16"/>
        <v>echo {"issue":{"subject":"","project_id":79,"tracker_id":40,"status_id":1,"priority_id":2,"assigned_to_id":23,"start_date":"2016-08-30","description":"","custom_fields":[{"id":1,"name":"Subdivision","value":"EC"},{"id":4,"name":"Milepost","value":"23.2827"},{"id":17,"name":"Train ID","value":"116-30"},{"id":16,"name":"Locomotive ID","value":"4039"},{"id":130,"name":"Impact","value":""},{"id":150,"name":"Time of Event (Mountain Time)","value":"07:04:26"},{"id":151,"name":"Denver Issue ID","value":""},{"id":178,"name":"Operational Impact","value":"Yes"},{"id":179,"name":"Denver Segment Assigned","value":""}]}} | curl -X POST -H "Content-Type: application/json" -H "X-Redmine-API-Key: d6333d4a04012a730768444271f8ca06482dae87" https://secure.xorail.net/redmine/issues.json --data @-</v>
      </c>
      <c r="AJ29" s="55"/>
      <c r="AK29" s="55"/>
      <c r="AL29" s="55"/>
    </row>
    <row r="30" spans="1:38" s="1" customFormat="1" x14ac:dyDescent="0.25">
      <c r="A30" s="39" t="s">
        <v>403</v>
      </c>
      <c r="B30" s="7">
        <v>4038</v>
      </c>
      <c r="C30" s="24" t="s">
        <v>113</v>
      </c>
      <c r="D30" s="24" t="s">
        <v>295</v>
      </c>
      <c r="E30" s="15">
        <v>42612.233969907407</v>
      </c>
      <c r="F30" s="15">
        <v>42612.239895833336</v>
      </c>
      <c r="G30" s="7">
        <v>1</v>
      </c>
      <c r="H30" s="15" t="s">
        <v>588</v>
      </c>
      <c r="I30" s="15">
        <v>42612.265509259261</v>
      </c>
      <c r="J30" s="7">
        <v>0</v>
      </c>
      <c r="K30" s="132" t="str">
        <f t="shared" si="0"/>
        <v>4037/4038</v>
      </c>
      <c r="L30" s="24" t="str">
        <f>VLOOKUP(A30,'Trips&amp;Operators'!$C$1:$E$10000,3,FALSE)</f>
        <v>ARVIDSON</v>
      </c>
      <c r="M30" s="6">
        <f t="shared" si="1"/>
        <v>2.5613425925257616E-2</v>
      </c>
      <c r="N30" s="7">
        <f t="shared" si="21"/>
        <v>36.883333332370967</v>
      </c>
      <c r="O30" s="7"/>
      <c r="P30" s="7"/>
      <c r="Q30" s="25"/>
      <c r="R30" s="25"/>
      <c r="S30" s="37">
        <f t="shared" si="22"/>
        <v>1</v>
      </c>
      <c r="T30" s="52" t="str">
        <f t="shared" si="3"/>
        <v>NorthBound</v>
      </c>
      <c r="U30" s="126">
        <f>IF(AG30="EC",COUNTIFS(Variables!$M$2:$M$19,IF(T30="NorthBound","&gt;=","&lt;=")&amp;Y30,Variables!$M$2:$M$19,IF(T30="NorthBound","&lt;=","&gt;=")&amp;Z30),COUNTIFS(Variables!$P$2:$P$19,IF(T30="NorthBound","&gt;=","&lt;=")&amp;Y30,Variables!$P$2:$P$19,IF(T30="NorthBound","&lt;=","&gt;=")&amp;Z30))</f>
        <v>12</v>
      </c>
      <c r="V30" s="106" t="str">
        <f t="shared" si="4"/>
        <v>https://search-rtdc-monitor-bjffxe2xuh6vdkpspy63sjmuny.us-east-1.es.amazonaws.com/_plugin/kibana/#/discover/Steve-Slow-Train-Analysis-(2080s-and-2083s)?_g=(refreshInterval:(display:Off,section:0,value:0),time:(from:'2016-08-30 04:36:55-0600',mode:absolute,to:'2016-08-30 07:22: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30" s="54" t="str">
        <f t="shared" si="5"/>
        <v>N</v>
      </c>
      <c r="X30" s="120">
        <f t="shared" si="20"/>
        <v>1</v>
      </c>
      <c r="Y30" s="69">
        <f t="shared" si="6"/>
        <v>4.3099999999999999E-2</v>
      </c>
      <c r="Z30" s="69">
        <f t="shared" si="7"/>
        <v>23.328600000000002</v>
      </c>
      <c r="AA30" s="69">
        <f t="shared" si="8"/>
        <v>23.285500000000003</v>
      </c>
      <c r="AB30" s="66" t="e">
        <f>VLOOKUP(A30,Enforcements!$C$7:$J$21,8,0)</f>
        <v>#N/A</v>
      </c>
      <c r="AC30" s="62" t="e">
        <f>VLOOKUP(A30,Enforcements!$C$7:$E$21,3,0)</f>
        <v>#N/A</v>
      </c>
      <c r="AD30" s="63" t="str">
        <f t="shared" si="9"/>
        <v>0117-30</v>
      </c>
      <c r="AE30" s="99" t="str">
        <f t="shared" si="10"/>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30" s="96" t="str">
        <f t="shared" si="11"/>
        <v>"C:\Program Files (x86)\AstroGrep\AstroGrep.exe" /spath="%USERPROFILE%\AppData\Local\Temp\OnboardLogs" /stypes="*4038*20160830*" /stext=" 12:.+((SYSTEM_STATE.+slice.+state.+changed )|(ment ac)|(system.+state.+changed )|(\|lc)|(penalty)|(\[timeout)|(PRM\|1\|D)|(kpr)|(kdp))" /e /r /s</v>
      </c>
      <c r="AG30" s="1" t="str">
        <f t="shared" si="12"/>
        <v>EC</v>
      </c>
      <c r="AH30" s="100" t="str">
        <f t="shared" si="15"/>
        <v>"%USERPROFILE%\Documents\GitHub\eaglep3\Utilities\RefineRTDCRunTimes.py" --tripid 117-30 --locoid 4038 --swversion DE.1.0.7.0 --startMP 204:431 --initTime 2016-08-30T05:36:55 --startdatetime 2016-08-30T05:45:27 --delay 1 --endMP 204:233286 --enddatetime 2016-08-30T06:22:20 --enforcementcount 0 &gt;&gt;C:\Users\stu\Documents\GitHub\eaglep3-reporting\EC\2016-08-30-refined-times.txt</v>
      </c>
      <c r="AI30" s="149" t="str">
        <f t="shared" si="16"/>
        <v>echo {"issue":{"subject":"","project_id":79,"tracker_id":40,"status_id":1,"priority_id":2,"assigned_to_id":23,"start_date":"2016-08-30","description":"","custom_fields":[{"id":1,"name":"Subdivision","value":"EC"},{"id":4,"name":"Milepost","value":"23.2855"},{"id":17,"name":"Train ID","value":"117-30"},{"id":16,"name":"Locomotive ID","value":"4038"},{"id":130,"name":"Impact","value":""},{"id":150,"name":"Time of Event (Mountain Time)","value":"06:22:20"},{"id":151,"name":"Denver Issue ID","value":""},{"id":178,"name":"Operational Impact","value":"Yes"},{"id":179,"name":"Denver Segment Assigned","value":""}]}} | curl -X POST -H "Content-Type: application/json" -H "X-Redmine-API-Key: d6333d4a04012a730768444271f8ca06482dae87" https://secure.xorail.net/redmine/issues.json --data @-</v>
      </c>
      <c r="AJ30" s="55"/>
      <c r="AK30" s="55"/>
      <c r="AL30" s="55"/>
    </row>
    <row r="31" spans="1:38" s="1" customFormat="1" x14ac:dyDescent="0.25">
      <c r="A31" s="39" t="s">
        <v>411</v>
      </c>
      <c r="B31" s="7">
        <v>4037</v>
      </c>
      <c r="C31" s="24" t="s">
        <v>113</v>
      </c>
      <c r="D31" s="24" t="s">
        <v>336</v>
      </c>
      <c r="E31" s="15">
        <v>42612.272569444445</v>
      </c>
      <c r="F31" s="15">
        <v>42612.278819444444</v>
      </c>
      <c r="G31" s="7">
        <v>1</v>
      </c>
      <c r="H31" s="15" t="s">
        <v>149</v>
      </c>
      <c r="I31" s="15">
        <v>42612.306793981479</v>
      </c>
      <c r="J31" s="7">
        <v>0</v>
      </c>
      <c r="K31" s="132" t="str">
        <f t="shared" si="0"/>
        <v>4037/4038</v>
      </c>
      <c r="L31" s="24" t="str">
        <f>VLOOKUP(A31,'Trips&amp;Operators'!$C$1:$E$10000,3,FALSE)</f>
        <v>ARVIDSON</v>
      </c>
      <c r="M31" s="6">
        <f t="shared" si="1"/>
        <v>2.7974537035333924E-2</v>
      </c>
      <c r="N31" s="7">
        <f t="shared" si="21"/>
        <v>40.283333330880851</v>
      </c>
      <c r="O31" s="7"/>
      <c r="P31" s="7"/>
      <c r="Q31" s="25"/>
      <c r="R31" s="25"/>
      <c r="S31" s="37">
        <f t="shared" si="22"/>
        <v>1</v>
      </c>
      <c r="T31" s="52" t="str">
        <f t="shared" si="3"/>
        <v>Southbound</v>
      </c>
      <c r="U31" s="126">
        <f>IF(AG31="EC",COUNTIFS(Variables!$M$2:$M$19,IF(T31="NorthBound","&gt;=","&lt;=")&amp;Y31,Variables!$M$2:$M$19,IF(T31="NorthBound","&lt;=","&gt;=")&amp;Z31),COUNTIFS(Variables!$P$2:$P$19,IF(T31="NorthBound","&gt;=","&lt;=")&amp;Y31,Variables!$P$2:$P$19,IF(T31="NorthBound","&lt;=","&gt;=")&amp;Z31))</f>
        <v>12</v>
      </c>
      <c r="V31" s="106" t="str">
        <f t="shared" si="4"/>
        <v>https://search-rtdc-monitor-bjffxe2xuh6vdkpspy63sjmuny.us-east-1.es.amazonaws.com/_plugin/kibana/#/discover/Steve-Slow-Train-Analysis-(2080s-and-2083s)?_g=(refreshInterval:(display:Off,section:0,value:0),time:(from:'2016-08-30 05:32:30-0600',mode:absolute,to:'2016-08-30 08:21: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31" s="54" t="str">
        <f t="shared" si="5"/>
        <v>N</v>
      </c>
      <c r="X31" s="120">
        <f t="shared" si="20"/>
        <v>1</v>
      </c>
      <c r="Y31" s="69">
        <f t="shared" si="6"/>
        <v>23.296299999999999</v>
      </c>
      <c r="Z31" s="69">
        <f t="shared" si="7"/>
        <v>1.5599999999999999E-2</v>
      </c>
      <c r="AA31" s="69">
        <f t="shared" si="8"/>
        <v>23.2807</v>
      </c>
      <c r="AB31" s="66" t="e">
        <f>VLOOKUP(A31,Enforcements!$C$7:$J$21,8,0)</f>
        <v>#N/A</v>
      </c>
      <c r="AC31" s="62" t="e">
        <f>VLOOKUP(A31,Enforcements!$C$7:$E$21,3,0)</f>
        <v>#N/A</v>
      </c>
      <c r="AD31" s="63" t="str">
        <f t="shared" si="9"/>
        <v>0118-30</v>
      </c>
      <c r="AE31" s="99" t="str">
        <f t="shared" si="10"/>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31" s="96" t="str">
        <f t="shared" si="11"/>
        <v>"C:\Program Files (x86)\AstroGrep\AstroGrep.exe" /spath="%USERPROFILE%\AppData\Local\Temp\OnboardLogs" /stypes="*4037*20160830*" /stext=" 13:.+((SYSTEM_STATE.+slice.+state.+changed )|(ment ac)|(system.+state.+changed )|(\|lc)|(penalty)|(\[timeout)|(PRM\|1\|D)|(kpr)|(kdp))" /e /r /s</v>
      </c>
      <c r="AG31" s="1" t="str">
        <f t="shared" si="12"/>
        <v>EC</v>
      </c>
      <c r="AH31" s="100" t="str">
        <f t="shared" si="15"/>
        <v>"%USERPROFILE%\Documents\GitHub\eaglep3\Utilities\RefineRTDCRunTimes.py" --tripid 118-30 --locoid 4037 --swversion DE.1.0.7.0 --startMP 204:232963 --initTime 2016-08-30T06:32:30 --startdatetime 2016-08-30T06:41:30 --delay 1 --endMP 204:156 --enddatetime 2016-08-30T07:21:47 --enforcementcount 0 &gt;&gt;C:\Users\stu\Documents\GitHub\eaglep3-reporting\EC\2016-08-30-refined-times.txt</v>
      </c>
      <c r="AI31" s="149" t="str">
        <f t="shared" si="16"/>
        <v>echo {"issue":{"subject":"","project_id":79,"tracker_id":40,"status_id":1,"priority_id":2,"assigned_to_id":23,"start_date":"2016-08-30","description":"","custom_fields":[{"id":1,"name":"Subdivision","value":"EC"},{"id":4,"name":"Milepost","value":"23.2807"},{"id":17,"name":"Train ID","value":"118-30"},{"id":16,"name":"Locomotive ID","value":"4037"},{"id":130,"name":"Impact","value":""},{"id":150,"name":"Time of Event (Mountain Time)","value":"07:21:47"},{"id":151,"name":"Denver Issue ID","value":""},{"id":178,"name":"Operational Impact","value":"Yes"},{"id":179,"name":"Denver Segment Assigned","value":""}]}} | curl -X POST -H "Content-Type: application/json" -H "X-Redmine-API-Key: d6333d4a04012a730768444271f8ca06482dae87" https://secure.xorail.net/redmine/issues.json --data @-</v>
      </c>
      <c r="AJ31" s="55"/>
      <c r="AK31" s="55"/>
      <c r="AL31" s="55"/>
    </row>
    <row r="32" spans="1:38" s="1" customFormat="1" x14ac:dyDescent="0.25">
      <c r="A32" s="39" t="s">
        <v>357</v>
      </c>
      <c r="B32" s="7">
        <v>4020</v>
      </c>
      <c r="C32" s="24" t="s">
        <v>113</v>
      </c>
      <c r="D32" s="24" t="s">
        <v>589</v>
      </c>
      <c r="E32" s="15">
        <v>42612.248912037037</v>
      </c>
      <c r="F32" s="15">
        <v>42612.250335648147</v>
      </c>
      <c r="G32" s="7">
        <v>1</v>
      </c>
      <c r="H32" s="15" t="s">
        <v>590</v>
      </c>
      <c r="I32" s="15">
        <v>42612.27621527778</v>
      </c>
      <c r="J32" s="7">
        <v>0</v>
      </c>
      <c r="K32" s="132" t="str">
        <f t="shared" si="0"/>
        <v>4019/4020</v>
      </c>
      <c r="L32" s="24" t="str">
        <f>VLOOKUP(A32,'Trips&amp;Operators'!$C$1:$E$10000,3,FALSE)</f>
        <v>SMITH</v>
      </c>
      <c r="M32" s="6">
        <f t="shared" si="1"/>
        <v>2.587962963298196E-2</v>
      </c>
      <c r="N32" s="7">
        <f t="shared" si="21"/>
        <v>37.266666671494022</v>
      </c>
      <c r="O32" s="7"/>
      <c r="P32" s="7"/>
      <c r="Q32" s="25"/>
      <c r="R32" s="25"/>
      <c r="S32" s="37">
        <f t="shared" si="22"/>
        <v>1</v>
      </c>
      <c r="T32" s="52" t="str">
        <f t="shared" si="3"/>
        <v>NorthBound</v>
      </c>
      <c r="U32" s="126">
        <f>IF(AG32="EC",COUNTIFS(Variables!$M$2:$M$19,IF(T32="NorthBound","&gt;=","&lt;=")&amp;Y32,Variables!$M$2:$M$19,IF(T32="NorthBound","&lt;=","&gt;=")&amp;Z32),COUNTIFS(Variables!$P$2:$P$19,IF(T32="NorthBound","&gt;=","&lt;=")&amp;Y32,Variables!$P$2:$P$19,IF(T32="NorthBound","&lt;=","&gt;=")&amp;Z32))</f>
        <v>12</v>
      </c>
      <c r="V32" s="106" t="str">
        <f t="shared" si="4"/>
        <v>https://search-rtdc-monitor-bjffxe2xuh6vdkpspy63sjmuny.us-east-1.es.amazonaws.com/_plugin/kibana/#/discover/Steve-Slow-Train-Analysis-(2080s-and-2083s)?_g=(refreshInterval:(display:Off,section:0,value:0),time:(from:'2016-08-30 04:58:26-0600',mode:absolute,to:'2016-08-30 07:37: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32" s="54" t="str">
        <f t="shared" si="5"/>
        <v>N</v>
      </c>
      <c r="X32" s="120">
        <f t="shared" si="20"/>
        <v>1</v>
      </c>
      <c r="Y32" s="69">
        <f t="shared" si="6"/>
        <v>7.5700000000000003E-2</v>
      </c>
      <c r="Z32" s="69">
        <f t="shared" si="7"/>
        <v>23.331499999999998</v>
      </c>
      <c r="AA32" s="69">
        <f t="shared" si="8"/>
        <v>23.255799999999997</v>
      </c>
      <c r="AB32" s="66">
        <f>VLOOKUP(A32,Enforcements!$C$7:$J$21,8,0)</f>
        <v>230436</v>
      </c>
      <c r="AC32" s="62" t="str">
        <f>VLOOKUP(A32,Enforcements!$C$7:$E$21,3,0)</f>
        <v>PERMANENT SPEED RESTRICTION</v>
      </c>
      <c r="AD32" s="63" t="str">
        <f t="shared" si="9"/>
        <v>0119-30</v>
      </c>
      <c r="AE32" s="99" t="str">
        <f t="shared" si="1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32" s="96" t="str">
        <f t="shared" si="11"/>
        <v>"C:\Program Files (x86)\AstroGrep\AstroGrep.exe" /spath="%USERPROFILE%\AppData\Local\Temp\OnboardLogs" /stypes="*4020*20160830*" /stext=" 12:.+((SYSTEM_STATE.+slice.+state.+changed )|(ment ac)|(system.+state.+changed )|(\|lc)|(penalty)|(\[timeout)|(PRM\|1\|D)|(kpr)|(kdp))" /e /r /s</v>
      </c>
      <c r="AG32" s="1" t="str">
        <f t="shared" si="12"/>
        <v>EC</v>
      </c>
      <c r="AH32" s="100" t="str">
        <f t="shared" si="15"/>
        <v>"%USERPROFILE%\Documents\GitHub\eaglep3\Utilities\RefineRTDCRunTimes.py" --tripid 119-30 --locoid 4020 --swversion DE.1.0.7.0 --startMP 204:757 --initTime 2016-08-30T05:58:26 --startdatetime 2016-08-30T06:00:29 --delay 1 --endMP 204:233315 --enddatetime 2016-08-30T06:37:45 --enforcementcount 0 &gt;&gt;C:\Users\stu\Documents\GitHub\eaglep3-reporting\EC\2016-08-30-refined-times.txt</v>
      </c>
      <c r="AI32" s="149" t="str">
        <f t="shared" si="16"/>
        <v>echo {"issue":{"subject":"","project_id":79,"tracker_id":40,"status_id":1,"priority_id":2,"assigned_to_id":23,"start_date":"2016-08-30","description":"","custom_fields":[{"id":1,"name":"Subdivision","value":"EC"},{"id":4,"name":"Milepost","value":"23.2558"},{"id":17,"name":"Train ID","value":"119-30"},{"id":16,"name":"Locomotive ID","value":"4020"},{"id":130,"name":"Impact","value":""},{"id":150,"name":"Time of Event (Mountain Time)","value":"06:37:45"},{"id":151,"name":"Denver Issue ID","value":""},{"id":178,"name":"Operational Impact","value":"Yes"},{"id":179,"name":"Denver Segment Assigned","value":""}]}} | curl -X POST -H "Content-Type: application/json" -H "X-Redmine-API-Key: d6333d4a04012a730768444271f8ca06482dae87" https://secure.xorail.net/redmine/issues.json --data @-</v>
      </c>
      <c r="AJ32" s="55"/>
      <c r="AK32" s="55"/>
      <c r="AL32" s="55"/>
    </row>
    <row r="33" spans="1:38" s="1" customFormat="1" ht="16.5" customHeight="1" x14ac:dyDescent="0.25">
      <c r="A33" s="39" t="s">
        <v>412</v>
      </c>
      <c r="B33" s="7">
        <v>4019</v>
      </c>
      <c r="C33" s="24" t="s">
        <v>113</v>
      </c>
      <c r="D33" s="24" t="s">
        <v>294</v>
      </c>
      <c r="E33" s="15">
        <v>42612.284212962964</v>
      </c>
      <c r="F33" s="15">
        <v>42612.289085648146</v>
      </c>
      <c r="G33" s="7">
        <v>1</v>
      </c>
      <c r="H33" s="15" t="s">
        <v>89</v>
      </c>
      <c r="I33" s="15">
        <v>42612.318668981483</v>
      </c>
      <c r="J33" s="7">
        <v>0</v>
      </c>
      <c r="K33" s="132" t="str">
        <f t="shared" si="0"/>
        <v>4019/4020</v>
      </c>
      <c r="L33" s="24" t="str">
        <f>VLOOKUP(A33,'Trips&amp;Operators'!$C$1:$E$10000,3,FALSE)</f>
        <v>SMITH</v>
      </c>
      <c r="M33" s="6">
        <f t="shared" si="1"/>
        <v>2.9583333336631767E-2</v>
      </c>
      <c r="N33" s="7">
        <f t="shared" si="21"/>
        <v>42.600000004749745</v>
      </c>
      <c r="O33" s="7"/>
      <c r="P33" s="7"/>
      <c r="Q33" s="25"/>
      <c r="R33" s="25"/>
      <c r="S33" s="37">
        <f t="shared" si="22"/>
        <v>1</v>
      </c>
      <c r="T33" s="52" t="str">
        <f t="shared" si="3"/>
        <v>Southbound</v>
      </c>
      <c r="U33" s="126">
        <f>IF(AG33="EC",COUNTIFS(Variables!$M$2:$M$19,IF(T33="NorthBound","&gt;=","&lt;=")&amp;Y33,Variables!$M$2:$M$19,IF(T33="NorthBound","&lt;=","&gt;=")&amp;Z33),COUNTIFS(Variables!$P$2:$P$19,IF(T33="NorthBound","&gt;=","&lt;=")&amp;Y33,Variables!$P$2:$P$19,IF(T33="NorthBound","&lt;=","&gt;=")&amp;Z33))</f>
        <v>12</v>
      </c>
      <c r="V33" s="106" t="str">
        <f t="shared" si="4"/>
        <v>https://search-rtdc-monitor-bjffxe2xuh6vdkpspy63sjmuny.us-east-1.es.amazonaws.com/_plugin/kibana/#/discover/Steve-Slow-Train-Analysis-(2080s-and-2083s)?_g=(refreshInterval:(display:Off,section:0,value:0),time:(from:'2016-08-30 05:49:16-0600',mode:absolute,to:'2016-08-30 08:38: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33" s="54" t="str">
        <f t="shared" si="5"/>
        <v>N</v>
      </c>
      <c r="X33" s="120">
        <f t="shared" si="20"/>
        <v>1</v>
      </c>
      <c r="Y33" s="69">
        <f t="shared" si="6"/>
        <v>23.300799999999999</v>
      </c>
      <c r="Z33" s="69">
        <f t="shared" si="7"/>
        <v>1.43E-2</v>
      </c>
      <c r="AA33" s="69">
        <f t="shared" si="8"/>
        <v>23.2865</v>
      </c>
      <c r="AB33" s="66" t="e">
        <f>VLOOKUP(A33,Enforcements!$C$7:$J$21,8,0)</f>
        <v>#N/A</v>
      </c>
      <c r="AC33" s="62" t="e">
        <f>VLOOKUP(A33,Enforcements!$C$7:$E$21,3,0)</f>
        <v>#N/A</v>
      </c>
      <c r="AD33" s="63" t="str">
        <f t="shared" si="9"/>
        <v>0120-30</v>
      </c>
      <c r="AE33" s="99" t="str">
        <f t="shared" si="10"/>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33" s="96" t="str">
        <f t="shared" si="11"/>
        <v>"C:\Program Files (x86)\AstroGrep\AstroGrep.exe" /spath="%USERPROFILE%\AppData\Local\Temp\OnboardLogs" /stypes="*4019*20160830*" /stext=" 13:.+((SYSTEM_STATE.+slice.+state.+changed )|(ment ac)|(system.+state.+changed )|(\|lc)|(penalty)|(\[timeout)|(PRM\|1\|D)|(kpr)|(kdp))" /e /r /s</v>
      </c>
      <c r="AG33" s="1" t="str">
        <f t="shared" si="12"/>
        <v>EC</v>
      </c>
      <c r="AH33" s="100" t="str">
        <f t="shared" si="15"/>
        <v>"%USERPROFILE%\Documents\GitHub\eaglep3\Utilities\RefineRTDCRunTimes.py" --tripid 120-30 --locoid 4019 --swversion DE.1.0.7.0 --startMP 204:233008 --initTime 2016-08-30T06:49:16 --startdatetime 2016-08-30T06:56:17 --delay 1 --endMP 204:143 --enddatetime 2016-08-30T07:38:53 --enforcementcount 0 &gt;&gt;C:\Users\stu\Documents\GitHub\eaglep3-reporting\EC\2016-08-30-refined-times.txt</v>
      </c>
      <c r="AI33" s="149" t="str">
        <f t="shared" si="16"/>
        <v>echo {"issue":{"subject":"","project_id":79,"tracker_id":40,"status_id":1,"priority_id":2,"assigned_to_id":23,"start_date":"2016-08-30","description":"","custom_fields":[{"id":1,"name":"Subdivision","value":"EC"},{"id":4,"name":"Milepost","value":"23.2865"},{"id":17,"name":"Train ID","value":"120-30"},{"id":16,"name":"Locomotive ID","value":"4019"},{"id":130,"name":"Impact","value":""},{"id":150,"name":"Time of Event (Mountain Time)","value":"07:38:53"},{"id":151,"name":"Denver Issue ID","value":""},{"id":178,"name":"Operational Impact","value":"Yes"},{"id":179,"name":"Denver Segment Assigned","value":""}]}} | curl -X POST -H "Content-Type: application/json" -H "X-Redmine-API-Key: d6333d4a04012a730768444271f8ca06482dae87" https://secure.xorail.net/redmine/issues.json --data @-</v>
      </c>
      <c r="AJ33" s="55"/>
      <c r="AK33" s="55"/>
      <c r="AL33" s="55"/>
    </row>
    <row r="34" spans="1:38" s="1" customFormat="1" x14ac:dyDescent="0.25">
      <c r="A34" s="39" t="s">
        <v>408</v>
      </c>
      <c r="B34" s="7">
        <v>4018</v>
      </c>
      <c r="C34" s="24" t="s">
        <v>113</v>
      </c>
      <c r="D34" s="24" t="s">
        <v>109</v>
      </c>
      <c r="E34" s="15">
        <v>42612.255312499998</v>
      </c>
      <c r="F34" s="15">
        <v>42612.260671296295</v>
      </c>
      <c r="G34" s="7">
        <v>1</v>
      </c>
      <c r="H34" s="15" t="s">
        <v>591</v>
      </c>
      <c r="I34" s="15">
        <v>42612.286203703705</v>
      </c>
      <c r="J34" s="7">
        <v>0</v>
      </c>
      <c r="K34" s="132" t="str">
        <f t="shared" si="0"/>
        <v>4017/4018</v>
      </c>
      <c r="L34" s="24" t="str">
        <f>VLOOKUP(A34,'Trips&amp;Operators'!$C$1:$E$10000,3,FALSE)</f>
        <v>SPECTOR</v>
      </c>
      <c r="M34" s="6">
        <f t="shared" si="1"/>
        <v>2.5532407409627922E-2</v>
      </c>
      <c r="N34" s="7">
        <f t="shared" si="21"/>
        <v>36.766666669864208</v>
      </c>
      <c r="O34" s="7"/>
      <c r="P34" s="7"/>
      <c r="Q34" s="25"/>
      <c r="R34" s="25"/>
      <c r="S34" s="37">
        <f t="shared" si="22"/>
        <v>1</v>
      </c>
      <c r="T34" s="52" t="str">
        <f t="shared" si="3"/>
        <v>NorthBound</v>
      </c>
      <c r="U34" s="126">
        <f>IF(AG34="EC",COUNTIFS(Variables!$M$2:$M$19,IF(T34="NorthBound","&gt;=","&lt;=")&amp;Y34,Variables!$M$2:$M$19,IF(T34="NorthBound","&lt;=","&gt;=")&amp;Z34),COUNTIFS(Variables!$P$2:$P$19,IF(T34="NorthBound","&gt;=","&lt;=")&amp;Y34,Variables!$P$2:$P$19,IF(T34="NorthBound","&lt;=","&gt;=")&amp;Z34))</f>
        <v>12</v>
      </c>
      <c r="V34" s="106" t="str">
        <f t="shared" si="4"/>
        <v>https://search-rtdc-monitor-bjffxe2xuh6vdkpspy63sjmuny.us-east-1.es.amazonaws.com/_plugin/kibana/#/discover/Steve-Slow-Train-Analysis-(2080s-and-2083s)?_g=(refreshInterval:(display:Off,section:0,value:0),time:(from:'2016-08-30 05:07:39-0600',mode:absolute,to:'2016-08-30 07: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34" s="54" t="str">
        <f t="shared" si="5"/>
        <v>N</v>
      </c>
      <c r="X34" s="120">
        <f t="shared" si="20"/>
        <v>1</v>
      </c>
      <c r="Y34" s="69">
        <f t="shared" si="6"/>
        <v>4.6199999999999998E-2</v>
      </c>
      <c r="Z34" s="69">
        <f t="shared" si="7"/>
        <v>23.3324</v>
      </c>
      <c r="AA34" s="69">
        <f t="shared" si="8"/>
        <v>23.286200000000001</v>
      </c>
      <c r="AB34" s="66" t="e">
        <f>VLOOKUP(A34,Enforcements!$C$7:$J$21,8,0)</f>
        <v>#N/A</v>
      </c>
      <c r="AC34" s="62" t="e">
        <f>VLOOKUP(A34,Enforcements!$C$7:$E$21,3,0)</f>
        <v>#N/A</v>
      </c>
      <c r="AD34" s="63" t="str">
        <f t="shared" si="9"/>
        <v>0121-30</v>
      </c>
      <c r="AE34" s="99" t="str">
        <f t="shared" si="1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34" s="96" t="str">
        <f t="shared" si="11"/>
        <v>"C:\Program Files (x86)\AstroGrep\AstroGrep.exe" /spath="%USERPROFILE%\AppData\Local\Temp\OnboardLogs" /stypes="*4018*20160830*" /stext=" 12:.+((SYSTEM_STATE.+slice.+state.+changed )|(ment ac)|(system.+state.+changed )|(\|lc)|(penalty)|(\[timeout)|(PRM\|1\|D)|(kpr)|(kdp))" /e /r /s</v>
      </c>
      <c r="AG34" s="1" t="str">
        <f t="shared" si="12"/>
        <v>EC</v>
      </c>
      <c r="AH34" s="100" t="str">
        <f t="shared" si="15"/>
        <v>"%USERPROFILE%\Documents\GitHub\eaglep3\Utilities\RefineRTDCRunTimes.py" --tripid 121-30 --locoid 4018 --swversion DE.1.0.7.0 --startMP 204:462 --initTime 2016-08-30T06:07:39 --startdatetime 2016-08-30T06:15:22 --delay 1 --endMP 204:233324 --enddatetime 2016-08-30T06:52:08 --enforcementcount 0 &gt;&gt;C:\Users\stu\Documents\GitHub\eaglep3-reporting\EC\2016-08-30-refined-times.txt</v>
      </c>
      <c r="AI34" s="149" t="str">
        <f t="shared" si="16"/>
        <v>echo {"issue":{"subject":"","project_id":79,"tracker_id":40,"status_id":1,"priority_id":2,"assigned_to_id":23,"start_date":"2016-08-30","description":"","custom_fields":[{"id":1,"name":"Subdivision","value":"EC"},{"id":4,"name":"Milepost","value":"23.2862"},{"id":17,"name":"Train ID","value":"121-30"},{"id":16,"name":"Locomotive ID","value":"4018"},{"id":130,"name":"Impact","value":""},{"id":150,"name":"Time of Event (Mountain Time)","value":"06:52:08"},{"id":151,"name":"Denver Issue ID","value":""},{"id":178,"name":"Operational Impact","value":"Yes"},{"id":179,"name":"Denver Segment Assigned","value":""}]}} | curl -X POST -H "Content-Type: application/json" -H "X-Redmine-API-Key: d6333d4a04012a730768444271f8ca06482dae87" https://secure.xorail.net/redmine/issues.json --data @-</v>
      </c>
      <c r="AJ34" s="55"/>
      <c r="AK34" s="55"/>
      <c r="AL34" s="55"/>
    </row>
    <row r="35" spans="1:38" s="31" customFormat="1" x14ac:dyDescent="0.25">
      <c r="A35" s="39" t="s">
        <v>415</v>
      </c>
      <c r="B35" s="7">
        <v>4017</v>
      </c>
      <c r="C35" s="24" t="s">
        <v>113</v>
      </c>
      <c r="D35" s="24" t="s">
        <v>334</v>
      </c>
      <c r="E35" s="15">
        <v>42612.294409722221</v>
      </c>
      <c r="F35" s="15">
        <v>42612.299490740741</v>
      </c>
      <c r="G35" s="7">
        <v>1</v>
      </c>
      <c r="H35" s="15" t="s">
        <v>186</v>
      </c>
      <c r="I35" s="15">
        <v>42612.329444444447</v>
      </c>
      <c r="J35" s="7">
        <v>0</v>
      </c>
      <c r="K35" s="132" t="str">
        <f t="shared" si="0"/>
        <v>4017/4018</v>
      </c>
      <c r="L35" s="24" t="str">
        <f>VLOOKUP(A35,'Trips&amp;Operators'!$C$1:$E$10000,3,FALSE)</f>
        <v>SPECTOR</v>
      </c>
      <c r="M35" s="6">
        <f t="shared" si="1"/>
        <v>2.9953703706269152E-2</v>
      </c>
      <c r="N35" s="7">
        <f t="shared" si="21"/>
        <v>43.13333333702758</v>
      </c>
      <c r="O35" s="7"/>
      <c r="P35" s="7"/>
      <c r="Q35" s="25"/>
      <c r="R35" s="25"/>
      <c r="S35" s="37">
        <f t="shared" si="22"/>
        <v>1</v>
      </c>
      <c r="T35" s="52" t="str">
        <f t="shared" si="3"/>
        <v>Southbound</v>
      </c>
      <c r="U35" s="126">
        <f>IF(AG35="EC",COUNTIFS(Variables!$M$2:$M$19,IF(T35="NorthBound","&gt;=","&lt;=")&amp;Y35,Variables!$M$2:$M$19,IF(T35="NorthBound","&lt;=","&gt;=")&amp;Z35),COUNTIFS(Variables!$P$2:$P$19,IF(T35="NorthBound","&gt;=","&lt;=")&amp;Y35,Variables!$P$2:$P$19,IF(T35="NorthBound","&lt;=","&gt;=")&amp;Z35))</f>
        <v>12</v>
      </c>
      <c r="V35" s="106" t="str">
        <f t="shared" si="4"/>
        <v>https://search-rtdc-monitor-bjffxe2xuh6vdkpspy63sjmuny.us-east-1.es.amazonaws.com/_plugin/kibana/#/discover/Steve-Slow-Train-Analysis-(2080s-and-2083s)?_g=(refreshInterval:(display:Off,section:0,value:0),time:(from:'2016-08-30 06:03:57-0600',mode:absolute,to:'2016-08-30 08: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35" s="54" t="str">
        <f t="shared" si="5"/>
        <v>N</v>
      </c>
      <c r="X35" s="120">
        <f t="shared" si="20"/>
        <v>1</v>
      </c>
      <c r="Y35" s="69">
        <f t="shared" si="6"/>
        <v>23.3001</v>
      </c>
      <c r="Z35" s="69">
        <f t="shared" si="7"/>
        <v>1.3899999999999999E-2</v>
      </c>
      <c r="AA35" s="69">
        <f t="shared" si="8"/>
        <v>23.286200000000001</v>
      </c>
      <c r="AB35" s="66" t="e">
        <f>VLOOKUP(A35,Enforcements!$C$7:$J$21,8,0)</f>
        <v>#N/A</v>
      </c>
      <c r="AC35" s="62" t="e">
        <f>VLOOKUP(A35,Enforcements!$C$7:$E$21,3,0)</f>
        <v>#N/A</v>
      </c>
      <c r="AD35" s="63" t="str">
        <f t="shared" si="9"/>
        <v>0122-30</v>
      </c>
      <c r="AE35" s="99" t="str">
        <f t="shared" si="1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35" s="96" t="str">
        <f t="shared" si="11"/>
        <v>"C:\Program Files (x86)\AstroGrep\AstroGrep.exe" /spath="%USERPROFILE%\AppData\Local\Temp\OnboardLogs" /stypes="*4017*20160830*" /stext=" 13:.+((SYSTEM_STATE.+slice.+state.+changed )|(ment ac)|(system.+state.+changed )|(\|lc)|(penalty)|(\[timeout)|(PRM\|1\|D)|(kpr)|(kdp))" /e /r /s</v>
      </c>
      <c r="AG35" s="1" t="str">
        <f t="shared" si="12"/>
        <v>EC</v>
      </c>
      <c r="AH35" s="100" t="str">
        <f t="shared" si="15"/>
        <v>"%USERPROFILE%\Documents\GitHub\eaglep3\Utilities\RefineRTDCRunTimes.py" --tripid 122-30 --locoid 4017 --swversion DE.1.0.7.0 --startMP 204:233001 --initTime 2016-08-30T07:03:57 --startdatetime 2016-08-30T07:11:16 --delay 1 --endMP 204:139 --enddatetime 2016-08-30T07:54:24 --enforcementcount 0 &gt;&gt;C:\Users\stu\Documents\GitHub\eaglep3-reporting\EC\2016-08-30-refined-times.txt</v>
      </c>
      <c r="AI35" s="149" t="str">
        <f t="shared" si="16"/>
        <v>echo {"issue":{"subject":"","project_id":79,"tracker_id":40,"status_id":1,"priority_id":2,"assigned_to_id":23,"start_date":"2016-08-30","description":"","custom_fields":[{"id":1,"name":"Subdivision","value":"EC"},{"id":4,"name":"Milepost","value":"23.2862"},{"id":17,"name":"Train ID","value":"122-30"},{"id":16,"name":"Locomotive ID","value":"4017"},{"id":130,"name":"Impact","value":""},{"id":150,"name":"Time of Event (Mountain Time)","value":"07:54:24"},{"id":151,"name":"Denver Issue ID","value":""},{"id":178,"name":"Operational Impact","value":"Yes"},{"id":179,"name":"Denver Segment Assigned","value":""}]}} | curl -X POST -H "Content-Type: application/json" -H "X-Redmine-API-Key: d6333d4a04012a730768444271f8ca06482dae87" https://secure.xorail.net/redmine/issues.json --data @-</v>
      </c>
      <c r="AJ35" s="55"/>
      <c r="AK35" s="55"/>
      <c r="AL35" s="55"/>
    </row>
    <row r="36" spans="1:38" s="1" customFormat="1" x14ac:dyDescent="0.25">
      <c r="A36" s="39" t="s">
        <v>409</v>
      </c>
      <c r="B36" s="7">
        <v>4029</v>
      </c>
      <c r="C36" s="24" t="s">
        <v>113</v>
      </c>
      <c r="D36" s="24" t="s">
        <v>190</v>
      </c>
      <c r="E36" s="15">
        <v>42612.265810185185</v>
      </c>
      <c r="F36" s="15">
        <v>42612.270983796298</v>
      </c>
      <c r="G36" s="7">
        <v>1</v>
      </c>
      <c r="H36" s="15" t="s">
        <v>592</v>
      </c>
      <c r="I36" s="15">
        <v>42612.2969212963</v>
      </c>
      <c r="J36" s="7">
        <v>0</v>
      </c>
      <c r="K36" s="132" t="str">
        <f t="shared" si="0"/>
        <v>4029/4030</v>
      </c>
      <c r="L36" s="24" t="str">
        <f>VLOOKUP(A36,'Trips&amp;Operators'!$C$1:$E$10000,3,FALSE)</f>
        <v>DAVIS</v>
      </c>
      <c r="M36" s="6">
        <f t="shared" si="1"/>
        <v>2.5937500002328306E-2</v>
      </c>
      <c r="N36" s="7">
        <f t="shared" si="21"/>
        <v>37.350000003352761</v>
      </c>
      <c r="O36" s="7"/>
      <c r="P36" s="7"/>
      <c r="Q36" s="25"/>
      <c r="R36" s="25"/>
      <c r="S36" s="37">
        <f t="shared" si="22"/>
        <v>1</v>
      </c>
      <c r="T36" s="52" t="str">
        <f t="shared" si="3"/>
        <v>NorthBound</v>
      </c>
      <c r="U36" s="126">
        <f>IF(AG36="EC",COUNTIFS(Variables!$M$2:$M$19,IF(T36="NorthBound","&gt;=","&lt;=")&amp;Y36,Variables!$M$2:$M$19,IF(T36="NorthBound","&lt;=","&gt;=")&amp;Z36),COUNTIFS(Variables!$P$2:$P$19,IF(T36="NorthBound","&gt;=","&lt;=")&amp;Y36,Variables!$P$2:$P$19,IF(T36="NorthBound","&lt;=","&gt;=")&amp;Z36))</f>
        <v>12</v>
      </c>
      <c r="V36" s="106" t="str">
        <f t="shared" si="4"/>
        <v>https://search-rtdc-monitor-bjffxe2xuh6vdkpspy63sjmuny.us-east-1.es.amazonaws.com/_plugin/kibana/#/discover/Steve-Slow-Train-Analysis-(2080s-and-2083s)?_g=(refreshInterval:(display:Off,section:0,value:0),time:(from:'2016-08-30 05:22:46-0600',mode:absolute,to:'2016-08-30 08:07: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36" s="54" t="str">
        <f t="shared" si="5"/>
        <v>N</v>
      </c>
      <c r="X36" s="120">
        <f t="shared" si="20"/>
        <v>1</v>
      </c>
      <c r="Y36" s="69">
        <f t="shared" si="6"/>
        <v>4.6399999999999997E-2</v>
      </c>
      <c r="Z36" s="69">
        <f t="shared" si="7"/>
        <v>23.333100000000002</v>
      </c>
      <c r="AA36" s="69">
        <f t="shared" si="8"/>
        <v>23.286700000000003</v>
      </c>
      <c r="AB36" s="66" t="e">
        <f>VLOOKUP(A36,Enforcements!$C$7:$J$21,8,0)</f>
        <v>#N/A</v>
      </c>
      <c r="AC36" s="62" t="e">
        <f>VLOOKUP(A36,Enforcements!$C$7:$E$21,3,0)</f>
        <v>#N/A</v>
      </c>
      <c r="AD36" s="63" t="str">
        <f t="shared" si="9"/>
        <v>0123-30</v>
      </c>
      <c r="AE36" s="99" t="str">
        <f t="shared" si="1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36" s="96" t="str">
        <f t="shared" si="11"/>
        <v>"C:\Program Files (x86)\AstroGrep\AstroGrep.exe" /spath="%USERPROFILE%\AppData\Local\Temp\OnboardLogs" /stypes="*4029*20160830*" /stext=" 13:.+((SYSTEM_STATE.+slice.+state.+changed )|(ment ac)|(system.+state.+changed )|(\|lc)|(penalty)|(\[timeout)|(PRM\|1\|D)|(kpr)|(kdp))" /e /r /s</v>
      </c>
      <c r="AG36" s="1" t="str">
        <f t="shared" si="12"/>
        <v>EC</v>
      </c>
      <c r="AH36" s="100" t="str">
        <f t="shared" si="15"/>
        <v>"%USERPROFILE%\Documents\GitHub\eaglep3\Utilities\RefineRTDCRunTimes.py" --tripid 123-30 --locoid 4029 --swversion DE.1.0.7.0 --startMP 204:464 --initTime 2016-08-30T06:22:46 --startdatetime 2016-08-30T06:30:13 --delay 1 --endMP 204:233331 --enddatetime 2016-08-30T07:07:34 --enforcementcount 0 &gt;&gt;C:\Users\stu\Documents\GitHub\eaglep3-reporting\EC\2016-08-30-refined-times.txt</v>
      </c>
      <c r="AI36" s="149" t="str">
        <f t="shared" si="16"/>
        <v>echo {"issue":{"subject":"","project_id":79,"tracker_id":40,"status_id":1,"priority_id":2,"assigned_to_id":23,"start_date":"2016-08-30","description":"","custom_fields":[{"id":1,"name":"Subdivision","value":"EC"},{"id":4,"name":"Milepost","value":"23.2867"},{"id":17,"name":"Train ID","value":"123-30"},{"id":16,"name":"Locomotive ID","value":"4029"},{"id":130,"name":"Impact","value":""},{"id":150,"name":"Time of Event (Mountain Time)","value":"07:07:34"},{"id":151,"name":"Denver Issue ID","value":""},{"id":178,"name":"Operational Impact","value":"Yes"},{"id":179,"name":"Denver Segment Assigned","value":""}]}} | curl -X POST -H "Content-Type: application/json" -H "X-Redmine-API-Key: d6333d4a04012a730768444271f8ca06482dae87" https://secure.xorail.net/redmine/issues.json --data @-</v>
      </c>
      <c r="AJ36" s="55"/>
      <c r="AK36" s="55"/>
      <c r="AL36" s="55"/>
    </row>
    <row r="37" spans="1:38" s="1" customFormat="1" x14ac:dyDescent="0.25">
      <c r="A37" s="39" t="s">
        <v>418</v>
      </c>
      <c r="B37" s="7">
        <v>4030</v>
      </c>
      <c r="C37" s="24" t="s">
        <v>113</v>
      </c>
      <c r="D37" s="24" t="s">
        <v>593</v>
      </c>
      <c r="E37" s="15">
        <v>42612.302731481483</v>
      </c>
      <c r="F37" s="15">
        <v>42612.309872685182</v>
      </c>
      <c r="G37" s="7">
        <v>1</v>
      </c>
      <c r="H37" s="15" t="s">
        <v>152</v>
      </c>
      <c r="I37" s="15">
        <v>42612.338159722225</v>
      </c>
      <c r="J37" s="7">
        <v>0</v>
      </c>
      <c r="K37" s="132" t="str">
        <f t="shared" si="0"/>
        <v>4029/4030</v>
      </c>
      <c r="L37" s="24" t="str">
        <f>VLOOKUP(A37,'Trips&amp;Operators'!$C$1:$E$10000,3,FALSE)</f>
        <v>DAVIS</v>
      </c>
      <c r="M37" s="6">
        <f t="shared" si="1"/>
        <v>2.828703704290092E-2</v>
      </c>
      <c r="N37" s="7">
        <f t="shared" si="21"/>
        <v>40.733333341777325</v>
      </c>
      <c r="O37" s="7"/>
      <c r="P37" s="7"/>
      <c r="Q37" s="25"/>
      <c r="R37" s="25"/>
      <c r="S37" s="37">
        <f t="shared" si="22"/>
        <v>1</v>
      </c>
      <c r="T37" s="52" t="str">
        <f t="shared" si="3"/>
        <v>Southbound</v>
      </c>
      <c r="U37" s="126">
        <f>IF(AG37="EC",COUNTIFS(Variables!$M$2:$M$19,IF(T37="NorthBound","&gt;=","&lt;=")&amp;Y37,Variables!$M$2:$M$19,IF(T37="NorthBound","&lt;=","&gt;=")&amp;Z37),COUNTIFS(Variables!$P$2:$P$19,IF(T37="NorthBound","&gt;=","&lt;=")&amp;Y37,Variables!$P$2:$P$19,IF(T37="NorthBound","&lt;=","&gt;=")&amp;Z37))</f>
        <v>12</v>
      </c>
      <c r="V37" s="106" t="str">
        <f t="shared" si="4"/>
        <v>https://search-rtdc-monitor-bjffxe2xuh6vdkpspy63sjmuny.us-east-1.es.amazonaws.com/_plugin/kibana/#/discover/Steve-Slow-Train-Analysis-(2080s-and-2083s)?_g=(refreshInterval:(display:Off,section:0,value:0),time:(from:'2016-08-30 06:15:56-0600',mode:absolute,to:'2016-08-30 09:06: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37" s="54" t="str">
        <f t="shared" si="5"/>
        <v>N</v>
      </c>
      <c r="X37" s="120">
        <f t="shared" si="20"/>
        <v>1</v>
      </c>
      <c r="Y37" s="69">
        <f t="shared" si="6"/>
        <v>23.302499999999998</v>
      </c>
      <c r="Z37" s="69">
        <f t="shared" si="7"/>
        <v>1.54E-2</v>
      </c>
      <c r="AA37" s="69">
        <f t="shared" si="8"/>
        <v>23.287099999999999</v>
      </c>
      <c r="AB37" s="66" t="e">
        <f>VLOOKUP(A37,Enforcements!$C$7:$J$21,8,0)</f>
        <v>#N/A</v>
      </c>
      <c r="AC37" s="62" t="e">
        <f>VLOOKUP(A37,Enforcements!$C$7:$E$21,3,0)</f>
        <v>#N/A</v>
      </c>
      <c r="AD37" s="63" t="str">
        <f t="shared" si="9"/>
        <v>0124-30</v>
      </c>
      <c r="AE37" s="99" t="str">
        <f t="shared" si="10"/>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37" s="96" t="str">
        <f t="shared" si="11"/>
        <v>"C:\Program Files (x86)\AstroGrep\AstroGrep.exe" /spath="%USERPROFILE%\AppData\Local\Temp\OnboardLogs" /stypes="*4030*20160830*" /stext=" 14:.+((SYSTEM_STATE.+slice.+state.+changed )|(ment ac)|(system.+state.+changed )|(\|lc)|(penalty)|(\[timeout)|(PRM\|1\|D)|(kpr)|(kdp))" /e /r /s</v>
      </c>
      <c r="AG37" s="1" t="str">
        <f t="shared" si="12"/>
        <v>EC</v>
      </c>
      <c r="AH37" s="100" t="str">
        <f t="shared" si="15"/>
        <v>"%USERPROFILE%\Documents\GitHub\eaglep3\Utilities\RefineRTDCRunTimes.py" --tripid 124-30 --locoid 4030 --swversion DE.1.0.7.0 --startMP 204:233025 --initTime 2016-08-30T07:15:56 --startdatetime 2016-08-30T07:26:13 --delay 1 --endMP 204:154 --enddatetime 2016-08-30T08:06:57 --enforcementcount 0 &gt;&gt;C:\Users\stu\Documents\GitHub\eaglep3-reporting\EC\2016-08-30-refined-times.txt</v>
      </c>
      <c r="AI37" s="149" t="str">
        <f t="shared" si="16"/>
        <v>echo {"issue":{"subject":"","project_id":79,"tracker_id":40,"status_id":1,"priority_id":2,"assigned_to_id":23,"start_date":"2016-08-30","description":"","custom_fields":[{"id":1,"name":"Subdivision","value":"EC"},{"id":4,"name":"Milepost","value":"23.2871"},{"id":17,"name":"Train ID","value":"124-30"},{"id":16,"name":"Locomotive ID","value":"4030"},{"id":130,"name":"Impact","value":""},{"id":150,"name":"Time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AJ37" s="55"/>
      <c r="AK37" s="55"/>
      <c r="AL37" s="55"/>
    </row>
    <row r="38" spans="1:38" s="1" customFormat="1" x14ac:dyDescent="0.25">
      <c r="A38" s="39" t="s">
        <v>358</v>
      </c>
      <c r="B38" s="7">
        <v>4011</v>
      </c>
      <c r="C38" s="24" t="s">
        <v>113</v>
      </c>
      <c r="D38" s="24" t="s">
        <v>594</v>
      </c>
      <c r="E38" s="15">
        <v>42612.285694444443</v>
      </c>
      <c r="F38" s="15">
        <v>42612.28670138889</v>
      </c>
      <c r="G38" s="7">
        <v>1</v>
      </c>
      <c r="H38" s="15" t="s">
        <v>595</v>
      </c>
      <c r="I38" s="15">
        <v>42612.308020833334</v>
      </c>
      <c r="J38" s="7">
        <v>0</v>
      </c>
      <c r="K38" s="132" t="str">
        <f t="shared" si="0"/>
        <v>4011/4012</v>
      </c>
      <c r="L38" s="24" t="str">
        <f>VLOOKUP(A38,'Trips&amp;Operators'!$C$1:$E$10000,3,FALSE)</f>
        <v>GEBRETEKLE</v>
      </c>
      <c r="M38" s="6">
        <f t="shared" si="1"/>
        <v>2.1319444444088731E-2</v>
      </c>
      <c r="N38" s="7"/>
      <c r="O38" s="7"/>
      <c r="P38" s="7">
        <f>24*60*SUM($M38:$M39)</f>
        <v>61.399999998975545</v>
      </c>
      <c r="Q38" s="25"/>
      <c r="R38" s="25" t="s">
        <v>352</v>
      </c>
      <c r="S38" s="37">
        <f>SUM(U38:U39)/IF(AG38="EC",12,1)</f>
        <v>1</v>
      </c>
      <c r="T38" s="52" t="str">
        <f t="shared" si="3"/>
        <v>NorthBound</v>
      </c>
      <c r="U38" s="126">
        <f>IF(AG38="EC",COUNTIFS(Variables!$M$2:$M$19,IF(T38="NorthBound","&gt;=","&lt;=")&amp;Y38,Variables!$M$2:$M$19,IF(T38="NorthBound","&lt;=","&gt;=")&amp;Z38),COUNTIFS(Variables!$P$2:$P$19,IF(T38="NorthBound","&gt;=","&lt;=")&amp;Y38,Variables!$P$2:$P$19,IF(T38="NorthBound","&lt;=","&gt;=")&amp;Z38))</f>
        <v>12</v>
      </c>
      <c r="V38" s="106" t="str">
        <f t="shared" si="4"/>
        <v>https://search-rtdc-monitor-bjffxe2xuh6vdkpspy63sjmuny.us-east-1.es.amazonaws.com/_plugin/kibana/#/discover/Steve-Slow-Train-Analysis-(2080s-and-2083s)?_g=(refreshInterval:(display:Off,section:0,value:0),time:(from:'2016-08-30 05:51:24-0600',mode:absolute,to:'2016-08-30 08:23: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38" s="54" t="str">
        <f t="shared" si="5"/>
        <v>Y</v>
      </c>
      <c r="X38" s="120">
        <f t="shared" si="20"/>
        <v>1</v>
      </c>
      <c r="Y38" s="69">
        <f t="shared" si="6"/>
        <v>1.9134</v>
      </c>
      <c r="Z38" s="69">
        <f t="shared" si="7"/>
        <v>23.3309</v>
      </c>
      <c r="AA38" s="69">
        <f t="shared" si="8"/>
        <v>21.4175</v>
      </c>
      <c r="AB38" s="66">
        <f>VLOOKUP(A38,Enforcements!$C$7:$J$21,8,0)</f>
        <v>1692</v>
      </c>
      <c r="AC38" s="62" t="str">
        <f>VLOOKUP(A38,Enforcements!$C$7:$E$21,3,0)</f>
        <v>SWITCH UNKNOWN</v>
      </c>
      <c r="AD38" s="63" t="str">
        <f t="shared" si="9"/>
        <v>0125-30</v>
      </c>
      <c r="AE38" s="99" t="str">
        <f t="shared" si="1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38" s="96" t="str">
        <f t="shared" si="11"/>
        <v>"C:\Program Files (x86)\AstroGrep\AstroGrep.exe" /spath="%USERPROFILE%\AppData\Local\Temp\OnboardLogs" /stypes="*4011*20160830*" /stext=" 13:.+((SYSTEM_STATE.+slice.+state.+changed )|(ment ac)|(system.+state.+changed )|(\|lc)|(penalty)|(\[timeout)|(PRM\|1\|D)|(kpr)|(kdp))" /e /r /s</v>
      </c>
      <c r="AG38" s="1" t="str">
        <f t="shared" si="12"/>
        <v>EC</v>
      </c>
      <c r="AH38" s="100" t="str">
        <f t="shared" si="15"/>
        <v>"%USERPROFILE%\Documents\GitHub\eaglep3\Utilities\RefineRTDCRunTimes.py" --tripid 125-30 --locoid 4011 --swversion DE.1.0.7.0 --startMP 204:19134 --initTime 2016-08-30T06:51:24 --startdatetime 2016-08-30T06:52:51 --delay 1 --endMP 204:233309 --enddatetime 2016-08-30T07:23:33 --enforcementcount 0 &gt;&gt;C:\Users\stu\Documents\GitHub\eaglep3-reporting\EC\2016-08-30-refined-times.txt</v>
      </c>
      <c r="AI38" s="149" t="str">
        <f t="shared" si="16"/>
        <v>echo {"issue":{"subject":"Onboard in-route failure","project_id":79,"tracker_id":40,"status_id":1,"priority_id":2,"assigned_to_id":23,"start_date":"2016-08-30","description":"","custom_fields":[{"id":1,"name":"Subdivision","value":"EC"},{"id":4,"name":"Milepost","value":"21.4175"},{"id":17,"name":"Train ID","value":"125-30"},{"id":16,"name":"Locomotive ID","value":"4011"},{"id":130,"name":"Impact","value":""},{"id":150,"name":"Time of Event (Mountain Time)","value":"07:23:33"},{"id":151,"name":"Denver Issue ID","value":""},{"id":178,"name":"Operational Impact","value":"Yes"},{"id":179,"name":"Denver Segment Assigned","value":""}]}} | curl -X POST -H "Content-Type: application/json" -H "X-Redmine-API-Key: d6333d4a04012a730768444271f8ca06482dae87" https://secure.xorail.net/redmine/issues.json --data @-</v>
      </c>
      <c r="AJ38" s="55"/>
      <c r="AK38" s="55"/>
      <c r="AL38" s="55"/>
    </row>
    <row r="39" spans="1:38" s="1" customFormat="1" x14ac:dyDescent="0.25">
      <c r="A39" s="39" t="s">
        <v>358</v>
      </c>
      <c r="B39" s="7">
        <v>4011</v>
      </c>
      <c r="C39" s="24" t="s">
        <v>113</v>
      </c>
      <c r="D39" s="24" t="s">
        <v>135</v>
      </c>
      <c r="E39" s="15">
        <v>42612.276921296296</v>
      </c>
      <c r="F39" s="15">
        <v>42612.28670138889</v>
      </c>
      <c r="G39" s="7">
        <v>1</v>
      </c>
      <c r="H39" s="15" t="s">
        <v>596</v>
      </c>
      <c r="I39" s="15">
        <v>42612.308020833334</v>
      </c>
      <c r="J39" s="7">
        <v>0</v>
      </c>
      <c r="K39" s="132" t="str">
        <f t="shared" si="0"/>
        <v>4011/4012</v>
      </c>
      <c r="L39" s="24" t="str">
        <f>VLOOKUP(A39,'Trips&amp;Operators'!$C$1:$E$10000,3,FALSE)</f>
        <v>GEBRETEKLE</v>
      </c>
      <c r="M39" s="6">
        <f t="shared" si="1"/>
        <v>2.1319444444088731E-2</v>
      </c>
      <c r="N39" s="7"/>
      <c r="O39" s="7"/>
      <c r="P39" s="7"/>
      <c r="Q39" s="25"/>
      <c r="R39" s="25"/>
      <c r="S39" s="37"/>
      <c r="T39" s="52" t="str">
        <f t="shared" si="3"/>
        <v>NorthBound</v>
      </c>
      <c r="U39" s="126">
        <f>IF(AG39="EC",COUNTIFS(Variables!$M$2:$M$19,IF(T39="NorthBound","&gt;=","&lt;=")&amp;Y39,Variables!$M$2:$M$19,IF(T39="NorthBound","&lt;=","&gt;=")&amp;Z39),COUNTIFS(Variables!$P$2:$P$19,IF(T39="NorthBound","&gt;=","&lt;=")&amp;Y39,Variables!$P$2:$P$19,IF(T39="NorthBound","&lt;=","&gt;=")&amp;Z39))</f>
        <v>0</v>
      </c>
      <c r="V39" s="106" t="str">
        <f t="shared" si="4"/>
        <v>https://search-rtdc-monitor-bjffxe2xuh6vdkpspy63sjmuny.us-east-1.es.amazonaws.com/_plugin/kibana/#/discover/Steve-Slow-Train-Analysis-(2080s-and-2083s)?_g=(refreshInterval:(display:Off,section:0,value:0),time:(from:'2016-08-30 05:38:46-0600',mode:absolute,to:'2016-08-30 08:23: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39" s="54" t="str">
        <f t="shared" si="5"/>
        <v>Y</v>
      </c>
      <c r="X39" s="120">
        <f t="shared" si="20"/>
        <v>0</v>
      </c>
      <c r="Y39" s="69">
        <f t="shared" si="6"/>
        <v>4.4900000000000002E-2</v>
      </c>
      <c r="Z39" s="69">
        <f t="shared" si="7"/>
        <v>0.21290000000000001</v>
      </c>
      <c r="AA39" s="69">
        <f t="shared" si="8"/>
        <v>0.16800000000000001</v>
      </c>
      <c r="AB39" s="66">
        <f>VLOOKUP(A39,Enforcements!$C$7:$J$21,8,0)</f>
        <v>1692</v>
      </c>
      <c r="AC39" s="62" t="str">
        <f>VLOOKUP(A39,Enforcements!$C$7:$E$21,3,0)</f>
        <v>SWITCH UNKNOWN</v>
      </c>
      <c r="AD39" s="63" t="str">
        <f t="shared" si="9"/>
        <v>0125-30</v>
      </c>
      <c r="AE39" s="99" t="str">
        <f t="shared" si="1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39" s="96" t="str">
        <f t="shared" si="11"/>
        <v>"C:\Program Files (x86)\AstroGrep\AstroGrep.exe" /spath="%USERPROFILE%\AppData\Local\Temp\OnboardLogs" /stypes="*4011*20160830*" /stext=" 13:.+((SYSTEM_STATE.+slice.+state.+changed )|(ment ac)|(system.+state.+changed )|(\|lc)|(penalty)|(\[timeout)|(PRM\|1\|D)|(kpr)|(kdp))" /e /r /s</v>
      </c>
      <c r="AG39" s="1" t="str">
        <f t="shared" si="12"/>
        <v>EC</v>
      </c>
      <c r="AH39" s="100" t="str">
        <f t="shared" si="15"/>
        <v>"%USERPROFILE%\Documents\GitHub\eaglep3\Utilities\RefineRTDCRunTimes.py" --tripid 125-30 --locoid 4011 --swversion DE.1.0.7.0 --startMP 204:449 --initTime 2016-08-30T06:38:46 --startdatetime 2016-08-30T06:52:51 --delay 1 --endMP 204:2129 --enddatetime 2016-08-30T07:23:33 --enforcementcount 0 &gt;&gt;C:\Users\stu\Documents\GitHub\eaglep3-reporting\EC\2016-08-30-refined-times.txt</v>
      </c>
      <c r="AI39" s="149" t="str">
        <f t="shared" si="16"/>
        <v>echo {"issue":{"subject":"","project_id":79,"tracker_id":40,"status_id":1,"priority_id":2,"assigned_to_id":23,"start_date":"2016-08-30","description":"","custom_fields":[{"id":1,"name":"Subdivision","value":"EC"},{"id":4,"name":"Milepost","value":"0.168"},{"id":17,"name":"Train ID","value":"125-30"},{"id":16,"name":"Locomotive ID","value":"4011"},{"id":130,"name":"Impact","value":""},{"id":150,"name":"Time of Event (Mountain Time)","value":"07:23:33"},{"id":151,"name":"Denver Issue ID","value":""},{"id":178,"name":"Operational Impact","value":"Yes"},{"id":179,"name":"Denver Segment Assigned","value":""}]}} | curl -X POST -H "Content-Type: application/json" -H "X-Redmine-API-Key: d6333d4a04012a730768444271f8ca06482dae87" https://secure.xorail.net/redmine/issues.json --data @-</v>
      </c>
      <c r="AJ39" s="55"/>
      <c r="AK39" s="55"/>
      <c r="AL39" s="55"/>
    </row>
    <row r="40" spans="1:38" s="1" customFormat="1" x14ac:dyDescent="0.25">
      <c r="A40" s="39" t="s">
        <v>421</v>
      </c>
      <c r="B40" s="7">
        <v>4012</v>
      </c>
      <c r="C40" s="24" t="s">
        <v>113</v>
      </c>
      <c r="D40" s="24" t="s">
        <v>597</v>
      </c>
      <c r="E40" s="15">
        <v>42612.31690972222</v>
      </c>
      <c r="F40" s="15">
        <v>42612.3203125</v>
      </c>
      <c r="G40" s="7">
        <v>1</v>
      </c>
      <c r="H40" s="15" t="s">
        <v>228</v>
      </c>
      <c r="I40" s="15">
        <v>42612.347743055558</v>
      </c>
      <c r="J40" s="7">
        <v>0</v>
      </c>
      <c r="K40" s="132" t="str">
        <f t="shared" si="0"/>
        <v>4011/4012</v>
      </c>
      <c r="L40" s="24" t="str">
        <f>VLOOKUP(A40,'Trips&amp;Operators'!$C$1:$E$10000,3,FALSE)</f>
        <v>GEBRETEKLE</v>
      </c>
      <c r="M40" s="6">
        <f t="shared" si="1"/>
        <v>2.7430555557657499E-2</v>
      </c>
      <c r="N40" s="7">
        <f t="shared" ref="N40:N67" si="23">24*60*SUM($M40:$M40)</f>
        <v>39.500000003026798</v>
      </c>
      <c r="O40" s="7"/>
      <c r="P40" s="7"/>
      <c r="Q40" s="25"/>
      <c r="R40" s="25"/>
      <c r="S40" s="37">
        <f t="shared" ref="S40:S67" si="24">SUM(U40:U40)/IF(AG40="EC",12,1)</f>
        <v>1</v>
      </c>
      <c r="T40" s="52" t="str">
        <f t="shared" si="3"/>
        <v>Southbound</v>
      </c>
      <c r="U40" s="126">
        <f>IF(AG40="EC",COUNTIFS(Variables!$M$2:$M$19,IF(T40="NorthBound","&gt;=","&lt;=")&amp;Y40,Variables!$M$2:$M$19,IF(T40="NorthBound","&lt;=","&gt;=")&amp;Z40),COUNTIFS(Variables!$P$2:$P$19,IF(T40="NorthBound","&gt;=","&lt;=")&amp;Y40,Variables!$P$2:$P$19,IF(T40="NorthBound","&lt;=","&gt;=")&amp;Z40))</f>
        <v>12</v>
      </c>
      <c r="V40" s="106" t="str">
        <f t="shared" si="4"/>
        <v>https://search-rtdc-monitor-bjffxe2xuh6vdkpspy63sjmuny.us-east-1.es.amazonaws.com/_plugin/kibana/#/discover/Steve-Slow-Train-Analysis-(2080s-and-2083s)?_g=(refreshInterval:(display:Off,section:0,value:0),time:(from:'2016-08-30 06:36:21-0600',mode:absolute,to:'2016-08-30 09:20: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40" s="54" t="str">
        <f t="shared" si="5"/>
        <v>N</v>
      </c>
      <c r="X40" s="120">
        <f t="shared" si="20"/>
        <v>1</v>
      </c>
      <c r="Y40" s="69">
        <f t="shared" si="6"/>
        <v>23.299199999999999</v>
      </c>
      <c r="Z40" s="69">
        <f t="shared" si="7"/>
        <v>1.2999999999999999E-2</v>
      </c>
      <c r="AA40" s="69">
        <f t="shared" si="8"/>
        <v>23.286199999999997</v>
      </c>
      <c r="AB40" s="66" t="e">
        <f>VLOOKUP(A40,Enforcements!$C$7:$J$21,8,0)</f>
        <v>#N/A</v>
      </c>
      <c r="AC40" s="62" t="e">
        <f>VLOOKUP(A40,Enforcements!$C$7:$E$21,3,0)</f>
        <v>#N/A</v>
      </c>
      <c r="AD40" s="63" t="str">
        <f t="shared" si="9"/>
        <v>0126-30</v>
      </c>
      <c r="AE40" s="99" t="str">
        <f t="shared" si="1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40" s="96" t="str">
        <f t="shared" si="11"/>
        <v>"C:\Program Files (x86)\AstroGrep\AstroGrep.exe" /spath="%USERPROFILE%\AppData\Local\Temp\OnboardLogs" /stypes="*4012*20160830*" /stext=" 14:.+((SYSTEM_STATE.+slice.+state.+changed )|(ment ac)|(system.+state.+changed )|(\|lc)|(penalty)|(\[timeout)|(PRM\|1\|D)|(kpr)|(kdp))" /e /r /s</v>
      </c>
      <c r="AG40" s="1" t="str">
        <f t="shared" si="12"/>
        <v>EC</v>
      </c>
      <c r="AH40" s="100" t="str">
        <f t="shared" si="15"/>
        <v>"%USERPROFILE%\Documents\GitHub\eaglep3\Utilities\RefineRTDCRunTimes.py" --tripid 126-30 --locoid 4012 --swversion DE.1.0.7.0 --startMP 204:232992 --initTime 2016-08-30T07:36:21 --startdatetime 2016-08-30T07:41:15 --delay 1 --endMP 204:130 --enddatetime 2016-08-30T08:20:45 --enforcementcount 0 &gt;&gt;C:\Users\stu\Documents\GitHub\eaglep3-reporting\EC\2016-08-30-refined-times.txt</v>
      </c>
      <c r="AI40" s="149" t="str">
        <f t="shared" si="16"/>
        <v>echo {"issue":{"subject":"","project_id":79,"tracker_id":40,"status_id":1,"priority_id":2,"assigned_to_id":23,"start_date":"2016-08-30","description":"","custom_fields":[{"id":1,"name":"Subdivision","value":"EC"},{"id":4,"name":"Milepost","value":"23.2862"},{"id":17,"name":"Train ID","value":"126-30"},{"id":16,"name":"Locomotive ID","value":"4012"},{"id":130,"name":"Impact","value":""},{"id":150,"name":"Time of Event (Mountain Time)","value":"08:20:45"},{"id":151,"name":"Denver Issue ID","value":""},{"id":178,"name":"Operational Impact","value":"Yes"},{"id":179,"name":"Denver Segment Assigned","value":""}]}} | curl -X POST -H "Content-Type: application/json" -H "X-Redmine-API-Key: d6333d4a04012a730768444271f8ca06482dae87" https://secure.xorail.net/redmine/issues.json --data @-</v>
      </c>
      <c r="AJ40" s="55"/>
      <c r="AK40" s="55"/>
      <c r="AL40" s="55"/>
    </row>
    <row r="41" spans="1:38" s="1" customFormat="1" x14ac:dyDescent="0.25">
      <c r="A41" s="39" t="s">
        <v>413</v>
      </c>
      <c r="B41" s="7">
        <v>4042</v>
      </c>
      <c r="C41" s="24" t="s">
        <v>113</v>
      </c>
      <c r="D41" s="24" t="s">
        <v>133</v>
      </c>
      <c r="E41" s="15">
        <v>42612.288576388892</v>
      </c>
      <c r="F41" s="15">
        <v>42612.292071759257</v>
      </c>
      <c r="G41" s="7">
        <v>1</v>
      </c>
      <c r="H41" s="15" t="s">
        <v>598</v>
      </c>
      <c r="I41" s="15">
        <v>42612.316516203704</v>
      </c>
      <c r="J41" s="7">
        <v>0</v>
      </c>
      <c r="K41" s="132" t="str">
        <f t="shared" si="0"/>
        <v>4041/4042</v>
      </c>
      <c r="L41" s="24" t="str">
        <f>VLOOKUP(A41,'Trips&amp;Operators'!$C$1:$E$10000,3,FALSE)</f>
        <v>KILLION</v>
      </c>
      <c r="M41" s="6">
        <f t="shared" si="1"/>
        <v>2.4444444446999114E-2</v>
      </c>
      <c r="N41" s="7">
        <f t="shared" si="23"/>
        <v>35.200000003678724</v>
      </c>
      <c r="O41" s="7"/>
      <c r="P41" s="7"/>
      <c r="Q41" s="25"/>
      <c r="R41" s="25"/>
      <c r="S41" s="37">
        <f t="shared" si="24"/>
        <v>1</v>
      </c>
      <c r="T41" s="52" t="str">
        <f t="shared" si="3"/>
        <v>NorthBound</v>
      </c>
      <c r="U41" s="126">
        <f>IF(AG41="EC",COUNTIFS(Variables!$M$2:$M$19,IF(T41="NorthBound","&gt;=","&lt;=")&amp;Y41,Variables!$M$2:$M$19,IF(T41="NorthBound","&lt;=","&gt;=")&amp;Z41),COUNTIFS(Variables!$P$2:$P$19,IF(T41="NorthBound","&gt;=","&lt;=")&amp;Y41,Variables!$P$2:$P$19,IF(T41="NorthBound","&lt;=","&gt;=")&amp;Z41))</f>
        <v>12</v>
      </c>
      <c r="V41" s="106" t="str">
        <f t="shared" si="4"/>
        <v>https://search-rtdc-monitor-bjffxe2xuh6vdkpspy63sjmuny.us-east-1.es.amazonaws.com/_plugin/kibana/#/discover/Steve-Slow-Train-Analysis-(2080s-and-2083s)?_g=(refreshInterval:(display:Off,section:0,value:0),time:(from:'2016-08-30 05:55:33-0600',mode:absolute,to:'2016-08-30 08: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41" s="54" t="str">
        <f t="shared" si="5"/>
        <v>N</v>
      </c>
      <c r="X41" s="120">
        <f t="shared" si="20"/>
        <v>1</v>
      </c>
      <c r="Y41" s="69">
        <f t="shared" si="6"/>
        <v>4.53E-2</v>
      </c>
      <c r="Z41" s="69">
        <f t="shared" si="7"/>
        <v>23.328299999999999</v>
      </c>
      <c r="AA41" s="69">
        <f t="shared" si="8"/>
        <v>23.282999999999998</v>
      </c>
      <c r="AB41" s="66" t="e">
        <f>VLOOKUP(A41,Enforcements!$C$7:$J$21,8,0)</f>
        <v>#N/A</v>
      </c>
      <c r="AC41" s="62" t="e">
        <f>VLOOKUP(A41,Enforcements!$C$7:$E$21,3,0)</f>
        <v>#N/A</v>
      </c>
      <c r="AD41" s="63" t="str">
        <f t="shared" si="9"/>
        <v>0127-30</v>
      </c>
      <c r="AE41" s="99" t="str">
        <f t="shared" si="10"/>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41" s="96" t="str">
        <f t="shared" si="11"/>
        <v>"C:\Program Files (x86)\AstroGrep\AstroGrep.exe" /spath="%USERPROFILE%\AppData\Local\Temp\OnboardLogs" /stypes="*4042*20160830*" /stext=" 13:.+((SYSTEM_STATE.+slice.+state.+changed )|(ment ac)|(system.+state.+changed )|(\|lc)|(penalty)|(\[timeout)|(PRM\|1\|D)|(kpr)|(kdp))" /e /r /s</v>
      </c>
      <c r="AG41" s="1" t="str">
        <f t="shared" si="12"/>
        <v>EC</v>
      </c>
      <c r="AH41" s="100" t="str">
        <f t="shared" si="15"/>
        <v>"%USERPROFILE%\Documents\GitHub\eaglep3\Utilities\RefineRTDCRunTimes.py" --tripid 127-30 --locoid 4042 --swversion DE.1.0.7.0 --startMP 204:453 --initTime 2016-08-30T06:55:33 --startdatetime 2016-08-30T07:00:35 --delay 1 --endMP 204:233283 --enddatetime 2016-08-30T07:35:47 --enforcementcount 0 &gt;&gt;C:\Users\stu\Documents\GitHub\eaglep3-reporting\EC\2016-08-30-refined-times.txt</v>
      </c>
      <c r="AI41" s="149" t="str">
        <f t="shared" si="16"/>
        <v>echo {"issue":{"subject":"","project_id":79,"tracker_id":40,"status_id":1,"priority_id":2,"assigned_to_id":23,"start_date":"2016-08-30","description":"","custom_fields":[{"id":1,"name":"Subdivision","value":"EC"},{"id":4,"name":"Milepost","value":"23.283"},{"id":17,"name":"Train ID","value":"127-30"},{"id":16,"name":"Locomotive ID","value":"4042"},{"id":130,"name":"Impact","value":""},{"id":150,"name":"Time of Event (Mountain Time)","value":"07:35:47"},{"id":151,"name":"Denver Issue ID","value":""},{"id":178,"name":"Operational Impact","value":"Yes"},{"id":179,"name":"Denver Segment Assigned","value":""}]}} | curl -X POST -H "Content-Type: application/json" -H "X-Redmine-API-Key: d6333d4a04012a730768444271f8ca06482dae87" https://secure.xorail.net/redmine/issues.json --data @-</v>
      </c>
      <c r="AJ41" s="55"/>
      <c r="AK41" s="55"/>
      <c r="AL41" s="55"/>
    </row>
    <row r="42" spans="1:38" s="1" customFormat="1" x14ac:dyDescent="0.25">
      <c r="A42" s="39" t="s">
        <v>361</v>
      </c>
      <c r="B42" s="7">
        <v>4041</v>
      </c>
      <c r="C42" s="24" t="s">
        <v>113</v>
      </c>
      <c r="D42" s="24" t="s">
        <v>282</v>
      </c>
      <c r="E42" s="15">
        <v>42612.32167824074</v>
      </c>
      <c r="F42" s="15">
        <v>42612.330729166664</v>
      </c>
      <c r="G42" s="7">
        <v>1</v>
      </c>
      <c r="H42" s="15" t="s">
        <v>131</v>
      </c>
      <c r="I42" s="15">
        <v>42612.358437499999</v>
      </c>
      <c r="J42" s="7">
        <v>0</v>
      </c>
      <c r="K42" s="132" t="str">
        <f t="shared" si="0"/>
        <v>4041/4042</v>
      </c>
      <c r="L42" s="24" t="str">
        <f>VLOOKUP(A42,'Trips&amp;Operators'!$C$1:$E$10000,3,FALSE)</f>
        <v>KILLION</v>
      </c>
      <c r="M42" s="6">
        <f t="shared" si="1"/>
        <v>2.7708333334885538E-2</v>
      </c>
      <c r="N42" s="7">
        <f t="shared" si="23"/>
        <v>39.900000002235174</v>
      </c>
      <c r="O42" s="7"/>
      <c r="P42" s="7"/>
      <c r="Q42" s="25"/>
      <c r="R42" s="25"/>
      <c r="S42" s="37">
        <f t="shared" si="24"/>
        <v>1</v>
      </c>
      <c r="T42" s="52" t="str">
        <f t="shared" si="3"/>
        <v>Southbound</v>
      </c>
      <c r="U42" s="126">
        <f>IF(AG42="EC",COUNTIFS(Variables!$M$2:$M$19,IF(T42="NorthBound","&gt;=","&lt;=")&amp;Y42,Variables!$M$2:$M$19,IF(T42="NorthBound","&lt;=","&gt;=")&amp;Z42),COUNTIFS(Variables!$P$2:$P$19,IF(T42="NorthBound","&gt;=","&lt;=")&amp;Y42,Variables!$P$2:$P$19,IF(T42="NorthBound","&lt;=","&gt;=")&amp;Z42))</f>
        <v>12</v>
      </c>
      <c r="V42" s="106" t="str">
        <f t="shared" si="4"/>
        <v>https://search-rtdc-monitor-bjffxe2xuh6vdkpspy63sjmuny.us-east-1.es.amazonaws.com/_plugin/kibana/#/discover/Steve-Slow-Train-Analysis-(2080s-and-2083s)?_g=(refreshInterval:(display:Off,section:0,value:0),time:(from:'2016-08-30 06:43:13-0600',mode:absolute,to:'2016-08-30 09: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42" s="54" t="str">
        <f t="shared" si="5"/>
        <v>N</v>
      </c>
      <c r="X42" s="120">
        <f t="shared" si="20"/>
        <v>1</v>
      </c>
      <c r="Y42" s="69">
        <f t="shared" si="6"/>
        <v>23.297599999999999</v>
      </c>
      <c r="Z42" s="69">
        <f t="shared" si="7"/>
        <v>1.5800000000000002E-2</v>
      </c>
      <c r="AA42" s="69">
        <f t="shared" si="8"/>
        <v>23.2818</v>
      </c>
      <c r="AB42" s="66">
        <f>VLOOKUP(A42,Enforcements!$C$7:$J$21,8,0)</f>
        <v>1</v>
      </c>
      <c r="AC42" s="62" t="str">
        <f>VLOOKUP(A42,Enforcements!$C$7:$E$21,3,0)</f>
        <v>TRACK WARRANT AUTHORITY</v>
      </c>
      <c r="AD42" s="63" t="str">
        <f t="shared" si="9"/>
        <v>0128-30</v>
      </c>
      <c r="AE42" s="99" t="str">
        <f t="shared" si="1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42" s="96" t="str">
        <f t="shared" si="11"/>
        <v>"C:\Program Files (x86)\AstroGrep\AstroGrep.exe" /spath="%USERPROFILE%\AppData\Local\Temp\OnboardLogs" /stypes="*4041*20160830*" /stext=" 14:.+((SYSTEM_STATE.+slice.+state.+changed )|(ment ac)|(system.+state.+changed )|(\|lc)|(penalty)|(\[timeout)|(PRM\|1\|D)|(kpr)|(kdp))" /e /r /s</v>
      </c>
      <c r="AG42" s="1" t="str">
        <f t="shared" si="12"/>
        <v>EC</v>
      </c>
      <c r="AH42" s="100" t="str">
        <f t="shared" si="15"/>
        <v>"%USERPROFILE%\Documents\GitHub\eaglep3\Utilities\RefineRTDCRunTimes.py" --tripid 128-30 --locoid 4041 --swversion DE.1.0.7.0 --startMP 204:232976 --initTime 2016-08-30T07:43:13 --startdatetime 2016-08-30T07:56:15 --delay 1 --endMP 204:158 --enddatetime 2016-08-30T08:36:09 --enforcementcount 0 &gt;&gt;C:\Users\stu\Documents\GitHub\eaglep3-reporting\EC\2016-08-30-refined-times.txt</v>
      </c>
      <c r="AI42" s="149" t="str">
        <f t="shared" si="16"/>
        <v>echo {"issue":{"subject":"","project_id":79,"tracker_id":40,"status_id":1,"priority_id":2,"assigned_to_id":23,"start_date":"2016-08-30","description":"","custom_fields":[{"id":1,"name":"Subdivision","value":"EC"},{"id":4,"name":"Milepost","value":"23.2818"},{"id":17,"name":"Train ID","value":"128-30"},{"id":16,"name":"Locomotive ID","value":"4041"},{"id":130,"name":"Impact","value":""},{"id":150,"name":"Time of Event (Mountain Time)","value":"08:36:09"},{"id":151,"name":"Denver Issue ID","value":""},{"id":178,"name":"Operational Impact","value":"Yes"},{"id":179,"name":"Denver Segment Assigned","value":""}]}} | curl -X POST -H "Content-Type: application/json" -H "X-Redmine-API-Key: d6333d4a04012a730768444271f8ca06482dae87" https://secure.xorail.net/redmine/issues.json --data @-</v>
      </c>
      <c r="AJ42" s="55"/>
      <c r="AK42" s="55"/>
      <c r="AL42" s="55"/>
    </row>
    <row r="43" spans="1:38" s="1" customFormat="1" x14ac:dyDescent="0.25">
      <c r="A43" s="39" t="s">
        <v>417</v>
      </c>
      <c r="B43" s="7">
        <v>4040</v>
      </c>
      <c r="C43" s="24" t="s">
        <v>113</v>
      </c>
      <c r="D43" s="24" t="s">
        <v>133</v>
      </c>
      <c r="E43" s="15">
        <v>42612.301458333335</v>
      </c>
      <c r="F43" s="15">
        <v>42612.302615740744</v>
      </c>
      <c r="G43" s="7">
        <v>0</v>
      </c>
      <c r="H43" s="15" t="s">
        <v>332</v>
      </c>
      <c r="I43" s="15">
        <v>42612.326736111114</v>
      </c>
      <c r="J43" s="7">
        <v>0</v>
      </c>
      <c r="K43" s="132" t="str">
        <f t="shared" si="0"/>
        <v>4039/4040</v>
      </c>
      <c r="L43" s="24" t="str">
        <f>VLOOKUP(A43,'Trips&amp;Operators'!$C$1:$E$10000,3,FALSE)</f>
        <v>ROCHA</v>
      </c>
      <c r="M43" s="6">
        <f t="shared" si="1"/>
        <v>2.4120370369928423E-2</v>
      </c>
      <c r="N43" s="7">
        <f t="shared" si="23"/>
        <v>34.73333333269693</v>
      </c>
      <c r="O43" s="7"/>
      <c r="P43" s="7"/>
      <c r="Q43" s="25"/>
      <c r="R43" s="25"/>
      <c r="S43" s="37">
        <f t="shared" si="24"/>
        <v>1</v>
      </c>
      <c r="T43" s="52" t="str">
        <f t="shared" si="3"/>
        <v>NorthBound</v>
      </c>
      <c r="U43" s="126">
        <f>IF(AG43="EC",COUNTIFS(Variables!$M$2:$M$19,IF(T43="NorthBound","&gt;=","&lt;=")&amp;Y43,Variables!$M$2:$M$19,IF(T43="NorthBound","&lt;=","&gt;=")&amp;Z43),COUNTIFS(Variables!$P$2:$P$19,IF(T43="NorthBound","&gt;=","&lt;=")&amp;Y43,Variables!$P$2:$P$19,IF(T43="NorthBound","&lt;=","&gt;=")&amp;Z43))</f>
        <v>12</v>
      </c>
      <c r="V43" s="106" t="str">
        <f t="shared" si="4"/>
        <v>https://search-rtdc-monitor-bjffxe2xuh6vdkpspy63sjmuny.us-east-1.es.amazonaws.com/_plugin/kibana/#/discover/Steve-Slow-Train-Analysis-(2080s-and-2083s)?_g=(refreshInterval:(display:Off,section:0,value:0),time:(from:'2016-08-30 06:14:06-0600',mode:absolute,to:'2016-08-30 08:50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43" s="54" t="str">
        <f t="shared" si="5"/>
        <v>N</v>
      </c>
      <c r="X43" s="120">
        <f t="shared" si="20"/>
        <v>1</v>
      </c>
      <c r="Y43" s="69">
        <f t="shared" si="6"/>
        <v>4.53E-2</v>
      </c>
      <c r="Z43" s="69">
        <f t="shared" si="7"/>
        <v>23.3307</v>
      </c>
      <c r="AA43" s="69">
        <f t="shared" si="8"/>
        <v>23.285399999999999</v>
      </c>
      <c r="AB43" s="66" t="e">
        <f>VLOOKUP(A43,Enforcements!$C$7:$J$21,8,0)</f>
        <v>#N/A</v>
      </c>
      <c r="AC43" s="62" t="e">
        <f>VLOOKUP(A43,Enforcements!$C$7:$E$21,3,0)</f>
        <v>#N/A</v>
      </c>
      <c r="AD43" s="63" t="str">
        <f t="shared" si="9"/>
        <v>0129-30</v>
      </c>
      <c r="AE43" s="99" t="str">
        <f t="shared" si="1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43" s="96" t="str">
        <f t="shared" si="11"/>
        <v>"C:\Program Files (x86)\AstroGrep\AstroGrep.exe" /spath="%USERPROFILE%\AppData\Local\Temp\OnboardLogs" /stypes="*4040*20160830*" /stext=" 13:.+((SYSTEM_STATE.+slice.+state.+changed )|(ment ac)|(system.+state.+changed )|(\|lc)|(penalty)|(\[timeout)|(PRM\|1\|D)|(kpr)|(kdp))" /e /r /s</v>
      </c>
      <c r="AG43" s="1" t="str">
        <f t="shared" si="12"/>
        <v>EC</v>
      </c>
      <c r="AH43" s="100" t="str">
        <f t="shared" si="15"/>
        <v>"%USERPROFILE%\Documents\GitHub\eaglep3\Utilities\RefineRTDCRunTimes.py" --tripid 129-30 --locoid 4040 --swversion DE.1.0.7.0 --startMP 204:453 --initTime 2016-08-30T07:14:06 --startdatetime 2016-08-30T07:15:46 --delay 0 --endMP 204:233307 --enddatetime 2016-08-30T07:50:30 --enforcementcount 0 &gt;&gt;C:\Users\stu\Documents\GitHub\eaglep3-reporting\EC\2016-08-30-refined-times.txt</v>
      </c>
      <c r="AI43" s="149" t="str">
        <f t="shared" si="16"/>
        <v>echo {"issue":{"subject":"","project_id":79,"tracker_id":40,"status_id":1,"priority_id":2,"assigned_to_id":23,"start_date":"2016-08-30","description":"","custom_fields":[{"id":1,"name":"Subdivision","value":"EC"},{"id":4,"name":"Milepost","value":"23.2854"},{"id":17,"name":"Train ID","value":"129-30"},{"id":16,"name":"Locomotive ID","value":"4040"},{"id":130,"name":"Impact","value":""},{"id":150,"name":"Time of Event (Mountain Time)","value":"07:50:30"},{"id":151,"name":"Denver Issue ID","value":""},{"id":178,"name":"Operational Impact","value":"Yes"},{"id":179,"name":"Denver Segment Assigned","value":""}]}} | curl -X POST -H "Content-Type: application/json" -H "X-Redmine-API-Key: d6333d4a04012a730768444271f8ca06482dae87" https://secure.xorail.net/redmine/issues.json --data @-</v>
      </c>
      <c r="AJ43" s="55"/>
      <c r="AK43" s="55"/>
      <c r="AL43" s="55"/>
    </row>
    <row r="44" spans="1:38" s="1" customFormat="1" x14ac:dyDescent="0.25">
      <c r="A44" s="39" t="s">
        <v>362</v>
      </c>
      <c r="B44" s="7">
        <v>4039</v>
      </c>
      <c r="C44" s="24" t="s">
        <v>113</v>
      </c>
      <c r="D44" s="24" t="s">
        <v>326</v>
      </c>
      <c r="E44" s="15">
        <v>42612.338009259256</v>
      </c>
      <c r="F44" s="15">
        <v>42612.341134259259</v>
      </c>
      <c r="G44" s="7">
        <v>1</v>
      </c>
      <c r="H44" s="15" t="s">
        <v>152</v>
      </c>
      <c r="I44" s="15">
        <v>42612.368831018517</v>
      </c>
      <c r="J44" s="7">
        <v>0</v>
      </c>
      <c r="K44" s="132" t="str">
        <f t="shared" si="0"/>
        <v>4039/4040</v>
      </c>
      <c r="L44" s="24" t="str">
        <f>VLOOKUP(A44,'Trips&amp;Operators'!$C$1:$E$10000,3,FALSE)</f>
        <v>ROCHA</v>
      </c>
      <c r="M44" s="6">
        <f t="shared" si="1"/>
        <v>2.7696759258105885E-2</v>
      </c>
      <c r="N44" s="7">
        <f t="shared" si="23"/>
        <v>39.883333331672475</v>
      </c>
      <c r="O44" s="7"/>
      <c r="P44" s="7"/>
      <c r="Q44" s="25"/>
      <c r="R44" s="25"/>
      <c r="S44" s="37">
        <f t="shared" si="24"/>
        <v>1</v>
      </c>
      <c r="T44" s="52" t="str">
        <f t="shared" si="3"/>
        <v>Southbound</v>
      </c>
      <c r="U44" s="126">
        <f>IF(AG44="EC",COUNTIFS(Variables!$M$2:$M$19,IF(T44="NorthBound","&gt;=","&lt;=")&amp;Y44,Variables!$M$2:$M$19,IF(T44="NorthBound","&lt;=","&gt;=")&amp;Z44),COUNTIFS(Variables!$P$2:$P$19,IF(T44="NorthBound","&gt;=","&lt;=")&amp;Y44,Variables!$P$2:$P$19,IF(T44="NorthBound","&lt;=","&gt;=")&amp;Z44))</f>
        <v>12</v>
      </c>
      <c r="V44" s="106" t="str">
        <f t="shared" si="4"/>
        <v>https://search-rtdc-monitor-bjffxe2xuh6vdkpspy63sjmuny.us-east-1.es.amazonaws.com/_plugin/kibana/#/discover/Steve-Slow-Train-Analysis-(2080s-and-2083s)?_g=(refreshInterval:(display:Off,section:0,value:0),time:(from:'2016-08-30 07:06:44-0600',mode:absolute,to:'2016-08-30 09:51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44" s="54" t="str">
        <f t="shared" si="5"/>
        <v>N</v>
      </c>
      <c r="X44" s="120">
        <f t="shared" si="20"/>
        <v>1</v>
      </c>
      <c r="Y44" s="69">
        <f t="shared" si="6"/>
        <v>23.297799999999999</v>
      </c>
      <c r="Z44" s="69">
        <f t="shared" si="7"/>
        <v>1.54E-2</v>
      </c>
      <c r="AA44" s="69">
        <f t="shared" si="8"/>
        <v>23.282399999999999</v>
      </c>
      <c r="AB44" s="66" t="e">
        <f>VLOOKUP(A44,Enforcements!$C$7:$J$21,8,0)</f>
        <v>#N/A</v>
      </c>
      <c r="AC44" s="62" t="e">
        <f>VLOOKUP(A44,Enforcements!$C$7:$E$21,3,0)</f>
        <v>#N/A</v>
      </c>
      <c r="AD44" s="63" t="str">
        <f t="shared" si="9"/>
        <v>0130-30</v>
      </c>
      <c r="AE44" s="99" t="str">
        <f t="shared" si="10"/>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44" s="96" t="str">
        <f t="shared" si="11"/>
        <v>"C:\Program Files (x86)\AstroGrep\AstroGrep.exe" /spath="%USERPROFILE%\AppData\Local\Temp\OnboardLogs" /stypes="*4039*20160830*" /stext=" 14:.+((SYSTEM_STATE.+slice.+state.+changed )|(ment ac)|(system.+state.+changed )|(\|lc)|(penalty)|(\[timeout)|(PRM\|1\|D)|(kpr)|(kdp))" /e /r /s</v>
      </c>
      <c r="AG44" s="1" t="str">
        <f t="shared" si="12"/>
        <v>EC</v>
      </c>
      <c r="AH44" s="100" t="str">
        <f t="shared" si="15"/>
        <v>"%USERPROFILE%\Documents\GitHub\eaglep3\Utilities\RefineRTDCRunTimes.py" --tripid 130-30 --locoid 4039 --swversion DE.1.0.7.0 --startMP 204:232978 --initTime 2016-08-30T08:06:44 --startdatetime 2016-08-30T08:11:14 --delay 1 --endMP 204:154 --enddatetime 2016-08-30T08:51:07 --enforcementcount 0 &gt;&gt;C:\Users\stu\Documents\GitHub\eaglep3-reporting\EC\2016-08-30-refined-times.txt</v>
      </c>
      <c r="AI44" s="149" t="str">
        <f t="shared" si="16"/>
        <v>echo {"issue":{"subject":"","project_id":79,"tracker_id":40,"status_id":1,"priority_id":2,"assigned_to_id":23,"start_date":"2016-08-30","description":"","custom_fields":[{"id":1,"name":"Subdivision","value":"EC"},{"id":4,"name":"Milepost","value":"23.2824"},{"id":17,"name":"Train ID","value":"130-30"},{"id":16,"name":"Locomotive ID","value":"4039"},{"id":130,"name":"Impact","value":""},{"id":150,"name":"Time of Event (Mountain Time)","value":"08:51:07"},{"id":151,"name":"Denver Issue ID","value":""},{"id":178,"name":"Operational Impact","value":"Yes"},{"id":179,"name":"Denver Segment Assigned","value":""}]}} | curl -X POST -H "Content-Type: application/json" -H "X-Redmine-API-Key: d6333d4a04012a730768444271f8ca06482dae87" https://secure.xorail.net/redmine/issues.json --data @-</v>
      </c>
      <c r="AJ44" s="55"/>
      <c r="AK44" s="55"/>
      <c r="AL44" s="55"/>
    </row>
    <row r="45" spans="1:38" s="1" customFormat="1" x14ac:dyDescent="0.25">
      <c r="A45" s="39" t="s">
        <v>419</v>
      </c>
      <c r="B45" s="7">
        <v>4038</v>
      </c>
      <c r="C45" s="24" t="s">
        <v>113</v>
      </c>
      <c r="D45" s="24" t="s">
        <v>109</v>
      </c>
      <c r="E45" s="15">
        <v>42612.308969907404</v>
      </c>
      <c r="F45" s="15">
        <v>42612.31318287037</v>
      </c>
      <c r="G45" s="7">
        <v>1</v>
      </c>
      <c r="H45" s="15" t="s">
        <v>316</v>
      </c>
      <c r="I45" s="15">
        <v>42612.338703703703</v>
      </c>
      <c r="J45" s="7">
        <v>0</v>
      </c>
      <c r="K45" s="132" t="str">
        <f t="shared" si="0"/>
        <v>4037/4038</v>
      </c>
      <c r="L45" s="24" t="str">
        <f>VLOOKUP(A45,'Trips&amp;Operators'!$C$1:$E$10000,3,FALSE)</f>
        <v>ARVIDSON</v>
      </c>
      <c r="M45" s="6">
        <f t="shared" si="1"/>
        <v>2.5520833332848269E-2</v>
      </c>
      <c r="N45" s="7">
        <f t="shared" si="23"/>
        <v>36.749999999301508</v>
      </c>
      <c r="O45" s="7"/>
      <c r="P45" s="7"/>
      <c r="Q45" s="25"/>
      <c r="R45" s="25"/>
      <c r="S45" s="37">
        <f t="shared" si="24"/>
        <v>1</v>
      </c>
      <c r="T45" s="52" t="str">
        <f t="shared" si="3"/>
        <v>NorthBound</v>
      </c>
      <c r="U45" s="126">
        <f>IF(AG45="EC",COUNTIFS(Variables!$M$2:$M$19,IF(T45="NorthBound","&gt;=","&lt;=")&amp;Y45,Variables!$M$2:$M$19,IF(T45="NorthBound","&lt;=","&gt;=")&amp;Z45),COUNTIFS(Variables!$P$2:$P$19,IF(T45="NorthBound","&gt;=","&lt;=")&amp;Y45,Variables!$P$2:$P$19,IF(T45="NorthBound","&lt;=","&gt;=")&amp;Z45))</f>
        <v>12</v>
      </c>
      <c r="V45" s="106" t="str">
        <f t="shared" si="4"/>
        <v>https://search-rtdc-monitor-bjffxe2xuh6vdkpspy63sjmuny.us-east-1.es.amazonaws.com/_plugin/kibana/#/discover/Steve-Slow-Train-Analysis-(2080s-and-2083s)?_g=(refreshInterval:(display:Off,section:0,value:0),time:(from:'2016-08-30 06:24:55-0600',mode:absolute,to:'2016-08-30 09:07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45" s="54" t="str">
        <f t="shared" si="5"/>
        <v>N</v>
      </c>
      <c r="X45" s="120">
        <f t="shared" si="20"/>
        <v>1</v>
      </c>
      <c r="Y45" s="69">
        <f t="shared" si="6"/>
        <v>4.6199999999999998E-2</v>
      </c>
      <c r="Z45" s="69">
        <f t="shared" si="7"/>
        <v>23.3323</v>
      </c>
      <c r="AA45" s="69">
        <f t="shared" si="8"/>
        <v>23.286100000000001</v>
      </c>
      <c r="AB45" s="66" t="e">
        <f>VLOOKUP(A45,Enforcements!$C$7:$J$21,8,0)</f>
        <v>#N/A</v>
      </c>
      <c r="AC45" s="62" t="e">
        <f>VLOOKUP(A45,Enforcements!$C$7:$E$21,3,0)</f>
        <v>#N/A</v>
      </c>
      <c r="AD45" s="63" t="str">
        <f t="shared" si="9"/>
        <v>0131-30</v>
      </c>
      <c r="AE45" s="99" t="str">
        <f t="shared" si="10"/>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45" s="96" t="str">
        <f t="shared" si="11"/>
        <v>"C:\Program Files (x86)\AstroGrep\AstroGrep.exe" /spath="%USERPROFILE%\AppData\Local\Temp\OnboardLogs" /stypes="*4038*20160830*" /stext=" 14:.+((SYSTEM_STATE.+slice.+state.+changed )|(ment ac)|(system.+state.+changed )|(\|lc)|(penalty)|(\[timeout)|(PRM\|1\|D)|(kpr)|(kdp))" /e /r /s</v>
      </c>
      <c r="AG45" s="1" t="str">
        <f t="shared" si="12"/>
        <v>EC</v>
      </c>
      <c r="AH45" s="100" t="str">
        <f t="shared" si="15"/>
        <v>"%USERPROFILE%\Documents\GitHub\eaglep3\Utilities\RefineRTDCRunTimes.py" --tripid 131-30 --locoid 4038 --swversion DE.1.0.7.0 --startMP 204:462 --initTime 2016-08-30T07:24:55 --startdatetime 2016-08-30T07:30:59 --delay 1 --endMP 204:233323 --enddatetime 2016-08-30T08:07:44 --enforcementcount 0 &gt;&gt;C:\Users\stu\Documents\GitHub\eaglep3-reporting\EC\2016-08-30-refined-times.txt</v>
      </c>
      <c r="AI45" s="149" t="str">
        <f t="shared" si="16"/>
        <v>echo {"issue":{"subject":"","project_id":79,"tracker_id":40,"status_id":1,"priority_id":2,"assigned_to_id":23,"start_date":"2016-08-30","description":"","custom_fields":[{"id":1,"name":"Subdivision","value":"EC"},{"id":4,"name":"Milepost","value":"23.2861"},{"id":17,"name":"Train ID","value":"131-30"},{"id":16,"name":"Locomotive ID","value":"4038"},{"id":130,"name":"Impact","value":""},{"id":150,"name":"Time of Event (Mountain Time)","value":"08:07:44"},{"id":151,"name":"Denver Issue ID","value":""},{"id":178,"name":"Operational Impact","value":"Yes"},{"id":179,"name":"Denver Segment Assigned","value":""}]}} | curl -X POST -H "Content-Type: application/json" -H "X-Redmine-API-Key: d6333d4a04012a730768444271f8ca06482dae87" https://secure.xorail.net/redmine/issues.json --data @-</v>
      </c>
      <c r="AJ45" s="55"/>
      <c r="AK45" s="55"/>
      <c r="AL45" s="55"/>
    </row>
    <row r="46" spans="1:38" s="1" customFormat="1" x14ac:dyDescent="0.25">
      <c r="A46" s="39" t="s">
        <v>428</v>
      </c>
      <c r="B46" s="7">
        <v>4037</v>
      </c>
      <c r="C46" s="24" t="s">
        <v>113</v>
      </c>
      <c r="D46" s="24" t="s">
        <v>185</v>
      </c>
      <c r="E46" s="15">
        <v>42612.346030092594</v>
      </c>
      <c r="F46" s="15">
        <v>42612.351643518516</v>
      </c>
      <c r="G46" s="7">
        <v>1</v>
      </c>
      <c r="H46" s="15" t="s">
        <v>189</v>
      </c>
      <c r="I46" s="15">
        <v>42612.380046296297</v>
      </c>
      <c r="J46" s="7">
        <v>0</v>
      </c>
      <c r="K46" s="132" t="str">
        <f t="shared" si="0"/>
        <v>4037/4038</v>
      </c>
      <c r="L46" s="24" t="str">
        <f>VLOOKUP(A46,'Trips&amp;Operators'!$C$1:$E$10000,3,FALSE)</f>
        <v>ARVIDSON</v>
      </c>
      <c r="M46" s="6">
        <f t="shared" si="1"/>
        <v>2.8402777781593613E-2</v>
      </c>
      <c r="N46" s="7">
        <f t="shared" si="23"/>
        <v>40.900000005494803</v>
      </c>
      <c r="O46" s="7"/>
      <c r="P46" s="7"/>
      <c r="Q46" s="25"/>
      <c r="R46" s="25"/>
      <c r="S46" s="37">
        <f t="shared" si="24"/>
        <v>1</v>
      </c>
      <c r="T46" s="52" t="str">
        <f t="shared" si="3"/>
        <v>Southbound</v>
      </c>
      <c r="U46" s="126">
        <f>IF(AG46="EC",COUNTIFS(Variables!$M$2:$M$19,IF(T46="NorthBound","&gt;=","&lt;=")&amp;Y46,Variables!$M$2:$M$19,IF(T46="NorthBound","&lt;=","&gt;=")&amp;Z46),COUNTIFS(Variables!$P$2:$P$19,IF(T46="NorthBound","&gt;=","&lt;=")&amp;Y46,Variables!$P$2:$P$19,IF(T46="NorthBound","&lt;=","&gt;=")&amp;Z46))</f>
        <v>12</v>
      </c>
      <c r="V46" s="106" t="str">
        <f t="shared" si="4"/>
        <v>https://search-rtdc-monitor-bjffxe2xuh6vdkpspy63sjmuny.us-east-1.es.amazonaws.com/_plugin/kibana/#/discover/Steve-Slow-Train-Analysis-(2080s-and-2083s)?_g=(refreshInterval:(display:Off,section:0,value:0),time:(from:'2016-08-30 07:18:17-0600',mode:absolute,to:'2016-08-30 10:07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46" s="54" t="str">
        <f t="shared" si="5"/>
        <v>N</v>
      </c>
      <c r="X46" s="120">
        <f t="shared" si="20"/>
        <v>1</v>
      </c>
      <c r="Y46" s="69">
        <f t="shared" si="6"/>
        <v>23.3</v>
      </c>
      <c r="Z46" s="69">
        <f t="shared" si="7"/>
        <v>1.34E-2</v>
      </c>
      <c r="AA46" s="69">
        <f t="shared" si="8"/>
        <v>23.2866</v>
      </c>
      <c r="AB46" s="66" t="e">
        <f>VLOOKUP(A46,Enforcements!$C$7:$J$21,8,0)</f>
        <v>#N/A</v>
      </c>
      <c r="AC46" s="62" t="e">
        <f>VLOOKUP(A46,Enforcements!$C$7:$E$21,3,0)</f>
        <v>#N/A</v>
      </c>
      <c r="AD46" s="63" t="str">
        <f t="shared" si="9"/>
        <v>0132-30</v>
      </c>
      <c r="AE46" s="99" t="str">
        <f t="shared" si="10"/>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46" s="96" t="str">
        <f t="shared" si="11"/>
        <v>"C:\Program Files (x86)\AstroGrep\AstroGrep.exe" /spath="%USERPROFILE%\AppData\Local\Temp\OnboardLogs" /stypes="*4037*20160830*" /stext=" 15:.+((SYSTEM_STATE.+slice.+state.+changed )|(ment ac)|(system.+state.+changed )|(\|lc)|(penalty)|(\[timeout)|(PRM\|1\|D)|(kpr)|(kdp))" /e /r /s</v>
      </c>
      <c r="AG46" s="1" t="str">
        <f t="shared" si="12"/>
        <v>EC</v>
      </c>
      <c r="AH46" s="100" t="str">
        <f t="shared" si="15"/>
        <v>"%USERPROFILE%\Documents\GitHub\eaglep3\Utilities\RefineRTDCRunTimes.py" --tripid 132-30 --locoid 4037 --swversion DE.1.0.7.0 --startMP 204:233000 --initTime 2016-08-30T08:18:17 --startdatetime 2016-08-30T08:26:22 --delay 1 --endMP 204:134 --enddatetime 2016-08-30T09:07:16 --enforcementcount 0 &gt;&gt;C:\Users\stu\Documents\GitHub\eaglep3-reporting\EC\2016-08-30-refined-times.txt</v>
      </c>
      <c r="AI46" s="149" t="str">
        <f t="shared" si="16"/>
        <v>echo {"issue":{"subject":"","project_id":79,"tracker_id":40,"status_id":1,"priority_id":2,"assigned_to_id":23,"start_date":"2016-08-30","description":"","custom_fields":[{"id":1,"name":"Subdivision","value":"EC"},{"id":4,"name":"Milepost","value":"23.2866"},{"id":17,"name":"Train ID","value":"132-30"},{"id":16,"name":"Locomotive ID","value":"4037"},{"id":130,"name":"Impact","value":""},{"id":150,"name":"Time of Event (Mountain Time)","value":"09:07:16"},{"id":151,"name":"Denver Issue ID","value":""},{"id":178,"name":"Operational Impact","value":"Yes"},{"id":179,"name":"Denver Segment Assigned","value":""}]}} | curl -X POST -H "Content-Type: application/json" -H "X-Redmine-API-Key: d6333d4a04012a730768444271f8ca06482dae87" https://secure.xorail.net/redmine/issues.json --data @-</v>
      </c>
      <c r="AJ46" s="55"/>
      <c r="AK46" s="55"/>
      <c r="AL46" s="55"/>
    </row>
    <row r="47" spans="1:38" s="1" customFormat="1" x14ac:dyDescent="0.25">
      <c r="A47" s="39" t="s">
        <v>422</v>
      </c>
      <c r="B47" s="7">
        <v>4020</v>
      </c>
      <c r="C47" s="24" t="s">
        <v>113</v>
      </c>
      <c r="D47" s="24" t="s">
        <v>190</v>
      </c>
      <c r="E47" s="15">
        <v>42612.320381944446</v>
      </c>
      <c r="F47" s="15">
        <v>42612.323275462964</v>
      </c>
      <c r="G47" s="7">
        <v>4</v>
      </c>
      <c r="H47" s="15" t="s">
        <v>330</v>
      </c>
      <c r="I47" s="15">
        <v>42612.350046296298</v>
      </c>
      <c r="J47" s="7">
        <v>0</v>
      </c>
      <c r="K47" s="132" t="str">
        <f t="shared" si="0"/>
        <v>4019/4020</v>
      </c>
      <c r="L47" s="24" t="str">
        <f>VLOOKUP(A47,'Trips&amp;Operators'!$C$1:$E$10000,3,FALSE)</f>
        <v>SMITH</v>
      </c>
      <c r="M47" s="6">
        <f t="shared" si="1"/>
        <v>2.6770833334012423E-2</v>
      </c>
      <c r="N47" s="7">
        <f t="shared" si="23"/>
        <v>38.550000000977889</v>
      </c>
      <c r="O47" s="7"/>
      <c r="P47" s="7"/>
      <c r="Q47" s="25"/>
      <c r="R47" s="25"/>
      <c r="S47" s="37">
        <f t="shared" si="24"/>
        <v>1</v>
      </c>
      <c r="T47" s="52" t="str">
        <f t="shared" si="3"/>
        <v>NorthBound</v>
      </c>
      <c r="U47" s="126">
        <f>IF(AG47="EC",COUNTIFS(Variables!$M$2:$M$19,IF(T47="NorthBound","&gt;=","&lt;=")&amp;Y47,Variables!$M$2:$M$19,IF(T47="NorthBound","&lt;=","&gt;=")&amp;Z47),COUNTIFS(Variables!$P$2:$P$19,IF(T47="NorthBound","&gt;=","&lt;=")&amp;Y47,Variables!$P$2:$P$19,IF(T47="NorthBound","&lt;=","&gt;=")&amp;Z47))</f>
        <v>12</v>
      </c>
      <c r="V47" s="106" t="str">
        <f t="shared" si="4"/>
        <v>https://search-rtdc-monitor-bjffxe2xuh6vdkpspy63sjmuny.us-east-1.es.amazonaws.com/_plugin/kibana/#/discover/Steve-Slow-Train-Analysis-(2080s-and-2083s)?_g=(refreshInterval:(display:Off,section:0,value:0),time:(from:'2016-08-30 06:41:21-0600',mode:absolute,to:'2016-08-30 09:24: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47" s="54" t="str">
        <f t="shared" si="5"/>
        <v>N</v>
      </c>
      <c r="X47" s="120">
        <f t="shared" si="20"/>
        <v>1</v>
      </c>
      <c r="Y47" s="69">
        <f t="shared" si="6"/>
        <v>4.6399999999999997E-2</v>
      </c>
      <c r="Z47" s="69">
        <f t="shared" si="7"/>
        <v>23.3276</v>
      </c>
      <c r="AA47" s="69">
        <f t="shared" si="8"/>
        <v>23.281200000000002</v>
      </c>
      <c r="AB47" s="66" t="e">
        <f>VLOOKUP(A47,Enforcements!$C$7:$J$21,8,0)</f>
        <v>#N/A</v>
      </c>
      <c r="AC47" s="62" t="e">
        <f>VLOOKUP(A47,Enforcements!$C$7:$E$21,3,0)</f>
        <v>#N/A</v>
      </c>
      <c r="AD47" s="63" t="str">
        <f t="shared" si="9"/>
        <v>0133-30</v>
      </c>
      <c r="AE47" s="99" t="str">
        <f t="shared" si="1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47" s="96" t="str">
        <f t="shared" si="11"/>
        <v>"C:\Program Files (x86)\AstroGrep\AstroGrep.exe" /spath="%USERPROFILE%\AppData\Local\Temp\OnboardLogs" /stypes="*4020*20160830*" /stext=" 14:.+((SYSTEM_STATE.+slice.+state.+changed )|(ment ac)|(system.+state.+changed )|(\|lc)|(penalty)|(\[timeout)|(PRM\|1\|D)|(kpr)|(kdp))" /e /r /s</v>
      </c>
      <c r="AG47" s="1" t="str">
        <f t="shared" si="12"/>
        <v>EC</v>
      </c>
      <c r="AH47" s="100" t="str">
        <f t="shared" si="15"/>
        <v>"%USERPROFILE%\Documents\GitHub\eaglep3\Utilities\RefineRTDCRunTimes.py" --tripid 133-30 --locoid 4020 --swversion DE.1.0.7.0 --startMP 204:464 --initTime 2016-08-30T07:41:21 --startdatetime 2016-08-30T07:45:31 --delay 4 --endMP 204:233276 --enddatetime 2016-08-30T08:24:04 --enforcementcount 0 &gt;&gt;C:\Users\stu\Documents\GitHub\eaglep3-reporting\EC\2016-08-30-refined-times.txt</v>
      </c>
      <c r="AI47" s="149" t="str">
        <f t="shared" si="16"/>
        <v>echo {"issue":{"subject":"","project_id":79,"tracker_id":40,"status_id":1,"priority_id":2,"assigned_to_id":23,"start_date":"2016-08-30","description":"","custom_fields":[{"id":1,"name":"Subdivision","value":"EC"},{"id":4,"name":"Milepost","value":"23.2812"},{"id":17,"name":"Train ID","value":"133-30"},{"id":16,"name":"Locomotive ID","value":"4020"},{"id":130,"name":"Impact","value":""},{"id":150,"name":"Time of Event (Mountain Time)","value":"08:24:04"},{"id":151,"name":"Denver Issue ID","value":""},{"id":178,"name":"Operational Impact","value":"Yes"},{"id":179,"name":"Denver Segment Assigned","value":""}]}} | curl -X POST -H "Content-Type: application/json" -H "X-Redmine-API-Key: d6333d4a04012a730768444271f8ca06482dae87" https://secure.xorail.net/redmine/issues.json --data @-</v>
      </c>
      <c r="AJ47" s="55"/>
      <c r="AK47" s="55"/>
      <c r="AL47" s="55"/>
    </row>
    <row r="48" spans="1:38" s="1" customFormat="1" x14ac:dyDescent="0.25">
      <c r="A48" s="39" t="s">
        <v>430</v>
      </c>
      <c r="B48" s="7">
        <v>4019</v>
      </c>
      <c r="C48" s="24" t="s">
        <v>113</v>
      </c>
      <c r="D48" s="24" t="s">
        <v>335</v>
      </c>
      <c r="E48" s="15">
        <v>42612.352268518516</v>
      </c>
      <c r="F48" s="15">
        <v>42612.362060185187</v>
      </c>
      <c r="G48" s="7">
        <v>1</v>
      </c>
      <c r="H48" s="15" t="s">
        <v>152</v>
      </c>
      <c r="I48" s="15">
        <v>42612.39</v>
      </c>
      <c r="J48" s="7">
        <v>0</v>
      </c>
      <c r="K48" s="132" t="str">
        <f t="shared" si="0"/>
        <v>4019/4020</v>
      </c>
      <c r="L48" s="24" t="str">
        <f>VLOOKUP(A48,'Trips&amp;Operators'!$C$1:$E$10000,3,FALSE)</f>
        <v>SMITH</v>
      </c>
      <c r="M48" s="6">
        <f t="shared" si="1"/>
        <v>2.7939814812270924E-2</v>
      </c>
      <c r="N48" s="7">
        <f t="shared" si="23"/>
        <v>40.233333329670131</v>
      </c>
      <c r="O48" s="7"/>
      <c r="P48" s="7"/>
      <c r="Q48" s="25"/>
      <c r="R48" s="25"/>
      <c r="S48" s="37">
        <f t="shared" si="24"/>
        <v>1</v>
      </c>
      <c r="T48" s="52" t="str">
        <f t="shared" si="3"/>
        <v>Southbound</v>
      </c>
      <c r="U48" s="126">
        <f>IF(AG48="EC",COUNTIFS(Variables!$M$2:$M$19,IF(T48="NorthBound","&gt;=","&lt;=")&amp;Y48,Variables!$M$2:$M$19,IF(T48="NorthBound","&lt;=","&gt;=")&amp;Z48),COUNTIFS(Variables!$P$2:$P$19,IF(T48="NorthBound","&gt;=","&lt;=")&amp;Y48,Variables!$P$2:$P$19,IF(T48="NorthBound","&lt;=","&gt;=")&amp;Z48))</f>
        <v>12</v>
      </c>
      <c r="V48" s="106" t="str">
        <f t="shared" si="4"/>
        <v>https://search-rtdc-monitor-bjffxe2xuh6vdkpspy63sjmuny.us-east-1.es.amazonaws.com/_plugin/kibana/#/discover/Steve-Slow-Train-Analysis-(2080s-and-2083s)?_g=(refreshInterval:(display:Off,section:0,value:0),time:(from:'2016-08-30 07:27:16-0600',mode:absolute,to:'2016-08-30 10:21: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48" s="54" t="str">
        <f t="shared" si="5"/>
        <v>N</v>
      </c>
      <c r="X48" s="120">
        <f t="shared" si="20"/>
        <v>1</v>
      </c>
      <c r="Y48" s="69">
        <f t="shared" si="6"/>
        <v>23.2959</v>
      </c>
      <c r="Z48" s="69">
        <f t="shared" si="7"/>
        <v>1.54E-2</v>
      </c>
      <c r="AA48" s="69">
        <f t="shared" si="8"/>
        <v>23.2805</v>
      </c>
      <c r="AB48" s="66" t="e">
        <f>VLOOKUP(A48,Enforcements!$C$7:$J$21,8,0)</f>
        <v>#N/A</v>
      </c>
      <c r="AC48" s="62" t="e">
        <f>VLOOKUP(A48,Enforcements!$C$7:$E$21,3,0)</f>
        <v>#N/A</v>
      </c>
      <c r="AD48" s="63" t="str">
        <f t="shared" si="9"/>
        <v>0134-30</v>
      </c>
      <c r="AE48" s="99" t="str">
        <f t="shared" si="10"/>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48" s="96" t="str">
        <f t="shared" si="11"/>
        <v>"C:\Program Files (x86)\AstroGrep\AstroGrep.exe" /spath="%USERPROFILE%\AppData\Local\Temp\OnboardLogs" /stypes="*4019*20160830*" /stext=" 15:.+((SYSTEM_STATE.+slice.+state.+changed )|(ment ac)|(system.+state.+changed )|(\|lc)|(penalty)|(\[timeout)|(PRM\|1\|D)|(kpr)|(kdp))" /e /r /s</v>
      </c>
      <c r="AG48" s="1" t="str">
        <f t="shared" si="12"/>
        <v>EC</v>
      </c>
      <c r="AH48" s="100" t="str">
        <f t="shared" si="15"/>
        <v>"%USERPROFILE%\Documents\GitHub\eaglep3\Utilities\RefineRTDCRunTimes.py" --tripid 134-30 --locoid 4019 --swversion DE.1.0.7.0 --startMP 204:232959 --initTime 2016-08-30T08:27:16 --startdatetime 2016-08-30T08:41:22 --delay 1 --endMP 204:154 --enddatetime 2016-08-30T09:21:36 --enforcementcount 0 &gt;&gt;C:\Users\stu\Documents\GitHub\eaglep3-reporting\EC\2016-08-30-refined-times.txt</v>
      </c>
      <c r="AI48" s="149" t="str">
        <f t="shared" si="16"/>
        <v>echo {"issue":{"subject":"","project_id":79,"tracker_id":40,"status_id":1,"priority_id":2,"assigned_to_id":23,"start_date":"2016-08-30","description":"","custom_fields":[{"id":1,"name":"Subdivision","value":"EC"},{"id":4,"name":"Milepost","value":"23.2805"},{"id":17,"name":"Train ID","value":"134-30"},{"id":16,"name":"Locomotive ID","value":"4019"},{"id":130,"name":"Impact","value":""},{"id":150,"name":"Time of Event (Mountain Time)","value":"09:21:36"},{"id":151,"name":"Denver Issue ID","value":""},{"id":178,"name":"Operational Impact","value":"Yes"},{"id":179,"name":"Denver Segment Assigned","value":""}]}} | curl -X POST -H "Content-Type: application/json" -H "X-Redmine-API-Key: d6333d4a04012a730768444271f8ca06482dae87" https://secure.xorail.net/redmine/issues.json --data @-</v>
      </c>
      <c r="AJ48" s="55"/>
      <c r="AK48" s="55"/>
      <c r="AL48" s="55"/>
    </row>
    <row r="49" spans="1:38" s="1" customFormat="1" x14ac:dyDescent="0.25">
      <c r="A49" s="39" t="s">
        <v>425</v>
      </c>
      <c r="B49" s="7">
        <v>4018</v>
      </c>
      <c r="C49" s="24" t="s">
        <v>113</v>
      </c>
      <c r="D49" s="24" t="s">
        <v>135</v>
      </c>
      <c r="E49" s="15">
        <v>42612.331886574073</v>
      </c>
      <c r="F49" s="15">
        <v>42612.333599537036</v>
      </c>
      <c r="G49" s="7">
        <v>1</v>
      </c>
      <c r="H49" s="15" t="s">
        <v>331</v>
      </c>
      <c r="I49" s="15">
        <v>42612.359780092593</v>
      </c>
      <c r="J49" s="7">
        <v>0</v>
      </c>
      <c r="K49" s="132" t="str">
        <f t="shared" si="0"/>
        <v>4017/4018</v>
      </c>
      <c r="L49" s="24" t="str">
        <f>VLOOKUP(A49,'Trips&amp;Operators'!$C$1:$E$10000,3,FALSE)</f>
        <v>SPECTOR</v>
      </c>
      <c r="M49" s="6">
        <f t="shared" si="1"/>
        <v>2.6180555556493346E-2</v>
      </c>
      <c r="N49" s="7">
        <f t="shared" si="23"/>
        <v>37.700000001350418</v>
      </c>
      <c r="O49" s="7"/>
      <c r="P49" s="7"/>
      <c r="Q49" s="25"/>
      <c r="R49" s="25"/>
      <c r="S49" s="37">
        <f t="shared" si="24"/>
        <v>1</v>
      </c>
      <c r="T49" s="52" t="str">
        <f t="shared" si="3"/>
        <v>NorthBound</v>
      </c>
      <c r="U49" s="126">
        <f>IF(AG49="EC",COUNTIFS(Variables!$M$2:$M$19,IF(T49="NorthBound","&gt;=","&lt;=")&amp;Y49,Variables!$M$2:$M$19,IF(T49="NorthBound","&lt;=","&gt;=")&amp;Z49),COUNTIFS(Variables!$P$2:$P$19,IF(T49="NorthBound","&gt;=","&lt;=")&amp;Y49,Variables!$P$2:$P$19,IF(T49="NorthBound","&lt;=","&gt;=")&amp;Z49))</f>
        <v>12</v>
      </c>
      <c r="V49" s="106" t="str">
        <f t="shared" si="4"/>
        <v>https://search-rtdc-monitor-bjffxe2xuh6vdkpspy63sjmuny.us-east-1.es.amazonaws.com/_plugin/kibana/#/discover/Steve-Slow-Train-Analysis-(2080s-and-2083s)?_g=(refreshInterval:(display:Off,section:0,value:0),time:(from:'2016-08-30 06:57:55-0600',mode:absolute,to:'2016-08-30 09:38: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49" s="54" t="str">
        <f t="shared" si="5"/>
        <v>N</v>
      </c>
      <c r="X49" s="120">
        <f t="shared" si="20"/>
        <v>1</v>
      </c>
      <c r="Y49" s="69">
        <f t="shared" si="6"/>
        <v>4.4900000000000002E-2</v>
      </c>
      <c r="Z49" s="69">
        <f t="shared" si="7"/>
        <v>23.332100000000001</v>
      </c>
      <c r="AA49" s="69">
        <f t="shared" si="8"/>
        <v>23.287200000000002</v>
      </c>
      <c r="AB49" s="66" t="e">
        <f>VLOOKUP(A49,Enforcements!$C$7:$J$21,8,0)</f>
        <v>#N/A</v>
      </c>
      <c r="AC49" s="62" t="e">
        <f>VLOOKUP(A49,Enforcements!$C$7:$E$21,3,0)</f>
        <v>#N/A</v>
      </c>
      <c r="AD49" s="63" t="str">
        <f t="shared" si="9"/>
        <v>0135-30</v>
      </c>
      <c r="AE49" s="99" t="str">
        <f t="shared" si="1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49" s="96" t="str">
        <f t="shared" si="11"/>
        <v>"C:\Program Files (x86)\AstroGrep\AstroGrep.exe" /spath="%USERPROFILE%\AppData\Local\Temp\OnboardLogs" /stypes="*4018*20160830*" /stext=" 14:.+((SYSTEM_STATE.+slice.+state.+changed )|(ment ac)|(system.+state.+changed )|(\|lc)|(penalty)|(\[timeout)|(PRM\|1\|D)|(kpr)|(kdp))" /e /r /s</v>
      </c>
      <c r="AG49" s="1" t="str">
        <f t="shared" si="12"/>
        <v>EC</v>
      </c>
      <c r="AH49" s="100" t="str">
        <f t="shared" si="15"/>
        <v>"%USERPROFILE%\Documents\GitHub\eaglep3\Utilities\RefineRTDCRunTimes.py" --tripid 135-30 --locoid 4018 --swversion DE.1.0.7.0 --startMP 204:449 --initTime 2016-08-30T07:57:55 --startdatetime 2016-08-30T08:00:23 --delay 1 --endMP 204:233321 --enddatetime 2016-08-30T08:38:05 --enforcementcount 0 &gt;&gt;C:\Users\stu\Documents\GitHub\eaglep3-reporting\EC\2016-08-30-refined-times.txt</v>
      </c>
      <c r="AI49" s="149" t="str">
        <f t="shared" si="16"/>
        <v>echo {"issue":{"subject":"","project_id":79,"tracker_id":40,"status_id":1,"priority_id":2,"assigned_to_id":23,"start_date":"2016-08-30","description":"","custom_fields":[{"id":1,"name":"Subdivision","value":"EC"},{"id":4,"name":"Milepost","value":"23.2872"},{"id":17,"name":"Train ID","value":"135-30"},{"id":16,"name":"Locomotive ID","value":"4018"},{"id":130,"name":"Impact","value":""},{"id":150,"name":"Time of Event (Mountain Time)","value":"08:38:05"},{"id":151,"name":"Denver Issue ID","value":""},{"id":178,"name":"Operational Impact","value":"Yes"},{"id":179,"name":"Denver Segment Assigned","value":""}]}} | curl -X POST -H "Content-Type: application/json" -H "X-Redmine-API-Key: d6333d4a04012a730768444271f8ca06482dae87" https://secure.xorail.net/redmine/issues.json --data @-</v>
      </c>
      <c r="AJ49" s="55"/>
      <c r="AK49" s="55"/>
      <c r="AL49" s="55"/>
    </row>
    <row r="50" spans="1:38" s="1" customFormat="1" x14ac:dyDescent="0.25">
      <c r="A50" s="39" t="s">
        <v>434</v>
      </c>
      <c r="B50" s="7">
        <v>4017</v>
      </c>
      <c r="C50" s="24" t="s">
        <v>113</v>
      </c>
      <c r="D50" s="24" t="s">
        <v>294</v>
      </c>
      <c r="E50" s="15">
        <v>42612.365671296298</v>
      </c>
      <c r="F50" s="15">
        <v>42612.372465277775</v>
      </c>
      <c r="G50" s="7">
        <v>1</v>
      </c>
      <c r="H50" s="15" t="s">
        <v>136</v>
      </c>
      <c r="I50" s="15">
        <v>42612.398842592593</v>
      </c>
      <c r="J50" s="7">
        <v>0</v>
      </c>
      <c r="K50" s="132" t="str">
        <f t="shared" si="0"/>
        <v>4017/4018</v>
      </c>
      <c r="L50" s="24" t="str">
        <f>VLOOKUP(A50,'Trips&amp;Operators'!$C$1:$E$10000,3,FALSE)</f>
        <v>SPECTOR</v>
      </c>
      <c r="M50" s="6">
        <f t="shared" si="1"/>
        <v>2.6377314818091691E-2</v>
      </c>
      <c r="N50" s="7">
        <f t="shared" si="23"/>
        <v>37.983333338052034</v>
      </c>
      <c r="O50" s="7"/>
      <c r="P50" s="7"/>
      <c r="Q50" s="25"/>
      <c r="R50" s="25"/>
      <c r="S50" s="37">
        <f t="shared" si="24"/>
        <v>1</v>
      </c>
      <c r="T50" s="52" t="str">
        <f t="shared" si="3"/>
        <v>Southbound</v>
      </c>
      <c r="U50" s="126">
        <f>IF(AG50="EC",COUNTIFS(Variables!$M$2:$M$19,IF(T50="NorthBound","&gt;=","&lt;=")&amp;Y50,Variables!$M$2:$M$19,IF(T50="NorthBound","&lt;=","&gt;=")&amp;Z50),COUNTIFS(Variables!$P$2:$P$19,IF(T50="NorthBound","&gt;=","&lt;=")&amp;Y50,Variables!$P$2:$P$19,IF(T50="NorthBound","&lt;=","&gt;=")&amp;Z50))</f>
        <v>12</v>
      </c>
      <c r="V50" s="106" t="str">
        <f t="shared" si="4"/>
        <v>https://search-rtdc-monitor-bjffxe2xuh6vdkpspy63sjmuny.us-east-1.es.amazonaws.com/_plugin/kibana/#/discover/Steve-Slow-Train-Analysis-(2080s-and-2083s)?_g=(refreshInterval:(display:Off,section:0,value:0),time:(from:'2016-08-30 07:46:34-0600',mode:absolute,to:'2016-08-30 10:34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50" s="54" t="str">
        <f t="shared" si="5"/>
        <v>N</v>
      </c>
      <c r="X50" s="120">
        <f t="shared" si="20"/>
        <v>1</v>
      </c>
      <c r="Y50" s="69">
        <f t="shared" si="6"/>
        <v>23.300799999999999</v>
      </c>
      <c r="Z50" s="69">
        <f t="shared" si="7"/>
        <v>1.49E-2</v>
      </c>
      <c r="AA50" s="69">
        <f t="shared" si="8"/>
        <v>23.285899999999998</v>
      </c>
      <c r="AB50" s="66" t="e">
        <f>VLOOKUP(A50,Enforcements!$C$7:$J$21,8,0)</f>
        <v>#N/A</v>
      </c>
      <c r="AC50" s="62" t="e">
        <f>VLOOKUP(A50,Enforcements!$C$7:$E$21,3,0)</f>
        <v>#N/A</v>
      </c>
      <c r="AD50" s="63" t="str">
        <f t="shared" si="9"/>
        <v>0136-30</v>
      </c>
      <c r="AE50" s="99" t="str">
        <f t="shared" si="1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50" s="96" t="str">
        <f t="shared" si="11"/>
        <v>"C:\Program Files (x86)\AstroGrep\AstroGrep.exe" /spath="%USERPROFILE%\AppData\Local\Temp\OnboardLogs" /stypes="*4017*20160830*" /stext=" 15:.+((SYSTEM_STATE.+slice.+state.+changed )|(ment ac)|(system.+state.+changed )|(\|lc)|(penalty)|(\[timeout)|(PRM\|1\|D)|(kpr)|(kdp))" /e /r /s</v>
      </c>
      <c r="AG50" s="1" t="str">
        <f t="shared" si="12"/>
        <v>EC</v>
      </c>
      <c r="AH50" s="100" t="str">
        <f t="shared" si="15"/>
        <v>"%USERPROFILE%\Documents\GitHub\eaglep3\Utilities\RefineRTDCRunTimes.py" --tripid 136-30 --locoid 4017 --swversion DE.1.0.7.0 --startMP 204:233008 --initTime 2016-08-30T08:46:34 --startdatetime 2016-08-30T08:56:21 --delay 1 --endMP 204:149 --enddatetime 2016-08-30T09:34:20 --enforcementcount 0 &gt;&gt;C:\Users\stu\Documents\GitHub\eaglep3-reporting\EC\2016-08-30-refined-times.txt</v>
      </c>
      <c r="AI50" s="149" t="str">
        <f t="shared" si="16"/>
        <v>echo {"issue":{"subject":"","project_id":79,"tracker_id":40,"status_id":1,"priority_id":2,"assigned_to_id":23,"start_date":"2016-08-30","description":"","custom_fields":[{"id":1,"name":"Subdivision","value":"EC"},{"id":4,"name":"Milepost","value":"23.2859"},{"id":17,"name":"Train ID","value":"136-30"},{"id":16,"name":"Locomotive ID","value":"4017"},{"id":130,"name":"Impact","value":""},{"id":150,"name":"Time of Event (Mountain Time)","value":"09:34:20"},{"id":151,"name":"Denver Issue ID","value":""},{"id":178,"name":"Operational Impact","value":"Yes"},{"id":179,"name":"Denver Segment Assigned","value":""}]}} | curl -X POST -H "Content-Type: application/json" -H "X-Redmine-API-Key: d6333d4a04012a730768444271f8ca06482dae87" https://secure.xorail.net/redmine/issues.json --data @-</v>
      </c>
      <c r="AJ50" s="55"/>
      <c r="AK50" s="55"/>
      <c r="AL50" s="55"/>
    </row>
    <row r="51" spans="1:38" s="1" customFormat="1" x14ac:dyDescent="0.25">
      <c r="A51" s="39" t="s">
        <v>427</v>
      </c>
      <c r="B51" s="7">
        <v>4029</v>
      </c>
      <c r="C51" s="24" t="s">
        <v>113</v>
      </c>
      <c r="D51" s="24" t="s">
        <v>190</v>
      </c>
      <c r="E51" s="15">
        <v>42612.33997685185</v>
      </c>
      <c r="F51" s="15">
        <v>42612.343912037039</v>
      </c>
      <c r="G51" s="7">
        <v>1</v>
      </c>
      <c r="H51" s="15" t="s">
        <v>255</v>
      </c>
      <c r="I51" s="15">
        <v>42612.368645833332</v>
      </c>
      <c r="J51" s="7">
        <v>0</v>
      </c>
      <c r="K51" s="132" t="str">
        <f t="shared" si="0"/>
        <v>4029/4030</v>
      </c>
      <c r="L51" s="24" t="str">
        <f>VLOOKUP(A51,'Trips&amp;Operators'!$C$1:$E$10000,3,FALSE)</f>
        <v>DAVIS</v>
      </c>
      <c r="M51" s="6">
        <f t="shared" si="1"/>
        <v>2.4733796293730848E-2</v>
      </c>
      <c r="N51" s="7">
        <f t="shared" si="23"/>
        <v>35.61666666297242</v>
      </c>
      <c r="O51" s="7"/>
      <c r="P51" s="7"/>
      <c r="Q51" s="25"/>
      <c r="R51" s="25"/>
      <c r="S51" s="37">
        <f t="shared" si="24"/>
        <v>1</v>
      </c>
      <c r="T51" s="52" t="str">
        <f t="shared" si="3"/>
        <v>NorthBound</v>
      </c>
      <c r="U51" s="126">
        <f>IF(AG51="EC",COUNTIFS(Variables!$M$2:$M$19,IF(T51="NorthBound","&gt;=","&lt;=")&amp;Y51,Variables!$M$2:$M$19,IF(T51="NorthBound","&lt;=","&gt;=")&amp;Z51),COUNTIFS(Variables!$P$2:$P$19,IF(T51="NorthBound","&gt;=","&lt;=")&amp;Y51,Variables!$P$2:$P$19,IF(T51="NorthBound","&lt;=","&gt;=")&amp;Z51))</f>
        <v>12</v>
      </c>
      <c r="V51" s="106" t="str">
        <f t="shared" si="4"/>
        <v>https://search-rtdc-monitor-bjffxe2xuh6vdkpspy63sjmuny.us-east-1.es.amazonaws.com/_plugin/kibana/#/discover/Steve-Slow-Train-Analysis-(2080s-and-2083s)?_g=(refreshInterval:(display:Off,section:0,value:0),time:(from:'2016-08-30 07:09:34-0600',mode:absolute,to:'2016-08-30 09:50: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51" s="54" t="str">
        <f t="shared" si="5"/>
        <v>N</v>
      </c>
      <c r="X51" s="120">
        <f t="shared" ref="X51:X82" si="25">VALUE(LEFT(AD51,4))-VALUE(LEFT(AD50,4))</f>
        <v>1</v>
      </c>
      <c r="Y51" s="69">
        <f t="shared" si="6"/>
        <v>4.6399999999999997E-2</v>
      </c>
      <c r="Z51" s="69">
        <f t="shared" si="7"/>
        <v>23.329499999999999</v>
      </c>
      <c r="AA51" s="69">
        <f t="shared" si="8"/>
        <v>23.283100000000001</v>
      </c>
      <c r="AB51" s="66" t="e">
        <f>VLOOKUP(A51,Enforcements!$C$7:$J$21,8,0)</f>
        <v>#N/A</v>
      </c>
      <c r="AC51" s="62" t="e">
        <f>VLOOKUP(A51,Enforcements!$C$7:$E$21,3,0)</f>
        <v>#N/A</v>
      </c>
      <c r="AD51" s="63" t="str">
        <f t="shared" si="9"/>
        <v>0137-30</v>
      </c>
      <c r="AE51" s="99" t="str">
        <f t="shared" si="1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51" s="96" t="str">
        <f t="shared" si="11"/>
        <v>"C:\Program Files (x86)\AstroGrep\AstroGrep.exe" /spath="%USERPROFILE%\AppData\Local\Temp\OnboardLogs" /stypes="*4029*20160830*" /stext=" 14:.+((SYSTEM_STATE.+slice.+state.+changed )|(ment ac)|(system.+state.+changed )|(\|lc)|(penalty)|(\[timeout)|(PRM\|1\|D)|(kpr)|(kdp))" /e /r /s</v>
      </c>
      <c r="AG51" s="1" t="str">
        <f t="shared" si="12"/>
        <v>EC</v>
      </c>
      <c r="AH51" s="100" t="str">
        <f t="shared" si="15"/>
        <v>"%USERPROFILE%\Documents\GitHub\eaglep3\Utilities\RefineRTDCRunTimes.py" --tripid 137-30 --locoid 4029 --swversion DE.1.0.7.0 --startMP 204:464 --initTime 2016-08-30T08:09:34 --startdatetime 2016-08-30T08:15:14 --delay 1 --endMP 204:233295 --enddatetime 2016-08-30T08:50:51 --enforcementcount 0 &gt;&gt;C:\Users\stu\Documents\GitHub\eaglep3-reporting\EC\2016-08-30-refined-times.txt</v>
      </c>
      <c r="AI51" s="149" t="str">
        <f t="shared" si="16"/>
        <v>echo {"issue":{"subject":"","project_id":79,"tracker_id":40,"status_id":1,"priority_id":2,"assigned_to_id":23,"start_date":"2016-08-30","description":"","custom_fields":[{"id":1,"name":"Subdivision","value":"EC"},{"id":4,"name":"Milepost","value":"23.2831"},{"id":17,"name":"Train ID","value":"137-30"},{"id":16,"name":"Locomotive ID","value":"4029"},{"id":130,"name":"Impact","value":""},{"id":150,"name":"Time of Event (Mountain Time)","value":"08:50:51"},{"id":151,"name":"Denver Issue ID","value":""},{"id":178,"name":"Operational Impact","value":"Yes"},{"id":179,"name":"Denver Segment Assigned","value":""}]}} | curl -X POST -H "Content-Type: application/json" -H "X-Redmine-API-Key: d6333d4a04012a730768444271f8ca06482dae87" https://secure.xorail.net/redmine/issues.json --data @-</v>
      </c>
      <c r="AJ51" s="55"/>
      <c r="AK51" s="55"/>
      <c r="AL51" s="55"/>
    </row>
    <row r="52" spans="1:38" s="1" customFormat="1" x14ac:dyDescent="0.25">
      <c r="A52" s="39" t="s">
        <v>435</v>
      </c>
      <c r="B52" s="7">
        <v>4030</v>
      </c>
      <c r="C52" s="24" t="s">
        <v>113</v>
      </c>
      <c r="D52" s="24" t="s">
        <v>271</v>
      </c>
      <c r="E52" s="15">
        <v>42612.37972222222</v>
      </c>
      <c r="F52" s="15">
        <v>42612.382777777777</v>
      </c>
      <c r="G52" s="7">
        <v>1</v>
      </c>
      <c r="H52" s="15" t="s">
        <v>599</v>
      </c>
      <c r="I52" s="15">
        <v>42612.409467592595</v>
      </c>
      <c r="J52" s="7">
        <v>0</v>
      </c>
      <c r="K52" s="132" t="str">
        <f t="shared" si="0"/>
        <v>4029/4030</v>
      </c>
      <c r="L52" s="24" t="str">
        <f>VLOOKUP(A52,'Trips&amp;Operators'!$C$1:$E$10000,3,FALSE)</f>
        <v>DAVIS</v>
      </c>
      <c r="M52" s="6">
        <f t="shared" si="1"/>
        <v>2.6689814818382729E-2</v>
      </c>
      <c r="N52" s="7">
        <f t="shared" si="23"/>
        <v>38.43333333847113</v>
      </c>
      <c r="O52" s="7"/>
      <c r="P52" s="7"/>
      <c r="Q52" s="25"/>
      <c r="R52" s="25"/>
      <c r="S52" s="37">
        <f t="shared" si="24"/>
        <v>1</v>
      </c>
      <c r="T52" s="52" t="str">
        <f t="shared" si="3"/>
        <v>Southbound</v>
      </c>
      <c r="U52" s="126">
        <f>IF(AG52="EC",COUNTIFS(Variables!$M$2:$M$19,IF(T52="NorthBound","&gt;=","&lt;=")&amp;Y52,Variables!$M$2:$M$19,IF(T52="NorthBound","&lt;=","&gt;=")&amp;Z52),COUNTIFS(Variables!$P$2:$P$19,IF(T52="NorthBound","&gt;=","&lt;=")&amp;Y52,Variables!$P$2:$P$19,IF(T52="NorthBound","&lt;=","&gt;=")&amp;Z52))</f>
        <v>12</v>
      </c>
      <c r="V52" s="106" t="str">
        <f t="shared" si="4"/>
        <v>https://search-rtdc-monitor-bjffxe2xuh6vdkpspy63sjmuny.us-east-1.es.amazonaws.com/_plugin/kibana/#/discover/Steve-Slow-Train-Analysis-(2080s-and-2083s)?_g=(refreshInterval:(display:Off,section:0,value:0),time:(from:'2016-08-30 08:06:48-0600',mode:absolute,to:'2016-08-30 10:49: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52" s="54" t="str">
        <f t="shared" si="5"/>
        <v>N</v>
      </c>
      <c r="X52" s="120">
        <f t="shared" si="25"/>
        <v>1</v>
      </c>
      <c r="Y52" s="69">
        <f t="shared" si="6"/>
        <v>23.298999999999999</v>
      </c>
      <c r="Z52" s="69">
        <f t="shared" si="7"/>
        <v>1.61E-2</v>
      </c>
      <c r="AA52" s="69">
        <f t="shared" si="8"/>
        <v>23.282899999999998</v>
      </c>
      <c r="AB52" s="66" t="e">
        <f>VLOOKUP(A52,Enforcements!$C$7:$J$21,8,0)</f>
        <v>#N/A</v>
      </c>
      <c r="AC52" s="62" t="e">
        <f>VLOOKUP(A52,Enforcements!$C$7:$E$21,3,0)</f>
        <v>#N/A</v>
      </c>
      <c r="AD52" s="63" t="str">
        <f t="shared" si="9"/>
        <v>0138-30</v>
      </c>
      <c r="AE52" s="99" t="str">
        <f t="shared" si="10"/>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52" s="96" t="str">
        <f t="shared" si="11"/>
        <v>"C:\Program Files (x86)\AstroGrep\AstroGrep.exe" /spath="%USERPROFILE%\AppData\Local\Temp\OnboardLogs" /stypes="*4030*20160830*" /stext=" 15:.+((SYSTEM_STATE.+slice.+state.+changed )|(ment ac)|(system.+state.+changed )|(\|lc)|(penalty)|(\[timeout)|(PRM\|1\|D)|(kpr)|(kdp))" /e /r /s</v>
      </c>
      <c r="AG52" s="1" t="str">
        <f t="shared" si="12"/>
        <v>EC</v>
      </c>
      <c r="AH52" s="100" t="str">
        <f t="shared" si="15"/>
        <v>"%USERPROFILE%\Documents\GitHub\eaglep3\Utilities\RefineRTDCRunTimes.py" --tripid 138-30 --locoid 4030 --swversion DE.1.0.7.0 --startMP 204:232990 --initTime 2016-08-30T09:06:48 --startdatetime 2016-08-30T09:11:12 --delay 1 --endMP 204:161 --enddatetime 2016-08-30T09:49:38 --enforcementcount 0 &gt;&gt;C:\Users\stu\Documents\GitHub\eaglep3-reporting\EC\2016-08-30-refined-times.txt</v>
      </c>
      <c r="AI52" s="149" t="str">
        <f t="shared" si="16"/>
        <v>echo {"issue":{"subject":"","project_id":79,"tracker_id":40,"status_id":1,"priority_id":2,"assigned_to_id":23,"start_date":"2016-08-30","description":"","custom_fields":[{"id":1,"name":"Subdivision","value":"EC"},{"id":4,"name":"Milepost","value":"23.2829"},{"id":17,"name":"Train ID","value":"138-30"},{"id":16,"name":"Locomotive ID","value":"4030"},{"id":130,"name":"Impact","value":""},{"id":150,"name":"Time of Event (Mountain Time)","value":"09:49:38"},{"id":151,"name":"Denver Issue ID","value":""},{"id":178,"name":"Operational Impact","value":"Yes"},{"id":179,"name":"Denver Segment Assigned","value":""}]}} | curl -X POST -H "Content-Type: application/json" -H "X-Redmine-API-Key: d6333d4a04012a730768444271f8ca06482dae87" https://secure.xorail.net/redmine/issues.json --data @-</v>
      </c>
      <c r="AJ52" s="55"/>
      <c r="AK52" s="55"/>
      <c r="AL52" s="55"/>
    </row>
    <row r="53" spans="1:38" s="1" customFormat="1" x14ac:dyDescent="0.25">
      <c r="A53" s="39" t="s">
        <v>429</v>
      </c>
      <c r="B53" s="7">
        <v>4011</v>
      </c>
      <c r="C53" s="24" t="s">
        <v>113</v>
      </c>
      <c r="D53" s="24" t="s">
        <v>125</v>
      </c>
      <c r="E53" s="15">
        <v>42612.349942129629</v>
      </c>
      <c r="F53" s="15">
        <v>42612.354930555557</v>
      </c>
      <c r="G53" s="7">
        <v>1</v>
      </c>
      <c r="H53" s="15" t="s">
        <v>269</v>
      </c>
      <c r="I53" s="15">
        <v>42612.38013888889</v>
      </c>
      <c r="J53" s="7">
        <v>0</v>
      </c>
      <c r="K53" s="132" t="str">
        <f t="shared" si="0"/>
        <v>4011/4012</v>
      </c>
      <c r="L53" s="24" t="str">
        <f>VLOOKUP(A53,'Trips&amp;Operators'!$C$1:$E$10000,3,FALSE)</f>
        <v>GEBRETEKLE</v>
      </c>
      <c r="M53" s="6">
        <f t="shared" si="1"/>
        <v>2.5208333332557231E-2</v>
      </c>
      <c r="N53" s="7">
        <f t="shared" si="23"/>
        <v>36.299999998882413</v>
      </c>
      <c r="O53" s="7"/>
      <c r="P53" s="7"/>
      <c r="Q53" s="25"/>
      <c r="R53" s="25"/>
      <c r="S53" s="37">
        <f t="shared" si="24"/>
        <v>1</v>
      </c>
      <c r="T53" s="52" t="str">
        <f t="shared" si="3"/>
        <v>NorthBound</v>
      </c>
      <c r="U53" s="126">
        <f>IF(AG53="EC",COUNTIFS(Variables!$M$2:$M$19,IF(T53="NorthBound","&gt;=","&lt;=")&amp;Y53,Variables!$M$2:$M$19,IF(T53="NorthBound","&lt;=","&gt;=")&amp;Z53),COUNTIFS(Variables!$P$2:$P$19,IF(T53="NorthBound","&gt;=","&lt;=")&amp;Y53,Variables!$P$2:$P$19,IF(T53="NorthBound","&lt;=","&gt;=")&amp;Z53))</f>
        <v>12</v>
      </c>
      <c r="V53" s="106" t="str">
        <f t="shared" si="4"/>
        <v>https://search-rtdc-monitor-bjffxe2xuh6vdkpspy63sjmuny.us-east-1.es.amazonaws.com/_plugin/kibana/#/discover/Steve-Slow-Train-Analysis-(2080s-and-2083s)?_g=(refreshInterval:(display:Off,section:0,value:0),time:(from:'2016-08-30 07:23:55-0600',mode:absolute,to:'2016-08-30 10:07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53" s="54" t="str">
        <f t="shared" si="5"/>
        <v>N</v>
      </c>
      <c r="X53" s="120">
        <f t="shared" si="25"/>
        <v>1</v>
      </c>
      <c r="Y53" s="69">
        <f t="shared" si="6"/>
        <v>4.5499999999999999E-2</v>
      </c>
      <c r="Z53" s="69">
        <f t="shared" si="7"/>
        <v>23.328499999999998</v>
      </c>
      <c r="AA53" s="69">
        <f t="shared" si="8"/>
        <v>23.282999999999998</v>
      </c>
      <c r="AB53" s="66" t="e">
        <f>VLOOKUP(A53,Enforcements!$C$7:$J$21,8,0)</f>
        <v>#N/A</v>
      </c>
      <c r="AC53" s="62" t="e">
        <f>VLOOKUP(A53,Enforcements!$C$7:$E$21,3,0)</f>
        <v>#N/A</v>
      </c>
      <c r="AD53" s="63" t="str">
        <f t="shared" si="9"/>
        <v>0139-30</v>
      </c>
      <c r="AE53" s="99" t="str">
        <f t="shared" si="1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53" s="96" t="str">
        <f t="shared" si="11"/>
        <v>"C:\Program Files (x86)\AstroGrep\AstroGrep.exe" /spath="%USERPROFILE%\AppData\Local\Temp\OnboardLogs" /stypes="*4011*20160830*" /stext=" 15:.+((SYSTEM_STATE.+slice.+state.+changed )|(ment ac)|(system.+state.+changed )|(\|lc)|(penalty)|(\[timeout)|(PRM\|1\|D)|(kpr)|(kdp))" /e /r /s</v>
      </c>
      <c r="AG53" s="1" t="str">
        <f t="shared" si="12"/>
        <v>EC</v>
      </c>
      <c r="AH53" s="100" t="str">
        <f t="shared" si="15"/>
        <v>"%USERPROFILE%\Documents\GitHub\eaglep3\Utilities\RefineRTDCRunTimes.py" --tripid 139-30 --locoid 4011 --swversion DE.1.0.7.0 --startMP 204:455 --initTime 2016-08-30T08:23:55 --startdatetime 2016-08-30T08:31:06 --delay 1 --endMP 204:233285 --enddatetime 2016-08-30T09:07:24 --enforcementcount 0 &gt;&gt;C:\Users\stu\Documents\GitHub\eaglep3-reporting\EC\2016-08-30-refined-times.txt</v>
      </c>
      <c r="AI53" s="149" t="str">
        <f t="shared" si="16"/>
        <v>echo {"issue":{"subject":"","project_id":79,"tracker_id":40,"status_id":1,"priority_id":2,"assigned_to_id":23,"start_date":"2016-08-30","description":"","custom_fields":[{"id":1,"name":"Subdivision","value":"EC"},{"id":4,"name":"Milepost","value":"23.283"},{"id":17,"name":"Train ID","value":"139-30"},{"id":16,"name":"Locomotive ID","value":"4011"},{"id":130,"name":"Impact","value":""},{"id":150,"name":"Time of Event (Mountain Time)","value":"09:07:24"},{"id":151,"name":"Denver Issue ID","value":""},{"id":178,"name":"Operational Impact","value":"Yes"},{"id":179,"name":"Denver Segment Assigned","value":""}]}} | curl -X POST -H "Content-Type: application/json" -H "X-Redmine-API-Key: d6333d4a04012a730768444271f8ca06482dae87" https://secure.xorail.net/redmine/issues.json --data @-</v>
      </c>
      <c r="AJ53" s="55"/>
      <c r="AK53" s="55"/>
      <c r="AL53" s="55"/>
    </row>
    <row r="54" spans="1:38" s="1" customFormat="1" x14ac:dyDescent="0.25">
      <c r="A54" s="39" t="s">
        <v>439</v>
      </c>
      <c r="B54" s="7">
        <v>4012</v>
      </c>
      <c r="C54" s="24" t="s">
        <v>113</v>
      </c>
      <c r="D54" s="24" t="s">
        <v>324</v>
      </c>
      <c r="E54" s="15">
        <v>42612.391053240739</v>
      </c>
      <c r="F54" s="15">
        <v>42612.393229166664</v>
      </c>
      <c r="G54" s="7">
        <v>0</v>
      </c>
      <c r="H54" s="15" t="s">
        <v>167</v>
      </c>
      <c r="I54" s="15">
        <v>42612.419872685183</v>
      </c>
      <c r="J54" s="7">
        <v>0</v>
      </c>
      <c r="K54" s="132" t="str">
        <f t="shared" si="0"/>
        <v>4011/4012</v>
      </c>
      <c r="L54" s="24" t="str">
        <f>VLOOKUP(A54,'Trips&amp;Operators'!$C$1:$E$10000,3,FALSE)</f>
        <v>GEBRETEKLE</v>
      </c>
      <c r="M54" s="6">
        <f t="shared" si="1"/>
        <v>2.6643518518540077E-2</v>
      </c>
      <c r="N54" s="7">
        <f t="shared" si="23"/>
        <v>38.366666666697711</v>
      </c>
      <c r="O54" s="7"/>
      <c r="P54" s="7"/>
      <c r="Q54" s="25"/>
      <c r="R54" s="25"/>
      <c r="S54" s="37">
        <f t="shared" si="24"/>
        <v>1</v>
      </c>
      <c r="T54" s="52" t="str">
        <f t="shared" si="3"/>
        <v>Southbound</v>
      </c>
      <c r="U54" s="126">
        <f>IF(AG54="EC",COUNTIFS(Variables!$M$2:$M$19,IF(T54="NorthBound","&gt;=","&lt;=")&amp;Y54,Variables!$M$2:$M$19,IF(T54="NorthBound","&lt;=","&gt;=")&amp;Z54),COUNTIFS(Variables!$P$2:$P$19,IF(T54="NorthBound","&gt;=","&lt;=")&amp;Y54,Variables!$P$2:$P$19,IF(T54="NorthBound","&lt;=","&gt;=")&amp;Z54))</f>
        <v>12</v>
      </c>
      <c r="V54" s="106" t="str">
        <f t="shared" si="4"/>
        <v>https://search-rtdc-monitor-bjffxe2xuh6vdkpspy63sjmuny.us-east-1.es.amazonaws.com/_plugin/kibana/#/discover/Steve-Slow-Train-Analysis-(2080s-and-2083s)?_g=(refreshInterval:(display:Off,section:0,value:0),time:(from:'2016-08-30 08:23:07-0600',mode:absolute,to:'2016-08-30 11:04: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54" s="54" t="str">
        <f t="shared" si="5"/>
        <v>N</v>
      </c>
      <c r="X54" s="120">
        <f t="shared" si="25"/>
        <v>1</v>
      </c>
      <c r="Y54" s="69">
        <f t="shared" si="6"/>
        <v>23.299600000000002</v>
      </c>
      <c r="Z54" s="69">
        <f t="shared" si="7"/>
        <v>1.52E-2</v>
      </c>
      <c r="AA54" s="69">
        <f t="shared" si="8"/>
        <v>23.284400000000002</v>
      </c>
      <c r="AB54" s="66" t="e">
        <f>VLOOKUP(A54,Enforcements!$C$7:$J$21,8,0)</f>
        <v>#N/A</v>
      </c>
      <c r="AC54" s="62" t="e">
        <f>VLOOKUP(A54,Enforcements!$C$7:$E$21,3,0)</f>
        <v>#N/A</v>
      </c>
      <c r="AD54" s="63" t="str">
        <f t="shared" si="9"/>
        <v>0140-30</v>
      </c>
      <c r="AE54" s="99" t="str">
        <f t="shared" si="1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54" s="96" t="str">
        <f t="shared" si="11"/>
        <v>"C:\Program Files (x86)\AstroGrep\AstroGrep.exe" /spath="%USERPROFILE%\AppData\Local\Temp\OnboardLogs" /stypes="*4012*20160830*" /stext=" 16:.+((SYSTEM_STATE.+slice.+state.+changed )|(ment ac)|(system.+state.+changed )|(\|lc)|(penalty)|(\[timeout)|(PRM\|1\|D)|(kpr)|(kdp))" /e /r /s</v>
      </c>
      <c r="AG54" s="1" t="str">
        <f t="shared" si="12"/>
        <v>EC</v>
      </c>
      <c r="AH54" s="100" t="str">
        <f t="shared" si="15"/>
        <v>"%USERPROFILE%\Documents\GitHub\eaglep3\Utilities\RefineRTDCRunTimes.py" --tripid 140-30 --locoid 4012 --swversion DE.1.0.7.0 --startMP 204:232996 --initTime 2016-08-30T09:23:07 --startdatetime 2016-08-30T09:26:15 --delay 0 --endMP 204:152 --enddatetime 2016-08-30T10:04:37 --enforcementcount 0 &gt;&gt;C:\Users\stu\Documents\GitHub\eaglep3-reporting\EC\2016-08-30-refined-times.txt</v>
      </c>
      <c r="AI54" s="149" t="str">
        <f t="shared" si="16"/>
        <v>echo {"issue":{"subject":"","project_id":79,"tracker_id":40,"status_id":1,"priority_id":2,"assigned_to_id":23,"start_date":"2016-08-30","description":"","custom_fields":[{"id":1,"name":"Subdivision","value":"EC"},{"id":4,"name":"Milepost","value":"23.2844"},{"id":17,"name":"Train ID","value":"140-30"},{"id":16,"name":"Locomotive ID","value":"4012"},{"id":130,"name":"Impact","value":""},{"id":150,"name":"Time of Event (Mountain Time)","value":"10:04:37"},{"id":151,"name":"Denver Issue ID","value":""},{"id":178,"name":"Operational Impact","value":"Yes"},{"id":179,"name":"Denver Segment Assigned","value":""}]}} | curl -X POST -H "Content-Type: application/json" -H "X-Redmine-API-Key: d6333d4a04012a730768444271f8ca06482dae87" https://secure.xorail.net/redmine/issues.json --data @-</v>
      </c>
      <c r="AJ54" s="55"/>
      <c r="AK54" s="55"/>
      <c r="AL54" s="55"/>
    </row>
    <row r="55" spans="1:38" s="1" customFormat="1" x14ac:dyDescent="0.25">
      <c r="A55" s="39" t="s">
        <v>433</v>
      </c>
      <c r="B55" s="7">
        <v>4042</v>
      </c>
      <c r="C55" s="24" t="s">
        <v>113</v>
      </c>
      <c r="D55" s="24" t="s">
        <v>109</v>
      </c>
      <c r="E55" s="15">
        <v>42612.36215277778</v>
      </c>
      <c r="F55" s="15">
        <v>42612.364942129629</v>
      </c>
      <c r="G55" s="7">
        <v>1</v>
      </c>
      <c r="H55" s="15" t="s">
        <v>270</v>
      </c>
      <c r="I55" s="15">
        <v>42612.389525462961</v>
      </c>
      <c r="J55" s="7">
        <v>0</v>
      </c>
      <c r="K55" s="132" t="str">
        <f t="shared" si="0"/>
        <v>4041/4042</v>
      </c>
      <c r="L55" s="24" t="str">
        <f>VLOOKUP(A55,'Trips&amp;Operators'!$C$1:$E$10000,3,FALSE)</f>
        <v>KILLION</v>
      </c>
      <c r="M55" s="6">
        <f t="shared" si="1"/>
        <v>2.4583333331975155E-2</v>
      </c>
      <c r="N55" s="7">
        <f t="shared" si="23"/>
        <v>35.399999998044223</v>
      </c>
      <c r="O55" s="7"/>
      <c r="P55" s="7"/>
      <c r="Q55" s="25"/>
      <c r="R55" s="25"/>
      <c r="S55" s="37">
        <f t="shared" si="24"/>
        <v>1</v>
      </c>
      <c r="T55" s="52" t="str">
        <f t="shared" si="3"/>
        <v>NorthBound</v>
      </c>
      <c r="U55" s="126">
        <f>IF(AG55="EC",COUNTIFS(Variables!$M$2:$M$19,IF(T55="NorthBound","&gt;=","&lt;=")&amp;Y55,Variables!$M$2:$M$19,IF(T55="NorthBound","&lt;=","&gt;=")&amp;Z55),COUNTIFS(Variables!$P$2:$P$19,IF(T55="NorthBound","&gt;=","&lt;=")&amp;Y55,Variables!$P$2:$P$19,IF(T55="NorthBound","&lt;=","&gt;=")&amp;Z55))</f>
        <v>12</v>
      </c>
      <c r="V55" s="106" t="str">
        <f t="shared" si="4"/>
        <v>https://search-rtdc-monitor-bjffxe2xuh6vdkpspy63sjmuny.us-east-1.es.amazonaws.com/_plugin/kibana/#/discover/Steve-Slow-Train-Analysis-(2080s-and-2083s)?_g=(refreshInterval:(display:Off,section:0,value:0),time:(from:'2016-08-30 07:41:30-0600',mode:absolute,to:'2016-08-30 10:20: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55" s="54" t="str">
        <f t="shared" si="5"/>
        <v>N</v>
      </c>
      <c r="X55" s="120">
        <f t="shared" si="25"/>
        <v>1</v>
      </c>
      <c r="Y55" s="69">
        <f t="shared" si="6"/>
        <v>4.6199999999999998E-2</v>
      </c>
      <c r="Z55" s="69">
        <f t="shared" si="7"/>
        <v>23.328800000000001</v>
      </c>
      <c r="AA55" s="69">
        <f t="shared" si="8"/>
        <v>23.282600000000002</v>
      </c>
      <c r="AB55" s="66" t="e">
        <f>VLOOKUP(A55,Enforcements!$C$7:$J$21,8,0)</f>
        <v>#N/A</v>
      </c>
      <c r="AC55" s="62" t="e">
        <f>VLOOKUP(A55,Enforcements!$C$7:$E$21,3,0)</f>
        <v>#N/A</v>
      </c>
      <c r="AD55" s="63" t="str">
        <f t="shared" si="9"/>
        <v>0141-30</v>
      </c>
      <c r="AE55" s="99" t="str">
        <f t="shared" si="10"/>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55" s="96" t="str">
        <f t="shared" si="11"/>
        <v>"C:\Program Files (x86)\AstroGrep\AstroGrep.exe" /spath="%USERPROFILE%\AppData\Local\Temp\OnboardLogs" /stypes="*4042*20160830*" /stext=" 15:.+((SYSTEM_STATE.+slice.+state.+changed )|(ment ac)|(system.+state.+changed )|(\|lc)|(penalty)|(\[timeout)|(PRM\|1\|D)|(kpr)|(kdp))" /e /r /s</v>
      </c>
      <c r="AG55" s="1" t="str">
        <f t="shared" si="12"/>
        <v>EC</v>
      </c>
      <c r="AH55" s="100" t="str">
        <f t="shared" si="15"/>
        <v>"%USERPROFILE%\Documents\GitHub\eaglep3\Utilities\RefineRTDCRunTimes.py" --tripid 141-30 --locoid 4042 --swversion DE.1.0.7.0 --startMP 204:462 --initTime 2016-08-30T08:41:30 --startdatetime 2016-08-30T08:45:31 --delay 1 --endMP 204:233288 --enddatetime 2016-08-30T09:20:55 --enforcementcount 0 &gt;&gt;C:\Users\stu\Documents\GitHub\eaglep3-reporting\EC\2016-08-30-refined-times.txt</v>
      </c>
      <c r="AI55" s="149" t="str">
        <f t="shared" si="16"/>
        <v>echo {"issue":{"subject":"","project_id":79,"tracker_id":40,"status_id":1,"priority_id":2,"assigned_to_id":23,"start_date":"2016-08-30","description":"","custom_fields":[{"id":1,"name":"Subdivision","value":"EC"},{"id":4,"name":"Milepost","value":"23.2826"},{"id":17,"name":"Train ID","value":"141-30"},{"id":16,"name":"Locomotive ID","value":"4042"},{"id":130,"name":"Impact","value":""},{"id":150,"name":"Time of Event (Mountain Time)","value":"09:20:55"},{"id":151,"name":"Denver Issue ID","value":""},{"id":178,"name":"Operational Impact","value":"Yes"},{"id":179,"name":"Denver Segment Assigned","value":""}]}} | curl -X POST -H "Content-Type: application/json" -H "X-Redmine-API-Key: d6333d4a04012a730768444271f8ca06482dae87" https://secure.xorail.net/redmine/issues.json --data @-</v>
      </c>
      <c r="AJ55" s="55"/>
      <c r="AK55" s="55"/>
      <c r="AL55" s="55"/>
    </row>
    <row r="56" spans="1:38" s="1" customFormat="1" x14ac:dyDescent="0.25">
      <c r="A56" s="39" t="s">
        <v>441</v>
      </c>
      <c r="B56" s="7">
        <v>4041</v>
      </c>
      <c r="C56" s="24" t="s">
        <v>113</v>
      </c>
      <c r="D56" s="24" t="s">
        <v>586</v>
      </c>
      <c r="E56" s="15">
        <v>42612.397013888891</v>
      </c>
      <c r="F56" s="15">
        <v>42612.403796296298</v>
      </c>
      <c r="G56" s="7">
        <v>1</v>
      </c>
      <c r="H56" s="15" t="s">
        <v>319</v>
      </c>
      <c r="I56" s="15">
        <v>42612.430555555555</v>
      </c>
      <c r="J56" s="7">
        <v>0</v>
      </c>
      <c r="K56" s="132" t="str">
        <f t="shared" si="0"/>
        <v>4041/4042</v>
      </c>
      <c r="L56" s="24" t="str">
        <f>VLOOKUP(A56,'Trips&amp;Operators'!$C$1:$E$10000,3,FALSE)</f>
        <v>KILLION</v>
      </c>
      <c r="M56" s="6">
        <f t="shared" si="1"/>
        <v>2.675925925723277E-2</v>
      </c>
      <c r="N56" s="7">
        <f t="shared" si="23"/>
        <v>38.533333330415189</v>
      </c>
      <c r="O56" s="7"/>
      <c r="P56" s="7"/>
      <c r="Q56" s="25"/>
      <c r="R56" s="25"/>
      <c r="S56" s="37">
        <f t="shared" si="24"/>
        <v>1</v>
      </c>
      <c r="T56" s="52" t="str">
        <f t="shared" si="3"/>
        <v>Southbound</v>
      </c>
      <c r="U56" s="126">
        <f>IF(AG56="EC",COUNTIFS(Variables!$M$2:$M$19,IF(T56="NorthBound","&gt;=","&lt;=")&amp;Y56,Variables!$M$2:$M$19,IF(T56="NorthBound","&lt;=","&gt;=")&amp;Z56),COUNTIFS(Variables!$P$2:$P$19,IF(T56="NorthBound","&gt;=","&lt;=")&amp;Y56,Variables!$P$2:$P$19,IF(T56="NorthBound","&lt;=","&gt;=")&amp;Z56))</f>
        <v>12</v>
      </c>
      <c r="V56" s="106" t="str">
        <f t="shared" si="4"/>
        <v>https://search-rtdc-monitor-bjffxe2xuh6vdkpspy63sjmuny.us-east-1.es.amazonaws.com/_plugin/kibana/#/discover/Steve-Slow-Train-Analysis-(2080s-and-2083s)?_g=(refreshInterval:(display:Off,section:0,value:0),time:(from:'2016-08-30 08:31:42-0600',mode:absolute,to:'2016-08-30 11:20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56" s="54" t="str">
        <f t="shared" si="5"/>
        <v>N</v>
      </c>
      <c r="X56" s="120">
        <f t="shared" si="25"/>
        <v>1</v>
      </c>
      <c r="Y56" s="69">
        <f t="shared" si="6"/>
        <v>23.296900000000001</v>
      </c>
      <c r="Z56" s="69">
        <f t="shared" si="7"/>
        <v>1.6299999999999999E-2</v>
      </c>
      <c r="AA56" s="69">
        <f t="shared" si="8"/>
        <v>23.2806</v>
      </c>
      <c r="AB56" s="66" t="e">
        <f>VLOOKUP(A56,Enforcements!$C$7:$J$21,8,0)</f>
        <v>#N/A</v>
      </c>
      <c r="AC56" s="62" t="e">
        <f>VLOOKUP(A56,Enforcements!$C$7:$E$21,3,0)</f>
        <v>#N/A</v>
      </c>
      <c r="AD56" s="63" t="str">
        <f t="shared" si="9"/>
        <v>0142-30</v>
      </c>
      <c r="AE56" s="99" t="str">
        <f t="shared" si="1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56" s="96" t="str">
        <f t="shared" si="11"/>
        <v>"C:\Program Files (x86)\AstroGrep\AstroGrep.exe" /spath="%USERPROFILE%\AppData\Local\Temp\OnboardLogs" /stypes="*4041*20160830*" /stext=" 16:.+((SYSTEM_STATE.+slice.+state.+changed )|(ment ac)|(system.+state.+changed )|(\|lc)|(penalty)|(\[timeout)|(PRM\|1\|D)|(kpr)|(kdp))" /e /r /s</v>
      </c>
      <c r="AG56" s="1" t="str">
        <f t="shared" si="12"/>
        <v>EC</v>
      </c>
      <c r="AH56" s="100" t="str">
        <f t="shared" si="15"/>
        <v>"%USERPROFILE%\Documents\GitHub\eaglep3\Utilities\RefineRTDCRunTimes.py" --tripid 142-30 --locoid 4041 --swversion DE.1.0.7.0 --startMP 204:232969 --initTime 2016-08-30T09:31:42 --startdatetime 2016-08-30T09:41:28 --delay 1 --endMP 204:163 --enddatetime 2016-08-30T10:20:00 --enforcementcount 0 &gt;&gt;C:\Users\stu\Documents\GitHub\eaglep3-reporting\EC\2016-08-30-refined-times.txt</v>
      </c>
      <c r="AI56" s="149" t="str">
        <f t="shared" si="16"/>
        <v>echo {"issue":{"subject":"","project_id":79,"tracker_id":40,"status_id":1,"priority_id":2,"assigned_to_id":23,"start_date":"2016-08-30","description":"","custom_fields":[{"id":1,"name":"Subdivision","value":"EC"},{"id":4,"name":"Milepost","value":"23.2806"},{"id":17,"name":"Train ID","value":"142-30"},{"id":16,"name":"Locomotive ID","value":"4041"},{"id":130,"name":"Impact","value":""},{"id":150,"name":"Time of Event (Mountain Time)","value":"10:20:00"},{"id":151,"name":"Denver Issue ID","value":""},{"id":178,"name":"Operational Impact","value":"Yes"},{"id":179,"name":"Denver Segment Assigned","value":""}]}} | curl -X POST -H "Content-Type: application/json" -H "X-Redmine-API-Key: d6333d4a04012a730768444271f8ca06482dae87" https://secure.xorail.net/redmine/issues.json --data @-</v>
      </c>
      <c r="AJ56" s="55"/>
      <c r="AK56" s="55"/>
      <c r="AL56" s="55"/>
    </row>
    <row r="57" spans="1:38" s="1" customFormat="1" x14ac:dyDescent="0.25">
      <c r="A57" s="39" t="s">
        <v>363</v>
      </c>
      <c r="B57" s="7">
        <v>4040</v>
      </c>
      <c r="C57" s="24" t="s">
        <v>113</v>
      </c>
      <c r="D57" s="24" t="s">
        <v>171</v>
      </c>
      <c r="E57" s="15">
        <v>42612.373796296299</v>
      </c>
      <c r="F57" s="15">
        <v>42612.375416666669</v>
      </c>
      <c r="G57" s="7">
        <v>1</v>
      </c>
      <c r="H57" s="15" t="s">
        <v>600</v>
      </c>
      <c r="I57" s="15">
        <v>42612.399791666663</v>
      </c>
      <c r="J57" s="7">
        <v>0</v>
      </c>
      <c r="K57" s="132" t="str">
        <f t="shared" si="0"/>
        <v>4039/4040</v>
      </c>
      <c r="L57" s="24" t="str">
        <f>VLOOKUP(A57,'Trips&amp;Operators'!$C$1:$E$10000,3,FALSE)</f>
        <v>ROCHA</v>
      </c>
      <c r="M57" s="6">
        <f t="shared" si="1"/>
        <v>2.4374999993597157E-2</v>
      </c>
      <c r="N57" s="7">
        <f t="shared" si="23"/>
        <v>35.099999990779907</v>
      </c>
      <c r="O57" s="7"/>
      <c r="P57" s="7"/>
      <c r="Q57" s="25"/>
      <c r="R57" s="25"/>
      <c r="S57" s="37">
        <f t="shared" si="24"/>
        <v>1</v>
      </c>
      <c r="T57" s="52" t="str">
        <f t="shared" si="3"/>
        <v>NorthBound</v>
      </c>
      <c r="U57" s="126">
        <f>IF(AG57="EC",COUNTIFS(Variables!$M$2:$M$19,IF(T57="NorthBound","&gt;=","&lt;=")&amp;Y57,Variables!$M$2:$M$19,IF(T57="NorthBound","&lt;=","&gt;=")&amp;Z57),COUNTIFS(Variables!$P$2:$P$19,IF(T57="NorthBound","&gt;=","&lt;=")&amp;Y57,Variables!$P$2:$P$19,IF(T57="NorthBound","&lt;=","&gt;=")&amp;Z57))</f>
        <v>12</v>
      </c>
      <c r="V57" s="106" t="str">
        <f t="shared" si="4"/>
        <v>https://search-rtdc-monitor-bjffxe2xuh6vdkpspy63sjmuny.us-east-1.es.amazonaws.com/_plugin/kibana/#/discover/Steve-Slow-Train-Analysis-(2080s-and-2083s)?_g=(refreshInterval:(display:Off,section:0,value:0),time:(from:'2016-08-30 07:58:16-0600',mode:absolute,to:'2016-08-30 10:35: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57" s="54" t="str">
        <f t="shared" si="5"/>
        <v>N</v>
      </c>
      <c r="X57" s="120">
        <f t="shared" si="25"/>
        <v>1</v>
      </c>
      <c r="Y57" s="69">
        <f t="shared" si="6"/>
        <v>4.7100000000000003E-2</v>
      </c>
      <c r="Z57" s="69">
        <f t="shared" si="7"/>
        <v>23.33</v>
      </c>
      <c r="AA57" s="69">
        <f t="shared" si="8"/>
        <v>23.282899999999998</v>
      </c>
      <c r="AB57" s="66">
        <f>VLOOKUP(A57,Enforcements!$C$7:$J$21,8,0)</f>
        <v>230436</v>
      </c>
      <c r="AC57" s="62" t="str">
        <f>VLOOKUP(A57,Enforcements!$C$7:$E$21,3,0)</f>
        <v>PERMANENT SPEED RESTRICTION</v>
      </c>
      <c r="AD57" s="63" t="str">
        <f t="shared" si="9"/>
        <v>0143-30</v>
      </c>
      <c r="AE57" s="99" t="str">
        <f t="shared" si="1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57" s="96" t="str">
        <f t="shared" si="11"/>
        <v>"C:\Program Files (x86)\AstroGrep\AstroGrep.exe" /spath="%USERPROFILE%\AppData\Local\Temp\OnboardLogs" /stypes="*4040*20160830*" /stext=" 15:.+((SYSTEM_STATE.+slice.+state.+changed )|(ment ac)|(system.+state.+changed )|(\|lc)|(penalty)|(\[timeout)|(PRM\|1\|D)|(kpr)|(kdp))" /e /r /s</v>
      </c>
      <c r="AG57" s="1" t="str">
        <f t="shared" si="12"/>
        <v>EC</v>
      </c>
      <c r="AH57" s="100" t="str">
        <f t="shared" si="15"/>
        <v>"%USERPROFILE%\Documents\GitHub\eaglep3\Utilities\RefineRTDCRunTimes.py" --tripid 143-30 --locoid 4040 --swversion DE.1.0.7.0 --startMP 204:471 --initTime 2016-08-30T08:58:16 --startdatetime 2016-08-30T09:00:36 --delay 1 --endMP 204:233300 --enddatetime 2016-08-30T09:35:42 --enforcementcount 0 &gt;&gt;C:\Users\stu\Documents\GitHub\eaglep3-reporting\EC\2016-08-30-refined-times.txt</v>
      </c>
      <c r="AI57" s="149" t="str">
        <f t="shared" si="16"/>
        <v>echo {"issue":{"subject":"","project_id":79,"tracker_id":40,"status_id":1,"priority_id":2,"assigned_to_id":23,"start_date":"2016-08-30","description":"","custom_fields":[{"id":1,"name":"Subdivision","value":"EC"},{"id":4,"name":"Milepost","value":"23.2829"},{"id":17,"name":"Train ID","value":"143-30"},{"id":16,"name":"Locomotive ID","value":"4040"},{"id":130,"name":"Impact","value":""},{"id":150,"name":"Time of Event (Mountain Time)","value":"09:35:42"},{"id":151,"name":"Denver Issue ID","value":""},{"id":178,"name":"Operational Impact","value":"Yes"},{"id":179,"name":"Denver Segment Assigned","value":""}]}} | curl -X POST -H "Content-Type: application/json" -H "X-Redmine-API-Key: d6333d4a04012a730768444271f8ca06482dae87" https://secure.xorail.net/redmine/issues.json --data @-</v>
      </c>
      <c r="AJ57" s="55"/>
      <c r="AK57" s="55"/>
      <c r="AL57" s="55"/>
    </row>
    <row r="58" spans="1:38" s="1" customFormat="1" x14ac:dyDescent="0.25">
      <c r="A58" s="39" t="s">
        <v>444</v>
      </c>
      <c r="B58" s="7">
        <v>4039</v>
      </c>
      <c r="C58" s="24" t="s">
        <v>113</v>
      </c>
      <c r="D58" s="24" t="s">
        <v>325</v>
      </c>
      <c r="E58" s="15">
        <v>42612.41065972222</v>
      </c>
      <c r="F58" s="15">
        <v>42612.414189814815</v>
      </c>
      <c r="G58" s="7">
        <v>1</v>
      </c>
      <c r="H58" s="15" t="s">
        <v>186</v>
      </c>
      <c r="I58" s="15">
        <v>42612.440324074072</v>
      </c>
      <c r="J58" s="7">
        <v>0</v>
      </c>
      <c r="K58" s="132" t="str">
        <f t="shared" si="0"/>
        <v>4039/4040</v>
      </c>
      <c r="L58" s="24" t="str">
        <f>VLOOKUP(A58,'Trips&amp;Operators'!$C$1:$E$10000,3,FALSE)</f>
        <v>ROCHA</v>
      </c>
      <c r="M58" s="6">
        <f t="shared" si="1"/>
        <v>2.6134259256650694E-2</v>
      </c>
      <c r="N58" s="7">
        <f t="shared" si="23"/>
        <v>37.633333329576999</v>
      </c>
      <c r="O58" s="7"/>
      <c r="P58" s="7"/>
      <c r="Q58" s="25"/>
      <c r="R58" s="25"/>
      <c r="S58" s="37">
        <f t="shared" si="24"/>
        <v>1</v>
      </c>
      <c r="T58" s="52" t="str">
        <f t="shared" si="3"/>
        <v>Southbound</v>
      </c>
      <c r="U58" s="126">
        <f>IF(AG58="EC",COUNTIFS(Variables!$M$2:$M$19,IF(T58="NorthBound","&gt;=","&lt;=")&amp;Y58,Variables!$M$2:$M$19,IF(T58="NorthBound","&lt;=","&gt;=")&amp;Z58),COUNTIFS(Variables!$P$2:$P$19,IF(T58="NorthBound","&gt;=","&lt;=")&amp;Y58,Variables!$P$2:$P$19,IF(T58="NorthBound","&lt;=","&gt;=")&amp;Z58))</f>
        <v>12</v>
      </c>
      <c r="V58" s="106" t="str">
        <f t="shared" si="4"/>
        <v>https://search-rtdc-monitor-bjffxe2xuh6vdkpspy63sjmuny.us-east-1.es.amazonaws.com/_plugin/kibana/#/discover/Steve-Slow-Train-Analysis-(2080s-and-2083s)?_g=(refreshInterval:(display:Off,section:0,value:0),time:(from:'2016-08-30 08:51:21-0600',mode:absolute,to:'2016-08-30 11:34: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58" s="54" t="str">
        <f t="shared" si="5"/>
        <v>N</v>
      </c>
      <c r="X58" s="120">
        <f t="shared" si="25"/>
        <v>1</v>
      </c>
      <c r="Y58" s="69">
        <f t="shared" si="6"/>
        <v>23.299299999999999</v>
      </c>
      <c r="Z58" s="69">
        <f t="shared" si="7"/>
        <v>1.3899999999999999E-2</v>
      </c>
      <c r="AA58" s="69">
        <f t="shared" si="8"/>
        <v>23.285399999999999</v>
      </c>
      <c r="AB58" s="66" t="e">
        <f>VLOOKUP(A58,Enforcements!$C$7:$J$21,8,0)</f>
        <v>#N/A</v>
      </c>
      <c r="AC58" s="62" t="e">
        <f>VLOOKUP(A58,Enforcements!$C$7:$E$21,3,0)</f>
        <v>#N/A</v>
      </c>
      <c r="AD58" s="63" t="str">
        <f t="shared" si="9"/>
        <v>0144-30</v>
      </c>
      <c r="AE58" s="99" t="str">
        <f t="shared" si="10"/>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58" s="96" t="str">
        <f t="shared" si="11"/>
        <v>"C:\Program Files (x86)\AstroGrep\AstroGrep.exe" /spath="%USERPROFILE%\AppData\Local\Temp\OnboardLogs" /stypes="*4039*20160830*" /stext=" 16:.+((SYSTEM_STATE.+slice.+state.+changed )|(ment ac)|(system.+state.+changed )|(\|lc)|(penalty)|(\[timeout)|(PRM\|1\|D)|(kpr)|(kdp))" /e /r /s</v>
      </c>
      <c r="AG58" s="1" t="str">
        <f t="shared" si="12"/>
        <v>EC</v>
      </c>
      <c r="AH58" s="100" t="str">
        <f t="shared" si="15"/>
        <v>"%USERPROFILE%\Documents\GitHub\eaglep3\Utilities\RefineRTDCRunTimes.py" --tripid 144-30 --locoid 4039 --swversion DE.1.0.7.0 --startMP 204:232993 --initTime 2016-08-30T09:51:21 --startdatetime 2016-08-30T09:56:26 --delay 1 --endMP 204:139 --enddatetime 2016-08-30T10:34:04 --enforcementcount 0 &gt;&gt;C:\Users\stu\Documents\GitHub\eaglep3-reporting\EC\2016-08-30-refined-times.txt</v>
      </c>
      <c r="AI58" s="149" t="str">
        <f t="shared" si="16"/>
        <v>echo {"issue":{"subject":"","project_id":79,"tracker_id":40,"status_id":1,"priority_id":2,"assigned_to_id":23,"start_date":"2016-08-30","description":"","custom_fields":[{"id":1,"name":"Subdivision","value":"EC"},{"id":4,"name":"Milepost","value":"23.2854"},{"id":17,"name":"Train ID","value":"144-30"},{"id":16,"name":"Locomotive ID","value":"4039"},{"id":130,"name":"Impact","value":""},{"id":150,"name":"Time of Event (Mountain Time)","value":"10:34:04"},{"id":151,"name":"Denver Issue ID","value":""},{"id":178,"name":"Operational Impact","value":"Yes"},{"id":179,"name":"Denver Segment Assigned","value":""}]}} | curl -X POST -H "Content-Type: application/json" -H "X-Redmine-API-Key: d6333d4a04012a730768444271f8ca06482dae87" https://secure.xorail.net/redmine/issues.json --data @-</v>
      </c>
      <c r="AJ58" s="55"/>
      <c r="AK58" s="55"/>
      <c r="AL58" s="55"/>
    </row>
    <row r="59" spans="1:38" s="1" customFormat="1" x14ac:dyDescent="0.25">
      <c r="A59" s="39" t="s">
        <v>438</v>
      </c>
      <c r="B59" s="7">
        <v>4038</v>
      </c>
      <c r="C59" s="24" t="s">
        <v>113</v>
      </c>
      <c r="D59" s="24" t="s">
        <v>601</v>
      </c>
      <c r="E59" s="15">
        <v>42612.382175925923</v>
      </c>
      <c r="F59" s="15">
        <v>42612.385729166665</v>
      </c>
      <c r="G59" s="7">
        <v>2</v>
      </c>
      <c r="H59" s="15" t="s">
        <v>281</v>
      </c>
      <c r="I59" s="15">
        <v>42612.411516203705</v>
      </c>
      <c r="J59" s="7">
        <v>0</v>
      </c>
      <c r="K59" s="132" t="str">
        <f t="shared" si="0"/>
        <v>4037/4038</v>
      </c>
      <c r="L59" s="24" t="str">
        <f>VLOOKUP(A59,'Trips&amp;Operators'!$C$1:$E$10000,3,FALSE)</f>
        <v>ARVIDSON</v>
      </c>
      <c r="M59" s="6">
        <f t="shared" si="1"/>
        <v>2.5787037040572613E-2</v>
      </c>
      <c r="N59" s="7">
        <f t="shared" si="23"/>
        <v>37.133333338424563</v>
      </c>
      <c r="O59" s="7"/>
      <c r="P59" s="7"/>
      <c r="Q59" s="25"/>
      <c r="R59" s="25"/>
      <c r="S59" s="37">
        <f t="shared" si="24"/>
        <v>1</v>
      </c>
      <c r="T59" s="52" t="str">
        <f t="shared" si="3"/>
        <v>NorthBound</v>
      </c>
      <c r="U59" s="126">
        <f>IF(AG59="EC",COUNTIFS(Variables!$M$2:$M$19,IF(T59="NorthBound","&gt;=","&lt;=")&amp;Y59,Variables!$M$2:$M$19,IF(T59="NorthBound","&lt;=","&gt;=")&amp;Z59),COUNTIFS(Variables!$P$2:$P$19,IF(T59="NorthBound","&gt;=","&lt;=")&amp;Y59,Variables!$P$2:$P$19,IF(T59="NorthBound","&lt;=","&gt;=")&amp;Z59))</f>
        <v>12</v>
      </c>
      <c r="V59" s="106" t="str">
        <f t="shared" si="4"/>
        <v>https://search-rtdc-monitor-bjffxe2xuh6vdkpspy63sjmuny.us-east-1.es.amazonaws.com/_plugin/kibana/#/discover/Steve-Slow-Train-Analysis-(2080s-and-2083s)?_g=(refreshInterval:(display:Off,section:0,value:0),time:(from:'2016-08-30 08:10:20-0600',mode:absolute,to:'2016-08-30 10:52: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59" s="54" t="str">
        <f t="shared" si="5"/>
        <v>N</v>
      </c>
      <c r="X59" s="120">
        <f t="shared" si="25"/>
        <v>1</v>
      </c>
      <c r="Y59" s="69">
        <f t="shared" si="6"/>
        <v>4.3999999999999997E-2</v>
      </c>
      <c r="Z59" s="69">
        <f t="shared" si="7"/>
        <v>23.328900000000001</v>
      </c>
      <c r="AA59" s="69">
        <f t="shared" si="8"/>
        <v>23.2849</v>
      </c>
      <c r="AB59" s="66" t="e">
        <f>VLOOKUP(A59,Enforcements!$C$7:$J$21,8,0)</f>
        <v>#N/A</v>
      </c>
      <c r="AC59" s="62" t="e">
        <f>VLOOKUP(A59,Enforcements!$C$7:$E$21,3,0)</f>
        <v>#N/A</v>
      </c>
      <c r="AD59" s="63" t="str">
        <f t="shared" si="9"/>
        <v>0145-30</v>
      </c>
      <c r="AE59" s="99" t="str">
        <f t="shared" si="10"/>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59" s="96" t="str">
        <f t="shared" si="11"/>
        <v>"C:\Program Files (x86)\AstroGrep\AstroGrep.exe" /spath="%USERPROFILE%\AppData\Local\Temp\OnboardLogs" /stypes="*4038*20160830*" /stext=" 15:.+((SYSTEM_STATE.+slice.+state.+changed )|(ment ac)|(system.+state.+changed )|(\|lc)|(penalty)|(\[timeout)|(PRM\|1\|D)|(kpr)|(kdp))" /e /r /s</v>
      </c>
      <c r="AG59" s="1" t="str">
        <f t="shared" si="12"/>
        <v>EC</v>
      </c>
      <c r="AH59" s="100" t="str">
        <f t="shared" si="15"/>
        <v>"%USERPROFILE%\Documents\GitHub\eaglep3\Utilities\RefineRTDCRunTimes.py" --tripid 145-30 --locoid 4038 --swversion DE.1.0.7.0 --startMP 204:440 --initTime 2016-08-30T09:10:20 --startdatetime 2016-08-30T09:15:27 --delay 2 --endMP 204:233289 --enddatetime 2016-08-30T09:52:35 --enforcementcount 0 &gt;&gt;C:\Users\stu\Documents\GitHub\eaglep3-reporting\EC\2016-08-30-refined-times.txt</v>
      </c>
      <c r="AI59" s="149" t="str">
        <f t="shared" si="16"/>
        <v>echo {"issue":{"subject":"","project_id":79,"tracker_id":40,"status_id":1,"priority_id":2,"assigned_to_id":23,"start_date":"2016-08-30","description":"","custom_fields":[{"id":1,"name":"Subdivision","value":"EC"},{"id":4,"name":"Milepost","value":"23.2849"},{"id":17,"name":"Train ID","value":"145-30"},{"id":16,"name":"Locomotive ID","value":"4038"},{"id":130,"name":"Impact","value":""},{"id":150,"name":"Time of Event (Mountain Time)","value":"09:52:35"},{"id":151,"name":"Denver Issue ID","value":""},{"id":178,"name":"Operational Impact","value":"Yes"},{"id":179,"name":"Denver Segment Assigned","value":""}]}} | curl -X POST -H "Content-Type: application/json" -H "X-Redmine-API-Key: d6333d4a04012a730768444271f8ca06482dae87" https://secure.xorail.net/redmine/issues.json --data @-</v>
      </c>
      <c r="AJ59" s="55"/>
      <c r="AK59" s="55"/>
      <c r="AL59" s="55"/>
    </row>
    <row r="60" spans="1:38" s="1" customFormat="1" x14ac:dyDescent="0.25">
      <c r="A60" s="39" t="s">
        <v>446</v>
      </c>
      <c r="B60" s="7">
        <v>4037</v>
      </c>
      <c r="C60" s="24" t="s">
        <v>113</v>
      </c>
      <c r="D60" s="24" t="s">
        <v>336</v>
      </c>
      <c r="E60" s="15">
        <v>42612.41878472222</v>
      </c>
      <c r="F60" s="15">
        <v>42612.424756944441</v>
      </c>
      <c r="G60" s="7">
        <v>1</v>
      </c>
      <c r="H60" s="15" t="s">
        <v>177</v>
      </c>
      <c r="I60" s="15">
        <v>42612.452974537038</v>
      </c>
      <c r="J60" s="7">
        <v>0</v>
      </c>
      <c r="K60" s="132" t="str">
        <f t="shared" si="0"/>
        <v>4037/4038</v>
      </c>
      <c r="L60" s="24" t="str">
        <f>VLOOKUP(A60,'Trips&amp;Operators'!$C$1:$E$10000,3,FALSE)</f>
        <v>ARVIDSON</v>
      </c>
      <c r="M60" s="6">
        <f t="shared" si="1"/>
        <v>2.8217592596774921E-2</v>
      </c>
      <c r="N60" s="7">
        <f t="shared" si="23"/>
        <v>40.633333339355886</v>
      </c>
      <c r="O60" s="7"/>
      <c r="P60" s="7"/>
      <c r="Q60" s="25"/>
      <c r="R60" s="25"/>
      <c r="S60" s="37">
        <f t="shared" si="24"/>
        <v>1</v>
      </c>
      <c r="T60" s="52" t="str">
        <f t="shared" si="3"/>
        <v>Southbound</v>
      </c>
      <c r="U60" s="126">
        <f>IF(AG60="EC",COUNTIFS(Variables!$M$2:$M$19,IF(T60="NorthBound","&gt;=","&lt;=")&amp;Y60,Variables!$M$2:$M$19,IF(T60="NorthBound","&lt;=","&gt;=")&amp;Z60),COUNTIFS(Variables!$P$2:$P$19,IF(T60="NorthBound","&gt;=","&lt;=")&amp;Y60,Variables!$P$2:$P$19,IF(T60="NorthBound","&lt;=","&gt;=")&amp;Z60))</f>
        <v>12</v>
      </c>
      <c r="V60" s="106" t="str">
        <f t="shared" si="4"/>
        <v>https://search-rtdc-monitor-bjffxe2xuh6vdkpspy63sjmuny.us-east-1.es.amazonaws.com/_plugin/kibana/#/discover/Steve-Slow-Train-Analysis-(2080s-and-2083s)?_g=(refreshInterval:(display:Off,section:0,value:0),time:(from:'2016-08-30 09:03:03-0600',mode:absolute,to:'2016-08-30 11:52: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60" s="54" t="str">
        <f t="shared" si="5"/>
        <v>N</v>
      </c>
      <c r="X60" s="120">
        <f t="shared" si="25"/>
        <v>1</v>
      </c>
      <c r="Y60" s="69">
        <f t="shared" si="6"/>
        <v>23.296299999999999</v>
      </c>
      <c r="Z60" s="69">
        <f t="shared" si="7"/>
        <v>1.6E-2</v>
      </c>
      <c r="AA60" s="69">
        <f t="shared" si="8"/>
        <v>23.2803</v>
      </c>
      <c r="AB60" s="66" t="e">
        <f>VLOOKUP(A60,Enforcements!$C$7:$J$21,8,0)</f>
        <v>#N/A</v>
      </c>
      <c r="AC60" s="62" t="e">
        <f>VLOOKUP(A60,Enforcements!$C$7:$E$21,3,0)</f>
        <v>#N/A</v>
      </c>
      <c r="AD60" s="63" t="str">
        <f t="shared" si="9"/>
        <v>0146-30</v>
      </c>
      <c r="AE60" s="99" t="str">
        <f t="shared" si="10"/>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60" s="96" t="str">
        <f t="shared" si="11"/>
        <v>"C:\Program Files (x86)\AstroGrep\AstroGrep.exe" /spath="%USERPROFILE%\AppData\Local\Temp\OnboardLogs" /stypes="*4037*20160830*" /stext=" 16:.+((SYSTEM_STATE.+slice.+state.+changed )|(ment ac)|(system.+state.+changed )|(\|lc)|(penalty)|(\[timeout)|(PRM\|1\|D)|(kpr)|(kdp))" /e /r /s</v>
      </c>
      <c r="AG60" s="1" t="str">
        <f t="shared" si="12"/>
        <v>EC</v>
      </c>
      <c r="AH60" s="100" t="str">
        <f t="shared" si="15"/>
        <v>"%USERPROFILE%\Documents\GitHub\eaglep3\Utilities\RefineRTDCRunTimes.py" --tripid 146-30 --locoid 4037 --swversion DE.1.0.7.0 --startMP 204:232963 --initTime 2016-08-30T10:03:03 --startdatetime 2016-08-30T10:11:39 --delay 1 --endMP 204:160 --enddatetime 2016-08-30T10:52:17 --enforcementcount 0 &gt;&gt;C:\Users\stu\Documents\GitHub\eaglep3-reporting\EC\2016-08-30-refined-times.txt</v>
      </c>
      <c r="AI60" s="149" t="str">
        <f t="shared" si="16"/>
        <v>echo {"issue":{"subject":"","project_id":79,"tracker_id":40,"status_id":1,"priority_id":2,"assigned_to_id":23,"start_date":"2016-08-30","description":"","custom_fields":[{"id":1,"name":"Subdivision","value":"EC"},{"id":4,"name":"Milepost","value":"23.2803"},{"id":17,"name":"Train ID","value":"146-30"},{"id":16,"name":"Locomotive ID","value":"4037"},{"id":130,"name":"Impact","value":""},{"id":150,"name":"Time of Event (Mountain Time)","value":"10:52:17"},{"id":151,"name":"Denver Issue ID","value":""},{"id":178,"name":"Operational Impact","value":"Yes"},{"id":179,"name":"Denver Segment Assigned","value":""}]}} | curl -X POST -H "Content-Type: application/json" -H "X-Redmine-API-Key: d6333d4a04012a730768444271f8ca06482dae87" https://secure.xorail.net/redmine/issues.json --data @-</v>
      </c>
      <c r="AJ60" s="55"/>
      <c r="AK60" s="55"/>
      <c r="AL60" s="55"/>
    </row>
    <row r="61" spans="1:38" s="1" customFormat="1" x14ac:dyDescent="0.25">
      <c r="A61" s="39" t="s">
        <v>440</v>
      </c>
      <c r="B61" s="7">
        <v>4020</v>
      </c>
      <c r="C61" s="24" t="s">
        <v>113</v>
      </c>
      <c r="D61" s="24" t="s">
        <v>602</v>
      </c>
      <c r="E61" s="15">
        <v>42612.392418981479</v>
      </c>
      <c r="F61" s="15">
        <v>42612.396018518521</v>
      </c>
      <c r="G61" s="7">
        <v>5</v>
      </c>
      <c r="H61" s="15" t="s">
        <v>585</v>
      </c>
      <c r="I61" s="15">
        <v>42612.421851851854</v>
      </c>
      <c r="J61" s="7">
        <v>0</v>
      </c>
      <c r="K61" s="132" t="str">
        <f t="shared" si="0"/>
        <v>4019/4020</v>
      </c>
      <c r="L61" s="24" t="str">
        <f>VLOOKUP(A61,'Trips&amp;Operators'!$C$1:$E$10000,3,FALSE)</f>
        <v>SMITH</v>
      </c>
      <c r="M61" s="6">
        <f t="shared" si="1"/>
        <v>2.5833333333139308E-2</v>
      </c>
      <c r="N61" s="7">
        <f t="shared" si="23"/>
        <v>37.199999999720603</v>
      </c>
      <c r="O61" s="7"/>
      <c r="P61" s="7"/>
      <c r="Q61" s="25"/>
      <c r="R61" s="25"/>
      <c r="S61" s="37">
        <f t="shared" si="24"/>
        <v>1</v>
      </c>
      <c r="T61" s="52" t="str">
        <f t="shared" si="3"/>
        <v>NorthBound</v>
      </c>
      <c r="U61" s="126">
        <f>IF(AG61="EC",COUNTIFS(Variables!$M$2:$M$19,IF(T61="NorthBound","&gt;=","&lt;=")&amp;Y61,Variables!$M$2:$M$19,IF(T61="NorthBound","&lt;=","&gt;=")&amp;Z61),COUNTIFS(Variables!$P$2:$P$19,IF(T61="NorthBound","&gt;=","&lt;=")&amp;Y61,Variables!$P$2:$P$19,IF(T61="NorthBound","&lt;=","&gt;=")&amp;Z61))</f>
        <v>12</v>
      </c>
      <c r="V61" s="106" t="str">
        <f t="shared" si="4"/>
        <v>https://search-rtdc-monitor-bjffxe2xuh6vdkpspy63sjmuny.us-east-1.es.amazonaws.com/_plugin/kibana/#/discover/Steve-Slow-Train-Analysis-(2080s-and-2083s)?_g=(refreshInterval:(display:Off,section:0,value:0),time:(from:'2016-08-30 08:25:05-0600',mode:absolute,to:'2016-08-30 11:07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61" s="54" t="str">
        <f t="shared" si="5"/>
        <v>N</v>
      </c>
      <c r="X61" s="120">
        <f t="shared" si="25"/>
        <v>1</v>
      </c>
      <c r="Y61" s="69">
        <f t="shared" si="6"/>
        <v>4.7300000000000002E-2</v>
      </c>
      <c r="Z61" s="69">
        <f t="shared" si="7"/>
        <v>23.330200000000001</v>
      </c>
      <c r="AA61" s="69">
        <f t="shared" si="8"/>
        <v>23.282900000000001</v>
      </c>
      <c r="AB61" s="66" t="e">
        <f>VLOOKUP(A61,Enforcements!$C$7:$J$21,8,0)</f>
        <v>#N/A</v>
      </c>
      <c r="AC61" s="62" t="e">
        <f>VLOOKUP(A61,Enforcements!$C$7:$E$21,3,0)</f>
        <v>#N/A</v>
      </c>
      <c r="AD61" s="63" t="str">
        <f t="shared" si="9"/>
        <v>0147-30</v>
      </c>
      <c r="AE61" s="99" t="str">
        <f t="shared" si="1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61" s="96" t="str">
        <f t="shared" si="11"/>
        <v>"C:\Program Files (x86)\AstroGrep\AstroGrep.exe" /spath="%USERPROFILE%\AppData\Local\Temp\OnboardLogs" /stypes="*4020*20160830*" /stext=" 16:.+((SYSTEM_STATE.+slice.+state.+changed )|(ment ac)|(system.+state.+changed )|(\|lc)|(penalty)|(\[timeout)|(PRM\|1\|D)|(kpr)|(kdp))" /e /r /s</v>
      </c>
      <c r="AG61" s="1" t="str">
        <f t="shared" si="12"/>
        <v>EC</v>
      </c>
      <c r="AH61" s="100" t="str">
        <f t="shared" si="15"/>
        <v>"%USERPROFILE%\Documents\GitHub\eaglep3\Utilities\RefineRTDCRunTimes.py" --tripid 147-30 --locoid 4020 --swversion DE.1.0.7.0 --startMP 204:473 --initTime 2016-08-30T09:25:05 --startdatetime 2016-08-30T09:30:16 --delay 5 --endMP 204:233302 --enddatetime 2016-08-30T10:07:28 --enforcementcount 0 &gt;&gt;C:\Users\stu\Documents\GitHub\eaglep3-reporting\EC\2016-08-30-refined-times.txt</v>
      </c>
      <c r="AI61" s="149" t="str">
        <f t="shared" si="16"/>
        <v>echo {"issue":{"subject":"","project_id":79,"tracker_id":40,"status_id":1,"priority_id":2,"assigned_to_id":23,"start_date":"2016-08-30","description":"","custom_fields":[{"id":1,"name":"Subdivision","value":"EC"},{"id":4,"name":"Milepost","value":"23.2829"},{"id":17,"name":"Train ID","value":"147-30"},{"id":16,"name":"Locomotive ID","value":"4020"},{"id":130,"name":"Impact","value":""},{"id":150,"name":"Time of Event (Mountain Time)","value":"10:07:28"},{"id":151,"name":"Denver Issue ID","value":""},{"id":178,"name":"Operational Impact","value":"Yes"},{"id":179,"name":"Denver Segment Assigned","value":""}]}} | curl -X POST -H "Content-Type: application/json" -H "X-Redmine-API-Key: d6333d4a04012a730768444271f8ca06482dae87" https://secure.xorail.net/redmine/issues.json --data @-</v>
      </c>
      <c r="AJ61" s="55"/>
      <c r="AK61" s="55"/>
      <c r="AL61" s="55"/>
    </row>
    <row r="62" spans="1:38" s="1" customFormat="1" x14ac:dyDescent="0.25">
      <c r="A62" s="39" t="s">
        <v>364</v>
      </c>
      <c r="B62" s="7">
        <v>4019</v>
      </c>
      <c r="C62" s="24" t="s">
        <v>113</v>
      </c>
      <c r="D62" s="24" t="s">
        <v>603</v>
      </c>
      <c r="E62" s="15">
        <v>42612.426099537035</v>
      </c>
      <c r="F62" s="15">
        <v>42612.434953703705</v>
      </c>
      <c r="G62" s="7">
        <v>1</v>
      </c>
      <c r="H62" s="15" t="s">
        <v>604</v>
      </c>
      <c r="I62" s="15">
        <v>42612.46230324074</v>
      </c>
      <c r="J62" s="7">
        <v>0</v>
      </c>
      <c r="K62" s="132" t="str">
        <f t="shared" si="0"/>
        <v>4019/4020</v>
      </c>
      <c r="L62" s="24" t="str">
        <f>VLOOKUP(A62,'Trips&amp;Operators'!$C$1:$E$10000,3,FALSE)</f>
        <v>SMITH</v>
      </c>
      <c r="M62" s="6">
        <f t="shared" si="1"/>
        <v>2.7349537034751847E-2</v>
      </c>
      <c r="N62" s="7">
        <f t="shared" si="23"/>
        <v>39.38333333004266</v>
      </c>
      <c r="O62" s="7"/>
      <c r="P62" s="7"/>
      <c r="Q62" s="25"/>
      <c r="R62" s="25"/>
      <c r="S62" s="37">
        <f t="shared" si="24"/>
        <v>1</v>
      </c>
      <c r="T62" s="52" t="str">
        <f t="shared" si="3"/>
        <v>Southbound</v>
      </c>
      <c r="U62" s="126">
        <f>IF(AG62="EC",COUNTIFS(Variables!$M$2:$M$19,IF(T62="NorthBound","&gt;=","&lt;=")&amp;Y62,Variables!$M$2:$M$19,IF(T62="NorthBound","&lt;=","&gt;=")&amp;Z62),COUNTIFS(Variables!$P$2:$P$19,IF(T62="NorthBound","&gt;=","&lt;=")&amp;Y62,Variables!$P$2:$P$19,IF(T62="NorthBound","&lt;=","&gt;=")&amp;Z62))</f>
        <v>12</v>
      </c>
      <c r="V62" s="106" t="str">
        <f t="shared" si="4"/>
        <v>https://search-rtdc-monitor-bjffxe2xuh6vdkpspy63sjmuny.us-east-1.es.amazonaws.com/_plugin/kibana/#/discover/Steve-Slow-Train-Analysis-(2080s-and-2083s)?_g=(refreshInterval:(display:Off,section:0,value:0),time:(from:'2016-08-30 09:13:35-0600',mode:absolute,to:'2016-08-30 12: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62" s="54" t="str">
        <f t="shared" si="5"/>
        <v>N</v>
      </c>
      <c r="X62" s="120">
        <f t="shared" si="25"/>
        <v>1</v>
      </c>
      <c r="Y62" s="69">
        <f t="shared" si="6"/>
        <v>23.297000000000001</v>
      </c>
      <c r="Z62" s="69">
        <f t="shared" si="7"/>
        <v>2.6200000000000001E-2</v>
      </c>
      <c r="AA62" s="69">
        <f t="shared" si="8"/>
        <v>23.270800000000001</v>
      </c>
      <c r="AB62" s="66" t="e">
        <f>VLOOKUP(A62,Enforcements!$C$7:$J$21,8,0)</f>
        <v>#N/A</v>
      </c>
      <c r="AC62" s="62" t="e">
        <f>VLOOKUP(A62,Enforcements!$C$7:$E$21,3,0)</f>
        <v>#N/A</v>
      </c>
      <c r="AD62" s="63" t="str">
        <f t="shared" si="9"/>
        <v>0148-30</v>
      </c>
      <c r="AE62" s="99" t="str">
        <f t="shared" si="10"/>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62" s="96" t="str">
        <f t="shared" si="11"/>
        <v>"C:\Program Files (x86)\AstroGrep\AstroGrep.exe" /spath="%USERPROFILE%\AppData\Local\Temp\OnboardLogs" /stypes="*4019*20160830*" /stext=" 17:.+((SYSTEM_STATE.+slice.+state.+changed )|(ment ac)|(system.+state.+changed )|(\|lc)|(penalty)|(\[timeout)|(PRM\|1\|D)|(kpr)|(kdp))" /e /r /s</v>
      </c>
      <c r="AG62" s="1" t="str">
        <f t="shared" si="12"/>
        <v>EC</v>
      </c>
      <c r="AH62" s="100" t="str">
        <f t="shared" si="15"/>
        <v>"%USERPROFILE%\Documents\GitHub\eaglep3\Utilities\RefineRTDCRunTimes.py" --tripid 148-30 --locoid 4019 --swversion DE.1.0.7.0 --startMP 204:232970 --initTime 2016-08-30T10:13:35 --startdatetime 2016-08-30T10:26:20 --delay 1 --endMP 204:262 --enddatetime 2016-08-30T11:05:43 --enforcementcount 0 &gt;&gt;C:\Users\stu\Documents\GitHub\eaglep3-reporting\EC\2016-08-30-refined-times.txt</v>
      </c>
      <c r="AI62" s="149" t="str">
        <f t="shared" si="16"/>
        <v>echo {"issue":{"subject":"","project_id":79,"tracker_id":40,"status_id":1,"priority_id":2,"assigned_to_id":23,"start_date":"2016-08-30","description":"","custom_fields":[{"id":1,"name":"Subdivision","value":"EC"},{"id":4,"name":"Milepost","value":"23.2708"},{"id":17,"name":"Train ID","value":"148-30"},{"id":16,"name":"Locomotive ID","value":"4019"},{"id":130,"name":"Impact","value":""},{"id":150,"name":"Time of Event (Mountain Time)","value":"11:05:43"},{"id":151,"name":"Denver Issue ID","value":""},{"id":178,"name":"Operational Impact","value":"Yes"},{"id":179,"name":"Denver Segment Assigned","value":""}]}} | curl -X POST -H "Content-Type: application/json" -H "X-Redmine-API-Key: d6333d4a04012a730768444271f8ca06482dae87" https://secure.xorail.net/redmine/issues.json --data @-</v>
      </c>
      <c r="AJ62" s="55"/>
      <c r="AK62" s="55"/>
      <c r="AL62" s="55"/>
    </row>
    <row r="63" spans="1:38" s="1" customFormat="1" x14ac:dyDescent="0.25">
      <c r="A63" s="39" t="s">
        <v>443</v>
      </c>
      <c r="B63" s="7">
        <v>4018</v>
      </c>
      <c r="C63" s="24" t="s">
        <v>113</v>
      </c>
      <c r="D63" s="24" t="s">
        <v>135</v>
      </c>
      <c r="E63" s="15">
        <v>42612.400879629633</v>
      </c>
      <c r="F63" s="15">
        <v>42612.406539351854</v>
      </c>
      <c r="G63" s="7">
        <v>1</v>
      </c>
      <c r="H63" s="15" t="s">
        <v>605</v>
      </c>
      <c r="I63" s="15">
        <v>42612.431377314817</v>
      </c>
      <c r="J63" s="7">
        <v>0</v>
      </c>
      <c r="K63" s="132" t="str">
        <f t="shared" si="0"/>
        <v>4017/4018</v>
      </c>
      <c r="L63" s="24" t="str">
        <f>VLOOKUP(A63,'Trips&amp;Operators'!$C$1:$E$10000,3,FALSE)</f>
        <v>SPECTOR</v>
      </c>
      <c r="M63" s="6">
        <f t="shared" si="1"/>
        <v>2.4837962962919846E-2</v>
      </c>
      <c r="N63" s="7">
        <f t="shared" si="23"/>
        <v>35.766666666604578</v>
      </c>
      <c r="O63" s="7"/>
      <c r="P63" s="7"/>
      <c r="Q63" s="25"/>
      <c r="R63" s="25"/>
      <c r="S63" s="37">
        <f t="shared" si="24"/>
        <v>1</v>
      </c>
      <c r="T63" s="52" t="str">
        <f t="shared" si="3"/>
        <v>NorthBound</v>
      </c>
      <c r="U63" s="126">
        <f>IF(AG63="EC",COUNTIFS(Variables!$M$2:$M$19,IF(T63="NorthBound","&gt;=","&lt;=")&amp;Y63,Variables!$M$2:$M$19,IF(T63="NorthBound","&lt;=","&gt;=")&amp;Z63),COUNTIFS(Variables!$P$2:$P$19,IF(T63="NorthBound","&gt;=","&lt;=")&amp;Y63,Variables!$P$2:$P$19,IF(T63="NorthBound","&lt;=","&gt;=")&amp;Z63))</f>
        <v>12</v>
      </c>
      <c r="V63" s="106" t="str">
        <f t="shared" si="4"/>
        <v>https://search-rtdc-monitor-bjffxe2xuh6vdkpspy63sjmuny.us-east-1.es.amazonaws.com/_plugin/kibana/#/discover/Steve-Slow-Train-Analysis-(2080s-and-2083s)?_g=(refreshInterval:(display:Off,section:0,value:0),time:(from:'2016-08-30 08:37:16-0600',mode:absolute,to:'2016-08-30 11:21: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63" s="54" t="str">
        <f t="shared" si="5"/>
        <v>N</v>
      </c>
      <c r="X63" s="120">
        <f t="shared" si="25"/>
        <v>1</v>
      </c>
      <c r="Y63" s="69">
        <f t="shared" si="6"/>
        <v>4.4900000000000002E-2</v>
      </c>
      <c r="Z63" s="69">
        <f t="shared" si="7"/>
        <v>23.330500000000001</v>
      </c>
      <c r="AA63" s="69">
        <f t="shared" si="8"/>
        <v>23.285600000000002</v>
      </c>
      <c r="AB63" s="66" t="e">
        <f>VLOOKUP(A63,Enforcements!$C$7:$J$21,8,0)</f>
        <v>#N/A</v>
      </c>
      <c r="AC63" s="62" t="e">
        <f>VLOOKUP(A63,Enforcements!$C$7:$E$21,3,0)</f>
        <v>#N/A</v>
      </c>
      <c r="AD63" s="63" t="str">
        <f t="shared" si="9"/>
        <v>0149-30</v>
      </c>
      <c r="AE63" s="99" t="str">
        <f t="shared" si="1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63" s="96" t="str">
        <f t="shared" si="11"/>
        <v>"C:\Program Files (x86)\AstroGrep\AstroGrep.exe" /spath="%USERPROFILE%\AppData\Local\Temp\OnboardLogs" /stypes="*4018*20160830*" /stext=" 16:.+((SYSTEM_STATE.+slice.+state.+changed )|(ment ac)|(system.+state.+changed )|(\|lc)|(penalty)|(\[timeout)|(PRM\|1\|D)|(kpr)|(kdp))" /e /r /s</v>
      </c>
      <c r="AG63" s="1" t="str">
        <f t="shared" si="12"/>
        <v>EC</v>
      </c>
      <c r="AH63" s="100" t="str">
        <f t="shared" si="15"/>
        <v>"%USERPROFILE%\Documents\GitHub\eaglep3\Utilities\RefineRTDCRunTimes.py" --tripid 149-30 --locoid 4018 --swversion DE.1.0.7.0 --startMP 204:449 --initTime 2016-08-30T09:37:16 --startdatetime 2016-08-30T09:45:25 --delay 1 --endMP 204:233305 --enddatetime 2016-08-30T10:21:11 --enforcementcount 0 &gt;&gt;C:\Users\stu\Documents\GitHub\eaglep3-reporting\EC\2016-08-30-refined-times.txt</v>
      </c>
      <c r="AI63" s="149" t="str">
        <f t="shared" si="16"/>
        <v>echo {"issue":{"subject":"","project_id":79,"tracker_id":40,"status_id":1,"priority_id":2,"assigned_to_id":23,"start_date":"2016-08-30","description":"","custom_fields":[{"id":1,"name":"Subdivision","value":"EC"},{"id":4,"name":"Milepost","value":"23.2856"},{"id":17,"name":"Train ID","value":"149-30"},{"id":16,"name":"Locomotive ID","value":"4018"},{"id":130,"name":"Impact","value":""},{"id":150,"name":"Time of Event (Mountain Time)","value":"10:21:11"},{"id":151,"name":"Denver Issue ID","value":""},{"id":178,"name":"Operational Impact","value":"Yes"},{"id":179,"name":"Denver Segment Assigned","value":""}]}} | curl -X POST -H "Content-Type: application/json" -H "X-Redmine-API-Key: d6333d4a04012a730768444271f8ca06482dae87" https://secure.xorail.net/redmine/issues.json --data @-</v>
      </c>
      <c r="AJ63" s="55"/>
      <c r="AK63" s="55"/>
      <c r="AL63" s="55"/>
    </row>
    <row r="64" spans="1:38" s="1" customFormat="1" x14ac:dyDescent="0.25">
      <c r="A64" s="39" t="s">
        <v>450</v>
      </c>
      <c r="B64" s="7">
        <v>4017</v>
      </c>
      <c r="C64" s="24" t="s">
        <v>113</v>
      </c>
      <c r="D64" s="24" t="s">
        <v>321</v>
      </c>
      <c r="E64" s="15">
        <v>42612.4378125</v>
      </c>
      <c r="F64" s="15">
        <v>42612.445370370369</v>
      </c>
      <c r="G64" s="7">
        <v>1</v>
      </c>
      <c r="H64" s="15" t="s">
        <v>174</v>
      </c>
      <c r="I64" s="15">
        <v>42612.472384259258</v>
      </c>
      <c r="J64" s="7">
        <v>0</v>
      </c>
      <c r="K64" s="132" t="str">
        <f t="shared" si="0"/>
        <v>4017/4018</v>
      </c>
      <c r="L64" s="24" t="str">
        <f>VLOOKUP(A64,'Trips&amp;Operators'!$C$1:$E$10000,3,FALSE)</f>
        <v>SPECTOR</v>
      </c>
      <c r="M64" s="6">
        <f t="shared" si="1"/>
        <v>2.7013888888177462E-2</v>
      </c>
      <c r="N64" s="7">
        <f t="shared" si="23"/>
        <v>38.899999998975545</v>
      </c>
      <c r="O64" s="7"/>
      <c r="P64" s="7"/>
      <c r="Q64" s="25"/>
      <c r="R64" s="25"/>
      <c r="S64" s="37">
        <f t="shared" si="24"/>
        <v>1</v>
      </c>
      <c r="T64" s="52" t="str">
        <f t="shared" si="3"/>
        <v>Southbound</v>
      </c>
      <c r="U64" s="126">
        <f>IF(AG64="EC",COUNTIFS(Variables!$M$2:$M$19,IF(T64="NorthBound","&gt;=","&lt;=")&amp;Y64,Variables!$M$2:$M$19,IF(T64="NorthBound","&lt;=","&gt;=")&amp;Z64),COUNTIFS(Variables!$P$2:$P$19,IF(T64="NorthBound","&gt;=","&lt;=")&amp;Y64,Variables!$P$2:$P$19,IF(T64="NorthBound","&lt;=","&gt;=")&amp;Z64))</f>
        <v>12</v>
      </c>
      <c r="V64" s="106" t="str">
        <f t="shared" si="4"/>
        <v>https://search-rtdc-monitor-bjffxe2xuh6vdkpspy63sjmuny.us-east-1.es.amazonaws.com/_plugin/kibana/#/discover/Steve-Slow-Train-Analysis-(2080s-and-2083s)?_g=(refreshInterval:(display:Off,section:0,value:0),time:(from:'2016-08-30 09:30:27-0600',mode:absolute,to:'2016-08-30 12:20: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64" s="54" t="str">
        <f t="shared" si="5"/>
        <v>N</v>
      </c>
      <c r="X64" s="120">
        <f t="shared" si="25"/>
        <v>1</v>
      </c>
      <c r="Y64" s="69">
        <f t="shared" si="6"/>
        <v>23.297499999999999</v>
      </c>
      <c r="Z64" s="69">
        <f t="shared" si="7"/>
        <v>1.4500000000000001E-2</v>
      </c>
      <c r="AA64" s="69">
        <f t="shared" si="8"/>
        <v>23.282999999999998</v>
      </c>
      <c r="AB64" s="66" t="e">
        <f>VLOOKUP(A64,Enforcements!$C$7:$J$21,8,0)</f>
        <v>#N/A</v>
      </c>
      <c r="AC64" s="62" t="e">
        <f>VLOOKUP(A64,Enforcements!$C$7:$E$21,3,0)</f>
        <v>#N/A</v>
      </c>
      <c r="AD64" s="63" t="str">
        <f t="shared" si="9"/>
        <v>0150-30</v>
      </c>
      <c r="AE64" s="99" t="str">
        <f t="shared" si="1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64" s="96" t="str">
        <f t="shared" si="11"/>
        <v>"C:\Program Files (x86)\AstroGrep\AstroGrep.exe" /spath="%USERPROFILE%\AppData\Local\Temp\OnboardLogs" /stypes="*4017*20160830*" /stext=" 17:.+((SYSTEM_STATE.+slice.+state.+changed )|(ment ac)|(system.+state.+changed )|(\|lc)|(penalty)|(\[timeout)|(PRM\|1\|D)|(kpr)|(kdp))" /e /r /s</v>
      </c>
      <c r="AG64" s="1" t="str">
        <f t="shared" si="12"/>
        <v>EC</v>
      </c>
      <c r="AH64" s="100" t="str">
        <f t="shared" si="15"/>
        <v>"%USERPROFILE%\Documents\GitHub\eaglep3\Utilities\RefineRTDCRunTimes.py" --tripid 150-30 --locoid 4017 --swversion DE.1.0.7.0 --startMP 204:232975 --initTime 2016-08-30T10:30:27 --startdatetime 2016-08-30T10:41:20 --delay 1 --endMP 204:145 --enddatetime 2016-08-30T11:20:14 --enforcementcount 0 &gt;&gt;C:\Users\stu\Documents\GitHub\eaglep3-reporting\EC\2016-08-30-refined-times.txt</v>
      </c>
      <c r="AI64" s="149" t="str">
        <f t="shared" si="16"/>
        <v>echo {"issue":{"subject":"","project_id":79,"tracker_id":40,"status_id":1,"priority_id":2,"assigned_to_id":23,"start_date":"2016-08-30","description":"","custom_fields":[{"id":1,"name":"Subdivision","value":"EC"},{"id":4,"name":"Milepost","value":"23.283"},{"id":17,"name":"Train ID","value":"150-30"},{"id":16,"name":"Locomotive ID","value":"4017"},{"id":130,"name":"Impact","value":""},{"id":150,"name":"Time of Event (Mountain Time)","value":"11:20:14"},{"id":151,"name":"Denver Issue ID","value":""},{"id":178,"name":"Operational Impact","value":"Yes"},{"id":179,"name":"Denver Segment Assigned","value":""}]}} | curl -X POST -H "Content-Type: application/json" -H "X-Redmine-API-Key: d6333d4a04012a730768444271f8ca06482dae87" https://secure.xorail.net/redmine/issues.json --data @-</v>
      </c>
      <c r="AJ64" s="55"/>
      <c r="AK64" s="55"/>
      <c r="AL64" s="55"/>
    </row>
    <row r="65" spans="1:38" s="1" customFormat="1" x14ac:dyDescent="0.25">
      <c r="A65" s="39" t="s">
        <v>445</v>
      </c>
      <c r="B65" s="7">
        <v>4029</v>
      </c>
      <c r="C65" s="24" t="s">
        <v>113</v>
      </c>
      <c r="D65" s="24" t="s">
        <v>190</v>
      </c>
      <c r="E65" s="15">
        <v>42612.411261574074</v>
      </c>
      <c r="F65" s="15">
        <v>42612.416886574072</v>
      </c>
      <c r="G65" s="7">
        <v>1</v>
      </c>
      <c r="H65" s="15" t="s">
        <v>183</v>
      </c>
      <c r="I65" s="15">
        <v>42612.442060185182</v>
      </c>
      <c r="J65" s="7">
        <v>0</v>
      </c>
      <c r="K65" s="132" t="str">
        <f t="shared" si="0"/>
        <v>4029/4030</v>
      </c>
      <c r="L65" s="24" t="str">
        <f>VLOOKUP(A65,'Trips&amp;Operators'!$C$1:$E$10000,3,FALSE)</f>
        <v>DAVIS</v>
      </c>
      <c r="M65" s="6">
        <f t="shared" si="1"/>
        <v>2.5173611109494232E-2</v>
      </c>
      <c r="N65" s="7">
        <f t="shared" si="23"/>
        <v>36.249999997671694</v>
      </c>
      <c r="O65" s="7"/>
      <c r="P65" s="7"/>
      <c r="Q65" s="25"/>
      <c r="R65" s="25"/>
      <c r="S65" s="37">
        <f t="shared" si="24"/>
        <v>1</v>
      </c>
      <c r="T65" s="52" t="str">
        <f t="shared" si="3"/>
        <v>NorthBound</v>
      </c>
      <c r="U65" s="126">
        <f>IF(AG65="EC",COUNTIFS(Variables!$M$2:$M$19,IF(T65="NorthBound","&gt;=","&lt;=")&amp;Y65,Variables!$M$2:$M$19,IF(T65="NorthBound","&lt;=","&gt;=")&amp;Z65),COUNTIFS(Variables!$P$2:$P$19,IF(T65="NorthBound","&gt;=","&lt;=")&amp;Y65,Variables!$P$2:$P$19,IF(T65="NorthBound","&lt;=","&gt;=")&amp;Z65))</f>
        <v>12</v>
      </c>
      <c r="V65" s="106" t="str">
        <f t="shared" si="4"/>
        <v>https://search-rtdc-monitor-bjffxe2xuh6vdkpspy63sjmuny.us-east-1.es.amazonaws.com/_plugin/kibana/#/discover/Steve-Slow-Train-Analysis-(2080s-and-2083s)?_g=(refreshInterval:(display:Off,section:0,value:0),time:(from:'2016-08-30 08:52:13-0600',mode:absolute,to:'2016-08-30 11: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65" s="54" t="str">
        <f t="shared" si="5"/>
        <v>N</v>
      </c>
      <c r="X65" s="120">
        <f t="shared" si="25"/>
        <v>1</v>
      </c>
      <c r="Y65" s="69">
        <f t="shared" si="6"/>
        <v>4.6399999999999997E-2</v>
      </c>
      <c r="Z65" s="69">
        <f t="shared" si="7"/>
        <v>23.332699999999999</v>
      </c>
      <c r="AA65" s="69">
        <f t="shared" si="8"/>
        <v>23.286300000000001</v>
      </c>
      <c r="AB65" s="66" t="e">
        <f>VLOOKUP(A65,Enforcements!$C$7:$J$21,8,0)</f>
        <v>#N/A</v>
      </c>
      <c r="AC65" s="62" t="e">
        <f>VLOOKUP(A65,Enforcements!$C$7:$E$21,3,0)</f>
        <v>#N/A</v>
      </c>
      <c r="AD65" s="63" t="str">
        <f t="shared" si="9"/>
        <v>0151-30</v>
      </c>
      <c r="AE65" s="99" t="str">
        <f t="shared" si="1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65" s="96" t="str">
        <f t="shared" si="11"/>
        <v>"C:\Program Files (x86)\AstroGrep\AstroGrep.exe" /spath="%USERPROFILE%\AppData\Local\Temp\OnboardLogs" /stypes="*4029*20160830*" /stext=" 16:.+((SYSTEM_STATE.+slice.+state.+changed )|(ment ac)|(system.+state.+changed )|(\|lc)|(penalty)|(\[timeout)|(PRM\|1\|D)|(kpr)|(kdp))" /e /r /s</v>
      </c>
      <c r="AG65" s="1" t="str">
        <f t="shared" si="12"/>
        <v>EC</v>
      </c>
      <c r="AH65" s="100" t="str">
        <f t="shared" si="15"/>
        <v>"%USERPROFILE%\Documents\GitHub\eaglep3\Utilities\RefineRTDCRunTimes.py" --tripid 151-30 --locoid 4029 --swversion DE.1.0.7.0 --startMP 204:464 --initTime 2016-08-30T09:52:13 --startdatetime 2016-08-30T10:00:19 --delay 1 --endMP 204:233327 --enddatetime 2016-08-30T10:36:34 --enforcementcount 0 &gt;&gt;C:\Users\stu\Documents\GitHub\eaglep3-reporting\EC\2016-08-30-refined-times.txt</v>
      </c>
      <c r="AI65" s="149" t="str">
        <f t="shared" si="16"/>
        <v>echo {"issue":{"subject":"","project_id":79,"tracker_id":40,"status_id":1,"priority_id":2,"assigned_to_id":23,"start_date":"2016-08-30","description":"","custom_fields":[{"id":1,"name":"Subdivision","value":"EC"},{"id":4,"name":"Milepost","value":"23.2863"},{"id":17,"name":"Train ID","value":"151-30"},{"id":16,"name":"Locomotive ID","value":"4029"},{"id":130,"name":"Impact","value":""},{"id":150,"name":"Time of Event (Mountain Time)","value":"10:36:34"},{"id":151,"name":"Denver Issue ID","value":""},{"id":178,"name":"Operational Impact","value":"Yes"},{"id":179,"name":"Denver Segment Assigned","value":""}]}} | curl -X POST -H "Content-Type: application/json" -H "X-Redmine-API-Key: d6333d4a04012a730768444271f8ca06482dae87" https://secure.xorail.net/redmine/issues.json --data @-</v>
      </c>
      <c r="AJ65" s="55"/>
      <c r="AK65" s="55"/>
      <c r="AL65" s="55"/>
    </row>
    <row r="66" spans="1:38" s="1" customFormat="1" x14ac:dyDescent="0.25">
      <c r="A66" s="39" t="s">
        <v>453</v>
      </c>
      <c r="B66" s="7">
        <v>4030</v>
      </c>
      <c r="C66" s="24" t="s">
        <v>113</v>
      </c>
      <c r="D66" s="24" t="s">
        <v>185</v>
      </c>
      <c r="E66" s="15">
        <v>42612.452627314815</v>
      </c>
      <c r="F66" s="15">
        <v>42612.455694444441</v>
      </c>
      <c r="G66" s="7">
        <v>1</v>
      </c>
      <c r="H66" s="15" t="s">
        <v>599</v>
      </c>
      <c r="I66" s="15">
        <v>42612.485949074071</v>
      </c>
      <c r="J66" s="7">
        <v>0</v>
      </c>
      <c r="K66" s="132" t="str">
        <f t="shared" si="0"/>
        <v>4029/4030</v>
      </c>
      <c r="L66" s="24" t="str">
        <f>VLOOKUP(A66,'Trips&amp;Operators'!$C$1:$E$10000,3,FALSE)</f>
        <v>DAVIS</v>
      </c>
      <c r="M66" s="6">
        <f t="shared" si="1"/>
        <v>3.0254629629780538E-2</v>
      </c>
      <c r="N66" s="7">
        <f t="shared" si="23"/>
        <v>43.566666666883975</v>
      </c>
      <c r="O66" s="7"/>
      <c r="P66" s="7"/>
      <c r="Q66" s="25"/>
      <c r="R66" s="25"/>
      <c r="S66" s="37">
        <f t="shared" si="24"/>
        <v>1</v>
      </c>
      <c r="T66" s="52" t="str">
        <f t="shared" si="3"/>
        <v>Southbound</v>
      </c>
      <c r="U66" s="126">
        <f>IF(AG66="EC",COUNTIFS(Variables!$M$2:$M$19,IF(T66="NorthBound","&gt;=","&lt;=")&amp;Y66,Variables!$M$2:$M$19,IF(T66="NorthBound","&lt;=","&gt;=")&amp;Z66),COUNTIFS(Variables!$P$2:$P$19,IF(T66="NorthBound","&gt;=","&lt;=")&amp;Y66,Variables!$P$2:$P$19,IF(T66="NorthBound","&lt;=","&gt;=")&amp;Z66))</f>
        <v>12</v>
      </c>
      <c r="V66" s="106" t="str">
        <f t="shared" si="4"/>
        <v>https://search-rtdc-monitor-bjffxe2xuh6vdkpspy63sjmuny.us-east-1.es.amazonaws.com/_plugin/kibana/#/discover/Steve-Slow-Train-Analysis-(2080s-and-2083s)?_g=(refreshInterval:(display:Off,section:0,value:0),time:(from:'2016-08-30 09:51:47-0600',mode:absolute,to:'2016-08-30 12: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66" s="54" t="str">
        <f t="shared" si="5"/>
        <v>N</v>
      </c>
      <c r="X66" s="120">
        <f t="shared" si="25"/>
        <v>1</v>
      </c>
      <c r="Y66" s="69">
        <f t="shared" si="6"/>
        <v>23.3</v>
      </c>
      <c r="Z66" s="69">
        <f t="shared" si="7"/>
        <v>1.61E-2</v>
      </c>
      <c r="AA66" s="69">
        <f t="shared" si="8"/>
        <v>23.283899999999999</v>
      </c>
      <c r="AB66" s="66" t="e">
        <f>VLOOKUP(A66,Enforcements!$C$7:$J$21,8,0)</f>
        <v>#N/A</v>
      </c>
      <c r="AC66" s="62" t="e">
        <f>VLOOKUP(A66,Enforcements!$C$7:$E$21,3,0)</f>
        <v>#N/A</v>
      </c>
      <c r="AD66" s="63" t="str">
        <f t="shared" si="9"/>
        <v>0152-30</v>
      </c>
      <c r="AE66" s="99" t="str">
        <f t="shared" si="10"/>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66" s="96" t="str">
        <f t="shared" si="11"/>
        <v>"C:\Program Files (x86)\AstroGrep\AstroGrep.exe" /spath="%USERPROFILE%\AppData\Local\Temp\OnboardLogs" /stypes="*4030*20160830*" /stext=" 17:.+((SYSTEM_STATE.+slice.+state.+changed )|(ment ac)|(system.+state.+changed )|(\|lc)|(penalty)|(\[timeout)|(PRM\|1\|D)|(kpr)|(kdp))" /e /r /s</v>
      </c>
      <c r="AG66" s="1" t="str">
        <f t="shared" si="12"/>
        <v>EC</v>
      </c>
      <c r="AH66" s="100" t="str">
        <f t="shared" si="15"/>
        <v>"%USERPROFILE%\Documents\GitHub\eaglep3\Utilities\RefineRTDCRunTimes.py" --tripid 152-30 --locoid 4030 --swversion DE.1.0.7.0 --startMP 204:233000 --initTime 2016-08-30T10:51:47 --startdatetime 2016-08-30T10:56:12 --delay 1 --endMP 204:161 --enddatetime 2016-08-30T11:39:46 --enforcementcount 0 &gt;&gt;C:\Users\stu\Documents\GitHub\eaglep3-reporting\EC\2016-08-30-refined-times.txt</v>
      </c>
      <c r="AI66" s="149" t="str">
        <f t="shared" si="16"/>
        <v>echo {"issue":{"subject":"","project_id":79,"tracker_id":40,"status_id":1,"priority_id":2,"assigned_to_id":23,"start_date":"2016-08-30","description":"","custom_fields":[{"id":1,"name":"Subdivision","value":"EC"},{"id":4,"name":"Milepost","value":"23.2839"},{"id":17,"name":"Train ID","value":"152-30"},{"id":16,"name":"Locomotive ID","value":"4030"},{"id":130,"name":"Impact","value":""},{"id":150,"name":"Time of Event (Mountain Time)","value":"11:39:46"},{"id":151,"name":"Denver Issue ID","value":""},{"id":178,"name":"Operational Impact","value":"Yes"},{"id":179,"name":"Denver Segment Assigned","value":""}]}} | curl -X POST -H "Content-Type: application/json" -H "X-Redmine-API-Key: d6333d4a04012a730768444271f8ca06482dae87" https://secure.xorail.net/redmine/issues.json --data @-</v>
      </c>
      <c r="AJ66" s="55"/>
      <c r="AK66" s="55"/>
      <c r="AL66" s="55"/>
    </row>
    <row r="67" spans="1:38" s="1" customFormat="1" x14ac:dyDescent="0.25">
      <c r="A67" s="39" t="s">
        <v>447</v>
      </c>
      <c r="B67" s="7">
        <v>4011</v>
      </c>
      <c r="C67" s="24" t="s">
        <v>113</v>
      </c>
      <c r="D67" s="24" t="s">
        <v>297</v>
      </c>
      <c r="E67" s="15">
        <v>42612.421678240738</v>
      </c>
      <c r="F67" s="15">
        <v>42612.427384259259</v>
      </c>
      <c r="G67" s="7">
        <v>1</v>
      </c>
      <c r="H67" s="15" t="s">
        <v>188</v>
      </c>
      <c r="I67" s="15">
        <v>42612.452106481483</v>
      </c>
      <c r="J67" s="7">
        <v>0</v>
      </c>
      <c r="K67" s="132" t="str">
        <f t="shared" si="0"/>
        <v>4011/4012</v>
      </c>
      <c r="L67" s="24" t="str">
        <f>VLOOKUP(A67,'Trips&amp;Operators'!$C$1:$E$10000,3,FALSE)</f>
        <v>GEBRETEKLE</v>
      </c>
      <c r="M67" s="6">
        <f t="shared" si="1"/>
        <v>2.4722222224227153E-2</v>
      </c>
      <c r="N67" s="7">
        <f t="shared" si="23"/>
        <v>35.6000000028871</v>
      </c>
      <c r="O67" s="7"/>
      <c r="P67" s="7"/>
      <c r="Q67" s="25"/>
      <c r="R67" s="25"/>
      <c r="S67" s="37">
        <f t="shared" si="24"/>
        <v>1</v>
      </c>
      <c r="T67" s="52" t="str">
        <f t="shared" si="3"/>
        <v>NorthBound</v>
      </c>
      <c r="U67" s="126">
        <f>IF(AG67="EC",COUNTIFS(Variables!$M$2:$M$19,IF(T67="NorthBound","&gt;=","&lt;=")&amp;Y67,Variables!$M$2:$M$19,IF(T67="NorthBound","&lt;=","&gt;=")&amp;Z67),COUNTIFS(Variables!$P$2:$P$19,IF(T67="NorthBound","&gt;=","&lt;=")&amp;Y67,Variables!$P$2:$P$19,IF(T67="NorthBound","&lt;=","&gt;=")&amp;Z67))</f>
        <v>12</v>
      </c>
      <c r="V67" s="106" t="str">
        <f t="shared" si="4"/>
        <v>https://search-rtdc-monitor-bjffxe2xuh6vdkpspy63sjmuny.us-east-1.es.amazonaws.com/_plugin/kibana/#/discover/Steve-Slow-Train-Analysis-(2080s-and-2083s)?_g=(refreshInterval:(display:Off,section:0,value:0),time:(from:'2016-08-30 09:07:13-0600',mode:absolute,to:'2016-08-30 11: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67" s="54" t="str">
        <f t="shared" si="5"/>
        <v>N</v>
      </c>
      <c r="X67" s="120">
        <f t="shared" si="25"/>
        <v>1</v>
      </c>
      <c r="Y67" s="69">
        <f t="shared" si="6"/>
        <v>4.4600000000000001E-2</v>
      </c>
      <c r="Z67" s="69">
        <f t="shared" si="7"/>
        <v>23.332000000000001</v>
      </c>
      <c r="AA67" s="69">
        <f t="shared" si="8"/>
        <v>23.287400000000002</v>
      </c>
      <c r="AB67" s="66" t="e">
        <f>VLOOKUP(A67,Enforcements!$C$7:$J$21,8,0)</f>
        <v>#N/A</v>
      </c>
      <c r="AC67" s="62" t="e">
        <f>VLOOKUP(A67,Enforcements!$C$7:$E$21,3,0)</f>
        <v>#N/A</v>
      </c>
      <c r="AD67" s="63" t="str">
        <f t="shared" si="9"/>
        <v>0153-30</v>
      </c>
      <c r="AE67" s="99" t="str">
        <f t="shared" si="1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67" s="96" t="str">
        <f t="shared" si="11"/>
        <v>"C:\Program Files (x86)\AstroGrep\AstroGrep.exe" /spath="%USERPROFILE%\AppData\Local\Temp\OnboardLogs" /stypes="*4011*20160830*" /stext=" 16:.+((SYSTEM_STATE.+slice.+state.+changed )|(ment ac)|(system.+state.+changed )|(\|lc)|(penalty)|(\[timeout)|(PRM\|1\|D)|(kpr)|(kdp))" /e /r /s</v>
      </c>
      <c r="AG67" s="1" t="str">
        <f t="shared" si="12"/>
        <v>EC</v>
      </c>
      <c r="AH67" s="100" t="str">
        <f t="shared" si="15"/>
        <v>"%USERPROFILE%\Documents\GitHub\eaglep3\Utilities\RefineRTDCRunTimes.py" --tripid 153-30 --locoid 4011 --swversion DE.1.0.7.0 --startMP 204:446 --initTime 2016-08-30T10:07:13 --startdatetime 2016-08-30T10:15:26 --delay 1 --endMP 204:233320 --enddatetime 2016-08-30T10:51:02 --enforcementcount 0 &gt;&gt;C:\Users\stu\Documents\GitHub\eaglep3-reporting\EC\2016-08-30-refined-times.txt</v>
      </c>
      <c r="AI67" s="149" t="str">
        <f t="shared" si="16"/>
        <v>echo {"issue":{"subject":"","project_id":79,"tracker_id":40,"status_id":1,"priority_id":2,"assigned_to_id":23,"start_date":"2016-08-30","description":"","custom_fields":[{"id":1,"name":"Subdivision","value":"EC"},{"id":4,"name":"Milepost","value":"23.2874"},{"id":17,"name":"Train ID","value":"153-30"},{"id":16,"name":"Locomotive ID","value":"4011"},{"id":130,"name":"Impact","value":""},{"id":150,"name":"Time of Event (Mountain Time)","value":"10:51:02"},{"id":151,"name":"Denver Issue ID","value":""},{"id":178,"name":"Operational Impact","value":"Yes"},{"id":179,"name":"Denver Segment Assigned","value":""}]}} | curl -X POST -H "Content-Type: application/json" -H "X-Redmine-API-Key: d6333d4a04012a730768444271f8ca06482dae87" https://secure.xorail.net/redmine/issues.json --data @-</v>
      </c>
      <c r="AJ67" s="55"/>
      <c r="AK67" s="55"/>
      <c r="AL67" s="55"/>
    </row>
    <row r="68" spans="1:38" s="1" customFormat="1" x14ac:dyDescent="0.25">
      <c r="A68" s="39" t="s">
        <v>366</v>
      </c>
      <c r="B68" s="7">
        <v>4012</v>
      </c>
      <c r="C68" s="24" t="s">
        <v>113</v>
      </c>
      <c r="D68" s="24" t="s">
        <v>606</v>
      </c>
      <c r="E68" s="15">
        <v>42612.477569444447</v>
      </c>
      <c r="F68" s="15">
        <v>42612.478530092594</v>
      </c>
      <c r="G68" s="7">
        <v>1</v>
      </c>
      <c r="H68" s="15" t="s">
        <v>89</v>
      </c>
      <c r="I68" s="15">
        <v>42612.495439814818</v>
      </c>
      <c r="J68" s="7">
        <v>0</v>
      </c>
      <c r="K68" s="132" t="str">
        <f t="shared" si="0"/>
        <v>4011/4012</v>
      </c>
      <c r="L68" s="24" t="str">
        <f>VLOOKUP(A68,'Trips&amp;Operators'!$C$1:$E$10000,3,FALSE)</f>
        <v>GEBRETEKLE</v>
      </c>
      <c r="M68" s="6">
        <f t="shared" si="1"/>
        <v>1.6909722224227153E-2</v>
      </c>
      <c r="N68" s="7"/>
      <c r="O68" s="7"/>
      <c r="P68" s="7">
        <f>24*60*SUM($M68:$M69)</f>
        <v>48.7000000057742</v>
      </c>
      <c r="Q68" s="25"/>
      <c r="R68" s="25" t="s">
        <v>731</v>
      </c>
      <c r="S68" s="37">
        <f>SUM(U68:U69)/IF(AG68="EC",12,1)</f>
        <v>1</v>
      </c>
      <c r="T68" s="52" t="str">
        <f t="shared" si="3"/>
        <v>Southbound</v>
      </c>
      <c r="U68" s="126">
        <f>IF(AG68="EC",COUNTIFS(Variables!$M$2:$M$19,IF(T68="NorthBound","&gt;=","&lt;=")&amp;Y68,Variables!$M$2:$M$19,IF(T68="NorthBound","&lt;=","&gt;=")&amp;Z68),COUNTIFS(Variables!$P$2:$P$19,IF(T68="NorthBound","&gt;=","&lt;=")&amp;Y68,Variables!$P$2:$P$19,IF(T68="NorthBound","&lt;=","&gt;=")&amp;Z68))</f>
        <v>12</v>
      </c>
      <c r="V68" s="106" t="str">
        <f t="shared" si="4"/>
        <v>https://search-rtdc-monitor-bjffxe2xuh6vdkpspy63sjmuny.us-east-1.es.amazonaws.com/_plugin/kibana/#/discover/Steve-Slow-Train-Analysis-(2080s-and-2083s)?_g=(refreshInterval:(display:Off,section:0,value:0),time:(from:'2016-08-30 10:27:42-0600',mode:absolute,to:'2016-08-30 12:53: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68" s="54" t="str">
        <f t="shared" si="5"/>
        <v>Y</v>
      </c>
      <c r="X68" s="120">
        <f t="shared" si="25"/>
        <v>1</v>
      </c>
      <c r="Y68" s="69">
        <f t="shared" si="6"/>
        <v>12.7852</v>
      </c>
      <c r="Z68" s="69">
        <f t="shared" si="7"/>
        <v>1.43E-2</v>
      </c>
      <c r="AA68" s="69">
        <f t="shared" si="8"/>
        <v>12.770899999999999</v>
      </c>
      <c r="AB68" s="66">
        <f>VLOOKUP(A68,Enforcements!$C$7:$J$21,8,0)</f>
        <v>191723</v>
      </c>
      <c r="AC68" s="62" t="str">
        <f>VLOOKUP(A68,Enforcements!$C$7:$E$21,3,0)</f>
        <v>SIGNAL</v>
      </c>
      <c r="AD68" s="63" t="str">
        <f t="shared" si="9"/>
        <v>0154-30</v>
      </c>
      <c r="AE68" s="99" t="str">
        <f t="shared" si="1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68" s="96" t="str">
        <f t="shared" si="11"/>
        <v>"C:\Program Files (x86)\AstroGrep\AstroGrep.exe" /spath="%USERPROFILE%\AppData\Local\Temp\OnboardLogs" /stypes="*4012*20160830*" /stext=" 17:.+((SYSTEM_STATE.+slice.+state.+changed )|(ment ac)|(system.+state.+changed )|(\|lc)|(penalty)|(\[timeout)|(PRM\|1\|D)|(kpr)|(kdp))" /e /r /s</v>
      </c>
      <c r="AG68" s="1" t="str">
        <f t="shared" si="12"/>
        <v>EC</v>
      </c>
      <c r="AH68" s="100" t="str">
        <f t="shared" si="15"/>
        <v>"%USERPROFILE%\Documents\GitHub\eaglep3\Utilities\RefineRTDCRunTimes.py" --tripid 154-30 --locoid 4012 --swversion DE.1.0.7.0 --startMP 204:127852 --initTime 2016-08-30T11:27:42 --startdatetime 2016-08-30T11:29:05 --delay 1 --endMP 204:143 --enddatetime 2016-08-30T11:53:26 --enforcementcount 0 &gt;&gt;C:\Users\stu\Documents\GitHub\eaglep3-reporting\EC\2016-08-30-refined-times.txt</v>
      </c>
      <c r="AI68" s="149" t="str">
        <f t="shared" si="16"/>
        <v>echo {"issue":{"subject":"TMDS or dispatcher issue - no clear requests sent to Pena 2S","project_id":79,"tracker_id":40,"status_id":1,"priority_id":2,"assigned_to_id":23,"start_date":"2016-08-30","description":"Train 153-30 approached Pena 2S around 11:16. Signal was STOP and stayed that way for a long time. Train was talked past signal. In fact, no clear controls were sent to Pena 2S for the entire 11:00-11:59 timeframe. Signals 2N and 4S, however, were cleared and driven past several times during this same timeframe. Need help looking into TMDS logs to see if there were any routing issues, or was it simply inefficient dispatching?","custom_fields":[{"id":1,"name":"Subdivision","value":"EC"},{"id":4,"name":"Milepost","value":"12.7709"},{"id":17,"name":"Train ID","value":"154-30"},{"id":16,"name":"Locomotive ID","value":"4012"},{"id":130,"name":"Impact","value":"Unexpected Cut-Out or Disengaged"},{"id":150,"name":"Time of Event (Mountain Time)","value":"11:53:26"},{"id":151,"name":"Denver Issue ID","value":""},{"id":178,"name":"Operational Impact","value":"Yes"},{"id":179,"name":"Denver Segment Assigned","value":"STMS"}]}} | curl -X POST -H "Content-Type: application/json" -H "X-Redmine-API-Key: d6333d4a04012a730768444271f8ca06482dae87" https://secure.xorail.net/redmine/issues.json --data @-</v>
      </c>
      <c r="AJ68" s="55" t="s">
        <v>737</v>
      </c>
      <c r="AK68" s="55" t="s">
        <v>207</v>
      </c>
      <c r="AL68" s="55" t="s">
        <v>210</v>
      </c>
    </row>
    <row r="69" spans="1:38" s="1" customFormat="1" x14ac:dyDescent="0.25">
      <c r="A69" s="39" t="s">
        <v>366</v>
      </c>
      <c r="B69" s="7">
        <v>4012</v>
      </c>
      <c r="C69" s="24" t="s">
        <v>113</v>
      </c>
      <c r="D69" s="24" t="s">
        <v>229</v>
      </c>
      <c r="E69" s="15">
        <v>42612.463020833333</v>
      </c>
      <c r="F69" s="15">
        <v>42612.478530092594</v>
      </c>
      <c r="G69" s="7">
        <v>1</v>
      </c>
      <c r="H69" s="15" t="s">
        <v>607</v>
      </c>
      <c r="I69" s="15">
        <v>42612.495439814818</v>
      </c>
      <c r="J69" s="7">
        <v>0</v>
      </c>
      <c r="K69" s="132" t="str">
        <f t="shared" si="0"/>
        <v>4011/4012</v>
      </c>
      <c r="L69" s="24" t="str">
        <f>VLOOKUP(A69,'Trips&amp;Operators'!$C$1:$E$10000,3,FALSE)</f>
        <v>GEBRETEKLE</v>
      </c>
      <c r="M69" s="6">
        <f t="shared" si="1"/>
        <v>1.6909722224227153E-2</v>
      </c>
      <c r="N69" s="7"/>
      <c r="O69" s="7"/>
      <c r="P69" s="7"/>
      <c r="Q69" s="25"/>
      <c r="R69" s="25"/>
      <c r="S69" s="37"/>
      <c r="T69" s="52" t="str">
        <f t="shared" si="3"/>
        <v>Southbound</v>
      </c>
      <c r="U69" s="126">
        <f>IF(AG69="EC",COUNTIFS(Variables!$M$2:$M$19,IF(T69="NorthBound","&gt;=","&lt;=")&amp;Y69,Variables!$M$2:$M$19,IF(T69="NorthBound","&lt;=","&gt;=")&amp;Z69),COUNTIFS(Variables!$P$2:$P$19,IF(T69="NorthBound","&gt;=","&lt;=")&amp;Y69,Variables!$P$2:$P$19,IF(T69="NorthBound","&lt;=","&gt;=")&amp;Z69))</f>
        <v>0</v>
      </c>
      <c r="V69" s="106" t="str">
        <f t="shared" si="4"/>
        <v>https://search-rtdc-monitor-bjffxe2xuh6vdkpspy63sjmuny.us-east-1.es.amazonaws.com/_plugin/kibana/#/discover/Steve-Slow-Train-Analysis-(2080s-and-2083s)?_g=(refreshInterval:(display:Off,section:0,value:0),time:(from:'2016-08-30 10:06:45-0600',mode:absolute,to:'2016-08-30 12:53: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69" s="54" t="str">
        <f t="shared" si="5"/>
        <v>Y</v>
      </c>
      <c r="X69" s="120">
        <f t="shared" si="25"/>
        <v>0</v>
      </c>
      <c r="Y69" s="69">
        <f t="shared" si="6"/>
        <v>23.297999999999998</v>
      </c>
      <c r="Z69" s="69">
        <f t="shared" si="7"/>
        <v>19.054600000000001</v>
      </c>
      <c r="AA69" s="69">
        <f t="shared" si="8"/>
        <v>4.2433999999999976</v>
      </c>
      <c r="AB69" s="66">
        <f>VLOOKUP(A69,Enforcements!$C$7:$J$21,8,0)</f>
        <v>191723</v>
      </c>
      <c r="AC69" s="62" t="str">
        <f>VLOOKUP(A69,Enforcements!$C$7:$E$21,3,0)</f>
        <v>SIGNAL</v>
      </c>
      <c r="AD69" s="63" t="str">
        <f t="shared" si="9"/>
        <v>0154-30</v>
      </c>
      <c r="AE69" s="99" t="str">
        <f t="shared" si="1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69" s="96" t="str">
        <f t="shared" si="11"/>
        <v>"C:\Program Files (x86)\AstroGrep\AstroGrep.exe" /spath="%USERPROFILE%\AppData\Local\Temp\OnboardLogs" /stypes="*4012*20160830*" /stext=" 17:.+((SYSTEM_STATE.+slice.+state.+changed )|(ment ac)|(system.+state.+changed )|(\|lc)|(penalty)|(\[timeout)|(PRM\|1\|D)|(kpr)|(kdp))" /e /r /s</v>
      </c>
      <c r="AG69" s="1" t="str">
        <f t="shared" si="12"/>
        <v>EC</v>
      </c>
      <c r="AH69" s="100" t="str">
        <f t="shared" si="15"/>
        <v>"%USERPROFILE%\Documents\GitHub\eaglep3\Utilities\RefineRTDCRunTimes.py" --tripid 154-30 --locoid 4012 --swversion DE.1.0.7.0 --startMP 204:232980 --initTime 2016-08-30T11:06:45 --startdatetime 2016-08-30T11:29:05 --delay 1 --endMP 204:190546 --enddatetime 2016-08-30T11:53:26 --enforcementcount 0 &gt;&gt;C:\Users\stu\Documents\GitHub\eaglep3-reporting\EC\2016-08-30-refined-times.txt</v>
      </c>
      <c r="AI69" s="149" t="str">
        <f t="shared" si="16"/>
        <v>echo {"issue":{"subject":"","project_id":79,"tracker_id":40,"status_id":1,"priority_id":2,"assigned_to_id":23,"start_date":"2016-08-30","description":"","custom_fields":[{"id":1,"name":"Subdivision","value":"EC"},{"id":4,"name":"Milepost","value":"4.2434"},{"id":17,"name":"Train ID","value":"154-30"},{"id":16,"name":"Locomotive ID","value":"4012"},{"id":130,"name":"Impact","value":""},{"id":150,"name":"Time of Event (Mountain Time)","value":"11:53:26"},{"id":151,"name":"Denver Issue ID","value":""},{"id":178,"name":"Operational Impact","value":"Yes"},{"id":179,"name":"Denver Segment Assigned","value":""}]}} | curl -X POST -H "Content-Type: application/json" -H "X-Redmine-API-Key: d6333d4a04012a730768444271f8ca06482dae87" https://secure.xorail.net/redmine/issues.json --data @-</v>
      </c>
      <c r="AJ69" s="55"/>
      <c r="AK69" s="55"/>
      <c r="AL69" s="55"/>
    </row>
    <row r="70" spans="1:38" s="1" customFormat="1" x14ac:dyDescent="0.25">
      <c r="A70" s="39" t="s">
        <v>449</v>
      </c>
      <c r="B70" s="7">
        <v>4042</v>
      </c>
      <c r="C70" s="24" t="s">
        <v>113</v>
      </c>
      <c r="D70" s="24" t="s">
        <v>608</v>
      </c>
      <c r="E70" s="15">
        <v>42612.432129629633</v>
      </c>
      <c r="F70" s="15">
        <v>42612.438020833331</v>
      </c>
      <c r="G70" s="7">
        <v>1</v>
      </c>
      <c r="H70" s="15" t="s">
        <v>255</v>
      </c>
      <c r="I70" s="15">
        <v>42612.464479166665</v>
      </c>
      <c r="J70" s="7">
        <v>0</v>
      </c>
      <c r="K70" s="132" t="str">
        <f t="shared" si="0"/>
        <v>4041/4042</v>
      </c>
      <c r="L70" s="24" t="str">
        <f>VLOOKUP(A70,'Trips&amp;Operators'!$C$1:$E$10000,3,FALSE)</f>
        <v>STARKS</v>
      </c>
      <c r="M70" s="6">
        <f t="shared" si="1"/>
        <v>2.6458333333721384E-2</v>
      </c>
      <c r="N70" s="7">
        <f>24*60*SUM($M70:$M70)</f>
        <v>38.100000000558794</v>
      </c>
      <c r="O70" s="7"/>
      <c r="P70" s="7"/>
      <c r="Q70" s="25"/>
      <c r="R70" s="25"/>
      <c r="S70" s="37">
        <f t="shared" ref="S70:S101" si="26">SUM(U70:U70)/IF(AG70="EC",12,1)</f>
        <v>1</v>
      </c>
      <c r="T70" s="52" t="str">
        <f t="shared" si="3"/>
        <v>NorthBound</v>
      </c>
      <c r="U70" s="126">
        <f>IF(AG70="EC",COUNTIFS(Variables!$M$2:$M$19,IF(T70="NorthBound","&gt;=","&lt;=")&amp;Y70,Variables!$M$2:$M$19,IF(T70="NorthBound","&lt;=","&gt;=")&amp;Z70),COUNTIFS(Variables!$P$2:$P$19,IF(T70="NorthBound","&gt;=","&lt;=")&amp;Y70,Variables!$P$2:$P$19,IF(T70="NorthBound","&lt;=","&gt;=")&amp;Z70))</f>
        <v>12</v>
      </c>
      <c r="V70" s="106" t="str">
        <f t="shared" si="4"/>
        <v>https://search-rtdc-monitor-bjffxe2xuh6vdkpspy63sjmuny.us-east-1.es.amazonaws.com/_plugin/kibana/#/discover/Steve-Slow-Train-Analysis-(2080s-and-2083s)?_g=(refreshInterval:(display:Off,section:0,value:0),time:(from:'2016-08-30 09:22:16-0600',mode:absolute,to:'2016-08-30 12:08: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70" s="54" t="str">
        <f t="shared" si="5"/>
        <v>N</v>
      </c>
      <c r="X70" s="120">
        <f t="shared" si="25"/>
        <v>1</v>
      </c>
      <c r="Y70" s="69">
        <f t="shared" si="6"/>
        <v>4.7699999999999999E-2</v>
      </c>
      <c r="Z70" s="69">
        <f t="shared" si="7"/>
        <v>23.329499999999999</v>
      </c>
      <c r="AA70" s="69">
        <f t="shared" si="8"/>
        <v>23.2818</v>
      </c>
      <c r="AB70" s="66" t="e">
        <f>VLOOKUP(A70,Enforcements!$C$7:$J$21,8,0)</f>
        <v>#N/A</v>
      </c>
      <c r="AC70" s="62" t="e">
        <f>VLOOKUP(A70,Enforcements!$C$7:$E$21,3,0)</f>
        <v>#N/A</v>
      </c>
      <c r="AD70" s="63" t="str">
        <f t="shared" si="9"/>
        <v>0155-30</v>
      </c>
      <c r="AE70" s="99" t="str">
        <f t="shared" si="10"/>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70" s="96" t="str">
        <f t="shared" si="11"/>
        <v>"C:\Program Files (x86)\AstroGrep\AstroGrep.exe" /spath="%USERPROFILE%\AppData\Local\Temp\OnboardLogs" /stypes="*4042*20160830*" /stext=" 17:.+((SYSTEM_STATE.+slice.+state.+changed )|(ment ac)|(system.+state.+changed )|(\|lc)|(penalty)|(\[timeout)|(PRM\|1\|D)|(kpr)|(kdp))" /e /r /s</v>
      </c>
      <c r="AG70" s="1" t="str">
        <f t="shared" si="12"/>
        <v>EC</v>
      </c>
      <c r="AH70" s="100" t="str">
        <f t="shared" si="15"/>
        <v>"%USERPROFILE%\Documents\GitHub\eaglep3\Utilities\RefineRTDCRunTimes.py" --tripid 155-30 --locoid 4042 --swversion DE.1.0.7.0 --startMP 204:477 --initTime 2016-08-30T10:22:16 --startdatetime 2016-08-30T10:30:45 --delay 1 --endMP 204:233295 --enddatetime 2016-08-30T11:08:51 --enforcementcount 0 &gt;&gt;C:\Users\stu\Documents\GitHub\eaglep3-reporting\EC\2016-08-30-refined-times.txt</v>
      </c>
      <c r="AI70" s="149" t="str">
        <f t="shared" si="16"/>
        <v>echo {"issue":{"subject":"","project_id":79,"tracker_id":40,"status_id":1,"priority_id":2,"assigned_to_id":23,"start_date":"2016-08-30","description":"","custom_fields":[{"id":1,"name":"Subdivision","value":"EC"},{"id":4,"name":"Milepost","value":"23.2818"},{"id":17,"name":"Train ID","value":"155-30"},{"id":16,"name":"Locomotive ID","value":"4042"},{"id":130,"name":"Impact","value":""},{"id":150,"name":"Time of Event (Mountain Time)","value":"11:08:51"},{"id":151,"name":"Denver Issue ID","value":""},{"id":178,"name":"Operational Impact","value":"Yes"},{"id":179,"name":"Denver Segment Assigned","value":""}]}} | curl -X POST -H "Content-Type: application/json" -H "X-Redmine-API-Key: d6333d4a04012a730768444271f8ca06482dae87" https://secure.xorail.net/redmine/issues.json --data @-</v>
      </c>
      <c r="AJ70" s="55"/>
      <c r="AK70" s="55"/>
      <c r="AL70" s="55"/>
    </row>
    <row r="71" spans="1:38" s="1" customFormat="1" x14ac:dyDescent="0.25">
      <c r="A71" s="39" t="s">
        <v>456</v>
      </c>
      <c r="B71" s="7">
        <v>4041</v>
      </c>
      <c r="C71" s="24" t="s">
        <v>113</v>
      </c>
      <c r="D71" s="24" t="s">
        <v>327</v>
      </c>
      <c r="E71" s="15">
        <v>42612.474062499998</v>
      </c>
      <c r="F71" s="15">
        <v>42612.4768287037</v>
      </c>
      <c r="G71" s="7">
        <v>1</v>
      </c>
      <c r="H71" s="15" t="s">
        <v>167</v>
      </c>
      <c r="I71" s="15">
        <v>42612.506724537037</v>
      </c>
      <c r="J71" s="7">
        <v>0</v>
      </c>
      <c r="K71" s="132" t="str">
        <f t="shared" si="0"/>
        <v>4041/4042</v>
      </c>
      <c r="L71" s="24" t="str">
        <f>VLOOKUP(A71,'Trips&amp;Operators'!$C$1:$E$10000,3,FALSE)</f>
        <v>STARKS</v>
      </c>
      <c r="M71" s="6">
        <f t="shared" si="1"/>
        <v>2.9895833336922806E-2</v>
      </c>
      <c r="N71" s="7">
        <f>24*60*SUM($M71:$M71)</f>
        <v>43.05000000516884</v>
      </c>
      <c r="O71" s="7"/>
      <c r="P71" s="7"/>
      <c r="Q71" s="25"/>
      <c r="R71" s="25"/>
      <c r="S71" s="37">
        <f t="shared" si="26"/>
        <v>1</v>
      </c>
      <c r="T71" s="52" t="str">
        <f t="shared" si="3"/>
        <v>Southbound</v>
      </c>
      <c r="U71" s="126">
        <f>IF(AG71="EC",COUNTIFS(Variables!$M$2:$M$19,IF(T71="NorthBound","&gt;=","&lt;=")&amp;Y71,Variables!$M$2:$M$19,IF(T71="NorthBound","&lt;=","&gt;=")&amp;Z71),COUNTIFS(Variables!$P$2:$P$19,IF(T71="NorthBound","&gt;=","&lt;=")&amp;Y71,Variables!$P$2:$P$19,IF(T71="NorthBound","&lt;=","&gt;=")&amp;Z71))</f>
        <v>12</v>
      </c>
      <c r="V71" s="106" t="str">
        <f t="shared" si="4"/>
        <v>https://search-rtdc-monitor-bjffxe2xuh6vdkpspy63sjmuny.us-east-1.es.amazonaws.com/_plugin/kibana/#/discover/Steve-Slow-Train-Analysis-(2080s-and-2083s)?_g=(refreshInterval:(display:Off,section:0,value:0),time:(from:'2016-08-30 10:22:39-0600',mode:absolute,to:'2016-08-30 13:09: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71" s="54" t="str">
        <f t="shared" si="5"/>
        <v>N</v>
      </c>
      <c r="X71" s="120">
        <f t="shared" si="25"/>
        <v>1</v>
      </c>
      <c r="Y71" s="69">
        <f t="shared" si="6"/>
        <v>23.296399999999998</v>
      </c>
      <c r="Z71" s="69">
        <f t="shared" si="7"/>
        <v>1.52E-2</v>
      </c>
      <c r="AA71" s="69">
        <f t="shared" si="8"/>
        <v>23.281199999999998</v>
      </c>
      <c r="AB71" s="66" t="e">
        <f>VLOOKUP(A71,Enforcements!$C$7:$J$21,8,0)</f>
        <v>#N/A</v>
      </c>
      <c r="AC71" s="62" t="e">
        <f>VLOOKUP(A71,Enforcements!$C$7:$E$21,3,0)</f>
        <v>#N/A</v>
      </c>
      <c r="AD71" s="63" t="str">
        <f t="shared" si="9"/>
        <v>0156-30</v>
      </c>
      <c r="AE71" s="99" t="str">
        <f t="shared" si="1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71" s="96" t="str">
        <f t="shared" si="11"/>
        <v>"C:\Program Files (x86)\AstroGrep\AstroGrep.exe" /spath="%USERPROFILE%\AppData\Local\Temp\OnboardLogs" /stypes="*4041*20160830*" /stext=" 18:.+((SYSTEM_STATE.+slice.+state.+changed )|(ment ac)|(system.+state.+changed )|(\|lc)|(penalty)|(\[timeout)|(PRM\|1\|D)|(kpr)|(kdp))" /e /r /s</v>
      </c>
      <c r="AG71" s="1" t="str">
        <f t="shared" si="12"/>
        <v>EC</v>
      </c>
      <c r="AH71" s="100" t="str">
        <f t="shared" si="15"/>
        <v>"%USERPROFILE%\Documents\GitHub\eaglep3\Utilities\RefineRTDCRunTimes.py" --tripid 156-30 --locoid 4041 --swversion DE.1.0.7.0 --startMP 204:232964 --initTime 2016-08-30T11:22:39 --startdatetime 2016-08-30T11:26:38 --delay 1 --endMP 204:152 --enddatetime 2016-08-30T12:09:41 --enforcementcount 0 &gt;&gt;C:\Users\stu\Documents\GitHub\eaglep3-reporting\EC\2016-08-30-refined-times.txt</v>
      </c>
      <c r="AI71" s="149" t="str">
        <f t="shared" si="16"/>
        <v>echo {"issue":{"subject":"","project_id":79,"tracker_id":40,"status_id":1,"priority_id":2,"assigned_to_id":23,"start_date":"2016-08-30","description":"","custom_fields":[{"id":1,"name":"Subdivision","value":"EC"},{"id":4,"name":"Milepost","value":"23.2812"},{"id":17,"name":"Train ID","value":"156-30"},{"id":16,"name":"Locomotive ID","value":"4041"},{"id":130,"name":"Impact","value":""},{"id":150,"name":"Time of Event (Mountain Time)","value":"12:09:41"},{"id":151,"name":"Denver Issue ID","value":""},{"id":178,"name":"Operational Impact","value":"Yes"},{"id":179,"name":"Denver Segment Assigned","value":""}]}} | curl -X POST -H "Content-Type: application/json" -H "X-Redmine-API-Key: d6333d4a04012a730768444271f8ca06482dae87" https://secure.xorail.net/redmine/issues.json --data @-</v>
      </c>
      <c r="AJ71" s="55"/>
      <c r="AK71" s="55"/>
      <c r="AL71" s="55"/>
    </row>
    <row r="72" spans="1:38" s="1" customFormat="1" x14ac:dyDescent="0.25">
      <c r="A72" s="39" t="s">
        <v>452</v>
      </c>
      <c r="B72" s="7">
        <v>4040</v>
      </c>
      <c r="C72" s="24" t="s">
        <v>113</v>
      </c>
      <c r="D72" s="24" t="s">
        <v>297</v>
      </c>
      <c r="E72" s="15">
        <v>42612.444594907407</v>
      </c>
      <c r="F72" s="15">
        <v>42612.448206018518</v>
      </c>
      <c r="G72" s="7">
        <v>0</v>
      </c>
      <c r="H72" s="15" t="s">
        <v>263</v>
      </c>
      <c r="I72" s="15">
        <v>42612.473252314812</v>
      </c>
      <c r="J72" s="7">
        <v>0</v>
      </c>
      <c r="K72" s="132" t="str">
        <f t="shared" si="0"/>
        <v>4039/4040</v>
      </c>
      <c r="L72" s="24" t="str">
        <f>VLOOKUP(A72,'Trips&amp;Operators'!$C$1:$E$10000,3,FALSE)</f>
        <v>ROCHA</v>
      </c>
      <c r="M72" s="6">
        <f t="shared" si="1"/>
        <v>2.5046296294021886E-2</v>
      </c>
      <c r="N72" s="7">
        <f>24*60*SUM($M72:$M72)</f>
        <v>36.066666663391516</v>
      </c>
      <c r="O72" s="7"/>
      <c r="P72" s="7"/>
      <c r="Q72" s="25"/>
      <c r="R72" s="25"/>
      <c r="S72" s="37">
        <f t="shared" si="26"/>
        <v>1</v>
      </c>
      <c r="T72" s="52" t="str">
        <f t="shared" si="3"/>
        <v>NorthBound</v>
      </c>
      <c r="U72" s="126">
        <f>IF(AG72="EC",COUNTIFS(Variables!$M$2:$M$19,IF(T72="NorthBound","&gt;=","&lt;=")&amp;Y72,Variables!$M$2:$M$19,IF(T72="NorthBound","&lt;=","&gt;=")&amp;Z72),COUNTIFS(Variables!$P$2:$P$19,IF(T72="NorthBound","&gt;=","&lt;=")&amp;Y72,Variables!$P$2:$P$19,IF(T72="NorthBound","&lt;=","&gt;=")&amp;Z72))</f>
        <v>12</v>
      </c>
      <c r="V72" s="106" t="str">
        <f t="shared" si="4"/>
        <v>https://search-rtdc-monitor-bjffxe2xuh6vdkpspy63sjmuny.us-east-1.es.amazonaws.com/_plugin/kibana/#/discover/Steve-Slow-Train-Analysis-(2080s-and-2083s)?_g=(refreshInterval:(display:Off,section:0,value:0),time:(from:'2016-08-30 09:40:13-0600',mode:absolute,to:'2016-08-30 12:21: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72" s="54" t="str">
        <f t="shared" si="5"/>
        <v>N</v>
      </c>
      <c r="X72" s="120">
        <f t="shared" si="25"/>
        <v>1</v>
      </c>
      <c r="Y72" s="69">
        <f t="shared" si="6"/>
        <v>4.4600000000000001E-2</v>
      </c>
      <c r="Z72" s="69">
        <f t="shared" si="7"/>
        <v>23.329699999999999</v>
      </c>
      <c r="AA72" s="69">
        <f t="shared" si="8"/>
        <v>23.2851</v>
      </c>
      <c r="AB72" s="66" t="e">
        <f>VLOOKUP(A72,Enforcements!$C$7:$J$21,8,0)</f>
        <v>#N/A</v>
      </c>
      <c r="AC72" s="62" t="e">
        <f>VLOOKUP(A72,Enforcements!$C$7:$E$21,3,0)</f>
        <v>#N/A</v>
      </c>
      <c r="AD72" s="63" t="str">
        <f t="shared" si="9"/>
        <v>0157-30</v>
      </c>
      <c r="AE72" s="99" t="str">
        <f t="shared" si="1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72" s="96" t="str">
        <f t="shared" si="11"/>
        <v>"C:\Program Files (x86)\AstroGrep\AstroGrep.exe" /spath="%USERPROFILE%\AppData\Local\Temp\OnboardLogs" /stypes="*4040*20160830*" /stext=" 17:.+((SYSTEM_STATE.+slice.+state.+changed )|(ment ac)|(system.+state.+changed )|(\|lc)|(penalty)|(\[timeout)|(PRM\|1\|D)|(kpr)|(kdp))" /e /r /s</v>
      </c>
      <c r="AG72" s="1" t="str">
        <f t="shared" si="12"/>
        <v>EC</v>
      </c>
      <c r="AH72" s="100" t="str">
        <f t="shared" si="15"/>
        <v>"%USERPROFILE%\Documents\GitHub\eaglep3\Utilities\RefineRTDCRunTimes.py" --tripid 157-30 --locoid 4040 --swversion DE.1.0.7.0 --startMP 204:446 --initTime 2016-08-30T10:40:13 --startdatetime 2016-08-30T10:45:25 --delay 0 --endMP 204:233297 --enddatetime 2016-08-30T11:21:29 --enforcementcount 0 &gt;&gt;C:\Users\stu\Documents\GitHub\eaglep3-reporting\EC\2016-08-30-refined-times.txt</v>
      </c>
      <c r="AI72" s="149" t="str">
        <f t="shared" si="16"/>
        <v>echo {"issue":{"subject":"","project_id":79,"tracker_id":40,"status_id":1,"priority_id":2,"assigned_to_id":23,"start_date":"2016-08-30","description":"","custom_fields":[{"id":1,"name":"Subdivision","value":"EC"},{"id":4,"name":"Milepost","value":"23.2851"},{"id":17,"name":"Train ID","value":"157-30"},{"id":16,"name":"Locomotive ID","value":"4040"},{"id":130,"name":"Impact","value":""},{"id":150,"name":"Time of Event (Mountain Time)","value":"11:21:29"},{"id":151,"name":"Denver Issue ID","value":""},{"id":178,"name":"Operational Impact","value":"Yes"},{"id":179,"name":"Denver Segment Assigned","value":""}]}} | curl -X POST -H "Content-Type: application/json" -H "X-Redmine-API-Key: d6333d4a04012a730768444271f8ca06482dae87" https://secure.xorail.net/redmine/issues.json --data @-</v>
      </c>
      <c r="AJ72" s="55"/>
      <c r="AK72" s="55"/>
      <c r="AL72" s="55"/>
    </row>
    <row r="73" spans="1:38" s="1" customFormat="1" x14ac:dyDescent="0.25">
      <c r="A73" s="39" t="s">
        <v>368</v>
      </c>
      <c r="B73" s="7">
        <v>4039</v>
      </c>
      <c r="C73" s="24" t="s">
        <v>113</v>
      </c>
      <c r="D73" s="24" t="s">
        <v>230</v>
      </c>
      <c r="E73" s="15">
        <v>42612.47519675926</v>
      </c>
      <c r="F73" s="15">
        <v>42612.487245370372</v>
      </c>
      <c r="G73" s="7">
        <v>1</v>
      </c>
      <c r="H73" s="15" t="s">
        <v>152</v>
      </c>
      <c r="I73" s="15">
        <v>42612.514537037037</v>
      </c>
      <c r="J73" s="7">
        <v>0</v>
      </c>
      <c r="K73" s="132" t="str">
        <f t="shared" si="0"/>
        <v>4039/4040</v>
      </c>
      <c r="L73" s="24" t="str">
        <f>VLOOKUP(A73,'Trips&amp;Operators'!$C$1:$E$10000,3,FALSE)</f>
        <v>ROCHA</v>
      </c>
      <c r="M73" s="6">
        <f t="shared" si="1"/>
        <v>2.7291666665405501E-2</v>
      </c>
      <c r="N73" s="7">
        <f>24*60*SUM($M73:$M73)</f>
        <v>39.299999998183921</v>
      </c>
      <c r="O73" s="7"/>
      <c r="P73" s="7"/>
      <c r="Q73" s="25"/>
      <c r="R73" s="25"/>
      <c r="S73" s="37">
        <f t="shared" si="26"/>
        <v>1</v>
      </c>
      <c r="T73" s="52" t="str">
        <f t="shared" si="3"/>
        <v>Southbound</v>
      </c>
      <c r="U73" s="126">
        <f>IF(AG73="EC",COUNTIFS(Variables!$M$2:$M$19,IF(T73="NorthBound","&gt;=","&lt;=")&amp;Y73,Variables!$M$2:$M$19,IF(T73="NorthBound","&lt;=","&gt;=")&amp;Z73),COUNTIFS(Variables!$P$2:$P$19,IF(T73="NorthBound","&gt;=","&lt;=")&amp;Y73,Variables!$P$2:$P$19,IF(T73="NorthBound","&lt;=","&gt;=")&amp;Z73))</f>
        <v>12</v>
      </c>
      <c r="V73" s="106" t="str">
        <f t="shared" si="4"/>
        <v>https://search-rtdc-monitor-bjffxe2xuh6vdkpspy63sjmuny.us-east-1.es.amazonaws.com/_plugin/kibana/#/discover/Steve-Slow-Train-Analysis-(2080s-and-2083s)?_g=(refreshInterval:(display:Off,section:0,value:0),time:(from:'2016-08-30 10:24:17-0600',mode:absolute,to:'2016-08-30 13:20: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73" s="54" t="str">
        <f t="shared" si="5"/>
        <v>N</v>
      </c>
      <c r="X73" s="120">
        <f t="shared" si="25"/>
        <v>1</v>
      </c>
      <c r="Y73" s="69">
        <f t="shared" si="6"/>
        <v>23.297699999999999</v>
      </c>
      <c r="Z73" s="69">
        <f t="shared" si="7"/>
        <v>1.54E-2</v>
      </c>
      <c r="AA73" s="69">
        <f t="shared" si="8"/>
        <v>23.282299999999999</v>
      </c>
      <c r="AB73" s="66">
        <f>VLOOKUP(A73,Enforcements!$C$7:$J$21,8,0)</f>
        <v>224581</v>
      </c>
      <c r="AC73" s="62" t="str">
        <f>VLOOKUP(A73,Enforcements!$C$7:$E$21,3,0)</f>
        <v>PERMANENT SPEED RESTRICTION</v>
      </c>
      <c r="AD73" s="63" t="str">
        <f t="shared" si="9"/>
        <v>0158-30</v>
      </c>
      <c r="AE73" s="99" t="str">
        <f t="shared" si="10"/>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73" s="96" t="str">
        <f t="shared" si="11"/>
        <v>"C:\Program Files (x86)\AstroGrep\AstroGrep.exe" /spath="%USERPROFILE%\AppData\Local\Temp\OnboardLogs" /stypes="*4039*20160830*" /stext=" 18:.+((SYSTEM_STATE.+slice.+state.+changed )|(ment ac)|(system.+state.+changed )|(\|lc)|(penalty)|(\[timeout)|(PRM\|1\|D)|(kpr)|(kdp))" /e /r /s</v>
      </c>
      <c r="AG73" s="1" t="str">
        <f t="shared" si="12"/>
        <v>EC</v>
      </c>
      <c r="AH73" s="100" t="str">
        <f t="shared" si="15"/>
        <v>"%USERPROFILE%\Documents\GitHub\eaglep3\Utilities\RefineRTDCRunTimes.py" --tripid 158-30 --locoid 4039 --swversion DE.1.0.7.0 --startMP 204:232977 --initTime 2016-08-30T11:24:17 --startdatetime 2016-08-30T11:41:38 --delay 1 --endMP 204:154 --enddatetime 2016-08-30T12:20:56 --enforcementcount 0 &gt;&gt;C:\Users\stu\Documents\GitHub\eaglep3-reporting\EC\2016-08-30-refined-times.txt</v>
      </c>
      <c r="AI73" s="149" t="str">
        <f t="shared" si="16"/>
        <v>echo {"issue":{"subject":"","project_id":79,"tracker_id":40,"status_id":1,"priority_id":2,"assigned_to_id":23,"start_date":"2016-08-30","description":"","custom_fields":[{"id":1,"name":"Subdivision","value":"EC"},{"id":4,"name":"Milepost","value":"23.2823"},{"id":17,"name":"Train ID","value":"158-30"},{"id":16,"name":"Locomotive ID","value":"4039"},{"id":130,"name":"Impact","value":""},{"id":150,"name":"Time of Event (Mountain Time)","value":"12:20:56"},{"id":151,"name":"Denver Issue ID","value":""},{"id":178,"name":"Operational Impact","value":"Yes"},{"id":179,"name":"Denver Segment Assigned","value":""}]}} | curl -X POST -H "Content-Type: application/json" -H "X-Redmine-API-Key: d6333d4a04012a730768444271f8ca06482dae87" https://secure.xorail.net/redmine/issues.json --data @-</v>
      </c>
      <c r="AJ73" s="55"/>
      <c r="AK73" s="55"/>
      <c r="AL73" s="55"/>
    </row>
    <row r="74" spans="1:38" s="1" customFormat="1" x14ac:dyDescent="0.25">
      <c r="A74" s="39" t="s">
        <v>367</v>
      </c>
      <c r="B74" s="7">
        <v>4038</v>
      </c>
      <c r="C74" s="24" t="s">
        <v>113</v>
      </c>
      <c r="D74" s="24" t="s">
        <v>150</v>
      </c>
      <c r="E74" s="15">
        <v>42612.455671296295</v>
      </c>
      <c r="F74" s="15">
        <v>42612.45857638889</v>
      </c>
      <c r="G74" s="7">
        <v>1</v>
      </c>
      <c r="H74" s="15" t="s">
        <v>609</v>
      </c>
      <c r="I74" s="15">
        <v>42612.487210648149</v>
      </c>
      <c r="J74" s="7">
        <v>0</v>
      </c>
      <c r="K74" s="132" t="str">
        <f t="shared" si="0"/>
        <v>4037/4038</v>
      </c>
      <c r="L74" s="24" t="str">
        <f>VLOOKUP(A74,'Trips&amp;Operators'!$C$1:$E$10000,3,FALSE)</f>
        <v>BARTLETT</v>
      </c>
      <c r="M74" s="6">
        <f t="shared" si="1"/>
        <v>2.8634259258979E-2</v>
      </c>
      <c r="N74" s="7">
        <f>24*60*SUM($M74:$M74)</f>
        <v>41.23333333292976</v>
      </c>
      <c r="O74" s="7"/>
      <c r="P74" s="7"/>
      <c r="Q74" s="25"/>
      <c r="R74" s="25"/>
      <c r="S74" s="37">
        <f t="shared" si="26"/>
        <v>1</v>
      </c>
      <c r="T74" s="52" t="str">
        <f t="shared" si="3"/>
        <v>NorthBound</v>
      </c>
      <c r="U74" s="126">
        <f>IF(AG74="EC",COUNTIFS(Variables!$M$2:$M$19,IF(T74="NorthBound","&gt;=","&lt;=")&amp;Y74,Variables!$M$2:$M$19,IF(T74="NorthBound","&lt;=","&gt;=")&amp;Z74),COUNTIFS(Variables!$P$2:$P$19,IF(T74="NorthBound","&gt;=","&lt;=")&amp;Y74,Variables!$P$2:$P$19,IF(T74="NorthBound","&lt;=","&gt;=")&amp;Z74))</f>
        <v>12</v>
      </c>
      <c r="V74" s="106" t="str">
        <f t="shared" si="4"/>
        <v>https://search-rtdc-monitor-bjffxe2xuh6vdkpspy63sjmuny.us-east-1.es.amazonaws.com/_plugin/kibana/#/discover/Steve-Slow-Train-Analysis-(2080s-and-2083s)?_g=(refreshInterval:(display:Off,section:0,value:0),time:(from:'2016-08-30 09:56:10-0600',mode:absolute,to:'2016-08-30 12:41: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74" s="54" t="str">
        <f t="shared" si="5"/>
        <v>N</v>
      </c>
      <c r="X74" s="120">
        <f t="shared" si="25"/>
        <v>1</v>
      </c>
      <c r="Y74" s="69">
        <f t="shared" si="6"/>
        <v>4.5100000000000001E-2</v>
      </c>
      <c r="Z74" s="69">
        <f t="shared" si="7"/>
        <v>23.337199999999999</v>
      </c>
      <c r="AA74" s="69">
        <f t="shared" si="8"/>
        <v>23.292099999999998</v>
      </c>
      <c r="AB74" s="66" t="e">
        <f>VLOOKUP(A74,Enforcements!$C$7:$J$21,8,0)</f>
        <v>#N/A</v>
      </c>
      <c r="AC74" s="62" t="e">
        <f>VLOOKUP(A74,Enforcements!$C$7:$E$21,3,0)</f>
        <v>#N/A</v>
      </c>
      <c r="AD74" s="63" t="str">
        <f t="shared" si="9"/>
        <v>0159-30</v>
      </c>
      <c r="AE74" s="99" t="str">
        <f t="shared" si="10"/>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74" s="96" t="str">
        <f t="shared" si="11"/>
        <v>"C:\Program Files (x86)\AstroGrep\AstroGrep.exe" /spath="%USERPROFILE%\AppData\Local\Temp\OnboardLogs" /stypes="*4038*20160830*" /stext=" 17:.+((SYSTEM_STATE.+slice.+state.+changed )|(ment ac)|(system.+state.+changed )|(\|lc)|(penalty)|(\[timeout)|(PRM\|1\|D)|(kpr)|(kdp))" /e /r /s</v>
      </c>
      <c r="AG74" s="1" t="str">
        <f t="shared" si="12"/>
        <v>EC</v>
      </c>
      <c r="AH74" s="100" t="str">
        <f t="shared" si="15"/>
        <v>"%USERPROFILE%\Documents\GitHub\eaglep3\Utilities\RefineRTDCRunTimes.py" --tripid 159-30 --locoid 4038 --swversion DE.1.0.7.0 --startMP 204:451 --initTime 2016-08-30T10:56:10 --startdatetime 2016-08-30T11:00:21 --delay 1 --endMP 204:233372 --enddatetime 2016-08-30T11:41:35 --enforcementcount 0 &gt;&gt;C:\Users\stu\Documents\GitHub\eaglep3-reporting\EC\2016-08-30-refined-times.txt</v>
      </c>
      <c r="AI74" s="149" t="str">
        <f t="shared" si="16"/>
        <v>echo {"issue":{"subject":"","project_id":79,"tracker_id":40,"status_id":1,"priority_id":2,"assigned_to_id":23,"start_date":"2016-08-30","description":"","custom_fields":[{"id":1,"name":"Subdivision","value":"EC"},{"id":4,"name":"Milepost","value":"23.2921"},{"id":17,"name":"Train ID","value":"159-30"},{"id":16,"name":"Locomotive ID","value":"4038"},{"id":130,"name":"Impact","value":""},{"id":150,"name":"Time of Event (Mountain Time)","value":"11:41:35"},{"id":151,"name":"Denver Issue ID","value":""},{"id":178,"name":"Operational Impact","value":"Yes"},{"id":179,"name":"Denver Segment Assigned","value":""}]}} | curl -X POST -H "Content-Type: application/json" -H "X-Redmine-API-Key: d6333d4a04012a730768444271f8ca06482dae87" https://secure.xorail.net/redmine/issues.json --data @-</v>
      </c>
      <c r="AJ74" s="55"/>
      <c r="AK74" s="55"/>
      <c r="AL74" s="55"/>
    </row>
    <row r="75" spans="1:38" s="1" customFormat="1" x14ac:dyDescent="0.25">
      <c r="A75" s="39" t="s">
        <v>462</v>
      </c>
      <c r="B75" s="7">
        <v>4037</v>
      </c>
      <c r="C75" s="24" t="s">
        <v>113</v>
      </c>
      <c r="D75" s="24" t="s">
        <v>610</v>
      </c>
      <c r="E75" s="15">
        <v>42612.4922337963</v>
      </c>
      <c r="F75" s="15">
        <v>42612.497465277775</v>
      </c>
      <c r="G75" s="7">
        <v>3</v>
      </c>
      <c r="H75" s="15" t="s">
        <v>611</v>
      </c>
      <c r="I75" s="15">
        <v>42612.523715277777</v>
      </c>
      <c r="J75" s="7">
        <v>0</v>
      </c>
      <c r="K75" s="132" t="str">
        <f t="shared" si="0"/>
        <v>4037/4038</v>
      </c>
      <c r="L75" s="24" t="str">
        <f>VLOOKUP(A75,'Trips&amp;Operators'!$C$1:$E$10000,3,FALSE)</f>
        <v>BARTLETT</v>
      </c>
      <c r="M75" s="6">
        <f t="shared" si="1"/>
        <v>2.6250000002619345E-2</v>
      </c>
      <c r="N75" s="7"/>
      <c r="O75" s="7"/>
      <c r="P75" s="7">
        <f>24*60*SUM($M75:$M75)</f>
        <v>37.800000003771856</v>
      </c>
      <c r="Q75" s="25"/>
      <c r="R75" s="25" t="s">
        <v>736</v>
      </c>
      <c r="S75" s="37">
        <f t="shared" si="26"/>
        <v>1</v>
      </c>
      <c r="T75" s="52" t="str">
        <f t="shared" si="3"/>
        <v>Southbound</v>
      </c>
      <c r="U75" s="126">
        <f>IF(AG75="EC",COUNTIFS(Variables!$M$2:$M$19,IF(T75="NorthBound","&gt;=","&lt;=")&amp;Y75,Variables!$M$2:$M$19,IF(T75="NorthBound","&lt;=","&gt;=")&amp;Z75),COUNTIFS(Variables!$P$2:$P$19,IF(T75="NorthBound","&gt;=","&lt;=")&amp;Y75,Variables!$P$2:$P$19,IF(T75="NorthBound","&lt;=","&gt;=")&amp;Z75))</f>
        <v>12</v>
      </c>
      <c r="V75" s="106" t="str">
        <f t="shared" si="4"/>
        <v>https://search-rtdc-monitor-bjffxe2xuh6vdkpspy63sjmuny.us-east-1.es.amazonaws.com/_plugin/kibana/#/discover/Steve-Slow-Train-Analysis-(2080s-and-2083s)?_g=(refreshInterval:(display:Off,section:0,value:0),time:(from:'2016-08-30 10:48:49-0600',mode:absolute,to:'2016-08-30 13:34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75" s="54" t="str">
        <f t="shared" si="5"/>
        <v>Y</v>
      </c>
      <c r="X75" s="120">
        <f t="shared" si="25"/>
        <v>1</v>
      </c>
      <c r="Y75" s="69">
        <f t="shared" si="6"/>
        <v>23.302700000000002</v>
      </c>
      <c r="Z75" s="69">
        <f t="shared" si="7"/>
        <v>1.8765000000000001</v>
      </c>
      <c r="AA75" s="69">
        <f t="shared" si="8"/>
        <v>21.426200000000001</v>
      </c>
      <c r="AB75" s="66" t="e">
        <f>VLOOKUP(A75,Enforcements!$C$7:$J$21,8,0)</f>
        <v>#N/A</v>
      </c>
      <c r="AC75" s="62" t="e">
        <f>VLOOKUP(A75,Enforcements!$C$7:$E$21,3,0)</f>
        <v>#N/A</v>
      </c>
      <c r="AD75" s="63" t="str">
        <f t="shared" si="9"/>
        <v>0160-30</v>
      </c>
      <c r="AE75" s="99" t="str">
        <f t="shared" si="10"/>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75" s="96" t="str">
        <f t="shared" si="11"/>
        <v>"C:\Program Files (x86)\AstroGrep\AstroGrep.exe" /spath="%USERPROFILE%\AppData\Local\Temp\OnboardLogs" /stypes="*4037*20160830*" /stext=" 18:.+((SYSTEM_STATE.+slice.+state.+changed )|(ment ac)|(system.+state.+changed )|(\|lc)|(penalty)|(\[timeout)|(PRM\|1\|D)|(kpr)|(kdp))" /e /r /s</v>
      </c>
      <c r="AG75" s="1" t="str">
        <f t="shared" si="12"/>
        <v>EC</v>
      </c>
      <c r="AH75" s="100" t="str">
        <f t="shared" si="15"/>
        <v>"%USERPROFILE%\Documents\GitHub\eaglep3\Utilities\RefineRTDCRunTimes.py" --tripid 160-30 --locoid 4037 --swversion DE.1.0.7.0 --startMP 204:233027 --initTime 2016-08-30T11:48:49 --startdatetime 2016-08-30T11:56:21 --delay 3 --endMP 204:18765 --enddatetime 2016-08-30T12:34:09 --enforcementcount 0 &gt;&gt;C:\Users\stu\Documents\GitHub\eaglep3-reporting\EC\2016-08-30-refined-times.txt</v>
      </c>
      <c r="AI75" s="149" t="str">
        <f t="shared" si="16"/>
        <v>echo {"issue":{"subject":"Train was headed toward DUS Main 3","project_id":79,"tracker_id":40,"status_id":1,"priority_id":2,"assigned_to_id":23,"start_date":"2016-08-30","description":"","custom_fields":[{"id":1,"name":"Subdivision","value":"EC"},{"id":4,"name":"Milepost","value":"21.4262"},{"id":17,"name":"Train ID","value":"160-30"},{"id":16,"name":"Locomotive ID","value":"4037"},{"id":130,"name":"Impact","value":""},{"id":150,"name":"Time of Event (Mountain Time)","value":"12:34:09"},{"id":151,"name":"Denver Issue ID","value":""},{"id":178,"name":"Operational Impact","value":"Yes"},{"id":179,"name":"Denver Segment Assigned","value":""}]}} | curl -X POST -H "Content-Type: application/json" -H "X-Redmine-API-Key: d6333d4a04012a730768444271f8ca06482dae87" https://secure.xorail.net/redmine/issues.json --data @-</v>
      </c>
      <c r="AJ75" s="55"/>
      <c r="AK75" s="55"/>
      <c r="AL75" s="55"/>
    </row>
    <row r="76" spans="1:38" s="1" customFormat="1" x14ac:dyDescent="0.25">
      <c r="A76" s="39" t="s">
        <v>454</v>
      </c>
      <c r="B76" s="7">
        <v>4020</v>
      </c>
      <c r="C76" s="24" t="s">
        <v>113</v>
      </c>
      <c r="D76" s="24" t="s">
        <v>612</v>
      </c>
      <c r="E76" s="15">
        <v>42612.464398148149</v>
      </c>
      <c r="F76" s="15">
        <v>42612.469259259262</v>
      </c>
      <c r="G76" s="7">
        <v>1</v>
      </c>
      <c r="H76" s="15" t="s">
        <v>255</v>
      </c>
      <c r="I76" s="15">
        <v>42612.495763888888</v>
      </c>
      <c r="J76" s="7">
        <v>0</v>
      </c>
      <c r="K76" s="132" t="str">
        <f t="shared" si="0"/>
        <v>4019/4020</v>
      </c>
      <c r="L76" s="24" t="str">
        <f>VLOOKUP(A76,'Trips&amp;Operators'!$C$1:$E$10000,3,FALSE)</f>
        <v>SMITH</v>
      </c>
      <c r="M76" s="6">
        <f t="shared" si="1"/>
        <v>2.6504629626288079E-2</v>
      </c>
      <c r="N76" s="7">
        <f t="shared" ref="N76:N86" si="27">24*60*SUM($M76:$M76)</f>
        <v>38.166666661854833</v>
      </c>
      <c r="O76" s="7"/>
      <c r="P76" s="7"/>
      <c r="Q76" s="25"/>
      <c r="R76" s="25"/>
      <c r="S76" s="37">
        <f t="shared" si="26"/>
        <v>1</v>
      </c>
      <c r="T76" s="52" t="str">
        <f t="shared" si="3"/>
        <v>NorthBound</v>
      </c>
      <c r="U76" s="126">
        <f>IF(AG76="EC",COUNTIFS(Variables!$M$2:$M$19,IF(T76="NorthBound","&gt;=","&lt;=")&amp;Y76,Variables!$M$2:$M$19,IF(T76="NorthBound","&lt;=","&gt;=")&amp;Z76),COUNTIFS(Variables!$P$2:$P$19,IF(T76="NorthBound","&gt;=","&lt;=")&amp;Y76,Variables!$P$2:$P$19,IF(T76="NorthBound","&lt;=","&gt;=")&amp;Z76))</f>
        <v>12</v>
      </c>
      <c r="V76" s="106" t="str">
        <f t="shared" si="4"/>
        <v>https://search-rtdc-monitor-bjffxe2xuh6vdkpspy63sjmuny.us-east-1.es.amazonaws.com/_plugin/kibana/#/discover/Steve-Slow-Train-Analysis-(2080s-and-2083s)?_g=(refreshInterval:(display:Off,section:0,value:0),time:(from:'2016-08-30 10:08:44-0600',mode:absolute,to:'2016-08-30 12:53: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76" s="54" t="str">
        <f t="shared" si="5"/>
        <v>N</v>
      </c>
      <c r="X76" s="120">
        <f t="shared" si="25"/>
        <v>1</v>
      </c>
      <c r="Y76" s="69">
        <f t="shared" si="6"/>
        <v>6.0400000000000002E-2</v>
      </c>
      <c r="Z76" s="69">
        <f t="shared" si="7"/>
        <v>23.329499999999999</v>
      </c>
      <c r="AA76" s="69">
        <f t="shared" si="8"/>
        <v>23.269099999999998</v>
      </c>
      <c r="AB76" s="66" t="e">
        <f>VLOOKUP(A76,Enforcements!$C$7:$J$21,8,0)</f>
        <v>#N/A</v>
      </c>
      <c r="AC76" s="62" t="e">
        <f>VLOOKUP(A76,Enforcements!$C$7:$E$21,3,0)</f>
        <v>#N/A</v>
      </c>
      <c r="AD76" s="63" t="str">
        <f t="shared" si="9"/>
        <v>0161-30</v>
      </c>
      <c r="AE76" s="99" t="str">
        <f t="shared" si="1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76" s="96" t="str">
        <f t="shared" si="11"/>
        <v>"C:\Program Files (x86)\AstroGrep\AstroGrep.exe" /spath="%USERPROFILE%\AppData\Local\Temp\OnboardLogs" /stypes="*4020*20160830*" /stext=" 17:.+((SYSTEM_STATE.+slice.+state.+changed )|(ment ac)|(system.+state.+changed )|(\|lc)|(penalty)|(\[timeout)|(PRM\|1\|D)|(kpr)|(kdp))" /e /r /s</v>
      </c>
      <c r="AG76" s="1" t="str">
        <f t="shared" si="12"/>
        <v>EC</v>
      </c>
      <c r="AH76" s="100" t="str">
        <f t="shared" si="15"/>
        <v>"%USERPROFILE%\Documents\GitHub\eaglep3\Utilities\RefineRTDCRunTimes.py" --tripid 161-30 --locoid 4020 --swversion DE.1.0.7.0 --startMP 204:604 --initTime 2016-08-30T11:08:44 --startdatetime 2016-08-30T11:15:44 --delay 1 --endMP 204:233295 --enddatetime 2016-08-30T11:53:54 --enforcementcount 0 &gt;&gt;C:\Users\stu\Documents\GitHub\eaglep3-reporting\EC\2016-08-30-refined-times.txt</v>
      </c>
      <c r="AI76" s="149" t="str">
        <f t="shared" si="16"/>
        <v>echo {"issue":{"subject":"","project_id":79,"tracker_id":40,"status_id":1,"priority_id":2,"assigned_to_id":23,"start_date":"2016-08-30","description":"","custom_fields":[{"id":1,"name":"Subdivision","value":"EC"},{"id":4,"name":"Milepost","value":"23.2691"},{"id":17,"name":"Train ID","value":"161-30"},{"id":16,"name":"Locomotive ID","value":"4020"},{"id":130,"name":"Impact","value":""},{"id":150,"name":"Time of Event (Mountain Time)","value":"11:53:54"},{"id":151,"name":"Denver Issue ID","value":""},{"id":178,"name":"Operational Impact","value":"Yes"},{"id":179,"name":"Denver Segment Assigned","value":""}]}} | curl -X POST -H "Content-Type: application/json" -H "X-Redmine-API-Key: d6333d4a04012a730768444271f8ca06482dae87" https://secure.xorail.net/redmine/issues.json --data @-</v>
      </c>
      <c r="AJ76" s="55"/>
      <c r="AK76" s="55"/>
      <c r="AL76" s="55"/>
    </row>
    <row r="77" spans="1:38" x14ac:dyDescent="0.25">
      <c r="A77" s="39" t="s">
        <v>371</v>
      </c>
      <c r="B77" s="7">
        <v>4019</v>
      </c>
      <c r="C77" s="24" t="s">
        <v>113</v>
      </c>
      <c r="D77" s="24" t="s">
        <v>613</v>
      </c>
      <c r="E77" s="15">
        <v>42612.497361111113</v>
      </c>
      <c r="F77" s="15">
        <v>42612.5078587963</v>
      </c>
      <c r="G77" s="7">
        <v>1</v>
      </c>
      <c r="H77" s="15" t="s">
        <v>174</v>
      </c>
      <c r="I77" s="15">
        <v>42612.536666666667</v>
      </c>
      <c r="J77" s="7">
        <v>0</v>
      </c>
      <c r="K77" s="132" t="str">
        <f t="shared" ref="K77:K140" si="28">IF(ISEVEN(B77),(B77-1)&amp;"/"&amp;B77,B77&amp;"/"&amp;(B77+1))</f>
        <v>4019/4020</v>
      </c>
      <c r="L77" s="24" t="str">
        <f>VLOOKUP(A77,'Trips&amp;Operators'!$C$1:$E$10000,3,FALSE)</f>
        <v>SMITH</v>
      </c>
      <c r="M77" s="6">
        <f t="shared" ref="M77:M140" si="29">I77-F77</f>
        <v>2.880787036701804E-2</v>
      </c>
      <c r="N77" s="7">
        <f t="shared" si="27"/>
        <v>41.483333328505978</v>
      </c>
      <c r="O77" s="7"/>
      <c r="P77" s="7"/>
      <c r="Q77" s="25"/>
      <c r="R77" s="25"/>
      <c r="S77" s="37">
        <f t="shared" si="26"/>
        <v>1</v>
      </c>
      <c r="T77" s="52" t="str">
        <f t="shared" ref="T77:T140" si="30">IF(ISEVEN(LEFT(AD77,4)),"Southbound","NorthBound")</f>
        <v>Southbound</v>
      </c>
      <c r="U77" s="126">
        <f>IF(AG77="EC",COUNTIFS(Variables!$M$2:$M$19,IF(T77="NorthBound","&gt;=","&lt;=")&amp;Y77,Variables!$M$2:$M$19,IF(T77="NorthBound","&lt;=","&gt;=")&amp;Z77),COUNTIFS(Variables!$P$2:$P$19,IF(T77="NorthBound","&gt;=","&lt;=")&amp;Y77,Variables!$P$2:$P$19,IF(T77="NorthBound","&lt;=","&gt;=")&amp;Z77))</f>
        <v>12</v>
      </c>
      <c r="V77" s="106" t="str">
        <f t="shared" ref="V77:V140" si="31">"https://search-rtdc-monitor-bjffxe2xuh6vdkpspy63sjmuny.us-east-1.es.amazonaws.com/_plugin/kibana/#/discover/Steve-Slow-Train-Analysis-(2080s-and-2083s)?_g=(refreshInterval:(display:Off,section:0,value:0),time:(from:'"&amp;TEXT(E77-1/24,"yyyy-MM-DD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77&amp;"%22')),sort:!(Time,asc))"</f>
        <v>https://search-rtdc-monitor-bjffxe2xuh6vdkpspy63sjmuny.us-east-1.es.amazonaws.com/_plugin/kibana/#/discover/Steve-Slow-Train-Analysis-(2080s-and-2083s)?_g=(refreshInterval:(display:Off,section:0,value:0),time:(from:'2016-08-30 10:56:12-0600',mode:absolute,to:'2016-08-30 13:52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77" s="54" t="str">
        <f t="shared" ref="W77:W140" si="32">IF(AA77&lt;IF(AG77="EC",23,5.65),"Y","N")</f>
        <v>N</v>
      </c>
      <c r="X77" s="120">
        <f t="shared" si="25"/>
        <v>1</v>
      </c>
      <c r="Y77" s="69">
        <f t="shared" ref="Y77:Y140" si="33">RIGHT(D77,LEN(D77)-4)/10000</f>
        <v>23.298400000000001</v>
      </c>
      <c r="Z77" s="69">
        <f t="shared" ref="Z77:Z140" si="34">RIGHT(H77,LEN(H77)-4)/10000</f>
        <v>1.4500000000000001E-2</v>
      </c>
      <c r="AA77" s="69">
        <f t="shared" ref="AA77:AA140" si="35">ABS(Z77-Y77)</f>
        <v>23.283899999999999</v>
      </c>
      <c r="AB77" s="66" t="e">
        <f>VLOOKUP(A77,Enforcements!$C$7:$J$21,8,0)</f>
        <v>#N/A</v>
      </c>
      <c r="AC77" s="62" t="e">
        <f>VLOOKUP(A77,Enforcements!$C$7:$E$21,3,0)</f>
        <v>#N/A</v>
      </c>
      <c r="AD77" s="63" t="str">
        <f t="shared" ref="AD77:AD140" si="36">IF(LEN(A77)=6,"0"&amp;A77,A77)</f>
        <v>0162-30</v>
      </c>
      <c r="AE77" s="99" t="str">
        <f t="shared" ref="AE77:AE140" si="37">"aws s3 cp "&amp;s3_bucket&amp;"/RTDC"&amp;B77&amp;"/"&amp;TEXT(F77,"YYYY-MM-DD")&amp;"/ "&amp;search_path&amp;"\RTDC"&amp;B77&amp;"\"&amp;TEXT(F77,"YYYY-MM-DD")&amp;" --recursive &amp; """&amp;walkandungz&amp;""" "&amp;search_path&amp;"\RTDC"&amp;B77&amp;"\"&amp;TEXT(F77,"YYYY-MM-DD")
&amp;" &amp; "&amp;"aws s3 cp "&amp;s3_bucket&amp;"/RTDC"&amp;B77&amp;"/"&amp;TEXT(F77+1,"YYYY-MM-DD")&amp;"/ "&amp;search_path&amp;"\RTDC"&amp;B77&amp;"\"&amp;TEXT(F77+1,"YYYY-MM-DD")&amp;" --recursive &amp; """&amp;walkandungz&amp;""" "&amp;search_path&amp;"\RTDC"&amp;B77&amp;"\"&amp;TEXT(F77+1,"YYYY-MM-DD")</f>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77" s="96" t="str">
        <f t="shared" ref="AF77:AF140" si="38">astrogrep_path&amp;" /spath="&amp;search_path&amp;" /stypes=""*"&amp;B77&amp;"*"&amp;TEXT(I77-utc_offset/24,"YYYYMMDD")&amp;"*"" /stext="" "&amp;TEXT(I77-utc_offset/24,"HH")&amp;search_regexp&amp;""" /e /r /s"</f>
        <v>"C:\Program Files (x86)\AstroGrep\AstroGrep.exe" /spath="%USERPROFILE%\AppData\Local\Temp\OnboardLogs" /stypes="*4019*20160830*" /stext=" 18:.+((SYSTEM_STATE.+slice.+state.+changed )|(ment ac)|(system.+state.+changed )|(\|lc)|(penalty)|(\[timeout)|(PRM\|1\|D)|(kpr)|(kdp))" /e /r /s</v>
      </c>
      <c r="AG77" s="1" t="str">
        <f t="shared" ref="AG77:AG140" si="39">IFERROR(IF(VALUE(LEFT(AD77,2))&lt;=2,"EC",IF(OR(VALUE(LEFT(AD77,2))=8,VALUE(LEFT(AD77,2))=18),"NW","Other")),"Other")</f>
        <v>EC</v>
      </c>
      <c r="AH77" s="100" t="str">
        <f t="shared" si="15"/>
        <v>"%USERPROFILE%\Documents\GitHub\eaglep3\Utilities\RefineRTDCRunTimes.py" --tripid 162-30 --locoid 4019 --swversion DE.1.0.7.0 --startMP 204:232984 --initTime 2016-08-30T11:56:12 --startdatetime 2016-08-30T12:11:19 --delay 1 --endMP 204:145 --enddatetime 2016-08-30T12:52:48 --enforcementcount 0 &gt;&gt;C:\Users\stu\Documents\GitHub\eaglep3-reporting\EC\2016-08-30-refined-times.txt</v>
      </c>
      <c r="AI77" s="149" t="str">
        <f t="shared" si="16"/>
        <v>echo {"issue":{"subject":"","project_id":79,"tracker_id":40,"status_id":1,"priority_id":2,"assigned_to_id":23,"start_date":"2016-08-30","description":"","custom_fields":[{"id":1,"name":"Subdivision","value":"EC"},{"id":4,"name":"Milepost","value":"23.2839"},{"id":17,"name":"Train ID","value":"162-30"},{"id":16,"name":"Locomotive ID","value":"4019"},{"id":130,"name":"Impact","value":""},{"id":150,"name":"Time of Event (Mountain Time)","value":"12:52:48"},{"id":151,"name":"Denver Issue ID","value":""},{"id":178,"name":"Operational Impact","value":"Yes"},{"id":179,"name":"Denver Segment Assigned","value":""}]}} | curl -X POST -H "Content-Type: application/json" -H "X-Redmine-API-Key: d6333d4a04012a730768444271f8ca06482dae87" https://secure.xorail.net/redmine/issues.json --data @-</v>
      </c>
      <c r="AJ77" s="55"/>
      <c r="AK77" s="55"/>
      <c r="AL77" s="55"/>
    </row>
    <row r="78" spans="1:38" s="1" customFormat="1" x14ac:dyDescent="0.25">
      <c r="A78" s="39" t="s">
        <v>457</v>
      </c>
      <c r="B78" s="7">
        <v>4018</v>
      </c>
      <c r="C78" s="24" t="s">
        <v>113</v>
      </c>
      <c r="D78" s="24" t="s">
        <v>253</v>
      </c>
      <c r="E78" s="15">
        <v>42612.474710648145</v>
      </c>
      <c r="F78" s="15">
        <v>42612.480729166666</v>
      </c>
      <c r="G78" s="7">
        <v>2</v>
      </c>
      <c r="H78" s="15" t="s">
        <v>317</v>
      </c>
      <c r="I78" s="15">
        <v>42612.5075462963</v>
      </c>
      <c r="J78" s="7">
        <v>0</v>
      </c>
      <c r="K78" s="132" t="str">
        <f t="shared" si="28"/>
        <v>4017/4018</v>
      </c>
      <c r="L78" s="24" t="str">
        <f>VLOOKUP(A78,'Trips&amp;Operators'!$C$1:$E$10000,3,FALSE)</f>
        <v>MAHAN</v>
      </c>
      <c r="M78" s="6">
        <f t="shared" si="29"/>
        <v>2.6817129633855075E-2</v>
      </c>
      <c r="N78" s="7">
        <f t="shared" si="27"/>
        <v>38.616666672751307</v>
      </c>
      <c r="O78" s="7"/>
      <c r="P78" s="7"/>
      <c r="Q78" s="25"/>
      <c r="R78" s="25"/>
      <c r="S78" s="37">
        <f t="shared" si="26"/>
        <v>1</v>
      </c>
      <c r="T78" s="52" t="str">
        <f t="shared" si="30"/>
        <v>NorthBound</v>
      </c>
      <c r="U78" s="126">
        <f>IF(AG78="EC",COUNTIFS(Variables!$M$2:$M$19,IF(T78="NorthBound","&gt;=","&lt;=")&amp;Y78,Variables!$M$2:$M$19,IF(T78="NorthBound","&lt;=","&gt;=")&amp;Z78),COUNTIFS(Variables!$P$2:$P$19,IF(T78="NorthBound","&gt;=","&lt;=")&amp;Y78,Variables!$P$2:$P$19,IF(T78="NorthBound","&lt;=","&gt;=")&amp;Z78))</f>
        <v>12</v>
      </c>
      <c r="V78" s="106" t="str">
        <f t="shared" si="31"/>
        <v>https://search-rtdc-monitor-bjffxe2xuh6vdkpspy63sjmuny.us-east-1.es.amazonaws.com/_plugin/kibana/#/discover/Steve-Slow-Train-Analysis-(2080s-and-2083s)?_g=(refreshInterval:(display:Off,section:0,value:0),time:(from:'2016-08-30 10:23:35-0600',mode:absolute,to:'2016-08-30 13:10: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78" s="54" t="str">
        <f t="shared" si="32"/>
        <v>N</v>
      </c>
      <c r="X78" s="120">
        <f t="shared" si="25"/>
        <v>1</v>
      </c>
      <c r="Y78" s="69">
        <f t="shared" si="33"/>
        <v>4.58E-2</v>
      </c>
      <c r="Z78" s="69">
        <f t="shared" si="34"/>
        <v>23.331399999999999</v>
      </c>
      <c r="AA78" s="69">
        <f t="shared" si="35"/>
        <v>23.285599999999999</v>
      </c>
      <c r="AB78" s="66" t="e">
        <f>VLOOKUP(A78,Enforcements!$C$7:$J$21,8,0)</f>
        <v>#N/A</v>
      </c>
      <c r="AC78" s="62" t="e">
        <f>VLOOKUP(A78,Enforcements!$C$7:$E$21,3,0)</f>
        <v>#N/A</v>
      </c>
      <c r="AD78" s="63" t="str">
        <f t="shared" si="36"/>
        <v>0163-30</v>
      </c>
      <c r="AE78" s="99" t="str">
        <f t="shared" si="37"/>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78" s="96" t="str">
        <f t="shared" si="38"/>
        <v>"C:\Program Files (x86)\AstroGrep\AstroGrep.exe" /spath="%USERPROFILE%\AppData\Local\Temp\OnboardLogs" /stypes="*4018*20160830*" /stext=" 18:.+((SYSTEM_STATE.+slice.+state.+changed )|(ment ac)|(system.+state.+changed )|(\|lc)|(penalty)|(\[timeout)|(PRM\|1\|D)|(kpr)|(kdp))" /e /r /s</v>
      </c>
      <c r="AG78" s="1" t="str">
        <f t="shared" si="39"/>
        <v>EC</v>
      </c>
      <c r="AH78" s="100" t="str">
        <f t="shared" si="15"/>
        <v>"%USERPROFILE%\Documents\GitHub\eaglep3\Utilities\RefineRTDCRunTimes.py" --tripid 163-30 --locoid 4018 --swversion DE.1.0.7.0 --startMP 204:458 --initTime 2016-08-30T11:23:35 --startdatetime 2016-08-30T11:32:15 --delay 2 --endMP 204:233314 --enddatetime 2016-08-30T12:10:52 --enforcementcount 0 &gt;&gt;C:\Users\stu\Documents\GitHub\eaglep3-reporting\EC\2016-08-30-refined-times.txt</v>
      </c>
      <c r="AI78" s="149" t="str">
        <f t="shared" si="16"/>
        <v>echo {"issue":{"subject":"","project_id":79,"tracker_id":40,"status_id":1,"priority_id":2,"assigned_to_id":23,"start_date":"2016-08-30","description":"","custom_fields":[{"id":1,"name":"Subdivision","value":"EC"},{"id":4,"name":"Milepost","value":"23.2856"},{"id":17,"name":"Train ID","value":"163-30"},{"id":16,"name":"Locomotive ID","value":"4018"},{"id":130,"name":"Impact","value":""},{"id":150,"name":"Time of Event (Mountain Time)","value":"12:10:52"},{"id":151,"name":"Denver Issue ID","value":""},{"id":178,"name":"Operational Impact","value":"Yes"},{"id":179,"name":"Denver Segment Assigned","value":""}]}} | curl -X POST -H "Content-Type: application/json" -H "X-Redmine-API-Key: d6333d4a04012a730768444271f8ca06482dae87" https://secure.xorail.net/redmine/issues.json --data @-</v>
      </c>
      <c r="AJ78" s="55"/>
      <c r="AK78" s="55"/>
      <c r="AL78" s="55"/>
    </row>
    <row r="79" spans="1:38" s="1" customFormat="1" x14ac:dyDescent="0.25">
      <c r="A79" s="39" t="s">
        <v>467</v>
      </c>
      <c r="B79" s="7">
        <v>4017</v>
      </c>
      <c r="C79" s="24" t="s">
        <v>113</v>
      </c>
      <c r="D79" s="24" t="s">
        <v>259</v>
      </c>
      <c r="E79" s="15">
        <v>42612.5153587963</v>
      </c>
      <c r="F79" s="15">
        <v>42612.518379629626</v>
      </c>
      <c r="G79" s="7">
        <v>1</v>
      </c>
      <c r="H79" s="15" t="s">
        <v>319</v>
      </c>
      <c r="I79" s="15">
        <v>42612.548854166664</v>
      </c>
      <c r="J79" s="7">
        <v>0</v>
      </c>
      <c r="K79" s="132" t="str">
        <f t="shared" si="28"/>
        <v>4017/4018</v>
      </c>
      <c r="L79" s="24" t="str">
        <f>VLOOKUP(A79,'Trips&amp;Operators'!$C$1:$E$10000,3,FALSE)</f>
        <v>MAHAN</v>
      </c>
      <c r="M79" s="6">
        <f t="shared" si="29"/>
        <v>3.047453703766223E-2</v>
      </c>
      <c r="N79" s="7">
        <f t="shared" si="27"/>
        <v>43.883333334233612</v>
      </c>
      <c r="O79" s="7"/>
      <c r="P79" s="7"/>
      <c r="Q79" s="25"/>
      <c r="R79" s="25"/>
      <c r="S79" s="37">
        <f t="shared" si="26"/>
        <v>1</v>
      </c>
      <c r="T79" s="52" t="str">
        <f t="shared" si="30"/>
        <v>Southbound</v>
      </c>
      <c r="U79" s="126">
        <f>IF(AG79="EC",COUNTIFS(Variables!$M$2:$M$19,IF(T79="NorthBound","&gt;=","&lt;=")&amp;Y79,Variables!$M$2:$M$19,IF(T79="NorthBound","&lt;=","&gt;=")&amp;Z79),COUNTIFS(Variables!$P$2:$P$19,IF(T79="NorthBound","&gt;=","&lt;=")&amp;Y79,Variables!$P$2:$P$19,IF(T79="NorthBound","&lt;=","&gt;=")&amp;Z79))</f>
        <v>12</v>
      </c>
      <c r="V79" s="106" t="str">
        <f t="shared" si="31"/>
        <v>https://search-rtdc-monitor-bjffxe2xuh6vdkpspy63sjmuny.us-east-1.es.amazonaws.com/_plugin/kibana/#/discover/Steve-Slow-Train-Analysis-(2080s-and-2083s)?_g=(refreshInterval:(display:Off,section:0,value:0),time:(from:'2016-08-30 11:22:07-0600',mode:absolute,to:'2016-08-30 14:10: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79" s="54" t="str">
        <f t="shared" si="32"/>
        <v>N</v>
      </c>
      <c r="X79" s="120">
        <f t="shared" si="25"/>
        <v>1</v>
      </c>
      <c r="Y79" s="69">
        <f t="shared" si="33"/>
        <v>23.2974</v>
      </c>
      <c r="Z79" s="69">
        <f t="shared" si="34"/>
        <v>1.6299999999999999E-2</v>
      </c>
      <c r="AA79" s="69">
        <f t="shared" si="35"/>
        <v>23.281099999999999</v>
      </c>
      <c r="AB79" s="66" t="e">
        <f>VLOOKUP(A79,Enforcements!$C$7:$J$21,8,0)</f>
        <v>#N/A</v>
      </c>
      <c r="AC79" s="62" t="e">
        <f>VLOOKUP(A79,Enforcements!$C$7:$E$21,3,0)</f>
        <v>#N/A</v>
      </c>
      <c r="AD79" s="63" t="str">
        <f t="shared" si="36"/>
        <v>0164-30</v>
      </c>
      <c r="AE79" s="99" t="str">
        <f t="shared" si="37"/>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79" s="96" t="str">
        <f t="shared" si="38"/>
        <v>"C:\Program Files (x86)\AstroGrep\AstroGrep.exe" /spath="%USERPROFILE%\AppData\Local\Temp\OnboardLogs" /stypes="*4017*20160830*" /stext=" 19:.+((SYSTEM_STATE.+slice.+state.+changed )|(ment ac)|(system.+state.+changed )|(\|lc)|(penalty)|(\[timeout)|(PRM\|1\|D)|(kpr)|(kdp))" /e /r /s</v>
      </c>
      <c r="AG79" s="1" t="str">
        <f t="shared" si="39"/>
        <v>EC</v>
      </c>
      <c r="AH79" s="100" t="str">
        <f t="shared" ref="AH79:AH143" si="40">refinertdcruntimes&amp;" --tripid "&amp;A79&amp;" --locoid "&amp;B79&amp;" --swversion "&amp;C79&amp;" --startMP "&amp;D79&amp;" --initTime "&amp;TEXT(E79,"yyyy-mm-ddTHH:MM:SS")&amp;" --startdatetime "&amp;TEXT(F79,"yyyy-mm-ddTHH:MM:SS")&amp;" --delay "&amp;G79&amp;" --endMP "&amp;H79&amp;" --enddatetime "&amp;TEXT(I79,"yyyy-mm-ddTHH:MM:SS")&amp;" --enforcementcount "&amp;J79&amp;IF(outputrefinedruntimes," &gt;&gt;"&amp;RefinedRTDCRunTimesOutputFile,"")</f>
        <v>"%USERPROFILE%\Documents\GitHub\eaglep3\Utilities\RefineRTDCRunTimes.py" --tripid 164-30 --locoid 4017 --swversion DE.1.0.7.0 --startMP 204:232974 --initTime 2016-08-30T12:22:07 --startdatetime 2016-08-30T12:26:28 --delay 1 --endMP 204:163 --enddatetime 2016-08-30T13:10:21 --enforcementcount 0 &gt;&gt;C:\Users\stu\Documents\GitHub\eaglep3-reporting\EC\2016-08-30-refined-times.txt</v>
      </c>
      <c r="AI79" s="149" t="str">
        <f t="shared" ref="AI79:AI143" si="41">"echo {""issue"":{""subject"":"""&amp;R79&amp;""",""project_id"":79,""tracker_id"":40,""status_id"":"&amp;redmine_status&amp;",""priority_id"":"&amp;redmine_priority&amp;",""assigned_to_id"":"&amp;redmine_assignee&amp;",""start_date"":"""&amp;TEXT(I79,"YYYY-mm-dd")&amp;""",""description"":"""&amp;AJ79&amp;""",""custom_fields"":[{""id"":1,""name"":""Subdivision"",""value"":"""&amp;AG79&amp;"""},{""id"":4,""name"":""Milepost"",""value"":"""&amp;AA79&amp;"""},{""id"":17,""name"":""Train ID"",""value"":"""&amp;A79&amp;"""},{""id"":16,""name"":""Locomotive ID"",""value"":"""&amp;B79&amp;"""},{""id"":130,""name"":""Impact"",""value"":"""&amp;AK79&amp;"""},{""id"":150,""name"":""Time of Event (Mountain Time)"",""value"":"""&amp;TEXT(I79,"hh:mm:ss")&amp;"""},{""id"":151,""name"":""Denver Issue ID"",""value"":"""&amp;"""},{""id"":178,""name"":""Operational Impact"",""value"":"""&amp;redmine_op_impact&amp;"""},{""id"":179,""name"":""Denver Segment Assigned"",""value"":"""&amp;AL79&amp;"""}]}}"&amp;" | curl -X POST -H ""Content-Type: application/json"" -H ""X-Redmine-API-Key: "&amp;redm_api_key&amp;""" "&amp;redm_url&amp;" --data @-"</f>
        <v>echo {"issue":{"subject":"","project_id":79,"tracker_id":40,"status_id":1,"priority_id":2,"assigned_to_id":23,"start_date":"2016-08-30","description":"","custom_fields":[{"id":1,"name":"Subdivision","value":"EC"},{"id":4,"name":"Milepost","value":"23.2811"},{"id":17,"name":"Train ID","value":"164-30"},{"id":16,"name":"Locomotive ID","value":"4017"},{"id":130,"name":"Impact","value":""},{"id":150,"name":"Time of Event (Mountain Time)","value":"13:10:21"},{"id":151,"name":"Denver Issue ID","value":""},{"id":178,"name":"Operational Impact","value":"Yes"},{"id":179,"name":"Denver Segment Assigned","value":""}]}} | curl -X POST -H "Content-Type: application/json" -H "X-Redmine-API-Key: d6333d4a04012a730768444271f8ca06482dae87" https://secure.xorail.net/redmine/issues.json --data @-</v>
      </c>
      <c r="AJ79" s="55"/>
      <c r="AK79" s="55"/>
      <c r="AL79" s="55"/>
    </row>
    <row r="80" spans="1:38" s="1" customFormat="1" x14ac:dyDescent="0.25">
      <c r="A80" s="39" t="s">
        <v>460</v>
      </c>
      <c r="B80" s="7">
        <v>4029</v>
      </c>
      <c r="C80" s="24" t="s">
        <v>113</v>
      </c>
      <c r="D80" s="24" t="s">
        <v>125</v>
      </c>
      <c r="E80" s="15">
        <v>42612.487870370373</v>
      </c>
      <c r="F80" s="15">
        <v>42612.489803240744</v>
      </c>
      <c r="G80" s="7">
        <v>1</v>
      </c>
      <c r="H80" s="15" t="s">
        <v>323</v>
      </c>
      <c r="I80" s="15">
        <v>42612.516400462962</v>
      </c>
      <c r="J80" s="7">
        <v>0</v>
      </c>
      <c r="K80" s="132" t="str">
        <f t="shared" si="28"/>
        <v>4029/4030</v>
      </c>
      <c r="L80" s="24" t="str">
        <f>VLOOKUP(A80,'Trips&amp;Operators'!$C$1:$E$10000,3,FALSE)</f>
        <v>BROWN</v>
      </c>
      <c r="M80" s="6">
        <f t="shared" si="29"/>
        <v>2.6597222218697425E-2</v>
      </c>
      <c r="N80" s="7">
        <f t="shared" si="27"/>
        <v>38.299999994924292</v>
      </c>
      <c r="O80" s="7"/>
      <c r="P80" s="7"/>
      <c r="Q80" s="25"/>
      <c r="R80" s="25"/>
      <c r="S80" s="37">
        <f t="shared" si="26"/>
        <v>1</v>
      </c>
      <c r="T80" s="52" t="str">
        <f t="shared" si="30"/>
        <v>NorthBound</v>
      </c>
      <c r="U80" s="126">
        <f>IF(AG80="EC",COUNTIFS(Variables!$M$2:$M$19,IF(T80="NorthBound","&gt;=","&lt;=")&amp;Y80,Variables!$M$2:$M$19,IF(T80="NorthBound","&lt;=","&gt;=")&amp;Z80),COUNTIFS(Variables!$P$2:$P$19,IF(T80="NorthBound","&gt;=","&lt;=")&amp;Y80,Variables!$P$2:$P$19,IF(T80="NorthBound","&lt;=","&gt;=")&amp;Z80))</f>
        <v>12</v>
      </c>
      <c r="V80" s="106" t="str">
        <f t="shared" si="31"/>
        <v>https://search-rtdc-monitor-bjffxe2xuh6vdkpspy63sjmuny.us-east-1.es.amazonaws.com/_plugin/kibana/#/discover/Steve-Slow-Train-Analysis-(2080s-and-2083s)?_g=(refreshInterval:(display:Off,section:0,value:0),time:(from:'2016-08-30 10:42:32-0600',mode:absolute,to:'2016-08-30 13:23: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80" s="54" t="str">
        <f t="shared" si="32"/>
        <v>N</v>
      </c>
      <c r="X80" s="120">
        <f t="shared" si="25"/>
        <v>1</v>
      </c>
      <c r="Y80" s="69">
        <f t="shared" si="33"/>
        <v>4.5499999999999999E-2</v>
      </c>
      <c r="Z80" s="69">
        <f t="shared" si="34"/>
        <v>23.330300000000001</v>
      </c>
      <c r="AA80" s="69">
        <f t="shared" si="35"/>
        <v>23.284800000000001</v>
      </c>
      <c r="AB80" s="66" t="e">
        <f>VLOOKUP(A80,Enforcements!$C$7:$J$21,8,0)</f>
        <v>#N/A</v>
      </c>
      <c r="AC80" s="62" t="e">
        <f>VLOOKUP(A80,Enforcements!$C$7:$E$21,3,0)</f>
        <v>#N/A</v>
      </c>
      <c r="AD80" s="63" t="str">
        <f t="shared" si="36"/>
        <v>0165-30</v>
      </c>
      <c r="AE80" s="99" t="str">
        <f t="shared" si="37"/>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80" s="96" t="str">
        <f t="shared" si="38"/>
        <v>"C:\Program Files (x86)\AstroGrep\AstroGrep.exe" /spath="%USERPROFILE%\AppData\Local\Temp\OnboardLogs" /stypes="*4029*20160830*" /stext=" 18:.+((SYSTEM_STATE.+slice.+state.+changed )|(ment ac)|(system.+state.+changed )|(\|lc)|(penalty)|(\[timeout)|(PRM\|1\|D)|(kpr)|(kdp))" /e /r /s</v>
      </c>
      <c r="AG80" s="1" t="str">
        <f t="shared" si="39"/>
        <v>EC</v>
      </c>
      <c r="AH80" s="100" t="str">
        <f t="shared" si="40"/>
        <v>"%USERPROFILE%\Documents\GitHub\eaglep3\Utilities\RefineRTDCRunTimes.py" --tripid 165-30 --locoid 4029 --swversion DE.1.0.7.0 --startMP 204:455 --initTime 2016-08-30T11:42:32 --startdatetime 2016-08-30T11:45:19 --delay 1 --endMP 204:233303 --enddatetime 2016-08-30T12:23:37 --enforcementcount 0 &gt;&gt;C:\Users\stu\Documents\GitHub\eaglep3-reporting\EC\2016-08-30-refined-times.txt</v>
      </c>
      <c r="AI80" s="149" t="str">
        <f t="shared" si="41"/>
        <v>echo {"issue":{"subject":"","project_id":79,"tracker_id":40,"status_id":1,"priority_id":2,"assigned_to_id":23,"start_date":"2016-08-30","description":"","custom_fields":[{"id":1,"name":"Subdivision","value":"EC"},{"id":4,"name":"Milepost","value":"23.2848"},{"id":17,"name":"Train ID","value":"165-30"},{"id":16,"name":"Locomotive ID","value":"4029"},{"id":130,"name":"Impact","value":""},{"id":150,"name":"Time of Event (Mountain Time)","value":"12:23:37"},{"id":151,"name":"Denver Issue ID","value":""},{"id":178,"name":"Operational Impact","value":"Yes"},{"id":179,"name":"Denver Segment Assigned","value":""}]}} | curl -X POST -H "Content-Type: application/json" -H "X-Redmine-API-Key: d6333d4a04012a730768444271f8ca06482dae87" https://secure.xorail.net/redmine/issues.json --data @-</v>
      </c>
      <c r="AJ80" s="55"/>
      <c r="AK80" s="55"/>
      <c r="AL80" s="55"/>
    </row>
    <row r="81" spans="1:38" x14ac:dyDescent="0.25">
      <c r="A81" s="39" t="s">
        <v>370</v>
      </c>
      <c r="B81" s="7">
        <v>4030</v>
      </c>
      <c r="C81" s="24" t="s">
        <v>113</v>
      </c>
      <c r="D81" s="24" t="s">
        <v>333</v>
      </c>
      <c r="E81" s="15">
        <v>42612.522372685184</v>
      </c>
      <c r="F81" s="15">
        <v>42612.528657407405</v>
      </c>
      <c r="G81" s="7">
        <v>1</v>
      </c>
      <c r="H81" s="15" t="s">
        <v>89</v>
      </c>
      <c r="I81" s="15">
        <v>42612.556550925925</v>
      </c>
      <c r="J81" s="7">
        <v>0</v>
      </c>
      <c r="K81" s="132" t="str">
        <f t="shared" si="28"/>
        <v>4029/4030</v>
      </c>
      <c r="L81" s="24" t="str">
        <f>VLOOKUP(A81,'Trips&amp;Operators'!$C$1:$E$10000,3,FALSE)</f>
        <v>BROWN</v>
      </c>
      <c r="M81" s="6">
        <f t="shared" si="29"/>
        <v>2.789351851970423E-2</v>
      </c>
      <c r="N81" s="7">
        <f t="shared" si="27"/>
        <v>40.166666668374091</v>
      </c>
      <c r="O81" s="7"/>
      <c r="P81" s="7"/>
      <c r="Q81" s="25"/>
      <c r="R81" s="25"/>
      <c r="S81" s="37">
        <f t="shared" si="26"/>
        <v>1</v>
      </c>
      <c r="T81" s="52" t="str">
        <f t="shared" si="30"/>
        <v>Southbound</v>
      </c>
      <c r="U81" s="126">
        <f>IF(AG81="EC",COUNTIFS(Variables!$M$2:$M$19,IF(T81="NorthBound","&gt;=","&lt;=")&amp;Y81,Variables!$M$2:$M$19,IF(T81="NorthBound","&lt;=","&gt;=")&amp;Z81),COUNTIFS(Variables!$P$2:$P$19,IF(T81="NorthBound","&gt;=","&lt;=")&amp;Y81,Variables!$P$2:$P$19,IF(T81="NorthBound","&lt;=","&gt;=")&amp;Z81))</f>
        <v>12</v>
      </c>
      <c r="V81" s="106" t="str">
        <f t="shared" si="31"/>
        <v>https://search-rtdc-monitor-bjffxe2xuh6vdkpspy63sjmuny.us-east-1.es.amazonaws.com/_plugin/kibana/#/discover/Steve-Slow-Train-Analysis-(2080s-and-2083s)?_g=(refreshInterval:(display:Off,section:0,value:0),time:(from:'2016-08-30 11:32:13-0600',mode:absolute,to:'2016-08-30 14:21: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81" s="54" t="str">
        <f t="shared" si="32"/>
        <v>N</v>
      </c>
      <c r="X81" s="120">
        <f t="shared" si="25"/>
        <v>1</v>
      </c>
      <c r="Y81" s="69">
        <f t="shared" si="33"/>
        <v>23.298200000000001</v>
      </c>
      <c r="Z81" s="69">
        <f t="shared" si="34"/>
        <v>1.43E-2</v>
      </c>
      <c r="AA81" s="69">
        <f t="shared" si="35"/>
        <v>23.283900000000003</v>
      </c>
      <c r="AB81" s="66">
        <f>VLOOKUP(A81,Enforcements!$C$7:$J$21,8,0)</f>
        <v>191723</v>
      </c>
      <c r="AC81" s="62" t="str">
        <f>VLOOKUP(A81,Enforcements!$C$7:$E$21,3,0)</f>
        <v>SIGNAL</v>
      </c>
      <c r="AD81" s="63" t="str">
        <f t="shared" si="36"/>
        <v>0166-30</v>
      </c>
      <c r="AE81" s="99" t="str">
        <f t="shared" si="37"/>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81" s="96" t="str">
        <f t="shared" si="38"/>
        <v>"C:\Program Files (x86)\AstroGrep\AstroGrep.exe" /spath="%USERPROFILE%\AppData\Local\Temp\OnboardLogs" /stypes="*4030*20160830*" /stext=" 19:.+((SYSTEM_STATE.+slice.+state.+changed )|(ment ac)|(system.+state.+changed )|(\|lc)|(penalty)|(\[timeout)|(PRM\|1\|D)|(kpr)|(kdp))" /e /r /s</v>
      </c>
      <c r="AG81" s="1" t="str">
        <f t="shared" si="39"/>
        <v>EC</v>
      </c>
      <c r="AH81" s="100" t="str">
        <f t="shared" si="40"/>
        <v>"%USERPROFILE%\Documents\GitHub\eaglep3\Utilities\RefineRTDCRunTimes.py" --tripid 166-30 --locoid 4030 --swversion DE.1.0.7.0 --startMP 204:232982 --initTime 2016-08-30T12:32:13 --startdatetime 2016-08-30T12:41:16 --delay 1 --endMP 204:143 --enddatetime 2016-08-30T13:21:26 --enforcementcount 0 &gt;&gt;C:\Users\stu\Documents\GitHub\eaglep3-reporting\EC\2016-08-30-refined-times.txt</v>
      </c>
      <c r="AI81" s="149" t="str">
        <f t="shared" si="41"/>
        <v>echo {"issue":{"subject":"","project_id":79,"tracker_id":40,"status_id":1,"priority_id":2,"assigned_to_id":23,"start_date":"2016-08-30","description":"","custom_fields":[{"id":1,"name":"Subdivision","value":"EC"},{"id":4,"name":"Milepost","value":"23.2839"},{"id":17,"name":"Train ID","value":"166-30"},{"id":16,"name":"Locomotive ID","value":"4030"},{"id":130,"name":"Impact","value":""},{"id":150,"name":"Time of Event (Mountain Time)","value":"13:21:26"},{"id":151,"name":"Denver Issue ID","value":""},{"id":178,"name":"Operational Impact","value":"Yes"},{"id":179,"name":"Denver Segment Assigned","value":""}]}} | curl -X POST -H "Content-Type: application/json" -H "X-Redmine-API-Key: d6333d4a04012a730768444271f8ca06482dae87" https://secure.xorail.net/redmine/issues.json --data @-</v>
      </c>
      <c r="AJ81" s="55"/>
      <c r="AK81" s="55"/>
      <c r="AL81" s="55"/>
    </row>
    <row r="82" spans="1:38" s="23" customFormat="1" x14ac:dyDescent="0.25">
      <c r="A82" s="39" t="s">
        <v>463</v>
      </c>
      <c r="B82" s="7">
        <v>4011</v>
      </c>
      <c r="C82" s="24" t="s">
        <v>113</v>
      </c>
      <c r="D82" s="24" t="s">
        <v>253</v>
      </c>
      <c r="E82" s="15">
        <v>42612.498344907406</v>
      </c>
      <c r="F82" s="15">
        <v>42612.500949074078</v>
      </c>
      <c r="G82" s="7">
        <v>1</v>
      </c>
      <c r="H82" s="15" t="s">
        <v>184</v>
      </c>
      <c r="I82" s="15">
        <v>42612.528414351851</v>
      </c>
      <c r="J82" s="7">
        <v>0</v>
      </c>
      <c r="K82" s="132" t="str">
        <f t="shared" si="28"/>
        <v>4011/4012</v>
      </c>
      <c r="L82" s="24" t="str">
        <f>VLOOKUP(A82,'Trips&amp;Operators'!$C$1:$E$10000,3,FALSE)</f>
        <v>YOUNG</v>
      </c>
      <c r="M82" s="6">
        <f t="shared" si="29"/>
        <v>2.7465277773444541E-2</v>
      </c>
      <c r="N82" s="7">
        <f t="shared" si="27"/>
        <v>39.549999993760139</v>
      </c>
      <c r="O82" s="7"/>
      <c r="P82" s="7"/>
      <c r="Q82" s="25"/>
      <c r="R82" s="25"/>
      <c r="S82" s="37">
        <f t="shared" si="26"/>
        <v>1</v>
      </c>
      <c r="T82" s="52" t="str">
        <f t="shared" si="30"/>
        <v>NorthBound</v>
      </c>
      <c r="U82" s="126">
        <f>IF(AG82="EC",COUNTIFS(Variables!$M$2:$M$19,IF(T82="NorthBound","&gt;=","&lt;=")&amp;Y82,Variables!$M$2:$M$19,IF(T82="NorthBound","&lt;=","&gt;=")&amp;Z82),COUNTIFS(Variables!$P$2:$P$19,IF(T82="NorthBound","&gt;=","&lt;=")&amp;Y82,Variables!$P$2:$P$19,IF(T82="NorthBound","&lt;=","&gt;=")&amp;Z82))</f>
        <v>12</v>
      </c>
      <c r="V82" s="106" t="str">
        <f t="shared" si="31"/>
        <v>https://search-rtdc-monitor-bjffxe2xuh6vdkpspy63sjmuny.us-east-1.es.amazonaws.com/_plugin/kibana/#/discover/Steve-Slow-Train-Analysis-(2080s-and-2083s)?_g=(refreshInterval:(display:Off,section:0,value:0),time:(from:'2016-08-30 10:57:37-0600',mode:absolute,to:'2016-08-30 13:40: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82" s="54" t="str">
        <f t="shared" si="32"/>
        <v>N</v>
      </c>
      <c r="X82" s="120">
        <f t="shared" si="25"/>
        <v>1</v>
      </c>
      <c r="Y82" s="69">
        <f t="shared" si="33"/>
        <v>4.58E-2</v>
      </c>
      <c r="Z82" s="69">
        <f t="shared" si="34"/>
        <v>23.331199999999999</v>
      </c>
      <c r="AA82" s="69">
        <f t="shared" si="35"/>
        <v>23.285399999999999</v>
      </c>
      <c r="AB82" s="66" t="e">
        <f>VLOOKUP(A82,Enforcements!$C$7:$J$21,8,0)</f>
        <v>#N/A</v>
      </c>
      <c r="AC82" s="62" t="e">
        <f>VLOOKUP(A82,Enforcements!$C$7:$E$21,3,0)</f>
        <v>#N/A</v>
      </c>
      <c r="AD82" s="63" t="str">
        <f t="shared" si="36"/>
        <v>0167-30</v>
      </c>
      <c r="AE82" s="99" t="str">
        <f t="shared" si="37"/>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82" s="96" t="str">
        <f t="shared" si="38"/>
        <v>"C:\Program Files (x86)\AstroGrep\AstroGrep.exe" /spath="%USERPROFILE%\AppData\Local\Temp\OnboardLogs" /stypes="*4011*20160830*" /stext=" 18:.+((SYSTEM_STATE.+slice.+state.+changed )|(ment ac)|(system.+state.+changed )|(\|lc)|(penalty)|(\[timeout)|(PRM\|1\|D)|(kpr)|(kdp))" /e /r /s</v>
      </c>
      <c r="AG82" s="1" t="str">
        <f t="shared" si="39"/>
        <v>EC</v>
      </c>
      <c r="AH82" s="100" t="str">
        <f t="shared" si="40"/>
        <v>"%USERPROFILE%\Documents\GitHub\eaglep3\Utilities\RefineRTDCRunTimes.py" --tripid 167-30 --locoid 4011 --swversion DE.1.0.7.0 --startMP 204:458 --initTime 2016-08-30T11:57:37 --startdatetime 2016-08-30T12:01:22 --delay 1 --endMP 204:233312 --enddatetime 2016-08-30T12:40:55 --enforcementcount 0 &gt;&gt;C:\Users\stu\Documents\GitHub\eaglep3-reporting\EC\2016-08-30-refined-times.txt</v>
      </c>
      <c r="AI82" s="149" t="str">
        <f t="shared" si="41"/>
        <v>echo {"issue":{"subject":"","project_id":79,"tracker_id":40,"status_id":1,"priority_id":2,"assigned_to_id":23,"start_date":"2016-08-30","description":"","custom_fields":[{"id":1,"name":"Subdivision","value":"EC"},{"id":4,"name":"Milepost","value":"23.2854"},{"id":17,"name":"Train ID","value":"167-30"},{"id":16,"name":"Locomotive ID","value":"4011"},{"id":130,"name":"Impact","value":""},{"id":150,"name":"Time of Event (Mountain Time)","value":"12:40:55"},{"id":151,"name":"Denver Issue ID","value":""},{"id":178,"name":"Operational Impact","value":"Yes"},{"id":179,"name":"Denver Segment Assigned","value":""}]}} | curl -X POST -H "Content-Type: application/json" -H "X-Redmine-API-Key: d6333d4a04012a730768444271f8ca06482dae87" https://secure.xorail.net/redmine/issues.json --data @-</v>
      </c>
      <c r="AJ82" s="55"/>
      <c r="AK82" s="55"/>
      <c r="AL82" s="55"/>
    </row>
    <row r="83" spans="1:38" s="23" customFormat="1" x14ac:dyDescent="0.25">
      <c r="A83" s="39" t="s">
        <v>470</v>
      </c>
      <c r="B83" s="7">
        <v>4012</v>
      </c>
      <c r="C83" s="24" t="s">
        <v>113</v>
      </c>
      <c r="D83" s="24" t="s">
        <v>291</v>
      </c>
      <c r="E83" s="15">
        <v>42612.534421296295</v>
      </c>
      <c r="F83" s="15">
        <v>42612.539641203701</v>
      </c>
      <c r="G83" s="7">
        <v>1</v>
      </c>
      <c r="H83" s="15" t="s">
        <v>614</v>
      </c>
      <c r="I83" s="15">
        <v>42612.569490740738</v>
      </c>
      <c r="J83" s="7">
        <v>0</v>
      </c>
      <c r="K83" s="132" t="str">
        <f t="shared" si="28"/>
        <v>4011/4012</v>
      </c>
      <c r="L83" s="24" t="str">
        <f>VLOOKUP(A83,'Trips&amp;Operators'!$C$1:$E$10000,3,FALSE)</f>
        <v>YOUNG</v>
      </c>
      <c r="M83" s="6">
        <f t="shared" si="29"/>
        <v>2.9849537037080154E-2</v>
      </c>
      <c r="N83" s="7">
        <f t="shared" si="27"/>
        <v>42.983333333395422</v>
      </c>
      <c r="O83" s="7"/>
      <c r="P83" s="7"/>
      <c r="Q83" s="25"/>
      <c r="R83" s="25"/>
      <c r="S83" s="37">
        <f t="shared" si="26"/>
        <v>1</v>
      </c>
      <c r="T83" s="52" t="str">
        <f t="shared" si="30"/>
        <v>Southbound</v>
      </c>
      <c r="U83" s="126">
        <f>IF(AG83="EC",COUNTIFS(Variables!$M$2:$M$19,IF(T83="NorthBound","&gt;=","&lt;=")&amp;Y83,Variables!$M$2:$M$19,IF(T83="NorthBound","&lt;=","&gt;=")&amp;Z83),COUNTIFS(Variables!$P$2:$P$19,IF(T83="NorthBound","&gt;=","&lt;=")&amp;Y83,Variables!$P$2:$P$19,IF(T83="NorthBound","&lt;=","&gt;=")&amp;Z83))</f>
        <v>12</v>
      </c>
      <c r="V83" s="106" t="str">
        <f t="shared" si="31"/>
        <v>https://search-rtdc-monitor-bjffxe2xuh6vdkpspy63sjmuny.us-east-1.es.amazonaws.com/_plugin/kibana/#/discover/Steve-Slow-Train-Analysis-(2080s-and-2083s)?_g=(refreshInterval:(display:Off,section:0,value:0),time:(from:'2016-08-30 11:49:34-0600',mode:absolute,to:'2016-08-30 14:40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83" s="54" t="str">
        <f t="shared" si="32"/>
        <v>N</v>
      </c>
      <c r="X83" s="120">
        <f t="shared" ref="X83:X114" si="42">VALUE(LEFT(AD83,4))-VALUE(LEFT(AD82,4))</f>
        <v>1</v>
      </c>
      <c r="Y83" s="69">
        <f t="shared" si="33"/>
        <v>23.299800000000001</v>
      </c>
      <c r="Z83" s="69">
        <f t="shared" si="34"/>
        <v>1.9800000000000002E-2</v>
      </c>
      <c r="AA83" s="69">
        <f t="shared" si="35"/>
        <v>23.28</v>
      </c>
      <c r="AB83" s="66" t="e">
        <f>VLOOKUP(A83,Enforcements!$C$7:$J$21,8,0)</f>
        <v>#N/A</v>
      </c>
      <c r="AC83" s="62" t="e">
        <f>VLOOKUP(A83,Enforcements!$C$7:$E$21,3,0)</f>
        <v>#N/A</v>
      </c>
      <c r="AD83" s="63" t="str">
        <f t="shared" si="36"/>
        <v>0168-30</v>
      </c>
      <c r="AE83" s="99" t="str">
        <f t="shared" si="37"/>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83" s="96" t="str">
        <f t="shared" si="38"/>
        <v>"C:\Program Files (x86)\AstroGrep\AstroGrep.exe" /spath="%USERPROFILE%\AppData\Local\Temp\OnboardLogs" /stypes="*4012*20160830*" /stext=" 19:.+((SYSTEM_STATE.+slice.+state.+changed )|(ment ac)|(system.+state.+changed )|(\|lc)|(penalty)|(\[timeout)|(PRM\|1\|D)|(kpr)|(kdp))" /e /r /s</v>
      </c>
      <c r="AG83" s="1" t="str">
        <f t="shared" si="39"/>
        <v>EC</v>
      </c>
      <c r="AH83" s="100" t="str">
        <f t="shared" si="40"/>
        <v>"%USERPROFILE%\Documents\GitHub\eaglep3\Utilities\RefineRTDCRunTimes.py" --tripid 168-30 --locoid 4012 --swversion DE.1.0.7.0 --startMP 204:232998 --initTime 2016-08-30T12:49:34 --startdatetime 2016-08-30T12:57:05 --delay 1 --endMP 204:198 --enddatetime 2016-08-30T13:40:04 --enforcementcount 0 &gt;&gt;C:\Users\stu\Documents\GitHub\eaglep3-reporting\EC\2016-08-30-refined-times.txt</v>
      </c>
      <c r="AI83" s="149" t="str">
        <f t="shared" si="41"/>
        <v>echo {"issue":{"subject":"","project_id":79,"tracker_id":40,"status_id":1,"priority_id":2,"assigned_to_id":23,"start_date":"2016-08-30","description":"","custom_fields":[{"id":1,"name":"Subdivision","value":"EC"},{"id":4,"name":"Milepost","value":"23.28"},{"id":17,"name":"Train ID","value":"168-30"},{"id":16,"name":"Locomotive ID","value":"4012"},{"id":130,"name":"Impact","value":""},{"id":150,"name":"Time of Event (Mountain Time)","value":"13:40:04"},{"id":151,"name":"Denver Issue ID","value":""},{"id":178,"name":"Operational Impact","value":"Yes"},{"id":179,"name":"Denver Segment Assigned","value":""}]}} | curl -X POST -H "Content-Type: application/json" -H "X-Redmine-API-Key: d6333d4a04012a730768444271f8ca06482dae87" https://secure.xorail.net/redmine/issues.json --data @-</v>
      </c>
      <c r="AJ83" s="55"/>
      <c r="AK83" s="55"/>
      <c r="AL83" s="55"/>
    </row>
    <row r="84" spans="1:38" x14ac:dyDescent="0.25">
      <c r="A84" s="39" t="s">
        <v>466</v>
      </c>
      <c r="B84" s="7">
        <v>4042</v>
      </c>
      <c r="C84" s="24" t="s">
        <v>113</v>
      </c>
      <c r="D84" s="24" t="s">
        <v>190</v>
      </c>
      <c r="E84" s="15">
        <v>42612.508784722224</v>
      </c>
      <c r="F84" s="15">
        <v>42612.511145833334</v>
      </c>
      <c r="G84" s="7">
        <v>2</v>
      </c>
      <c r="H84" s="15" t="s">
        <v>615</v>
      </c>
      <c r="I84" s="15">
        <v>42612.537280092591</v>
      </c>
      <c r="J84" s="7">
        <v>0</v>
      </c>
      <c r="K84" s="132" t="str">
        <f t="shared" si="28"/>
        <v>4041/4042</v>
      </c>
      <c r="L84" s="24" t="str">
        <f>VLOOKUP(A84,'Trips&amp;Operators'!$C$1:$E$10000,3,FALSE)</f>
        <v>CLARK</v>
      </c>
      <c r="M84" s="6">
        <f t="shared" si="29"/>
        <v>2.6134259256650694E-2</v>
      </c>
      <c r="N84" s="7">
        <f t="shared" si="27"/>
        <v>37.633333329576999</v>
      </c>
      <c r="O84" s="7"/>
      <c r="P84" s="7"/>
      <c r="Q84" s="25"/>
      <c r="R84" s="25"/>
      <c r="S84" s="37">
        <f t="shared" si="26"/>
        <v>1</v>
      </c>
      <c r="T84" s="52" t="str">
        <f t="shared" si="30"/>
        <v>NorthBound</v>
      </c>
      <c r="U84" s="126">
        <f>IF(AG84="EC",COUNTIFS(Variables!$M$2:$M$19,IF(T84="NorthBound","&gt;=","&lt;=")&amp;Y84,Variables!$M$2:$M$19,IF(T84="NorthBound","&lt;=","&gt;=")&amp;Z84),COUNTIFS(Variables!$P$2:$P$19,IF(T84="NorthBound","&gt;=","&lt;=")&amp;Y84,Variables!$P$2:$P$19,IF(T84="NorthBound","&lt;=","&gt;=")&amp;Z84))</f>
        <v>12</v>
      </c>
      <c r="V84" s="106" t="str">
        <f t="shared" si="31"/>
        <v>https://search-rtdc-monitor-bjffxe2xuh6vdkpspy63sjmuny.us-east-1.es.amazonaws.com/_plugin/kibana/#/discover/Steve-Slow-Train-Analysis-(2080s-and-2083s)?_g=(refreshInterval:(display:Off,section:0,value:0),time:(from:'2016-08-30 11:12:39-0600',mode:absolute,to:'2016-08-30 13:53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84" s="54" t="str">
        <f t="shared" si="32"/>
        <v>N</v>
      </c>
      <c r="X84" s="120">
        <f t="shared" si="42"/>
        <v>1</v>
      </c>
      <c r="Y84" s="69">
        <f t="shared" si="33"/>
        <v>4.6399999999999997E-2</v>
      </c>
      <c r="Z84" s="69">
        <f t="shared" si="34"/>
        <v>23.334499999999998</v>
      </c>
      <c r="AA84" s="69">
        <f t="shared" si="35"/>
        <v>23.2881</v>
      </c>
      <c r="AB84" s="66" t="e">
        <f>VLOOKUP(A84,Enforcements!$C$7:$J$21,8,0)</f>
        <v>#N/A</v>
      </c>
      <c r="AC84" s="62" t="e">
        <f>VLOOKUP(A84,Enforcements!$C$7:$E$21,3,0)</f>
        <v>#N/A</v>
      </c>
      <c r="AD84" s="63" t="str">
        <f t="shared" si="36"/>
        <v>0169-30</v>
      </c>
      <c r="AE84" s="99" t="str">
        <f t="shared" si="37"/>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84" s="96" t="str">
        <f t="shared" si="38"/>
        <v>"C:\Program Files (x86)\AstroGrep\AstroGrep.exe" /spath="%USERPROFILE%\AppData\Local\Temp\OnboardLogs" /stypes="*4042*20160830*" /stext=" 18:.+((SYSTEM_STATE.+slice.+state.+changed )|(ment ac)|(system.+state.+changed )|(\|lc)|(penalty)|(\[timeout)|(PRM\|1\|D)|(kpr)|(kdp))" /e /r /s</v>
      </c>
      <c r="AG84" s="1" t="str">
        <f t="shared" si="39"/>
        <v>EC</v>
      </c>
      <c r="AH84" s="100" t="str">
        <f t="shared" si="40"/>
        <v>"%USERPROFILE%\Documents\GitHub\eaglep3\Utilities\RefineRTDCRunTimes.py" --tripid 169-30 --locoid 4042 --swversion DE.1.0.7.0 --startMP 204:464 --initTime 2016-08-30T12:12:39 --startdatetime 2016-08-30T12:16:03 --delay 2 --endMP 204:233345 --enddatetime 2016-08-30T12:53:41 --enforcementcount 0 &gt;&gt;C:\Users\stu\Documents\GitHub\eaglep3-reporting\EC\2016-08-30-refined-times.txt</v>
      </c>
      <c r="AI84" s="149" t="str">
        <f t="shared" si="41"/>
        <v>echo {"issue":{"subject":"","project_id":79,"tracker_id":40,"status_id":1,"priority_id":2,"assigned_to_id":23,"start_date":"2016-08-30","description":"","custom_fields":[{"id":1,"name":"Subdivision","value":"EC"},{"id":4,"name":"Milepost","value":"23.2881"},{"id":17,"name":"Train ID","value":"169-30"},{"id":16,"name":"Locomotive ID","value":"4042"},{"id":130,"name":"Impact","value":""},{"id":150,"name":"Time of Event (Mountain Time)","value":"12:53:41"},{"id":151,"name":"Denver Issue ID","value":""},{"id":178,"name":"Operational Impact","value":"Yes"},{"id":179,"name":"Denver Segment Assigned","value":""}]}} | curl -X POST -H "Content-Type: application/json" -H "X-Redmine-API-Key: d6333d4a04012a730768444271f8ca06482dae87" https://secure.xorail.net/redmine/issues.json --data @-</v>
      </c>
      <c r="AJ84" s="55"/>
      <c r="AK84" s="55"/>
      <c r="AL84" s="55"/>
    </row>
    <row r="85" spans="1:38" s="23" customFormat="1" x14ac:dyDescent="0.25">
      <c r="A85" s="39" t="s">
        <v>373</v>
      </c>
      <c r="B85" s="7">
        <v>4041</v>
      </c>
      <c r="C85" s="24" t="s">
        <v>113</v>
      </c>
      <c r="D85" s="24" t="s">
        <v>291</v>
      </c>
      <c r="E85" s="15">
        <v>42612.544166666667</v>
      </c>
      <c r="F85" s="15">
        <v>42612.549479166664</v>
      </c>
      <c r="G85" s="7">
        <v>1</v>
      </c>
      <c r="H85" s="15" t="s">
        <v>616</v>
      </c>
      <c r="I85" s="15">
        <v>42612.581238425926</v>
      </c>
      <c r="J85" s="7">
        <v>0</v>
      </c>
      <c r="K85" s="132" t="str">
        <f t="shared" si="28"/>
        <v>4041/4042</v>
      </c>
      <c r="L85" s="24" t="str">
        <f>VLOOKUP(A85,'Trips&amp;Operators'!$C$1:$E$10000,3,FALSE)</f>
        <v>CLARK</v>
      </c>
      <c r="M85" s="6">
        <f t="shared" si="29"/>
        <v>3.1759259261889383E-2</v>
      </c>
      <c r="N85" s="7">
        <f t="shared" si="27"/>
        <v>45.733333337120712</v>
      </c>
      <c r="O85" s="7"/>
      <c r="P85" s="7"/>
      <c r="Q85" s="25"/>
      <c r="R85" s="25"/>
      <c r="S85" s="37">
        <f t="shared" si="26"/>
        <v>1</v>
      </c>
      <c r="T85" s="52" t="str">
        <f t="shared" si="30"/>
        <v>Southbound</v>
      </c>
      <c r="U85" s="126">
        <f>IF(AG85="EC",COUNTIFS(Variables!$M$2:$M$19,IF(T85="NorthBound","&gt;=","&lt;=")&amp;Y85,Variables!$M$2:$M$19,IF(T85="NorthBound","&lt;=","&gt;=")&amp;Z85),COUNTIFS(Variables!$P$2:$P$19,IF(T85="NorthBound","&gt;=","&lt;=")&amp;Y85,Variables!$P$2:$P$19,IF(T85="NorthBound","&lt;=","&gt;=")&amp;Z85))</f>
        <v>12</v>
      </c>
      <c r="V85" s="106" t="str">
        <f t="shared" si="31"/>
        <v>https://search-rtdc-monitor-bjffxe2xuh6vdkpspy63sjmuny.us-east-1.es.amazonaws.com/_plugin/kibana/#/discover/Steve-Slow-Train-Analysis-(2080s-and-2083s)?_g=(refreshInterval:(display:Off,section:0,value:0),time:(from:'2016-08-30 12:03:36-0600',mode:absolute,to:'2016-08-30 14:56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85" s="54" t="str">
        <f t="shared" si="32"/>
        <v>N</v>
      </c>
      <c r="X85" s="120">
        <f t="shared" si="42"/>
        <v>1</v>
      </c>
      <c r="Y85" s="69">
        <f t="shared" si="33"/>
        <v>23.299800000000001</v>
      </c>
      <c r="Z85" s="69">
        <f t="shared" si="34"/>
        <v>1.7399999999999999E-2</v>
      </c>
      <c r="AA85" s="69">
        <f t="shared" si="35"/>
        <v>23.282400000000003</v>
      </c>
      <c r="AB85" s="66" t="e">
        <f>VLOOKUP(A85,Enforcements!$C$7:$J$21,8,0)</f>
        <v>#N/A</v>
      </c>
      <c r="AC85" s="62" t="e">
        <f>VLOOKUP(A85,Enforcements!$C$7:$E$21,3,0)</f>
        <v>#N/A</v>
      </c>
      <c r="AD85" s="63" t="str">
        <f t="shared" si="36"/>
        <v>0170-30</v>
      </c>
      <c r="AE85" s="99" t="str">
        <f t="shared" si="37"/>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85" s="96" t="str">
        <f t="shared" si="38"/>
        <v>"C:\Program Files (x86)\AstroGrep\AstroGrep.exe" /spath="%USERPROFILE%\AppData\Local\Temp\OnboardLogs" /stypes="*4041*20160830*" /stext=" 19:.+((SYSTEM_STATE.+slice.+state.+changed )|(ment ac)|(system.+state.+changed )|(\|lc)|(penalty)|(\[timeout)|(PRM\|1\|D)|(kpr)|(kdp))" /e /r /s</v>
      </c>
      <c r="AG85" s="1" t="str">
        <f t="shared" si="39"/>
        <v>EC</v>
      </c>
      <c r="AH85" s="100" t="str">
        <f t="shared" si="40"/>
        <v>"%USERPROFILE%\Documents\GitHub\eaglep3\Utilities\RefineRTDCRunTimes.py" --tripid 170-30 --locoid 4041 --swversion DE.1.0.7.0 --startMP 204:232998 --initTime 2016-08-30T13:03:36 --startdatetime 2016-08-30T13:11:15 --delay 1 --endMP 204:174 --enddatetime 2016-08-30T13:56:59 --enforcementcount 0 &gt;&gt;C:\Users\stu\Documents\GitHub\eaglep3-reporting\EC\2016-08-30-refined-times.txt</v>
      </c>
      <c r="AI85" s="149" t="str">
        <f t="shared" si="41"/>
        <v>echo {"issue":{"subject":"","project_id":79,"tracker_id":40,"status_id":1,"priority_id":2,"assigned_to_id":23,"start_date":"2016-08-30","description":"","custom_fields":[{"id":1,"name":"Subdivision","value":"EC"},{"id":4,"name":"Milepost","value":"23.2824"},{"id":17,"name":"Train ID","value":"170-30"},{"id":16,"name":"Locomotive ID","value":"4041"},{"id":130,"name":"Impact","value":""},{"id":150,"name":"Time of Event (Mountain Time)","value":"13:56:59"},{"id":151,"name":"Denver Issue ID","value":""},{"id":178,"name":"Operational Impact","value":"Yes"},{"id":179,"name":"Denver Segment Assigned","value":""}]}} | curl -X POST -H "Content-Type: application/json" -H "X-Redmine-API-Key: d6333d4a04012a730768444271f8ca06482dae87" https://secure.xorail.net/redmine/issues.json --data @-</v>
      </c>
      <c r="AJ85" s="55"/>
      <c r="AK85" s="55"/>
      <c r="AL85" s="55"/>
    </row>
    <row r="86" spans="1:38" s="23" customFormat="1" x14ac:dyDescent="0.25">
      <c r="A86" s="39" t="s">
        <v>464</v>
      </c>
      <c r="B86" s="7">
        <v>4040</v>
      </c>
      <c r="C86" s="24" t="s">
        <v>113</v>
      </c>
      <c r="D86" s="24" t="s">
        <v>262</v>
      </c>
      <c r="E86" s="15">
        <v>42612.517187500001</v>
      </c>
      <c r="F86" s="15">
        <v>42612.521099537036</v>
      </c>
      <c r="G86" s="7">
        <v>1</v>
      </c>
      <c r="H86" s="15" t="s">
        <v>184</v>
      </c>
      <c r="I86" s="15">
        <v>42612.547291666669</v>
      </c>
      <c r="J86" s="7">
        <v>0</v>
      </c>
      <c r="K86" s="132" t="str">
        <f t="shared" si="28"/>
        <v>4039/4040</v>
      </c>
      <c r="L86" s="24" t="str">
        <f>VLOOKUP(A86,'Trips&amp;Operators'!$C$1:$E$10000,3,FALSE)</f>
        <v>WEBSTER</v>
      </c>
      <c r="M86" s="6">
        <f t="shared" si="29"/>
        <v>2.6192129633272998E-2</v>
      </c>
      <c r="N86" s="7">
        <f t="shared" si="27"/>
        <v>37.716666671913117</v>
      </c>
      <c r="O86" s="7"/>
      <c r="P86" s="7"/>
      <c r="Q86" s="25"/>
      <c r="R86" s="25"/>
      <c r="S86" s="37">
        <f t="shared" si="26"/>
        <v>1</v>
      </c>
      <c r="T86" s="52" t="str">
        <f t="shared" si="30"/>
        <v>NorthBound</v>
      </c>
      <c r="U86" s="126">
        <f>IF(AG86="EC",COUNTIFS(Variables!$M$2:$M$19,IF(T86="NorthBound","&gt;=","&lt;=")&amp;Y86,Variables!$M$2:$M$19,IF(T86="NorthBound","&lt;=","&gt;=")&amp;Z86),COUNTIFS(Variables!$P$2:$P$19,IF(T86="NorthBound","&gt;=","&lt;=")&amp;Y86,Variables!$P$2:$P$19,IF(T86="NorthBound","&lt;=","&gt;=")&amp;Z86))</f>
        <v>12</v>
      </c>
      <c r="V86" s="106" t="str">
        <f t="shared" si="31"/>
        <v>https://search-rtdc-monitor-bjffxe2xuh6vdkpspy63sjmuny.us-east-1.es.amazonaws.com/_plugin/kibana/#/discover/Steve-Slow-Train-Analysis-(2080s-and-2083s)?_g=(refreshInterval:(display:Off,section:0,value:0),time:(from:'2016-08-30 11:24:45-0600',mode:absolute,to:'2016-08-30 14:08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86" s="54" t="str">
        <f t="shared" si="32"/>
        <v>N</v>
      </c>
      <c r="X86" s="120">
        <f t="shared" si="42"/>
        <v>1</v>
      </c>
      <c r="Y86" s="69">
        <f t="shared" si="33"/>
        <v>4.6600000000000003E-2</v>
      </c>
      <c r="Z86" s="69">
        <f t="shared" si="34"/>
        <v>23.331199999999999</v>
      </c>
      <c r="AA86" s="69">
        <f t="shared" si="35"/>
        <v>23.284599999999998</v>
      </c>
      <c r="AB86" s="66" t="e">
        <f>VLOOKUP(A86,Enforcements!$C$7:$J$21,8,0)</f>
        <v>#N/A</v>
      </c>
      <c r="AC86" s="62" t="e">
        <f>VLOOKUP(A86,Enforcements!$C$7:$E$21,3,0)</f>
        <v>#N/A</v>
      </c>
      <c r="AD86" s="63" t="str">
        <f t="shared" si="36"/>
        <v>0171-30</v>
      </c>
      <c r="AE86" s="99" t="str">
        <f t="shared" si="37"/>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86" s="96" t="str">
        <f t="shared" si="38"/>
        <v>"C:\Program Files (x86)\AstroGrep\AstroGrep.exe" /spath="%USERPROFILE%\AppData\Local\Temp\OnboardLogs" /stypes="*4040*20160830*" /stext=" 19:.+((SYSTEM_STATE.+slice.+state.+changed )|(ment ac)|(system.+state.+changed )|(\|lc)|(penalty)|(\[timeout)|(PRM\|1\|D)|(kpr)|(kdp))" /e /r /s</v>
      </c>
      <c r="AG86" s="1" t="str">
        <f t="shared" si="39"/>
        <v>EC</v>
      </c>
      <c r="AH86" s="100" t="str">
        <f t="shared" si="40"/>
        <v>"%USERPROFILE%\Documents\GitHub\eaglep3\Utilities\RefineRTDCRunTimes.py" --tripid 171-30 --locoid 4040 --swversion DE.1.0.7.0 --startMP 204:466 --initTime 2016-08-30T12:24:45 --startdatetime 2016-08-30T12:30:23 --delay 1 --endMP 204:233312 --enddatetime 2016-08-30T13:08:06 --enforcementcount 0 &gt;&gt;C:\Users\stu\Documents\GitHub\eaglep3-reporting\EC\2016-08-30-refined-times.txt</v>
      </c>
      <c r="AI86" s="149" t="str">
        <f t="shared" si="41"/>
        <v>echo {"issue":{"subject":"","project_id":79,"tracker_id":40,"status_id":1,"priority_id":2,"assigned_to_id":23,"start_date":"2016-08-30","description":"","custom_fields":[{"id":1,"name":"Subdivision","value":"EC"},{"id":4,"name":"Milepost","value":"23.2846"},{"id":17,"name":"Train ID","value":"171-30"},{"id":16,"name":"Locomotive ID","value":"4040"},{"id":130,"name":"Impact","value":""},{"id":150,"name":"Time of Event (Mountain Time)","value":"13:08:06"},{"id":151,"name":"Denver Issue ID","value":""},{"id":178,"name":"Operational Impact","value":"Yes"},{"id":179,"name":"Denver Segment Assigned","value":""}]}} | curl -X POST -H "Content-Type: application/json" -H "X-Redmine-API-Key: d6333d4a04012a730768444271f8ca06482dae87" https://secure.xorail.net/redmine/issues.json --data @-</v>
      </c>
      <c r="AJ86" s="55"/>
      <c r="AK86" s="55"/>
      <c r="AL86" s="55"/>
    </row>
    <row r="87" spans="1:38" x14ac:dyDescent="0.25">
      <c r="A87" s="39" t="s">
        <v>475</v>
      </c>
      <c r="B87" s="7">
        <v>4039</v>
      </c>
      <c r="C87" s="24" t="s">
        <v>113</v>
      </c>
      <c r="D87" s="24" t="s">
        <v>134</v>
      </c>
      <c r="E87" s="15">
        <v>42612.556944444441</v>
      </c>
      <c r="F87" s="15">
        <v>42612.558020833334</v>
      </c>
      <c r="G87" s="7">
        <v>1</v>
      </c>
      <c r="H87" s="15" t="s">
        <v>325</v>
      </c>
      <c r="I87" s="15">
        <v>42612.558125000003</v>
      </c>
      <c r="J87" s="7">
        <v>0</v>
      </c>
      <c r="K87" s="132" t="str">
        <f t="shared" si="28"/>
        <v>4039/4040</v>
      </c>
      <c r="L87" s="24" t="str">
        <f>VLOOKUP(A87,'Trips&amp;Operators'!$C$1:$E$10000,3,FALSE)</f>
        <v>DE LA ROSA</v>
      </c>
      <c r="M87" s="6">
        <f t="shared" si="29"/>
        <v>1.0416666918899864E-4</v>
      </c>
      <c r="N87" s="7"/>
      <c r="O87" s="7"/>
      <c r="P87" s="7">
        <f>24*60*SUM($M87:$M87)</f>
        <v>0.15000000363215804</v>
      </c>
      <c r="Q87" s="25"/>
      <c r="R87" s="25" t="s">
        <v>352</v>
      </c>
      <c r="S87" s="37">
        <f t="shared" si="26"/>
        <v>0</v>
      </c>
      <c r="T87" s="52" t="str">
        <f t="shared" si="30"/>
        <v>Southbound</v>
      </c>
      <c r="U87" s="126">
        <f>IF(AG87="EC",COUNTIFS(Variables!$M$2:$M$19,IF(T87="NorthBound","&gt;=","&lt;=")&amp;Y87,Variables!$M$2:$M$19,IF(T87="NorthBound","&lt;=","&gt;=")&amp;Z87),COUNTIFS(Variables!$P$2:$P$19,IF(T87="NorthBound","&gt;=","&lt;=")&amp;Y87,Variables!$P$2:$P$19,IF(T87="NorthBound","&lt;=","&gt;=")&amp;Z87))</f>
        <v>0</v>
      </c>
      <c r="V87" s="106" t="str">
        <f t="shared" si="31"/>
        <v>https://search-rtdc-monitor-bjffxe2xuh6vdkpspy63sjmuny.us-east-1.es.amazonaws.com/_plugin/kibana/#/discover/Steve-Slow-Train-Analysis-(2080s-and-2083s)?_g=(refreshInterval:(display:Off,section:0,value:0),time:(from:'2016-08-30 12:22:00-0600',mode:absolute,to:'2016-08-30 14:23: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87" s="54" t="str">
        <f t="shared" si="32"/>
        <v>Y</v>
      </c>
      <c r="X87" s="120">
        <f t="shared" si="42"/>
        <v>1</v>
      </c>
      <c r="Y87" s="69">
        <f t="shared" si="33"/>
        <v>23.299399999999999</v>
      </c>
      <c r="Z87" s="69">
        <f t="shared" si="34"/>
        <v>23.299299999999999</v>
      </c>
      <c r="AA87" s="69">
        <f t="shared" si="35"/>
        <v>9.9999999999766942E-5</v>
      </c>
      <c r="AB87" s="66" t="e">
        <f>VLOOKUP(A87,Enforcements!$C$7:$J$21,8,0)</f>
        <v>#N/A</v>
      </c>
      <c r="AC87" s="62" t="e">
        <f>VLOOKUP(A87,Enforcements!$C$7:$E$21,3,0)</f>
        <v>#N/A</v>
      </c>
      <c r="AD87" s="63" t="str">
        <f t="shared" si="36"/>
        <v>0172-30</v>
      </c>
      <c r="AE87" s="99" t="str">
        <f t="shared" si="37"/>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87" s="96" t="str">
        <f t="shared" si="38"/>
        <v>"C:\Program Files (x86)\AstroGrep\AstroGrep.exe" /spath="%USERPROFILE%\AppData\Local\Temp\OnboardLogs" /stypes="*4039*20160830*" /stext=" 19:.+((SYSTEM_STATE.+slice.+state.+changed )|(ment ac)|(system.+state.+changed )|(\|lc)|(penalty)|(\[timeout)|(PRM\|1\|D)|(kpr)|(kdp))" /e /r /s</v>
      </c>
      <c r="AG87" s="1" t="str">
        <f t="shared" si="39"/>
        <v>EC</v>
      </c>
      <c r="AH87" s="100" t="str">
        <f t="shared" si="40"/>
        <v>"%USERPROFILE%\Documents\GitHub\eaglep3\Utilities\RefineRTDCRunTimes.py" --tripid 172-30 --locoid 4039 --swversion DE.1.0.7.0 --startMP 204:232994 --initTime 2016-08-30T13:22:00 --startdatetime 2016-08-30T13:23:33 --delay 1 --endMP 204:232993 --enddatetime 2016-08-30T13:23:42 --enforcementcount 0 &gt;&gt;C:\Users\stu\Documents\GitHub\eaglep3-reporting\EC\2016-08-30-refined-times.txt</v>
      </c>
      <c r="AI87" s="149" t="str">
        <f t="shared" si="41"/>
        <v>echo {"issue":{"subject":"Onboard in-route failure","project_id":79,"tracker_id":40,"status_id":1,"priority_id":2,"assigned_to_id":23,"start_date":"2016-08-30","description":"","custom_fields":[{"id":1,"name":"Subdivision","value":"EC"},{"id":4,"name":"Milepost","value":"9.99999999997669E-05"},{"id":17,"name":"Train ID","value":"172-30"},{"id":16,"name":"Locomotive ID","value":"4039"},{"id":130,"name":"Impact","value":""},{"id":150,"name":"Time of Event (Mountain Time)","value":"13:23:42"},{"id":151,"name":"Denver Issue ID","value":""},{"id":178,"name":"Operational Impact","value":"Yes"},{"id":179,"name":"Denver Segment Assigned","value":""}]}} | curl -X POST -H "Content-Type: application/json" -H "X-Redmine-API-Key: d6333d4a04012a730768444271f8ca06482dae87" https://secure.xorail.net/redmine/issues.json --data @-</v>
      </c>
      <c r="AJ87" s="55"/>
      <c r="AK87" s="55"/>
      <c r="AL87" s="55"/>
    </row>
    <row r="88" spans="1:38" x14ac:dyDescent="0.25">
      <c r="A88" s="39" t="s">
        <v>469</v>
      </c>
      <c r="B88" s="7">
        <v>4016</v>
      </c>
      <c r="C88" s="24" t="s">
        <v>113</v>
      </c>
      <c r="D88" s="24" t="s">
        <v>265</v>
      </c>
      <c r="E88" s="15">
        <v>42612.523715277777</v>
      </c>
      <c r="F88" s="15">
        <v>42612.534629629627</v>
      </c>
      <c r="G88" s="7">
        <v>8</v>
      </c>
      <c r="H88" s="15" t="s">
        <v>617</v>
      </c>
      <c r="I88" s="15">
        <v>42612.560416666667</v>
      </c>
      <c r="J88" s="7">
        <v>0</v>
      </c>
      <c r="K88" s="132" t="str">
        <f t="shared" si="28"/>
        <v>4015/4016</v>
      </c>
      <c r="L88" s="24" t="str">
        <f>VLOOKUP(A88,'Trips&amp;Operators'!$C$1:$E$10000,3,FALSE)</f>
        <v>BARTLETT</v>
      </c>
      <c r="M88" s="6">
        <f t="shared" si="29"/>
        <v>2.5787037040572613E-2</v>
      </c>
      <c r="N88" s="7">
        <f t="shared" ref="N88:N113" si="43">24*60*SUM($M88:$M88)</f>
        <v>37.133333338424563</v>
      </c>
      <c r="O88" s="7"/>
      <c r="P88" s="7"/>
      <c r="Q88" s="25"/>
      <c r="R88" s="25"/>
      <c r="S88" s="37">
        <f t="shared" si="26"/>
        <v>1</v>
      </c>
      <c r="T88" s="52" t="str">
        <f t="shared" si="30"/>
        <v>NorthBound</v>
      </c>
      <c r="U88" s="126">
        <f>IF(AG88="EC",COUNTIFS(Variables!$M$2:$M$19,IF(T88="NorthBound","&gt;=","&lt;=")&amp;Y88,Variables!$M$2:$M$19,IF(T88="NorthBound","&lt;=","&gt;=")&amp;Z88),COUNTIFS(Variables!$P$2:$P$19,IF(T88="NorthBound","&gt;=","&lt;=")&amp;Y88,Variables!$P$2:$P$19,IF(T88="NorthBound","&lt;=","&gt;=")&amp;Z88))</f>
        <v>12</v>
      </c>
      <c r="V88" s="106" t="str">
        <f t="shared" si="31"/>
        <v>https://search-rtdc-monitor-bjffxe2xuh6vdkpspy63sjmuny.us-east-1.es.amazonaws.com/_plugin/kibana/#/discover/Steve-Slow-Train-Analysis-(2080s-and-2083s)?_g=(refreshInterval:(display:Off,section:0,value:0),time:(from:'2016-08-30 11:34:09-0600',mode:absolute,to:'2016-08-30 14:27: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88" s="54" t="str">
        <f t="shared" si="32"/>
        <v>N</v>
      </c>
      <c r="X88" s="120">
        <f t="shared" si="42"/>
        <v>1</v>
      </c>
      <c r="Y88" s="69">
        <f t="shared" si="33"/>
        <v>4.7500000000000001E-2</v>
      </c>
      <c r="Z88" s="69">
        <f t="shared" si="34"/>
        <v>23.339500000000001</v>
      </c>
      <c r="AA88" s="69">
        <f t="shared" si="35"/>
        <v>23.292000000000002</v>
      </c>
      <c r="AB88" s="66" t="e">
        <f>VLOOKUP(A88,Enforcements!$C$7:$J$21,8,0)</f>
        <v>#N/A</v>
      </c>
      <c r="AC88" s="62" t="e">
        <f>VLOOKUP(A88,Enforcements!$C$7:$E$21,3,0)</f>
        <v>#N/A</v>
      </c>
      <c r="AD88" s="63" t="str">
        <f t="shared" si="36"/>
        <v>0173-30</v>
      </c>
      <c r="AE88" s="99" t="str">
        <f t="shared" si="37"/>
        <v>aws s3 cp s3://rtdc.mdm.uploadarchive/RTDC4016/2016-08-30/ "%USERPROFILE%\AppData\Local\Temp\OnboardLogs"\RTDC4016\2016-08-30 --recursive &amp; "%USERPROFILE%\Documents\GitHub\mrs-test-scripts\Headless Mode &amp; Sideloading\WalkAndUnGZ.bat" "%USERPROFILE%\AppData\Local\Temp\OnboardLogs"\RTDC4016\2016-08-30 &amp; aws s3 cp s3://rtdc.mdm.uploadarchive/RTDC4016/2016-08-31/ "%USERPROFILE%\AppData\Local\Temp\OnboardLogs"\RTDC4016\2016-08-31 --recursive &amp; "%USERPROFILE%\Documents\GitHub\mrs-test-scripts\Headless Mode &amp; Sideloading\WalkAndUnGZ.bat" "%USERPROFILE%\AppData\Local\Temp\OnboardLogs"\RTDC4016\2016-08-31</v>
      </c>
      <c r="AF88" s="96" t="str">
        <f t="shared" si="38"/>
        <v>"C:\Program Files (x86)\AstroGrep\AstroGrep.exe" /spath="%USERPROFILE%\AppData\Local\Temp\OnboardLogs" /stypes="*4016*20160830*" /stext=" 19:.+((SYSTEM_STATE.+slice.+state.+changed )|(ment ac)|(system.+state.+changed )|(\|lc)|(penalty)|(\[timeout)|(PRM\|1\|D)|(kpr)|(kdp))" /e /r /s</v>
      </c>
      <c r="AG88" s="1" t="str">
        <f t="shared" si="39"/>
        <v>EC</v>
      </c>
      <c r="AH88" s="100" t="str">
        <f t="shared" si="40"/>
        <v>"%USERPROFILE%\Documents\GitHub\eaglep3\Utilities\RefineRTDCRunTimes.py" --tripid 173-30 --locoid 4016 --swversion DE.1.0.7.0 --startMP 204:475 --initTime 2016-08-30T12:34:09 --startdatetime 2016-08-30T12:49:52 --delay 8 --endMP 204:233395 --enddatetime 2016-08-30T13:27:00 --enforcementcount 0 &gt;&gt;C:\Users\stu\Documents\GitHub\eaglep3-reporting\EC\2016-08-30-refined-times.txt</v>
      </c>
      <c r="AI88" s="149" t="str">
        <f t="shared" si="41"/>
        <v>echo {"issue":{"subject":"","project_id":79,"tracker_id":40,"status_id":1,"priority_id":2,"assigned_to_id":23,"start_date":"2016-08-30","description":"","custom_fields":[{"id":1,"name":"Subdivision","value":"EC"},{"id":4,"name":"Milepost","value":"23.292"},{"id":17,"name":"Train ID","value":"173-30"},{"id":16,"name":"Locomotive ID","value":"4016"},{"id":130,"name":"Impact","value":""},{"id":150,"name":"Time of Event (Mountain Time)","value":"13:27:00"},{"id":151,"name":"Denver Issue ID","value":""},{"id":178,"name":"Operational Impact","value":"Yes"},{"id":179,"name":"Denver Segment Assigned","value":""}]}} | curl -X POST -H "Content-Type: application/json" -H "X-Redmine-API-Key: d6333d4a04012a730768444271f8ca06482dae87" https://secure.xorail.net/redmine/issues.json --data @-</v>
      </c>
      <c r="AJ88" s="55"/>
      <c r="AK88" s="55"/>
      <c r="AL88" s="55"/>
    </row>
    <row r="89" spans="1:38" s="23" customFormat="1" x14ac:dyDescent="0.25">
      <c r="A89" s="39" t="s">
        <v>477</v>
      </c>
      <c r="B89" s="7">
        <v>4015</v>
      </c>
      <c r="C89" s="24" t="s">
        <v>113</v>
      </c>
      <c r="D89" s="24" t="s">
        <v>618</v>
      </c>
      <c r="E89" s="15">
        <v>42612.565555555557</v>
      </c>
      <c r="F89" s="15">
        <v>42612.573518518519</v>
      </c>
      <c r="G89" s="7">
        <v>2</v>
      </c>
      <c r="H89" s="15" t="s">
        <v>152</v>
      </c>
      <c r="I89" s="15">
        <v>42612.600694444445</v>
      </c>
      <c r="J89" s="7">
        <v>0</v>
      </c>
      <c r="K89" s="132" t="str">
        <f t="shared" si="28"/>
        <v>4015/4016</v>
      </c>
      <c r="L89" s="24" t="str">
        <f>VLOOKUP(A89,'Trips&amp;Operators'!$C$1:$E$10000,3,FALSE)</f>
        <v>BARTLETT</v>
      </c>
      <c r="M89" s="6">
        <f t="shared" si="29"/>
        <v>2.7175925926712807E-2</v>
      </c>
      <c r="N89" s="7">
        <f t="shared" si="43"/>
        <v>39.133333334466442</v>
      </c>
      <c r="O89" s="7"/>
      <c r="P89" s="7"/>
      <c r="Q89" s="25"/>
      <c r="R89" s="25"/>
      <c r="S89" s="37">
        <f t="shared" si="26"/>
        <v>1</v>
      </c>
      <c r="T89" s="52" t="str">
        <f t="shared" si="30"/>
        <v>Southbound</v>
      </c>
      <c r="U89" s="126">
        <f>IF(AG89="EC",COUNTIFS(Variables!$M$2:$M$19,IF(T89="NorthBound","&gt;=","&lt;=")&amp;Y89,Variables!$M$2:$M$19,IF(T89="NorthBound","&lt;=","&gt;=")&amp;Z89),COUNTIFS(Variables!$P$2:$P$19,IF(T89="NorthBound","&gt;=","&lt;=")&amp;Y89,Variables!$P$2:$P$19,IF(T89="NorthBound","&lt;=","&gt;=")&amp;Z89))</f>
        <v>12</v>
      </c>
      <c r="V89" s="106" t="str">
        <f t="shared" si="31"/>
        <v>https://search-rtdc-monitor-bjffxe2xuh6vdkpspy63sjmuny.us-east-1.es.amazonaws.com/_plugin/kibana/#/discover/Steve-Slow-Train-Analysis-(2080s-and-2083s)?_g=(refreshInterval:(display:Off,section:0,value:0),time:(from:'2016-08-30 12:34:24-0600',mode:absolute,to:'2016-08-30 15:25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89" s="54" t="str">
        <f t="shared" si="32"/>
        <v>N</v>
      </c>
      <c r="X89" s="120">
        <f t="shared" si="42"/>
        <v>1</v>
      </c>
      <c r="Y89" s="69">
        <f t="shared" si="33"/>
        <v>23.308800000000002</v>
      </c>
      <c r="Z89" s="69">
        <f t="shared" si="34"/>
        <v>1.54E-2</v>
      </c>
      <c r="AA89" s="69">
        <f t="shared" si="35"/>
        <v>23.293400000000002</v>
      </c>
      <c r="AB89" s="66" t="e">
        <f>VLOOKUP(A89,Enforcements!$C$7:$J$21,8,0)</f>
        <v>#N/A</v>
      </c>
      <c r="AC89" s="62" t="e">
        <f>VLOOKUP(A89,Enforcements!$C$7:$E$21,3,0)</f>
        <v>#N/A</v>
      </c>
      <c r="AD89" s="63" t="str">
        <f t="shared" si="36"/>
        <v>0174-30</v>
      </c>
      <c r="AE89" s="99" t="str">
        <f t="shared" si="37"/>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AF89" s="96" t="str">
        <f t="shared" si="38"/>
        <v>"C:\Program Files (x86)\AstroGrep\AstroGrep.exe" /spath="%USERPROFILE%\AppData\Local\Temp\OnboardLogs" /stypes="*4015*20160830*" /stext=" 20:.+((SYSTEM_STATE.+slice.+state.+changed )|(ment ac)|(system.+state.+changed )|(\|lc)|(penalty)|(\[timeout)|(PRM\|1\|D)|(kpr)|(kdp))" /e /r /s</v>
      </c>
      <c r="AG89" s="1" t="str">
        <f t="shared" si="39"/>
        <v>EC</v>
      </c>
      <c r="AH89" s="100" t="str">
        <f t="shared" si="40"/>
        <v>"%USERPROFILE%\Documents\GitHub\eaglep3\Utilities\RefineRTDCRunTimes.py" --tripid 174-30 --locoid 4015 --swversion DE.1.0.7.0 --startMP 204:233088 --initTime 2016-08-30T13:34:24 --startdatetime 2016-08-30T13:45:52 --delay 2 --endMP 204:154 --enddatetime 2016-08-30T14:25:00 --enforcementcount 0 &gt;&gt;C:\Users\stu\Documents\GitHub\eaglep3-reporting\EC\2016-08-30-refined-times.txt</v>
      </c>
      <c r="AI89" s="149" t="str">
        <f t="shared" si="41"/>
        <v>echo {"issue":{"subject":"","project_id":79,"tracker_id":40,"status_id":1,"priority_id":2,"assigned_to_id":23,"start_date":"2016-08-30","description":"","custom_fields":[{"id":1,"name":"Subdivision","value":"EC"},{"id":4,"name":"Milepost","value":"23.2934"},{"id":17,"name":"Train ID","value":"174-30"},{"id":16,"name":"Locomotive ID","value":"4015"},{"id":130,"name":"Impact","value":""},{"id":150,"name":"Time of Event (Mountain Time)","value":"14:25:00"},{"id":151,"name":"Denver Issue ID","value":""},{"id":178,"name":"Operational Impact","value":"Yes"},{"id":179,"name":"Denver Segment Assigned","value":""}]}} | curl -X POST -H "Content-Type: application/json" -H "X-Redmine-API-Key: d6333d4a04012a730768444271f8ca06482dae87" https://secure.xorail.net/redmine/issues.json --data @-</v>
      </c>
      <c r="AJ89" s="55"/>
      <c r="AK89" s="55"/>
      <c r="AL89" s="55"/>
    </row>
    <row r="90" spans="1:38" x14ac:dyDescent="0.25">
      <c r="A90" s="39" t="s">
        <v>471</v>
      </c>
      <c r="B90" s="7">
        <v>4020</v>
      </c>
      <c r="C90" s="24" t="s">
        <v>113</v>
      </c>
      <c r="D90" s="24" t="s">
        <v>150</v>
      </c>
      <c r="E90" s="15">
        <v>42612.538101851853</v>
      </c>
      <c r="F90" s="15">
        <v>42612.54184027778</v>
      </c>
      <c r="G90" s="7">
        <v>1</v>
      </c>
      <c r="H90" s="15" t="s">
        <v>619</v>
      </c>
      <c r="I90" s="15">
        <v>42612.567557870374</v>
      </c>
      <c r="J90" s="7">
        <v>0</v>
      </c>
      <c r="K90" s="132" t="str">
        <f t="shared" si="28"/>
        <v>4019/4020</v>
      </c>
      <c r="L90" s="24" t="str">
        <f>VLOOKUP(A90,'Trips&amp;Operators'!$C$1:$E$10000,3,FALSE)</f>
        <v>SMITH</v>
      </c>
      <c r="M90" s="6">
        <f t="shared" si="29"/>
        <v>2.5717592594446614E-2</v>
      </c>
      <c r="N90" s="7">
        <f t="shared" si="43"/>
        <v>37.033333336003125</v>
      </c>
      <c r="O90" s="7"/>
      <c r="P90" s="7"/>
      <c r="Q90" s="25"/>
      <c r="R90" s="25"/>
      <c r="S90" s="37">
        <f t="shared" si="26"/>
        <v>1</v>
      </c>
      <c r="T90" s="52" t="str">
        <f t="shared" si="30"/>
        <v>NorthBound</v>
      </c>
      <c r="U90" s="126">
        <f>IF(AG90="EC",COUNTIFS(Variables!$M$2:$M$19,IF(T90="NorthBound","&gt;=","&lt;=")&amp;Y90,Variables!$M$2:$M$19,IF(T90="NorthBound","&lt;=","&gt;=")&amp;Z90),COUNTIFS(Variables!$P$2:$P$19,IF(T90="NorthBound","&gt;=","&lt;=")&amp;Y90,Variables!$P$2:$P$19,IF(T90="NorthBound","&lt;=","&gt;=")&amp;Z90))</f>
        <v>12</v>
      </c>
      <c r="V90" s="106" t="str">
        <f t="shared" si="31"/>
        <v>https://search-rtdc-monitor-bjffxe2xuh6vdkpspy63sjmuny.us-east-1.es.amazonaws.com/_plugin/kibana/#/discover/Steve-Slow-Train-Analysis-(2080s-and-2083s)?_g=(refreshInterval:(display:Off,section:0,value:0),time:(from:'2016-08-30 11:54:52-0600',mode:absolute,to:'2016-08-30 14:37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90" s="54" t="str">
        <f t="shared" si="32"/>
        <v>N</v>
      </c>
      <c r="X90" s="120">
        <f t="shared" si="42"/>
        <v>1</v>
      </c>
      <c r="Y90" s="69">
        <f t="shared" si="33"/>
        <v>4.5100000000000001E-2</v>
      </c>
      <c r="Z90" s="69">
        <f t="shared" si="34"/>
        <v>23.331</v>
      </c>
      <c r="AA90" s="69">
        <f t="shared" si="35"/>
        <v>23.285899999999998</v>
      </c>
      <c r="AB90" s="66" t="e">
        <f>VLOOKUP(A90,Enforcements!$C$7:$J$21,8,0)</f>
        <v>#N/A</v>
      </c>
      <c r="AC90" s="62" t="e">
        <f>VLOOKUP(A90,Enforcements!$C$7:$E$21,3,0)</f>
        <v>#N/A</v>
      </c>
      <c r="AD90" s="63" t="str">
        <f t="shared" si="36"/>
        <v>0175-30</v>
      </c>
      <c r="AE90" s="99" t="str">
        <f t="shared" si="37"/>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90" s="96" t="str">
        <f t="shared" si="38"/>
        <v>"C:\Program Files (x86)\AstroGrep\AstroGrep.exe" /spath="%USERPROFILE%\AppData\Local\Temp\OnboardLogs" /stypes="*4020*20160830*" /stext=" 19:.+((SYSTEM_STATE.+slice.+state.+changed )|(ment ac)|(system.+state.+changed )|(\|lc)|(penalty)|(\[timeout)|(PRM\|1\|D)|(kpr)|(kdp))" /e /r /s</v>
      </c>
      <c r="AG90" s="1" t="str">
        <f t="shared" si="39"/>
        <v>EC</v>
      </c>
      <c r="AH90" s="100" t="str">
        <f t="shared" si="40"/>
        <v>"%USERPROFILE%\Documents\GitHub\eaglep3\Utilities\RefineRTDCRunTimes.py" --tripid 175-30 --locoid 4020 --swversion DE.1.0.7.0 --startMP 204:451 --initTime 2016-08-30T12:54:52 --startdatetime 2016-08-30T13:00:15 --delay 1 --endMP 204:233310 --enddatetime 2016-08-30T13:37:17 --enforcementcount 0 &gt;&gt;C:\Users\stu\Documents\GitHub\eaglep3-reporting\EC\2016-08-30-refined-times.txt</v>
      </c>
      <c r="AI90" s="149" t="str">
        <f t="shared" si="41"/>
        <v>echo {"issue":{"subject":"","project_id":79,"tracker_id":40,"status_id":1,"priority_id":2,"assigned_to_id":23,"start_date":"2016-08-30","description":"","custom_fields":[{"id":1,"name":"Subdivision","value":"EC"},{"id":4,"name":"Milepost","value":"23.2859"},{"id":17,"name":"Train ID","value":"175-30"},{"id":16,"name":"Locomotive ID","value":"4020"},{"id":130,"name":"Impact","value":""},{"id":150,"name":"Time of Event (Mountain Time)","value":"13:37:17"},{"id":151,"name":"Denver Issue ID","value":""},{"id":178,"name":"Operational Impact","value":"Yes"},{"id":179,"name":"Denver Segment Assigned","value":""}]}} | curl -X POST -H "Content-Type: application/json" -H "X-Redmine-API-Key: d6333d4a04012a730768444271f8ca06482dae87" https://secure.xorail.net/redmine/issues.json --data @-</v>
      </c>
      <c r="AJ90" s="55"/>
      <c r="AK90" s="55"/>
      <c r="AL90" s="55"/>
    </row>
    <row r="91" spans="1:38" x14ac:dyDescent="0.25">
      <c r="A91" s="39" t="s">
        <v>480</v>
      </c>
      <c r="B91" s="7">
        <v>4019</v>
      </c>
      <c r="C91" s="24" t="s">
        <v>113</v>
      </c>
      <c r="D91" s="24" t="s">
        <v>191</v>
      </c>
      <c r="E91" s="15">
        <v>42612.572569444441</v>
      </c>
      <c r="F91" s="15">
        <v>42612.580821759257</v>
      </c>
      <c r="G91" s="7">
        <v>1</v>
      </c>
      <c r="H91" s="15" t="s">
        <v>174</v>
      </c>
      <c r="I91" s="15">
        <v>42612.610081018516</v>
      </c>
      <c r="J91" s="7">
        <v>0</v>
      </c>
      <c r="K91" s="132" t="str">
        <f t="shared" si="28"/>
        <v>4019/4020</v>
      </c>
      <c r="L91" s="24" t="str">
        <f>VLOOKUP(A91,'Trips&amp;Operators'!$C$1:$E$10000,3,FALSE)</f>
        <v>SMITH</v>
      </c>
      <c r="M91" s="6">
        <f t="shared" si="29"/>
        <v>2.9259259259561077E-2</v>
      </c>
      <c r="N91" s="7">
        <f t="shared" si="43"/>
        <v>42.133333333767951</v>
      </c>
      <c r="O91" s="7"/>
      <c r="P91" s="7"/>
      <c r="Q91" s="25"/>
      <c r="R91" s="25"/>
      <c r="S91" s="37">
        <f t="shared" si="26"/>
        <v>1</v>
      </c>
      <c r="T91" s="52" t="str">
        <f t="shared" si="30"/>
        <v>Southbound</v>
      </c>
      <c r="U91" s="126">
        <f>IF(AG91="EC",COUNTIFS(Variables!$M$2:$M$19,IF(T91="NorthBound","&gt;=","&lt;=")&amp;Y91,Variables!$M$2:$M$19,IF(T91="NorthBound","&lt;=","&gt;=")&amp;Z91),COUNTIFS(Variables!$P$2:$P$19,IF(T91="NorthBound","&gt;=","&lt;=")&amp;Y91,Variables!$P$2:$P$19,IF(T91="NorthBound","&lt;=","&gt;=")&amp;Z91))</f>
        <v>12</v>
      </c>
      <c r="V91" s="106" t="str">
        <f t="shared" si="31"/>
        <v>https://search-rtdc-monitor-bjffxe2xuh6vdkpspy63sjmuny.us-east-1.es.amazonaws.com/_plugin/kibana/#/discover/Steve-Slow-Train-Analysis-(2080s-and-2083s)?_g=(refreshInterval:(display:Off,section:0,value:0),time:(from:'2016-08-30 12:44:30-0600',mode:absolute,to:'2016-08-30 15:38: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91" s="54" t="str">
        <f t="shared" si="32"/>
        <v>N</v>
      </c>
      <c r="X91" s="120">
        <f t="shared" si="42"/>
        <v>1</v>
      </c>
      <c r="Y91" s="69">
        <f t="shared" si="33"/>
        <v>23.2989</v>
      </c>
      <c r="Z91" s="69">
        <f t="shared" si="34"/>
        <v>1.4500000000000001E-2</v>
      </c>
      <c r="AA91" s="69">
        <f t="shared" si="35"/>
        <v>23.284399999999998</v>
      </c>
      <c r="AB91" s="66" t="e">
        <f>VLOOKUP(A91,Enforcements!$C$7:$J$21,8,0)</f>
        <v>#N/A</v>
      </c>
      <c r="AC91" s="62" t="e">
        <f>VLOOKUP(A91,Enforcements!$C$7:$E$21,3,0)</f>
        <v>#N/A</v>
      </c>
      <c r="AD91" s="63" t="str">
        <f t="shared" si="36"/>
        <v>0176-30</v>
      </c>
      <c r="AE91" s="99" t="str">
        <f t="shared" si="37"/>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91" s="96" t="str">
        <f t="shared" si="38"/>
        <v>"C:\Program Files (x86)\AstroGrep\AstroGrep.exe" /spath="%USERPROFILE%\AppData\Local\Temp\OnboardLogs" /stypes="*4019*20160830*" /stext=" 20:.+((SYSTEM_STATE.+slice.+state.+changed )|(ment ac)|(system.+state.+changed )|(\|lc)|(penalty)|(\[timeout)|(PRM\|1\|D)|(kpr)|(kdp))" /e /r /s</v>
      </c>
      <c r="AG91" s="1" t="str">
        <f t="shared" si="39"/>
        <v>EC</v>
      </c>
      <c r="AH91" s="100" t="str">
        <f t="shared" si="40"/>
        <v>"%USERPROFILE%\Documents\GitHub\eaglep3\Utilities\RefineRTDCRunTimes.py" --tripid 176-30 --locoid 4019 --swversion DE.1.0.7.0 --startMP 204:232989 --initTime 2016-08-30T13:44:30 --startdatetime 2016-08-30T13:56:23 --delay 1 --endMP 204:145 --enddatetime 2016-08-30T14:38:31 --enforcementcount 0 &gt;&gt;C:\Users\stu\Documents\GitHub\eaglep3-reporting\EC\2016-08-30-refined-times.txt</v>
      </c>
      <c r="AI91" s="149" t="str">
        <f t="shared" si="41"/>
        <v>echo {"issue":{"subject":"","project_id":79,"tracker_id":40,"status_id":1,"priority_id":2,"assigned_to_id":23,"start_date":"2016-08-30","description":"","custom_fields":[{"id":1,"name":"Subdivision","value":"EC"},{"id":4,"name":"Milepost","value":"23.2844"},{"id":17,"name":"Train ID","value":"176-30"},{"id":16,"name":"Locomotive ID","value":"4019"},{"id":130,"name":"Impact","value":""},{"id":150,"name":"Time of Event (Mountain Time)","value":"14:38:31"},{"id":151,"name":"Denver Issue ID","value":""},{"id":178,"name":"Operational Impact","value":"Yes"},{"id":179,"name":"Denver Segment Assigned","value":""}]}} | curl -X POST -H "Content-Type: application/json" -H "X-Redmine-API-Key: d6333d4a04012a730768444271f8ca06482dae87" https://secure.xorail.net/redmine/issues.json --data @-</v>
      </c>
      <c r="AJ91" s="55"/>
      <c r="AK91" s="55"/>
      <c r="AL91" s="55"/>
    </row>
    <row r="92" spans="1:38" x14ac:dyDescent="0.25">
      <c r="A92" s="39" t="s">
        <v>474</v>
      </c>
      <c r="B92" s="7">
        <v>4018</v>
      </c>
      <c r="C92" s="24" t="s">
        <v>113</v>
      </c>
      <c r="D92" s="24" t="s">
        <v>180</v>
      </c>
      <c r="E92" s="15">
        <v>42612.551979166667</v>
      </c>
      <c r="F92" s="15">
        <v>42612.553888888891</v>
      </c>
      <c r="G92" s="7">
        <v>2</v>
      </c>
      <c r="H92" s="15" t="s">
        <v>234</v>
      </c>
      <c r="I92" s="15">
        <v>42612.578379629631</v>
      </c>
      <c r="J92" s="7">
        <v>0</v>
      </c>
      <c r="K92" s="132" t="str">
        <f t="shared" si="28"/>
        <v>4017/4018</v>
      </c>
      <c r="L92" s="24" t="str">
        <f>VLOOKUP(A92,'Trips&amp;Operators'!$C$1:$E$10000,3,FALSE)</f>
        <v>MAHAN</v>
      </c>
      <c r="M92" s="6">
        <f t="shared" si="29"/>
        <v>2.4490740739565808E-2</v>
      </c>
      <c r="N92" s="7">
        <f t="shared" si="43"/>
        <v>35.266666664974764</v>
      </c>
      <c r="O92" s="7"/>
      <c r="P92" s="7"/>
      <c r="Q92" s="25"/>
      <c r="R92" s="25"/>
      <c r="S92" s="37">
        <f t="shared" si="26"/>
        <v>1</v>
      </c>
      <c r="T92" s="52" t="str">
        <f t="shared" si="30"/>
        <v>NorthBound</v>
      </c>
      <c r="U92" s="126">
        <f>IF(AG92="EC",COUNTIFS(Variables!$M$2:$M$19,IF(T92="NorthBound","&gt;=","&lt;=")&amp;Y92,Variables!$M$2:$M$19,IF(T92="NorthBound","&lt;=","&gt;=")&amp;Z92),COUNTIFS(Variables!$P$2:$P$19,IF(T92="NorthBound","&gt;=","&lt;=")&amp;Y92,Variables!$P$2:$P$19,IF(T92="NorthBound","&lt;=","&gt;=")&amp;Z92))</f>
        <v>12</v>
      </c>
      <c r="V92" s="106" t="str">
        <f t="shared" si="31"/>
        <v>https://search-rtdc-monitor-bjffxe2xuh6vdkpspy63sjmuny.us-east-1.es.amazonaws.com/_plugin/kibana/#/discover/Steve-Slow-Train-Analysis-(2080s-and-2083s)?_g=(refreshInterval:(display:Off,section:0,value:0),time:(from:'2016-08-30 12:14:51-0600',mode:absolute,to:'2016-08-30 14:52: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92" s="54" t="str">
        <f t="shared" si="32"/>
        <v>N</v>
      </c>
      <c r="X92" s="120">
        <f t="shared" si="42"/>
        <v>1</v>
      </c>
      <c r="Y92" s="69">
        <f t="shared" si="33"/>
        <v>4.5999999999999999E-2</v>
      </c>
      <c r="Z92" s="69">
        <f t="shared" si="34"/>
        <v>23.330100000000002</v>
      </c>
      <c r="AA92" s="69">
        <f t="shared" si="35"/>
        <v>23.284100000000002</v>
      </c>
      <c r="AB92" s="66" t="e">
        <f>VLOOKUP(A92,Enforcements!$C$7:$J$21,8,0)</f>
        <v>#N/A</v>
      </c>
      <c r="AC92" s="62" t="e">
        <f>VLOOKUP(A92,Enforcements!$C$7:$E$21,3,0)</f>
        <v>#N/A</v>
      </c>
      <c r="AD92" s="63" t="str">
        <f t="shared" si="36"/>
        <v>0177-30</v>
      </c>
      <c r="AE92" s="99" t="str">
        <f t="shared" si="37"/>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92" s="96" t="str">
        <f t="shared" si="38"/>
        <v>"C:\Program Files (x86)\AstroGrep\AstroGrep.exe" /spath="%USERPROFILE%\AppData\Local\Temp\OnboardLogs" /stypes="*4018*20160830*" /stext=" 19:.+((SYSTEM_STATE.+slice.+state.+changed )|(ment ac)|(system.+state.+changed )|(\|lc)|(penalty)|(\[timeout)|(PRM\|1\|D)|(kpr)|(kdp))" /e /r /s</v>
      </c>
      <c r="AG92" s="1" t="str">
        <f t="shared" si="39"/>
        <v>EC</v>
      </c>
      <c r="AH92" s="100" t="str">
        <f t="shared" si="40"/>
        <v>"%USERPROFILE%\Documents\GitHub\eaglep3\Utilities\RefineRTDCRunTimes.py" --tripid 177-30 --locoid 4018 --swversion DE.1.0.7.0 --startMP 204:460 --initTime 2016-08-30T13:14:51 --startdatetime 2016-08-30T13:17:36 --delay 2 --endMP 204:233301 --enddatetime 2016-08-30T13:52:52 --enforcementcount 0 &gt;&gt;C:\Users\stu\Documents\GitHub\eaglep3-reporting\EC\2016-08-30-refined-times.txt</v>
      </c>
      <c r="AI92" s="149" t="str">
        <f t="shared" si="41"/>
        <v>echo {"issue":{"subject":"","project_id":79,"tracker_id":40,"status_id":1,"priority_id":2,"assigned_to_id":23,"start_date":"2016-08-30","description":"","custom_fields":[{"id":1,"name":"Subdivision","value":"EC"},{"id":4,"name":"Milepost","value":"23.2841"},{"id":17,"name":"Train ID","value":"177-30"},{"id":16,"name":"Locomotive ID","value":"4018"},{"id":130,"name":"Impact","value":""},{"id":150,"name":"Time of Event (Mountain Time)","value":"13:52:52"},{"id":151,"name":"Denver Issue ID","value":""},{"id":178,"name":"Operational Impact","value":"Yes"},{"id":179,"name":"Denver Segment Assigned","value":""}]}} | curl -X POST -H "Content-Type: application/json" -H "X-Redmine-API-Key: d6333d4a04012a730768444271f8ca06482dae87" https://secure.xorail.net/redmine/issues.json --data @-</v>
      </c>
      <c r="AJ92" s="55"/>
      <c r="AK92" s="55"/>
      <c r="AL92" s="55"/>
    </row>
    <row r="93" spans="1:38" x14ac:dyDescent="0.25">
      <c r="A93" s="39" t="s">
        <v>483</v>
      </c>
      <c r="B93" s="7">
        <v>4017</v>
      </c>
      <c r="C93" s="24" t="s">
        <v>113</v>
      </c>
      <c r="D93" s="24" t="s">
        <v>261</v>
      </c>
      <c r="E93" s="15">
        <v>42612.587222222224</v>
      </c>
      <c r="F93" s="15">
        <v>42612.591168981482</v>
      </c>
      <c r="G93" s="7">
        <v>1</v>
      </c>
      <c r="H93" s="15" t="s">
        <v>132</v>
      </c>
      <c r="I93" s="15">
        <v>42612.618993055556</v>
      </c>
      <c r="J93" s="7">
        <v>0</v>
      </c>
      <c r="K93" s="132" t="str">
        <f t="shared" si="28"/>
        <v>4017/4018</v>
      </c>
      <c r="L93" s="24" t="str">
        <f>VLOOKUP(A93,'Trips&amp;Operators'!$C$1:$E$10000,3,FALSE)</f>
        <v>MAHAN</v>
      </c>
      <c r="M93" s="6">
        <f t="shared" si="29"/>
        <v>2.7824074073578231E-2</v>
      </c>
      <c r="N93" s="7">
        <f t="shared" si="43"/>
        <v>40.066666665952653</v>
      </c>
      <c r="O93" s="7"/>
      <c r="P93" s="7"/>
      <c r="Q93" s="25"/>
      <c r="R93" s="25"/>
      <c r="S93" s="37">
        <f t="shared" si="26"/>
        <v>1</v>
      </c>
      <c r="T93" s="52" t="str">
        <f t="shared" si="30"/>
        <v>Southbound</v>
      </c>
      <c r="U93" s="126">
        <f>IF(AG93="EC",COUNTIFS(Variables!$M$2:$M$19,IF(T93="NorthBound","&gt;=","&lt;=")&amp;Y93,Variables!$M$2:$M$19,IF(T93="NorthBound","&lt;=","&gt;=")&amp;Z93),COUNTIFS(Variables!$P$2:$P$19,IF(T93="NorthBound","&gt;=","&lt;=")&amp;Y93,Variables!$P$2:$P$19,IF(T93="NorthBound","&lt;=","&gt;=")&amp;Z93))</f>
        <v>12</v>
      </c>
      <c r="V93" s="106" t="str">
        <f t="shared" si="31"/>
        <v>https://search-rtdc-monitor-bjffxe2xuh6vdkpspy63sjmuny.us-east-1.es.amazonaws.com/_plugin/kibana/#/discover/Steve-Slow-Train-Analysis-(2080s-and-2083s)?_g=(refreshInterval:(display:Off,section:0,value:0),time:(from:'2016-08-30 13:05:36-0600',mode:absolute,to:'2016-08-30 15:51: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93" s="54" t="str">
        <f t="shared" si="32"/>
        <v>N</v>
      </c>
      <c r="X93" s="120">
        <f t="shared" si="42"/>
        <v>1</v>
      </c>
      <c r="Y93" s="69">
        <f t="shared" si="33"/>
        <v>23.2973</v>
      </c>
      <c r="Z93" s="69">
        <f t="shared" si="34"/>
        <v>1.47E-2</v>
      </c>
      <c r="AA93" s="69">
        <f t="shared" si="35"/>
        <v>23.282599999999999</v>
      </c>
      <c r="AB93" s="66" t="e">
        <f>VLOOKUP(A93,Enforcements!$C$7:$J$21,8,0)</f>
        <v>#N/A</v>
      </c>
      <c r="AC93" s="62" t="e">
        <f>VLOOKUP(A93,Enforcements!$C$7:$E$21,3,0)</f>
        <v>#N/A</v>
      </c>
      <c r="AD93" s="63" t="str">
        <f t="shared" si="36"/>
        <v>0178-30</v>
      </c>
      <c r="AE93" s="99" t="str">
        <f t="shared" si="37"/>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93" s="96" t="str">
        <f t="shared" si="38"/>
        <v>"C:\Program Files (x86)\AstroGrep\AstroGrep.exe" /spath="%USERPROFILE%\AppData\Local\Temp\OnboardLogs" /stypes="*4017*20160830*" /stext=" 20:.+((SYSTEM_STATE.+slice.+state.+changed )|(ment ac)|(system.+state.+changed )|(\|lc)|(penalty)|(\[timeout)|(PRM\|1\|D)|(kpr)|(kdp))" /e /r /s</v>
      </c>
      <c r="AG93" s="1" t="str">
        <f t="shared" si="39"/>
        <v>EC</v>
      </c>
      <c r="AH93" s="100" t="str">
        <f t="shared" si="40"/>
        <v>"%USERPROFILE%\Documents\GitHub\eaglep3\Utilities\RefineRTDCRunTimes.py" --tripid 178-30 --locoid 4017 --swversion DE.1.0.7.0 --startMP 204:232973 --initTime 2016-08-30T14:05:36 --startdatetime 2016-08-30T14:11:17 --delay 1 --endMP 204:147 --enddatetime 2016-08-30T14:51:21 --enforcementcount 0 &gt;&gt;C:\Users\stu\Documents\GitHub\eaglep3-reporting\EC\2016-08-30-refined-times.txt</v>
      </c>
      <c r="AI93" s="149" t="str">
        <f t="shared" si="41"/>
        <v>echo {"issue":{"subject":"","project_id":79,"tracker_id":40,"status_id":1,"priority_id":2,"assigned_to_id":23,"start_date":"2016-08-30","description":"","custom_fields":[{"id":1,"name":"Subdivision","value":"EC"},{"id":4,"name":"Milepost","value":"23.2826"},{"id":17,"name":"Train ID","value":"178-30"},{"id":16,"name":"Locomotive ID","value":"4017"},{"id":130,"name":"Impact","value":""},{"id":150,"name":"Time of Event (Mountain Time)","value":"14:51:21"},{"id":151,"name":"Denver Issue ID","value":""},{"id":178,"name":"Operational Impact","value":"Yes"},{"id":179,"name":"Denver Segment Assigned","value":""}]}} | curl -X POST -H "Content-Type: application/json" -H "X-Redmine-API-Key: d6333d4a04012a730768444271f8ca06482dae87" https://secure.xorail.net/redmine/issues.json --data @-</v>
      </c>
      <c r="AJ93" s="55"/>
      <c r="AK93" s="55"/>
      <c r="AL93" s="55"/>
    </row>
    <row r="94" spans="1:38" x14ac:dyDescent="0.25">
      <c r="A94" s="39" t="s">
        <v>476</v>
      </c>
      <c r="B94" s="7">
        <v>4029</v>
      </c>
      <c r="C94" s="24" t="s">
        <v>113</v>
      </c>
      <c r="D94" s="24" t="s">
        <v>175</v>
      </c>
      <c r="E94" s="15">
        <v>42612.558634259258</v>
      </c>
      <c r="F94" s="15">
        <v>42612.562731481485</v>
      </c>
      <c r="G94" s="7">
        <v>1</v>
      </c>
      <c r="H94" s="15" t="s">
        <v>266</v>
      </c>
      <c r="I94" s="15">
        <v>42612.588402777779</v>
      </c>
      <c r="J94" s="7">
        <v>0</v>
      </c>
      <c r="K94" s="132" t="str">
        <f t="shared" si="28"/>
        <v>4029/4030</v>
      </c>
      <c r="L94" s="24" t="str">
        <f>VLOOKUP(A94,'Trips&amp;Operators'!$C$1:$E$10000,3,FALSE)</f>
        <v>BROWN</v>
      </c>
      <c r="M94" s="6">
        <f t="shared" si="29"/>
        <v>2.5671296294603962E-2</v>
      </c>
      <c r="N94" s="7">
        <f t="shared" si="43"/>
        <v>36.966666664229706</v>
      </c>
      <c r="O94" s="7"/>
      <c r="P94" s="7"/>
      <c r="Q94" s="25"/>
      <c r="R94" s="25"/>
      <c r="S94" s="37">
        <f t="shared" si="26"/>
        <v>1</v>
      </c>
      <c r="T94" s="52" t="str">
        <f t="shared" si="30"/>
        <v>NorthBound</v>
      </c>
      <c r="U94" s="126">
        <f>IF(AG94="EC",COUNTIFS(Variables!$M$2:$M$19,IF(T94="NorthBound","&gt;=","&lt;=")&amp;Y94,Variables!$M$2:$M$19,IF(T94="NorthBound","&lt;=","&gt;=")&amp;Z94),COUNTIFS(Variables!$P$2:$P$19,IF(T94="NorthBound","&gt;=","&lt;=")&amp;Y94,Variables!$P$2:$P$19,IF(T94="NorthBound","&lt;=","&gt;=")&amp;Z94))</f>
        <v>12</v>
      </c>
      <c r="V94" s="106" t="str">
        <f t="shared" si="31"/>
        <v>https://search-rtdc-monitor-bjffxe2xuh6vdkpspy63sjmuny.us-east-1.es.amazonaws.com/_plugin/kibana/#/discover/Steve-Slow-Train-Analysis-(2080s-and-2083s)?_g=(refreshInterval:(display:Off,section:0,value:0),time:(from:'2016-08-30 12:24:26-0600',mode:absolute,to:'2016-08-30 15:07: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94" s="54" t="str">
        <f t="shared" si="32"/>
        <v>N</v>
      </c>
      <c r="X94" s="120">
        <f t="shared" si="42"/>
        <v>1</v>
      </c>
      <c r="Y94" s="69">
        <f t="shared" si="33"/>
        <v>4.4699999999999997E-2</v>
      </c>
      <c r="Z94" s="69">
        <f t="shared" si="34"/>
        <v>23.335899999999999</v>
      </c>
      <c r="AA94" s="69">
        <f t="shared" si="35"/>
        <v>23.2912</v>
      </c>
      <c r="AB94" s="66" t="e">
        <f>VLOOKUP(A94,Enforcements!$C$7:$J$21,8,0)</f>
        <v>#N/A</v>
      </c>
      <c r="AC94" s="62" t="e">
        <f>VLOOKUP(A94,Enforcements!$C$7:$E$21,3,0)</f>
        <v>#N/A</v>
      </c>
      <c r="AD94" s="63" t="str">
        <f t="shared" si="36"/>
        <v>0179-30</v>
      </c>
      <c r="AE94" s="99" t="str">
        <f t="shared" si="37"/>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94" s="96" t="str">
        <f t="shared" si="38"/>
        <v>"C:\Program Files (x86)\AstroGrep\AstroGrep.exe" /spath="%USERPROFILE%\AppData\Local\Temp\OnboardLogs" /stypes="*4029*20160830*" /stext=" 20:.+((SYSTEM_STATE.+slice.+state.+changed )|(ment ac)|(system.+state.+changed )|(\|lc)|(penalty)|(\[timeout)|(PRM\|1\|D)|(kpr)|(kdp))" /e /r /s</v>
      </c>
      <c r="AG94" s="1" t="str">
        <f t="shared" si="39"/>
        <v>EC</v>
      </c>
      <c r="AH94" s="100" t="str">
        <f t="shared" si="40"/>
        <v>"%USERPROFILE%\Documents\GitHub\eaglep3\Utilities\RefineRTDCRunTimes.py" --tripid 179-30 --locoid 4029 --swversion DE.1.0.7.0 --startMP 204:447 --initTime 2016-08-30T13:24:26 --startdatetime 2016-08-30T13:30:20 --delay 1 --endMP 204:233359 --enddatetime 2016-08-30T14:07:18 --enforcementcount 0 &gt;&gt;C:\Users\stu\Documents\GitHub\eaglep3-reporting\EC\2016-08-30-refined-times.txt</v>
      </c>
      <c r="AI94" s="149" t="str">
        <f t="shared" si="41"/>
        <v>echo {"issue":{"subject":"","project_id":79,"tracker_id":40,"status_id":1,"priority_id":2,"assigned_to_id":23,"start_date":"2016-08-30","description":"","custom_fields":[{"id":1,"name":"Subdivision","value":"EC"},{"id":4,"name":"Milepost","value":"23.2912"},{"id":17,"name":"Train ID","value":"179-30"},{"id":16,"name":"Locomotive ID","value":"4029"},{"id":130,"name":"Impact","value":""},{"id":150,"name":"Time of Event (Mountain Time)","value":"14:07:18"},{"id":151,"name":"Denver Issue ID","value":""},{"id":178,"name":"Operational Impact","value":"Yes"},{"id":179,"name":"Denver Segment Assigned","value":""}]}} | curl -X POST -H "Content-Type: application/json" -H "X-Redmine-API-Key: d6333d4a04012a730768444271f8ca06482dae87" https://secure.xorail.net/redmine/issues.json --data @-</v>
      </c>
      <c r="AJ94" s="55"/>
      <c r="AK94" s="55"/>
      <c r="AL94" s="55"/>
    </row>
    <row r="95" spans="1:38" x14ac:dyDescent="0.25">
      <c r="A95" s="39" t="s">
        <v>485</v>
      </c>
      <c r="B95" s="7">
        <v>4030</v>
      </c>
      <c r="C95" s="24" t="s">
        <v>113</v>
      </c>
      <c r="D95" s="24" t="s">
        <v>620</v>
      </c>
      <c r="E95" s="15">
        <v>42612.593414351853</v>
      </c>
      <c r="F95" s="15">
        <v>42612.601643518516</v>
      </c>
      <c r="G95" s="7">
        <v>1</v>
      </c>
      <c r="H95" s="15" t="s">
        <v>167</v>
      </c>
      <c r="I95" s="15">
        <v>42612.630462962959</v>
      </c>
      <c r="J95" s="7">
        <v>0</v>
      </c>
      <c r="K95" s="132" t="str">
        <f t="shared" si="28"/>
        <v>4029/4030</v>
      </c>
      <c r="L95" s="24" t="str">
        <f>VLOOKUP(A95,'Trips&amp;Operators'!$C$1:$E$10000,3,FALSE)</f>
        <v>BROWN</v>
      </c>
      <c r="M95" s="6">
        <f t="shared" si="29"/>
        <v>2.8819444443797693E-2</v>
      </c>
      <c r="N95" s="7">
        <f t="shared" si="43"/>
        <v>41.499999999068677</v>
      </c>
      <c r="O95" s="7"/>
      <c r="P95" s="7"/>
      <c r="Q95" s="25"/>
      <c r="R95" s="25"/>
      <c r="S95" s="37">
        <f t="shared" si="26"/>
        <v>1</v>
      </c>
      <c r="T95" s="52" t="str">
        <f t="shared" si="30"/>
        <v>Southbound</v>
      </c>
      <c r="U95" s="126">
        <f>IF(AG95="EC",COUNTIFS(Variables!$M$2:$M$19,IF(T95="NorthBound","&gt;=","&lt;=")&amp;Y95,Variables!$M$2:$M$19,IF(T95="NorthBound","&lt;=","&gt;=")&amp;Z95),COUNTIFS(Variables!$P$2:$P$19,IF(T95="NorthBound","&gt;=","&lt;=")&amp;Y95,Variables!$P$2:$P$19,IF(T95="NorthBound","&lt;=","&gt;=")&amp;Z95))</f>
        <v>12</v>
      </c>
      <c r="V95" s="106" t="str">
        <f t="shared" si="31"/>
        <v>https://search-rtdc-monitor-bjffxe2xuh6vdkpspy63sjmuny.us-east-1.es.amazonaws.com/_plugin/kibana/#/discover/Steve-Slow-Train-Analysis-(2080s-and-2083s)?_g=(refreshInterval:(display:Off,section:0,value:0),time:(from:'2016-08-30 13:14:31-0600',mode:absolute,to:'2016-08-30 16:07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95" s="54" t="str">
        <f t="shared" si="32"/>
        <v>N</v>
      </c>
      <c r="X95" s="120">
        <f t="shared" si="42"/>
        <v>1</v>
      </c>
      <c r="Y95" s="69">
        <f t="shared" si="33"/>
        <v>23.301500000000001</v>
      </c>
      <c r="Z95" s="69">
        <f t="shared" si="34"/>
        <v>1.52E-2</v>
      </c>
      <c r="AA95" s="69">
        <f t="shared" si="35"/>
        <v>23.286300000000001</v>
      </c>
      <c r="AB95" s="66" t="e">
        <f>VLOOKUP(A95,Enforcements!$C$7:$J$21,8,0)</f>
        <v>#N/A</v>
      </c>
      <c r="AC95" s="62" t="e">
        <f>VLOOKUP(A95,Enforcements!$C$7:$E$21,3,0)</f>
        <v>#N/A</v>
      </c>
      <c r="AD95" s="63" t="str">
        <f t="shared" si="36"/>
        <v>0180-30</v>
      </c>
      <c r="AE95" s="99" t="str">
        <f t="shared" si="37"/>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95" s="96" t="str">
        <f t="shared" si="38"/>
        <v>"C:\Program Files (x86)\AstroGrep\AstroGrep.exe" /spath="%USERPROFILE%\AppData\Local\Temp\OnboardLogs" /stypes="*4030*20160830*" /stext=" 21:.+((SYSTEM_STATE.+slice.+state.+changed )|(ment ac)|(system.+state.+changed )|(\|lc)|(penalty)|(\[timeout)|(PRM\|1\|D)|(kpr)|(kdp))" /e /r /s</v>
      </c>
      <c r="AG95" s="1" t="str">
        <f t="shared" si="39"/>
        <v>EC</v>
      </c>
      <c r="AH95" s="100" t="str">
        <f t="shared" si="40"/>
        <v>"%USERPROFILE%\Documents\GitHub\eaglep3\Utilities\RefineRTDCRunTimes.py" --tripid 180-30 --locoid 4030 --swversion DE.1.0.7.0 --startMP 204:233015 --initTime 2016-08-30T14:14:31 --startdatetime 2016-08-30T14:26:22 --delay 1 --endMP 204:152 --enddatetime 2016-08-30T15:07:52 --enforcementcount 0 &gt;&gt;C:\Users\stu\Documents\GitHub\eaglep3-reporting\EC\2016-08-30-refined-times.txt</v>
      </c>
      <c r="AI95" s="149" t="str">
        <f t="shared" si="41"/>
        <v>echo {"issue":{"subject":"","project_id":79,"tracker_id":40,"status_id":1,"priority_id":2,"assigned_to_id":23,"start_date":"2016-08-30","description":"","custom_fields":[{"id":1,"name":"Subdivision","value":"EC"},{"id":4,"name":"Milepost","value":"23.2863"},{"id":17,"name":"Train ID","value":"180-30"},{"id":16,"name":"Locomotive ID","value":"4030"},{"id":130,"name":"Impact","value":""},{"id":150,"name":"Time of Event (Mountain Time)","value":"15:07:52"},{"id":151,"name":"Denver Issue ID","value":""},{"id":178,"name":"Operational Impact","value":"Yes"},{"id":179,"name":"Denver Segment Assigned","value":""}]}} | curl -X POST -H "Content-Type: application/json" -H "X-Redmine-API-Key: d6333d4a04012a730768444271f8ca06482dae87" https://secure.xorail.net/redmine/issues.json --data @-</v>
      </c>
      <c r="AJ95" s="55"/>
      <c r="AK95" s="55"/>
      <c r="AL95" s="55"/>
    </row>
    <row r="96" spans="1:38" s="23" customFormat="1" x14ac:dyDescent="0.25">
      <c r="A96" s="39" t="s">
        <v>479</v>
      </c>
      <c r="B96" s="7">
        <v>4011</v>
      </c>
      <c r="C96" s="24" t="s">
        <v>113</v>
      </c>
      <c r="D96" s="24" t="s">
        <v>621</v>
      </c>
      <c r="E96" s="15">
        <v>42612.571539351855</v>
      </c>
      <c r="F96" s="15">
        <v>42612.573229166665</v>
      </c>
      <c r="G96" s="7">
        <v>1</v>
      </c>
      <c r="H96" s="15" t="s">
        <v>622</v>
      </c>
      <c r="I96" s="15">
        <v>42612.601215277777</v>
      </c>
      <c r="J96" s="7">
        <v>0</v>
      </c>
      <c r="K96" s="132" t="str">
        <f t="shared" si="28"/>
        <v>4011/4012</v>
      </c>
      <c r="L96" s="24" t="str">
        <f>VLOOKUP(A96,'Trips&amp;Operators'!$C$1:$E$10000,3,FALSE)</f>
        <v>YOUNG</v>
      </c>
      <c r="M96" s="6">
        <f t="shared" si="29"/>
        <v>2.7986111112113576E-2</v>
      </c>
      <c r="N96" s="7">
        <f t="shared" si="43"/>
        <v>40.30000000144355</v>
      </c>
      <c r="O96" s="7"/>
      <c r="P96" s="7"/>
      <c r="Q96" s="25"/>
      <c r="R96" s="25"/>
      <c r="S96" s="37">
        <f t="shared" si="26"/>
        <v>1</v>
      </c>
      <c r="T96" s="52" t="str">
        <f t="shared" si="30"/>
        <v>NorthBound</v>
      </c>
      <c r="U96" s="126">
        <f>IF(AG96="EC",COUNTIFS(Variables!$M$2:$M$19,IF(T96="NorthBound","&gt;=","&lt;=")&amp;Y96,Variables!$M$2:$M$19,IF(T96="NorthBound","&lt;=","&gt;=")&amp;Z96),COUNTIFS(Variables!$P$2:$P$19,IF(T96="NorthBound","&gt;=","&lt;=")&amp;Y96,Variables!$P$2:$P$19,IF(T96="NorthBound","&lt;=","&gt;=")&amp;Z96))</f>
        <v>12</v>
      </c>
      <c r="V96" s="106" t="str">
        <f t="shared" si="31"/>
        <v>https://search-rtdc-monitor-bjffxe2xuh6vdkpspy63sjmuny.us-east-1.es.amazonaws.com/_plugin/kibana/#/discover/Steve-Slow-Train-Analysis-(2080s-and-2083s)?_g=(refreshInterval:(display:Off,section:0,value:0),time:(from:'2016-08-30 12:43:01-0600',mode:absolute,to:'2016-08-30 15: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96" s="54" t="str">
        <f t="shared" si="32"/>
        <v>N</v>
      </c>
      <c r="X96" s="120">
        <f t="shared" si="42"/>
        <v>1</v>
      </c>
      <c r="Y96" s="69">
        <f t="shared" si="33"/>
        <v>4.7800000000000002E-2</v>
      </c>
      <c r="Z96" s="69">
        <f t="shared" si="34"/>
        <v>23.3339</v>
      </c>
      <c r="AA96" s="69">
        <f t="shared" si="35"/>
        <v>23.286100000000001</v>
      </c>
      <c r="AB96" s="66" t="e">
        <f>VLOOKUP(A96,Enforcements!$C$7:$J$21,8,0)</f>
        <v>#N/A</v>
      </c>
      <c r="AC96" s="62" t="e">
        <f>VLOOKUP(A96,Enforcements!$C$7:$E$21,3,0)</f>
        <v>#N/A</v>
      </c>
      <c r="AD96" s="63" t="str">
        <f t="shared" si="36"/>
        <v>0181-30</v>
      </c>
      <c r="AE96" s="99" t="str">
        <f t="shared" si="37"/>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96" s="96" t="str">
        <f t="shared" si="38"/>
        <v>"C:\Program Files (x86)\AstroGrep\AstroGrep.exe" /spath="%USERPROFILE%\AppData\Local\Temp\OnboardLogs" /stypes="*4011*20160830*" /stext=" 20:.+((SYSTEM_STATE.+slice.+state.+changed )|(ment ac)|(system.+state.+changed )|(\|lc)|(penalty)|(\[timeout)|(PRM\|1\|D)|(kpr)|(kdp))" /e /r /s</v>
      </c>
      <c r="AG96" s="1" t="str">
        <f t="shared" si="39"/>
        <v>EC</v>
      </c>
      <c r="AH96" s="100" t="str">
        <f t="shared" si="40"/>
        <v>"%USERPROFILE%\Documents\GitHub\eaglep3\Utilities\RefineRTDCRunTimes.py" --tripid 181-30 --locoid 4011 --swversion DE.1.0.7.0 --startMP 204:478 --initTime 2016-08-30T13:43:01 --startdatetime 2016-08-30T13:45:27 --delay 1 --endMP 204:233339 --enddatetime 2016-08-30T14:25:45 --enforcementcount 0 &gt;&gt;C:\Users\stu\Documents\GitHub\eaglep3-reporting\EC\2016-08-30-refined-times.txt</v>
      </c>
      <c r="AI96" s="149" t="str">
        <f t="shared" si="41"/>
        <v>echo {"issue":{"subject":"","project_id":79,"tracker_id":40,"status_id":1,"priority_id":2,"assigned_to_id":23,"start_date":"2016-08-30","description":"","custom_fields":[{"id":1,"name":"Subdivision","value":"EC"},{"id":4,"name":"Milepost","value":"23.2861"},{"id":17,"name":"Train ID","value":"181-30"},{"id":16,"name":"Locomotive ID","value":"4011"},{"id":130,"name":"Impact","value":""},{"id":150,"name":"Time of Event (Mountain Time)","value":"14:25:45"},{"id":151,"name":"Denver Issue ID","value":""},{"id":178,"name":"Operational Impact","value":"Yes"},{"id":179,"name":"Denver Segment Assigned","value":""}]}} | curl -X POST -H "Content-Type: application/json" -H "X-Redmine-API-Key: d6333d4a04012a730768444271f8ca06482dae87" https://secure.xorail.net/redmine/issues.json --data @-</v>
      </c>
      <c r="AJ96" s="55"/>
      <c r="AK96" s="55"/>
      <c r="AL96" s="55"/>
    </row>
    <row r="97" spans="1:38" s="23" customFormat="1" x14ac:dyDescent="0.25">
      <c r="A97" s="39" t="s">
        <v>487</v>
      </c>
      <c r="B97" s="7">
        <v>4012</v>
      </c>
      <c r="C97" s="24" t="s">
        <v>113</v>
      </c>
      <c r="D97" s="24" t="s">
        <v>296</v>
      </c>
      <c r="E97" s="15">
        <v>42612.604363425926</v>
      </c>
      <c r="F97" s="15">
        <v>42612.612256944441</v>
      </c>
      <c r="G97" s="7">
        <v>2</v>
      </c>
      <c r="H97" s="15" t="s">
        <v>623</v>
      </c>
      <c r="I97" s="15">
        <v>42612.644479166665</v>
      </c>
      <c r="J97" s="7">
        <v>0</v>
      </c>
      <c r="K97" s="132" t="str">
        <f t="shared" si="28"/>
        <v>4011/4012</v>
      </c>
      <c r="L97" s="24" t="str">
        <f>VLOOKUP(A97,'Trips&amp;Operators'!$C$1:$E$10000,3,FALSE)</f>
        <v>YOUNG</v>
      </c>
      <c r="M97" s="6">
        <f t="shared" si="29"/>
        <v>3.2222222223936114E-2</v>
      </c>
      <c r="N97" s="7">
        <f t="shared" si="43"/>
        <v>46.400000002468005</v>
      </c>
      <c r="O97" s="7"/>
      <c r="P97" s="7"/>
      <c r="Q97" s="25"/>
      <c r="R97" s="25"/>
      <c r="S97" s="37">
        <f t="shared" si="26"/>
        <v>1</v>
      </c>
      <c r="T97" s="52" t="str">
        <f t="shared" si="30"/>
        <v>Southbound</v>
      </c>
      <c r="U97" s="126">
        <f>IF(AG97="EC",COUNTIFS(Variables!$M$2:$M$19,IF(T97="NorthBound","&gt;=","&lt;=")&amp;Y97,Variables!$M$2:$M$19,IF(T97="NorthBound","&lt;=","&gt;=")&amp;Z97),COUNTIFS(Variables!$P$2:$P$19,IF(T97="NorthBound","&gt;=","&lt;=")&amp;Y97,Variables!$P$2:$P$19,IF(T97="NorthBound","&lt;=","&gt;=")&amp;Z97))</f>
        <v>12</v>
      </c>
      <c r="V97" s="106" t="str">
        <f t="shared" si="31"/>
        <v>https://search-rtdc-monitor-bjffxe2xuh6vdkpspy63sjmuny.us-east-1.es.amazonaws.com/_plugin/kibana/#/discover/Steve-Slow-Train-Analysis-(2080s-and-2083s)?_g=(refreshInterval:(display:Off,section:0,value:0),time:(from:'2016-08-30 13:30:17-0600',mode:absolute,to:'2016-08-30 16:28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97" s="54" t="str">
        <f t="shared" si="32"/>
        <v>N</v>
      </c>
      <c r="X97" s="120">
        <f t="shared" si="42"/>
        <v>1</v>
      </c>
      <c r="Y97" s="69">
        <f t="shared" si="33"/>
        <v>23.301300000000001</v>
      </c>
      <c r="Z97" s="69">
        <f t="shared" si="34"/>
        <v>1.8100000000000002E-2</v>
      </c>
      <c r="AA97" s="69">
        <f t="shared" si="35"/>
        <v>23.283200000000001</v>
      </c>
      <c r="AB97" s="66" t="e">
        <f>VLOOKUP(A97,Enforcements!$C$7:$J$21,8,0)</f>
        <v>#N/A</v>
      </c>
      <c r="AC97" s="62" t="e">
        <f>VLOOKUP(A97,Enforcements!$C$7:$E$21,3,0)</f>
        <v>#N/A</v>
      </c>
      <c r="AD97" s="63" t="str">
        <f t="shared" si="36"/>
        <v>0182-30</v>
      </c>
      <c r="AE97" s="99" t="str">
        <f t="shared" si="37"/>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97" s="96" t="str">
        <f t="shared" si="38"/>
        <v>"C:\Program Files (x86)\AstroGrep\AstroGrep.exe" /spath="%USERPROFILE%\AppData\Local\Temp\OnboardLogs" /stypes="*4012*20160830*" /stext=" 21:.+((SYSTEM_STATE.+slice.+state.+changed )|(ment ac)|(system.+state.+changed )|(\|lc)|(penalty)|(\[timeout)|(PRM\|1\|D)|(kpr)|(kdp))" /e /r /s</v>
      </c>
      <c r="AG97" s="1" t="str">
        <f t="shared" si="39"/>
        <v>EC</v>
      </c>
      <c r="AH97" s="100" t="str">
        <f t="shared" si="40"/>
        <v>"%USERPROFILE%\Documents\GitHub\eaglep3\Utilities\RefineRTDCRunTimes.py" --tripid 182-30 --locoid 4012 --swversion DE.1.0.7.0 --startMP 204:233013 --initTime 2016-08-30T14:30:17 --startdatetime 2016-08-30T14:41:39 --delay 2 --endMP 204:181 --enddatetime 2016-08-30T15:28:03 --enforcementcount 0 &gt;&gt;C:\Users\stu\Documents\GitHub\eaglep3-reporting\EC\2016-08-30-refined-times.txt</v>
      </c>
      <c r="AI97" s="149" t="str">
        <f t="shared" si="41"/>
        <v>echo {"issue":{"subject":"","project_id":79,"tracker_id":40,"status_id":1,"priority_id":2,"assigned_to_id":23,"start_date":"2016-08-30","description":"","custom_fields":[{"id":1,"name":"Subdivision","value":"EC"},{"id":4,"name":"Milepost","value":"23.2832"},{"id":17,"name":"Train ID","value":"182-30"},{"id":16,"name":"Locomotive ID","value":"4012"},{"id":130,"name":"Impact","value":""},{"id":150,"name":"Time of Event (Mountain Time)","value":"15:28:03"},{"id":151,"name":"Denver Issue ID","value":""},{"id":178,"name":"Operational Impact","value":"Yes"},{"id":179,"name":"Denver Segment Assigned","value":""}]}} | curl -X POST -H "Content-Type: application/json" -H "X-Redmine-API-Key: d6333d4a04012a730768444271f8ca06482dae87" https://secure.xorail.net/redmine/issues.json --data @-</v>
      </c>
      <c r="AJ97" s="55"/>
      <c r="AK97" s="55"/>
      <c r="AL97" s="55"/>
    </row>
    <row r="98" spans="1:38" s="23" customFormat="1" x14ac:dyDescent="0.25">
      <c r="A98" s="39" t="s">
        <v>481</v>
      </c>
      <c r="B98" s="7">
        <v>4042</v>
      </c>
      <c r="C98" s="24" t="s">
        <v>113</v>
      </c>
      <c r="D98" s="24" t="s">
        <v>190</v>
      </c>
      <c r="E98" s="15">
        <v>42612.582615740743</v>
      </c>
      <c r="F98" s="15">
        <v>42612.584537037037</v>
      </c>
      <c r="G98" s="7">
        <v>1</v>
      </c>
      <c r="H98" s="15" t="s">
        <v>178</v>
      </c>
      <c r="I98" s="15">
        <v>42612.610150462962</v>
      </c>
      <c r="J98" s="7">
        <v>0</v>
      </c>
      <c r="K98" s="132" t="str">
        <f t="shared" si="28"/>
        <v>4041/4042</v>
      </c>
      <c r="L98" s="24" t="str">
        <f>VLOOKUP(A98,'Trips&amp;Operators'!$C$1:$E$10000,3,FALSE)</f>
        <v>CLARK</v>
      </c>
      <c r="M98" s="6">
        <f t="shared" si="29"/>
        <v>2.5613425925257616E-2</v>
      </c>
      <c r="N98" s="7">
        <f t="shared" si="43"/>
        <v>36.883333332370967</v>
      </c>
      <c r="O98" s="7"/>
      <c r="P98" s="7"/>
      <c r="Q98" s="25"/>
      <c r="R98" s="25"/>
      <c r="S98" s="37">
        <f t="shared" si="26"/>
        <v>1</v>
      </c>
      <c r="T98" s="52" t="str">
        <f t="shared" si="30"/>
        <v>NorthBound</v>
      </c>
      <c r="U98" s="126">
        <f>IF(AG98="EC",COUNTIFS(Variables!$M$2:$M$19,IF(T98="NorthBound","&gt;=","&lt;=")&amp;Y98,Variables!$M$2:$M$19,IF(T98="NorthBound","&lt;=","&gt;=")&amp;Z98),COUNTIFS(Variables!$P$2:$P$19,IF(T98="NorthBound","&gt;=","&lt;=")&amp;Y98,Variables!$P$2:$P$19,IF(T98="NorthBound","&lt;=","&gt;=")&amp;Z98))</f>
        <v>12</v>
      </c>
      <c r="V98" s="106" t="str">
        <f t="shared" si="31"/>
        <v>https://search-rtdc-monitor-bjffxe2xuh6vdkpspy63sjmuny.us-east-1.es.amazonaws.com/_plugin/kibana/#/discover/Steve-Slow-Train-Analysis-(2080s-and-2083s)?_g=(refreshInterval:(display:Off,section:0,value:0),time:(from:'2016-08-30 12:58:58-0600',mode:absolute,to:'2016-08-30 15:38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98" s="54" t="str">
        <f t="shared" si="32"/>
        <v>N</v>
      </c>
      <c r="X98" s="120">
        <f t="shared" si="42"/>
        <v>1</v>
      </c>
      <c r="Y98" s="69">
        <f t="shared" si="33"/>
        <v>4.6399999999999997E-2</v>
      </c>
      <c r="Z98" s="69">
        <f t="shared" si="34"/>
        <v>23.3293</v>
      </c>
      <c r="AA98" s="69">
        <f t="shared" si="35"/>
        <v>23.282900000000001</v>
      </c>
      <c r="AB98" s="66" t="e">
        <f>VLOOKUP(A98,Enforcements!$C$7:$J$21,8,0)</f>
        <v>#N/A</v>
      </c>
      <c r="AC98" s="62" t="e">
        <f>VLOOKUP(A98,Enforcements!$C$7:$E$21,3,0)</f>
        <v>#N/A</v>
      </c>
      <c r="AD98" s="63" t="str">
        <f t="shared" si="36"/>
        <v>0183-30</v>
      </c>
      <c r="AE98" s="99" t="str">
        <f t="shared" si="37"/>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98" s="96" t="str">
        <f t="shared" si="38"/>
        <v>"C:\Program Files (x86)\AstroGrep\AstroGrep.exe" /spath="%USERPROFILE%\AppData\Local\Temp\OnboardLogs" /stypes="*4042*20160830*" /stext=" 20:.+((SYSTEM_STATE.+slice.+state.+changed )|(ment ac)|(system.+state.+changed )|(\|lc)|(penalty)|(\[timeout)|(PRM\|1\|D)|(kpr)|(kdp))" /e /r /s</v>
      </c>
      <c r="AG98" s="1" t="str">
        <f t="shared" si="39"/>
        <v>EC</v>
      </c>
      <c r="AH98" s="100" t="str">
        <f t="shared" si="40"/>
        <v>"%USERPROFILE%\Documents\GitHub\eaglep3\Utilities\RefineRTDCRunTimes.py" --tripid 183-30 --locoid 4042 --swversion DE.1.0.7.0 --startMP 204:464 --initTime 2016-08-30T13:58:58 --startdatetime 2016-08-30T14:01:44 --delay 1 --endMP 204:233293 --enddatetime 2016-08-30T14:38:37 --enforcementcount 0 &gt;&gt;C:\Users\stu\Documents\GitHub\eaglep3-reporting\EC\2016-08-30-refined-times.txt</v>
      </c>
      <c r="AI98" s="149" t="str">
        <f t="shared" si="41"/>
        <v>echo {"issue":{"subject":"","project_id":79,"tracker_id":40,"status_id":1,"priority_id":2,"assigned_to_id":23,"start_date":"2016-08-30","description":"","custom_fields":[{"id":1,"name":"Subdivision","value":"EC"},{"id":4,"name":"Milepost","value":"23.2829"},{"id":17,"name":"Train ID","value":"183-30"},{"id":16,"name":"Locomotive ID","value":"4042"},{"id":130,"name":"Impact","value":""},{"id":150,"name":"Time of Event (Mountain Time)","value":"14:38:37"},{"id":151,"name":"Denver Issue ID","value":""},{"id":178,"name":"Operational Impact","value":"Yes"},{"id":179,"name":"Denver Segment Assigned","value":""}]}} | curl -X POST -H "Content-Type: application/json" -H "X-Redmine-API-Key: d6333d4a04012a730768444271f8ca06482dae87" https://secure.xorail.net/redmine/issues.json --data @-</v>
      </c>
      <c r="AJ98" s="55"/>
      <c r="AK98" s="55"/>
      <c r="AL98" s="55"/>
    </row>
    <row r="99" spans="1:38" s="23" customFormat="1" x14ac:dyDescent="0.25">
      <c r="A99" s="39" t="s">
        <v>490</v>
      </c>
      <c r="B99" s="7">
        <v>4041</v>
      </c>
      <c r="C99" s="24" t="s">
        <v>113</v>
      </c>
      <c r="D99" s="24" t="s">
        <v>257</v>
      </c>
      <c r="E99" s="15">
        <v>42612.617314814815</v>
      </c>
      <c r="F99" s="15">
        <v>42612.622604166667</v>
      </c>
      <c r="G99" s="7">
        <v>1</v>
      </c>
      <c r="H99" s="15" t="s">
        <v>167</v>
      </c>
      <c r="I99" s="15">
        <v>42612.651701388888</v>
      </c>
      <c r="J99" s="7">
        <v>0</v>
      </c>
      <c r="K99" s="132" t="str">
        <f t="shared" si="28"/>
        <v>4041/4042</v>
      </c>
      <c r="L99" s="24" t="str">
        <f>VLOOKUP(A99,'Trips&amp;Operators'!$C$1:$E$10000,3,FALSE)</f>
        <v>CLARK</v>
      </c>
      <c r="M99" s="6">
        <f t="shared" si="29"/>
        <v>2.9097222221025731E-2</v>
      </c>
      <c r="N99" s="7">
        <f t="shared" si="43"/>
        <v>41.899999998277053</v>
      </c>
      <c r="O99" s="7"/>
      <c r="P99" s="7"/>
      <c r="Q99" s="25"/>
      <c r="R99" s="25"/>
      <c r="S99" s="37">
        <f t="shared" si="26"/>
        <v>1</v>
      </c>
      <c r="T99" s="52" t="str">
        <f t="shared" si="30"/>
        <v>Southbound</v>
      </c>
      <c r="U99" s="126">
        <f>IF(AG99="EC",COUNTIFS(Variables!$M$2:$M$19,IF(T99="NorthBound","&gt;=","&lt;=")&amp;Y99,Variables!$M$2:$M$19,IF(T99="NorthBound","&lt;=","&gt;=")&amp;Z99),COUNTIFS(Variables!$P$2:$P$19,IF(T99="NorthBound","&gt;=","&lt;=")&amp;Y99,Variables!$P$2:$P$19,IF(T99="NorthBound","&lt;=","&gt;=")&amp;Z99))</f>
        <v>12</v>
      </c>
      <c r="V99" s="106" t="str">
        <f t="shared" si="31"/>
        <v>https://search-rtdc-monitor-bjffxe2xuh6vdkpspy63sjmuny.us-east-1.es.amazonaws.com/_plugin/kibana/#/discover/Steve-Slow-Train-Analysis-(2080s-and-2083s)?_g=(refreshInterval:(display:Off,section:0,value:0),time:(from:'2016-08-30 13:48:56-0600',mode:absolute,to:'2016-08-30 16:38: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99" s="54" t="str">
        <f t="shared" si="32"/>
        <v>N</v>
      </c>
      <c r="X99" s="120">
        <f t="shared" si="42"/>
        <v>1</v>
      </c>
      <c r="Y99" s="69">
        <f t="shared" si="33"/>
        <v>23.298500000000001</v>
      </c>
      <c r="Z99" s="69">
        <f t="shared" si="34"/>
        <v>1.52E-2</v>
      </c>
      <c r="AA99" s="69">
        <f t="shared" si="35"/>
        <v>23.283300000000001</v>
      </c>
      <c r="AB99" s="66" t="e">
        <f>VLOOKUP(A99,Enforcements!$C$7:$J$21,8,0)</f>
        <v>#N/A</v>
      </c>
      <c r="AC99" s="62" t="e">
        <f>VLOOKUP(A99,Enforcements!$C$7:$E$21,3,0)</f>
        <v>#N/A</v>
      </c>
      <c r="AD99" s="63" t="str">
        <f t="shared" si="36"/>
        <v>0184-30</v>
      </c>
      <c r="AE99" s="99" t="str">
        <f t="shared" si="37"/>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99" s="96" t="str">
        <f t="shared" si="38"/>
        <v>"C:\Program Files (x86)\AstroGrep\AstroGrep.exe" /spath="%USERPROFILE%\AppData\Local\Temp\OnboardLogs" /stypes="*4041*20160830*" /stext=" 21:.+((SYSTEM_STATE.+slice.+state.+changed )|(ment ac)|(system.+state.+changed )|(\|lc)|(penalty)|(\[timeout)|(PRM\|1\|D)|(kpr)|(kdp))" /e /r /s</v>
      </c>
      <c r="AG99" s="1" t="str">
        <f t="shared" si="39"/>
        <v>EC</v>
      </c>
      <c r="AH99" s="100" t="str">
        <f t="shared" si="40"/>
        <v>"%USERPROFILE%\Documents\GitHub\eaglep3\Utilities\RefineRTDCRunTimes.py" --tripid 184-30 --locoid 4041 --swversion DE.1.0.7.0 --startMP 204:232985 --initTime 2016-08-30T14:48:56 --startdatetime 2016-08-30T14:56:33 --delay 1 --endMP 204:152 --enddatetime 2016-08-30T15:38:27 --enforcementcount 0 &gt;&gt;C:\Users\stu\Documents\GitHub\eaglep3-reporting\EC\2016-08-30-refined-times.txt</v>
      </c>
      <c r="AI99" s="149" t="str">
        <f t="shared" si="41"/>
        <v>echo {"issue":{"subject":"","project_id":79,"tracker_id":40,"status_id":1,"priority_id":2,"assigned_to_id":23,"start_date":"2016-08-30","description":"","custom_fields":[{"id":1,"name":"Subdivision","value":"EC"},{"id":4,"name":"Milepost","value":"23.2833"},{"id":17,"name":"Train ID","value":"184-30"},{"id":16,"name":"Locomotive ID","value":"4041"},{"id":130,"name":"Impact","value":""},{"id":150,"name":"Time of Event (Mountain Time)","value":"15:38:27"},{"id":151,"name":"Denver Issue ID","value":""},{"id":178,"name":"Operational Impact","value":"Yes"},{"id":179,"name":"Denver Segment Assigned","value":""}]}} | curl -X POST -H "Content-Type: application/json" -H "X-Redmine-API-Key: d6333d4a04012a730768444271f8ca06482dae87" https://secure.xorail.net/redmine/issues.json --data @-</v>
      </c>
      <c r="AJ99" s="55"/>
      <c r="AK99" s="55"/>
      <c r="AL99" s="55"/>
    </row>
    <row r="100" spans="1:38" x14ac:dyDescent="0.25">
      <c r="A100" s="39" t="s">
        <v>482</v>
      </c>
      <c r="B100" s="7">
        <v>4038</v>
      </c>
      <c r="C100" s="24" t="s">
        <v>113</v>
      </c>
      <c r="D100" s="24" t="s">
        <v>253</v>
      </c>
      <c r="E100" s="15">
        <v>42612.583391203705</v>
      </c>
      <c r="F100" s="15">
        <v>42612.593969907408</v>
      </c>
      <c r="G100" s="7">
        <v>2</v>
      </c>
      <c r="H100" s="15" t="s">
        <v>254</v>
      </c>
      <c r="I100" s="15">
        <v>42612.62226851852</v>
      </c>
      <c r="J100" s="7">
        <v>0</v>
      </c>
      <c r="K100" s="132" t="str">
        <f t="shared" si="28"/>
        <v>4037/4038</v>
      </c>
      <c r="L100" s="24" t="str">
        <f>VLOOKUP(A100,'Trips&amp;Operators'!$C$1:$E$10000,3,FALSE)</f>
        <v>WEBSTER</v>
      </c>
      <c r="M100" s="6">
        <f t="shared" si="29"/>
        <v>2.8298611112404615E-2</v>
      </c>
      <c r="N100" s="7">
        <f t="shared" si="43"/>
        <v>40.750000001862645</v>
      </c>
      <c r="O100" s="7"/>
      <c r="P100" s="7"/>
      <c r="Q100" s="25"/>
      <c r="R100" s="25"/>
      <c r="S100" s="37">
        <f t="shared" si="26"/>
        <v>1</v>
      </c>
      <c r="T100" s="52" t="str">
        <f t="shared" si="30"/>
        <v>NorthBound</v>
      </c>
      <c r="U100" s="126">
        <f>IF(AG100="EC",COUNTIFS(Variables!$M$2:$M$19,IF(T100="NorthBound","&gt;=","&lt;=")&amp;Y100,Variables!$M$2:$M$19,IF(T100="NorthBound","&lt;=","&gt;=")&amp;Z100),COUNTIFS(Variables!$P$2:$P$19,IF(T100="NorthBound","&gt;=","&lt;=")&amp;Y100,Variables!$P$2:$P$19,IF(T100="NorthBound","&lt;=","&gt;=")&amp;Z100))</f>
        <v>12</v>
      </c>
      <c r="V100" s="106" t="str">
        <f t="shared" si="31"/>
        <v>https://search-rtdc-monitor-bjffxe2xuh6vdkpspy63sjmuny.us-east-1.es.amazonaws.com/_plugin/kibana/#/discover/Steve-Slow-Train-Analysis-(2080s-and-2083s)?_g=(refreshInterval:(display:Off,section:0,value:0),time:(from:'2016-08-30 13:00:05-0600',mode:absolute,to:'2016-08-30 15:56: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100" s="54" t="str">
        <f t="shared" si="32"/>
        <v>N</v>
      </c>
      <c r="X100" s="120">
        <f t="shared" si="42"/>
        <v>1</v>
      </c>
      <c r="Y100" s="69">
        <f t="shared" si="33"/>
        <v>4.58E-2</v>
      </c>
      <c r="Z100" s="69">
        <f t="shared" si="34"/>
        <v>23.331600000000002</v>
      </c>
      <c r="AA100" s="69">
        <f t="shared" si="35"/>
        <v>23.285800000000002</v>
      </c>
      <c r="AB100" s="66" t="e">
        <f>VLOOKUP(A100,Enforcements!$C$7:$J$21,8,0)</f>
        <v>#N/A</v>
      </c>
      <c r="AC100" s="62" t="e">
        <f>VLOOKUP(A100,Enforcements!$C$7:$E$21,3,0)</f>
        <v>#N/A</v>
      </c>
      <c r="AD100" s="63" t="str">
        <f t="shared" si="36"/>
        <v>0185-30</v>
      </c>
      <c r="AE100" s="99" t="str">
        <f t="shared" si="37"/>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100" s="96" t="str">
        <f t="shared" si="38"/>
        <v>"C:\Program Files (x86)\AstroGrep\AstroGrep.exe" /spath="%USERPROFILE%\AppData\Local\Temp\OnboardLogs" /stypes="*4038*20160830*" /stext=" 20:.+((SYSTEM_STATE.+slice.+state.+changed )|(ment ac)|(system.+state.+changed )|(\|lc)|(penalty)|(\[timeout)|(PRM\|1\|D)|(kpr)|(kdp))" /e /r /s</v>
      </c>
      <c r="AG100" s="1" t="str">
        <f t="shared" si="39"/>
        <v>EC</v>
      </c>
      <c r="AH100" s="100" t="str">
        <f t="shared" si="40"/>
        <v>"%USERPROFILE%\Documents\GitHub\eaglep3\Utilities\RefineRTDCRunTimes.py" --tripid 185-30 --locoid 4038 --swversion DE.1.0.7.0 --startMP 204:458 --initTime 2016-08-30T14:00:05 --startdatetime 2016-08-30T14:15:19 --delay 2 --endMP 204:233316 --enddatetime 2016-08-30T14:56:04 --enforcementcount 0 &gt;&gt;C:\Users\stu\Documents\GitHub\eaglep3-reporting\EC\2016-08-30-refined-times.txt</v>
      </c>
      <c r="AI100" s="149" t="str">
        <f t="shared" si="41"/>
        <v>echo {"issue":{"subject":"","project_id":79,"tracker_id":40,"status_id":1,"priority_id":2,"assigned_to_id":23,"start_date":"2016-08-30","description":"","custom_fields":[{"id":1,"name":"Subdivision","value":"EC"},{"id":4,"name":"Milepost","value":"23.2858"},{"id":17,"name":"Train ID","value":"185-30"},{"id":16,"name":"Locomotive ID","value":"4038"},{"id":130,"name":"Impact","value":""},{"id":150,"name":"Time of Event (Mountain Time)","value":"14:56:04"},{"id":151,"name":"Denver Issue ID","value":""},{"id":178,"name":"Operational Impact","value":"Yes"},{"id":179,"name":"Denver Segment Assigned","value":""}]}} | curl -X POST -H "Content-Type: application/json" -H "X-Redmine-API-Key: d6333d4a04012a730768444271f8ca06482dae87" https://secure.xorail.net/redmine/issues.json --data @-</v>
      </c>
      <c r="AJ100" s="55"/>
      <c r="AK100" s="55"/>
      <c r="AL100" s="55"/>
    </row>
    <row r="101" spans="1:38" s="23" customFormat="1" x14ac:dyDescent="0.25">
      <c r="A101" s="39" t="s">
        <v>492</v>
      </c>
      <c r="B101" s="7">
        <v>4037</v>
      </c>
      <c r="C101" s="24" t="s">
        <v>113</v>
      </c>
      <c r="D101" s="24" t="s">
        <v>181</v>
      </c>
      <c r="E101" s="15">
        <v>42612.63040509259</v>
      </c>
      <c r="F101" s="15">
        <v>42612.632986111108</v>
      </c>
      <c r="G101" s="7">
        <v>1</v>
      </c>
      <c r="H101" s="15" t="s">
        <v>167</v>
      </c>
      <c r="I101" s="15">
        <v>42612.665451388886</v>
      </c>
      <c r="J101" s="7">
        <v>0</v>
      </c>
      <c r="K101" s="132" t="str">
        <f t="shared" si="28"/>
        <v>4037/4038</v>
      </c>
      <c r="L101" s="24" t="str">
        <f>VLOOKUP(A101,'Trips&amp;Operators'!$C$1:$E$10000,3,FALSE)</f>
        <v>WEBSTER</v>
      </c>
      <c r="M101" s="6">
        <f t="shared" si="29"/>
        <v>3.2465277778101154E-2</v>
      </c>
      <c r="N101" s="7">
        <f t="shared" si="43"/>
        <v>46.750000000465661</v>
      </c>
      <c r="O101" s="7"/>
      <c r="P101" s="7"/>
      <c r="Q101" s="25"/>
      <c r="R101" s="25"/>
      <c r="S101" s="37">
        <f t="shared" si="26"/>
        <v>1</v>
      </c>
      <c r="T101" s="52" t="str">
        <f t="shared" si="30"/>
        <v>Southbound</v>
      </c>
      <c r="U101" s="126">
        <f>IF(AG101="EC",COUNTIFS(Variables!$M$2:$M$19,IF(T101="NorthBound","&gt;=","&lt;=")&amp;Y101,Variables!$M$2:$M$19,IF(T101="NorthBound","&lt;=","&gt;=")&amp;Z101),COUNTIFS(Variables!$P$2:$P$19,IF(T101="NorthBound","&gt;=","&lt;=")&amp;Y101,Variables!$P$2:$P$19,IF(T101="NorthBound","&lt;=","&gt;=")&amp;Z101))</f>
        <v>12</v>
      </c>
      <c r="V101" s="106" t="str">
        <f t="shared" si="31"/>
        <v>https://search-rtdc-monitor-bjffxe2xuh6vdkpspy63sjmuny.us-east-1.es.amazonaws.com/_plugin/kibana/#/discover/Steve-Slow-Train-Analysis-(2080s-and-2083s)?_g=(refreshInterval:(display:Off,section:0,value:0),time:(from:'2016-08-30 14:07:47-0600',mode:absolute,to:'2016-08-30 16:58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4037%22')),sort:!(Time,asc))</v>
      </c>
      <c r="W101" s="54" t="str">
        <f t="shared" si="32"/>
        <v>N</v>
      </c>
      <c r="X101" s="120">
        <f t="shared" si="42"/>
        <v>1</v>
      </c>
      <c r="Y101" s="69">
        <f t="shared" si="33"/>
        <v>23.2986</v>
      </c>
      <c r="Z101" s="69">
        <f t="shared" si="34"/>
        <v>1.52E-2</v>
      </c>
      <c r="AA101" s="69">
        <f t="shared" si="35"/>
        <v>23.2834</v>
      </c>
      <c r="AB101" s="66" t="e">
        <f>VLOOKUP(A101,Enforcements!$C$7:$J$21,8,0)</f>
        <v>#N/A</v>
      </c>
      <c r="AC101" s="62" t="e">
        <f>VLOOKUP(A101,Enforcements!$C$7:$E$21,3,0)</f>
        <v>#N/A</v>
      </c>
      <c r="AD101" s="63" t="str">
        <f t="shared" si="36"/>
        <v>0186-30</v>
      </c>
      <c r="AE101" s="99" t="str">
        <f t="shared" si="37"/>
        <v>aws s3 cp s3://rtdc.mdm.uploadarchive/RTDC4037/2016-08-30/ "%USERPROFILE%\AppData\Local\Temp\OnboardLogs"\RTDC4037\2016-08-30 --recursive &amp; "%USERPROFILE%\Documents\GitHub\mrs-test-scripts\Headless Mode &amp; Sideloading\WalkAndUnGZ.bat" "%USERPROFILE%\AppData\Local\Temp\OnboardLogs"\RTDC4037\2016-08-30 &amp; aws s3 cp s3://rtdc.mdm.uploadarchive/RTDC4037/2016-08-31/ "%USERPROFILE%\AppData\Local\Temp\OnboardLogs"\RTDC4037\2016-08-31 --recursive &amp; "%USERPROFILE%\Documents\GitHub\mrs-test-scripts\Headless Mode &amp; Sideloading\WalkAndUnGZ.bat" "%USERPROFILE%\AppData\Local\Temp\OnboardLogs"\RTDC4037\2016-08-31</v>
      </c>
      <c r="AF101" s="96" t="str">
        <f t="shared" si="38"/>
        <v>"C:\Program Files (x86)\AstroGrep\AstroGrep.exe" /spath="%USERPROFILE%\AppData\Local\Temp\OnboardLogs" /stypes="*4037*20160830*" /stext=" 21:.+((SYSTEM_STATE.+slice.+state.+changed )|(ment ac)|(system.+state.+changed )|(\|lc)|(penalty)|(\[timeout)|(PRM\|1\|D)|(kpr)|(kdp))" /e /r /s</v>
      </c>
      <c r="AG101" s="1" t="str">
        <f t="shared" si="39"/>
        <v>EC</v>
      </c>
      <c r="AH101" s="100" t="str">
        <f t="shared" si="40"/>
        <v>"%USERPROFILE%\Documents\GitHub\eaglep3\Utilities\RefineRTDCRunTimes.py" --tripid 186-30 --locoid 4037 --swversion DE.1.0.7.0 --startMP 204:232986 --initTime 2016-08-30T15:07:47 --startdatetime 2016-08-30T15:11:30 --delay 1 --endMP 204:152 --enddatetime 2016-08-30T15:58:15 --enforcementcount 0 &gt;&gt;C:\Users\stu\Documents\GitHub\eaglep3-reporting\EC\2016-08-30-refined-times.txt</v>
      </c>
      <c r="AI101" s="149" t="str">
        <f t="shared" si="41"/>
        <v>echo {"issue":{"subject":"","project_id":79,"tracker_id":40,"status_id":1,"priority_id":2,"assigned_to_id":23,"start_date":"2016-08-30","description":"","custom_fields":[{"id":1,"name":"Subdivision","value":"EC"},{"id":4,"name":"Milepost","value":"23.2834"},{"id":17,"name":"Train ID","value":"186-30"},{"id":16,"name":"Locomotive ID","value":"4037"},{"id":130,"name":"Impact","value":""},{"id":150,"name":"Time of Event (Mountain Time)","value":"15:58:15"},{"id":151,"name":"Denver Issue ID","value":""},{"id":178,"name":"Operational Impact","value":"Yes"},{"id":179,"name":"Denver Segment Assigned","value":""}]}} | curl -X POST -H "Content-Type: application/json" -H "X-Redmine-API-Key: d6333d4a04012a730768444271f8ca06482dae87" https://secure.xorail.net/redmine/issues.json --data @-</v>
      </c>
      <c r="AJ101" s="55"/>
      <c r="AK101" s="55"/>
      <c r="AL101" s="55"/>
    </row>
    <row r="102" spans="1:38" x14ac:dyDescent="0.25">
      <c r="A102" s="39" t="s">
        <v>486</v>
      </c>
      <c r="B102" s="7">
        <v>4016</v>
      </c>
      <c r="C102" s="24" t="s">
        <v>113</v>
      </c>
      <c r="D102" s="24" t="s">
        <v>180</v>
      </c>
      <c r="E102" s="15">
        <v>42612.602025462962</v>
      </c>
      <c r="F102" s="15">
        <v>42612.604594907411</v>
      </c>
      <c r="G102" s="7">
        <v>1</v>
      </c>
      <c r="H102" s="15" t="s">
        <v>178</v>
      </c>
      <c r="I102" s="15">
        <v>42612.630324074074</v>
      </c>
      <c r="J102" s="7">
        <v>0</v>
      </c>
      <c r="K102" s="132" t="str">
        <f t="shared" si="28"/>
        <v>4015/4016</v>
      </c>
      <c r="L102" s="24" t="str">
        <f>VLOOKUP(A102,'Trips&amp;Operators'!$C$1:$E$10000,3,FALSE)</f>
        <v>BARTLETT</v>
      </c>
      <c r="M102" s="6">
        <f t="shared" si="29"/>
        <v>2.5729166663950309E-2</v>
      </c>
      <c r="N102" s="7">
        <f t="shared" si="43"/>
        <v>37.049999996088445</v>
      </c>
      <c r="O102" s="7"/>
      <c r="P102" s="7"/>
      <c r="Q102" s="25"/>
      <c r="R102" s="25"/>
      <c r="S102" s="37">
        <f t="shared" ref="S102:S133" si="44">SUM(U102:U102)/IF(AG102="EC",12,1)</f>
        <v>1</v>
      </c>
      <c r="T102" s="52" t="str">
        <f t="shared" si="30"/>
        <v>NorthBound</v>
      </c>
      <c r="U102" s="126">
        <f>IF(AG102="EC",COUNTIFS(Variables!$M$2:$M$19,IF(T102="NorthBound","&gt;=","&lt;=")&amp;Y102,Variables!$M$2:$M$19,IF(T102="NorthBound","&lt;=","&gt;=")&amp;Z102),COUNTIFS(Variables!$P$2:$P$19,IF(T102="NorthBound","&gt;=","&lt;=")&amp;Y102,Variables!$P$2:$P$19,IF(T102="NorthBound","&lt;=","&gt;=")&amp;Z102))</f>
        <v>12</v>
      </c>
      <c r="V102" s="106" t="str">
        <f t="shared" si="31"/>
        <v>https://search-rtdc-monitor-bjffxe2xuh6vdkpspy63sjmuny.us-east-1.es.amazonaws.com/_plugin/kibana/#/discover/Steve-Slow-Train-Analysis-(2080s-and-2083s)?_g=(refreshInterval:(display:Off,section:0,value:0),time:(from:'2016-08-30 13:26:55-0600',mode:absolute,to:'2016-08-30 16:07: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02" s="54" t="str">
        <f t="shared" si="32"/>
        <v>N</v>
      </c>
      <c r="X102" s="120">
        <f t="shared" si="42"/>
        <v>1</v>
      </c>
      <c r="Y102" s="69">
        <f t="shared" si="33"/>
        <v>4.5999999999999999E-2</v>
      </c>
      <c r="Z102" s="69">
        <f t="shared" si="34"/>
        <v>23.3293</v>
      </c>
      <c r="AA102" s="69">
        <f t="shared" si="35"/>
        <v>23.283300000000001</v>
      </c>
      <c r="AB102" s="66" t="e">
        <f>VLOOKUP(A102,Enforcements!$C$7:$J$21,8,0)</f>
        <v>#N/A</v>
      </c>
      <c r="AC102" s="62" t="e">
        <f>VLOOKUP(A102,Enforcements!$C$7:$E$21,3,0)</f>
        <v>#N/A</v>
      </c>
      <c r="AD102" s="63" t="str">
        <f t="shared" si="36"/>
        <v>0187-30</v>
      </c>
      <c r="AE102" s="99" t="str">
        <f t="shared" si="37"/>
        <v>aws s3 cp s3://rtdc.mdm.uploadarchive/RTDC4016/2016-08-30/ "%USERPROFILE%\AppData\Local\Temp\OnboardLogs"\RTDC4016\2016-08-30 --recursive &amp; "%USERPROFILE%\Documents\GitHub\mrs-test-scripts\Headless Mode &amp; Sideloading\WalkAndUnGZ.bat" "%USERPROFILE%\AppData\Local\Temp\OnboardLogs"\RTDC4016\2016-08-30 &amp; aws s3 cp s3://rtdc.mdm.uploadarchive/RTDC4016/2016-08-31/ "%USERPROFILE%\AppData\Local\Temp\OnboardLogs"\RTDC4016\2016-08-31 --recursive &amp; "%USERPROFILE%\Documents\GitHub\mrs-test-scripts\Headless Mode &amp; Sideloading\WalkAndUnGZ.bat" "%USERPROFILE%\AppData\Local\Temp\OnboardLogs"\RTDC4016\2016-08-31</v>
      </c>
      <c r="AF102" s="96" t="str">
        <f t="shared" si="38"/>
        <v>"C:\Program Files (x86)\AstroGrep\AstroGrep.exe" /spath="%USERPROFILE%\AppData\Local\Temp\OnboardLogs" /stypes="*4016*20160830*" /stext=" 21:.+((SYSTEM_STATE.+slice.+state.+changed )|(ment ac)|(system.+state.+changed )|(\|lc)|(penalty)|(\[timeout)|(PRM\|1\|D)|(kpr)|(kdp))" /e /r /s</v>
      </c>
      <c r="AG102" s="1" t="str">
        <f t="shared" si="39"/>
        <v>EC</v>
      </c>
      <c r="AH102" s="100" t="str">
        <f t="shared" si="40"/>
        <v>"%USERPROFILE%\Documents\GitHub\eaglep3\Utilities\RefineRTDCRunTimes.py" --tripid 187-30 --locoid 4016 --swversion DE.1.0.7.0 --startMP 204:460 --initTime 2016-08-30T14:26:55 --startdatetime 2016-08-30T14:30:37 --delay 1 --endMP 204:233293 --enddatetime 2016-08-30T15:07:40 --enforcementcount 0 &gt;&gt;C:\Users\stu\Documents\GitHub\eaglep3-reporting\EC\2016-08-30-refined-times.txt</v>
      </c>
      <c r="AI102" s="149" t="str">
        <f t="shared" si="41"/>
        <v>echo {"issue":{"subject":"","project_id":79,"tracker_id":40,"status_id":1,"priority_id":2,"assigned_to_id":23,"start_date":"2016-08-30","description":"","custom_fields":[{"id":1,"name":"Subdivision","value":"EC"},{"id":4,"name":"Milepost","value":"23.2833"},{"id":17,"name":"Train ID","value":"187-30"},{"id":16,"name":"Locomotive ID","value":"4016"},{"id":130,"name":"Impact","value":""},{"id":150,"name":"Time of Event (Mountain Time)","value":"15:07:40"},{"id":151,"name":"Denver Issue ID","value":""},{"id":178,"name":"Operational Impact","value":"Yes"},{"id":179,"name":"Denver Segment Assigned","value":""}]}} | curl -X POST -H "Content-Type: application/json" -H "X-Redmine-API-Key: d6333d4a04012a730768444271f8ca06482dae87" https://secure.xorail.net/redmine/issues.json --data @-</v>
      </c>
      <c r="AJ102" s="55"/>
      <c r="AK102" s="55"/>
      <c r="AL102" s="55"/>
    </row>
    <row r="103" spans="1:38" s="23" customFormat="1" x14ac:dyDescent="0.25">
      <c r="A103" s="39" t="s">
        <v>495</v>
      </c>
      <c r="B103" s="7">
        <v>4015</v>
      </c>
      <c r="C103" s="24" t="s">
        <v>113</v>
      </c>
      <c r="D103" s="24" t="s">
        <v>259</v>
      </c>
      <c r="E103" s="15">
        <v>42612.640023148146</v>
      </c>
      <c r="F103" s="15">
        <v>42612.643460648149</v>
      </c>
      <c r="G103" s="7">
        <v>1</v>
      </c>
      <c r="H103" s="15" t="s">
        <v>131</v>
      </c>
      <c r="I103" s="15">
        <v>42612.672303240739</v>
      </c>
      <c r="J103" s="7">
        <v>0</v>
      </c>
      <c r="K103" s="132" t="str">
        <f t="shared" si="28"/>
        <v>4015/4016</v>
      </c>
      <c r="L103" s="24" t="str">
        <f>VLOOKUP(A103,'Trips&amp;Operators'!$C$1:$E$10000,3,FALSE)</f>
        <v>BARTLETT</v>
      </c>
      <c r="M103" s="6">
        <f t="shared" si="29"/>
        <v>2.884259259008104E-2</v>
      </c>
      <c r="N103" s="7">
        <f t="shared" si="43"/>
        <v>41.533333329716697</v>
      </c>
      <c r="O103" s="7"/>
      <c r="P103" s="7"/>
      <c r="Q103" s="25"/>
      <c r="R103" s="25"/>
      <c r="S103" s="37">
        <f t="shared" si="44"/>
        <v>1</v>
      </c>
      <c r="T103" s="52" t="str">
        <f t="shared" si="30"/>
        <v>Southbound</v>
      </c>
      <c r="U103" s="126">
        <f>IF(AG103="EC",COUNTIFS(Variables!$M$2:$M$19,IF(T103="NorthBound","&gt;=","&lt;=")&amp;Y103,Variables!$M$2:$M$19,IF(T103="NorthBound","&lt;=","&gt;=")&amp;Z103),COUNTIFS(Variables!$P$2:$P$19,IF(T103="NorthBound","&gt;=","&lt;=")&amp;Y103,Variables!$P$2:$P$19,IF(T103="NorthBound","&lt;=","&gt;=")&amp;Z103))</f>
        <v>12</v>
      </c>
      <c r="V103" s="106" t="str">
        <f t="shared" si="31"/>
        <v>https://search-rtdc-monitor-bjffxe2xuh6vdkpspy63sjmuny.us-east-1.es.amazonaws.com/_plugin/kibana/#/discover/Steve-Slow-Train-Analysis-(2080s-and-2083s)?_g=(refreshInterval:(display:Off,section:0,value:0),time:(from:'2016-08-30 14:21:38-0600',mode:absolute,to:'2016-08-30 17:08: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03" s="54" t="str">
        <f t="shared" si="32"/>
        <v>N</v>
      </c>
      <c r="X103" s="120">
        <f t="shared" si="42"/>
        <v>1</v>
      </c>
      <c r="Y103" s="69">
        <f t="shared" si="33"/>
        <v>23.2974</v>
      </c>
      <c r="Z103" s="69">
        <f t="shared" si="34"/>
        <v>1.5800000000000002E-2</v>
      </c>
      <c r="AA103" s="69">
        <f t="shared" si="35"/>
        <v>23.281600000000001</v>
      </c>
      <c r="AB103" s="66" t="e">
        <f>VLOOKUP(A103,Enforcements!$C$7:$J$21,8,0)</f>
        <v>#N/A</v>
      </c>
      <c r="AC103" s="62" t="e">
        <f>VLOOKUP(A103,Enforcements!$C$7:$E$21,3,0)</f>
        <v>#N/A</v>
      </c>
      <c r="AD103" s="63" t="str">
        <f t="shared" si="36"/>
        <v>0188-30</v>
      </c>
      <c r="AE103" s="99" t="str">
        <f t="shared" si="37"/>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AF103" s="96" t="str">
        <f t="shared" si="38"/>
        <v>"C:\Program Files (x86)\AstroGrep\AstroGrep.exe" /spath="%USERPROFILE%\AppData\Local\Temp\OnboardLogs" /stypes="*4015*20160830*" /stext=" 22:.+((SYSTEM_STATE.+slice.+state.+changed )|(ment ac)|(system.+state.+changed )|(\|lc)|(penalty)|(\[timeout)|(PRM\|1\|D)|(kpr)|(kdp))" /e /r /s</v>
      </c>
      <c r="AG103" s="1" t="str">
        <f t="shared" si="39"/>
        <v>EC</v>
      </c>
      <c r="AH103" s="100" t="str">
        <f t="shared" si="40"/>
        <v>"%USERPROFILE%\Documents\GitHub\eaglep3\Utilities\RefineRTDCRunTimes.py" --tripid 188-30 --locoid 4015 --swversion DE.1.0.7.0 --startMP 204:232974 --initTime 2016-08-30T15:21:38 --startdatetime 2016-08-30T15:26:35 --delay 1 --endMP 204:158 --enddatetime 2016-08-30T16:08:07 --enforcementcount 0 &gt;&gt;C:\Users\stu\Documents\GitHub\eaglep3-reporting\EC\2016-08-30-refined-times.txt</v>
      </c>
      <c r="AI103" s="149" t="str">
        <f t="shared" si="41"/>
        <v>echo {"issue":{"subject":"","project_id":79,"tracker_id":40,"status_id":1,"priority_id":2,"assigned_to_id":23,"start_date":"2016-08-30","description":"","custom_fields":[{"id":1,"name":"Subdivision","value":"EC"},{"id":4,"name":"Milepost","value":"23.2816"},{"id":17,"name":"Train ID","value":"188-30"},{"id":16,"name":"Locomotive ID","value":"4015"},{"id":130,"name":"Impact","value":""},{"id":150,"name":"Time of Event (Mountain Time)","value":"16:08:07"},{"id":151,"name":"Denver Issue ID","value":""},{"id":178,"name":"Operational Impact","value":"Yes"},{"id":179,"name":"Denver Segment Assigned","value":""}]}} | curl -X POST -H "Content-Type: application/json" -H "X-Redmine-API-Key: d6333d4a04012a730768444271f8ca06482dae87" https://secure.xorail.net/redmine/issues.json --data @-</v>
      </c>
      <c r="AJ103" s="55"/>
      <c r="AK103" s="55"/>
      <c r="AL103" s="55"/>
    </row>
    <row r="104" spans="1:38" x14ac:dyDescent="0.25">
      <c r="A104" s="39" t="s">
        <v>489</v>
      </c>
      <c r="B104" s="7">
        <v>4020</v>
      </c>
      <c r="C104" s="24" t="s">
        <v>113</v>
      </c>
      <c r="D104" s="24" t="s">
        <v>175</v>
      </c>
      <c r="E104" s="15">
        <v>42612.611400462964</v>
      </c>
      <c r="F104" s="15">
        <v>42612.614895833336</v>
      </c>
      <c r="G104" s="7">
        <v>1</v>
      </c>
      <c r="H104" s="15" t="s">
        <v>234</v>
      </c>
      <c r="I104" s="15">
        <v>42612.642731481479</v>
      </c>
      <c r="J104" s="7">
        <v>0</v>
      </c>
      <c r="K104" s="132" t="str">
        <f t="shared" si="28"/>
        <v>4019/4020</v>
      </c>
      <c r="L104" s="24" t="str">
        <f>VLOOKUP(A104,'Trips&amp;Operators'!$C$1:$E$10000,3,FALSE)</f>
        <v>SMITH</v>
      </c>
      <c r="M104" s="6">
        <f t="shared" si="29"/>
        <v>2.7835648143081926E-2</v>
      </c>
      <c r="N104" s="7">
        <f t="shared" si="43"/>
        <v>40.083333326037973</v>
      </c>
      <c r="O104" s="7"/>
      <c r="P104" s="7"/>
      <c r="Q104" s="25"/>
      <c r="R104" s="25"/>
      <c r="S104" s="37">
        <f t="shared" si="44"/>
        <v>1</v>
      </c>
      <c r="T104" s="52" t="str">
        <f t="shared" si="30"/>
        <v>NorthBound</v>
      </c>
      <c r="U104" s="126">
        <f>IF(AG104="EC",COUNTIFS(Variables!$M$2:$M$19,IF(T104="NorthBound","&gt;=","&lt;=")&amp;Y104,Variables!$M$2:$M$19,IF(T104="NorthBound","&lt;=","&gt;=")&amp;Z104),COUNTIFS(Variables!$P$2:$P$19,IF(T104="NorthBound","&gt;=","&lt;=")&amp;Y104,Variables!$P$2:$P$19,IF(T104="NorthBound","&lt;=","&gt;=")&amp;Z104))</f>
        <v>12</v>
      </c>
      <c r="V104" s="106" t="str">
        <f t="shared" si="31"/>
        <v>https://search-rtdc-monitor-bjffxe2xuh6vdkpspy63sjmuny.us-east-1.es.amazonaws.com/_plugin/kibana/#/discover/Steve-Slow-Train-Analysis-(2080s-and-2083s)?_g=(refreshInterval:(display:Off,section:0,value:0),time:(from:'2016-08-30 13:40:25-0600',mode:absolute,to:'2016-08-30 16:25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04" s="54" t="str">
        <f t="shared" si="32"/>
        <v>N</v>
      </c>
      <c r="X104" s="120">
        <f t="shared" si="42"/>
        <v>1</v>
      </c>
      <c r="Y104" s="69">
        <f t="shared" si="33"/>
        <v>4.4699999999999997E-2</v>
      </c>
      <c r="Z104" s="69">
        <f t="shared" si="34"/>
        <v>23.330100000000002</v>
      </c>
      <c r="AA104" s="69">
        <f t="shared" si="35"/>
        <v>23.285400000000003</v>
      </c>
      <c r="AB104" s="66" t="e">
        <f>VLOOKUP(A104,Enforcements!$C$7:$J$21,8,0)</f>
        <v>#N/A</v>
      </c>
      <c r="AC104" s="62" t="e">
        <f>VLOOKUP(A104,Enforcements!$C$7:$E$21,3,0)</f>
        <v>#N/A</v>
      </c>
      <c r="AD104" s="63" t="str">
        <f t="shared" si="36"/>
        <v>0189-30</v>
      </c>
      <c r="AE104" s="99" t="str">
        <f t="shared" si="37"/>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04" s="96" t="str">
        <f t="shared" si="38"/>
        <v>"C:\Program Files (x86)\AstroGrep\AstroGrep.exe" /spath="%USERPROFILE%\AppData\Local\Temp\OnboardLogs" /stypes="*4020*20160830*" /stext=" 21:.+((SYSTEM_STATE.+slice.+state.+changed )|(ment ac)|(system.+state.+changed )|(\|lc)|(penalty)|(\[timeout)|(PRM\|1\|D)|(kpr)|(kdp))" /e /r /s</v>
      </c>
      <c r="AG104" s="1" t="str">
        <f t="shared" si="39"/>
        <v>EC</v>
      </c>
      <c r="AH104" s="100" t="str">
        <f t="shared" si="40"/>
        <v>"%USERPROFILE%\Documents\GitHub\eaglep3\Utilities\RefineRTDCRunTimes.py" --tripid 189-30 --locoid 4020 --swversion DE.1.0.7.0 --startMP 204:447 --initTime 2016-08-30T14:40:25 --startdatetime 2016-08-30T14:45:27 --delay 1 --endMP 204:233301 --enddatetime 2016-08-30T15:25:32 --enforcementcount 0 &gt;&gt;C:\Users\stu\Documents\GitHub\eaglep3-reporting\EC\2016-08-30-refined-times.txt</v>
      </c>
      <c r="AI104" s="149" t="str">
        <f t="shared" si="41"/>
        <v>echo {"issue":{"subject":"","project_id":79,"tracker_id":40,"status_id":1,"priority_id":2,"assigned_to_id":23,"start_date":"2016-08-30","description":"","custom_fields":[{"id":1,"name":"Subdivision","value":"EC"},{"id":4,"name":"Milepost","value":"23.2854"},{"id":17,"name":"Train ID","value":"189-30"},{"id":16,"name":"Locomotive ID","value":"4020"},{"id":130,"name":"Impact","value":""},{"id":150,"name":"Time of Event (Mountain Time)","value":"15:25:32"},{"id":151,"name":"Denver Issue ID","value":""},{"id":178,"name":"Operational Impact","value":"Yes"},{"id":179,"name":"Denver Segment Assigned","value":""}]}} | curl -X POST -H "Content-Type: application/json" -H "X-Redmine-API-Key: d6333d4a04012a730768444271f8ca06482dae87" https://secure.xorail.net/redmine/issues.json --data @-</v>
      </c>
      <c r="AJ104" s="55"/>
      <c r="AK104" s="55"/>
      <c r="AL104" s="55"/>
    </row>
    <row r="105" spans="1:38" s="23" customFormat="1" x14ac:dyDescent="0.25">
      <c r="A105" s="39" t="s">
        <v>498</v>
      </c>
      <c r="B105" s="7">
        <v>4019</v>
      </c>
      <c r="C105" s="24" t="s">
        <v>113</v>
      </c>
      <c r="D105" s="24" t="s">
        <v>252</v>
      </c>
      <c r="E105" s="15">
        <v>42612.645543981482</v>
      </c>
      <c r="F105" s="15">
        <v>42612.653657407405</v>
      </c>
      <c r="G105" s="7">
        <v>1</v>
      </c>
      <c r="H105" s="15" t="s">
        <v>152</v>
      </c>
      <c r="I105" s="15">
        <v>42612.682013888887</v>
      </c>
      <c r="J105" s="7">
        <v>0</v>
      </c>
      <c r="K105" s="132" t="str">
        <f t="shared" si="28"/>
        <v>4019/4020</v>
      </c>
      <c r="L105" s="24" t="str">
        <f>VLOOKUP(A105,'Trips&amp;Operators'!$C$1:$E$10000,3,FALSE)</f>
        <v>SMITH</v>
      </c>
      <c r="M105" s="6">
        <f t="shared" si="29"/>
        <v>2.8356481481750961E-2</v>
      </c>
      <c r="N105" s="7">
        <f t="shared" si="43"/>
        <v>40.833333333721384</v>
      </c>
      <c r="O105" s="7"/>
      <c r="P105" s="7"/>
      <c r="Q105" s="25"/>
      <c r="R105" s="25"/>
      <c r="S105" s="37">
        <f t="shared" si="44"/>
        <v>1</v>
      </c>
      <c r="T105" s="52" t="str">
        <f t="shared" si="30"/>
        <v>Southbound</v>
      </c>
      <c r="U105" s="126">
        <f>IF(AG105="EC",COUNTIFS(Variables!$M$2:$M$19,IF(T105="NorthBound","&gt;=","&lt;=")&amp;Y105,Variables!$M$2:$M$19,IF(T105="NorthBound","&lt;=","&gt;=")&amp;Z105),COUNTIFS(Variables!$P$2:$P$19,IF(T105="NorthBound","&gt;=","&lt;=")&amp;Y105,Variables!$P$2:$P$19,IF(T105="NorthBound","&lt;=","&gt;=")&amp;Z105))</f>
        <v>12</v>
      </c>
      <c r="V105" s="106" t="str">
        <f t="shared" si="31"/>
        <v>https://search-rtdc-monitor-bjffxe2xuh6vdkpspy63sjmuny.us-east-1.es.amazonaws.com/_plugin/kibana/#/discover/Steve-Slow-Train-Analysis-(2080s-and-2083s)?_g=(refreshInterval:(display:Off,section:0,value:0),time:(from:'2016-08-30 14:29:35-0600',mode:absolute,to:'2016-08-30 17:22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05" s="54" t="str">
        <f t="shared" si="32"/>
        <v>N</v>
      </c>
      <c r="X105" s="120">
        <f t="shared" si="42"/>
        <v>1</v>
      </c>
      <c r="Y105" s="69">
        <f t="shared" si="33"/>
        <v>23.2971</v>
      </c>
      <c r="Z105" s="69">
        <f t="shared" si="34"/>
        <v>1.54E-2</v>
      </c>
      <c r="AA105" s="69">
        <f t="shared" si="35"/>
        <v>23.281700000000001</v>
      </c>
      <c r="AB105" s="66" t="e">
        <f>VLOOKUP(A105,Enforcements!$C$7:$J$21,8,0)</f>
        <v>#N/A</v>
      </c>
      <c r="AC105" s="62" t="e">
        <f>VLOOKUP(A105,Enforcements!$C$7:$E$21,3,0)</f>
        <v>#N/A</v>
      </c>
      <c r="AD105" s="63" t="str">
        <f t="shared" si="36"/>
        <v>0190-30</v>
      </c>
      <c r="AE105" s="99" t="str">
        <f t="shared" si="37"/>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105" s="96" t="str">
        <f t="shared" si="38"/>
        <v>"C:\Program Files (x86)\AstroGrep\AstroGrep.exe" /spath="%USERPROFILE%\AppData\Local\Temp\OnboardLogs" /stypes="*4019*20160830*" /stext=" 22:.+((SYSTEM_STATE.+slice.+state.+changed )|(ment ac)|(system.+state.+changed )|(\|lc)|(penalty)|(\[timeout)|(PRM\|1\|D)|(kpr)|(kdp))" /e /r /s</v>
      </c>
      <c r="AG105" s="1" t="str">
        <f t="shared" si="39"/>
        <v>EC</v>
      </c>
      <c r="AH105" s="100" t="str">
        <f t="shared" si="40"/>
        <v>"%USERPROFILE%\Documents\GitHub\eaglep3\Utilities\RefineRTDCRunTimes.py" --tripid 190-30 --locoid 4019 --swversion DE.1.0.7.0 --startMP 204:232971 --initTime 2016-08-30T15:29:35 --startdatetime 2016-08-30T15:41:16 --delay 1 --endMP 204:154 --enddatetime 2016-08-30T16:22:06 --enforcementcount 0 &gt;&gt;C:\Users\stu\Documents\GitHub\eaglep3-reporting\EC\2016-08-30-refined-times.txt</v>
      </c>
      <c r="AI105" s="149" t="str">
        <f t="shared" si="41"/>
        <v>echo {"issue":{"subject":"","project_id":79,"tracker_id":40,"status_id":1,"priority_id":2,"assigned_to_id":23,"start_date":"2016-08-30","description":"","custom_fields":[{"id":1,"name":"Subdivision","value":"EC"},{"id":4,"name":"Milepost","value":"23.2817"},{"id":17,"name":"Train ID","value":"190-30"},{"id":16,"name":"Locomotive ID","value":"4019"},{"id":130,"name":"Impact","value":""},{"id":150,"name":"Time of Event (Mountain Time)","value":"16:22:06"},{"id":151,"name":"Denver Issue ID","value":""},{"id":178,"name":"Operational Impact","value":"Yes"},{"id":179,"name":"Denver Segment Assigned","value":""}]}} | curl -X POST -H "Content-Type: application/json" -H "X-Redmine-API-Key: d6333d4a04012a730768444271f8ca06482dae87" https://secure.xorail.net/redmine/issues.json --data @-</v>
      </c>
      <c r="AJ105" s="55"/>
      <c r="AK105" s="55"/>
      <c r="AL105" s="55"/>
    </row>
    <row r="106" spans="1:38" s="23" customFormat="1" x14ac:dyDescent="0.25">
      <c r="A106" s="39" t="s">
        <v>491</v>
      </c>
      <c r="B106" s="7">
        <v>4018</v>
      </c>
      <c r="C106" s="24" t="s">
        <v>113</v>
      </c>
      <c r="D106" s="24" t="s">
        <v>140</v>
      </c>
      <c r="E106" s="15">
        <v>42612.621018518519</v>
      </c>
      <c r="F106" s="15">
        <v>42612.625462962962</v>
      </c>
      <c r="G106" s="7">
        <v>2</v>
      </c>
      <c r="H106" s="15" t="s">
        <v>587</v>
      </c>
      <c r="I106" s="15">
        <v>42612.652685185189</v>
      </c>
      <c r="J106" s="7">
        <v>0</v>
      </c>
      <c r="K106" s="132" t="str">
        <f t="shared" si="28"/>
        <v>4017/4018</v>
      </c>
      <c r="L106" s="24" t="str">
        <f>VLOOKUP(A106,'Trips&amp;Operators'!$C$1:$E$10000,3,FALSE)</f>
        <v>MAHAN</v>
      </c>
      <c r="M106" s="6">
        <f t="shared" si="29"/>
        <v>2.7222222226555459E-2</v>
      </c>
      <c r="N106" s="7">
        <f t="shared" si="43"/>
        <v>39.200000006239861</v>
      </c>
      <c r="O106" s="7"/>
      <c r="P106" s="7"/>
      <c r="Q106" s="25"/>
      <c r="R106" s="25"/>
      <c r="S106" s="37">
        <f t="shared" si="44"/>
        <v>1</v>
      </c>
      <c r="T106" s="52" t="str">
        <f t="shared" si="30"/>
        <v>NorthBound</v>
      </c>
      <c r="U106" s="126">
        <f>IF(AG106="EC",COUNTIFS(Variables!$M$2:$M$19,IF(T106="NorthBound","&gt;=","&lt;=")&amp;Y106,Variables!$M$2:$M$19,IF(T106="NorthBound","&lt;=","&gt;=")&amp;Z106),COUNTIFS(Variables!$P$2:$P$19,IF(T106="NorthBound","&gt;=","&lt;=")&amp;Y106,Variables!$P$2:$P$19,IF(T106="NorthBound","&lt;=","&gt;=")&amp;Z106))</f>
        <v>12</v>
      </c>
      <c r="V106" s="106" t="str">
        <f t="shared" si="31"/>
        <v>https://search-rtdc-monitor-bjffxe2xuh6vdkpspy63sjmuny.us-east-1.es.amazonaws.com/_plugin/kibana/#/discover/Steve-Slow-Train-Analysis-(2080s-and-2083s)?_g=(refreshInterval:(display:Off,section:0,value:0),time:(from:'2016-08-30 13:54:16-0600',mode:absolute,to:'2016-08-30 16:39: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06" s="54" t="str">
        <f t="shared" si="32"/>
        <v>N</v>
      </c>
      <c r="X106" s="120">
        <f t="shared" si="42"/>
        <v>1</v>
      </c>
      <c r="Y106" s="69">
        <f t="shared" si="33"/>
        <v>4.5699999999999998E-2</v>
      </c>
      <c r="Z106" s="69">
        <f t="shared" si="34"/>
        <v>23.3325</v>
      </c>
      <c r="AA106" s="69">
        <f t="shared" si="35"/>
        <v>23.286799999999999</v>
      </c>
      <c r="AB106" s="66" t="e">
        <f>VLOOKUP(A106,Enforcements!$C$7:$J$21,8,0)</f>
        <v>#N/A</v>
      </c>
      <c r="AC106" s="62" t="e">
        <f>VLOOKUP(A106,Enforcements!$C$7:$E$21,3,0)</f>
        <v>#N/A</v>
      </c>
      <c r="AD106" s="63" t="str">
        <f t="shared" si="36"/>
        <v>0191-30</v>
      </c>
      <c r="AE106" s="99" t="str">
        <f t="shared" si="37"/>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06" s="96" t="str">
        <f t="shared" si="38"/>
        <v>"C:\Program Files (x86)\AstroGrep\AstroGrep.exe" /spath="%USERPROFILE%\AppData\Local\Temp\OnboardLogs" /stypes="*4018*20160830*" /stext=" 21:.+((SYSTEM_STATE.+slice.+state.+changed )|(ment ac)|(system.+state.+changed )|(\|lc)|(penalty)|(\[timeout)|(PRM\|1\|D)|(kpr)|(kdp))" /e /r /s</v>
      </c>
      <c r="AG106" s="1" t="str">
        <f t="shared" si="39"/>
        <v>EC</v>
      </c>
      <c r="AH106" s="100" t="str">
        <f t="shared" si="40"/>
        <v>"%USERPROFILE%\Documents\GitHub\eaglep3\Utilities\RefineRTDCRunTimes.py" --tripid 191-30 --locoid 4018 --swversion DE.1.0.7.0 --startMP 204:457 --initTime 2016-08-30T14:54:16 --startdatetime 2016-08-30T15:00:40 --delay 2 --endMP 204:233325 --enddatetime 2016-08-30T15:39:52 --enforcementcount 0 &gt;&gt;C:\Users\stu\Documents\GitHub\eaglep3-reporting\EC\2016-08-30-refined-times.txt</v>
      </c>
      <c r="AI106" s="149" t="str">
        <f t="shared" si="41"/>
        <v>echo {"issue":{"subject":"","project_id":79,"tracker_id":40,"status_id":1,"priority_id":2,"assigned_to_id":23,"start_date":"2016-08-30","description":"","custom_fields":[{"id":1,"name":"Subdivision","value":"EC"},{"id":4,"name":"Milepost","value":"23.2868"},{"id":17,"name":"Train ID","value":"191-30"},{"id":16,"name":"Locomotive ID","value":"4018"},{"id":130,"name":"Impact","value":""},{"id":150,"name":"Time of Event (Mountain Time)","value":"15:39:52"},{"id":151,"name":"Denver Issue ID","value":""},{"id":178,"name":"Operational Impact","value":"Yes"},{"id":179,"name":"Denver Segment Assigned","value":""}]}} | curl -X POST -H "Content-Type: application/json" -H "X-Redmine-API-Key: d6333d4a04012a730768444271f8ca06482dae87" https://secure.xorail.net/redmine/issues.json --data @-</v>
      </c>
      <c r="AJ106" s="55"/>
      <c r="AK106" s="55"/>
      <c r="AL106" s="55"/>
    </row>
    <row r="107" spans="1:38" s="23" customFormat="1" x14ac:dyDescent="0.25">
      <c r="A107" s="39" t="s">
        <v>375</v>
      </c>
      <c r="B107" s="7">
        <v>4017</v>
      </c>
      <c r="C107" s="24" t="s">
        <v>113</v>
      </c>
      <c r="D107" s="24" t="s">
        <v>624</v>
      </c>
      <c r="E107" s="15">
        <v>42612.660486111112</v>
      </c>
      <c r="F107" s="15">
        <v>42612.664409722223</v>
      </c>
      <c r="G107" s="7">
        <v>1</v>
      </c>
      <c r="H107" s="15" t="s">
        <v>132</v>
      </c>
      <c r="I107" s="15">
        <v>42612.694699074076</v>
      </c>
      <c r="J107" s="7">
        <v>0</v>
      </c>
      <c r="K107" s="132" t="str">
        <f t="shared" si="28"/>
        <v>4017/4018</v>
      </c>
      <c r="L107" s="24" t="str">
        <f>VLOOKUP(A107,'Trips&amp;Operators'!$C$1:$E$10000,3,FALSE)</f>
        <v>MAHAN</v>
      </c>
      <c r="M107" s="6">
        <f t="shared" si="29"/>
        <v>3.0289351852843538E-2</v>
      </c>
      <c r="N107" s="7">
        <f t="shared" si="43"/>
        <v>43.616666668094695</v>
      </c>
      <c r="O107" s="7"/>
      <c r="P107" s="7"/>
      <c r="Q107" s="25"/>
      <c r="R107" s="25"/>
      <c r="S107" s="37">
        <f t="shared" si="44"/>
        <v>1</v>
      </c>
      <c r="T107" s="52" t="str">
        <f t="shared" si="30"/>
        <v>Southbound</v>
      </c>
      <c r="U107" s="126">
        <f>IF(AG107="EC",COUNTIFS(Variables!$M$2:$M$19,IF(T107="NorthBound","&gt;=","&lt;=")&amp;Y107,Variables!$M$2:$M$19,IF(T107="NorthBound","&lt;=","&gt;=")&amp;Z107),COUNTIFS(Variables!$P$2:$P$19,IF(T107="NorthBound","&gt;=","&lt;=")&amp;Y107,Variables!$P$2:$P$19,IF(T107="NorthBound","&lt;=","&gt;=")&amp;Z107))</f>
        <v>12</v>
      </c>
      <c r="V107" s="106" t="str">
        <f t="shared" si="31"/>
        <v>https://search-rtdc-monitor-bjffxe2xuh6vdkpspy63sjmuny.us-east-1.es.amazonaws.com/_plugin/kibana/#/discover/Steve-Slow-Train-Analysis-(2080s-and-2083s)?_g=(refreshInterval:(display:Off,section:0,value:0),time:(from:'2016-08-30 14:51:06-0600',mode:absolute,to:'2016-08-30 17:40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07" s="54" t="str">
        <f t="shared" si="32"/>
        <v>N</v>
      </c>
      <c r="X107" s="120">
        <f t="shared" si="42"/>
        <v>1</v>
      </c>
      <c r="Y107" s="69">
        <f t="shared" si="33"/>
        <v>23.299099999999999</v>
      </c>
      <c r="Z107" s="69">
        <f t="shared" si="34"/>
        <v>1.47E-2</v>
      </c>
      <c r="AA107" s="69">
        <f t="shared" si="35"/>
        <v>23.284399999999998</v>
      </c>
      <c r="AB107" s="66" t="e">
        <f>VLOOKUP(A107,Enforcements!$C$7:$J$21,8,0)</f>
        <v>#N/A</v>
      </c>
      <c r="AC107" s="62" t="e">
        <f>VLOOKUP(A107,Enforcements!$C$7:$E$21,3,0)</f>
        <v>#N/A</v>
      </c>
      <c r="AD107" s="63" t="str">
        <f t="shared" si="36"/>
        <v>0192-30</v>
      </c>
      <c r="AE107" s="99" t="str">
        <f t="shared" si="37"/>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107" s="96" t="str">
        <f t="shared" si="38"/>
        <v>"C:\Program Files (x86)\AstroGrep\AstroGrep.exe" /spath="%USERPROFILE%\AppData\Local\Temp\OnboardLogs" /stypes="*4017*20160830*" /stext=" 22:.+((SYSTEM_STATE.+slice.+state.+changed )|(ment ac)|(system.+state.+changed )|(\|lc)|(penalty)|(\[timeout)|(PRM\|1\|D)|(kpr)|(kdp))" /e /r /s</v>
      </c>
      <c r="AG107" s="1" t="str">
        <f t="shared" si="39"/>
        <v>EC</v>
      </c>
      <c r="AH107" s="100" t="str">
        <f t="shared" si="40"/>
        <v>"%USERPROFILE%\Documents\GitHub\eaglep3\Utilities\RefineRTDCRunTimes.py" --tripid 192-30 --locoid 4017 --swversion DE.1.0.7.0 --startMP 204:232991 --initTime 2016-08-30T15:51:06 --startdatetime 2016-08-30T15:56:45 --delay 1 --endMP 204:147 --enddatetime 2016-08-30T16:40:22 --enforcementcount 0 &gt;&gt;C:\Users\stu\Documents\GitHub\eaglep3-reporting\EC\2016-08-30-refined-times.txt</v>
      </c>
      <c r="AI107" s="149" t="str">
        <f t="shared" si="41"/>
        <v>echo {"issue":{"subject":"","project_id":79,"tracker_id":40,"status_id":1,"priority_id":2,"assigned_to_id":23,"start_date":"2016-08-30","description":"","custom_fields":[{"id":1,"name":"Subdivision","value":"EC"},{"id":4,"name":"Milepost","value":"23.2844"},{"id":17,"name":"Train ID","value":"192-30"},{"id":16,"name":"Locomotive ID","value":"4017"},{"id":130,"name":"Impact","value":""},{"id":150,"name":"Time of Event (Mountain Time)","value":"16:40:22"},{"id":151,"name":"Denver Issue ID","value":""},{"id":178,"name":"Operational Impact","value":"Yes"},{"id":179,"name":"Denver Segment Assigned","value":""}]}} | curl -X POST -H "Content-Type: application/json" -H "X-Redmine-API-Key: d6333d4a04012a730768444271f8ca06482dae87" https://secure.xorail.net/redmine/issues.json --data @-</v>
      </c>
      <c r="AJ107" s="55"/>
      <c r="AK107" s="55"/>
      <c r="AL107" s="55"/>
    </row>
    <row r="108" spans="1:38" s="23" customFormat="1" x14ac:dyDescent="0.25">
      <c r="A108" s="39" t="s">
        <v>493</v>
      </c>
      <c r="B108" s="7">
        <v>4029</v>
      </c>
      <c r="C108" s="24" t="s">
        <v>113</v>
      </c>
      <c r="D108" s="24" t="s">
        <v>297</v>
      </c>
      <c r="E108" s="15">
        <v>42612.632569444446</v>
      </c>
      <c r="F108" s="15">
        <v>42612.635798611111</v>
      </c>
      <c r="G108" s="7">
        <v>1</v>
      </c>
      <c r="H108" s="15" t="s">
        <v>625</v>
      </c>
      <c r="I108" s="15">
        <v>42612.660532407404</v>
      </c>
      <c r="J108" s="7">
        <v>0</v>
      </c>
      <c r="K108" s="132" t="str">
        <f t="shared" si="28"/>
        <v>4029/4030</v>
      </c>
      <c r="L108" s="24" t="str">
        <f>VLOOKUP(A108,'Trips&amp;Operators'!$C$1:$E$10000,3,FALSE)</f>
        <v>BROWN</v>
      </c>
      <c r="M108" s="6">
        <f t="shared" si="29"/>
        <v>2.4733796293730848E-2</v>
      </c>
      <c r="N108" s="7">
        <f t="shared" si="43"/>
        <v>35.61666666297242</v>
      </c>
      <c r="O108" s="7"/>
      <c r="P108" s="7"/>
      <c r="Q108" s="25"/>
      <c r="R108" s="25"/>
      <c r="S108" s="37">
        <f t="shared" si="44"/>
        <v>1</v>
      </c>
      <c r="T108" s="52" t="str">
        <f t="shared" si="30"/>
        <v>NorthBound</v>
      </c>
      <c r="U108" s="126">
        <f>IF(AG108="EC",COUNTIFS(Variables!$M$2:$M$19,IF(T108="NorthBound","&gt;=","&lt;=")&amp;Y108,Variables!$M$2:$M$19,IF(T108="NorthBound","&lt;=","&gt;=")&amp;Z108),COUNTIFS(Variables!$P$2:$P$19,IF(T108="NorthBound","&gt;=","&lt;=")&amp;Y108,Variables!$P$2:$P$19,IF(T108="NorthBound","&lt;=","&gt;=")&amp;Z108))</f>
        <v>12</v>
      </c>
      <c r="V108" s="106" t="str">
        <f t="shared" si="31"/>
        <v>https://search-rtdc-monitor-bjffxe2xuh6vdkpspy63sjmuny.us-east-1.es.amazonaws.com/_plugin/kibana/#/discover/Steve-Slow-Train-Analysis-(2080s-and-2083s)?_g=(refreshInterval:(display:Off,section:0,value:0),time:(from:'2016-08-30 14:10:54-0600',mode:absolute,to:'2016-08-30 16:51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08" s="54" t="str">
        <f t="shared" si="32"/>
        <v>N</v>
      </c>
      <c r="X108" s="120">
        <f t="shared" si="42"/>
        <v>1</v>
      </c>
      <c r="Y108" s="69">
        <f t="shared" si="33"/>
        <v>4.4600000000000001E-2</v>
      </c>
      <c r="Z108" s="69">
        <f t="shared" si="34"/>
        <v>23.328399999999998</v>
      </c>
      <c r="AA108" s="69">
        <f t="shared" si="35"/>
        <v>23.283799999999999</v>
      </c>
      <c r="AB108" s="66" t="e">
        <f>VLOOKUP(A108,Enforcements!$C$7:$J$21,8,0)</f>
        <v>#N/A</v>
      </c>
      <c r="AC108" s="62" t="e">
        <f>VLOOKUP(A108,Enforcements!$C$7:$E$21,3,0)</f>
        <v>#N/A</v>
      </c>
      <c r="AD108" s="63" t="str">
        <f t="shared" si="36"/>
        <v>0193-30</v>
      </c>
      <c r="AE108" s="99" t="str">
        <f t="shared" si="37"/>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108" s="96" t="str">
        <f t="shared" si="38"/>
        <v>"C:\Program Files (x86)\AstroGrep\AstroGrep.exe" /spath="%USERPROFILE%\AppData\Local\Temp\OnboardLogs" /stypes="*4029*20160830*" /stext=" 21:.+((SYSTEM_STATE.+slice.+state.+changed )|(ment ac)|(system.+state.+changed )|(\|lc)|(penalty)|(\[timeout)|(PRM\|1\|D)|(kpr)|(kdp))" /e /r /s</v>
      </c>
      <c r="AG108" s="1" t="str">
        <f t="shared" si="39"/>
        <v>EC</v>
      </c>
      <c r="AH108" s="100" t="str">
        <f t="shared" si="40"/>
        <v>"%USERPROFILE%\Documents\GitHub\eaglep3\Utilities\RefineRTDCRunTimes.py" --tripid 193-30 --locoid 4029 --swversion DE.1.0.7.0 --startMP 204:446 --initTime 2016-08-30T15:10:54 --startdatetime 2016-08-30T15:15:33 --delay 1 --endMP 204:233284 --enddatetime 2016-08-30T15:51:10 --enforcementcount 0 &gt;&gt;C:\Users\stu\Documents\GitHub\eaglep3-reporting\EC\2016-08-30-refined-times.txt</v>
      </c>
      <c r="AI108" s="149" t="str">
        <f t="shared" si="41"/>
        <v>echo {"issue":{"subject":"","project_id":79,"tracker_id":40,"status_id":1,"priority_id":2,"assigned_to_id":23,"start_date":"2016-08-30","description":"","custom_fields":[{"id":1,"name":"Subdivision","value":"EC"},{"id":4,"name":"Milepost","value":"23.2838"},{"id":17,"name":"Train ID","value":"193-30"},{"id":16,"name":"Locomotive ID","value":"4029"},{"id":130,"name":"Impact","value":""},{"id":150,"name":"Time of Event (Mountain Time)","value":"15:51:10"},{"id":151,"name":"Denver Issue ID","value":""},{"id":178,"name":"Operational Impact","value":"Yes"},{"id":179,"name":"Denver Segment Assigned","value":""}]}} | curl -X POST -H "Content-Type: application/json" -H "X-Redmine-API-Key: d6333d4a04012a730768444271f8ca06482dae87" https://secure.xorail.net/redmine/issues.json --data @-</v>
      </c>
      <c r="AJ108" s="55"/>
      <c r="AK108" s="55"/>
      <c r="AL108" s="55"/>
    </row>
    <row r="109" spans="1:38" s="23" customFormat="1" x14ac:dyDescent="0.25">
      <c r="A109" s="39" t="s">
        <v>503</v>
      </c>
      <c r="B109" s="7">
        <v>4030</v>
      </c>
      <c r="C109" s="24" t="s">
        <v>113</v>
      </c>
      <c r="D109" s="24" t="s">
        <v>321</v>
      </c>
      <c r="E109" s="15">
        <v>42612.664780092593</v>
      </c>
      <c r="F109" s="15">
        <v>42612.674618055556</v>
      </c>
      <c r="G109" s="7">
        <v>1</v>
      </c>
      <c r="H109" s="15" t="s">
        <v>131</v>
      </c>
      <c r="I109" s="15">
        <v>42612.704062500001</v>
      </c>
      <c r="J109" s="7">
        <v>0</v>
      </c>
      <c r="K109" s="132" t="str">
        <f t="shared" si="28"/>
        <v>4029/4030</v>
      </c>
      <c r="L109" s="24" t="str">
        <f>VLOOKUP(A109,'Trips&amp;Operators'!$C$1:$E$10000,3,FALSE)</f>
        <v>BROWN</v>
      </c>
      <c r="M109" s="6">
        <f t="shared" si="29"/>
        <v>2.9444444444379769E-2</v>
      </c>
      <c r="N109" s="7">
        <f t="shared" si="43"/>
        <v>42.399999999906868</v>
      </c>
      <c r="O109" s="7"/>
      <c r="P109" s="7"/>
      <c r="Q109" s="25"/>
      <c r="R109" s="25"/>
      <c r="S109" s="37">
        <f t="shared" si="44"/>
        <v>1</v>
      </c>
      <c r="T109" s="52" t="str">
        <f t="shared" si="30"/>
        <v>Southbound</v>
      </c>
      <c r="U109" s="126">
        <f>IF(AG109="EC",COUNTIFS(Variables!$M$2:$M$19,IF(T109="NorthBound","&gt;=","&lt;=")&amp;Y109,Variables!$M$2:$M$19,IF(T109="NorthBound","&lt;=","&gt;=")&amp;Z109),COUNTIFS(Variables!$P$2:$P$19,IF(T109="NorthBound","&gt;=","&lt;=")&amp;Y109,Variables!$P$2:$P$19,IF(T109="NorthBound","&lt;=","&gt;=")&amp;Z109))</f>
        <v>12</v>
      </c>
      <c r="V109" s="106" t="str">
        <f t="shared" si="31"/>
        <v>https://search-rtdc-monitor-bjffxe2xuh6vdkpspy63sjmuny.us-east-1.es.amazonaws.com/_plugin/kibana/#/discover/Steve-Slow-Train-Analysis-(2080s-and-2083s)?_g=(refreshInterval:(display:Off,section:0,value:0),time:(from:'2016-08-30 14:57:17-0600',mode:absolute,to:'2016-08-30 17:53: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09" s="54" t="str">
        <f t="shared" si="32"/>
        <v>N</v>
      </c>
      <c r="X109" s="120">
        <f t="shared" si="42"/>
        <v>1</v>
      </c>
      <c r="Y109" s="69">
        <f t="shared" si="33"/>
        <v>23.297499999999999</v>
      </c>
      <c r="Z109" s="69">
        <f t="shared" si="34"/>
        <v>1.5800000000000002E-2</v>
      </c>
      <c r="AA109" s="69">
        <f t="shared" si="35"/>
        <v>23.281700000000001</v>
      </c>
      <c r="AB109" s="66" t="e">
        <f>VLOOKUP(A109,Enforcements!$C$7:$J$21,8,0)</f>
        <v>#N/A</v>
      </c>
      <c r="AC109" s="62" t="e">
        <f>VLOOKUP(A109,Enforcements!$C$7:$E$21,3,0)</f>
        <v>#N/A</v>
      </c>
      <c r="AD109" s="63" t="str">
        <f t="shared" si="36"/>
        <v>0194-30</v>
      </c>
      <c r="AE109" s="99" t="str">
        <f t="shared" si="37"/>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109" s="96" t="str">
        <f t="shared" si="38"/>
        <v>"C:\Program Files (x86)\AstroGrep\AstroGrep.exe" /spath="%USERPROFILE%\AppData\Local\Temp\OnboardLogs" /stypes="*4030*20160830*" /stext=" 22:.+((SYSTEM_STATE.+slice.+state.+changed )|(ment ac)|(system.+state.+changed )|(\|lc)|(penalty)|(\[timeout)|(PRM\|1\|D)|(kpr)|(kdp))" /e /r /s</v>
      </c>
      <c r="AG109" s="1" t="str">
        <f t="shared" si="39"/>
        <v>EC</v>
      </c>
      <c r="AH109" s="100" t="str">
        <f t="shared" si="40"/>
        <v>"%USERPROFILE%\Documents\GitHub\eaglep3\Utilities\RefineRTDCRunTimes.py" --tripid 194-30 --locoid 4030 --swversion DE.1.0.7.0 --startMP 204:232975 --initTime 2016-08-30T15:57:17 --startdatetime 2016-08-30T16:11:27 --delay 1 --endMP 204:158 --enddatetime 2016-08-30T16:53:51 --enforcementcount 0 &gt;&gt;C:\Users\stu\Documents\GitHub\eaglep3-reporting\EC\2016-08-30-refined-times.txt</v>
      </c>
      <c r="AI109" s="149" t="str">
        <f t="shared" si="41"/>
        <v>echo {"issue":{"subject":"","project_id":79,"tracker_id":40,"status_id":1,"priority_id":2,"assigned_to_id":23,"start_date":"2016-08-30","description":"","custom_fields":[{"id":1,"name":"Subdivision","value":"EC"},{"id":4,"name":"Milepost","value":"23.2817"},{"id":17,"name":"Train ID","value":"194-30"},{"id":16,"name":"Locomotive ID","value":"4030"},{"id":130,"name":"Impact","value":""},{"id":150,"name":"Time of Event (Mountain Time)","value":"16:53:51"},{"id":151,"name":"Denver Issue ID","value":""},{"id":178,"name":"Operational Impact","value":"Yes"},{"id":179,"name":"Denver Segment Assigned","value":""}]}} | curl -X POST -H "Content-Type: application/json" -H "X-Redmine-API-Key: d6333d4a04012a730768444271f8ca06482dae87" https://secure.xorail.net/redmine/issues.json --data @-</v>
      </c>
      <c r="AJ109" s="55"/>
      <c r="AK109" s="55"/>
      <c r="AL109" s="55"/>
    </row>
    <row r="110" spans="1:38" s="23" customFormat="1" x14ac:dyDescent="0.25">
      <c r="A110" s="39" t="s">
        <v>499</v>
      </c>
      <c r="B110" s="7">
        <v>4011</v>
      </c>
      <c r="C110" s="24" t="s">
        <v>113</v>
      </c>
      <c r="D110" s="24" t="s">
        <v>626</v>
      </c>
      <c r="E110" s="15">
        <v>42612.645902777775</v>
      </c>
      <c r="F110" s="15">
        <v>42612.647222222222</v>
      </c>
      <c r="G110" s="7">
        <v>1</v>
      </c>
      <c r="H110" s="15" t="s">
        <v>627</v>
      </c>
      <c r="I110" s="15">
        <v>42612.674398148149</v>
      </c>
      <c r="J110" s="7">
        <v>0</v>
      </c>
      <c r="K110" s="132" t="str">
        <f t="shared" si="28"/>
        <v>4011/4012</v>
      </c>
      <c r="L110" s="24" t="str">
        <f>VLOOKUP(A110,'Trips&amp;Operators'!$C$1:$E$10000,3,FALSE)</f>
        <v>YOUNG</v>
      </c>
      <c r="M110" s="6">
        <f t="shared" si="29"/>
        <v>2.7175925926712807E-2</v>
      </c>
      <c r="N110" s="7">
        <f t="shared" si="43"/>
        <v>39.133333334466442</v>
      </c>
      <c r="O110" s="7"/>
      <c r="P110" s="7"/>
      <c r="Q110" s="25"/>
      <c r="R110" s="25"/>
      <c r="S110" s="37">
        <f t="shared" si="44"/>
        <v>1</v>
      </c>
      <c r="T110" s="52" t="str">
        <f t="shared" si="30"/>
        <v>NorthBound</v>
      </c>
      <c r="U110" s="126">
        <f>IF(AG110="EC",COUNTIFS(Variables!$M$2:$M$19,IF(T110="NorthBound","&gt;=","&lt;=")&amp;Y110,Variables!$M$2:$M$19,IF(T110="NorthBound","&lt;=","&gt;=")&amp;Z110),COUNTIFS(Variables!$P$2:$P$19,IF(T110="NorthBound","&gt;=","&lt;=")&amp;Y110,Variables!$P$2:$P$19,IF(T110="NorthBound","&lt;=","&gt;=")&amp;Z110))</f>
        <v>12</v>
      </c>
      <c r="V110" s="106" t="str">
        <f t="shared" si="31"/>
        <v>https://search-rtdc-monitor-bjffxe2xuh6vdkpspy63sjmuny.us-east-1.es.amazonaws.com/_plugin/kibana/#/discover/Steve-Slow-Train-Analysis-(2080s-and-2083s)?_g=(refreshInterval:(display:Off,section:0,value:0),time:(from:'2016-08-30 14:30:06-0600',mode:absolute,to:'2016-08-30 17:11: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10" s="54" t="str">
        <f t="shared" si="32"/>
        <v>N</v>
      </c>
      <c r="X110" s="120">
        <f t="shared" si="42"/>
        <v>1</v>
      </c>
      <c r="Y110" s="69">
        <f t="shared" si="33"/>
        <v>4.8000000000000001E-2</v>
      </c>
      <c r="Z110" s="69">
        <f t="shared" si="34"/>
        <v>23.334199999999999</v>
      </c>
      <c r="AA110" s="69">
        <f t="shared" si="35"/>
        <v>23.286200000000001</v>
      </c>
      <c r="AB110" s="66" t="e">
        <f>VLOOKUP(A110,Enforcements!$C$7:$J$21,8,0)</f>
        <v>#N/A</v>
      </c>
      <c r="AC110" s="62" t="e">
        <f>VLOOKUP(A110,Enforcements!$C$7:$E$21,3,0)</f>
        <v>#N/A</v>
      </c>
      <c r="AD110" s="63" t="str">
        <f t="shared" si="36"/>
        <v>0195-30</v>
      </c>
      <c r="AE110" s="99" t="str">
        <f t="shared" si="37"/>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10" s="96" t="str">
        <f t="shared" si="38"/>
        <v>"C:\Program Files (x86)\AstroGrep\AstroGrep.exe" /spath="%USERPROFILE%\AppData\Local\Temp\OnboardLogs" /stypes="*4011*20160830*" /stext=" 22:.+((SYSTEM_STATE.+slice.+state.+changed )|(ment ac)|(system.+state.+changed )|(\|lc)|(penalty)|(\[timeout)|(PRM\|1\|D)|(kpr)|(kdp))" /e /r /s</v>
      </c>
      <c r="AG110" s="1" t="str">
        <f t="shared" si="39"/>
        <v>EC</v>
      </c>
      <c r="AH110" s="100" t="str">
        <f t="shared" si="40"/>
        <v>"%USERPROFILE%\Documents\GitHub\eaglep3\Utilities\RefineRTDCRunTimes.py" --tripid 195-30 --locoid 4011 --swversion DE.1.0.7.0 --startMP 204:480 --initTime 2016-08-30T15:30:06 --startdatetime 2016-08-30T15:32:00 --delay 1 --endMP 204:233342 --enddatetime 2016-08-30T16:11:08 --enforcementcount 0 &gt;&gt;C:\Users\stu\Documents\GitHub\eaglep3-reporting\EC\2016-08-30-refined-times.txt</v>
      </c>
      <c r="AI110" s="149" t="str">
        <f t="shared" si="41"/>
        <v>echo {"issue":{"subject":"","project_id":79,"tracker_id":40,"status_id":1,"priority_id":2,"assigned_to_id":23,"start_date":"2016-08-30","description":"","custom_fields":[{"id":1,"name":"Subdivision","value":"EC"},{"id":4,"name":"Milepost","value":"23.2862"},{"id":17,"name":"Train ID","value":"195-30"},{"id":16,"name":"Locomotive ID","value":"4011"},{"id":130,"name":"Impact","value":""},{"id":150,"name":"Time of Event (Mountain Time)","value":"16:11:08"},{"id":151,"name":"Denver Issue ID","value":""},{"id":178,"name":"Operational Impact","value":"Yes"},{"id":179,"name":"Denver Segment Assigned","value":""}]}} | curl -X POST -H "Content-Type: application/json" -H "X-Redmine-API-Key: d6333d4a04012a730768444271f8ca06482dae87" https://secure.xorail.net/redmine/issues.json --data @-</v>
      </c>
      <c r="AJ110" s="55"/>
      <c r="AK110" s="55"/>
      <c r="AL110" s="55"/>
    </row>
    <row r="111" spans="1:38" s="23" customFormat="1" x14ac:dyDescent="0.25">
      <c r="A111" s="39" t="s">
        <v>507</v>
      </c>
      <c r="B111" s="7">
        <v>4012</v>
      </c>
      <c r="C111" s="24" t="s">
        <v>113</v>
      </c>
      <c r="D111" s="24" t="s">
        <v>610</v>
      </c>
      <c r="E111" s="15">
        <v>42612.67800925926</v>
      </c>
      <c r="F111" s="15">
        <v>42612.685243055559</v>
      </c>
      <c r="G111" s="7">
        <v>2</v>
      </c>
      <c r="H111" s="15" t="s">
        <v>628</v>
      </c>
      <c r="I111" s="15">
        <v>42612.713379629633</v>
      </c>
      <c r="J111" s="7">
        <v>0</v>
      </c>
      <c r="K111" s="132" t="str">
        <f t="shared" si="28"/>
        <v>4011/4012</v>
      </c>
      <c r="L111" s="24" t="str">
        <f>VLOOKUP(A111,'Trips&amp;Operators'!$C$1:$E$10000,3,FALSE)</f>
        <v>YOUNG</v>
      </c>
      <c r="M111" s="6">
        <f t="shared" si="29"/>
        <v>2.8136574073869269E-2</v>
      </c>
      <c r="N111" s="7">
        <f t="shared" si="43"/>
        <v>40.516666666371748</v>
      </c>
      <c r="O111" s="7"/>
      <c r="P111" s="7"/>
      <c r="Q111" s="25"/>
      <c r="R111" s="25"/>
      <c r="S111" s="37">
        <f t="shared" si="44"/>
        <v>1</v>
      </c>
      <c r="T111" s="52" t="str">
        <f t="shared" si="30"/>
        <v>Southbound</v>
      </c>
      <c r="U111" s="126">
        <f>IF(AG111="EC",COUNTIFS(Variables!$M$2:$M$19,IF(T111="NorthBound","&gt;=","&lt;=")&amp;Y111,Variables!$M$2:$M$19,IF(T111="NorthBound","&lt;=","&gt;=")&amp;Z111),COUNTIFS(Variables!$P$2:$P$19,IF(T111="NorthBound","&gt;=","&lt;=")&amp;Y111,Variables!$P$2:$P$19,IF(T111="NorthBound","&lt;=","&gt;=")&amp;Z111))</f>
        <v>12</v>
      </c>
      <c r="V111" s="106" t="str">
        <f t="shared" si="31"/>
        <v>https://search-rtdc-monitor-bjffxe2xuh6vdkpspy63sjmuny.us-east-1.es.amazonaws.com/_plugin/kibana/#/discover/Steve-Slow-Train-Analysis-(2080s-and-2083s)?_g=(refreshInterval:(display:Off,section:0,value:0),time:(from:'2016-08-30 15:16:20-0600',mode:absolute,to:'2016-08-30 18:07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111" s="54" t="str">
        <f t="shared" si="32"/>
        <v>N</v>
      </c>
      <c r="X111" s="120">
        <f t="shared" si="42"/>
        <v>1</v>
      </c>
      <c r="Y111" s="69">
        <f t="shared" si="33"/>
        <v>23.302700000000002</v>
      </c>
      <c r="Z111" s="69">
        <f t="shared" si="34"/>
        <v>1.89E-2</v>
      </c>
      <c r="AA111" s="69">
        <f t="shared" si="35"/>
        <v>23.283800000000003</v>
      </c>
      <c r="AB111" s="66" t="e">
        <f>VLOOKUP(A111,Enforcements!$C$7:$J$21,8,0)</f>
        <v>#N/A</v>
      </c>
      <c r="AC111" s="62" t="e">
        <f>VLOOKUP(A111,Enforcements!$C$7:$E$21,3,0)</f>
        <v>#N/A</v>
      </c>
      <c r="AD111" s="63" t="str">
        <f t="shared" si="36"/>
        <v>0196-30</v>
      </c>
      <c r="AE111" s="99" t="str">
        <f t="shared" si="37"/>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111" s="96" t="str">
        <f t="shared" si="38"/>
        <v>"C:\Program Files (x86)\AstroGrep\AstroGrep.exe" /spath="%USERPROFILE%\AppData\Local\Temp\OnboardLogs" /stypes="*4012*20160830*" /stext=" 23:.+((SYSTEM_STATE.+slice.+state.+changed )|(ment ac)|(system.+state.+changed )|(\|lc)|(penalty)|(\[timeout)|(PRM\|1\|D)|(kpr)|(kdp))" /e /r /s</v>
      </c>
      <c r="AG111" s="1" t="str">
        <f t="shared" si="39"/>
        <v>EC</v>
      </c>
      <c r="AH111" s="100" t="str">
        <f t="shared" si="40"/>
        <v>"%USERPROFILE%\Documents\GitHub\eaglep3\Utilities\RefineRTDCRunTimes.py" --tripid 196-30 --locoid 4012 --swversion DE.1.0.7.0 --startMP 204:233027 --initTime 2016-08-30T16:16:20 --startdatetime 2016-08-30T16:26:45 --delay 2 --endMP 204:189 --enddatetime 2016-08-30T17:07:16 --enforcementcount 0 &gt;&gt;C:\Users\stu\Documents\GitHub\eaglep3-reporting\EC\2016-08-30-refined-times.txt</v>
      </c>
      <c r="AI111" s="149" t="str">
        <f t="shared" si="41"/>
        <v>echo {"issue":{"subject":"","project_id":79,"tracker_id":40,"status_id":1,"priority_id":2,"assigned_to_id":23,"start_date":"2016-08-30","description":"","custom_fields":[{"id":1,"name":"Subdivision","value":"EC"},{"id":4,"name":"Milepost","value":"23.2838"},{"id":17,"name":"Train ID","value":"196-30"},{"id":16,"name":"Locomotive ID","value":"4012"},{"id":130,"name":"Impact","value":""},{"id":150,"name":"Time of Event (Mountain Time)","value":"17:07:16"},{"id":151,"name":"Denver Issue ID","value":""},{"id":178,"name":"Operational Impact","value":"Yes"},{"id":179,"name":"Denver Segment Assigned","value":""}]}} | curl -X POST -H "Content-Type: application/json" -H "X-Redmine-API-Key: d6333d4a04012a730768444271f8ca06482dae87" https://secure.xorail.net/redmine/issues.json --data @-</v>
      </c>
      <c r="AJ111" s="55"/>
      <c r="AK111" s="55"/>
      <c r="AL111" s="55"/>
    </row>
    <row r="112" spans="1:38" x14ac:dyDescent="0.25">
      <c r="A112" s="39" t="s">
        <v>501</v>
      </c>
      <c r="B112" s="7">
        <v>4042</v>
      </c>
      <c r="C112" s="24" t="s">
        <v>113</v>
      </c>
      <c r="D112" s="24" t="s">
        <v>150</v>
      </c>
      <c r="E112" s="15">
        <v>42612.653182870374</v>
      </c>
      <c r="F112" s="15">
        <v>42612.656608796293</v>
      </c>
      <c r="G112" s="7">
        <v>1</v>
      </c>
      <c r="H112" s="15" t="s">
        <v>255</v>
      </c>
      <c r="I112" s="15">
        <v>42612.683171296296</v>
      </c>
      <c r="J112" s="7">
        <v>0</v>
      </c>
      <c r="K112" s="132" t="str">
        <f t="shared" si="28"/>
        <v>4041/4042</v>
      </c>
      <c r="L112" s="24" t="str">
        <f>VLOOKUP(A112,'Trips&amp;Operators'!$C$1:$E$10000,3,FALSE)</f>
        <v>CLARK</v>
      </c>
      <c r="M112" s="6">
        <f t="shared" si="29"/>
        <v>2.6562500002910383E-2</v>
      </c>
      <c r="N112" s="7">
        <f t="shared" si="43"/>
        <v>38.250000004190952</v>
      </c>
      <c r="O112" s="7"/>
      <c r="P112" s="7"/>
      <c r="Q112" s="25"/>
      <c r="R112" s="25"/>
      <c r="S112" s="37">
        <f t="shared" si="44"/>
        <v>1</v>
      </c>
      <c r="T112" s="52" t="str">
        <f t="shared" si="30"/>
        <v>NorthBound</v>
      </c>
      <c r="U112" s="126">
        <f>IF(AG112="EC",COUNTIFS(Variables!$M$2:$M$19,IF(T112="NorthBound","&gt;=","&lt;=")&amp;Y112,Variables!$M$2:$M$19,IF(T112="NorthBound","&lt;=","&gt;=")&amp;Z112),COUNTIFS(Variables!$P$2:$P$19,IF(T112="NorthBound","&gt;=","&lt;=")&amp;Y112,Variables!$P$2:$P$19,IF(T112="NorthBound","&lt;=","&gt;=")&amp;Z112))</f>
        <v>12</v>
      </c>
      <c r="V112" s="106" t="str">
        <f t="shared" si="31"/>
        <v>https://search-rtdc-monitor-bjffxe2xuh6vdkpspy63sjmuny.us-east-1.es.amazonaws.com/_plugin/kibana/#/discover/Steve-Slow-Train-Analysis-(2080s-and-2083s)?_g=(refreshInterval:(display:Off,section:0,value:0),time:(from:'2016-08-30 14:40:35-0600',mode:absolute,to:'2016-08-30 17:23: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112" s="54" t="str">
        <f t="shared" si="32"/>
        <v>N</v>
      </c>
      <c r="X112" s="120">
        <f t="shared" si="42"/>
        <v>1</v>
      </c>
      <c r="Y112" s="69">
        <f t="shared" si="33"/>
        <v>4.5100000000000001E-2</v>
      </c>
      <c r="Z112" s="69">
        <f t="shared" si="34"/>
        <v>23.329499999999999</v>
      </c>
      <c r="AA112" s="69">
        <f t="shared" si="35"/>
        <v>23.284399999999998</v>
      </c>
      <c r="AB112" s="66" t="e">
        <f>VLOOKUP(A112,Enforcements!$C$7:$J$21,8,0)</f>
        <v>#N/A</v>
      </c>
      <c r="AC112" s="62" t="e">
        <f>VLOOKUP(A112,Enforcements!$C$7:$E$21,3,0)</f>
        <v>#N/A</v>
      </c>
      <c r="AD112" s="63" t="str">
        <f t="shared" si="36"/>
        <v>0197-30</v>
      </c>
      <c r="AE112" s="99" t="str">
        <f t="shared" si="37"/>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112" s="96" t="str">
        <f t="shared" si="38"/>
        <v>"C:\Program Files (x86)\AstroGrep\AstroGrep.exe" /spath="%USERPROFILE%\AppData\Local\Temp\OnboardLogs" /stypes="*4042*20160830*" /stext=" 22:.+((SYSTEM_STATE.+slice.+state.+changed )|(ment ac)|(system.+state.+changed )|(\|lc)|(penalty)|(\[timeout)|(PRM\|1\|D)|(kpr)|(kdp))" /e /r /s</v>
      </c>
      <c r="AG112" s="1" t="str">
        <f t="shared" si="39"/>
        <v>EC</v>
      </c>
      <c r="AH112" s="100" t="str">
        <f t="shared" si="40"/>
        <v>"%USERPROFILE%\Documents\GitHub\eaglep3\Utilities\RefineRTDCRunTimes.py" --tripid 197-30 --locoid 4042 --swversion DE.1.0.7.0 --startMP 204:451 --initTime 2016-08-30T15:40:35 --startdatetime 2016-08-30T15:45:31 --delay 1 --endMP 204:233295 --enddatetime 2016-08-30T16:23:46 --enforcementcount 0 &gt;&gt;C:\Users\stu\Documents\GitHub\eaglep3-reporting\EC\2016-08-30-refined-times.txt</v>
      </c>
      <c r="AI112" s="149" t="str">
        <f t="shared" si="41"/>
        <v>echo {"issue":{"subject":"","project_id":79,"tracker_id":40,"status_id":1,"priority_id":2,"assigned_to_id":23,"start_date":"2016-08-30","description":"","custom_fields":[{"id":1,"name":"Subdivision","value":"EC"},{"id":4,"name":"Milepost","value":"23.2844"},{"id":17,"name":"Train ID","value":"197-30"},{"id":16,"name":"Locomotive ID","value":"4042"},{"id":130,"name":"Impact","value":""},{"id":150,"name":"Time of Event (Mountain Time)","value":"16:23:46"},{"id":151,"name":"Denver Issue ID","value":""},{"id":178,"name":"Operational Impact","value":"Yes"},{"id":179,"name":"Denver Segment Assigned","value":""}]}} | curl -X POST -H "Content-Type: application/json" -H "X-Redmine-API-Key: d6333d4a04012a730768444271f8ca06482dae87" https://secure.xorail.net/redmine/issues.json --data @-</v>
      </c>
      <c r="AJ112" s="55"/>
      <c r="AK112" s="55"/>
      <c r="AL112" s="55"/>
    </row>
    <row r="113" spans="1:38" s="23" customFormat="1" x14ac:dyDescent="0.25">
      <c r="A113" s="39" t="s">
        <v>376</v>
      </c>
      <c r="B113" s="7">
        <v>4041</v>
      </c>
      <c r="C113" s="24" t="s">
        <v>113</v>
      </c>
      <c r="D113" s="24" t="s">
        <v>597</v>
      </c>
      <c r="E113" s="15">
        <v>42612.690891203703</v>
      </c>
      <c r="F113" s="15">
        <v>42612.695474537039</v>
      </c>
      <c r="G113" s="7">
        <v>1</v>
      </c>
      <c r="H113" s="15" t="s">
        <v>136</v>
      </c>
      <c r="I113" s="15">
        <v>42612.724004629628</v>
      </c>
      <c r="J113" s="7">
        <v>0</v>
      </c>
      <c r="K113" s="132" t="str">
        <f t="shared" si="28"/>
        <v>4041/4042</v>
      </c>
      <c r="L113" s="24" t="str">
        <f>VLOOKUP(A113,'Trips&amp;Operators'!$C$1:$E$10000,3,FALSE)</f>
        <v>CLARK</v>
      </c>
      <c r="M113" s="6">
        <f t="shared" si="29"/>
        <v>2.8530092589790002E-2</v>
      </c>
      <c r="N113" s="7">
        <f t="shared" si="43"/>
        <v>41.083333329297602</v>
      </c>
      <c r="O113" s="7"/>
      <c r="P113" s="7"/>
      <c r="Q113" s="25"/>
      <c r="R113" s="25"/>
      <c r="S113" s="37">
        <f t="shared" si="44"/>
        <v>1</v>
      </c>
      <c r="T113" s="52" t="str">
        <f t="shared" si="30"/>
        <v>Southbound</v>
      </c>
      <c r="U113" s="126">
        <f>IF(AG113="EC",COUNTIFS(Variables!$M$2:$M$19,IF(T113="NorthBound","&gt;=","&lt;=")&amp;Y113,Variables!$M$2:$M$19,IF(T113="NorthBound","&lt;=","&gt;=")&amp;Z113),COUNTIFS(Variables!$P$2:$P$19,IF(T113="NorthBound","&gt;=","&lt;=")&amp;Y113,Variables!$P$2:$P$19,IF(T113="NorthBound","&lt;=","&gt;=")&amp;Z113))</f>
        <v>12</v>
      </c>
      <c r="V113" s="106" t="str">
        <f t="shared" si="31"/>
        <v>https://search-rtdc-monitor-bjffxe2xuh6vdkpspy63sjmuny.us-east-1.es.amazonaws.com/_plugin/kibana/#/discover/Steve-Slow-Train-Analysis-(2080s-and-2083s)?_g=(refreshInterval:(display:Off,section:0,value:0),time:(from:'2016-08-30 15:34:53-0600',mode:absolute,to:'2016-08-30 18: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113" s="54" t="str">
        <f t="shared" si="32"/>
        <v>N</v>
      </c>
      <c r="X113" s="120">
        <f t="shared" si="42"/>
        <v>1</v>
      </c>
      <c r="Y113" s="69">
        <f t="shared" si="33"/>
        <v>23.299199999999999</v>
      </c>
      <c r="Z113" s="69">
        <f t="shared" si="34"/>
        <v>1.49E-2</v>
      </c>
      <c r="AA113" s="69">
        <f t="shared" si="35"/>
        <v>23.284299999999998</v>
      </c>
      <c r="AB113" s="66" t="e">
        <f>VLOOKUP(A113,Enforcements!$C$7:$J$21,8,0)</f>
        <v>#N/A</v>
      </c>
      <c r="AC113" s="62" t="e">
        <f>VLOOKUP(A113,Enforcements!$C$7:$E$21,3,0)</f>
        <v>#N/A</v>
      </c>
      <c r="AD113" s="63" t="str">
        <f t="shared" si="36"/>
        <v>0198-30</v>
      </c>
      <c r="AE113" s="99" t="str">
        <f t="shared" si="37"/>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113" s="96" t="str">
        <f t="shared" si="38"/>
        <v>"C:\Program Files (x86)\AstroGrep\AstroGrep.exe" /spath="%USERPROFILE%\AppData\Local\Temp\OnboardLogs" /stypes="*4041*20160830*" /stext=" 23:.+((SYSTEM_STATE.+slice.+state.+changed )|(ment ac)|(system.+state.+changed )|(\|lc)|(penalty)|(\[timeout)|(PRM\|1\|D)|(kpr)|(kdp))" /e /r /s</v>
      </c>
      <c r="AG113" s="1" t="str">
        <f t="shared" si="39"/>
        <v>EC</v>
      </c>
      <c r="AH113" s="100" t="str">
        <f t="shared" si="40"/>
        <v>"%USERPROFILE%\Documents\GitHub\eaglep3\Utilities\RefineRTDCRunTimes.py" --tripid 198-30 --locoid 4041 --swversion DE.1.0.7.0 --startMP 204:232992 --initTime 2016-08-30T16:34:53 --startdatetime 2016-08-30T16:41:29 --delay 1 --endMP 204:149 --enddatetime 2016-08-30T17:22:34 --enforcementcount 0 &gt;&gt;C:\Users\stu\Documents\GitHub\eaglep3-reporting\EC\2016-08-30-refined-times.txt</v>
      </c>
      <c r="AI113" s="149" t="str">
        <f t="shared" si="41"/>
        <v>echo {"issue":{"subject":"","project_id":79,"tracker_id":40,"status_id":1,"priority_id":2,"assigned_to_id":23,"start_date":"2016-08-30","description":"","custom_fields":[{"id":1,"name":"Subdivision","value":"EC"},{"id":4,"name":"Milepost","value":"23.2843"},{"id":17,"name":"Train ID","value":"198-30"},{"id":16,"name":"Locomotive ID","value":"4041"},{"id":130,"name":"Impact","value":""},{"id":150,"name":"Time of Event (Mountain Time)","value":"17:22:34"},{"id":151,"name":"Denver Issue ID","value":""},{"id":178,"name":"Operational Impact","value":"Yes"},{"id":179,"name":"Denver Segment Assigned","value":""}]}} | curl -X POST -H "Content-Type: application/json" -H "X-Redmine-API-Key: d6333d4a04012a730768444271f8ca06482dae87" https://secure.xorail.net/redmine/issues.json --data @-</v>
      </c>
      <c r="AJ113" s="55"/>
      <c r="AK113" s="55"/>
      <c r="AL113" s="55"/>
    </row>
    <row r="114" spans="1:38" x14ac:dyDescent="0.25">
      <c r="A114" s="39" t="s">
        <v>504</v>
      </c>
      <c r="B114" s="7">
        <v>4038</v>
      </c>
      <c r="C114" s="24" t="s">
        <v>113</v>
      </c>
      <c r="D114" s="24" t="s">
        <v>629</v>
      </c>
      <c r="E114" s="15">
        <v>42612.667222222219</v>
      </c>
      <c r="F114" s="15">
        <v>42612.679282407407</v>
      </c>
      <c r="G114" s="7">
        <v>1</v>
      </c>
      <c r="H114" s="15" t="s">
        <v>630</v>
      </c>
      <c r="I114" s="15">
        <v>42612.679814814815</v>
      </c>
      <c r="J114" s="7">
        <v>0</v>
      </c>
      <c r="K114" s="132" t="str">
        <f t="shared" si="28"/>
        <v>4037/4038</v>
      </c>
      <c r="L114" s="24" t="str">
        <f>VLOOKUP(A114,'Trips&amp;Operators'!$C$1:$E$10000,3,FALSE)</f>
        <v>WEBSTER</v>
      </c>
      <c r="M114" s="6">
        <f t="shared" si="29"/>
        <v>5.3240740817273036E-4</v>
      </c>
      <c r="N114" s="7"/>
      <c r="O114" s="7"/>
      <c r="P114" s="7">
        <f>24*60*SUM($M114:$M114)</f>
        <v>0.76666666776873171</v>
      </c>
      <c r="Q114" s="25"/>
      <c r="R114" s="25" t="s">
        <v>732</v>
      </c>
      <c r="S114" s="37">
        <f t="shared" si="44"/>
        <v>0</v>
      </c>
      <c r="T114" s="52" t="str">
        <f t="shared" si="30"/>
        <v>NorthBound</v>
      </c>
      <c r="U114" s="126">
        <f>IF(AG114="EC",COUNTIFS(Variables!$M$2:$M$19,IF(T114="NorthBound","&gt;=","&lt;=")&amp;Y114,Variables!$M$2:$M$19,IF(T114="NorthBound","&lt;=","&gt;=")&amp;Z114),COUNTIFS(Variables!$P$2:$P$19,IF(T114="NorthBound","&gt;=","&lt;=")&amp;Y114,Variables!$P$2:$P$19,IF(T114="NorthBound","&lt;=","&gt;=")&amp;Z114))</f>
        <v>0</v>
      </c>
      <c r="V114" s="106" t="str">
        <f t="shared" si="31"/>
        <v>https://search-rtdc-monitor-bjffxe2xuh6vdkpspy63sjmuny.us-east-1.es.amazonaws.com/_plugin/kibana/#/discover/Steve-Slow-Train-Analysis-(2080s-and-2083s)?_g=(refreshInterval:(display:Off,section:0,value:0),time:(from:'2016-08-30 15:00:48-0600',mode:absolute,to:'2016-08-30 17:18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W114" s="54" t="str">
        <f t="shared" si="32"/>
        <v>Y</v>
      </c>
      <c r="X114" s="120">
        <f t="shared" si="42"/>
        <v>1</v>
      </c>
      <c r="Y114" s="69">
        <f t="shared" si="33"/>
        <v>4.3299999999999998E-2</v>
      </c>
      <c r="Z114" s="69">
        <f t="shared" si="34"/>
        <v>0.1244</v>
      </c>
      <c r="AA114" s="69">
        <f t="shared" si="35"/>
        <v>8.1100000000000005E-2</v>
      </c>
      <c r="AB114" s="66" t="e">
        <f>VLOOKUP(A114,Enforcements!$C$7:$J$21,8,0)</f>
        <v>#N/A</v>
      </c>
      <c r="AC114" s="62" t="e">
        <f>VLOOKUP(A114,Enforcements!$C$7:$E$21,3,0)</f>
        <v>#N/A</v>
      </c>
      <c r="AD114" s="63" t="str">
        <f t="shared" si="36"/>
        <v>0199-30</v>
      </c>
      <c r="AE114" s="99" t="str">
        <f t="shared" si="37"/>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AF114" s="96" t="str">
        <f t="shared" si="38"/>
        <v>"C:\Program Files (x86)\AstroGrep\AstroGrep.exe" /spath="%USERPROFILE%\AppData\Local\Temp\OnboardLogs" /stypes="*4038*20160830*" /stext=" 22:.+((SYSTEM_STATE.+slice.+state.+changed )|(ment ac)|(system.+state.+changed )|(\|lc)|(penalty)|(\[timeout)|(PRM\|1\|D)|(kpr)|(kdp))" /e /r /s</v>
      </c>
      <c r="AG114" s="1" t="str">
        <f t="shared" si="39"/>
        <v>EC</v>
      </c>
      <c r="AH114" s="100" t="str">
        <f t="shared" si="40"/>
        <v>"%USERPROFILE%\Documents\GitHub\eaglep3\Utilities\RefineRTDCRunTimes.py" --tripid 199-30 --locoid 4038 --swversion DE.1.0.7.0 --startMP 204:433 --initTime 2016-08-30T16:00:48 --startdatetime 2016-08-30T16:18:10 --delay 1 --endMP 204:1244 --enddatetime 2016-08-30T16:18:56 --enforcementcount 0 &gt;&gt;C:\Users\stu\Documents\GitHub\eaglep3-reporting\EC\2016-08-30-refined-times.txt</v>
      </c>
      <c r="AI114" s="149" t="str">
        <f t="shared" si="41"/>
        <v>echo {"issue":{"subject":"DUS 2N stuck at STOP (did not clear in response to controls)","project_id":79,"tracker_id":40,"status_id":1,"priority_id":2,"assigned_to_id":23,"start_date":"2016-08-30","description":"Clear requests sent to signal 2N at 16:11:29, but signal 2N never cleared. Does anything look out of the ordinary? As additional info, the signal prior to this incident downgraded to STOP around 16:10:19 (from what looks like normal train movement). Also, the next time the signal cleared was at 16:26:09","custom_fields":[{"id":1,"name":"Subdivision","value":"EC"},{"id":4,"name":"Milepost","value":"0.0811"},{"id":17,"name":"Train ID","value":"199-30"},{"id":16,"name":"Locomotive ID","value":"4038"},{"id":130,"name":"Impact","value":"Unexpected Cut-Out or Disengaged"},{"id":150,"name":"Time of Event (Mountain Time)","value":"16:18:56"},{"id":151,"name":"Denver Issue ID","value":""},{"id":178,"name":"Operational Impact","value":"Yes"},{"id":179,"name":"Denver Segment Assigned","value":"Signal"}]}} | curl -X POST -H "Content-Type: application/json" -H "X-Redmine-API-Key: d6333d4a04012a730768444271f8ca06482dae87" https://secure.xorail.net/redmine/issues.json --data @-</v>
      </c>
      <c r="AJ114" s="55" t="s">
        <v>733</v>
      </c>
      <c r="AK114" s="55" t="s">
        <v>207</v>
      </c>
      <c r="AL114" s="55" t="s">
        <v>206</v>
      </c>
    </row>
    <row r="115" spans="1:38" s="23" customFormat="1" x14ac:dyDescent="0.25">
      <c r="A115" s="39" t="s">
        <v>729</v>
      </c>
      <c r="B115" s="7">
        <v>4039</v>
      </c>
      <c r="C115" s="24" t="s">
        <v>113</v>
      </c>
      <c r="D115" s="24" t="s">
        <v>629</v>
      </c>
      <c r="E115" s="15">
        <v>42612.667222222219</v>
      </c>
      <c r="F115" s="15">
        <v>42612.679282407407</v>
      </c>
      <c r="G115" s="7">
        <v>1</v>
      </c>
      <c r="H115" s="15" t="s">
        <v>630</v>
      </c>
      <c r="I115" s="15">
        <v>42612.679814814815</v>
      </c>
      <c r="J115" s="7">
        <v>0</v>
      </c>
      <c r="K115" s="132" t="str">
        <f t="shared" si="28"/>
        <v>4039/4040</v>
      </c>
      <c r="L115" s="24" t="e">
        <f>VLOOKUP(A115,'Trips&amp;Operators'!$C$1:$E$10000,3,FALSE)</f>
        <v>#N/A</v>
      </c>
      <c r="M115" s="6">
        <f t="shared" si="29"/>
        <v>5.3240740817273036E-4</v>
      </c>
      <c r="N115" s="7"/>
      <c r="O115" s="7"/>
      <c r="P115" s="7">
        <v>1</v>
      </c>
      <c r="Q115" s="25"/>
      <c r="R115" s="25" t="s">
        <v>728</v>
      </c>
      <c r="S115" s="37">
        <f t="shared" si="44"/>
        <v>0</v>
      </c>
      <c r="T115" s="52" t="str">
        <f t="shared" si="30"/>
        <v>Southbound</v>
      </c>
      <c r="U115" s="126">
        <f>IF(AG115="EC",COUNTIFS(Variables!$M$2:$M$19,IF(T115="NorthBound","&gt;=","&lt;=")&amp;Y115,Variables!$M$2:$M$19,IF(T115="NorthBound","&lt;=","&gt;=")&amp;Z115),COUNTIFS(Variables!$P$2:$P$19,IF(T115="NorthBound","&gt;=","&lt;=")&amp;Y115,Variables!$P$2:$P$19,IF(T115="NorthBound","&lt;=","&gt;=")&amp;Z115))</f>
        <v>0</v>
      </c>
      <c r="V115" s="106" t="str">
        <f t="shared" si="31"/>
        <v>https://search-rtdc-monitor-bjffxe2xuh6vdkpspy63sjmuny.us-east-1.es.amazonaws.com/_plugin/kibana/#/discover/Steve-Slow-Train-Analysis-(2080s-and-2083s)?_g=(refreshInterval:(display:Off,section:0,value:0),time:(from:'2016-08-30 15:00:48-0600',mode:absolute,to:'2016-08-30 17:18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115" s="54" t="str">
        <f t="shared" si="32"/>
        <v>Y</v>
      </c>
      <c r="X115" s="120">
        <f t="shared" ref="X115:X118" si="45">VALUE(LEFT(AD115,4))-VALUE(LEFT(AD114,4))</f>
        <v>1</v>
      </c>
      <c r="Y115" s="69">
        <f t="shared" si="33"/>
        <v>4.3299999999999998E-2</v>
      </c>
      <c r="Z115" s="69">
        <f t="shared" si="34"/>
        <v>0.1244</v>
      </c>
      <c r="AA115" s="69">
        <f t="shared" si="35"/>
        <v>8.1100000000000005E-2</v>
      </c>
      <c r="AB115" s="66" t="e">
        <f>VLOOKUP(A115,Enforcements!$C$7:$J$21,8,0)</f>
        <v>#N/A</v>
      </c>
      <c r="AC115" s="62" t="e">
        <f>VLOOKUP(A115,Enforcements!$C$7:$E$21,3,0)</f>
        <v>#N/A</v>
      </c>
      <c r="AD115" s="63" t="str">
        <f t="shared" si="36"/>
        <v>0200-30</v>
      </c>
      <c r="AE115" s="99" t="str">
        <f t="shared" si="37"/>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115" s="96" t="str">
        <f t="shared" si="38"/>
        <v>"C:\Program Files (x86)\AstroGrep\AstroGrep.exe" /spath="%USERPROFILE%\AppData\Local\Temp\OnboardLogs" /stypes="*4039*20160830*" /stext=" 22:.+((SYSTEM_STATE.+slice.+state.+changed )|(ment ac)|(system.+state.+changed )|(\|lc)|(penalty)|(\[timeout)|(PRM\|1\|D)|(kpr)|(kdp))" /e /r /s</v>
      </c>
      <c r="AG115" s="1" t="str">
        <f t="shared" si="39"/>
        <v>EC</v>
      </c>
      <c r="AH115" s="100" t="str">
        <f t="shared" ref="AH115" si="46">refinertdcruntimes&amp;" --tripid "&amp;A115&amp;" --locoid "&amp;B115&amp;" --swversion "&amp;C115&amp;" --startMP "&amp;D115&amp;" --initTime "&amp;TEXT(E115,"yyyy-mm-ddTHH:MM:SS")&amp;" --startdatetime "&amp;TEXT(F115,"yyyy-mm-ddTHH:MM:SS")&amp;" --delay "&amp;G115&amp;" --endMP "&amp;H115&amp;" --enddatetime "&amp;TEXT(I115,"yyyy-mm-ddTHH:MM:SS")&amp;" --enforcementcount "&amp;J115&amp;IF(outputrefinedruntimes," &gt;&gt;"&amp;RefinedRTDCRunTimesOutputFile,"")</f>
        <v>"%USERPROFILE%\Documents\GitHub\eaglep3\Utilities\RefineRTDCRunTimes.py" --tripid 200-30 --locoid 4039 --swversion DE.1.0.7.0 --startMP 204:433 --initTime 2016-08-30T16:00:48 --startdatetime 2016-08-30T16:18:10 --delay 1 --endMP 204:1244 --enddatetime 2016-08-30T16:18:56 --enforcementcount 0 &gt;&gt;C:\Users\stu\Documents\GitHub\eaglep3-reporting\EC\2016-08-30-refined-times.txt</v>
      </c>
      <c r="AI115" s="149" t="str">
        <f t="shared" ref="AI115" si="47">"echo {""issue"":{""subject"":"""&amp;R115&amp;""",""project_id"":79,""tracker_id"":40,""status_id"":"&amp;redmine_status&amp;",""priority_id"":"&amp;redmine_priority&amp;",""assigned_to_id"":"&amp;redmine_assignee&amp;",""start_date"":"""&amp;TEXT(I115,"YYYY-mm-dd")&amp;""",""description"":"""&amp;AJ115&amp;""",""custom_fields"":[{""id"":1,""name"":""Subdivision"",""value"":"""&amp;AG115&amp;"""},{""id"":4,""name"":""Milepost"",""value"":"""&amp;AA115&amp;"""},{""id"":17,""name"":""Train ID"",""value"":"""&amp;A115&amp;"""},{""id"":16,""name"":""Locomotive ID"",""value"":"""&amp;B115&amp;"""},{""id"":130,""name"":""Impact"",""value"":"""&amp;AK115&amp;"""},{""id"":150,""name"":""Time of Event (Mountain Time)"",""value"":"""&amp;TEXT(I115,"hh:mm:ss")&amp;"""},{""id"":151,""name"":""Denver Issue ID"",""value"":"""&amp;"""},{""id"":178,""name"":""Operational Impact"",""value"":"""&amp;redmine_op_impact&amp;"""},{""id"":179,""name"":""Denver Segment Assigned"",""value"":"""&amp;AL115&amp;"""}]}}"&amp;" | curl -X POST -H ""Content-Type: application/json"" -H ""X-Redmine-API-Key: "&amp;redm_api_key&amp;""" "&amp;redm_url&amp;" --data @-"</f>
        <v>echo {"issue":{"subject":"Did not initialize","project_id":79,"tracker_id":40,"status_id":1,"priority_id":2,"assigned_to_id":23,"start_date":"2016-08-30","description":"","custom_fields":[{"id":1,"name":"Subdivision","value":"EC"},{"id":4,"name":"Milepost","value":"0.0811"},{"id":17,"name":"Train ID","value":"200-30"},{"id":16,"name":"Locomotive ID","value":"4039"},{"id":130,"name":"Impact","value":""},{"id":150,"name":"Time of Event (Mountain Time)","value":"16:18:56"},{"id":151,"name":"Denver Issue ID","value":""},{"id":178,"name":"Operational Impact","value":"Yes"},{"id":179,"name":"Denver Segment Assigned","value":""}]}} | curl -X POST -H "Content-Type: application/json" -H "X-Redmine-API-Key: d6333d4a04012a730768444271f8ca06482dae87" https://secure.xorail.net/redmine/issues.json --data @-</v>
      </c>
      <c r="AJ115" s="55"/>
      <c r="AK115" s="55"/>
      <c r="AL115" s="55"/>
    </row>
    <row r="116" spans="1:38" x14ac:dyDescent="0.25">
      <c r="A116" s="39" t="s">
        <v>506</v>
      </c>
      <c r="B116" s="7">
        <v>4016</v>
      </c>
      <c r="C116" s="24" t="s">
        <v>113</v>
      </c>
      <c r="D116" s="24" t="s">
        <v>138</v>
      </c>
      <c r="E116" s="15">
        <v>42612.674293981479</v>
      </c>
      <c r="F116" s="15">
        <v>42612.677673611113</v>
      </c>
      <c r="G116" s="7">
        <v>1</v>
      </c>
      <c r="H116" s="15" t="s">
        <v>585</v>
      </c>
      <c r="I116" s="15">
        <v>42612.70511574074</v>
      </c>
      <c r="J116" s="7">
        <v>0</v>
      </c>
      <c r="K116" s="132" t="str">
        <f t="shared" si="28"/>
        <v>4015/4016</v>
      </c>
      <c r="L116" s="24" t="str">
        <f>VLOOKUP(A116,'Trips&amp;Operators'!$C$1:$E$10000,3,FALSE)</f>
        <v>BARTLETT</v>
      </c>
      <c r="M116" s="6">
        <f t="shared" si="29"/>
        <v>2.7442129627161194E-2</v>
      </c>
      <c r="N116" s="7">
        <f t="shared" ref="N116:N147" si="48">24*60*SUM($M116:$M116)</f>
        <v>39.516666663112119</v>
      </c>
      <c r="O116" s="7"/>
      <c r="P116" s="7"/>
      <c r="Q116" s="25"/>
      <c r="R116" s="25"/>
      <c r="S116" s="37">
        <f t="shared" si="44"/>
        <v>1</v>
      </c>
      <c r="T116" s="52" t="str">
        <f t="shared" si="30"/>
        <v>NorthBound</v>
      </c>
      <c r="U116" s="126">
        <f>IF(AG116="EC",COUNTIFS(Variables!$M$2:$M$19,IF(T116="NorthBound","&gt;=","&lt;=")&amp;Y116,Variables!$M$2:$M$19,IF(T116="NorthBound","&lt;=","&gt;=")&amp;Z116),COUNTIFS(Variables!$P$2:$P$19,IF(T116="NorthBound","&gt;=","&lt;=")&amp;Y116,Variables!$P$2:$P$19,IF(T116="NorthBound","&lt;=","&gt;=")&amp;Z116))</f>
        <v>12</v>
      </c>
      <c r="V116" s="106" t="str">
        <f t="shared" si="31"/>
        <v>https://search-rtdc-monitor-bjffxe2xuh6vdkpspy63sjmuny.us-east-1.es.amazonaws.com/_plugin/kibana/#/discover/Steve-Slow-Train-Analysis-(2080s-and-2083s)?_g=(refreshInterval:(display:Off,section:0,value:0),time:(from:'2016-08-30 15:10:59-0600',mode:absolute,to:'2016-08-30 17: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16" s="54" t="str">
        <f t="shared" si="32"/>
        <v>N</v>
      </c>
      <c r="X116" s="120">
        <f t="shared" si="45"/>
        <v>1</v>
      </c>
      <c r="Y116" s="69">
        <f t="shared" si="33"/>
        <v>4.6699999999999998E-2</v>
      </c>
      <c r="Z116" s="69">
        <f t="shared" si="34"/>
        <v>23.330200000000001</v>
      </c>
      <c r="AA116" s="69">
        <f t="shared" si="35"/>
        <v>23.2835</v>
      </c>
      <c r="AB116" s="66" t="e">
        <f>VLOOKUP(A116,Enforcements!$C$7:$J$21,8,0)</f>
        <v>#N/A</v>
      </c>
      <c r="AC116" s="62" t="e">
        <f>VLOOKUP(A116,Enforcements!$C$7:$E$21,3,0)</f>
        <v>#N/A</v>
      </c>
      <c r="AD116" s="63" t="str">
        <f t="shared" si="36"/>
        <v>0201-30</v>
      </c>
      <c r="AE116" s="99" t="str">
        <f t="shared" si="37"/>
        <v>aws s3 cp s3://rtdc.mdm.uploadarchive/RTDC4016/2016-08-30/ "%USERPROFILE%\AppData\Local\Temp\OnboardLogs"\RTDC4016\2016-08-30 --recursive &amp; "%USERPROFILE%\Documents\GitHub\mrs-test-scripts\Headless Mode &amp; Sideloading\WalkAndUnGZ.bat" "%USERPROFILE%\AppData\Local\Temp\OnboardLogs"\RTDC4016\2016-08-30 &amp; aws s3 cp s3://rtdc.mdm.uploadarchive/RTDC4016/2016-08-31/ "%USERPROFILE%\AppData\Local\Temp\OnboardLogs"\RTDC4016\2016-08-31 --recursive &amp; "%USERPROFILE%\Documents\GitHub\mrs-test-scripts\Headless Mode &amp; Sideloading\WalkAndUnGZ.bat" "%USERPROFILE%\AppData\Local\Temp\OnboardLogs"\RTDC4016\2016-08-31</v>
      </c>
      <c r="AF116" s="96" t="str">
        <f t="shared" si="38"/>
        <v>"C:\Program Files (x86)\AstroGrep\AstroGrep.exe" /spath="%USERPROFILE%\AppData\Local\Temp\OnboardLogs" /stypes="*4016*20160830*" /stext=" 22:.+((SYSTEM_STATE.+slice.+state.+changed )|(ment ac)|(system.+state.+changed )|(\|lc)|(penalty)|(\[timeout)|(PRM\|1\|D)|(kpr)|(kdp))" /e /r /s</v>
      </c>
      <c r="AG116" s="1" t="str">
        <f t="shared" si="39"/>
        <v>EC</v>
      </c>
      <c r="AH116" s="100" t="str">
        <f t="shared" si="40"/>
        <v>"%USERPROFILE%\Documents\GitHub\eaglep3\Utilities\RefineRTDCRunTimes.py" --tripid 201-30 --locoid 4016 --swversion DE.1.0.7.0 --startMP 204:467 --initTime 2016-08-30T16:10:59 --startdatetime 2016-08-30T16:15:51 --delay 1 --endMP 204:233302 --enddatetime 2016-08-30T16:55:22 --enforcementcount 0 &gt;&gt;C:\Users\stu\Documents\GitHub\eaglep3-reporting\EC\2016-08-30-refined-times.txt</v>
      </c>
      <c r="AI116" s="149" t="str">
        <f t="shared" si="41"/>
        <v>echo {"issue":{"subject":"","project_id":79,"tracker_id":40,"status_id":1,"priority_id":2,"assigned_to_id":23,"start_date":"2016-08-30","description":"","custom_fields":[{"id":1,"name":"Subdivision","value":"EC"},{"id":4,"name":"Milepost","value":"23.2835"},{"id":17,"name":"Train ID","value":"201-30"},{"id":16,"name":"Locomotive ID","value":"4016"},{"id":130,"name":"Impact","value":""},{"id":150,"name":"Time of Event (Mountain Time)","value":"16:55:22"},{"id":151,"name":"Denver Issue ID","value":""},{"id":178,"name":"Operational Impact","value":"Yes"},{"id":179,"name":"Denver Segment Assigned","value":""}]}} | curl -X POST -H "Content-Type: application/json" -H "X-Redmine-API-Key: d6333d4a04012a730768444271f8ca06482dae87" https://secure.xorail.net/redmine/issues.json --data @-</v>
      </c>
      <c r="AJ116" s="55"/>
      <c r="AK116" s="55"/>
      <c r="AL116" s="55"/>
    </row>
    <row r="117" spans="1:38" s="23" customFormat="1" x14ac:dyDescent="0.25">
      <c r="A117" s="39" t="s">
        <v>379</v>
      </c>
      <c r="B117" s="7">
        <v>4015</v>
      </c>
      <c r="C117" s="24" t="s">
        <v>113</v>
      </c>
      <c r="D117" s="24" t="s">
        <v>134</v>
      </c>
      <c r="E117" s="15">
        <v>42612.707407407404</v>
      </c>
      <c r="F117" s="15">
        <v>42612.716423611113</v>
      </c>
      <c r="G117" s="7">
        <v>1</v>
      </c>
      <c r="H117" s="15" t="s">
        <v>631</v>
      </c>
      <c r="I117" s="15">
        <v>42612.745509259257</v>
      </c>
      <c r="J117" s="7">
        <v>0</v>
      </c>
      <c r="K117" s="132" t="str">
        <f t="shared" si="28"/>
        <v>4015/4016</v>
      </c>
      <c r="L117" s="24" t="str">
        <f>VLOOKUP(A117,'Trips&amp;Operators'!$C$1:$E$10000,3,FALSE)</f>
        <v>BARTLETT</v>
      </c>
      <c r="M117" s="6">
        <f t="shared" si="29"/>
        <v>2.9085648144246079E-2</v>
      </c>
      <c r="N117" s="7">
        <f t="shared" si="48"/>
        <v>41.883333327714354</v>
      </c>
      <c r="O117" s="7"/>
      <c r="P117" s="7"/>
      <c r="Q117" s="25"/>
      <c r="R117" s="25"/>
      <c r="S117" s="37">
        <f t="shared" si="44"/>
        <v>1</v>
      </c>
      <c r="T117" s="52" t="str">
        <f t="shared" si="30"/>
        <v>Southbound</v>
      </c>
      <c r="U117" s="126">
        <f>IF(AG117="EC",COUNTIFS(Variables!$M$2:$M$19,IF(T117="NorthBound","&gt;=","&lt;=")&amp;Y117,Variables!$M$2:$M$19,IF(T117="NorthBound","&lt;=","&gt;=")&amp;Z117),COUNTIFS(Variables!$P$2:$P$19,IF(T117="NorthBound","&gt;=","&lt;=")&amp;Y117,Variables!$P$2:$P$19,IF(T117="NorthBound","&lt;=","&gt;=")&amp;Z117))</f>
        <v>12</v>
      </c>
      <c r="V117" s="106" t="str">
        <f t="shared" si="31"/>
        <v>https://search-rtdc-monitor-bjffxe2xuh6vdkpspy63sjmuny.us-east-1.es.amazonaws.com/_plugin/kibana/#/discover/Steve-Slow-Train-Analysis-(2080s-and-2083s)?_g=(refreshInterval:(display:Off,section:0,value:0),time:(from:'2016-08-30 15:58:40-0600',mode:absolute,to:'2016-08-30 18:53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17" s="54" t="str">
        <f t="shared" si="32"/>
        <v>N</v>
      </c>
      <c r="X117" s="120">
        <f t="shared" si="45"/>
        <v>1</v>
      </c>
      <c r="Y117" s="69">
        <f t="shared" si="33"/>
        <v>23.299399999999999</v>
      </c>
      <c r="Z117" s="69">
        <f t="shared" si="34"/>
        <v>2.29E-2</v>
      </c>
      <c r="AA117" s="69">
        <f t="shared" si="35"/>
        <v>23.276499999999999</v>
      </c>
      <c r="AB117" s="66" t="e">
        <f>VLOOKUP(A117,Enforcements!$C$7:$J$21,8,0)</f>
        <v>#N/A</v>
      </c>
      <c r="AC117" s="62" t="e">
        <f>VLOOKUP(A117,Enforcements!$C$7:$E$21,3,0)</f>
        <v>#N/A</v>
      </c>
      <c r="AD117" s="63" t="str">
        <f t="shared" si="36"/>
        <v>0202-30</v>
      </c>
      <c r="AE117" s="99" t="str">
        <f t="shared" si="37"/>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AF117" s="96" t="str">
        <f t="shared" si="38"/>
        <v>"C:\Program Files (x86)\AstroGrep\AstroGrep.exe" /spath="%USERPROFILE%\AppData\Local\Temp\OnboardLogs" /stypes="*4015*20160830*" /stext=" 23:.+((SYSTEM_STATE.+slice.+state.+changed )|(ment ac)|(system.+state.+changed )|(\|lc)|(penalty)|(\[timeout)|(PRM\|1\|D)|(kpr)|(kdp))" /e /r /s</v>
      </c>
      <c r="AG117" s="1" t="str">
        <f t="shared" si="39"/>
        <v>EC</v>
      </c>
      <c r="AH117" s="100" t="str">
        <f t="shared" si="40"/>
        <v>"%USERPROFILE%\Documents\GitHub\eaglep3\Utilities\RefineRTDCRunTimes.py" --tripid 202-30 --locoid 4015 --swversion DE.1.0.7.0 --startMP 204:232994 --initTime 2016-08-30T16:58:40 --startdatetime 2016-08-30T17:11:39 --delay 1 --endMP 204:229 --enddatetime 2016-08-30T17:53:32 --enforcementcount 0 &gt;&gt;C:\Users\stu\Documents\GitHub\eaglep3-reporting\EC\2016-08-30-refined-times.txt</v>
      </c>
      <c r="AI117" s="149" t="str">
        <f t="shared" si="41"/>
        <v>echo {"issue":{"subject":"","project_id":79,"tracker_id":40,"status_id":1,"priority_id":2,"assigned_to_id":23,"start_date":"2016-08-30","description":"","custom_fields":[{"id":1,"name":"Subdivision","value":"EC"},{"id":4,"name":"Milepost","value":"23.2765"},{"id":17,"name":"Train ID","value":"202-30"},{"id":16,"name":"Locomotive ID","value":"4015"},{"id":130,"name":"Impact","value":""},{"id":150,"name":"Time of Event (Mountain Time)","value":"17:53:32"},{"id":151,"name":"Denver Issue ID","value":""},{"id":178,"name":"Operational Impact","value":"Yes"},{"id":179,"name":"Denver Segment Assigned","value":""}]}} | curl -X POST -H "Content-Type: application/json" -H "X-Redmine-API-Key: d6333d4a04012a730768444271f8ca06482dae87" https://secure.xorail.net/redmine/issues.json --data @-</v>
      </c>
      <c r="AJ117" s="55"/>
      <c r="AK117" s="55"/>
      <c r="AL117" s="55"/>
    </row>
    <row r="118" spans="1:38" x14ac:dyDescent="0.25">
      <c r="A118" s="39" t="s">
        <v>508</v>
      </c>
      <c r="B118" s="7">
        <v>4020</v>
      </c>
      <c r="C118" s="24" t="s">
        <v>113</v>
      </c>
      <c r="D118" s="24" t="s">
        <v>190</v>
      </c>
      <c r="E118" s="15">
        <v>42612.684004629627</v>
      </c>
      <c r="F118" s="15">
        <v>42612.687777777777</v>
      </c>
      <c r="G118" s="7">
        <v>1</v>
      </c>
      <c r="H118" s="15" t="s">
        <v>270</v>
      </c>
      <c r="I118" s="15">
        <v>42612.713310185187</v>
      </c>
      <c r="J118" s="7">
        <v>0</v>
      </c>
      <c r="K118" s="132" t="str">
        <f t="shared" si="28"/>
        <v>4019/4020</v>
      </c>
      <c r="L118" s="24" t="str">
        <f>VLOOKUP(A118,'Trips&amp;Operators'!$C$1:$E$10000,3,FALSE)</f>
        <v>SMITH</v>
      </c>
      <c r="M118" s="6">
        <f t="shared" si="29"/>
        <v>2.5532407409627922E-2</v>
      </c>
      <c r="N118" s="7">
        <f t="shared" si="48"/>
        <v>36.766666669864208</v>
      </c>
      <c r="O118" s="7"/>
      <c r="P118" s="7"/>
      <c r="Q118" s="25"/>
      <c r="R118" s="25"/>
      <c r="S118" s="37">
        <f t="shared" si="44"/>
        <v>1</v>
      </c>
      <c r="T118" s="52" t="str">
        <f t="shared" si="30"/>
        <v>NorthBound</v>
      </c>
      <c r="U118" s="126">
        <f>IF(AG118="EC",COUNTIFS(Variables!$M$2:$M$19,IF(T118="NorthBound","&gt;=","&lt;=")&amp;Y118,Variables!$M$2:$M$19,IF(T118="NorthBound","&lt;=","&gt;=")&amp;Z118),COUNTIFS(Variables!$P$2:$P$19,IF(T118="NorthBound","&gt;=","&lt;=")&amp;Y118,Variables!$P$2:$P$19,IF(T118="NorthBound","&lt;=","&gt;=")&amp;Z118))</f>
        <v>12</v>
      </c>
      <c r="V118" s="106" t="str">
        <f t="shared" si="31"/>
        <v>https://search-rtdc-monitor-bjffxe2xuh6vdkpspy63sjmuny.us-east-1.es.amazonaws.com/_plugin/kibana/#/discover/Steve-Slow-Train-Analysis-(2080s-and-2083s)?_g=(refreshInterval:(display:Off,section:0,value:0),time:(from:'2016-08-30 15:24:58-0600',mode:absolute,to:'2016-08-30 18:07: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18" s="54" t="str">
        <f t="shared" si="32"/>
        <v>N</v>
      </c>
      <c r="X118" s="120">
        <f t="shared" si="45"/>
        <v>1</v>
      </c>
      <c r="Y118" s="69">
        <f t="shared" si="33"/>
        <v>4.6399999999999997E-2</v>
      </c>
      <c r="Z118" s="69">
        <f t="shared" si="34"/>
        <v>23.328800000000001</v>
      </c>
      <c r="AA118" s="69">
        <f t="shared" si="35"/>
        <v>23.282400000000003</v>
      </c>
      <c r="AB118" s="66" t="e">
        <f>VLOOKUP(A118,Enforcements!$C$7:$J$21,8,0)</f>
        <v>#N/A</v>
      </c>
      <c r="AC118" s="62" t="e">
        <f>VLOOKUP(A118,Enforcements!$C$7:$E$21,3,0)</f>
        <v>#N/A</v>
      </c>
      <c r="AD118" s="63" t="str">
        <f t="shared" si="36"/>
        <v>0203-30</v>
      </c>
      <c r="AE118" s="99" t="str">
        <f t="shared" si="37"/>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18" s="96" t="str">
        <f t="shared" si="38"/>
        <v>"C:\Program Files (x86)\AstroGrep\AstroGrep.exe" /spath="%USERPROFILE%\AppData\Local\Temp\OnboardLogs" /stypes="*4020*20160830*" /stext=" 23:.+((SYSTEM_STATE.+slice.+state.+changed )|(ment ac)|(system.+state.+changed )|(\|lc)|(penalty)|(\[timeout)|(PRM\|1\|D)|(kpr)|(kdp))" /e /r /s</v>
      </c>
      <c r="AG118" s="1" t="str">
        <f t="shared" si="39"/>
        <v>EC</v>
      </c>
      <c r="AH118" s="100" t="str">
        <f t="shared" si="40"/>
        <v>"%USERPROFILE%\Documents\GitHub\eaglep3\Utilities\RefineRTDCRunTimes.py" --tripid 203-30 --locoid 4020 --swversion DE.1.0.7.0 --startMP 204:464 --initTime 2016-08-30T16:24:58 --startdatetime 2016-08-30T16:30:24 --delay 1 --endMP 204:233288 --enddatetime 2016-08-30T17:07:10 --enforcementcount 0 &gt;&gt;C:\Users\stu\Documents\GitHub\eaglep3-reporting\EC\2016-08-30-refined-times.txt</v>
      </c>
      <c r="AI118" s="149" t="str">
        <f t="shared" si="41"/>
        <v>echo {"issue":{"subject":"","project_id":79,"tracker_id":40,"status_id":1,"priority_id":2,"assigned_to_id":23,"start_date":"2016-08-30","description":"","custom_fields":[{"id":1,"name":"Subdivision","value":"EC"},{"id":4,"name":"Milepost","value":"23.2824"},{"id":17,"name":"Train ID","value":"203-30"},{"id":16,"name":"Locomotive ID","value":"4020"},{"id":130,"name":"Impact","value":""},{"id":150,"name":"Time of Event (Mountain Time)","value":"17:07:10"},{"id":151,"name":"Denver Issue ID","value":""},{"id":178,"name":"Operational Impact","value":"Yes"},{"id":179,"name":"Denver Segment Assigned","value":""}]}} | curl -X POST -H "Content-Type: application/json" -H "X-Redmine-API-Key: d6333d4a04012a730768444271f8ca06482dae87" https://secure.xorail.net/redmine/issues.json --data @-</v>
      </c>
      <c r="AJ118" s="55"/>
      <c r="AK118" s="55"/>
      <c r="AL118" s="55"/>
    </row>
    <row r="119" spans="1:38" x14ac:dyDescent="0.25">
      <c r="A119" s="39" t="s">
        <v>517</v>
      </c>
      <c r="B119" s="7">
        <v>4019</v>
      </c>
      <c r="C119" s="24" t="s">
        <v>113</v>
      </c>
      <c r="D119" s="24" t="s">
        <v>280</v>
      </c>
      <c r="E119" s="15">
        <v>42612.719942129632</v>
      </c>
      <c r="F119" s="15">
        <v>42612.726805555554</v>
      </c>
      <c r="G119" s="7">
        <v>1</v>
      </c>
      <c r="H119" s="15" t="s">
        <v>89</v>
      </c>
      <c r="I119" s="15">
        <v>42612.755370370367</v>
      </c>
      <c r="J119" s="7">
        <v>0</v>
      </c>
      <c r="K119" s="132" t="str">
        <f t="shared" si="28"/>
        <v>4019/4020</v>
      </c>
      <c r="L119" s="24" t="str">
        <f>VLOOKUP(A119,'Trips&amp;Operators'!$C$1:$E$10000,3,FALSE)</f>
        <v>SMITH</v>
      </c>
      <c r="M119" s="6">
        <f t="shared" si="29"/>
        <v>2.8564814812853001E-2</v>
      </c>
      <c r="N119" s="7">
        <f t="shared" si="48"/>
        <v>41.133333330508322</v>
      </c>
      <c r="O119" s="7"/>
      <c r="P119" s="7"/>
      <c r="Q119" s="25"/>
      <c r="R119" s="25"/>
      <c r="S119" s="37">
        <f t="shared" si="44"/>
        <v>1</v>
      </c>
      <c r="T119" s="52" t="str">
        <f t="shared" si="30"/>
        <v>Southbound</v>
      </c>
      <c r="U119" s="126">
        <f>IF(AG119="EC",COUNTIFS(Variables!$M$2:$M$19,IF(T119="NorthBound","&gt;=","&lt;=")&amp;Y119,Variables!$M$2:$M$19,IF(T119="NorthBound","&lt;=","&gt;=")&amp;Z119),COUNTIFS(Variables!$P$2:$P$19,IF(T119="NorthBound","&gt;=","&lt;=")&amp;Y119,Variables!$P$2:$P$19,IF(T119="NorthBound","&lt;=","&gt;=")&amp;Z119))</f>
        <v>12</v>
      </c>
      <c r="V119" s="106" t="str">
        <f t="shared" si="31"/>
        <v>https://search-rtdc-monitor-bjffxe2xuh6vdkpspy63sjmuny.us-east-1.es.amazonaws.com/_plugin/kibana/#/discover/Steve-Slow-Train-Analysis-(2080s-and-2083s)?_g=(refreshInterval:(display:Off,section:0,value:0),time:(from:'2016-08-30 16:16:43-0600',mode:absolute,to:'2016-08-30 19:07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19" s="54" t="str">
        <f t="shared" si="32"/>
        <v>N</v>
      </c>
      <c r="X119" s="120">
        <f t="shared" ref="X119:X150" si="49">VALUE(LEFT(AD119,4))-VALUE(LEFT(AD118,4))</f>
        <v>1</v>
      </c>
      <c r="Y119" s="69">
        <f t="shared" si="33"/>
        <v>23.296099999999999</v>
      </c>
      <c r="Z119" s="69">
        <f t="shared" si="34"/>
        <v>1.43E-2</v>
      </c>
      <c r="AA119" s="69">
        <f t="shared" si="35"/>
        <v>23.2818</v>
      </c>
      <c r="AB119" s="66" t="e">
        <f>VLOOKUP(A119,Enforcements!$C$7:$J$21,8,0)</f>
        <v>#N/A</v>
      </c>
      <c r="AC119" s="62" t="e">
        <f>VLOOKUP(A119,Enforcements!$C$7:$E$21,3,0)</f>
        <v>#N/A</v>
      </c>
      <c r="AD119" s="63" t="str">
        <f t="shared" si="36"/>
        <v>0204-30</v>
      </c>
      <c r="AE119" s="99" t="str">
        <f t="shared" si="37"/>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119" s="96" t="str">
        <f t="shared" si="38"/>
        <v>"C:\Program Files (x86)\AstroGrep\AstroGrep.exe" /spath="%USERPROFILE%\AppData\Local\Temp\OnboardLogs" /stypes="*4019*20160831*" /stext=" 00:.+((SYSTEM_STATE.+slice.+state.+changed )|(ment ac)|(system.+state.+changed )|(\|lc)|(penalty)|(\[timeout)|(PRM\|1\|D)|(kpr)|(kdp))" /e /r /s</v>
      </c>
      <c r="AG119" s="1" t="str">
        <f t="shared" si="39"/>
        <v>EC</v>
      </c>
      <c r="AH119" s="100" t="str">
        <f t="shared" si="40"/>
        <v>"%USERPROFILE%\Documents\GitHub\eaglep3\Utilities\RefineRTDCRunTimes.py" --tripid 204-30 --locoid 4019 --swversion DE.1.0.7.0 --startMP 204:232961 --initTime 2016-08-30T17:16:43 --startdatetime 2016-08-30T17:26:36 --delay 1 --endMP 204:143 --enddatetime 2016-08-30T18:07:44 --enforcementcount 0 &gt;&gt;C:\Users\stu\Documents\GitHub\eaglep3-reporting\EC\2016-08-30-refined-times.txt</v>
      </c>
      <c r="AI119" s="149" t="str">
        <f t="shared" si="41"/>
        <v>echo {"issue":{"subject":"","project_id":79,"tracker_id":40,"status_id":1,"priority_id":2,"assigned_to_id":23,"start_date":"2016-08-30","description":"","custom_fields":[{"id":1,"name":"Subdivision","value":"EC"},{"id":4,"name":"Milepost","value":"23.2818"},{"id":17,"name":"Train ID","value":"204-30"},{"id":16,"name":"Locomotive ID","value":"4019"},{"id":130,"name":"Impact","value":""},{"id":150,"name":"Time of Event (Mountain Time)","value":"18:07:44"},{"id":151,"name":"Denver Issue ID","value":""},{"id":178,"name":"Operational Impact","value":"Yes"},{"id":179,"name":"Denver Segment Assigned","value":""}]}} | curl -X POST -H "Content-Type: application/json" -H "X-Redmine-API-Key: d6333d4a04012a730768444271f8ca06482dae87" https://secure.xorail.net/redmine/issues.json --data @-</v>
      </c>
      <c r="AJ119" s="55"/>
      <c r="AK119" s="55"/>
      <c r="AL119" s="55"/>
    </row>
    <row r="120" spans="1:38" x14ac:dyDescent="0.25">
      <c r="A120" s="39" t="s">
        <v>511</v>
      </c>
      <c r="B120" s="7">
        <v>4018</v>
      </c>
      <c r="C120" s="24" t="s">
        <v>113</v>
      </c>
      <c r="D120" s="24" t="s">
        <v>109</v>
      </c>
      <c r="E120" s="15">
        <v>42612.697581018518</v>
      </c>
      <c r="F120" s="15">
        <v>42612.699317129627</v>
      </c>
      <c r="G120" s="7">
        <v>1</v>
      </c>
      <c r="H120" s="15" t="s">
        <v>619</v>
      </c>
      <c r="I120" s="15">
        <v>42612.724317129629</v>
      </c>
      <c r="J120" s="7">
        <v>0</v>
      </c>
      <c r="K120" s="132" t="str">
        <f t="shared" si="28"/>
        <v>4017/4018</v>
      </c>
      <c r="L120" s="24" t="str">
        <f>VLOOKUP(A120,'Trips&amp;Operators'!$C$1:$E$10000,3,FALSE)</f>
        <v>MAHAN</v>
      </c>
      <c r="M120" s="6">
        <f t="shared" si="29"/>
        <v>2.5000000001455192E-2</v>
      </c>
      <c r="N120" s="7">
        <f t="shared" si="48"/>
        <v>36.000000002095476</v>
      </c>
      <c r="O120" s="7"/>
      <c r="P120" s="7"/>
      <c r="Q120" s="25"/>
      <c r="R120" s="25"/>
      <c r="S120" s="37">
        <f t="shared" si="44"/>
        <v>1</v>
      </c>
      <c r="T120" s="52" t="str">
        <f t="shared" si="30"/>
        <v>NorthBound</v>
      </c>
      <c r="U120" s="126">
        <f>IF(AG120="EC",COUNTIFS(Variables!$M$2:$M$19,IF(T120="NorthBound","&gt;=","&lt;=")&amp;Y120,Variables!$M$2:$M$19,IF(T120="NorthBound","&lt;=","&gt;=")&amp;Z120),COUNTIFS(Variables!$P$2:$P$19,IF(T120="NorthBound","&gt;=","&lt;=")&amp;Y120,Variables!$P$2:$P$19,IF(T120="NorthBound","&lt;=","&gt;=")&amp;Z120))</f>
        <v>12</v>
      </c>
      <c r="V120" s="106" t="str">
        <f t="shared" si="31"/>
        <v>https://search-rtdc-monitor-bjffxe2xuh6vdkpspy63sjmuny.us-east-1.es.amazonaws.com/_plugin/kibana/#/discover/Steve-Slow-Train-Analysis-(2080s-and-2083s)?_g=(refreshInterval:(display:Off,section:0,value:0),time:(from:'2016-08-30 15:44:31-0600',mode:absolute,to:'2016-08-30 18:23: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20" s="54" t="str">
        <f t="shared" si="32"/>
        <v>N</v>
      </c>
      <c r="X120" s="120">
        <f t="shared" si="49"/>
        <v>1</v>
      </c>
      <c r="Y120" s="69">
        <f t="shared" si="33"/>
        <v>4.6199999999999998E-2</v>
      </c>
      <c r="Z120" s="69">
        <f t="shared" si="34"/>
        <v>23.331</v>
      </c>
      <c r="AA120" s="69">
        <f t="shared" si="35"/>
        <v>23.284800000000001</v>
      </c>
      <c r="AB120" s="66" t="e">
        <f>VLOOKUP(A120,Enforcements!$C$7:$J$21,8,0)</f>
        <v>#N/A</v>
      </c>
      <c r="AC120" s="62" t="e">
        <f>VLOOKUP(A120,Enforcements!$C$7:$E$21,3,0)</f>
        <v>#N/A</v>
      </c>
      <c r="AD120" s="63" t="str">
        <f t="shared" si="36"/>
        <v>0205-30</v>
      </c>
      <c r="AE120" s="99" t="str">
        <f t="shared" si="37"/>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20" s="96" t="str">
        <f t="shared" si="38"/>
        <v>"C:\Program Files (x86)\AstroGrep\AstroGrep.exe" /spath="%USERPROFILE%\AppData\Local\Temp\OnboardLogs" /stypes="*4018*20160830*" /stext=" 23:.+((SYSTEM_STATE.+slice.+state.+changed )|(ment ac)|(system.+state.+changed )|(\|lc)|(penalty)|(\[timeout)|(PRM\|1\|D)|(kpr)|(kdp))" /e /r /s</v>
      </c>
      <c r="AG120" s="1" t="str">
        <f t="shared" si="39"/>
        <v>EC</v>
      </c>
      <c r="AH120" s="100" t="str">
        <f t="shared" si="40"/>
        <v>"%USERPROFILE%\Documents\GitHub\eaglep3\Utilities\RefineRTDCRunTimes.py" --tripid 205-30 --locoid 4018 --swversion DE.1.0.7.0 --startMP 204:462 --initTime 2016-08-30T16:44:31 --startdatetime 2016-08-30T16:47:01 --delay 1 --endMP 204:233310 --enddatetime 2016-08-30T17:23:01 --enforcementcount 0 &gt;&gt;C:\Users\stu\Documents\GitHub\eaglep3-reporting\EC\2016-08-30-refined-times.txt</v>
      </c>
      <c r="AI120" s="149" t="str">
        <f t="shared" si="41"/>
        <v>echo {"issue":{"subject":"","project_id":79,"tracker_id":40,"status_id":1,"priority_id":2,"assigned_to_id":23,"start_date":"2016-08-30","description":"","custom_fields":[{"id":1,"name":"Subdivision","value":"EC"},{"id":4,"name":"Milepost","value":"23.2848"},{"id":17,"name":"Train ID","value":"205-30"},{"id":16,"name":"Locomotive ID","value":"4018"},{"id":130,"name":"Impact","value":""},{"id":150,"name":"Time of Event (Mountain Time)","value":"17:23:01"},{"id":151,"name":"Denver Issue ID","value":""},{"id":178,"name":"Operational Impact","value":"Yes"},{"id":179,"name":"Denver Segment Assigned","value":""}]}} | curl -X POST -H "Content-Type: application/json" -H "X-Redmine-API-Key: d6333d4a04012a730768444271f8ca06482dae87" https://secure.xorail.net/redmine/issues.json --data @-</v>
      </c>
      <c r="AJ120" s="55"/>
      <c r="AK120" s="55"/>
      <c r="AL120" s="55"/>
    </row>
    <row r="121" spans="1:38" s="23" customFormat="1" x14ac:dyDescent="0.25">
      <c r="A121" s="39" t="s">
        <v>519</v>
      </c>
      <c r="B121" s="7">
        <v>4017</v>
      </c>
      <c r="C121" s="24" t="s">
        <v>113</v>
      </c>
      <c r="D121" s="24" t="s">
        <v>268</v>
      </c>
      <c r="E121" s="15">
        <v>42612.733657407407</v>
      </c>
      <c r="F121" s="15">
        <v>42612.737002314818</v>
      </c>
      <c r="G121" s="7">
        <v>1</v>
      </c>
      <c r="H121" s="15" t="s">
        <v>599</v>
      </c>
      <c r="I121" s="15">
        <v>42612.764444444445</v>
      </c>
      <c r="J121" s="7">
        <v>0</v>
      </c>
      <c r="K121" s="132" t="str">
        <f t="shared" si="28"/>
        <v>4017/4018</v>
      </c>
      <c r="L121" s="24" t="str">
        <f>VLOOKUP(A121,'Trips&amp;Operators'!$C$1:$E$10000,3,FALSE)</f>
        <v>MAHAN</v>
      </c>
      <c r="M121" s="6">
        <f t="shared" si="29"/>
        <v>2.7442129627161194E-2</v>
      </c>
      <c r="N121" s="7">
        <f t="shared" si="48"/>
        <v>39.516666663112119</v>
      </c>
      <c r="O121" s="7"/>
      <c r="P121" s="7"/>
      <c r="Q121" s="25"/>
      <c r="R121" s="25"/>
      <c r="S121" s="37">
        <f t="shared" si="44"/>
        <v>1</v>
      </c>
      <c r="T121" s="52" t="str">
        <f t="shared" si="30"/>
        <v>Southbound</v>
      </c>
      <c r="U121" s="126">
        <f>IF(AG121="EC",COUNTIFS(Variables!$M$2:$M$19,IF(T121="NorthBound","&gt;=","&lt;=")&amp;Y121,Variables!$M$2:$M$19,IF(T121="NorthBound","&lt;=","&gt;=")&amp;Z121),COUNTIFS(Variables!$P$2:$P$19,IF(T121="NorthBound","&gt;=","&lt;=")&amp;Y121,Variables!$P$2:$P$19,IF(T121="NorthBound","&lt;=","&gt;=")&amp;Z121))</f>
        <v>12</v>
      </c>
      <c r="V121" s="106" t="str">
        <f t="shared" si="31"/>
        <v>https://search-rtdc-monitor-bjffxe2xuh6vdkpspy63sjmuny.us-east-1.es.amazonaws.com/_plugin/kibana/#/discover/Steve-Slow-Train-Analysis-(2080s-and-2083s)?_g=(refreshInterval:(display:Off,section:0,value:0),time:(from:'2016-08-30 16:36:28-0600',mode:absolute,to:'2016-08-30 19:20: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21" s="54" t="str">
        <f t="shared" si="32"/>
        <v>N</v>
      </c>
      <c r="X121" s="120">
        <f t="shared" si="49"/>
        <v>1</v>
      </c>
      <c r="Y121" s="69">
        <f t="shared" si="33"/>
        <v>23.298100000000002</v>
      </c>
      <c r="Z121" s="69">
        <f t="shared" si="34"/>
        <v>1.61E-2</v>
      </c>
      <c r="AA121" s="69">
        <f t="shared" si="35"/>
        <v>23.282</v>
      </c>
      <c r="AB121" s="66" t="e">
        <f>VLOOKUP(A121,Enforcements!$C$7:$J$21,8,0)</f>
        <v>#N/A</v>
      </c>
      <c r="AC121" s="62" t="e">
        <f>VLOOKUP(A121,Enforcements!$C$7:$E$21,3,0)</f>
        <v>#N/A</v>
      </c>
      <c r="AD121" s="63" t="str">
        <f t="shared" si="36"/>
        <v>0206-30</v>
      </c>
      <c r="AE121" s="99" t="str">
        <f t="shared" si="37"/>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121" s="96" t="str">
        <f t="shared" si="38"/>
        <v>"C:\Program Files (x86)\AstroGrep\AstroGrep.exe" /spath="%USERPROFILE%\AppData\Local\Temp\OnboardLogs" /stypes="*4017*20160831*" /stext=" 00:.+((SYSTEM_STATE.+slice.+state.+changed )|(ment ac)|(system.+state.+changed )|(\|lc)|(penalty)|(\[timeout)|(PRM\|1\|D)|(kpr)|(kdp))" /e /r /s</v>
      </c>
      <c r="AG121" s="1" t="str">
        <f t="shared" si="39"/>
        <v>EC</v>
      </c>
      <c r="AH121" s="100" t="str">
        <f t="shared" si="40"/>
        <v>"%USERPROFILE%\Documents\GitHub\eaglep3\Utilities\RefineRTDCRunTimes.py" --tripid 206-30 --locoid 4017 --swversion DE.1.0.7.0 --startMP 204:232981 --initTime 2016-08-30T17:36:28 --startdatetime 2016-08-30T17:41:17 --delay 1 --endMP 204:161 --enddatetime 2016-08-30T18:20:48 --enforcementcount 0 &gt;&gt;C:\Users\stu\Documents\GitHub\eaglep3-reporting\EC\2016-08-30-refined-times.txt</v>
      </c>
      <c r="AI121" s="149" t="str">
        <f t="shared" si="41"/>
        <v>echo {"issue":{"subject":"","project_id":79,"tracker_id":40,"status_id":1,"priority_id":2,"assigned_to_id":23,"start_date":"2016-08-30","description":"","custom_fields":[{"id":1,"name":"Subdivision","value":"EC"},{"id":4,"name":"Milepost","value":"23.282"},{"id":17,"name":"Train ID","value":"206-30"},{"id":16,"name":"Locomotive ID","value":"4017"},{"id":130,"name":"Impact","value":""},{"id":150,"name":"Time of Event (Mountain Time)","value":"18:20:48"},{"id":151,"name":"Denver Issue ID","value":""},{"id":178,"name":"Operational Impact","value":"Yes"},{"id":179,"name":"Denver Segment Assigned","value":""}]}} | curl -X POST -H "Content-Type: application/json" -H "X-Redmine-API-Key: d6333d4a04012a730768444271f8ca06482dae87" https://secure.xorail.net/redmine/issues.json --data @-</v>
      </c>
      <c r="AJ121" s="55"/>
      <c r="AK121" s="55"/>
      <c r="AL121" s="55"/>
    </row>
    <row r="122" spans="1:38" x14ac:dyDescent="0.25">
      <c r="A122" s="39" t="s">
        <v>512</v>
      </c>
      <c r="B122" s="7">
        <v>4029</v>
      </c>
      <c r="C122" s="24" t="s">
        <v>113</v>
      </c>
      <c r="D122" s="24" t="s">
        <v>140</v>
      </c>
      <c r="E122" s="15">
        <v>42612.70579861111</v>
      </c>
      <c r="F122" s="15">
        <v>42612.70853009259</v>
      </c>
      <c r="G122" s="7">
        <v>1</v>
      </c>
      <c r="H122" s="15" t="s">
        <v>258</v>
      </c>
      <c r="I122" s="15">
        <v>42612.735173611109</v>
      </c>
      <c r="J122" s="7">
        <v>0</v>
      </c>
      <c r="K122" s="132" t="str">
        <f t="shared" si="28"/>
        <v>4029/4030</v>
      </c>
      <c r="L122" s="24" t="str">
        <f>VLOOKUP(A122,'Trips&amp;Operators'!$C$1:$E$10000,3,FALSE)</f>
        <v>BROWN</v>
      </c>
      <c r="M122" s="6">
        <f t="shared" si="29"/>
        <v>2.6643518518540077E-2</v>
      </c>
      <c r="N122" s="7">
        <f t="shared" si="48"/>
        <v>38.366666666697711</v>
      </c>
      <c r="O122" s="7"/>
      <c r="P122" s="7"/>
      <c r="Q122" s="25"/>
      <c r="R122" s="25"/>
      <c r="S122" s="37">
        <f t="shared" si="44"/>
        <v>1</v>
      </c>
      <c r="T122" s="52" t="str">
        <f t="shared" si="30"/>
        <v>NorthBound</v>
      </c>
      <c r="U122" s="126">
        <f>IF(AG122="EC",COUNTIFS(Variables!$M$2:$M$19,IF(T122="NorthBound","&gt;=","&lt;=")&amp;Y122,Variables!$M$2:$M$19,IF(T122="NorthBound","&lt;=","&gt;=")&amp;Z122),COUNTIFS(Variables!$P$2:$P$19,IF(T122="NorthBound","&gt;=","&lt;=")&amp;Y122,Variables!$P$2:$P$19,IF(T122="NorthBound","&lt;=","&gt;=")&amp;Z122))</f>
        <v>12</v>
      </c>
      <c r="V122" s="106" t="str">
        <f t="shared" si="31"/>
        <v>https://search-rtdc-monitor-bjffxe2xuh6vdkpspy63sjmuny.us-east-1.es.amazonaws.com/_plugin/kibana/#/discover/Steve-Slow-Train-Analysis-(2080s-and-2083s)?_g=(refreshInterval:(display:Off,section:0,value:0),time:(from:'2016-08-30 15:56:21-0600',mode:absolute,to:'2016-08-30 18:38: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122" s="54" t="str">
        <f t="shared" si="32"/>
        <v>N</v>
      </c>
      <c r="X122" s="120">
        <f t="shared" si="49"/>
        <v>1</v>
      </c>
      <c r="Y122" s="69">
        <f t="shared" si="33"/>
        <v>4.5699999999999998E-2</v>
      </c>
      <c r="Z122" s="69">
        <f t="shared" si="34"/>
        <v>23.329899999999999</v>
      </c>
      <c r="AA122" s="69">
        <f t="shared" si="35"/>
        <v>23.284199999999998</v>
      </c>
      <c r="AB122" s="66" t="e">
        <f>VLOOKUP(A122,Enforcements!$C$7:$J$21,8,0)</f>
        <v>#N/A</v>
      </c>
      <c r="AC122" s="62" t="e">
        <f>VLOOKUP(A122,Enforcements!$C$7:$E$21,3,0)</f>
        <v>#N/A</v>
      </c>
      <c r="AD122" s="63" t="str">
        <f t="shared" si="36"/>
        <v>0207-30</v>
      </c>
      <c r="AE122" s="99" t="str">
        <f t="shared" si="37"/>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122" s="96" t="str">
        <f t="shared" si="38"/>
        <v>"C:\Program Files (x86)\AstroGrep\AstroGrep.exe" /spath="%USERPROFILE%\AppData\Local\Temp\OnboardLogs" /stypes="*4029*20160830*" /stext=" 23:.+((SYSTEM_STATE.+slice.+state.+changed )|(ment ac)|(system.+state.+changed )|(\|lc)|(penalty)|(\[timeout)|(PRM\|1\|D)|(kpr)|(kdp))" /e /r /s</v>
      </c>
      <c r="AG122" s="1" t="str">
        <f t="shared" si="39"/>
        <v>EC</v>
      </c>
      <c r="AH122" s="100" t="str">
        <f t="shared" si="40"/>
        <v>"%USERPROFILE%\Documents\GitHub\eaglep3\Utilities\RefineRTDCRunTimes.py" --tripid 207-30 --locoid 4029 --swversion DE.1.0.7.0 --startMP 204:457 --initTime 2016-08-30T16:56:21 --startdatetime 2016-08-30T17:00:17 --delay 1 --endMP 204:233299 --enddatetime 2016-08-30T17:38:39 --enforcementcount 0 &gt;&gt;C:\Users\stu\Documents\GitHub\eaglep3-reporting\EC\2016-08-30-refined-times.txt</v>
      </c>
      <c r="AI122" s="149" t="str">
        <f t="shared" si="41"/>
        <v>echo {"issue":{"subject":"","project_id":79,"tracker_id":40,"status_id":1,"priority_id":2,"assigned_to_id":23,"start_date":"2016-08-30","description":"","custom_fields":[{"id":1,"name":"Subdivision","value":"EC"},{"id":4,"name":"Milepost","value":"23.2842"},{"id":17,"name":"Train ID","value":"207-30"},{"id":16,"name":"Locomotive ID","value":"4029"},{"id":130,"name":"Impact","value":""},{"id":150,"name":"Time of Event (Mountain Time)","value":"17:38:39"},{"id":151,"name":"Denver Issue ID","value":""},{"id":178,"name":"Operational Impact","value":"Yes"},{"id":179,"name":"Denver Segment Assigned","value":""}]}} | curl -X POST -H "Content-Type: application/json" -H "X-Redmine-API-Key: d6333d4a04012a730768444271f8ca06482dae87" https://secure.xorail.net/redmine/issues.json --data @-</v>
      </c>
      <c r="AJ122" s="55"/>
      <c r="AK122" s="55"/>
      <c r="AL122" s="55"/>
    </row>
    <row r="123" spans="1:38" x14ac:dyDescent="0.25">
      <c r="A123" s="39" t="s">
        <v>383</v>
      </c>
      <c r="B123" s="7">
        <v>4030</v>
      </c>
      <c r="C123" s="24" t="s">
        <v>113</v>
      </c>
      <c r="D123" s="24" t="s">
        <v>333</v>
      </c>
      <c r="E123" s="15">
        <v>42612.741319444445</v>
      </c>
      <c r="F123" s="15">
        <v>42612.747407407405</v>
      </c>
      <c r="G123" s="7">
        <v>1</v>
      </c>
      <c r="H123" s="15" t="s">
        <v>319</v>
      </c>
      <c r="I123" s="15">
        <v>42612.777708333335</v>
      </c>
      <c r="J123" s="7">
        <v>0</v>
      </c>
      <c r="K123" s="132" t="str">
        <f t="shared" si="28"/>
        <v>4029/4030</v>
      </c>
      <c r="L123" s="24" t="str">
        <f>VLOOKUP(A123,'Trips&amp;Operators'!$C$1:$E$10000,3,FALSE)</f>
        <v>BROWN</v>
      </c>
      <c r="M123" s="6">
        <f t="shared" si="29"/>
        <v>3.030092592962319E-2</v>
      </c>
      <c r="N123" s="7">
        <f t="shared" si="48"/>
        <v>43.633333338657394</v>
      </c>
      <c r="O123" s="7"/>
      <c r="P123" s="7"/>
      <c r="Q123" s="25"/>
      <c r="R123" s="25"/>
      <c r="S123" s="37">
        <f t="shared" si="44"/>
        <v>1</v>
      </c>
      <c r="T123" s="52" t="str">
        <f t="shared" si="30"/>
        <v>Southbound</v>
      </c>
      <c r="U123" s="126">
        <f>IF(AG123="EC",COUNTIFS(Variables!$M$2:$M$19,IF(T123="NorthBound","&gt;=","&lt;=")&amp;Y123,Variables!$M$2:$M$19,IF(T123="NorthBound","&lt;=","&gt;=")&amp;Z123),COUNTIFS(Variables!$P$2:$P$19,IF(T123="NorthBound","&gt;=","&lt;=")&amp;Y123,Variables!$P$2:$P$19,IF(T123="NorthBound","&lt;=","&gt;=")&amp;Z123))</f>
        <v>12</v>
      </c>
      <c r="V123" s="106" t="str">
        <f t="shared" si="31"/>
        <v>https://search-rtdc-monitor-bjffxe2xuh6vdkpspy63sjmuny.us-east-1.es.amazonaws.com/_plugin/kibana/#/discover/Steve-Slow-Train-Analysis-(2080s-and-2083s)?_g=(refreshInterval:(display:Off,section:0,value:0),time:(from:'2016-08-30 16:47:30-0600',mode:absolute,to:'2016-08-30 19:39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W123" s="54" t="str">
        <f t="shared" si="32"/>
        <v>N</v>
      </c>
      <c r="X123" s="120">
        <f t="shared" si="49"/>
        <v>1</v>
      </c>
      <c r="Y123" s="69">
        <f t="shared" si="33"/>
        <v>23.298200000000001</v>
      </c>
      <c r="Z123" s="69">
        <f t="shared" si="34"/>
        <v>1.6299999999999999E-2</v>
      </c>
      <c r="AA123" s="69">
        <f t="shared" si="35"/>
        <v>23.2819</v>
      </c>
      <c r="AB123" s="66" t="e">
        <f>VLOOKUP(A123,Enforcements!$C$7:$J$21,8,0)</f>
        <v>#N/A</v>
      </c>
      <c r="AC123" s="62" t="e">
        <f>VLOOKUP(A123,Enforcements!$C$7:$E$21,3,0)</f>
        <v>#N/A</v>
      </c>
      <c r="AD123" s="63" t="str">
        <f t="shared" si="36"/>
        <v>0208-30</v>
      </c>
      <c r="AE123" s="99" t="str">
        <f t="shared" si="37"/>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AF123" s="96" t="str">
        <f t="shared" si="38"/>
        <v>"C:\Program Files (x86)\AstroGrep\AstroGrep.exe" /spath="%USERPROFILE%\AppData\Local\Temp\OnboardLogs" /stypes="*4030*20160831*" /stext=" 00:.+((SYSTEM_STATE.+slice.+state.+changed )|(ment ac)|(system.+state.+changed )|(\|lc)|(penalty)|(\[timeout)|(PRM\|1\|D)|(kpr)|(kdp))" /e /r /s</v>
      </c>
      <c r="AG123" s="1" t="str">
        <f t="shared" si="39"/>
        <v>EC</v>
      </c>
      <c r="AH123" s="100" t="str">
        <f t="shared" si="40"/>
        <v>"%USERPROFILE%\Documents\GitHub\eaglep3\Utilities\RefineRTDCRunTimes.py" --tripid 208-30 --locoid 4030 --swversion DE.1.0.7.0 --startMP 204:232982 --initTime 2016-08-30T17:47:30 --startdatetime 2016-08-30T17:56:16 --delay 1 --endMP 204:163 --enddatetime 2016-08-30T18:39:54 --enforcementcount 0 &gt;&gt;C:\Users\stu\Documents\GitHub\eaglep3-reporting\EC\2016-08-30-refined-times.txt</v>
      </c>
      <c r="AI123" s="149" t="str">
        <f t="shared" si="41"/>
        <v>echo {"issue":{"subject":"","project_id":79,"tracker_id":40,"status_id":1,"priority_id":2,"assigned_to_id":23,"start_date":"2016-08-30","description":"","custom_fields":[{"id":1,"name":"Subdivision","value":"EC"},{"id":4,"name":"Milepost","value":"23.2819"},{"id":17,"name":"Train ID","value":"208-30"},{"id":16,"name":"Locomotive ID","value":"4030"},{"id":130,"name":"Impact","value":""},{"id":150,"name":"Time of Event (Mountain Time)","value":"18:39:54"},{"id":151,"name":"Denver Issue ID","value":""},{"id":178,"name":"Operational Impact","value":"Yes"},{"id":179,"name":"Denver Segment Assigned","value":""}]}} | curl -X POST -H "Content-Type: application/json" -H "X-Redmine-API-Key: d6333d4a04012a730768444271f8ca06482dae87" https://secure.xorail.net/redmine/issues.json --data @-</v>
      </c>
      <c r="AJ123" s="55"/>
      <c r="AK123" s="55"/>
      <c r="AL123" s="55"/>
    </row>
    <row r="124" spans="1:38" x14ac:dyDescent="0.25">
      <c r="A124" s="39" t="s">
        <v>514</v>
      </c>
      <c r="B124" s="7">
        <v>4011</v>
      </c>
      <c r="C124" s="24" t="s">
        <v>113</v>
      </c>
      <c r="D124" s="24" t="s">
        <v>632</v>
      </c>
      <c r="E124" s="15">
        <v>42612.715925925928</v>
      </c>
      <c r="F124" s="15">
        <v>42612.720439814817</v>
      </c>
      <c r="G124" s="7">
        <v>2</v>
      </c>
      <c r="H124" s="15" t="s">
        <v>260</v>
      </c>
      <c r="I124" s="15">
        <v>42612.745671296296</v>
      </c>
      <c r="J124" s="7">
        <v>0</v>
      </c>
      <c r="K124" s="132" t="str">
        <f t="shared" si="28"/>
        <v>4011/4012</v>
      </c>
      <c r="L124" s="24" t="str">
        <f>VLOOKUP(A124,'Trips&amp;Operators'!$C$1:$E$10000,3,FALSE)</f>
        <v>HILLS</v>
      </c>
      <c r="M124" s="6">
        <f t="shared" si="29"/>
        <v>2.5231481478840578E-2</v>
      </c>
      <c r="N124" s="7">
        <f t="shared" si="48"/>
        <v>36.333333329530433</v>
      </c>
      <c r="O124" s="7"/>
      <c r="P124" s="7"/>
      <c r="Q124" s="25"/>
      <c r="R124" s="25"/>
      <c r="S124" s="37">
        <f t="shared" si="44"/>
        <v>1</v>
      </c>
      <c r="T124" s="52" t="str">
        <f t="shared" si="30"/>
        <v>NorthBound</v>
      </c>
      <c r="U124" s="126">
        <f>IF(AG124="EC",COUNTIFS(Variables!$M$2:$M$19,IF(T124="NorthBound","&gt;=","&lt;=")&amp;Y124,Variables!$M$2:$M$19,IF(T124="NorthBound","&lt;=","&gt;=")&amp;Z124),COUNTIFS(Variables!$P$2:$P$19,IF(T124="NorthBound","&gt;=","&lt;=")&amp;Y124,Variables!$P$2:$P$19,IF(T124="NorthBound","&lt;=","&gt;=")&amp;Z124))</f>
        <v>12</v>
      </c>
      <c r="V124" s="106" t="str">
        <f t="shared" si="31"/>
        <v>https://search-rtdc-monitor-bjffxe2xuh6vdkpspy63sjmuny.us-east-1.es.amazonaws.com/_plugin/kibana/#/discover/Steve-Slow-Train-Analysis-(2080s-and-2083s)?_g=(refreshInterval:(display:Off,section:0,value:0),time:(from:'2016-08-30 16:10:56-0600',mode:absolute,to:'2016-08-30 18:53: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24" s="54" t="str">
        <f t="shared" si="32"/>
        <v>N</v>
      </c>
      <c r="X124" s="120">
        <f t="shared" si="49"/>
        <v>1</v>
      </c>
      <c r="Y124" s="69">
        <f t="shared" si="33"/>
        <v>4.9799999999999997E-2</v>
      </c>
      <c r="Z124" s="69">
        <f t="shared" si="34"/>
        <v>23.332899999999999</v>
      </c>
      <c r="AA124" s="69">
        <f t="shared" si="35"/>
        <v>23.283099999999997</v>
      </c>
      <c r="AB124" s="66" t="e">
        <f>VLOOKUP(A124,Enforcements!$C$7:$J$21,8,0)</f>
        <v>#N/A</v>
      </c>
      <c r="AC124" s="62" t="e">
        <f>VLOOKUP(A124,Enforcements!$C$7:$E$21,3,0)</f>
        <v>#N/A</v>
      </c>
      <c r="AD124" s="63" t="str">
        <f t="shared" si="36"/>
        <v>0209-30</v>
      </c>
      <c r="AE124" s="99" t="str">
        <f t="shared" si="37"/>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24" s="96" t="str">
        <f t="shared" si="38"/>
        <v>"C:\Program Files (x86)\AstroGrep\AstroGrep.exe" /spath="%USERPROFILE%\AppData\Local\Temp\OnboardLogs" /stypes="*4011*20160830*" /stext=" 23:.+((SYSTEM_STATE.+slice.+state.+changed )|(ment ac)|(system.+state.+changed )|(\|lc)|(penalty)|(\[timeout)|(PRM\|1\|D)|(kpr)|(kdp))" /e /r /s</v>
      </c>
      <c r="AG124" s="1" t="str">
        <f t="shared" si="39"/>
        <v>EC</v>
      </c>
      <c r="AH124" s="100" t="str">
        <f t="shared" si="40"/>
        <v>"%USERPROFILE%\Documents\GitHub\eaglep3\Utilities\RefineRTDCRunTimes.py" --tripid 209-30 --locoid 4011 --swversion DE.1.0.7.0 --startMP 204:498 --initTime 2016-08-30T17:10:56 --startdatetime 2016-08-30T17:17:26 --delay 2 --endMP 204:233329 --enddatetime 2016-08-30T17:53:46 --enforcementcount 0 &gt;&gt;C:\Users\stu\Documents\GitHub\eaglep3-reporting\EC\2016-08-30-refined-times.txt</v>
      </c>
      <c r="AI124" s="149" t="str">
        <f t="shared" si="41"/>
        <v>echo {"issue":{"subject":"","project_id":79,"tracker_id":40,"status_id":1,"priority_id":2,"assigned_to_id":23,"start_date":"2016-08-30","description":"","custom_fields":[{"id":1,"name":"Subdivision","value":"EC"},{"id":4,"name":"Milepost","value":"23.2831"},{"id":17,"name":"Train ID","value":"209-30"},{"id":16,"name":"Locomotive ID","value":"4011"},{"id":130,"name":"Impact","value":""},{"id":150,"name":"Time of Event (Mountain Time)","value":"17:53:46"},{"id":151,"name":"Denver Issue ID","value":""},{"id":178,"name":"Operational Impact","value":"Yes"},{"id":179,"name":"Denver Segment Assigned","value":""}]}} | curl -X POST -H "Content-Type: application/json" -H "X-Redmine-API-Key: d6333d4a04012a730768444271f8ca06482dae87" https://secure.xorail.net/redmine/issues.json --data @-</v>
      </c>
      <c r="AJ124" s="55"/>
      <c r="AK124" s="55"/>
      <c r="AL124" s="55"/>
    </row>
    <row r="125" spans="1:38" s="23" customFormat="1" x14ac:dyDescent="0.25">
      <c r="A125" s="39" t="s">
        <v>381</v>
      </c>
      <c r="B125" s="7">
        <v>4012</v>
      </c>
      <c r="C125" s="24" t="s">
        <v>113</v>
      </c>
      <c r="D125" s="24" t="s">
        <v>633</v>
      </c>
      <c r="E125" s="15">
        <v>42612.749351851853</v>
      </c>
      <c r="F125" s="15">
        <v>42612.757835648146</v>
      </c>
      <c r="G125" s="7">
        <v>1</v>
      </c>
      <c r="H125" s="15" t="s">
        <v>634</v>
      </c>
      <c r="I125" s="15">
        <v>42612.785104166665</v>
      </c>
      <c r="J125" s="7">
        <v>0</v>
      </c>
      <c r="K125" s="132" t="str">
        <f t="shared" si="28"/>
        <v>4011/4012</v>
      </c>
      <c r="L125" s="24" t="str">
        <f>VLOOKUP(A125,'Trips&amp;Operators'!$C$1:$E$10000,3,FALSE)</f>
        <v>HILLS</v>
      </c>
      <c r="M125" s="6">
        <f t="shared" si="29"/>
        <v>2.7268518519122154E-2</v>
      </c>
      <c r="N125" s="7">
        <f t="shared" si="48"/>
        <v>39.266666667535901</v>
      </c>
      <c r="O125" s="7"/>
      <c r="P125" s="7"/>
      <c r="Q125" s="25"/>
      <c r="R125" s="25"/>
      <c r="S125" s="37">
        <f t="shared" si="44"/>
        <v>1</v>
      </c>
      <c r="T125" s="52" t="str">
        <f t="shared" si="30"/>
        <v>Southbound</v>
      </c>
      <c r="U125" s="126">
        <f>IF(AG125="EC",COUNTIFS(Variables!$M$2:$M$19,IF(T125="NorthBound","&gt;=","&lt;=")&amp;Y125,Variables!$M$2:$M$19,IF(T125="NorthBound","&lt;=","&gt;=")&amp;Z125),COUNTIFS(Variables!$P$2:$P$19,IF(T125="NorthBound","&gt;=","&lt;=")&amp;Y125,Variables!$P$2:$P$19,IF(T125="NorthBound","&lt;=","&gt;=")&amp;Z125))</f>
        <v>12</v>
      </c>
      <c r="V125" s="106" t="str">
        <f t="shared" si="31"/>
        <v>https://search-rtdc-monitor-bjffxe2xuh6vdkpspy63sjmuny.us-east-1.es.amazonaws.com/_plugin/kibana/#/discover/Steve-Slow-Train-Analysis-(2080s-and-2083s)?_g=(refreshInterval:(display:Off,section:0,value:0),time:(from:'2016-08-30 16:59:04-0600',mode:absolute,to:'2016-08-30 19:50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125" s="54" t="str">
        <f t="shared" si="32"/>
        <v>N</v>
      </c>
      <c r="X125" s="120">
        <f t="shared" si="49"/>
        <v>1</v>
      </c>
      <c r="Y125" s="69">
        <f t="shared" si="33"/>
        <v>23.300999999999998</v>
      </c>
      <c r="Z125" s="69">
        <f t="shared" si="34"/>
        <v>1.38E-2</v>
      </c>
      <c r="AA125" s="69">
        <f t="shared" si="35"/>
        <v>23.287199999999999</v>
      </c>
      <c r="AB125" s="66">
        <f>VLOOKUP(A125,Enforcements!$C$7:$J$21,8,0)</f>
        <v>127587</v>
      </c>
      <c r="AC125" s="62" t="str">
        <f>VLOOKUP(A125,Enforcements!$C$7:$E$21,3,0)</f>
        <v>SIGNAL</v>
      </c>
      <c r="AD125" s="63" t="str">
        <f t="shared" si="36"/>
        <v>0210-30</v>
      </c>
      <c r="AE125" s="99" t="str">
        <f t="shared" si="37"/>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125" s="96" t="str">
        <f t="shared" si="38"/>
        <v>"C:\Program Files (x86)\AstroGrep\AstroGrep.exe" /spath="%USERPROFILE%\AppData\Local\Temp\OnboardLogs" /stypes="*4012*20160831*" /stext=" 00:.+((SYSTEM_STATE.+slice.+state.+changed )|(ment ac)|(system.+state.+changed )|(\|lc)|(penalty)|(\[timeout)|(PRM\|1\|D)|(kpr)|(kdp))" /e /r /s</v>
      </c>
      <c r="AG125" s="1" t="str">
        <f t="shared" si="39"/>
        <v>EC</v>
      </c>
      <c r="AH125" s="100" t="str">
        <f t="shared" si="40"/>
        <v>"%USERPROFILE%\Documents\GitHub\eaglep3\Utilities\RefineRTDCRunTimes.py" --tripid 210-30 --locoid 4012 --swversion DE.1.0.7.0 --startMP 204:233010 --initTime 2016-08-30T17:59:04 --startdatetime 2016-08-30T18:11:17 --delay 1 --endMP 204:138 --enddatetime 2016-08-30T18:50:33 --enforcementcount 0 &gt;&gt;C:\Users\stu\Documents\GitHub\eaglep3-reporting\EC\2016-08-30-refined-times.txt</v>
      </c>
      <c r="AI125" s="149" t="str">
        <f t="shared" si="41"/>
        <v>echo {"issue":{"subject":"","project_id":79,"tracker_id":40,"status_id":1,"priority_id":2,"assigned_to_id":23,"start_date":"2016-08-30","description":"","custom_fields":[{"id":1,"name":"Subdivision","value":"EC"},{"id":4,"name":"Milepost","value":"23.2872"},{"id":17,"name":"Train ID","value":"210-30"},{"id":16,"name":"Locomotive ID","value":"4012"},{"id":130,"name":"Impact","value":""},{"id":150,"name":"Time of Event (Mountain Time)","value":"18:50:33"},{"id":151,"name":"Denver Issue ID","value":""},{"id":178,"name":"Operational Impact","value":"Yes"},{"id":179,"name":"Denver Segment Assigned","value":""}]}} | curl -X POST -H "Content-Type: application/json" -H "X-Redmine-API-Key: d6333d4a04012a730768444271f8ca06482dae87" https://secure.xorail.net/redmine/issues.json --data @-</v>
      </c>
      <c r="AJ125" s="55"/>
      <c r="AK125" s="55"/>
      <c r="AL125" s="55"/>
    </row>
    <row r="126" spans="1:38" s="23" customFormat="1" x14ac:dyDescent="0.25">
      <c r="A126" s="39" t="s">
        <v>518</v>
      </c>
      <c r="B126" s="7">
        <v>4042</v>
      </c>
      <c r="C126" s="24" t="s">
        <v>113</v>
      </c>
      <c r="D126" s="24" t="s">
        <v>190</v>
      </c>
      <c r="E126" s="15">
        <v>42612.728078703702</v>
      </c>
      <c r="F126" s="15">
        <v>42612.729756944442</v>
      </c>
      <c r="G126" s="7">
        <v>1</v>
      </c>
      <c r="H126" s="15" t="s">
        <v>635</v>
      </c>
      <c r="I126" s="15">
        <v>42612.756990740738</v>
      </c>
      <c r="J126" s="7">
        <v>0</v>
      </c>
      <c r="K126" s="132" t="str">
        <f t="shared" si="28"/>
        <v>4041/4042</v>
      </c>
      <c r="L126" s="24" t="str">
        <f>VLOOKUP(A126,'Trips&amp;Operators'!$C$1:$E$10000,3,FALSE)</f>
        <v>YOUNG</v>
      </c>
      <c r="M126" s="6">
        <f t="shared" si="29"/>
        <v>2.7233796296059154E-2</v>
      </c>
      <c r="N126" s="7">
        <f t="shared" si="48"/>
        <v>39.216666666325182</v>
      </c>
      <c r="O126" s="7"/>
      <c r="P126" s="7"/>
      <c r="Q126" s="25"/>
      <c r="R126" s="25"/>
      <c r="S126" s="37">
        <f t="shared" si="44"/>
        <v>1</v>
      </c>
      <c r="T126" s="52" t="str">
        <f t="shared" si="30"/>
        <v>NorthBound</v>
      </c>
      <c r="U126" s="126">
        <f>IF(AG126="EC",COUNTIFS(Variables!$M$2:$M$19,IF(T126="NorthBound","&gt;=","&lt;=")&amp;Y126,Variables!$M$2:$M$19,IF(T126="NorthBound","&lt;=","&gt;=")&amp;Z126),COUNTIFS(Variables!$P$2:$P$19,IF(T126="NorthBound","&gt;=","&lt;=")&amp;Y126,Variables!$P$2:$P$19,IF(T126="NorthBound","&lt;=","&gt;=")&amp;Z126))</f>
        <v>12</v>
      </c>
      <c r="V126" s="106" t="str">
        <f t="shared" si="31"/>
        <v>https://search-rtdc-monitor-bjffxe2xuh6vdkpspy63sjmuny.us-east-1.es.amazonaws.com/_plugin/kibana/#/discover/Steve-Slow-Train-Analysis-(2080s-and-2083s)?_g=(refreshInterval:(display:Off,section:0,value:0),time:(from:'2016-08-30 16:28:26-0600',mode:absolute,to:'2016-08-30 19:10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4042%22')),sort:!(Time,asc))</v>
      </c>
      <c r="W126" s="54" t="str">
        <f t="shared" si="32"/>
        <v>N</v>
      </c>
      <c r="X126" s="120">
        <f t="shared" si="49"/>
        <v>1</v>
      </c>
      <c r="Y126" s="69">
        <f t="shared" si="33"/>
        <v>4.6399999999999997E-2</v>
      </c>
      <c r="Z126" s="69">
        <f t="shared" si="34"/>
        <v>23.333400000000001</v>
      </c>
      <c r="AA126" s="69">
        <f t="shared" si="35"/>
        <v>23.287000000000003</v>
      </c>
      <c r="AB126" s="66" t="e">
        <f>VLOOKUP(A126,Enforcements!$C$7:$J$21,8,0)</f>
        <v>#N/A</v>
      </c>
      <c r="AC126" s="62" t="e">
        <f>VLOOKUP(A126,Enforcements!$C$7:$E$21,3,0)</f>
        <v>#N/A</v>
      </c>
      <c r="AD126" s="63" t="str">
        <f t="shared" si="36"/>
        <v>0211-30</v>
      </c>
      <c r="AE126" s="99" t="str">
        <f t="shared" si="37"/>
        <v>aws s3 cp s3://rtdc.mdm.uploadarchive/RTDC4042/2016-08-30/ "%USERPROFILE%\AppData\Local\Temp\OnboardLogs"\RTDC4042\2016-08-30 --recursive &amp; "%USERPROFILE%\Documents\GitHub\mrs-test-scripts\Headless Mode &amp; Sideloading\WalkAndUnGZ.bat" "%USERPROFILE%\AppData\Local\Temp\OnboardLogs"\RTDC4042\2016-08-30 &amp; aws s3 cp s3://rtdc.mdm.uploadarchive/RTDC4042/2016-08-31/ "%USERPROFILE%\AppData\Local\Temp\OnboardLogs"\RTDC4042\2016-08-31 --recursive &amp; "%USERPROFILE%\Documents\GitHub\mrs-test-scripts\Headless Mode &amp; Sideloading\WalkAndUnGZ.bat" "%USERPROFILE%\AppData\Local\Temp\OnboardLogs"\RTDC4042\2016-08-31</v>
      </c>
      <c r="AF126" s="96" t="str">
        <f t="shared" si="38"/>
        <v>"C:\Program Files (x86)\AstroGrep\AstroGrep.exe" /spath="%USERPROFILE%\AppData\Local\Temp\OnboardLogs" /stypes="*4042*20160831*" /stext=" 00:.+((SYSTEM_STATE.+slice.+state.+changed )|(ment ac)|(system.+state.+changed )|(\|lc)|(penalty)|(\[timeout)|(PRM\|1\|D)|(kpr)|(kdp))" /e /r /s</v>
      </c>
      <c r="AG126" s="1" t="str">
        <f t="shared" si="39"/>
        <v>EC</v>
      </c>
      <c r="AH126" s="100" t="str">
        <f t="shared" si="40"/>
        <v>"%USERPROFILE%\Documents\GitHub\eaglep3\Utilities\RefineRTDCRunTimes.py" --tripid 211-30 --locoid 4042 --swversion DE.1.0.7.0 --startMP 204:464 --initTime 2016-08-30T17:28:26 --startdatetime 2016-08-30T17:30:51 --delay 1 --endMP 204:233334 --enddatetime 2016-08-30T18:10:04 --enforcementcount 0 &gt;&gt;C:\Users\stu\Documents\GitHub\eaglep3-reporting\EC\2016-08-30-refined-times.txt</v>
      </c>
      <c r="AI126" s="149" t="str">
        <f t="shared" si="41"/>
        <v>echo {"issue":{"subject":"","project_id":79,"tracker_id":40,"status_id":1,"priority_id":2,"assigned_to_id":23,"start_date":"2016-08-30","description":"","custom_fields":[{"id":1,"name":"Subdivision","value":"EC"},{"id":4,"name":"Milepost","value":"23.287"},{"id":17,"name":"Train ID","value":"211-30"},{"id":16,"name":"Locomotive ID","value":"4042"},{"id":130,"name":"Impact","value":""},{"id":150,"name":"Time of Event (Mountain Time)","value":"18:10:04"},{"id":151,"name":"Denver Issue ID","value":""},{"id":178,"name":"Operational Impact","value":"Yes"},{"id":179,"name":"Denver Segment Assigned","value":""}]}} | curl -X POST -H "Content-Type: application/json" -H "X-Redmine-API-Key: d6333d4a04012a730768444271f8ca06482dae87" https://secure.xorail.net/redmine/issues.json --data @-</v>
      </c>
      <c r="AJ126" s="55"/>
      <c r="AK126" s="55"/>
      <c r="AL126" s="55"/>
    </row>
    <row r="127" spans="1:38" s="23" customFormat="1" x14ac:dyDescent="0.25">
      <c r="A127" s="39" t="s">
        <v>528</v>
      </c>
      <c r="B127" s="7">
        <v>4041</v>
      </c>
      <c r="C127" s="24" t="s">
        <v>113</v>
      </c>
      <c r="D127" s="24" t="s">
        <v>613</v>
      </c>
      <c r="E127" s="15">
        <v>42612.762488425928</v>
      </c>
      <c r="F127" s="15">
        <v>42612.768263888887</v>
      </c>
      <c r="G127" s="7">
        <v>2</v>
      </c>
      <c r="H127" s="15" t="s">
        <v>636</v>
      </c>
      <c r="I127" s="15">
        <v>42612.799745370372</v>
      </c>
      <c r="J127" s="7">
        <v>0</v>
      </c>
      <c r="K127" s="132" t="str">
        <f t="shared" si="28"/>
        <v>4041/4042</v>
      </c>
      <c r="L127" s="24" t="str">
        <f>VLOOKUP(A127,'Trips&amp;Operators'!$C$1:$E$10000,3,FALSE)</f>
        <v>YOUNG</v>
      </c>
      <c r="M127" s="6">
        <f t="shared" si="29"/>
        <v>3.1481481484661344E-2</v>
      </c>
      <c r="N127" s="7">
        <f t="shared" si="48"/>
        <v>45.333333337912336</v>
      </c>
      <c r="O127" s="7"/>
      <c r="P127" s="7"/>
      <c r="Q127" s="25"/>
      <c r="R127" s="25"/>
      <c r="S127" s="37">
        <f t="shared" si="44"/>
        <v>1</v>
      </c>
      <c r="T127" s="52" t="str">
        <f t="shared" si="30"/>
        <v>Southbound</v>
      </c>
      <c r="U127" s="126">
        <f>IF(AG127="EC",COUNTIFS(Variables!$M$2:$M$19,IF(T127="NorthBound","&gt;=","&lt;=")&amp;Y127,Variables!$M$2:$M$19,IF(T127="NorthBound","&lt;=","&gt;=")&amp;Z127),COUNTIFS(Variables!$P$2:$P$19,IF(T127="NorthBound","&gt;=","&lt;=")&amp;Y127,Variables!$P$2:$P$19,IF(T127="NorthBound","&lt;=","&gt;=")&amp;Z127))</f>
        <v>12</v>
      </c>
      <c r="V127" s="106" t="str">
        <f t="shared" si="31"/>
        <v>https://search-rtdc-monitor-bjffxe2xuh6vdkpspy63sjmuny.us-east-1.es.amazonaws.com/_plugin/kibana/#/discover/Steve-Slow-Train-Analysis-(2080s-and-2083s)?_g=(refreshInterval:(display:Off,section:0,value:0),time:(from:'2016-08-30 17:17:59-0600',mode:absolute,to:'2016-08-30 20:11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127" s="54" t="str">
        <f t="shared" si="32"/>
        <v>N</v>
      </c>
      <c r="X127" s="120">
        <f t="shared" si="49"/>
        <v>1</v>
      </c>
      <c r="Y127" s="69">
        <f t="shared" si="33"/>
        <v>23.298400000000001</v>
      </c>
      <c r="Z127" s="69">
        <f t="shared" si="34"/>
        <v>9.9000000000000008E-3</v>
      </c>
      <c r="AA127" s="69">
        <f t="shared" si="35"/>
        <v>23.288500000000003</v>
      </c>
      <c r="AB127" s="66" t="e">
        <f>VLOOKUP(A127,Enforcements!$C$7:$J$21,8,0)</f>
        <v>#N/A</v>
      </c>
      <c r="AC127" s="62" t="e">
        <f>VLOOKUP(A127,Enforcements!$C$7:$E$21,3,0)</f>
        <v>#N/A</v>
      </c>
      <c r="AD127" s="63" t="str">
        <f t="shared" si="36"/>
        <v>0212-30</v>
      </c>
      <c r="AE127" s="99" t="str">
        <f t="shared" si="37"/>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127" s="96" t="str">
        <f t="shared" si="38"/>
        <v>"C:\Program Files (x86)\AstroGrep\AstroGrep.exe" /spath="%USERPROFILE%\AppData\Local\Temp\OnboardLogs" /stypes="*4041*20160831*" /stext=" 01:.+((SYSTEM_STATE.+slice.+state.+changed )|(ment ac)|(system.+state.+changed )|(\|lc)|(penalty)|(\[timeout)|(PRM\|1\|D)|(kpr)|(kdp))" /e /r /s</v>
      </c>
      <c r="AG127" s="1" t="str">
        <f t="shared" si="39"/>
        <v>EC</v>
      </c>
      <c r="AH127" s="100" t="str">
        <f t="shared" si="40"/>
        <v>"%USERPROFILE%\Documents\GitHub\eaglep3\Utilities\RefineRTDCRunTimes.py" --tripid 212-30 --locoid 4041 --swversion DE.1.0.7.0 --startMP 204:232984 --initTime 2016-08-30T18:17:59 --startdatetime 2016-08-30T18:26:18 --delay 2 --endMP 204:99 --enddatetime 2016-08-30T19:11:38 --enforcementcount 0 &gt;&gt;C:\Users\stu\Documents\GitHub\eaglep3-reporting\EC\2016-08-30-refined-times.txt</v>
      </c>
      <c r="AI127" s="149" t="str">
        <f t="shared" si="41"/>
        <v>echo {"issue":{"subject":"","project_id":79,"tracker_id":40,"status_id":1,"priority_id":2,"assigned_to_id":23,"start_date":"2016-08-30","description":"","custom_fields":[{"id":1,"name":"Subdivision","value":"EC"},{"id":4,"name":"Milepost","value":"23.2885"},{"id":17,"name":"Train ID","value":"212-30"},{"id":16,"name":"Locomotive ID","value":"4041"},{"id":130,"name":"Impact","value":""},{"id":150,"name":"Time of Event (Mountain Time)","value":"19:11:38"},{"id":151,"name":"Denver Issue ID","value":""},{"id":178,"name":"Operational Impact","value":"Yes"},{"id":179,"name":"Denver Segment Assigned","value":""}]}} | curl -X POST -H "Content-Type: application/json" -H "X-Redmine-API-Key: d6333d4a04012a730768444271f8ca06482dae87" https://secure.xorail.net/redmine/issues.json --data @-</v>
      </c>
      <c r="AJ127" s="55"/>
      <c r="AK127" s="55"/>
      <c r="AL127" s="55"/>
    </row>
    <row r="128" spans="1:38" s="23" customFormat="1" x14ac:dyDescent="0.25">
      <c r="A128" s="39" t="s">
        <v>382</v>
      </c>
      <c r="B128" s="7">
        <v>4040</v>
      </c>
      <c r="C128" s="24" t="s">
        <v>113</v>
      </c>
      <c r="D128" s="24" t="s">
        <v>232</v>
      </c>
      <c r="E128" s="15">
        <v>42612.731979166667</v>
      </c>
      <c r="F128" s="15">
        <v>42612.739791666667</v>
      </c>
      <c r="G128" s="7">
        <v>2</v>
      </c>
      <c r="H128" s="15" t="s">
        <v>292</v>
      </c>
      <c r="I128" s="15">
        <v>42612.764733796299</v>
      </c>
      <c r="J128" s="7">
        <v>0</v>
      </c>
      <c r="K128" s="132" t="str">
        <f t="shared" si="28"/>
        <v>4039/4040</v>
      </c>
      <c r="L128" s="24" t="str">
        <f>VLOOKUP(A128,'Trips&amp;Operators'!$C$1:$E$10000,3,FALSE)</f>
        <v>COOLAHAN</v>
      </c>
      <c r="M128" s="6">
        <f t="shared" si="29"/>
        <v>2.4942129632108845E-2</v>
      </c>
      <c r="N128" s="7">
        <f t="shared" si="48"/>
        <v>35.916666670236737</v>
      </c>
      <c r="O128" s="7"/>
      <c r="P128" s="7"/>
      <c r="Q128" s="25"/>
      <c r="R128" s="25"/>
      <c r="S128" s="37">
        <f t="shared" si="44"/>
        <v>1</v>
      </c>
      <c r="T128" s="52" t="str">
        <f t="shared" si="30"/>
        <v>NorthBound</v>
      </c>
      <c r="U128" s="126">
        <f>IF(AG128="EC",COUNTIFS(Variables!$M$2:$M$19,IF(T128="NorthBound","&gt;=","&lt;=")&amp;Y128,Variables!$M$2:$M$19,IF(T128="NorthBound","&lt;=","&gt;=")&amp;Z128),COUNTIFS(Variables!$P$2:$P$19,IF(T128="NorthBound","&gt;=","&lt;=")&amp;Y128,Variables!$P$2:$P$19,IF(T128="NorthBound","&lt;=","&gt;=")&amp;Z128))</f>
        <v>12</v>
      </c>
      <c r="V128" s="106" t="str">
        <f t="shared" si="31"/>
        <v>https://search-rtdc-monitor-bjffxe2xuh6vdkpspy63sjmuny.us-east-1.es.amazonaws.com/_plugin/kibana/#/discover/Steve-Slow-Train-Analysis-(2080s-and-2083s)?_g=(refreshInterval:(display:Off,section:0,value:0),time:(from:'2016-08-30 16:34:03-0600',mode:absolute,to:'2016-08-30 19:21: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128" s="54" t="str">
        <f t="shared" si="32"/>
        <v>N</v>
      </c>
      <c r="X128" s="120">
        <f t="shared" si="49"/>
        <v>1</v>
      </c>
      <c r="Y128" s="69">
        <f t="shared" si="33"/>
        <v>4.3799999999999999E-2</v>
      </c>
      <c r="Z128" s="69">
        <f t="shared" si="34"/>
        <v>23.3308</v>
      </c>
      <c r="AA128" s="69">
        <f t="shared" si="35"/>
        <v>23.286999999999999</v>
      </c>
      <c r="AB128" s="66" t="e">
        <f>VLOOKUP(A128,Enforcements!$C$7:$J$21,8,0)</f>
        <v>#N/A</v>
      </c>
      <c r="AC128" s="62" t="e">
        <f>VLOOKUP(A128,Enforcements!$C$7:$E$21,3,0)</f>
        <v>#N/A</v>
      </c>
      <c r="AD128" s="63" t="str">
        <f t="shared" si="36"/>
        <v>0213-30</v>
      </c>
      <c r="AE128" s="99" t="str">
        <f t="shared" si="37"/>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128" s="96" t="str">
        <f t="shared" si="38"/>
        <v>"C:\Program Files (x86)\AstroGrep\AstroGrep.exe" /spath="%USERPROFILE%\AppData\Local\Temp\OnboardLogs" /stypes="*4040*20160831*" /stext=" 00:.+((SYSTEM_STATE.+slice.+state.+changed )|(ment ac)|(system.+state.+changed )|(\|lc)|(penalty)|(\[timeout)|(PRM\|1\|D)|(kpr)|(kdp))" /e /r /s</v>
      </c>
      <c r="AG128" s="1" t="str">
        <f t="shared" si="39"/>
        <v>EC</v>
      </c>
      <c r="AH128" s="100" t="str">
        <f t="shared" si="40"/>
        <v>"%USERPROFILE%\Documents\GitHub\eaglep3\Utilities\RefineRTDCRunTimes.py" --tripid 213-30 --locoid 4040 --swversion DE.1.0.7.0 --startMP 204:438 --initTime 2016-08-30T17:34:03 --startdatetime 2016-08-30T17:45:18 --delay 2 --endMP 204:233308 --enddatetime 2016-08-30T18:21:13 --enforcementcount 0 &gt;&gt;C:\Users\stu\Documents\GitHub\eaglep3-reporting\EC\2016-08-30-refined-times.txt</v>
      </c>
      <c r="AI128" s="149" t="str">
        <f t="shared" si="41"/>
        <v>echo {"issue":{"subject":"","project_id":79,"tracker_id":40,"status_id":1,"priority_id":2,"assigned_to_id":23,"start_date":"2016-08-30","description":"","custom_fields":[{"id":1,"name":"Subdivision","value":"EC"},{"id":4,"name":"Milepost","value":"23.287"},{"id":17,"name":"Train ID","value":"213-30"},{"id":16,"name":"Locomotive ID","value":"4040"},{"id":130,"name":"Impact","value":""},{"id":150,"name":"Time of Event (Mountain Time)","value":"18:21:13"},{"id":151,"name":"Denver Issue ID","value":""},{"id":178,"name":"Operational Impact","value":"Yes"},{"id":179,"name":"Denver Segment Assigned","value":""}]}} | curl -X POST -H "Content-Type: application/json" -H "X-Redmine-API-Key: d6333d4a04012a730768444271f8ca06482dae87" https://secure.xorail.net/redmine/issues.json --data @-</v>
      </c>
      <c r="AJ128" s="55"/>
      <c r="AK128" s="55"/>
      <c r="AL128" s="55"/>
    </row>
    <row r="129" spans="1:38" s="23" customFormat="1" x14ac:dyDescent="0.25">
      <c r="A129" s="39" t="s">
        <v>384</v>
      </c>
      <c r="B129" s="7">
        <v>4039</v>
      </c>
      <c r="C129" s="24" t="s">
        <v>113</v>
      </c>
      <c r="D129" s="24" t="s">
        <v>191</v>
      </c>
      <c r="E129" s="15">
        <v>42612.774965277778</v>
      </c>
      <c r="F129" s="15">
        <v>42612.778668981482</v>
      </c>
      <c r="G129" s="7">
        <v>2</v>
      </c>
      <c r="H129" s="15" t="s">
        <v>132</v>
      </c>
      <c r="I129" s="15">
        <v>42612.805555555555</v>
      </c>
      <c r="J129" s="7">
        <v>0</v>
      </c>
      <c r="K129" s="132" t="str">
        <f t="shared" si="28"/>
        <v>4039/4040</v>
      </c>
      <c r="L129" s="24" t="str">
        <f>VLOOKUP(A129,'Trips&amp;Operators'!$C$1:$E$10000,3,FALSE)</f>
        <v>COOLAHAN</v>
      </c>
      <c r="M129" s="6">
        <f t="shared" si="29"/>
        <v>2.6886574072705116E-2</v>
      </c>
      <c r="N129" s="7">
        <f t="shared" si="48"/>
        <v>38.716666664695367</v>
      </c>
      <c r="O129" s="7"/>
      <c r="P129" s="7"/>
      <c r="Q129" s="25"/>
      <c r="R129" s="25"/>
      <c r="S129" s="37">
        <f t="shared" si="44"/>
        <v>1</v>
      </c>
      <c r="T129" s="52" t="str">
        <f t="shared" si="30"/>
        <v>Southbound</v>
      </c>
      <c r="U129" s="126">
        <f>IF(AG129="EC",COUNTIFS(Variables!$M$2:$M$19,IF(T129="NorthBound","&gt;=","&lt;=")&amp;Y129,Variables!$M$2:$M$19,IF(T129="NorthBound","&lt;=","&gt;=")&amp;Z129),COUNTIFS(Variables!$P$2:$P$19,IF(T129="NorthBound","&gt;=","&lt;=")&amp;Y129,Variables!$P$2:$P$19,IF(T129="NorthBound","&lt;=","&gt;=")&amp;Z129))</f>
        <v>12</v>
      </c>
      <c r="V129" s="106" t="str">
        <f t="shared" si="31"/>
        <v>https://search-rtdc-monitor-bjffxe2xuh6vdkpspy63sjmuny.us-east-1.es.amazonaws.com/_plugin/kibana/#/discover/Steve-Slow-Train-Analysis-(2080s-and-2083s)?_g=(refreshInterval:(display:Off,section:0,value:0),time:(from:'2016-08-30 17:35:57-0600',mode:absolute,to:'2016-08-30 20:20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129" s="54" t="str">
        <f t="shared" si="32"/>
        <v>N</v>
      </c>
      <c r="X129" s="120">
        <f t="shared" si="49"/>
        <v>1</v>
      </c>
      <c r="Y129" s="69">
        <f t="shared" si="33"/>
        <v>23.2989</v>
      </c>
      <c r="Z129" s="69">
        <f t="shared" si="34"/>
        <v>1.47E-2</v>
      </c>
      <c r="AA129" s="69">
        <f t="shared" si="35"/>
        <v>23.284199999999998</v>
      </c>
      <c r="AB129" s="66">
        <f>VLOOKUP(A129,Enforcements!$C$7:$J$21,8,0)</f>
        <v>33257</v>
      </c>
      <c r="AC129" s="62" t="str">
        <f>VLOOKUP(A129,Enforcements!$C$7:$E$21,3,0)</f>
        <v>GRADE CROSSING</v>
      </c>
      <c r="AD129" s="63" t="str">
        <f t="shared" si="36"/>
        <v>0214-30</v>
      </c>
      <c r="AE129" s="99" t="str">
        <f t="shared" si="37"/>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129" s="96" t="str">
        <f t="shared" si="38"/>
        <v>"C:\Program Files (x86)\AstroGrep\AstroGrep.exe" /spath="%USERPROFILE%\AppData\Local\Temp\OnboardLogs" /stypes="*4039*20160831*" /stext=" 01:.+((SYSTEM_STATE.+slice.+state.+changed )|(ment ac)|(system.+state.+changed )|(\|lc)|(penalty)|(\[timeout)|(PRM\|1\|D)|(kpr)|(kdp))" /e /r /s</v>
      </c>
      <c r="AG129" s="1" t="str">
        <f t="shared" si="39"/>
        <v>EC</v>
      </c>
      <c r="AH129" s="100" t="str">
        <f t="shared" si="40"/>
        <v>"%USERPROFILE%\Documents\GitHub\eaglep3\Utilities\RefineRTDCRunTimes.py" --tripid 214-30 --locoid 4039 --swversion DE.1.0.7.0 --startMP 204:232989 --initTime 2016-08-30T18:35:57 --startdatetime 2016-08-30T18:41:17 --delay 2 --endMP 204:147 --enddatetime 2016-08-30T19:20:00 --enforcementcount 0 &gt;&gt;C:\Users\stu\Documents\GitHub\eaglep3-reporting\EC\2016-08-30-refined-times.txt</v>
      </c>
      <c r="AI129" s="149" t="str">
        <f t="shared" si="41"/>
        <v>echo {"issue":{"subject":"","project_id":79,"tracker_id":40,"status_id":1,"priority_id":2,"assigned_to_id":23,"start_date":"2016-08-30","description":"","custom_fields":[{"id":1,"name":"Subdivision","value":"EC"},{"id":4,"name":"Milepost","value":"23.2842"},{"id":17,"name":"Train ID","value":"214-30"},{"id":16,"name":"Locomotive ID","value":"4039"},{"id":130,"name":"Impact","value":""},{"id":150,"name":"Time of Event (Mountain Time)","value":"19:20:00"},{"id":151,"name":"Denver Issue ID","value":""},{"id":178,"name":"Operational Impact","value":"Yes"},{"id":179,"name":"Denver Segment Assigned","value":""}]}} | curl -X POST -H "Content-Type: application/json" -H "X-Redmine-API-Key: d6333d4a04012a730768444271f8ca06482dae87" https://secure.xorail.net/redmine/issues.json --data @-</v>
      </c>
      <c r="AJ129" s="55"/>
      <c r="AK129" s="55"/>
      <c r="AL129" s="55"/>
    </row>
    <row r="130" spans="1:38" s="23" customFormat="1" x14ac:dyDescent="0.25">
      <c r="A130" s="39" t="s">
        <v>522</v>
      </c>
      <c r="B130" s="7">
        <v>4016</v>
      </c>
      <c r="C130" s="24" t="s">
        <v>113</v>
      </c>
      <c r="D130" s="24" t="s">
        <v>637</v>
      </c>
      <c r="E130" s="15">
        <v>42612.747465277775</v>
      </c>
      <c r="F130" s="15">
        <v>42612.75072916667</v>
      </c>
      <c r="G130" s="7">
        <v>1</v>
      </c>
      <c r="H130" s="15" t="s">
        <v>595</v>
      </c>
      <c r="I130" s="15">
        <v>42612.776770833334</v>
      </c>
      <c r="J130" s="7">
        <v>0</v>
      </c>
      <c r="K130" s="132" t="str">
        <f t="shared" si="28"/>
        <v>4015/4016</v>
      </c>
      <c r="L130" s="24" t="str">
        <f>VLOOKUP(A130,'Trips&amp;Operators'!$C$1:$E$10000,3,FALSE)</f>
        <v>WEBSTER</v>
      </c>
      <c r="M130" s="6">
        <f t="shared" si="29"/>
        <v>2.6041666664241347E-2</v>
      </c>
      <c r="N130" s="7">
        <f t="shared" si="48"/>
        <v>37.49999999650754</v>
      </c>
      <c r="O130" s="7"/>
      <c r="P130" s="7"/>
      <c r="Q130" s="25"/>
      <c r="R130" s="25"/>
      <c r="S130" s="37">
        <f t="shared" si="44"/>
        <v>1</v>
      </c>
      <c r="T130" s="52" t="str">
        <f t="shared" si="30"/>
        <v>NorthBound</v>
      </c>
      <c r="U130" s="126">
        <f>IF(AG130="EC",COUNTIFS(Variables!$M$2:$M$19,IF(T130="NorthBound","&gt;=","&lt;=")&amp;Y130,Variables!$M$2:$M$19,IF(T130="NorthBound","&lt;=","&gt;=")&amp;Z130),COUNTIFS(Variables!$P$2:$P$19,IF(T130="NorthBound","&gt;=","&lt;=")&amp;Y130,Variables!$P$2:$P$19,IF(T130="NorthBound","&lt;=","&gt;=")&amp;Z130))</f>
        <v>12</v>
      </c>
      <c r="V130" s="106" t="str">
        <f t="shared" si="31"/>
        <v>https://search-rtdc-monitor-bjffxe2xuh6vdkpspy63sjmuny.us-east-1.es.amazonaws.com/_plugin/kibana/#/discover/Steve-Slow-Train-Analysis-(2080s-and-2083s)?_g=(refreshInterval:(display:Off,section:0,value:0),time:(from:'2016-08-30 16:56:21-0600',mode:absolute,to:'2016-08-30 19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4016%22')),sort:!(Time,asc))</v>
      </c>
      <c r="W130" s="54" t="str">
        <f t="shared" si="32"/>
        <v>N</v>
      </c>
      <c r="X130" s="120">
        <f t="shared" si="49"/>
        <v>1</v>
      </c>
      <c r="Y130" s="69">
        <f t="shared" si="33"/>
        <v>5.6000000000000001E-2</v>
      </c>
      <c r="Z130" s="69">
        <f t="shared" si="34"/>
        <v>23.3309</v>
      </c>
      <c r="AA130" s="69">
        <f t="shared" si="35"/>
        <v>23.274899999999999</v>
      </c>
      <c r="AB130" s="66" t="e">
        <f>VLOOKUP(A130,Enforcements!$C$7:$J$21,8,0)</f>
        <v>#N/A</v>
      </c>
      <c r="AC130" s="62" t="e">
        <f>VLOOKUP(A130,Enforcements!$C$7:$E$21,3,0)</f>
        <v>#N/A</v>
      </c>
      <c r="AD130" s="63" t="str">
        <f t="shared" si="36"/>
        <v>0215-30</v>
      </c>
      <c r="AE130" s="99" t="str">
        <f t="shared" si="37"/>
        <v>aws s3 cp s3://rtdc.mdm.uploadarchive/RTDC4016/2016-08-30/ "%USERPROFILE%\AppData\Local\Temp\OnboardLogs"\RTDC4016\2016-08-30 --recursive &amp; "%USERPROFILE%\Documents\GitHub\mrs-test-scripts\Headless Mode &amp; Sideloading\WalkAndUnGZ.bat" "%USERPROFILE%\AppData\Local\Temp\OnboardLogs"\RTDC4016\2016-08-30 &amp; aws s3 cp s3://rtdc.mdm.uploadarchive/RTDC4016/2016-08-31/ "%USERPROFILE%\AppData\Local\Temp\OnboardLogs"\RTDC4016\2016-08-31 --recursive &amp; "%USERPROFILE%\Documents\GitHub\mrs-test-scripts\Headless Mode &amp; Sideloading\WalkAndUnGZ.bat" "%USERPROFILE%\AppData\Local\Temp\OnboardLogs"\RTDC4016\2016-08-31</v>
      </c>
      <c r="AF130" s="96" t="str">
        <f t="shared" si="38"/>
        <v>"C:\Program Files (x86)\AstroGrep\AstroGrep.exe" /spath="%USERPROFILE%\AppData\Local\Temp\OnboardLogs" /stypes="*4016*20160831*" /stext=" 00:.+((SYSTEM_STATE.+slice.+state.+changed )|(ment ac)|(system.+state.+changed )|(\|lc)|(penalty)|(\[timeout)|(PRM\|1\|D)|(kpr)|(kdp))" /e /r /s</v>
      </c>
      <c r="AG130" s="1" t="str">
        <f t="shared" si="39"/>
        <v>EC</v>
      </c>
      <c r="AH130" s="100" t="str">
        <f t="shared" si="40"/>
        <v>"%USERPROFILE%\Documents\GitHub\eaglep3\Utilities\RefineRTDCRunTimes.py" --tripid 215-30 --locoid 4016 --swversion DE.1.0.7.0 --startMP 204:560 --initTime 2016-08-30T17:56:21 --startdatetime 2016-08-30T18:01:03 --delay 1 --endMP 204:233309 --enddatetime 2016-08-30T18:38:33 --enforcementcount 0 &gt;&gt;C:\Users\stu\Documents\GitHub\eaglep3-reporting\EC\2016-08-30-refined-times.txt</v>
      </c>
      <c r="AI130" s="149" t="str">
        <f t="shared" si="41"/>
        <v>echo {"issue":{"subject":"","project_id":79,"tracker_id":40,"status_id":1,"priority_id":2,"assigned_to_id":23,"start_date":"2016-08-30","description":"","custom_fields":[{"id":1,"name":"Subdivision","value":"EC"},{"id":4,"name":"Milepost","value":"23.2749"},{"id":17,"name":"Train ID","value":"215-30"},{"id":16,"name":"Locomotive ID","value":"4016"},{"id":130,"name":"Impact","value":""},{"id":150,"name":"Time of Event (Mountain Time)","value":"18:38:33"},{"id":151,"name":"Denver Issue ID","value":""},{"id":178,"name":"Operational Impact","value":"Yes"},{"id":179,"name":"Denver Segment Assigned","value":""}]}} | curl -X POST -H "Content-Type: application/json" -H "X-Redmine-API-Key: d6333d4a04012a730768444271f8ca06482dae87" https://secure.xorail.net/redmine/issues.json --data @-</v>
      </c>
      <c r="AJ130" s="55"/>
      <c r="AK130" s="55"/>
      <c r="AL130" s="55"/>
    </row>
    <row r="131" spans="1:38" x14ac:dyDescent="0.25">
      <c r="A131" s="39" t="s">
        <v>534</v>
      </c>
      <c r="B131" s="7">
        <v>4015</v>
      </c>
      <c r="C131" s="24" t="s">
        <v>113</v>
      </c>
      <c r="D131" s="24" t="s">
        <v>256</v>
      </c>
      <c r="E131" s="15">
        <v>42612.785324074073</v>
      </c>
      <c r="F131" s="15">
        <v>42612.7890625</v>
      </c>
      <c r="G131" s="7">
        <v>1</v>
      </c>
      <c r="H131" s="15" t="s">
        <v>638</v>
      </c>
      <c r="I131" s="15">
        <v>42612.818749999999</v>
      </c>
      <c r="J131" s="7">
        <v>0</v>
      </c>
      <c r="K131" s="132" t="str">
        <f t="shared" si="28"/>
        <v>4015/4016</v>
      </c>
      <c r="L131" s="24" t="str">
        <f>VLOOKUP(A131,'Trips&amp;Operators'!$C$1:$E$10000,3,FALSE)</f>
        <v>WEBSTER</v>
      </c>
      <c r="M131" s="6">
        <f t="shared" si="29"/>
        <v>2.9687499998544808E-2</v>
      </c>
      <c r="N131" s="7">
        <f t="shared" si="48"/>
        <v>42.749999997904524</v>
      </c>
      <c r="O131" s="7"/>
      <c r="P131" s="7"/>
      <c r="Q131" s="25"/>
      <c r="R131" s="25"/>
      <c r="S131" s="37">
        <f t="shared" si="44"/>
        <v>1</v>
      </c>
      <c r="T131" s="52" t="str">
        <f t="shared" si="30"/>
        <v>Southbound</v>
      </c>
      <c r="U131" s="126">
        <f>IF(AG131="EC",COUNTIFS(Variables!$M$2:$M$19,IF(T131="NorthBound","&gt;=","&lt;=")&amp;Y131,Variables!$M$2:$M$19,IF(T131="NorthBound","&lt;=","&gt;=")&amp;Z131),COUNTIFS(Variables!$P$2:$P$19,IF(T131="NorthBound","&gt;=","&lt;=")&amp;Y131,Variables!$P$2:$P$19,IF(T131="NorthBound","&lt;=","&gt;=")&amp;Z131))</f>
        <v>12</v>
      </c>
      <c r="V131" s="106" t="str">
        <f t="shared" si="31"/>
        <v>https://search-rtdc-monitor-bjffxe2xuh6vdkpspy63sjmuny.us-east-1.es.amazonaws.com/_plugin/kibana/#/discover/Steve-Slow-Train-Analysis-(2080s-and-2083s)?_g=(refreshInterval:(display:Off,section:0,value:0),time:(from:'2016-08-30 17:50:52-0600',mode:absolute,to:'2016-08-30 20:39: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W131" s="54" t="str">
        <f t="shared" si="32"/>
        <v>N</v>
      </c>
      <c r="X131" s="120">
        <f t="shared" si="49"/>
        <v>1</v>
      </c>
      <c r="Y131" s="69">
        <f t="shared" si="33"/>
        <v>23.2988</v>
      </c>
      <c r="Z131" s="69">
        <f t="shared" si="34"/>
        <v>9.7999999999999997E-3</v>
      </c>
      <c r="AA131" s="69">
        <f t="shared" si="35"/>
        <v>23.289000000000001</v>
      </c>
      <c r="AB131" s="66" t="e">
        <f>VLOOKUP(A131,Enforcements!$C$7:$J$21,8,0)</f>
        <v>#N/A</v>
      </c>
      <c r="AC131" s="62" t="e">
        <f>VLOOKUP(A131,Enforcements!$C$7:$E$21,3,0)</f>
        <v>#N/A</v>
      </c>
      <c r="AD131" s="63" t="str">
        <f t="shared" si="36"/>
        <v>0216-30</v>
      </c>
      <c r="AE131" s="99" t="str">
        <f t="shared" si="37"/>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AF131" s="96" t="str">
        <f t="shared" si="38"/>
        <v>"C:\Program Files (x86)\AstroGrep\AstroGrep.exe" /spath="%USERPROFILE%\AppData\Local\Temp\OnboardLogs" /stypes="*4015*20160831*" /stext=" 01:.+((SYSTEM_STATE.+slice.+state.+changed )|(ment ac)|(system.+state.+changed )|(\|lc)|(penalty)|(\[timeout)|(PRM\|1\|D)|(kpr)|(kdp))" /e /r /s</v>
      </c>
      <c r="AG131" s="1" t="str">
        <f t="shared" si="39"/>
        <v>EC</v>
      </c>
      <c r="AH131" s="100" t="str">
        <f t="shared" si="40"/>
        <v>"%USERPROFILE%\Documents\GitHub\eaglep3\Utilities\RefineRTDCRunTimes.py" --tripid 216-30 --locoid 4015 --swversion DE.1.0.7.0 --startMP 204:232988 --initTime 2016-08-30T18:50:52 --startdatetime 2016-08-30T18:56:15 --delay 1 --endMP 204:98 --enddatetime 2016-08-30T19:39:00 --enforcementcount 0 &gt;&gt;C:\Users\stu\Documents\GitHub\eaglep3-reporting\EC\2016-08-30-refined-times.txt</v>
      </c>
      <c r="AI131" s="149" t="str">
        <f t="shared" si="41"/>
        <v>echo {"issue":{"subject":"","project_id":79,"tracker_id":40,"status_id":1,"priority_id":2,"assigned_to_id":23,"start_date":"2016-08-30","description":"","custom_fields":[{"id":1,"name":"Subdivision","value":"EC"},{"id":4,"name":"Milepost","value":"23.289"},{"id":17,"name":"Train ID","value":"216-30"},{"id":16,"name":"Locomotive ID","value":"4015"},{"id":130,"name":"Impact","value":""},{"id":150,"name":"Time of Event (Mountain Time)","value":"19:39:00"},{"id":151,"name":"Denver Issue ID","value":""},{"id":178,"name":"Operational Impact","value":"Yes"},{"id":179,"name":"Denver Segment Assigned","value":""}]}} | curl -X POST -H "Content-Type: application/json" -H "X-Redmine-API-Key: d6333d4a04012a730768444271f8ca06482dae87" https://secure.xorail.net/redmine/issues.json --data @-</v>
      </c>
      <c r="AJ131" s="55"/>
      <c r="AK131" s="55"/>
      <c r="AL131" s="55"/>
    </row>
    <row r="132" spans="1:38" x14ac:dyDescent="0.25">
      <c r="A132" s="39" t="s">
        <v>526</v>
      </c>
      <c r="B132" s="7">
        <v>4020</v>
      </c>
      <c r="C132" s="24" t="s">
        <v>113</v>
      </c>
      <c r="D132" s="24" t="s">
        <v>180</v>
      </c>
      <c r="E132" s="15">
        <v>42612.758657407408</v>
      </c>
      <c r="F132" s="15">
        <v>42612.760844907411</v>
      </c>
      <c r="G132" s="7">
        <v>1</v>
      </c>
      <c r="H132" s="15" t="s">
        <v>328</v>
      </c>
      <c r="I132" s="15">
        <v>42612.785208333335</v>
      </c>
      <c r="J132" s="7">
        <v>0</v>
      </c>
      <c r="K132" s="132" t="str">
        <f t="shared" si="28"/>
        <v>4019/4020</v>
      </c>
      <c r="L132" s="24" t="str">
        <f>VLOOKUP(A132,'Trips&amp;Operators'!$C$1:$E$10000,3,FALSE)</f>
        <v>YANAI</v>
      </c>
      <c r="M132" s="6">
        <f t="shared" si="29"/>
        <v>2.4363425924093463E-2</v>
      </c>
      <c r="N132" s="7">
        <f t="shared" si="48"/>
        <v>35.083333330694586</v>
      </c>
      <c r="O132" s="7"/>
      <c r="P132" s="7"/>
      <c r="Q132" s="25"/>
      <c r="R132" s="25"/>
      <c r="S132" s="37">
        <f t="shared" si="44"/>
        <v>1</v>
      </c>
      <c r="T132" s="52" t="str">
        <f t="shared" si="30"/>
        <v>NorthBound</v>
      </c>
      <c r="U132" s="126">
        <f>IF(AG132="EC",COUNTIFS(Variables!$M$2:$M$19,IF(T132="NorthBound","&gt;=","&lt;=")&amp;Y132,Variables!$M$2:$M$19,IF(T132="NorthBound","&lt;=","&gt;=")&amp;Z132),COUNTIFS(Variables!$P$2:$P$19,IF(T132="NorthBound","&gt;=","&lt;=")&amp;Y132,Variables!$P$2:$P$19,IF(T132="NorthBound","&lt;=","&gt;=")&amp;Z132))</f>
        <v>12</v>
      </c>
      <c r="V132" s="106" t="str">
        <f t="shared" si="31"/>
        <v>https://search-rtdc-monitor-bjffxe2xuh6vdkpspy63sjmuny.us-east-1.es.amazonaws.com/_plugin/kibana/#/discover/Steve-Slow-Train-Analysis-(2080s-and-2083s)?_g=(refreshInterval:(display:Off,section:0,value:0),time:(from:'2016-08-30 17:12:28-0600',mode:absolute,to:'2016-08-30 19:50: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32" s="54" t="str">
        <f t="shared" si="32"/>
        <v>N</v>
      </c>
      <c r="X132" s="120">
        <f t="shared" si="49"/>
        <v>1</v>
      </c>
      <c r="Y132" s="69">
        <f t="shared" si="33"/>
        <v>4.5999999999999999E-2</v>
      </c>
      <c r="Z132" s="69">
        <f t="shared" si="34"/>
        <v>23.329799999999999</v>
      </c>
      <c r="AA132" s="69">
        <f t="shared" si="35"/>
        <v>23.283799999999999</v>
      </c>
      <c r="AB132" s="66" t="e">
        <f>VLOOKUP(A132,Enforcements!$C$7:$J$21,8,0)</f>
        <v>#N/A</v>
      </c>
      <c r="AC132" s="62" t="e">
        <f>VLOOKUP(A132,Enforcements!$C$7:$E$21,3,0)</f>
        <v>#N/A</v>
      </c>
      <c r="AD132" s="63" t="str">
        <f t="shared" si="36"/>
        <v>0217-30</v>
      </c>
      <c r="AE132" s="99" t="str">
        <f t="shared" si="37"/>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32" s="96" t="str">
        <f t="shared" si="38"/>
        <v>"C:\Program Files (x86)\AstroGrep\AstroGrep.exe" /spath="%USERPROFILE%\AppData\Local\Temp\OnboardLogs" /stypes="*4020*20160831*" /stext=" 00:.+((SYSTEM_STATE.+slice.+state.+changed )|(ment ac)|(system.+state.+changed )|(\|lc)|(penalty)|(\[timeout)|(PRM\|1\|D)|(kpr)|(kdp))" /e /r /s</v>
      </c>
      <c r="AG132" s="1" t="str">
        <f t="shared" si="39"/>
        <v>EC</v>
      </c>
      <c r="AH132" s="100" t="str">
        <f t="shared" si="40"/>
        <v>"%USERPROFILE%\Documents\GitHub\eaglep3\Utilities\RefineRTDCRunTimes.py" --tripid 217-30 --locoid 4020 --swversion DE.1.0.7.0 --startMP 204:460 --initTime 2016-08-30T18:12:28 --startdatetime 2016-08-30T18:15:37 --delay 1 --endMP 204:233298 --enddatetime 2016-08-30T18:50:42 --enforcementcount 0 &gt;&gt;C:\Users\stu\Documents\GitHub\eaglep3-reporting\EC\2016-08-30-refined-times.txt</v>
      </c>
      <c r="AI132" s="149" t="str">
        <f t="shared" si="41"/>
        <v>echo {"issue":{"subject":"","project_id":79,"tracker_id":40,"status_id":1,"priority_id":2,"assigned_to_id":23,"start_date":"2016-08-30","description":"","custom_fields":[{"id":1,"name":"Subdivision","value":"EC"},{"id":4,"name":"Milepost","value":"23.2838"},{"id":17,"name":"Train ID","value":"217-30"},{"id":16,"name":"Locomotive ID","value":"4020"},{"id":130,"name":"Impact","value":""},{"id":150,"name":"Time of Event (Mountain Time)","value":"18:50:42"},{"id":151,"name":"Denver Issue ID","value":""},{"id":178,"name":"Operational Impact","value":"Yes"},{"id":179,"name":"Denver Segment Assigned","value":""}]}} | curl -X POST -H "Content-Type: application/json" -H "X-Redmine-API-Key: d6333d4a04012a730768444271f8ca06482dae87" https://secure.xorail.net/redmine/issues.json --data @-</v>
      </c>
      <c r="AJ132" s="55"/>
      <c r="AK132" s="55"/>
      <c r="AL132" s="55"/>
    </row>
    <row r="133" spans="1:38" s="23" customFormat="1" x14ac:dyDescent="0.25">
      <c r="A133" s="39" t="s">
        <v>536</v>
      </c>
      <c r="B133" s="7">
        <v>4019</v>
      </c>
      <c r="C133" s="24" t="s">
        <v>113</v>
      </c>
      <c r="D133" s="24" t="s">
        <v>324</v>
      </c>
      <c r="E133" s="15">
        <v>42612.795636574076</v>
      </c>
      <c r="F133" s="15">
        <v>42612.799467592595</v>
      </c>
      <c r="G133" s="7">
        <v>1</v>
      </c>
      <c r="H133" s="15" t="s">
        <v>177</v>
      </c>
      <c r="I133" s="15">
        <v>42612.825868055559</v>
      </c>
      <c r="J133" s="7">
        <v>0</v>
      </c>
      <c r="K133" s="132" t="str">
        <f t="shared" si="28"/>
        <v>4019/4020</v>
      </c>
      <c r="L133" s="24" t="str">
        <f>VLOOKUP(A133,'Trips&amp;Operators'!$C$1:$E$10000,3,FALSE)</f>
        <v>YANAI</v>
      </c>
      <c r="M133" s="6">
        <f t="shared" si="29"/>
        <v>2.6400462964375038E-2</v>
      </c>
      <c r="N133" s="7">
        <f t="shared" si="48"/>
        <v>38.016666668700054</v>
      </c>
      <c r="O133" s="7"/>
      <c r="P133" s="7"/>
      <c r="Q133" s="25"/>
      <c r="R133" s="25"/>
      <c r="S133" s="37">
        <f t="shared" si="44"/>
        <v>1</v>
      </c>
      <c r="T133" s="52" t="str">
        <f t="shared" si="30"/>
        <v>Southbound</v>
      </c>
      <c r="U133" s="126">
        <f>IF(AG133="EC",COUNTIFS(Variables!$M$2:$M$19,IF(T133="NorthBound","&gt;=","&lt;=")&amp;Y133,Variables!$M$2:$M$19,IF(T133="NorthBound","&lt;=","&gt;=")&amp;Z133),COUNTIFS(Variables!$P$2:$P$19,IF(T133="NorthBound","&gt;=","&lt;=")&amp;Y133,Variables!$P$2:$P$19,IF(T133="NorthBound","&lt;=","&gt;=")&amp;Z133))</f>
        <v>12</v>
      </c>
      <c r="V133" s="106" t="str">
        <f t="shared" si="31"/>
        <v>https://search-rtdc-monitor-bjffxe2xuh6vdkpspy63sjmuny.us-east-1.es.amazonaws.com/_plugin/kibana/#/discover/Steve-Slow-Train-Analysis-(2080s-and-2083s)?_g=(refreshInterval:(display:Off,section:0,value:0),time:(from:'2016-08-30 18:05:43-0600',mode:absolute,to:'2016-08-30 20:49: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33" s="54" t="str">
        <f t="shared" si="32"/>
        <v>N</v>
      </c>
      <c r="X133" s="120">
        <f t="shared" si="49"/>
        <v>1</v>
      </c>
      <c r="Y133" s="69">
        <f t="shared" si="33"/>
        <v>23.299600000000002</v>
      </c>
      <c r="Z133" s="69">
        <f t="shared" si="34"/>
        <v>1.6E-2</v>
      </c>
      <c r="AA133" s="69">
        <f t="shared" si="35"/>
        <v>23.283600000000003</v>
      </c>
      <c r="AB133" s="66" t="e">
        <f>VLOOKUP(A133,Enforcements!$C$7:$J$21,8,0)</f>
        <v>#N/A</v>
      </c>
      <c r="AC133" s="62" t="e">
        <f>VLOOKUP(A133,Enforcements!$C$7:$E$21,3,0)</f>
        <v>#N/A</v>
      </c>
      <c r="AD133" s="63" t="str">
        <f t="shared" si="36"/>
        <v>0218-30</v>
      </c>
      <c r="AE133" s="99" t="str">
        <f t="shared" si="37"/>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133" s="96" t="str">
        <f t="shared" si="38"/>
        <v>"C:\Program Files (x86)\AstroGrep\AstroGrep.exe" /spath="%USERPROFILE%\AppData\Local\Temp\OnboardLogs" /stypes="*4019*20160831*" /stext=" 01:.+((SYSTEM_STATE.+slice.+state.+changed )|(ment ac)|(system.+state.+changed )|(\|lc)|(penalty)|(\[timeout)|(PRM\|1\|D)|(kpr)|(kdp))" /e /r /s</v>
      </c>
      <c r="AG133" s="1" t="str">
        <f t="shared" si="39"/>
        <v>EC</v>
      </c>
      <c r="AH133" s="100" t="str">
        <f t="shared" si="40"/>
        <v>"%USERPROFILE%\Documents\GitHub\eaglep3\Utilities\RefineRTDCRunTimes.py" --tripid 218-30 --locoid 4019 --swversion DE.1.0.7.0 --startMP 204:232996 --initTime 2016-08-30T19:05:43 --startdatetime 2016-08-30T19:11:14 --delay 1 --endMP 204:160 --enddatetime 2016-08-30T19:49:15 --enforcementcount 0 &gt;&gt;C:\Users\stu\Documents\GitHub\eaglep3-reporting\EC\2016-08-30-refined-times.txt</v>
      </c>
      <c r="AI133" s="149" t="str">
        <f t="shared" si="41"/>
        <v>echo {"issue":{"subject":"","project_id":79,"tracker_id":40,"status_id":1,"priority_id":2,"assigned_to_id":23,"start_date":"2016-08-30","description":"","custom_fields":[{"id":1,"name":"Subdivision","value":"EC"},{"id":4,"name":"Milepost","value":"23.2836"},{"id":17,"name":"Train ID","value":"218-30"},{"id":16,"name":"Locomotive ID","value":"4019"},{"id":130,"name":"Impact","value":""},{"id":150,"name":"Time of Event (Mountain Time)","value":"19:49:15"},{"id":151,"name":"Denver Issue ID","value":""},{"id":178,"name":"Operational Impact","value":"Yes"},{"id":179,"name":"Denver Segment Assigned","value":""}]}} | curl -X POST -H "Content-Type: application/json" -H "X-Redmine-API-Key: d6333d4a04012a730768444271f8ca06482dae87" https://secure.xorail.net/redmine/issues.json --data @-</v>
      </c>
      <c r="AJ133" s="55"/>
      <c r="AK133" s="55"/>
      <c r="AL133" s="55"/>
    </row>
    <row r="134" spans="1:38" x14ac:dyDescent="0.25">
      <c r="A134" s="39" t="s">
        <v>530</v>
      </c>
      <c r="B134" s="7">
        <v>4018</v>
      </c>
      <c r="C134" s="24" t="s">
        <v>113</v>
      </c>
      <c r="D134" s="24" t="s">
        <v>265</v>
      </c>
      <c r="E134" s="15">
        <v>42612.768530092595</v>
      </c>
      <c r="F134" s="15">
        <v>42612.771041666667</v>
      </c>
      <c r="G134" s="7">
        <v>1</v>
      </c>
      <c r="H134" s="15" t="s">
        <v>595</v>
      </c>
      <c r="I134" s="15">
        <v>42612.798564814817</v>
      </c>
      <c r="J134" s="7">
        <v>0</v>
      </c>
      <c r="K134" s="132" t="str">
        <f t="shared" si="28"/>
        <v>4017/4018</v>
      </c>
      <c r="L134" s="24" t="str">
        <f>VLOOKUP(A134,'Trips&amp;Operators'!$C$1:$E$10000,3,FALSE)</f>
        <v>CHANDLER</v>
      </c>
      <c r="M134" s="6">
        <f t="shared" si="29"/>
        <v>2.7523148150066845E-2</v>
      </c>
      <c r="N134" s="7">
        <f t="shared" si="48"/>
        <v>39.633333336096257</v>
      </c>
      <c r="O134" s="7"/>
      <c r="P134" s="7"/>
      <c r="Q134" s="25"/>
      <c r="R134" s="25"/>
      <c r="S134" s="37">
        <f t="shared" ref="S134:S165" si="50">SUM(U134:U134)/IF(AG134="EC",12,1)</f>
        <v>1</v>
      </c>
      <c r="T134" s="52" t="str">
        <f t="shared" si="30"/>
        <v>NorthBound</v>
      </c>
      <c r="U134" s="126">
        <f>IF(AG134="EC",COUNTIFS(Variables!$M$2:$M$19,IF(T134="NorthBound","&gt;=","&lt;=")&amp;Y134,Variables!$M$2:$M$19,IF(T134="NorthBound","&lt;=","&gt;=")&amp;Z134),COUNTIFS(Variables!$P$2:$P$19,IF(T134="NorthBound","&gt;=","&lt;=")&amp;Y134,Variables!$P$2:$P$19,IF(T134="NorthBound","&lt;=","&gt;=")&amp;Z134))</f>
        <v>12</v>
      </c>
      <c r="V134" s="106" t="str">
        <f t="shared" si="31"/>
        <v>https://search-rtdc-monitor-bjffxe2xuh6vdkpspy63sjmuny.us-east-1.es.amazonaws.com/_plugin/kibana/#/discover/Steve-Slow-Train-Analysis-(2080s-and-2083s)?_g=(refreshInterval:(display:Off,section:0,value:0),time:(from:'2016-08-30 17:26:41-0600',mode:absolute,to:'2016-08-30 20:09: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34" s="54" t="str">
        <f t="shared" si="32"/>
        <v>N</v>
      </c>
      <c r="X134" s="120">
        <f t="shared" si="49"/>
        <v>1</v>
      </c>
      <c r="Y134" s="69">
        <f t="shared" si="33"/>
        <v>4.7500000000000001E-2</v>
      </c>
      <c r="Z134" s="69">
        <f t="shared" si="34"/>
        <v>23.3309</v>
      </c>
      <c r="AA134" s="69">
        <f t="shared" si="35"/>
        <v>23.2834</v>
      </c>
      <c r="AB134" s="66" t="e">
        <f>VLOOKUP(A134,Enforcements!$C$7:$J$21,8,0)</f>
        <v>#N/A</v>
      </c>
      <c r="AC134" s="62" t="e">
        <f>VLOOKUP(A134,Enforcements!$C$7:$E$21,3,0)</f>
        <v>#N/A</v>
      </c>
      <c r="AD134" s="63" t="str">
        <f t="shared" si="36"/>
        <v>0219-30</v>
      </c>
      <c r="AE134" s="99" t="str">
        <f t="shared" si="37"/>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34" s="96" t="str">
        <f t="shared" si="38"/>
        <v>"C:\Program Files (x86)\AstroGrep\AstroGrep.exe" /spath="%USERPROFILE%\AppData\Local\Temp\OnboardLogs" /stypes="*4018*20160831*" /stext=" 01:.+((SYSTEM_STATE.+slice.+state.+changed )|(ment ac)|(system.+state.+changed )|(\|lc)|(penalty)|(\[timeout)|(PRM\|1\|D)|(kpr)|(kdp))" /e /r /s</v>
      </c>
      <c r="AG134" s="1" t="str">
        <f t="shared" si="39"/>
        <v>EC</v>
      </c>
      <c r="AH134" s="100" t="str">
        <f t="shared" si="40"/>
        <v>"%USERPROFILE%\Documents\GitHub\eaglep3\Utilities\RefineRTDCRunTimes.py" --tripid 219-30 --locoid 4018 --swversion DE.1.0.7.0 --startMP 204:475 --initTime 2016-08-30T18:26:41 --startdatetime 2016-08-30T18:30:18 --delay 1 --endMP 204:233309 --enddatetime 2016-08-30T19:09:56 --enforcementcount 0 &gt;&gt;C:\Users\stu\Documents\GitHub\eaglep3-reporting\EC\2016-08-30-refined-times.txt</v>
      </c>
      <c r="AI134" s="149" t="str">
        <f t="shared" si="41"/>
        <v>echo {"issue":{"subject":"","project_id":79,"tracker_id":40,"status_id":1,"priority_id":2,"assigned_to_id":23,"start_date":"2016-08-30","description":"","custom_fields":[{"id":1,"name":"Subdivision","value":"EC"},{"id":4,"name":"Milepost","value":"23.2834"},{"id":17,"name":"Train ID","value":"219-30"},{"id":16,"name":"Locomotive ID","value":"4018"},{"id":130,"name":"Impact","value":""},{"id":150,"name":"Time of Event (Mountain Time)","value":"19:09:56"},{"id":151,"name":"Denver Issue ID","value":""},{"id":178,"name":"Operational Impact","value":"Yes"},{"id":179,"name":"Denver Segment Assigned","value":""}]}} | curl -X POST -H "Content-Type: application/json" -H "X-Redmine-API-Key: d6333d4a04012a730768444271f8ca06482dae87" https://secure.xorail.net/redmine/issues.json --data @-</v>
      </c>
      <c r="AJ134" s="55"/>
      <c r="AK134" s="55"/>
      <c r="AL134" s="55"/>
    </row>
    <row r="135" spans="1:38" x14ac:dyDescent="0.25">
      <c r="A135" s="39" t="s">
        <v>539</v>
      </c>
      <c r="B135" s="7">
        <v>4017</v>
      </c>
      <c r="C135" s="24" t="s">
        <v>113</v>
      </c>
      <c r="D135" s="24" t="s">
        <v>333</v>
      </c>
      <c r="E135" s="15">
        <v>42612.807500000003</v>
      </c>
      <c r="F135" s="15">
        <v>42612.810023148151</v>
      </c>
      <c r="G135" s="7">
        <v>1</v>
      </c>
      <c r="H135" s="15" t="s">
        <v>149</v>
      </c>
      <c r="I135" s="15">
        <v>42612.838148148148</v>
      </c>
      <c r="J135" s="7">
        <v>0</v>
      </c>
      <c r="K135" s="132" t="str">
        <f t="shared" si="28"/>
        <v>4017/4018</v>
      </c>
      <c r="L135" s="24" t="str">
        <f>VLOOKUP(A135,'Trips&amp;Operators'!$C$1:$E$10000,3,FALSE)</f>
        <v>CHANDLER</v>
      </c>
      <c r="M135" s="6">
        <f t="shared" si="29"/>
        <v>2.8124999997089617E-2</v>
      </c>
      <c r="N135" s="7">
        <f t="shared" si="48"/>
        <v>40.499999995809048</v>
      </c>
      <c r="O135" s="7"/>
      <c r="P135" s="7"/>
      <c r="Q135" s="25"/>
      <c r="R135" s="25"/>
      <c r="S135" s="37">
        <f t="shared" si="50"/>
        <v>1</v>
      </c>
      <c r="T135" s="52" t="str">
        <f t="shared" si="30"/>
        <v>Southbound</v>
      </c>
      <c r="U135" s="126">
        <f>IF(AG135="EC",COUNTIFS(Variables!$M$2:$M$19,IF(T135="NorthBound","&gt;=","&lt;=")&amp;Y135,Variables!$M$2:$M$19,IF(T135="NorthBound","&lt;=","&gt;=")&amp;Z135),COUNTIFS(Variables!$P$2:$P$19,IF(T135="NorthBound","&gt;=","&lt;=")&amp;Y135,Variables!$P$2:$P$19,IF(T135="NorthBound","&lt;=","&gt;=")&amp;Z135))</f>
        <v>12</v>
      </c>
      <c r="V135" s="106" t="str">
        <f t="shared" si="31"/>
        <v>https://search-rtdc-monitor-bjffxe2xuh6vdkpspy63sjmuny.us-east-1.es.amazonaws.com/_plugin/kibana/#/discover/Steve-Slow-Train-Analysis-(2080s-and-2083s)?_g=(refreshInterval:(display:Off,section:0,value:0),time:(from:'2016-08-30 18:22:48-0600',mode:absolute,to:'2016-08-30 21: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35" s="54" t="str">
        <f t="shared" si="32"/>
        <v>N</v>
      </c>
      <c r="X135" s="120">
        <f t="shared" si="49"/>
        <v>1</v>
      </c>
      <c r="Y135" s="69">
        <f t="shared" si="33"/>
        <v>23.298200000000001</v>
      </c>
      <c r="Z135" s="69">
        <f t="shared" si="34"/>
        <v>1.5599999999999999E-2</v>
      </c>
      <c r="AA135" s="69">
        <f t="shared" si="35"/>
        <v>23.282600000000002</v>
      </c>
      <c r="AB135" s="66" t="e">
        <f>VLOOKUP(A135,Enforcements!$C$7:$J$21,8,0)</f>
        <v>#N/A</v>
      </c>
      <c r="AC135" s="62" t="e">
        <f>VLOOKUP(A135,Enforcements!$C$7:$E$21,3,0)</f>
        <v>#N/A</v>
      </c>
      <c r="AD135" s="63" t="str">
        <f t="shared" si="36"/>
        <v>0220-30</v>
      </c>
      <c r="AE135" s="99" t="str">
        <f t="shared" si="37"/>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135" s="96" t="str">
        <f t="shared" si="38"/>
        <v>"C:\Program Files (x86)\AstroGrep\AstroGrep.exe" /spath="%USERPROFILE%\AppData\Local\Temp\OnboardLogs" /stypes="*4017*20160831*" /stext=" 02:.+((SYSTEM_STATE.+slice.+state.+changed )|(ment ac)|(system.+state.+changed )|(\|lc)|(penalty)|(\[timeout)|(PRM\|1\|D)|(kpr)|(kdp))" /e /r /s</v>
      </c>
      <c r="AG135" s="1" t="str">
        <f t="shared" si="39"/>
        <v>EC</v>
      </c>
      <c r="AH135" s="100" t="str">
        <f t="shared" si="40"/>
        <v>"%USERPROFILE%\Documents\GitHub\eaglep3\Utilities\RefineRTDCRunTimes.py" --tripid 220-30 --locoid 4017 --swversion DE.1.0.7.0 --startMP 204:232982 --initTime 2016-08-30T19:22:48 --startdatetime 2016-08-30T19:26:26 --delay 1 --endMP 204:156 --enddatetime 2016-08-30T20:06:56 --enforcementcount 0 &gt;&gt;C:\Users\stu\Documents\GitHub\eaglep3-reporting\EC\2016-08-30-refined-times.txt</v>
      </c>
      <c r="AI135" s="149" t="str">
        <f t="shared" si="41"/>
        <v>echo {"issue":{"subject":"","project_id":79,"tracker_id":40,"status_id":1,"priority_id":2,"assigned_to_id":23,"start_date":"2016-08-30","description":"","custom_fields":[{"id":1,"name":"Subdivision","value":"EC"},{"id":4,"name":"Milepost","value":"23.2826"},{"id":17,"name":"Train ID","value":"220-30"},{"id":16,"name":"Locomotive ID","value":"4017"},{"id":130,"name":"Impact","value":""},{"id":150,"name":"Time of Event (Mountain Time)","value":"20:06:56"},{"id":151,"name":"Denver Issue ID","value":""},{"id":178,"name":"Operational Impact","value":"Yes"},{"id":179,"name":"Denver Segment Assigned","value":""}]}} | curl -X POST -H "Content-Type: application/json" -H "X-Redmine-API-Key: d6333d4a04012a730768444271f8ca06482dae87" https://secure.xorail.net/redmine/issues.json --data @-</v>
      </c>
      <c r="AJ135" s="55"/>
      <c r="AK135" s="55"/>
      <c r="AL135" s="55"/>
    </row>
    <row r="136" spans="1:38" x14ac:dyDescent="0.25">
      <c r="A136" s="39" t="s">
        <v>535</v>
      </c>
      <c r="B136" s="7">
        <v>4011</v>
      </c>
      <c r="C136" s="24" t="s">
        <v>113</v>
      </c>
      <c r="D136" s="24" t="s">
        <v>140</v>
      </c>
      <c r="E136" s="15">
        <v>42612.787928240738</v>
      </c>
      <c r="F136" s="15">
        <v>42612.791921296295</v>
      </c>
      <c r="G136" s="7">
        <v>1</v>
      </c>
      <c r="H136" s="15" t="s">
        <v>234</v>
      </c>
      <c r="I136" s="15">
        <v>42612.81758101852</v>
      </c>
      <c r="J136" s="7">
        <v>0</v>
      </c>
      <c r="K136" s="132" t="str">
        <f t="shared" si="28"/>
        <v>4011/4012</v>
      </c>
      <c r="L136" s="24" t="str">
        <f>VLOOKUP(A136,'Trips&amp;Operators'!$C$1:$E$10000,3,FALSE)</f>
        <v>HILLS</v>
      </c>
      <c r="M136" s="6">
        <f t="shared" si="29"/>
        <v>2.5659722225100268E-2</v>
      </c>
      <c r="N136" s="7">
        <f t="shared" si="48"/>
        <v>36.950000004144385</v>
      </c>
      <c r="O136" s="7"/>
      <c r="P136" s="7"/>
      <c r="Q136" s="25"/>
      <c r="R136" s="25"/>
      <c r="S136" s="37">
        <f t="shared" si="50"/>
        <v>1</v>
      </c>
      <c r="T136" s="52" t="str">
        <f t="shared" si="30"/>
        <v>NorthBound</v>
      </c>
      <c r="U136" s="126">
        <f>IF(AG136="EC",COUNTIFS(Variables!$M$2:$M$19,IF(T136="NorthBound","&gt;=","&lt;=")&amp;Y136,Variables!$M$2:$M$19,IF(T136="NorthBound","&lt;=","&gt;=")&amp;Z136),COUNTIFS(Variables!$P$2:$P$19,IF(T136="NorthBound","&gt;=","&lt;=")&amp;Y136,Variables!$P$2:$P$19,IF(T136="NorthBound","&lt;=","&gt;=")&amp;Z136))</f>
        <v>12</v>
      </c>
      <c r="V136" s="106" t="str">
        <f t="shared" si="31"/>
        <v>https://search-rtdc-monitor-bjffxe2xuh6vdkpspy63sjmuny.us-east-1.es.amazonaws.com/_plugin/kibana/#/discover/Steve-Slow-Train-Analysis-(2080s-and-2083s)?_g=(refreshInterval:(display:Off,section:0,value:0),time:(from:'2016-08-30 17:54:37-0600',mode:absolute,to:'2016-08-30 20:37: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36" s="54" t="str">
        <f t="shared" si="32"/>
        <v>N</v>
      </c>
      <c r="X136" s="120">
        <f t="shared" si="49"/>
        <v>1</v>
      </c>
      <c r="Y136" s="69">
        <f t="shared" si="33"/>
        <v>4.5699999999999998E-2</v>
      </c>
      <c r="Z136" s="69">
        <f t="shared" si="34"/>
        <v>23.330100000000002</v>
      </c>
      <c r="AA136" s="69">
        <f t="shared" si="35"/>
        <v>23.284400000000002</v>
      </c>
      <c r="AB136" s="66" t="e">
        <f>VLOOKUP(A136,Enforcements!$C$7:$J$21,8,0)</f>
        <v>#N/A</v>
      </c>
      <c r="AC136" s="62" t="e">
        <f>VLOOKUP(A136,Enforcements!$C$7:$E$21,3,0)</f>
        <v>#N/A</v>
      </c>
      <c r="AD136" s="63" t="str">
        <f t="shared" si="36"/>
        <v>0221-30</v>
      </c>
      <c r="AE136" s="99" t="str">
        <f t="shared" si="37"/>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36" s="96" t="str">
        <f t="shared" si="38"/>
        <v>"C:\Program Files (x86)\AstroGrep\AstroGrep.exe" /spath="%USERPROFILE%\AppData\Local\Temp\OnboardLogs" /stypes="*4011*20160831*" /stext=" 01:.+((SYSTEM_STATE.+slice.+state.+changed )|(ment ac)|(system.+state.+changed )|(\|lc)|(penalty)|(\[timeout)|(PRM\|1\|D)|(kpr)|(kdp))" /e /r /s</v>
      </c>
      <c r="AG136" s="1" t="str">
        <f t="shared" si="39"/>
        <v>EC</v>
      </c>
      <c r="AH136" s="100" t="str">
        <f t="shared" si="40"/>
        <v>"%USERPROFILE%\Documents\GitHub\eaglep3\Utilities\RefineRTDCRunTimes.py" --tripid 221-30 --locoid 4011 --swversion DE.1.0.7.0 --startMP 204:457 --initTime 2016-08-30T18:54:37 --startdatetime 2016-08-30T19:00:22 --delay 1 --endMP 204:233301 --enddatetime 2016-08-30T19:37:19 --enforcementcount 0 &gt;&gt;C:\Users\stu\Documents\GitHub\eaglep3-reporting\EC\2016-08-30-refined-times.txt</v>
      </c>
      <c r="AI136" s="149" t="str">
        <f t="shared" si="41"/>
        <v>echo {"issue":{"subject":"","project_id":79,"tracker_id":40,"status_id":1,"priority_id":2,"assigned_to_id":23,"start_date":"2016-08-30","description":"","custom_fields":[{"id":1,"name":"Subdivision","value":"EC"},{"id":4,"name":"Milepost","value":"23.2844"},{"id":17,"name":"Train ID","value":"221-30"},{"id":16,"name":"Locomotive ID","value":"4011"},{"id":130,"name":"Impact","value":""},{"id":150,"name":"Time of Event (Mountain Time)","value":"19:37:19"},{"id":151,"name":"Denver Issue ID","value":""},{"id":178,"name":"Operational Impact","value":"Yes"},{"id":179,"name":"Denver Segment Assigned","value":""}]}} | curl -X POST -H "Content-Type: application/json" -H "X-Redmine-API-Key: d6333d4a04012a730768444271f8ca06482dae87" https://secure.xorail.net/redmine/issues.json --data @-</v>
      </c>
      <c r="AJ136" s="55"/>
      <c r="AK136" s="55"/>
      <c r="AL136" s="55"/>
    </row>
    <row r="137" spans="1:38" x14ac:dyDescent="0.25">
      <c r="A137" s="39" t="s">
        <v>385</v>
      </c>
      <c r="B137" s="7">
        <v>4012</v>
      </c>
      <c r="C137" s="24" t="s">
        <v>113</v>
      </c>
      <c r="D137" s="24" t="s">
        <v>271</v>
      </c>
      <c r="E137" s="15">
        <v>42612.823865740742</v>
      </c>
      <c r="F137" s="15">
        <v>42612.830995370372</v>
      </c>
      <c r="G137" s="7">
        <v>1</v>
      </c>
      <c r="H137" s="15" t="s">
        <v>639</v>
      </c>
      <c r="I137" s="15">
        <v>42612.858564814815</v>
      </c>
      <c r="J137" s="7">
        <v>0</v>
      </c>
      <c r="K137" s="132" t="str">
        <f t="shared" si="28"/>
        <v>4011/4012</v>
      </c>
      <c r="L137" s="24" t="str">
        <f>VLOOKUP(A137,'Trips&amp;Operators'!$C$1:$E$10000,3,FALSE)</f>
        <v>HILLS</v>
      </c>
      <c r="M137" s="6">
        <f t="shared" si="29"/>
        <v>2.7569444442633539E-2</v>
      </c>
      <c r="N137" s="7">
        <f t="shared" si="48"/>
        <v>39.699999997392297</v>
      </c>
      <c r="O137" s="7"/>
      <c r="P137" s="7"/>
      <c r="Q137" s="25"/>
      <c r="R137" s="25"/>
      <c r="S137" s="37">
        <f t="shared" si="50"/>
        <v>1</v>
      </c>
      <c r="T137" s="52" t="str">
        <f t="shared" si="30"/>
        <v>Southbound</v>
      </c>
      <c r="U137" s="126">
        <f>IF(AG137="EC",COUNTIFS(Variables!$M$2:$M$19,IF(T137="NorthBound","&gt;=","&lt;=")&amp;Y137,Variables!$M$2:$M$19,IF(T137="NorthBound","&lt;=","&gt;=")&amp;Z137),COUNTIFS(Variables!$P$2:$P$19,IF(T137="NorthBound","&gt;=","&lt;=")&amp;Y137,Variables!$P$2:$P$19,IF(T137="NorthBound","&lt;=","&gt;=")&amp;Z137))</f>
        <v>12</v>
      </c>
      <c r="V137" s="106" t="str">
        <f t="shared" si="31"/>
        <v>https://search-rtdc-monitor-bjffxe2xuh6vdkpspy63sjmuny.us-east-1.es.amazonaws.com/_plugin/kibana/#/discover/Steve-Slow-Train-Analysis-(2080s-and-2083s)?_g=(refreshInterval:(display:Off,section:0,value:0),time:(from:'2016-08-30 18:46:22-0600',mode:absolute,to:'2016-08-30 21:36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137" s="54" t="str">
        <f t="shared" si="32"/>
        <v>N</v>
      </c>
      <c r="X137" s="120">
        <f t="shared" si="49"/>
        <v>1</v>
      </c>
      <c r="Y137" s="69">
        <f t="shared" si="33"/>
        <v>23.298999999999999</v>
      </c>
      <c r="Z137" s="69">
        <f t="shared" si="34"/>
        <v>2.23E-2</v>
      </c>
      <c r="AA137" s="69">
        <f t="shared" si="35"/>
        <v>23.276699999999998</v>
      </c>
      <c r="AB137" s="66" t="e">
        <f>VLOOKUP(A137,Enforcements!$C$7:$J$21,8,0)</f>
        <v>#N/A</v>
      </c>
      <c r="AC137" s="62" t="e">
        <f>VLOOKUP(A137,Enforcements!$C$7:$E$21,3,0)</f>
        <v>#N/A</v>
      </c>
      <c r="AD137" s="63" t="str">
        <f t="shared" si="36"/>
        <v>0222-30</v>
      </c>
      <c r="AE137" s="99" t="str">
        <f t="shared" si="37"/>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137" s="96" t="str">
        <f t="shared" si="38"/>
        <v>"C:\Program Files (x86)\AstroGrep\AstroGrep.exe" /spath="%USERPROFILE%\AppData\Local\Temp\OnboardLogs" /stypes="*4012*20160831*" /stext=" 02:.+((SYSTEM_STATE.+slice.+state.+changed )|(ment ac)|(system.+state.+changed )|(\|lc)|(penalty)|(\[timeout)|(PRM\|1\|D)|(kpr)|(kdp))" /e /r /s</v>
      </c>
      <c r="AG137" s="1" t="str">
        <f t="shared" si="39"/>
        <v>EC</v>
      </c>
      <c r="AH137" s="100" t="str">
        <f t="shared" si="40"/>
        <v>"%USERPROFILE%\Documents\GitHub\eaglep3\Utilities\RefineRTDCRunTimes.py" --tripid 222-30 --locoid 4012 --swversion DE.1.0.7.0 --startMP 204:232990 --initTime 2016-08-30T19:46:22 --startdatetime 2016-08-30T19:56:38 --delay 1 --endMP 204:223 --enddatetime 2016-08-30T20:36:20 --enforcementcount 0 &gt;&gt;C:\Users\stu\Documents\GitHub\eaglep3-reporting\EC\2016-08-30-refined-times.txt</v>
      </c>
      <c r="AI137" s="149" t="str">
        <f t="shared" si="41"/>
        <v>echo {"issue":{"subject":"","project_id":79,"tracker_id":40,"status_id":1,"priority_id":2,"assigned_to_id":23,"start_date":"2016-08-30","description":"","custom_fields":[{"id":1,"name":"Subdivision","value":"EC"},{"id":4,"name":"Milepost","value":"23.2767"},{"id":17,"name":"Train ID","value":"222-30"},{"id":16,"name":"Locomotive ID","value":"4012"},{"id":130,"name":"Impact","value":""},{"id":150,"name":"Time of Event (Mountain Time)","value":"20:36:20"},{"id":151,"name":"Denver Issue ID","value":""},{"id":178,"name":"Operational Impact","value":"Yes"},{"id":179,"name":"Denver Segment Assigned","value":""}]}} | curl -X POST -H "Content-Type: application/json" -H "X-Redmine-API-Key: d6333d4a04012a730768444271f8ca06482dae87" https://secure.xorail.net/redmine/issues.json --data @-</v>
      </c>
      <c r="AJ137" s="55"/>
      <c r="AK137" s="55"/>
      <c r="AL137" s="55"/>
    </row>
    <row r="138" spans="1:38" x14ac:dyDescent="0.25">
      <c r="A138" s="39" t="s">
        <v>540</v>
      </c>
      <c r="B138" s="7">
        <v>4040</v>
      </c>
      <c r="C138" s="24" t="s">
        <v>113</v>
      </c>
      <c r="D138" s="24" t="s">
        <v>182</v>
      </c>
      <c r="E138" s="15">
        <v>42612.808263888888</v>
      </c>
      <c r="F138" s="15">
        <v>42612.812719907408</v>
      </c>
      <c r="G138" s="7">
        <v>1</v>
      </c>
      <c r="H138" s="15" t="s">
        <v>151</v>
      </c>
      <c r="I138" s="15">
        <v>42612.837129629632</v>
      </c>
      <c r="J138" s="7">
        <v>0</v>
      </c>
      <c r="K138" s="132" t="str">
        <f t="shared" si="28"/>
        <v>4039/4040</v>
      </c>
      <c r="L138" s="24" t="str">
        <f>VLOOKUP(A138,'Trips&amp;Operators'!$C$1:$E$10000,3,FALSE)</f>
        <v>COOLAHAN</v>
      </c>
      <c r="M138" s="6">
        <f t="shared" si="29"/>
        <v>2.4409722223936114E-2</v>
      </c>
      <c r="N138" s="7">
        <f t="shared" si="48"/>
        <v>35.150000002468005</v>
      </c>
      <c r="O138" s="7"/>
      <c r="P138" s="7"/>
      <c r="Q138" s="25"/>
      <c r="R138" s="25"/>
      <c r="S138" s="37">
        <f t="shared" si="50"/>
        <v>1</v>
      </c>
      <c r="T138" s="52" t="str">
        <f t="shared" si="30"/>
        <v>NorthBound</v>
      </c>
      <c r="U138" s="126">
        <f>IF(AG138="EC",COUNTIFS(Variables!$M$2:$M$19,IF(T138="NorthBound","&gt;=","&lt;=")&amp;Y138,Variables!$M$2:$M$19,IF(T138="NorthBound","&lt;=","&gt;=")&amp;Z138),COUNTIFS(Variables!$P$2:$P$19,IF(T138="NorthBound","&gt;=","&lt;=")&amp;Y138,Variables!$P$2:$P$19,IF(T138="NorthBound","&lt;=","&gt;=")&amp;Z138))</f>
        <v>12</v>
      </c>
      <c r="V138" s="106" t="str">
        <f t="shared" si="31"/>
        <v>https://search-rtdc-monitor-bjffxe2xuh6vdkpspy63sjmuny.us-east-1.es.amazonaws.com/_plugin/kibana/#/discover/Steve-Slow-Train-Analysis-(2080s-and-2083s)?_g=(refreshInterval:(display:Off,section:0,value:0),time:(from:'2016-08-30 18:23:54-0600',mode:absolute,to:'2016-08-30 21:05: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138" s="54" t="str">
        <f t="shared" si="32"/>
        <v>N</v>
      </c>
      <c r="X138" s="120">
        <f t="shared" si="49"/>
        <v>1</v>
      </c>
      <c r="Y138" s="69">
        <f t="shared" si="33"/>
        <v>4.3499999999999997E-2</v>
      </c>
      <c r="Z138" s="69">
        <f t="shared" si="34"/>
        <v>23.3291</v>
      </c>
      <c r="AA138" s="69">
        <f t="shared" si="35"/>
        <v>23.285599999999999</v>
      </c>
      <c r="AB138" s="66" t="e">
        <f>VLOOKUP(A138,Enforcements!$C$7:$J$21,8,0)</f>
        <v>#N/A</v>
      </c>
      <c r="AC138" s="62" t="e">
        <f>VLOOKUP(A138,Enforcements!$C$7:$E$21,3,0)</f>
        <v>#N/A</v>
      </c>
      <c r="AD138" s="63" t="str">
        <f t="shared" si="36"/>
        <v>0223-30</v>
      </c>
      <c r="AE138" s="99" t="str">
        <f t="shared" si="37"/>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138" s="96" t="str">
        <f t="shared" si="38"/>
        <v>"C:\Program Files (x86)\AstroGrep\AstroGrep.exe" /spath="%USERPROFILE%\AppData\Local\Temp\OnboardLogs" /stypes="*4040*20160831*" /stext=" 02:.+((SYSTEM_STATE.+slice.+state.+changed )|(ment ac)|(system.+state.+changed )|(\|lc)|(penalty)|(\[timeout)|(PRM\|1\|D)|(kpr)|(kdp))" /e /r /s</v>
      </c>
      <c r="AG138" s="1" t="str">
        <f t="shared" si="39"/>
        <v>EC</v>
      </c>
      <c r="AH138" s="100" t="str">
        <f t="shared" si="40"/>
        <v>"%USERPROFILE%\Documents\GitHub\eaglep3\Utilities\RefineRTDCRunTimes.py" --tripid 223-30 --locoid 4040 --swversion DE.1.0.7.0 --startMP 204:435 --initTime 2016-08-30T19:23:54 --startdatetime 2016-08-30T19:30:19 --delay 1 --endMP 204:233291 --enddatetime 2016-08-30T20:05:28 --enforcementcount 0 &gt;&gt;C:\Users\stu\Documents\GitHub\eaglep3-reporting\EC\2016-08-30-refined-times.txt</v>
      </c>
      <c r="AI138" s="149" t="str">
        <f t="shared" si="41"/>
        <v>echo {"issue":{"subject":"","project_id":79,"tracker_id":40,"status_id":1,"priority_id":2,"assigned_to_id":23,"start_date":"2016-08-30","description":"","custom_fields":[{"id":1,"name":"Subdivision","value":"EC"},{"id":4,"name":"Milepost","value":"23.2856"},{"id":17,"name":"Train ID","value":"223-30"},{"id":16,"name":"Locomotive ID","value":"4040"},{"id":130,"name":"Impact","value":""},{"id":150,"name":"Time of Event (Mountain Time)","value":"20:05:28"},{"id":151,"name":"Denver Issue ID","value":""},{"id":178,"name":"Operational Impact","value":"Yes"},{"id":179,"name":"Denver Segment Assigned","value":""}]}} | curl -X POST -H "Content-Type: application/json" -H "X-Redmine-API-Key: d6333d4a04012a730768444271f8ca06482dae87" https://secure.xorail.net/redmine/issues.json --data @-</v>
      </c>
      <c r="AJ138" s="55"/>
      <c r="AK138" s="55"/>
      <c r="AL138" s="55"/>
    </row>
    <row r="139" spans="1:38" s="23" customFormat="1" x14ac:dyDescent="0.25">
      <c r="A139" s="39" t="s">
        <v>545</v>
      </c>
      <c r="B139" s="7">
        <v>4039</v>
      </c>
      <c r="C139" s="24" t="s">
        <v>113</v>
      </c>
      <c r="D139" s="24" t="s">
        <v>333</v>
      </c>
      <c r="E139" s="15">
        <v>42612.847650462965</v>
      </c>
      <c r="F139" s="15">
        <v>42612.8515625</v>
      </c>
      <c r="G139" s="7">
        <v>1</v>
      </c>
      <c r="H139" s="15" t="s">
        <v>186</v>
      </c>
      <c r="I139" s="15">
        <v>42612.877303240741</v>
      </c>
      <c r="J139" s="7">
        <v>0</v>
      </c>
      <c r="K139" s="132" t="str">
        <f t="shared" si="28"/>
        <v>4039/4040</v>
      </c>
      <c r="L139" s="24" t="str">
        <f>VLOOKUP(A139,'Trips&amp;Operators'!$C$1:$E$10000,3,FALSE)</f>
        <v>COOLAHAN</v>
      </c>
      <c r="M139" s="6">
        <f t="shared" si="29"/>
        <v>2.5740740740729962E-2</v>
      </c>
      <c r="N139" s="7">
        <f t="shared" si="48"/>
        <v>37.066666666651145</v>
      </c>
      <c r="O139" s="7"/>
      <c r="P139" s="7"/>
      <c r="Q139" s="25"/>
      <c r="R139" s="25"/>
      <c r="S139" s="37">
        <f t="shared" si="50"/>
        <v>1</v>
      </c>
      <c r="T139" s="52" t="str">
        <f t="shared" si="30"/>
        <v>Southbound</v>
      </c>
      <c r="U139" s="126">
        <f>IF(AG139="EC",COUNTIFS(Variables!$M$2:$M$19,IF(T139="NorthBound","&gt;=","&lt;=")&amp;Y139,Variables!$M$2:$M$19,IF(T139="NorthBound","&lt;=","&gt;=")&amp;Z139),COUNTIFS(Variables!$P$2:$P$19,IF(T139="NorthBound","&gt;=","&lt;=")&amp;Y139,Variables!$P$2:$P$19,IF(T139="NorthBound","&lt;=","&gt;=")&amp;Z139))</f>
        <v>12</v>
      </c>
      <c r="V139" s="106" t="str">
        <f t="shared" si="31"/>
        <v>https://search-rtdc-monitor-bjffxe2xuh6vdkpspy63sjmuny.us-east-1.es.amazonaws.com/_plugin/kibana/#/discover/Steve-Slow-Train-Analysis-(2080s-and-2083s)?_g=(refreshInterval:(display:Off,section:0,value:0),time:(from:'2016-08-30 19:20:37-0600',mode:absolute,to:'2016-08-30 22:03: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139" s="54" t="str">
        <f t="shared" si="32"/>
        <v>N</v>
      </c>
      <c r="X139" s="120">
        <f t="shared" si="49"/>
        <v>1</v>
      </c>
      <c r="Y139" s="69">
        <f t="shared" si="33"/>
        <v>23.298200000000001</v>
      </c>
      <c r="Z139" s="69">
        <f t="shared" si="34"/>
        <v>1.3899999999999999E-2</v>
      </c>
      <c r="AA139" s="69">
        <f t="shared" si="35"/>
        <v>23.284300000000002</v>
      </c>
      <c r="AB139" s="66" t="e">
        <f>VLOOKUP(A139,Enforcements!$C$7:$J$21,8,0)</f>
        <v>#N/A</v>
      </c>
      <c r="AC139" s="62" t="e">
        <f>VLOOKUP(A139,Enforcements!$C$7:$E$21,3,0)</f>
        <v>#N/A</v>
      </c>
      <c r="AD139" s="63" t="str">
        <f t="shared" si="36"/>
        <v>0224-30</v>
      </c>
      <c r="AE139" s="99" t="str">
        <f t="shared" si="37"/>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139" s="96" t="str">
        <f t="shared" si="38"/>
        <v>"C:\Program Files (x86)\AstroGrep\AstroGrep.exe" /spath="%USERPROFILE%\AppData\Local\Temp\OnboardLogs" /stypes="*4039*20160831*" /stext=" 03:.+((SYSTEM_STATE.+slice.+state.+changed )|(ment ac)|(system.+state.+changed )|(\|lc)|(penalty)|(\[timeout)|(PRM\|1\|D)|(kpr)|(kdp))" /e /r /s</v>
      </c>
      <c r="AG139" s="1" t="str">
        <f t="shared" si="39"/>
        <v>EC</v>
      </c>
      <c r="AH139" s="100" t="str">
        <f t="shared" si="40"/>
        <v>"%USERPROFILE%\Documents\GitHub\eaglep3\Utilities\RefineRTDCRunTimes.py" --tripid 224-30 --locoid 4039 --swversion DE.1.0.7.0 --startMP 204:232982 --initTime 2016-08-30T20:20:37 --startdatetime 2016-08-30T20:26:15 --delay 1 --endMP 204:139 --enddatetime 2016-08-30T21:03:19 --enforcementcount 0 &gt;&gt;C:\Users\stu\Documents\GitHub\eaglep3-reporting\EC\2016-08-30-refined-times.txt</v>
      </c>
      <c r="AI139" s="149" t="str">
        <f t="shared" si="41"/>
        <v>echo {"issue":{"subject":"","project_id":79,"tracker_id":40,"status_id":1,"priority_id":2,"assigned_to_id":23,"start_date":"2016-08-30","description":"","custom_fields":[{"id":1,"name":"Subdivision","value":"EC"},{"id":4,"name":"Milepost","value":"23.2843"},{"id":17,"name":"Train ID","value":"224-30"},{"id":16,"name":"Locomotive ID","value":"4039"},{"id":130,"name":"Impact","value":""},{"id":150,"name":"Time of Event (Mountain Time)","value":"21:03:19"},{"id":151,"name":"Denver Issue ID","value":""},{"id":178,"name":"Operational Impact","value":"Yes"},{"id":179,"name":"Denver Segment Assigned","value":""}]}} | curl -X POST -H "Content-Type: application/json" -H "X-Redmine-API-Key: d6333d4a04012a730768444271f8ca06482dae87" https://secure.xorail.net/redmine/issues.json --data @-</v>
      </c>
      <c r="AJ139" s="55"/>
      <c r="AK139" s="55"/>
      <c r="AL139" s="55"/>
    </row>
    <row r="140" spans="1:38" s="23" customFormat="1" x14ac:dyDescent="0.25">
      <c r="A140" s="39" t="s">
        <v>543</v>
      </c>
      <c r="B140" s="7">
        <v>4020</v>
      </c>
      <c r="C140" s="24" t="s">
        <v>113</v>
      </c>
      <c r="D140" s="24" t="s">
        <v>626</v>
      </c>
      <c r="E140" s="15">
        <v>42612.828472222223</v>
      </c>
      <c r="F140" s="15">
        <v>42612.833483796298</v>
      </c>
      <c r="G140" s="7">
        <v>1</v>
      </c>
      <c r="H140" s="15" t="s">
        <v>595</v>
      </c>
      <c r="I140" s="15">
        <v>42612.857824074075</v>
      </c>
      <c r="J140" s="7">
        <v>0</v>
      </c>
      <c r="K140" s="132" t="str">
        <f t="shared" si="28"/>
        <v>4019/4020</v>
      </c>
      <c r="L140" s="24" t="str">
        <f>VLOOKUP(A140,'Trips&amp;Operators'!$C$1:$E$10000,3,FALSE)</f>
        <v>YANAI</v>
      </c>
      <c r="M140" s="6">
        <f t="shared" si="29"/>
        <v>2.4340277777810115E-2</v>
      </c>
      <c r="N140" s="7">
        <f t="shared" si="48"/>
        <v>35.050000000046566</v>
      </c>
      <c r="O140" s="7"/>
      <c r="P140" s="7"/>
      <c r="Q140" s="25"/>
      <c r="R140" s="25"/>
      <c r="S140" s="37">
        <f t="shared" si="50"/>
        <v>1</v>
      </c>
      <c r="T140" s="52" t="str">
        <f t="shared" si="30"/>
        <v>NorthBound</v>
      </c>
      <c r="U140" s="126">
        <f>IF(AG140="EC",COUNTIFS(Variables!$M$2:$M$19,IF(T140="NorthBound","&gt;=","&lt;=")&amp;Y140,Variables!$M$2:$M$19,IF(T140="NorthBound","&lt;=","&gt;=")&amp;Z140),COUNTIFS(Variables!$P$2:$P$19,IF(T140="NorthBound","&gt;=","&lt;=")&amp;Y140,Variables!$P$2:$P$19,IF(T140="NorthBound","&lt;=","&gt;=")&amp;Z140))</f>
        <v>12</v>
      </c>
      <c r="V140" s="106" t="str">
        <f t="shared" si="31"/>
        <v>https://search-rtdc-monitor-bjffxe2xuh6vdkpspy63sjmuny.us-east-1.es.amazonaws.com/_plugin/kibana/#/discover/Steve-Slow-Train-Analysis-(2080s-and-2083s)?_g=(refreshInterval:(display:Off,section:0,value:0),time:(from:'2016-08-30 18:53:00-0600',mode:absolute,to:'2016-08-30 21: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40" s="54" t="str">
        <f t="shared" si="32"/>
        <v>N</v>
      </c>
      <c r="X140" s="120">
        <f t="shared" si="49"/>
        <v>1</v>
      </c>
      <c r="Y140" s="69">
        <f t="shared" si="33"/>
        <v>4.8000000000000001E-2</v>
      </c>
      <c r="Z140" s="69">
        <f t="shared" si="34"/>
        <v>23.3309</v>
      </c>
      <c r="AA140" s="69">
        <f t="shared" si="35"/>
        <v>23.282900000000001</v>
      </c>
      <c r="AB140" s="66" t="e">
        <f>VLOOKUP(A140,Enforcements!$C$7:$J$21,8,0)</f>
        <v>#N/A</v>
      </c>
      <c r="AC140" s="62" t="e">
        <f>VLOOKUP(A140,Enforcements!$C$7:$E$21,3,0)</f>
        <v>#N/A</v>
      </c>
      <c r="AD140" s="63" t="str">
        <f t="shared" si="36"/>
        <v>0225-30</v>
      </c>
      <c r="AE140" s="99" t="str">
        <f t="shared" si="37"/>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40" s="96" t="str">
        <f t="shared" si="38"/>
        <v>"C:\Program Files (x86)\AstroGrep\AstroGrep.exe" /spath="%USERPROFILE%\AppData\Local\Temp\OnboardLogs" /stypes="*4020*20160831*" /stext=" 02:.+((SYSTEM_STATE.+slice.+state.+changed )|(ment ac)|(system.+state.+changed )|(\|lc)|(penalty)|(\[timeout)|(PRM\|1\|D)|(kpr)|(kdp))" /e /r /s</v>
      </c>
      <c r="AG140" s="1" t="str">
        <f t="shared" si="39"/>
        <v>EC</v>
      </c>
      <c r="AH140" s="100" t="str">
        <f t="shared" si="40"/>
        <v>"%USERPROFILE%\Documents\GitHub\eaglep3\Utilities\RefineRTDCRunTimes.py" --tripid 225-30 --locoid 4020 --swversion DE.1.0.7.0 --startMP 204:480 --initTime 2016-08-30T19:53:00 --startdatetime 2016-08-30T20:00:13 --delay 1 --endMP 204:233309 --enddatetime 2016-08-30T20:35:16 --enforcementcount 0 &gt;&gt;C:\Users\stu\Documents\GitHub\eaglep3-reporting\EC\2016-08-30-refined-times.txt</v>
      </c>
      <c r="AI140" s="149" t="str">
        <f t="shared" si="41"/>
        <v>echo {"issue":{"subject":"","project_id":79,"tracker_id":40,"status_id":1,"priority_id":2,"assigned_to_id":23,"start_date":"2016-08-30","description":"","custom_fields":[{"id":1,"name":"Subdivision","value":"EC"},{"id":4,"name":"Milepost","value":"23.2829"},{"id":17,"name":"Train ID","value":"225-30"},{"id":16,"name":"Locomotive ID","value":"4020"},{"id":130,"name":"Impact","value":""},{"id":150,"name":"Time of Event (Mountain Time)","value":"20:35:16"},{"id":151,"name":"Denver Issue ID","value":""},{"id":178,"name":"Operational Impact","value":"Yes"},{"id":179,"name":"Denver Segment Assigned","value":""}]}} | curl -X POST -H "Content-Type: application/json" -H "X-Redmine-API-Key: d6333d4a04012a730768444271f8ca06482dae87" https://secure.xorail.net/redmine/issues.json --data @-</v>
      </c>
      <c r="AJ140" s="55"/>
      <c r="AK140" s="55"/>
      <c r="AL140" s="55"/>
    </row>
    <row r="141" spans="1:38" s="23" customFormat="1" x14ac:dyDescent="0.25">
      <c r="A141" s="39" t="s">
        <v>549</v>
      </c>
      <c r="B141" s="7">
        <v>4019</v>
      </c>
      <c r="C141" s="24" t="s">
        <v>113</v>
      </c>
      <c r="D141" s="24" t="s">
        <v>324</v>
      </c>
      <c r="E141" s="15">
        <v>42612.867581018516</v>
      </c>
      <c r="F141" s="15">
        <v>42612.872430555559</v>
      </c>
      <c r="G141" s="7">
        <v>1</v>
      </c>
      <c r="H141" s="15" t="s">
        <v>152</v>
      </c>
      <c r="I141" s="15">
        <v>42612.898958333331</v>
      </c>
      <c r="J141" s="7">
        <v>0</v>
      </c>
      <c r="K141" s="132" t="str">
        <f t="shared" ref="K141:K204" si="51">IF(ISEVEN(B141),(B141-1)&amp;"/"&amp;B141,B141&amp;"/"&amp;(B141+1))</f>
        <v>4019/4020</v>
      </c>
      <c r="L141" s="24" t="str">
        <f>VLOOKUP(A141,'Trips&amp;Operators'!$C$1:$E$10000,3,FALSE)</f>
        <v>YANAI</v>
      </c>
      <c r="M141" s="6">
        <f t="shared" ref="M141:M204" si="52">I141-F141</f>
        <v>2.6527777772571426E-2</v>
      </c>
      <c r="N141" s="7">
        <f t="shared" si="48"/>
        <v>38.199999992502853</v>
      </c>
      <c r="O141" s="7"/>
      <c r="P141" s="7"/>
      <c r="Q141" s="25"/>
      <c r="R141" s="25"/>
      <c r="S141" s="37">
        <f t="shared" si="50"/>
        <v>1</v>
      </c>
      <c r="T141" s="52" t="str">
        <f t="shared" ref="T141:T204" si="53">IF(ISEVEN(LEFT(AD141,4)),"Southbound","NorthBound")</f>
        <v>Southbound</v>
      </c>
      <c r="U141" s="126">
        <f>IF(AG141="EC",COUNTIFS(Variables!$M$2:$M$19,IF(T141="NorthBound","&gt;=","&lt;=")&amp;Y141,Variables!$M$2:$M$19,IF(T141="NorthBound","&lt;=","&gt;=")&amp;Z141),COUNTIFS(Variables!$P$2:$P$19,IF(T141="NorthBound","&gt;=","&lt;=")&amp;Y141,Variables!$P$2:$P$19,IF(T141="NorthBound","&lt;=","&gt;=")&amp;Z141))</f>
        <v>12</v>
      </c>
      <c r="V141" s="106" t="str">
        <f t="shared" ref="V141:V204" si="54">"https://search-rtdc-monitor-bjffxe2xuh6vdkpspy63sjmuny.us-east-1.es.amazonaws.com/_plugin/kibana/#/discover/Steve-Slow-Train-Analysis-(2080s-and-2083s)?_g=(refreshInterval:(display:Off,section:0,value:0),time:(from:'"&amp;TEXT(E141-1/24,"yyyy-MM-DD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141&amp;"%22')),sort:!(Time,asc))"</f>
        <v>https://search-rtdc-monitor-bjffxe2xuh6vdkpspy63sjmuny.us-east-1.es.amazonaws.com/_plugin/kibana/#/discover/Steve-Slow-Train-Analysis-(2080s-and-2083s)?_g=(refreshInterval:(display:Off,section:0,value:0),time:(from:'2016-08-30 19:49:19-0600',mode:absolute,to:'2016-08-30 22:34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41" s="54" t="str">
        <f t="shared" ref="W141:W204" si="55">IF(AA141&lt;IF(AG141="EC",23,5.65),"Y","N")</f>
        <v>N</v>
      </c>
      <c r="X141" s="120">
        <f t="shared" si="49"/>
        <v>1</v>
      </c>
      <c r="Y141" s="69">
        <f t="shared" ref="Y141:Y204" si="56">RIGHT(D141,LEN(D141)-4)/10000</f>
        <v>23.299600000000002</v>
      </c>
      <c r="Z141" s="69">
        <f t="shared" ref="Z141:Z204" si="57">RIGHT(H141,LEN(H141)-4)/10000</f>
        <v>1.54E-2</v>
      </c>
      <c r="AA141" s="69">
        <f t="shared" ref="AA141:AA204" si="58">ABS(Z141-Y141)</f>
        <v>23.284200000000002</v>
      </c>
      <c r="AB141" s="66" t="e">
        <f>VLOOKUP(A141,Enforcements!$C$7:$J$21,8,0)</f>
        <v>#N/A</v>
      </c>
      <c r="AC141" s="62" t="e">
        <f>VLOOKUP(A141,Enforcements!$C$7:$E$21,3,0)</f>
        <v>#N/A</v>
      </c>
      <c r="AD141" s="63" t="str">
        <f t="shared" ref="AD141:AD204" si="59">IF(LEN(A141)=6,"0"&amp;A141,A141)</f>
        <v>0226-30</v>
      </c>
      <c r="AE141" s="99" t="str">
        <f t="shared" ref="AE141:AE204" si="60">"aws s3 cp "&amp;s3_bucket&amp;"/RTDC"&amp;B141&amp;"/"&amp;TEXT(F141,"YYYY-MM-DD")&amp;"/ "&amp;search_path&amp;"\RTDC"&amp;B141&amp;"\"&amp;TEXT(F141,"YYYY-MM-DD")&amp;" --recursive &amp; """&amp;walkandungz&amp;""" "&amp;search_path&amp;"\RTDC"&amp;B141&amp;"\"&amp;TEXT(F141,"YYYY-MM-DD")
&amp;" &amp; "&amp;"aws s3 cp "&amp;s3_bucket&amp;"/RTDC"&amp;B141&amp;"/"&amp;TEXT(F141+1,"YYYY-MM-DD")&amp;"/ "&amp;search_path&amp;"\RTDC"&amp;B141&amp;"\"&amp;TEXT(F141+1,"YYYY-MM-DD")&amp;" --recursive &amp; """&amp;walkandungz&amp;""" "&amp;search_path&amp;"\RTDC"&amp;B141&amp;"\"&amp;TEXT(F141+1,"YYYY-MM-DD")</f>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141" s="96" t="str">
        <f t="shared" ref="AF141:AF204" si="61">astrogrep_path&amp;" /spath="&amp;search_path&amp;" /stypes=""*"&amp;B141&amp;"*"&amp;TEXT(I141-utc_offset/24,"YYYYMMDD")&amp;"*"" /stext="" "&amp;TEXT(I141-utc_offset/24,"HH")&amp;search_regexp&amp;""" /e /r /s"</f>
        <v>"C:\Program Files (x86)\AstroGrep\AstroGrep.exe" /spath="%USERPROFILE%\AppData\Local\Temp\OnboardLogs" /stypes="*4019*20160831*" /stext=" 03:.+((SYSTEM_STATE.+slice.+state.+changed )|(ment ac)|(system.+state.+changed )|(\|lc)|(penalty)|(\[timeout)|(PRM\|1\|D)|(kpr)|(kdp))" /e /r /s</v>
      </c>
      <c r="AG141" s="1" t="str">
        <f t="shared" ref="AG141:AG204" si="62">IFERROR(IF(VALUE(LEFT(AD141,2))&lt;=2,"EC",IF(OR(VALUE(LEFT(AD141,2))=8,VALUE(LEFT(AD141,2))=18),"NW","Other")),"Other")</f>
        <v>EC</v>
      </c>
      <c r="AH141" s="100" t="str">
        <f t="shared" si="40"/>
        <v>"%USERPROFILE%\Documents\GitHub\eaglep3\Utilities\RefineRTDCRunTimes.py" --tripid 226-30 --locoid 4019 --swversion DE.1.0.7.0 --startMP 204:232996 --initTime 2016-08-30T20:49:19 --startdatetime 2016-08-30T20:56:18 --delay 1 --endMP 204:154 --enddatetime 2016-08-30T21:34:30 --enforcementcount 0 &gt;&gt;C:\Users\stu\Documents\GitHub\eaglep3-reporting\EC\2016-08-30-refined-times.txt</v>
      </c>
      <c r="AI141" s="149" t="str">
        <f t="shared" si="41"/>
        <v>echo {"issue":{"subject":"","project_id":79,"tracker_id":40,"status_id":1,"priority_id":2,"assigned_to_id":23,"start_date":"2016-08-30","description":"","custom_fields":[{"id":1,"name":"Subdivision","value":"EC"},{"id":4,"name":"Milepost","value":"23.2842"},{"id":17,"name":"Train ID","value":"226-30"},{"id":16,"name":"Locomotive ID","value":"4019"},{"id":130,"name":"Impact","value":""},{"id":150,"name":"Time of Event (Mountain Time)","value":"21:34:30"},{"id":151,"name":"Denver Issue ID","value":""},{"id":178,"name":"Operational Impact","value":"Yes"},{"id":179,"name":"Denver Segment Assigned","value":""}]}} | curl -X POST -H "Content-Type: application/json" -H "X-Redmine-API-Key: d6333d4a04012a730768444271f8ca06482dae87" https://secure.xorail.net/redmine/issues.json --data @-</v>
      </c>
      <c r="AJ141" s="55"/>
      <c r="AK141" s="55"/>
      <c r="AL141" s="55"/>
    </row>
    <row r="142" spans="1:38" x14ac:dyDescent="0.25">
      <c r="A142" s="39" t="s">
        <v>546</v>
      </c>
      <c r="B142" s="7">
        <v>4018</v>
      </c>
      <c r="C142" s="24" t="s">
        <v>113</v>
      </c>
      <c r="D142" s="24" t="s">
        <v>190</v>
      </c>
      <c r="E142" s="15">
        <v>42612.852951388886</v>
      </c>
      <c r="F142" s="15">
        <v>42612.854490740741</v>
      </c>
      <c r="G142" s="7">
        <v>1</v>
      </c>
      <c r="H142" s="15" t="s">
        <v>281</v>
      </c>
      <c r="I142" s="15">
        <v>42612.880983796298</v>
      </c>
      <c r="J142" s="7">
        <v>0</v>
      </c>
      <c r="K142" s="132" t="str">
        <f t="shared" si="51"/>
        <v>4017/4018</v>
      </c>
      <c r="L142" s="24" t="str">
        <f>VLOOKUP(A142,'Trips&amp;Operators'!$C$1:$E$10000,3,FALSE)</f>
        <v>CHANDLER</v>
      </c>
      <c r="M142" s="6">
        <f t="shared" si="52"/>
        <v>2.6493055556784384E-2</v>
      </c>
      <c r="N142" s="7">
        <f t="shared" si="48"/>
        <v>38.150000001769513</v>
      </c>
      <c r="O142" s="7"/>
      <c r="P142" s="7"/>
      <c r="Q142" s="25"/>
      <c r="R142" s="25"/>
      <c r="S142" s="37">
        <f t="shared" si="50"/>
        <v>1</v>
      </c>
      <c r="T142" s="52" t="str">
        <f t="shared" si="53"/>
        <v>NorthBound</v>
      </c>
      <c r="U142" s="126">
        <f>IF(AG142="EC",COUNTIFS(Variables!$M$2:$M$19,IF(T142="NorthBound","&gt;=","&lt;=")&amp;Y142,Variables!$M$2:$M$19,IF(T142="NorthBound","&lt;=","&gt;=")&amp;Z142),COUNTIFS(Variables!$P$2:$P$19,IF(T142="NorthBound","&gt;=","&lt;=")&amp;Y142,Variables!$P$2:$P$19,IF(T142="NorthBound","&lt;=","&gt;=")&amp;Z142))</f>
        <v>12</v>
      </c>
      <c r="V142" s="106" t="str">
        <f t="shared" si="54"/>
        <v>https://search-rtdc-monitor-bjffxe2xuh6vdkpspy63sjmuny.us-east-1.es.amazonaws.com/_plugin/kibana/#/discover/Steve-Slow-Train-Analysis-(2080s-and-2083s)?_g=(refreshInterval:(display:Off,section:0,value:0),time:(from:'2016-08-30 19:28:15-0600',mode:absolute,to:'2016-08-30 22: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42" s="54" t="str">
        <f t="shared" si="55"/>
        <v>N</v>
      </c>
      <c r="X142" s="120">
        <f t="shared" si="49"/>
        <v>1</v>
      </c>
      <c r="Y142" s="69">
        <f t="shared" si="56"/>
        <v>4.6399999999999997E-2</v>
      </c>
      <c r="Z142" s="69">
        <f t="shared" si="57"/>
        <v>23.328900000000001</v>
      </c>
      <c r="AA142" s="69">
        <f t="shared" si="58"/>
        <v>23.282500000000002</v>
      </c>
      <c r="AB142" s="66" t="e">
        <f>VLOOKUP(A142,Enforcements!$C$7:$J$21,8,0)</f>
        <v>#N/A</v>
      </c>
      <c r="AC142" s="62" t="e">
        <f>VLOOKUP(A142,Enforcements!$C$7:$E$21,3,0)</f>
        <v>#N/A</v>
      </c>
      <c r="AD142" s="63" t="str">
        <f t="shared" si="59"/>
        <v>0227-30</v>
      </c>
      <c r="AE142" s="99" t="str">
        <f t="shared" si="6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42" s="96" t="str">
        <f t="shared" si="61"/>
        <v>"C:\Program Files (x86)\AstroGrep\AstroGrep.exe" /spath="%USERPROFILE%\AppData\Local\Temp\OnboardLogs" /stypes="*4018*20160831*" /stext=" 03:.+((SYSTEM_STATE.+slice.+state.+changed )|(ment ac)|(system.+state.+changed )|(\|lc)|(penalty)|(\[timeout)|(PRM\|1\|D)|(kpr)|(kdp))" /e /r /s</v>
      </c>
      <c r="AG142" s="1" t="str">
        <f t="shared" si="62"/>
        <v>EC</v>
      </c>
      <c r="AH142" s="100" t="str">
        <f t="shared" si="40"/>
        <v>"%USERPROFILE%\Documents\GitHub\eaglep3\Utilities\RefineRTDCRunTimes.py" --tripid 227-30 --locoid 4018 --swversion DE.1.0.7.0 --startMP 204:464 --initTime 2016-08-30T20:28:15 --startdatetime 2016-08-30T20:30:28 --delay 1 --endMP 204:233289 --enddatetime 2016-08-30T21:08:37 --enforcementcount 0 &gt;&gt;C:\Users\stu\Documents\GitHub\eaglep3-reporting\EC\2016-08-30-refined-times.txt</v>
      </c>
      <c r="AI142" s="149" t="str">
        <f t="shared" si="41"/>
        <v>echo {"issue":{"subject":"","project_id":79,"tracker_id":40,"status_id":1,"priority_id":2,"assigned_to_id":23,"start_date":"2016-08-30","description":"","custom_fields":[{"id":1,"name":"Subdivision","value":"EC"},{"id":4,"name":"Milepost","value":"23.2825"},{"id":17,"name":"Train ID","value":"227-30"},{"id":16,"name":"Locomotive ID","value":"4018"},{"id":130,"name":"Impact","value":""},{"id":150,"name":"Time of Event (Mountain Time)","value":"21:08:37"},{"id":151,"name":"Denver Issue ID","value":""},{"id":178,"name":"Operational Impact","value":"Yes"},{"id":179,"name":"Denver Segment Assigned","value":""}]}} | curl -X POST -H "Content-Type: application/json" -H "X-Redmine-API-Key: d6333d4a04012a730768444271f8ca06482dae87" https://secure.xorail.net/redmine/issues.json --data @-</v>
      </c>
      <c r="AJ142" s="55"/>
      <c r="AK142" s="55"/>
      <c r="AL142" s="55"/>
    </row>
    <row r="143" spans="1:38" x14ac:dyDescent="0.25">
      <c r="A143" s="39" t="s">
        <v>551</v>
      </c>
      <c r="B143" s="7">
        <v>4017</v>
      </c>
      <c r="C143" s="24" t="s">
        <v>113</v>
      </c>
      <c r="D143" s="24" t="s">
        <v>322</v>
      </c>
      <c r="E143" s="15">
        <v>42612.891296296293</v>
      </c>
      <c r="F143" s="15">
        <v>42612.893252314818</v>
      </c>
      <c r="G143" s="7">
        <v>0</v>
      </c>
      <c r="H143" s="15" t="s">
        <v>640</v>
      </c>
      <c r="I143" s="15">
        <v>42612.922766203701</v>
      </c>
      <c r="J143" s="7">
        <v>0</v>
      </c>
      <c r="K143" s="132" t="str">
        <f t="shared" si="51"/>
        <v>4017/4018</v>
      </c>
      <c r="L143" s="24" t="str">
        <f>VLOOKUP(A143,'Trips&amp;Operators'!$C$1:$E$10000,3,FALSE)</f>
        <v>CHANDLER</v>
      </c>
      <c r="M143" s="6">
        <f t="shared" si="52"/>
        <v>2.9513888883229811E-2</v>
      </c>
      <c r="N143" s="7">
        <f t="shared" si="48"/>
        <v>42.499999991850927</v>
      </c>
      <c r="O143" s="7"/>
      <c r="P143" s="7"/>
      <c r="Q143" s="25"/>
      <c r="R143" s="25"/>
      <c r="S143" s="37">
        <f t="shared" si="50"/>
        <v>1</v>
      </c>
      <c r="T143" s="52" t="str">
        <f t="shared" si="53"/>
        <v>Southbound</v>
      </c>
      <c r="U143" s="126">
        <f>IF(AG143="EC",COUNTIFS(Variables!$M$2:$M$19,IF(T143="NorthBound","&gt;=","&lt;=")&amp;Y143,Variables!$M$2:$M$19,IF(T143="NorthBound","&lt;=","&gt;=")&amp;Z143),COUNTIFS(Variables!$P$2:$P$19,IF(T143="NorthBound","&gt;=","&lt;=")&amp;Y143,Variables!$P$2:$P$19,IF(T143="NorthBound","&lt;=","&gt;=")&amp;Z143))</f>
        <v>12</v>
      </c>
      <c r="V143" s="106" t="str">
        <f t="shared" si="54"/>
        <v>https://search-rtdc-monitor-bjffxe2xuh6vdkpspy63sjmuny.us-east-1.es.amazonaws.com/_plugin/kibana/#/discover/Steve-Slow-Train-Analysis-(2080s-and-2083s)?_g=(refreshInterval:(display:Off,section:0,value:0),time:(from:'2016-08-30 20:23:28-0600',mode:absolute,to:'2016-08-30 23:08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43" s="54" t="str">
        <f t="shared" si="55"/>
        <v>N</v>
      </c>
      <c r="X143" s="120">
        <f t="shared" si="49"/>
        <v>1</v>
      </c>
      <c r="Y143" s="69">
        <f t="shared" si="56"/>
        <v>23.296500000000002</v>
      </c>
      <c r="Z143" s="69">
        <f t="shared" si="57"/>
        <v>1.7000000000000001E-2</v>
      </c>
      <c r="AA143" s="69">
        <f t="shared" si="58"/>
        <v>23.279500000000002</v>
      </c>
      <c r="AB143" s="66" t="e">
        <f>VLOOKUP(A143,Enforcements!$C$7:$J$21,8,0)</f>
        <v>#N/A</v>
      </c>
      <c r="AC143" s="62" t="e">
        <f>VLOOKUP(A143,Enforcements!$C$7:$E$21,3,0)</f>
        <v>#N/A</v>
      </c>
      <c r="AD143" s="63" t="str">
        <f t="shared" si="59"/>
        <v>0228-30</v>
      </c>
      <c r="AE143" s="99" t="str">
        <f t="shared" si="6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143" s="96" t="str">
        <f t="shared" si="61"/>
        <v>"C:\Program Files (x86)\AstroGrep\AstroGrep.exe" /spath="%USERPROFILE%\AppData\Local\Temp\OnboardLogs" /stypes="*4017*20160831*" /stext=" 04:.+((SYSTEM_STATE.+slice.+state.+changed )|(ment ac)|(system.+state.+changed )|(\|lc)|(penalty)|(\[timeout)|(PRM\|1\|D)|(kpr)|(kdp))" /e /r /s</v>
      </c>
      <c r="AG143" s="1" t="str">
        <f t="shared" si="62"/>
        <v>EC</v>
      </c>
      <c r="AH143" s="100" t="str">
        <f t="shared" si="40"/>
        <v>"%USERPROFILE%\Documents\GitHub\eaglep3\Utilities\RefineRTDCRunTimes.py" --tripid 228-30 --locoid 4017 --swversion DE.1.0.7.0 --startMP 204:232965 --initTime 2016-08-30T21:23:28 --startdatetime 2016-08-30T21:26:17 --delay 0 --endMP 204:170 --enddatetime 2016-08-30T22:08:47 --enforcementcount 0 &gt;&gt;C:\Users\stu\Documents\GitHub\eaglep3-reporting\EC\2016-08-30-refined-times.txt</v>
      </c>
      <c r="AI143" s="149" t="str">
        <f t="shared" si="41"/>
        <v>echo {"issue":{"subject":"","project_id":79,"tracker_id":40,"status_id":1,"priority_id":2,"assigned_to_id":23,"start_date":"2016-08-30","description":"","custom_fields":[{"id":1,"name":"Subdivision","value":"EC"},{"id":4,"name":"Milepost","value":"23.2795"},{"id":17,"name":"Train ID","value":"228-30"},{"id":16,"name":"Locomotive ID","value":"4017"},{"id":130,"name":"Impact","value":""},{"id":150,"name":"Time of Event (Mountain Time)","value":"22:08:47"},{"id":151,"name":"Denver Issue ID","value":""},{"id":178,"name":"Operational Impact","value":"Yes"},{"id":179,"name":"Denver Segment Assigned","value":""}]}} | curl -X POST -H "Content-Type: application/json" -H "X-Redmine-API-Key: d6333d4a04012a730768444271f8ca06482dae87" https://secure.xorail.net/redmine/issues.json --data @-</v>
      </c>
      <c r="AJ143" s="55"/>
      <c r="AK143" s="55"/>
      <c r="AL143" s="55"/>
    </row>
    <row r="144" spans="1:38" x14ac:dyDescent="0.25">
      <c r="A144" s="39" t="s">
        <v>548</v>
      </c>
      <c r="B144" s="7">
        <v>4011</v>
      </c>
      <c r="C144" s="24" t="s">
        <v>113</v>
      </c>
      <c r="D144" s="24" t="s">
        <v>641</v>
      </c>
      <c r="E144" s="15">
        <v>42612.863252314812</v>
      </c>
      <c r="F144" s="15">
        <v>42612.875243055554</v>
      </c>
      <c r="G144" s="7">
        <v>2</v>
      </c>
      <c r="H144" s="15" t="s">
        <v>592</v>
      </c>
      <c r="I144" s="15">
        <v>42612.901979166665</v>
      </c>
      <c r="J144" s="7">
        <v>0</v>
      </c>
      <c r="K144" s="132" t="str">
        <f t="shared" si="51"/>
        <v>4011/4012</v>
      </c>
      <c r="L144" s="24" t="str">
        <f>VLOOKUP(A144,'Trips&amp;Operators'!$C$1:$E$10000,3,FALSE)</f>
        <v>HAITHCOX</v>
      </c>
      <c r="M144" s="6">
        <f t="shared" si="52"/>
        <v>2.6736111110949423E-2</v>
      </c>
      <c r="N144" s="7">
        <f t="shared" si="48"/>
        <v>38.499999999767169</v>
      </c>
      <c r="O144" s="7"/>
      <c r="P144" s="7"/>
      <c r="Q144" s="25"/>
      <c r="R144" s="25"/>
      <c r="S144" s="37">
        <f t="shared" si="50"/>
        <v>1</v>
      </c>
      <c r="T144" s="52" t="str">
        <f t="shared" si="53"/>
        <v>NorthBound</v>
      </c>
      <c r="U144" s="126">
        <f>IF(AG144="EC",COUNTIFS(Variables!$M$2:$M$19,IF(T144="NorthBound","&gt;=","&lt;=")&amp;Y144,Variables!$M$2:$M$19,IF(T144="NorthBound","&lt;=","&gt;=")&amp;Z144),COUNTIFS(Variables!$P$2:$P$19,IF(T144="NorthBound","&gt;=","&lt;=")&amp;Y144,Variables!$P$2:$P$19,IF(T144="NorthBound","&lt;=","&gt;=")&amp;Z144))</f>
        <v>12</v>
      </c>
      <c r="V144" s="106" t="str">
        <f t="shared" si="54"/>
        <v>https://search-rtdc-monitor-bjffxe2xuh6vdkpspy63sjmuny.us-east-1.es.amazonaws.com/_plugin/kibana/#/discover/Steve-Slow-Train-Analysis-(2080s-and-2083s)?_g=(refreshInterval:(display:Off,section:0,value:0),time:(from:'2016-08-30 19:43:05-0600',mode:absolute,to:'2016-08-30 22:38: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44" s="54" t="str">
        <f t="shared" si="55"/>
        <v>N</v>
      </c>
      <c r="X144" s="120">
        <f t="shared" si="49"/>
        <v>1</v>
      </c>
      <c r="Y144" s="69">
        <f t="shared" si="56"/>
        <v>5.33E-2</v>
      </c>
      <c r="Z144" s="69">
        <f t="shared" si="57"/>
        <v>23.333100000000002</v>
      </c>
      <c r="AA144" s="69">
        <f t="shared" si="58"/>
        <v>23.279800000000002</v>
      </c>
      <c r="AB144" s="66" t="e">
        <f>VLOOKUP(A144,Enforcements!$C$7:$J$21,8,0)</f>
        <v>#N/A</v>
      </c>
      <c r="AC144" s="62" t="e">
        <f>VLOOKUP(A144,Enforcements!$C$7:$E$21,3,0)</f>
        <v>#N/A</v>
      </c>
      <c r="AD144" s="63" t="str">
        <f t="shared" si="59"/>
        <v>0229-30</v>
      </c>
      <c r="AE144" s="99" t="str">
        <f t="shared" si="6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44" s="96" t="str">
        <f t="shared" si="61"/>
        <v>"C:\Program Files (x86)\AstroGrep\AstroGrep.exe" /spath="%USERPROFILE%\AppData\Local\Temp\OnboardLogs" /stypes="*4011*20160831*" /stext=" 03:.+((SYSTEM_STATE.+slice.+state.+changed )|(ment ac)|(system.+state.+changed )|(\|lc)|(penalty)|(\[timeout)|(PRM\|1\|D)|(kpr)|(kdp))" /e /r /s</v>
      </c>
      <c r="AG144" s="1" t="str">
        <f t="shared" si="62"/>
        <v>EC</v>
      </c>
      <c r="AH144" s="100" t="str">
        <f t="shared" ref="AH144:AH207" si="63">refinertdcruntimes&amp;" --tripid "&amp;A144&amp;" --locoid "&amp;B144&amp;" --swversion "&amp;C144&amp;" --startMP "&amp;D144&amp;" --initTime "&amp;TEXT(E144,"yyyy-mm-ddTHH:MM:SS")&amp;" --startdatetime "&amp;TEXT(F144,"yyyy-mm-ddTHH:MM:SS")&amp;" --delay "&amp;G144&amp;" --endMP "&amp;H144&amp;" --enddatetime "&amp;TEXT(I144,"yyyy-mm-ddTHH:MM:SS")&amp;" --enforcementcount "&amp;J144&amp;IF(outputrefinedruntimes," &gt;&gt;"&amp;RefinedRTDCRunTimesOutputFile,"")</f>
        <v>"%USERPROFILE%\Documents\GitHub\eaglep3\Utilities\RefineRTDCRunTimes.py" --tripid 229-30 --locoid 4011 --swversion DE.1.0.7.0 --startMP 204:533 --initTime 2016-08-30T20:43:05 --startdatetime 2016-08-30T21:00:21 --delay 2 --endMP 204:233331 --enddatetime 2016-08-30T21:38:51 --enforcementcount 0 &gt;&gt;C:\Users\stu\Documents\GitHub\eaglep3-reporting\EC\2016-08-30-refined-times.txt</v>
      </c>
      <c r="AI144" s="149" t="str">
        <f t="shared" ref="AI144:AI207" si="64">"echo {""issue"":{""subject"":"""&amp;R144&amp;""",""project_id"":79,""tracker_id"":40,""status_id"":"&amp;redmine_status&amp;",""priority_id"":"&amp;redmine_priority&amp;",""assigned_to_id"":"&amp;redmine_assignee&amp;",""start_date"":"""&amp;TEXT(I144,"YYYY-mm-dd")&amp;""",""description"":"""&amp;AJ144&amp;""",""custom_fields"":[{""id"":1,""name"":""Subdivision"",""value"":"""&amp;AG144&amp;"""},{""id"":4,""name"":""Milepost"",""value"":"""&amp;AA144&amp;"""},{""id"":17,""name"":""Train ID"",""value"":"""&amp;A144&amp;"""},{""id"":16,""name"":""Locomotive ID"",""value"":"""&amp;B144&amp;"""},{""id"":130,""name"":""Impact"",""value"":"""&amp;AK144&amp;"""},{""id"":150,""name"":""Time of Event (Mountain Time)"",""value"":"""&amp;TEXT(I144,"hh:mm:ss")&amp;"""},{""id"":151,""name"":""Denver Issue ID"",""value"":"""&amp;"""},{""id"":178,""name"":""Operational Impact"",""value"":"""&amp;redmine_op_impact&amp;"""},{""id"":179,""name"":""Denver Segment Assigned"",""value"":"""&amp;AL144&amp;"""}]}}"&amp;" | curl -X POST -H ""Content-Type: application/json"" -H ""X-Redmine-API-Key: "&amp;redm_api_key&amp;""" "&amp;redm_url&amp;" --data @-"</f>
        <v>echo {"issue":{"subject":"","project_id":79,"tracker_id":40,"status_id":1,"priority_id":2,"assigned_to_id":23,"start_date":"2016-08-30","description":"","custom_fields":[{"id":1,"name":"Subdivision","value":"EC"},{"id":4,"name":"Milepost","value":"23.2798"},{"id":17,"name":"Train ID","value":"229-30"},{"id":16,"name":"Locomotive ID","value":"4011"},{"id":130,"name":"Impact","value":""},{"id":150,"name":"Time of Event (Mountain Time)","value":"21:38:51"},{"id":151,"name":"Denver Issue ID","value":""},{"id":178,"name":"Operational Impact","value":"Yes"},{"id":179,"name":"Denver Segment Assigned","value":""}]}} | curl -X POST -H "Content-Type: application/json" -H "X-Redmine-API-Key: d6333d4a04012a730768444271f8ca06482dae87" https://secure.xorail.net/redmine/issues.json --data @-</v>
      </c>
      <c r="AJ144" s="55"/>
      <c r="AK144" s="55"/>
      <c r="AL144" s="55"/>
    </row>
    <row r="145" spans="1:38" x14ac:dyDescent="0.25">
      <c r="A145" s="39" t="s">
        <v>386</v>
      </c>
      <c r="B145" s="7">
        <v>4012</v>
      </c>
      <c r="C145" s="24" t="s">
        <v>113</v>
      </c>
      <c r="D145" s="24" t="s">
        <v>294</v>
      </c>
      <c r="E145" s="15">
        <v>42612.911296296297</v>
      </c>
      <c r="F145" s="15">
        <v>42612.914143518516</v>
      </c>
      <c r="G145" s="7">
        <v>1</v>
      </c>
      <c r="H145" s="15" t="s">
        <v>642</v>
      </c>
      <c r="I145" s="15">
        <v>42612.943171296298</v>
      </c>
      <c r="J145" s="7">
        <v>0</v>
      </c>
      <c r="K145" s="132" t="str">
        <f t="shared" si="51"/>
        <v>4011/4012</v>
      </c>
      <c r="L145" s="24" t="str">
        <f>VLOOKUP(A145,'Trips&amp;Operators'!$C$1:$E$10000,3,FALSE)</f>
        <v>HAITHCOX</v>
      </c>
      <c r="M145" s="6">
        <f t="shared" si="52"/>
        <v>2.902777778217569E-2</v>
      </c>
      <c r="N145" s="7">
        <f t="shared" si="48"/>
        <v>41.800000006332994</v>
      </c>
      <c r="O145" s="7"/>
      <c r="P145" s="7"/>
      <c r="Q145" s="25"/>
      <c r="R145" s="25"/>
      <c r="S145" s="37">
        <f t="shared" si="50"/>
        <v>1</v>
      </c>
      <c r="T145" s="52" t="str">
        <f t="shared" si="53"/>
        <v>Southbound</v>
      </c>
      <c r="U145" s="126">
        <f>IF(AG145="EC",COUNTIFS(Variables!$M$2:$M$19,IF(T145="NorthBound","&gt;=","&lt;=")&amp;Y145,Variables!$M$2:$M$19,IF(T145="NorthBound","&lt;=","&gt;=")&amp;Z145),COUNTIFS(Variables!$P$2:$P$19,IF(T145="NorthBound","&gt;=","&lt;=")&amp;Y145,Variables!$P$2:$P$19,IF(T145="NorthBound","&lt;=","&gt;=")&amp;Z145))</f>
        <v>12</v>
      </c>
      <c r="V145" s="106" t="str">
        <f t="shared" si="54"/>
        <v>https://search-rtdc-monitor-bjffxe2xuh6vdkpspy63sjmuny.us-east-1.es.amazonaws.com/_plugin/kibana/#/discover/Steve-Slow-Train-Analysis-(2080s-and-2083s)?_g=(refreshInterval:(display:Off,section:0,value:0),time:(from:'2016-08-30 20:52:16-0600',mode:absolute,to:'2016-08-30 23:38: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145" s="54" t="str">
        <f t="shared" si="55"/>
        <v>N</v>
      </c>
      <c r="X145" s="120">
        <f t="shared" si="49"/>
        <v>1</v>
      </c>
      <c r="Y145" s="69">
        <f t="shared" si="56"/>
        <v>23.300799999999999</v>
      </c>
      <c r="Z145" s="69">
        <f t="shared" si="57"/>
        <v>1.29E-2</v>
      </c>
      <c r="AA145" s="69">
        <f t="shared" si="58"/>
        <v>23.2879</v>
      </c>
      <c r="AB145" s="66">
        <f>VLOOKUP(A145,Enforcements!$C$7:$J$21,8,0)</f>
        <v>191108</v>
      </c>
      <c r="AC145" s="62" t="str">
        <f>VLOOKUP(A145,Enforcements!$C$7:$E$21,3,0)</f>
        <v>PERMANENT SPEED RESTRICTION</v>
      </c>
      <c r="AD145" s="63" t="str">
        <f t="shared" si="59"/>
        <v>0230-30</v>
      </c>
      <c r="AE145" s="99" t="str">
        <f t="shared" si="6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145" s="96" t="str">
        <f t="shared" si="61"/>
        <v>"C:\Program Files (x86)\AstroGrep\AstroGrep.exe" /spath="%USERPROFILE%\AppData\Local\Temp\OnboardLogs" /stypes="*4012*20160831*" /stext=" 04:.+((SYSTEM_STATE.+slice.+state.+changed )|(ment ac)|(system.+state.+changed )|(\|lc)|(penalty)|(\[timeout)|(PRM\|1\|D)|(kpr)|(kdp))" /e /r /s</v>
      </c>
      <c r="AG145" s="1" t="str">
        <f t="shared" si="62"/>
        <v>EC</v>
      </c>
      <c r="AH145" s="100" t="str">
        <f t="shared" si="63"/>
        <v>"%USERPROFILE%\Documents\GitHub\eaglep3\Utilities\RefineRTDCRunTimes.py" --tripid 230-30 --locoid 4012 --swversion DE.1.0.7.0 --startMP 204:233008 --initTime 2016-08-30T21:52:16 --startdatetime 2016-08-30T21:56:22 --delay 1 --endMP 204:129 --enddatetime 2016-08-30T22:38:10 --enforcementcount 0 &gt;&gt;C:\Users\stu\Documents\GitHub\eaglep3-reporting\EC\2016-08-30-refined-times.txt</v>
      </c>
      <c r="AI145" s="149" t="str">
        <f t="shared" si="64"/>
        <v>echo {"issue":{"subject":"","project_id":79,"tracker_id":40,"status_id":1,"priority_id":2,"assigned_to_id":23,"start_date":"2016-08-30","description":"","custom_fields":[{"id":1,"name":"Subdivision","value":"EC"},{"id":4,"name":"Milepost","value":"23.2879"},{"id":17,"name":"Train ID","value":"230-30"},{"id":16,"name":"Locomotive ID","value":"4012"},{"id":130,"name":"Impact","value":""},{"id":150,"name":"Time of Event (Mountain Time)","value":"22:38:10"},{"id":151,"name":"Denver Issue ID","value":""},{"id":178,"name":"Operational Impact","value":"Yes"},{"id":179,"name":"Denver Segment Assigned","value":""}]}} | curl -X POST -H "Content-Type: application/json" -H "X-Redmine-API-Key: d6333d4a04012a730768444271f8ca06482dae87" https://secure.xorail.net/redmine/issues.json --data @-</v>
      </c>
      <c r="AJ145" s="55"/>
      <c r="AK145" s="55"/>
      <c r="AL145" s="55"/>
    </row>
    <row r="146" spans="1:38" x14ac:dyDescent="0.25">
      <c r="A146" s="39" t="s">
        <v>552</v>
      </c>
      <c r="B146" s="7">
        <v>4040</v>
      </c>
      <c r="C146" s="24" t="s">
        <v>113</v>
      </c>
      <c r="D146" s="24" t="s">
        <v>293</v>
      </c>
      <c r="E146" s="15">
        <v>42612.892974537041</v>
      </c>
      <c r="F146" s="15">
        <v>42612.896099537036</v>
      </c>
      <c r="G146" s="7">
        <v>1</v>
      </c>
      <c r="H146" s="15" t="s">
        <v>328</v>
      </c>
      <c r="I146" s="15">
        <v>42612.921076388891</v>
      </c>
      <c r="J146" s="7">
        <v>0</v>
      </c>
      <c r="K146" s="132" t="str">
        <f t="shared" si="51"/>
        <v>4039/4040</v>
      </c>
      <c r="L146" s="24" t="str">
        <f>VLOOKUP(A146,'Trips&amp;Operators'!$C$1:$E$10000,3,FALSE)</f>
        <v>COOLAHAN</v>
      </c>
      <c r="M146" s="6">
        <f t="shared" si="52"/>
        <v>2.4976851855171844E-2</v>
      </c>
      <c r="N146" s="7">
        <f t="shared" si="48"/>
        <v>35.966666671447456</v>
      </c>
      <c r="O146" s="7"/>
      <c r="P146" s="7"/>
      <c r="Q146" s="25"/>
      <c r="R146" s="25"/>
      <c r="S146" s="37">
        <f t="shared" si="50"/>
        <v>1</v>
      </c>
      <c r="T146" s="52" t="str">
        <f t="shared" si="53"/>
        <v>NorthBound</v>
      </c>
      <c r="U146" s="126">
        <f>IF(AG146="EC",COUNTIFS(Variables!$M$2:$M$19,IF(T146="NorthBound","&gt;=","&lt;=")&amp;Y146,Variables!$M$2:$M$19,IF(T146="NorthBound","&lt;=","&gt;=")&amp;Z146),COUNTIFS(Variables!$P$2:$P$19,IF(T146="NorthBound","&gt;=","&lt;=")&amp;Y146,Variables!$P$2:$P$19,IF(T146="NorthBound","&lt;=","&gt;=")&amp;Z146))</f>
        <v>12</v>
      </c>
      <c r="V146" s="106" t="str">
        <f t="shared" si="54"/>
        <v>https://search-rtdc-monitor-bjffxe2xuh6vdkpspy63sjmuny.us-east-1.es.amazonaws.com/_plugin/kibana/#/discover/Steve-Slow-Train-Analysis-(2080s-and-2083s)?_g=(refreshInterval:(display:Off,section:0,value:0),time:(from:'2016-08-30 20:25:53-0600',mode:absolute,to:'2016-08-30 23:06: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146" s="54" t="str">
        <f t="shared" si="55"/>
        <v>N</v>
      </c>
      <c r="X146" s="120">
        <f t="shared" si="49"/>
        <v>1</v>
      </c>
      <c r="Y146" s="69">
        <f t="shared" si="56"/>
        <v>4.4200000000000003E-2</v>
      </c>
      <c r="Z146" s="69">
        <f t="shared" si="57"/>
        <v>23.329799999999999</v>
      </c>
      <c r="AA146" s="69">
        <f t="shared" si="58"/>
        <v>23.285599999999999</v>
      </c>
      <c r="AB146" s="66" t="e">
        <f>VLOOKUP(A146,Enforcements!$C$7:$J$21,8,0)</f>
        <v>#N/A</v>
      </c>
      <c r="AC146" s="62" t="e">
        <f>VLOOKUP(A146,Enforcements!$C$7:$E$21,3,0)</f>
        <v>#N/A</v>
      </c>
      <c r="AD146" s="63" t="str">
        <f t="shared" si="59"/>
        <v>0231-30</v>
      </c>
      <c r="AE146" s="99" t="str">
        <f t="shared" si="6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146" s="96" t="str">
        <f t="shared" si="61"/>
        <v>"C:\Program Files (x86)\AstroGrep\AstroGrep.exe" /spath="%USERPROFILE%\AppData\Local\Temp\OnboardLogs" /stypes="*4040*20160831*" /stext=" 04:.+((SYSTEM_STATE.+slice.+state.+changed )|(ment ac)|(system.+state.+changed )|(\|lc)|(penalty)|(\[timeout)|(PRM\|1\|D)|(kpr)|(kdp))" /e /r /s</v>
      </c>
      <c r="AG146" s="1" t="str">
        <f t="shared" si="62"/>
        <v>EC</v>
      </c>
      <c r="AH146" s="100" t="str">
        <f t="shared" si="63"/>
        <v>"%USERPROFILE%\Documents\GitHub\eaglep3\Utilities\RefineRTDCRunTimes.py" --tripid 231-30 --locoid 4040 --swversion DE.1.0.7.0 --startMP 204:442 --initTime 2016-08-30T21:25:53 --startdatetime 2016-08-30T21:30:23 --delay 1 --endMP 204:233298 --enddatetime 2016-08-30T22:06:21 --enforcementcount 0 &gt;&gt;C:\Users\stu\Documents\GitHub\eaglep3-reporting\EC\2016-08-30-refined-times.txt</v>
      </c>
      <c r="AI146" s="149" t="str">
        <f t="shared" si="64"/>
        <v>echo {"issue":{"subject":"","project_id":79,"tracker_id":40,"status_id":1,"priority_id":2,"assigned_to_id":23,"start_date":"2016-08-30","description":"","custom_fields":[{"id":1,"name":"Subdivision","value":"EC"},{"id":4,"name":"Milepost","value":"23.2856"},{"id":17,"name":"Train ID","value":"231-30"},{"id":16,"name":"Locomotive ID","value":"4040"},{"id":130,"name":"Impact","value":""},{"id":150,"name":"Time of Event (Mountain Time)","value":"22:06:21"},{"id":151,"name":"Denver Issue ID","value":""},{"id":178,"name":"Operational Impact","value":"Yes"},{"id":179,"name":"Denver Segment Assigned","value":""}]}} | curl -X POST -H "Content-Type: application/json" -H "X-Redmine-API-Key: d6333d4a04012a730768444271f8ca06482dae87" https://secure.xorail.net/redmine/issues.json --data @-</v>
      </c>
      <c r="AJ146" s="55"/>
      <c r="AK146" s="55"/>
      <c r="AL146" s="55"/>
    </row>
    <row r="147" spans="1:38" s="23" customFormat="1" x14ac:dyDescent="0.25">
      <c r="A147" s="39" t="s">
        <v>387</v>
      </c>
      <c r="B147" s="7">
        <v>4039</v>
      </c>
      <c r="C147" s="24" t="s">
        <v>113</v>
      </c>
      <c r="D147" s="24" t="s">
        <v>291</v>
      </c>
      <c r="E147" s="15">
        <v>42612.929745370369</v>
      </c>
      <c r="F147" s="15">
        <v>42612.934988425928</v>
      </c>
      <c r="G147" s="7">
        <v>1</v>
      </c>
      <c r="H147" s="15" t="s">
        <v>167</v>
      </c>
      <c r="I147" s="15">
        <v>42612.961319444446</v>
      </c>
      <c r="J147" s="7">
        <v>0</v>
      </c>
      <c r="K147" s="132" t="str">
        <f t="shared" si="51"/>
        <v>4039/4040</v>
      </c>
      <c r="L147" s="24" t="str">
        <f>VLOOKUP(A147,'Trips&amp;Operators'!$C$1:$E$10000,3,FALSE)</f>
        <v>COOLAHAN</v>
      </c>
      <c r="M147" s="6">
        <f t="shared" si="52"/>
        <v>2.6331018518249039E-2</v>
      </c>
      <c r="N147" s="7">
        <f t="shared" si="48"/>
        <v>37.916666666278616</v>
      </c>
      <c r="O147" s="7"/>
      <c r="P147" s="7"/>
      <c r="Q147" s="25"/>
      <c r="R147" s="25"/>
      <c r="S147" s="37">
        <f t="shared" si="50"/>
        <v>1</v>
      </c>
      <c r="T147" s="52" t="str">
        <f t="shared" si="53"/>
        <v>Southbound</v>
      </c>
      <c r="U147" s="126">
        <f>IF(AG147="EC",COUNTIFS(Variables!$M$2:$M$19,IF(T147="NorthBound","&gt;=","&lt;=")&amp;Y147,Variables!$M$2:$M$19,IF(T147="NorthBound","&lt;=","&gt;=")&amp;Z147),COUNTIFS(Variables!$P$2:$P$19,IF(T147="NorthBound","&gt;=","&lt;=")&amp;Y147,Variables!$P$2:$P$19,IF(T147="NorthBound","&lt;=","&gt;=")&amp;Z147))</f>
        <v>12</v>
      </c>
      <c r="V147" s="106" t="str">
        <f t="shared" si="54"/>
        <v>https://search-rtdc-monitor-bjffxe2xuh6vdkpspy63sjmuny.us-east-1.es.amazonaws.com/_plugin/kibana/#/discover/Steve-Slow-Train-Analysis-(2080s-and-2083s)?_g=(refreshInterval:(display:Off,section:0,value:0),time:(from:'2016-08-30 21:18:50-0600',mode:absolute,to:'2016-08-31 00:04: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147" s="54" t="str">
        <f t="shared" si="55"/>
        <v>N</v>
      </c>
      <c r="X147" s="120">
        <f t="shared" si="49"/>
        <v>1</v>
      </c>
      <c r="Y147" s="69">
        <f t="shared" si="56"/>
        <v>23.299800000000001</v>
      </c>
      <c r="Z147" s="69">
        <f t="shared" si="57"/>
        <v>1.52E-2</v>
      </c>
      <c r="AA147" s="69">
        <f t="shared" si="58"/>
        <v>23.284600000000001</v>
      </c>
      <c r="AB147" s="66">
        <f>VLOOKUP(A147,Enforcements!$C$7:$J$21,8,0)</f>
        <v>33257</v>
      </c>
      <c r="AC147" s="62" t="str">
        <f>VLOOKUP(A147,Enforcements!$C$7:$E$21,3,0)</f>
        <v>GRADE CROSSING</v>
      </c>
      <c r="AD147" s="63" t="str">
        <f t="shared" si="59"/>
        <v>0232-30</v>
      </c>
      <c r="AE147" s="99" t="str">
        <f t="shared" si="60"/>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AF147" s="96" t="str">
        <f t="shared" si="61"/>
        <v>"C:\Program Files (x86)\AstroGrep\AstroGrep.exe" /spath="%USERPROFILE%\AppData\Local\Temp\OnboardLogs" /stypes="*4039*20160831*" /stext=" 05:.+((SYSTEM_STATE.+slice.+state.+changed )|(ment ac)|(system.+state.+changed )|(\|lc)|(penalty)|(\[timeout)|(PRM\|1\|D)|(kpr)|(kdp))" /e /r /s</v>
      </c>
      <c r="AG147" s="1" t="str">
        <f t="shared" si="62"/>
        <v>EC</v>
      </c>
      <c r="AH147" s="100" t="str">
        <f t="shared" si="63"/>
        <v>"%USERPROFILE%\Documents\GitHub\eaglep3\Utilities\RefineRTDCRunTimes.py" --tripid 232-30 --locoid 4039 --swversion DE.1.0.7.0 --startMP 204:232998 --initTime 2016-08-30T22:18:50 --startdatetime 2016-08-30T22:26:23 --delay 1 --endMP 204:152 --enddatetime 2016-08-30T23:04:18 --enforcementcount 0 &gt;&gt;C:\Users\stu\Documents\GitHub\eaglep3-reporting\EC\2016-08-30-refined-times.txt</v>
      </c>
      <c r="AI147" s="149" t="str">
        <f t="shared" si="64"/>
        <v>echo {"issue":{"subject":"","project_id":79,"tracker_id":40,"status_id":1,"priority_id":2,"assigned_to_id":23,"start_date":"2016-08-30","description":"","custom_fields":[{"id":1,"name":"Subdivision","value":"EC"},{"id":4,"name":"Milepost","value":"23.2846"},{"id":17,"name":"Train ID","value":"232-30"},{"id":16,"name":"Locomotive ID","value":"4039"},{"id":130,"name":"Impact","value":""},{"id":150,"name":"Time of Event (Mountain Time)","value":"23:04:18"},{"id":151,"name":"Denver Issue ID","value":""},{"id":178,"name":"Operational Impact","value":"Yes"},{"id":179,"name":"Denver Segment Assigned","value":""}]}} | curl -X POST -H "Content-Type: application/json" -H "X-Redmine-API-Key: d6333d4a04012a730768444271f8ca06482dae87" https://secure.xorail.net/redmine/issues.json --data @-</v>
      </c>
      <c r="AJ147" s="55"/>
      <c r="AK147" s="55"/>
      <c r="AL147" s="55"/>
    </row>
    <row r="148" spans="1:38" x14ac:dyDescent="0.25">
      <c r="A148" s="39" t="s">
        <v>553</v>
      </c>
      <c r="B148" s="7">
        <v>4020</v>
      </c>
      <c r="C148" s="24" t="s">
        <v>113</v>
      </c>
      <c r="D148" s="24" t="s">
        <v>109</v>
      </c>
      <c r="E148" s="15">
        <v>42612.901307870372</v>
      </c>
      <c r="F148" s="15">
        <v>42612.916817129626</v>
      </c>
      <c r="G148" s="7">
        <v>1</v>
      </c>
      <c r="H148" s="15" t="s">
        <v>258</v>
      </c>
      <c r="I148" s="15">
        <v>42612.94127314815</v>
      </c>
      <c r="J148" s="7">
        <v>0</v>
      </c>
      <c r="K148" s="132" t="str">
        <f t="shared" si="51"/>
        <v>4019/4020</v>
      </c>
      <c r="L148" s="24" t="str">
        <f>VLOOKUP(A148,'Trips&amp;Operators'!$C$1:$E$10000,3,FALSE)</f>
        <v>YANAI</v>
      </c>
      <c r="M148" s="6">
        <f t="shared" si="52"/>
        <v>2.4456018523778766E-2</v>
      </c>
      <c r="N148" s="7">
        <f t="shared" ref="N148:N179" si="65">24*60*SUM($M148:$M148)</f>
        <v>35.216666674241424</v>
      </c>
      <c r="O148" s="7"/>
      <c r="P148" s="7"/>
      <c r="Q148" s="25"/>
      <c r="R148" s="25"/>
      <c r="S148" s="37">
        <f t="shared" si="50"/>
        <v>1</v>
      </c>
      <c r="T148" s="52" t="str">
        <f t="shared" si="53"/>
        <v>NorthBound</v>
      </c>
      <c r="U148" s="126">
        <f>IF(AG148="EC",COUNTIFS(Variables!$M$2:$M$19,IF(T148="NorthBound","&gt;=","&lt;=")&amp;Y148,Variables!$M$2:$M$19,IF(T148="NorthBound","&lt;=","&gt;=")&amp;Z148),COUNTIFS(Variables!$P$2:$P$19,IF(T148="NorthBound","&gt;=","&lt;=")&amp;Y148,Variables!$P$2:$P$19,IF(T148="NorthBound","&lt;=","&gt;=")&amp;Z148))</f>
        <v>12</v>
      </c>
      <c r="V148" s="106" t="str">
        <f t="shared" si="54"/>
        <v>https://search-rtdc-monitor-bjffxe2xuh6vdkpspy63sjmuny.us-east-1.es.amazonaws.com/_plugin/kibana/#/discover/Steve-Slow-Train-Analysis-(2080s-and-2083s)?_g=(refreshInterval:(display:Off,section:0,value:0),time:(from:'2016-08-30 20:37:53-0600',mode:absolute,to:'2016-08-30 23:35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48" s="54" t="str">
        <f t="shared" si="55"/>
        <v>N</v>
      </c>
      <c r="X148" s="120">
        <f t="shared" si="49"/>
        <v>1</v>
      </c>
      <c r="Y148" s="69">
        <f t="shared" si="56"/>
        <v>4.6199999999999998E-2</v>
      </c>
      <c r="Z148" s="69">
        <f t="shared" si="57"/>
        <v>23.329899999999999</v>
      </c>
      <c r="AA148" s="69">
        <f t="shared" si="58"/>
        <v>23.2837</v>
      </c>
      <c r="AB148" s="66" t="e">
        <f>VLOOKUP(A148,Enforcements!$C$7:$J$21,8,0)</f>
        <v>#N/A</v>
      </c>
      <c r="AC148" s="62" t="e">
        <f>VLOOKUP(A148,Enforcements!$C$7:$E$21,3,0)</f>
        <v>#N/A</v>
      </c>
      <c r="AD148" s="63" t="str">
        <f t="shared" si="59"/>
        <v>0233-30</v>
      </c>
      <c r="AE148" s="99" t="str">
        <f t="shared" si="60"/>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AF148" s="96" t="str">
        <f t="shared" si="61"/>
        <v>"C:\Program Files (x86)\AstroGrep\AstroGrep.exe" /spath="%USERPROFILE%\AppData\Local\Temp\OnboardLogs" /stypes="*4020*20160831*" /stext=" 04:.+((SYSTEM_STATE.+slice.+state.+changed )|(ment ac)|(system.+state.+changed )|(\|lc)|(penalty)|(\[timeout)|(PRM\|1\|D)|(kpr)|(kdp))" /e /r /s</v>
      </c>
      <c r="AG148" s="1" t="str">
        <f t="shared" si="62"/>
        <v>EC</v>
      </c>
      <c r="AH148" s="100" t="str">
        <f t="shared" si="63"/>
        <v>"%USERPROFILE%\Documents\GitHub\eaglep3\Utilities\RefineRTDCRunTimes.py" --tripid 233-30 --locoid 4020 --swversion DE.1.0.7.0 --startMP 204:462 --initTime 2016-08-30T21:37:53 --startdatetime 2016-08-30T22:00:13 --delay 1 --endMP 204:233299 --enddatetime 2016-08-30T22:35:26 --enforcementcount 0 &gt;&gt;C:\Users\stu\Documents\GitHub\eaglep3-reporting\EC\2016-08-30-refined-times.txt</v>
      </c>
      <c r="AI148" s="149" t="str">
        <f t="shared" si="64"/>
        <v>echo {"issue":{"subject":"","project_id":79,"tracker_id":40,"status_id":1,"priority_id":2,"assigned_to_id":23,"start_date":"2016-08-30","description":"","custom_fields":[{"id":1,"name":"Subdivision","value":"EC"},{"id":4,"name":"Milepost","value":"23.2837"},{"id":17,"name":"Train ID","value":"233-30"},{"id":16,"name":"Locomotive ID","value":"4020"},{"id":130,"name":"Impact","value":""},{"id":150,"name":"Time of Event (Mountain Time)","value":"22:35:26"},{"id":151,"name":"Denver Issue ID","value":""},{"id":178,"name":"Operational Impact","value":"Yes"},{"id":179,"name":"Denver Segment Assigned","value":""}]}} | curl -X POST -H "Content-Type: application/json" -H "X-Redmine-API-Key: d6333d4a04012a730768444271f8ca06482dae87" https://secure.xorail.net/redmine/issues.json --data @-</v>
      </c>
      <c r="AJ148" s="55"/>
      <c r="AK148" s="55"/>
      <c r="AL148" s="55"/>
    </row>
    <row r="149" spans="1:38" s="23" customFormat="1" x14ac:dyDescent="0.25">
      <c r="A149" s="39" t="s">
        <v>558</v>
      </c>
      <c r="B149" s="7">
        <v>4019</v>
      </c>
      <c r="C149" s="24" t="s">
        <v>113</v>
      </c>
      <c r="D149" s="24" t="s">
        <v>230</v>
      </c>
      <c r="E149" s="15">
        <v>42612.951192129629</v>
      </c>
      <c r="F149" s="15">
        <v>42612.955717592595</v>
      </c>
      <c r="G149" s="7">
        <v>1</v>
      </c>
      <c r="H149" s="15" t="s">
        <v>643</v>
      </c>
      <c r="I149" s="15">
        <v>42612.982905092591</v>
      </c>
      <c r="J149" s="7">
        <v>0</v>
      </c>
      <c r="K149" s="132" t="str">
        <f t="shared" si="51"/>
        <v>4019/4020</v>
      </c>
      <c r="L149" s="24" t="str">
        <f>VLOOKUP(A149,'Trips&amp;Operators'!$C$1:$E$10000,3,FALSE)</f>
        <v>YANAI</v>
      </c>
      <c r="M149" s="6">
        <f t="shared" si="52"/>
        <v>2.7187499996216502E-2</v>
      </c>
      <c r="N149" s="7">
        <f t="shared" si="65"/>
        <v>39.149999994551763</v>
      </c>
      <c r="O149" s="7"/>
      <c r="P149" s="7"/>
      <c r="Q149" s="25"/>
      <c r="R149" s="25"/>
      <c r="S149" s="37">
        <f t="shared" si="50"/>
        <v>1</v>
      </c>
      <c r="T149" s="52" t="str">
        <f t="shared" si="53"/>
        <v>Southbound</v>
      </c>
      <c r="U149" s="126">
        <f>IF(AG149="EC",COUNTIFS(Variables!$M$2:$M$19,IF(T149="NorthBound","&gt;=","&lt;=")&amp;Y149,Variables!$M$2:$M$19,IF(T149="NorthBound","&lt;=","&gt;=")&amp;Z149),COUNTIFS(Variables!$P$2:$P$19,IF(T149="NorthBound","&gt;=","&lt;=")&amp;Y149,Variables!$P$2:$P$19,IF(T149="NorthBound","&lt;=","&gt;=")&amp;Z149))</f>
        <v>12</v>
      </c>
      <c r="V149" s="106" t="str">
        <f t="shared" si="54"/>
        <v>https://search-rtdc-monitor-bjffxe2xuh6vdkpspy63sjmuny.us-east-1.es.amazonaws.com/_plugin/kibana/#/discover/Steve-Slow-Train-Analysis-(2080s-and-2083s)?_g=(refreshInterval:(display:Off,section:0,value:0),time:(from:'2016-08-30 21:49:43-0600',mode:absolute,to:'2016-08-31 00:35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49" s="54" t="str">
        <f t="shared" si="55"/>
        <v>N</v>
      </c>
      <c r="X149" s="120">
        <f t="shared" si="49"/>
        <v>1</v>
      </c>
      <c r="Y149" s="69">
        <f t="shared" si="56"/>
        <v>23.297699999999999</v>
      </c>
      <c r="Z149" s="69">
        <f t="shared" si="57"/>
        <v>1.23E-2</v>
      </c>
      <c r="AA149" s="69">
        <f t="shared" si="58"/>
        <v>23.285399999999999</v>
      </c>
      <c r="AB149" s="66" t="e">
        <f>VLOOKUP(A149,Enforcements!$C$7:$J$21,8,0)</f>
        <v>#N/A</v>
      </c>
      <c r="AC149" s="62" t="e">
        <f>VLOOKUP(A149,Enforcements!$C$7:$E$21,3,0)</f>
        <v>#N/A</v>
      </c>
      <c r="AD149" s="63" t="str">
        <f t="shared" si="59"/>
        <v>0234-30</v>
      </c>
      <c r="AE149" s="99" t="str">
        <f t="shared" si="60"/>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AF149" s="96" t="str">
        <f t="shared" si="61"/>
        <v>"C:\Program Files (x86)\AstroGrep\AstroGrep.exe" /spath="%USERPROFILE%\AppData\Local\Temp\OnboardLogs" /stypes="*4019*20160831*" /stext=" 05:.+((SYSTEM_STATE.+slice.+state.+changed )|(ment ac)|(system.+state.+changed )|(\|lc)|(penalty)|(\[timeout)|(PRM\|1\|D)|(kpr)|(kdp))" /e /r /s</v>
      </c>
      <c r="AG149" s="1" t="str">
        <f t="shared" si="62"/>
        <v>EC</v>
      </c>
      <c r="AH149" s="100" t="str">
        <f t="shared" si="63"/>
        <v>"%USERPROFILE%\Documents\GitHub\eaglep3\Utilities\RefineRTDCRunTimes.py" --tripid 234-30 --locoid 4019 --swversion DE.1.0.7.0 --startMP 204:232977 --initTime 2016-08-30T22:49:43 --startdatetime 2016-08-30T22:56:14 --delay 1 --endMP 204:123 --enddatetime 2016-08-30T23:35:23 --enforcementcount 0 &gt;&gt;C:\Users\stu\Documents\GitHub\eaglep3-reporting\EC\2016-08-30-refined-times.txt</v>
      </c>
      <c r="AI149" s="149" t="str">
        <f t="shared" si="64"/>
        <v>echo {"issue":{"subject":"","project_id":79,"tracker_id":40,"status_id":1,"priority_id":2,"assigned_to_id":23,"start_date":"2016-08-30","description":"","custom_fields":[{"id":1,"name":"Subdivision","value":"EC"},{"id":4,"name":"Milepost","value":"23.2854"},{"id":17,"name":"Train ID","value":"234-30"},{"id":16,"name":"Locomotive ID","value":"4019"},{"id":130,"name":"Impact","value":""},{"id":150,"name":"Time of Event (Mountain Time)","value":"23:35:23"},{"id":151,"name":"Denver Issue ID","value":""},{"id":178,"name":"Operational Impact","value":"Yes"},{"id":179,"name":"Denver Segment Assigned","value":""}]}} | curl -X POST -H "Content-Type: application/json" -H "X-Redmine-API-Key: d6333d4a04012a730768444271f8ca06482dae87" https://secure.xorail.net/redmine/issues.json --data @-</v>
      </c>
      <c r="AJ149" s="55"/>
      <c r="AK149" s="55"/>
      <c r="AL149" s="55"/>
    </row>
    <row r="150" spans="1:38" s="23" customFormat="1" x14ac:dyDescent="0.25">
      <c r="A150" s="39" t="s">
        <v>556</v>
      </c>
      <c r="B150" s="7">
        <v>4018</v>
      </c>
      <c r="C150" s="24" t="s">
        <v>113</v>
      </c>
      <c r="D150" s="24" t="s">
        <v>190</v>
      </c>
      <c r="E150" s="15">
        <v>42612.937754629631</v>
      </c>
      <c r="F150" s="15">
        <v>42612.938692129632</v>
      </c>
      <c r="G150" s="7">
        <v>1</v>
      </c>
      <c r="H150" s="15" t="s">
        <v>178</v>
      </c>
      <c r="I150" s="15">
        <v>42612.964247685188</v>
      </c>
      <c r="J150" s="7">
        <v>0</v>
      </c>
      <c r="K150" s="132" t="str">
        <f t="shared" si="51"/>
        <v>4017/4018</v>
      </c>
      <c r="L150" s="24" t="str">
        <f>VLOOKUP(A150,'Trips&amp;Operators'!$C$1:$E$10000,3,FALSE)</f>
        <v>CHANDLER</v>
      </c>
      <c r="M150" s="6">
        <f t="shared" si="52"/>
        <v>2.5555555555911269E-2</v>
      </c>
      <c r="N150" s="7">
        <f t="shared" si="65"/>
        <v>36.800000000512227</v>
      </c>
      <c r="O150" s="7"/>
      <c r="P150" s="7"/>
      <c r="Q150" s="25"/>
      <c r="R150" s="25"/>
      <c r="S150" s="37">
        <f t="shared" si="50"/>
        <v>1</v>
      </c>
      <c r="T150" s="52" t="str">
        <f t="shared" si="53"/>
        <v>NorthBound</v>
      </c>
      <c r="U150" s="126">
        <f>IF(AG150="EC",COUNTIFS(Variables!$M$2:$M$19,IF(T150="NorthBound","&gt;=","&lt;=")&amp;Y150,Variables!$M$2:$M$19,IF(T150="NorthBound","&lt;=","&gt;=")&amp;Z150),COUNTIFS(Variables!$P$2:$P$19,IF(T150="NorthBound","&gt;=","&lt;=")&amp;Y150,Variables!$P$2:$P$19,IF(T150="NorthBound","&lt;=","&gt;=")&amp;Z150))</f>
        <v>12</v>
      </c>
      <c r="V150" s="106" t="str">
        <f t="shared" si="54"/>
        <v>https://search-rtdc-monitor-bjffxe2xuh6vdkpspy63sjmuny.us-east-1.es.amazonaws.com/_plugin/kibana/#/discover/Steve-Slow-Train-Analysis-(2080s-and-2083s)?_g=(refreshInterval:(display:Off,section:0,value:0),time:(from:'2016-08-30 21:30:22-0600',mode:absolute,to:'2016-08-31 00:08: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50" s="54" t="str">
        <f t="shared" si="55"/>
        <v>N</v>
      </c>
      <c r="X150" s="120">
        <f t="shared" si="49"/>
        <v>1</v>
      </c>
      <c r="Y150" s="69">
        <f t="shared" si="56"/>
        <v>4.6399999999999997E-2</v>
      </c>
      <c r="Z150" s="69">
        <f t="shared" si="57"/>
        <v>23.3293</v>
      </c>
      <c r="AA150" s="69">
        <f t="shared" si="58"/>
        <v>23.282900000000001</v>
      </c>
      <c r="AB150" s="66" t="e">
        <f>VLOOKUP(A150,Enforcements!$C$7:$J$21,8,0)</f>
        <v>#N/A</v>
      </c>
      <c r="AC150" s="62" t="e">
        <f>VLOOKUP(A150,Enforcements!$C$7:$E$21,3,0)</f>
        <v>#N/A</v>
      </c>
      <c r="AD150" s="63" t="str">
        <f t="shared" si="59"/>
        <v>0235-30</v>
      </c>
      <c r="AE150" s="99" t="str">
        <f t="shared" si="60"/>
        <v>aws s3 cp s3://rtdc.mdm.uploadarchive/RTDC4018/2016-08-30/ "%USERPROFILE%\AppData\Local\Temp\OnboardLogs"\RTDC4018\2016-08-30 --recursive &amp; "%USERPROFILE%\Documents\GitHub\mrs-test-scripts\Headless Mode &amp; Sideloading\WalkAndUnGZ.bat" "%USERPROFILE%\AppData\Local\Temp\OnboardLogs"\RTDC4018\2016-08-30 &amp; aws s3 cp s3://rtdc.mdm.uploadarchive/RTDC4018/2016-08-31/ "%USERPROFILE%\AppData\Local\Temp\OnboardLogs"\RTDC4018\2016-08-31 --recursive &amp; "%USERPROFILE%\Documents\GitHub\mrs-test-scripts\Headless Mode &amp; Sideloading\WalkAndUnGZ.bat" "%USERPROFILE%\AppData\Local\Temp\OnboardLogs"\RTDC4018\2016-08-31</v>
      </c>
      <c r="AF150" s="96" t="str">
        <f t="shared" si="61"/>
        <v>"C:\Program Files (x86)\AstroGrep\AstroGrep.exe" /spath="%USERPROFILE%\AppData\Local\Temp\OnboardLogs" /stypes="*4018*20160831*" /stext=" 05:.+((SYSTEM_STATE.+slice.+state.+changed )|(ment ac)|(system.+state.+changed )|(\|lc)|(penalty)|(\[timeout)|(PRM\|1\|D)|(kpr)|(kdp))" /e /r /s</v>
      </c>
      <c r="AG150" s="1" t="str">
        <f t="shared" si="62"/>
        <v>EC</v>
      </c>
      <c r="AH150" s="100" t="str">
        <f t="shared" si="63"/>
        <v>"%USERPROFILE%\Documents\GitHub\eaglep3\Utilities\RefineRTDCRunTimes.py" --tripid 235-30 --locoid 4018 --swversion DE.1.0.7.0 --startMP 204:464 --initTime 2016-08-30T22:30:22 --startdatetime 2016-08-30T22:31:43 --delay 1 --endMP 204:233293 --enddatetime 2016-08-30T23:08:31 --enforcementcount 0 &gt;&gt;C:\Users\stu\Documents\GitHub\eaglep3-reporting\EC\2016-08-30-refined-times.txt</v>
      </c>
      <c r="AI150" s="149" t="str">
        <f t="shared" si="64"/>
        <v>echo {"issue":{"subject":"","project_id":79,"tracker_id":40,"status_id":1,"priority_id":2,"assigned_to_id":23,"start_date":"2016-08-30","description":"","custom_fields":[{"id":1,"name":"Subdivision","value":"EC"},{"id":4,"name":"Milepost","value":"23.2829"},{"id":17,"name":"Train ID","value":"235-30"},{"id":16,"name":"Locomotive ID","value":"4018"},{"id":130,"name":"Impact","value":""},{"id":150,"name":"Time of Event (Mountain Time)","value":"23:08:31"},{"id":151,"name":"Denver Issue ID","value":""},{"id":178,"name":"Operational Impact","value":"Yes"},{"id":179,"name":"Denver Segment Assigned","value":""}]}} | curl -X POST -H "Content-Type: application/json" -H "X-Redmine-API-Key: d6333d4a04012a730768444271f8ca06482dae87" https://secure.xorail.net/redmine/issues.json --data @-</v>
      </c>
      <c r="AJ150" s="55"/>
      <c r="AK150" s="55"/>
      <c r="AL150" s="55"/>
    </row>
    <row r="151" spans="1:38" x14ac:dyDescent="0.25">
      <c r="A151" s="39" t="s">
        <v>560</v>
      </c>
      <c r="B151" s="7">
        <v>4017</v>
      </c>
      <c r="C151" s="24" t="s">
        <v>113</v>
      </c>
      <c r="D151" s="24" t="s">
        <v>586</v>
      </c>
      <c r="E151" s="15">
        <v>42612.974537037036</v>
      </c>
      <c r="F151" s="15">
        <v>42612.976620370369</v>
      </c>
      <c r="G151" s="7">
        <v>1</v>
      </c>
      <c r="H151" s="15" t="s">
        <v>319</v>
      </c>
      <c r="I151" s="15">
        <v>42613.005590277775</v>
      </c>
      <c r="J151" s="7">
        <v>0</v>
      </c>
      <c r="K151" s="132" t="str">
        <f t="shared" si="51"/>
        <v>4017/4018</v>
      </c>
      <c r="L151" s="24" t="str">
        <f>VLOOKUP(A151,'Trips&amp;Operators'!$C$1:$E$10000,3,FALSE)</f>
        <v>CHANDLER</v>
      </c>
      <c r="M151" s="6">
        <f t="shared" si="52"/>
        <v>2.8969907405553386E-2</v>
      </c>
      <c r="N151" s="7">
        <f t="shared" si="65"/>
        <v>41.716666663996875</v>
      </c>
      <c r="O151" s="7"/>
      <c r="P151" s="7"/>
      <c r="Q151" s="25"/>
      <c r="R151" s="25"/>
      <c r="S151" s="37">
        <f t="shared" si="50"/>
        <v>1</v>
      </c>
      <c r="T151" s="52" t="str">
        <f t="shared" si="53"/>
        <v>Southbound</v>
      </c>
      <c r="U151" s="126">
        <f>IF(AG151="EC",COUNTIFS(Variables!$M$2:$M$19,IF(T151="NorthBound","&gt;=","&lt;=")&amp;Y151,Variables!$M$2:$M$19,IF(T151="NorthBound","&lt;=","&gt;=")&amp;Z151),COUNTIFS(Variables!$P$2:$P$19,IF(T151="NorthBound","&gt;=","&lt;=")&amp;Y151,Variables!$P$2:$P$19,IF(T151="NorthBound","&lt;=","&gt;=")&amp;Z151))</f>
        <v>12</v>
      </c>
      <c r="V151" s="106" t="str">
        <f t="shared" si="54"/>
        <v>https://search-rtdc-monitor-bjffxe2xuh6vdkpspy63sjmuny.us-east-1.es.amazonaws.com/_plugin/kibana/#/discover/Steve-Slow-Train-Analysis-(2080s-and-2083s)?_g=(refreshInterval:(display:Off,section:0,value:0),time:(from:'2016-08-30 22:23:20-0600',mode:absolute,to:'2016-08-31 01: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51" s="54" t="str">
        <f t="shared" si="55"/>
        <v>N</v>
      </c>
      <c r="X151" s="120">
        <f t="shared" ref="X151:X182" si="66">VALUE(LEFT(AD151,4))-VALUE(LEFT(AD150,4))</f>
        <v>1</v>
      </c>
      <c r="Y151" s="69">
        <f t="shared" si="56"/>
        <v>23.296900000000001</v>
      </c>
      <c r="Z151" s="69">
        <f t="shared" si="57"/>
        <v>1.6299999999999999E-2</v>
      </c>
      <c r="AA151" s="69">
        <f t="shared" si="58"/>
        <v>23.2806</v>
      </c>
      <c r="AB151" s="66" t="e">
        <f>VLOOKUP(A151,Enforcements!$C$7:$J$21,8,0)</f>
        <v>#N/A</v>
      </c>
      <c r="AC151" s="62" t="e">
        <f>VLOOKUP(A151,Enforcements!$C$7:$E$21,3,0)</f>
        <v>#N/A</v>
      </c>
      <c r="AD151" s="63" t="str">
        <f t="shared" si="59"/>
        <v>0236-30</v>
      </c>
      <c r="AE151" s="99" t="str">
        <f t="shared" si="60"/>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AF151" s="96" t="str">
        <f t="shared" si="61"/>
        <v>"C:\Program Files (x86)\AstroGrep\AstroGrep.exe" /spath="%USERPROFILE%\AppData\Local\Temp\OnboardLogs" /stypes="*4017*20160831*" /stext=" 06:.+((SYSTEM_STATE.+slice.+state.+changed )|(ment ac)|(system.+state.+changed )|(\|lc)|(penalty)|(\[timeout)|(PRM\|1\|D)|(kpr)|(kdp))" /e /r /s</v>
      </c>
      <c r="AG151" s="1" t="str">
        <f t="shared" si="62"/>
        <v>EC</v>
      </c>
      <c r="AH151" s="100" t="str">
        <f t="shared" si="63"/>
        <v>"%USERPROFILE%\Documents\GitHub\eaglep3\Utilities\RefineRTDCRunTimes.py" --tripid 236-30 --locoid 4017 --swversion DE.1.0.7.0 --startMP 204:232969 --initTime 2016-08-30T23:23:20 --startdatetime 2016-08-30T23:26:20 --delay 1 --endMP 204:163 --enddatetime 2016-08-31T00:08:03 --enforcementcount 0 &gt;&gt;C:\Users\stu\Documents\GitHub\eaglep3-reporting\EC\2016-08-30-refined-times.txt</v>
      </c>
      <c r="AI151" s="149" t="str">
        <f t="shared" si="64"/>
        <v>echo {"issue":{"subject":"","project_id":79,"tracker_id":40,"status_id":1,"priority_id":2,"assigned_to_id":23,"start_date":"2016-08-31","description":"","custom_fields":[{"id":1,"name":"Subdivision","value":"EC"},{"id":4,"name":"Milepost","value":"23.2806"},{"id":17,"name":"Train ID","value":"236-30"},{"id":16,"name":"Locomotive ID","value":"4017"},{"id":130,"name":"Impact","value":""},{"id":150,"name":"Time of Event (Mountain Time)","value":"00:08:03"},{"id":151,"name":"Denver Issue ID","value":""},{"id":178,"name":"Operational Impact","value":"Yes"},{"id":179,"name":"Denver Segment Assigned","value":""}]}} | curl -X POST -H "Content-Type: application/json" -H "X-Redmine-API-Key: d6333d4a04012a730768444271f8ca06482dae87" https://secure.xorail.net/redmine/issues.json --data @-</v>
      </c>
      <c r="AJ151" s="55"/>
      <c r="AK151" s="55"/>
      <c r="AL151" s="55"/>
    </row>
    <row r="152" spans="1:38" s="23" customFormat="1" x14ac:dyDescent="0.25">
      <c r="A152" s="39" t="s">
        <v>559</v>
      </c>
      <c r="B152" s="7">
        <v>4011</v>
      </c>
      <c r="C152" s="24" t="s">
        <v>113</v>
      </c>
      <c r="D152" s="24" t="s">
        <v>295</v>
      </c>
      <c r="E152" s="15">
        <v>42612.954305555555</v>
      </c>
      <c r="F152" s="15">
        <v>42612.958587962959</v>
      </c>
      <c r="G152" s="7">
        <v>2</v>
      </c>
      <c r="H152" s="15" t="s">
        <v>644</v>
      </c>
      <c r="I152" s="15">
        <v>42612.984502314815</v>
      </c>
      <c r="J152" s="7">
        <v>0</v>
      </c>
      <c r="K152" s="132" t="str">
        <f t="shared" si="51"/>
        <v>4011/4012</v>
      </c>
      <c r="L152" s="24" t="str">
        <f>VLOOKUP(A152,'Trips&amp;Operators'!$C$1:$E$10000,3,FALSE)</f>
        <v>HILLS</v>
      </c>
      <c r="M152" s="6">
        <f t="shared" si="52"/>
        <v>2.5914351856044959E-2</v>
      </c>
      <c r="N152" s="7">
        <f t="shared" si="65"/>
        <v>37.316666672704741</v>
      </c>
      <c r="O152" s="7"/>
      <c r="P152" s="7"/>
      <c r="Q152" s="25"/>
      <c r="R152" s="25"/>
      <c r="S152" s="37">
        <f t="shared" si="50"/>
        <v>1</v>
      </c>
      <c r="T152" s="52" t="str">
        <f t="shared" si="53"/>
        <v>NorthBound</v>
      </c>
      <c r="U152" s="126">
        <f>IF(AG152="EC",COUNTIFS(Variables!$M$2:$M$19,IF(T152="NorthBound","&gt;=","&lt;=")&amp;Y152,Variables!$M$2:$M$19,IF(T152="NorthBound","&lt;=","&gt;=")&amp;Z152),COUNTIFS(Variables!$P$2:$P$19,IF(T152="NorthBound","&gt;=","&lt;=")&amp;Y152,Variables!$P$2:$P$19,IF(T152="NorthBound","&lt;=","&gt;=")&amp;Z152))</f>
        <v>12</v>
      </c>
      <c r="V152" s="106" t="str">
        <f t="shared" si="54"/>
        <v>https://search-rtdc-monitor-bjffxe2xuh6vdkpspy63sjmuny.us-east-1.es.amazonaws.com/_plugin/kibana/#/discover/Steve-Slow-Train-Analysis-(2080s-and-2083s)?_g=(refreshInterval:(display:Off,section:0,value:0),time:(from:'2016-08-30 21:54:12-0600',mode:absolute,to:'2016-08-31 00:37: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152" s="54" t="str">
        <f t="shared" si="55"/>
        <v>N</v>
      </c>
      <c r="X152" s="120">
        <f t="shared" si="66"/>
        <v>1</v>
      </c>
      <c r="Y152" s="69">
        <f t="shared" si="56"/>
        <v>4.3099999999999999E-2</v>
      </c>
      <c r="Z152" s="69">
        <f t="shared" si="57"/>
        <v>23.327400000000001</v>
      </c>
      <c r="AA152" s="69">
        <f t="shared" si="58"/>
        <v>23.284300000000002</v>
      </c>
      <c r="AB152" s="66" t="e">
        <f>VLOOKUP(A152,Enforcements!$C$7:$J$21,8,0)</f>
        <v>#N/A</v>
      </c>
      <c r="AC152" s="62" t="e">
        <f>VLOOKUP(A152,Enforcements!$C$7:$E$21,3,0)</f>
        <v>#N/A</v>
      </c>
      <c r="AD152" s="63" t="str">
        <f t="shared" si="59"/>
        <v>0237-30</v>
      </c>
      <c r="AE152" s="99" t="str">
        <f t="shared" si="60"/>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AF152" s="96" t="str">
        <f t="shared" si="61"/>
        <v>"C:\Program Files (x86)\AstroGrep\AstroGrep.exe" /spath="%USERPROFILE%\AppData\Local\Temp\OnboardLogs" /stypes="*4011*20160831*" /stext=" 05:.+((SYSTEM_STATE.+slice.+state.+changed )|(ment ac)|(system.+state.+changed )|(\|lc)|(penalty)|(\[timeout)|(PRM\|1\|D)|(kpr)|(kdp))" /e /r /s</v>
      </c>
      <c r="AG152" s="1" t="str">
        <f t="shared" si="62"/>
        <v>EC</v>
      </c>
      <c r="AH152" s="100" t="str">
        <f t="shared" si="63"/>
        <v>"%USERPROFILE%\Documents\GitHub\eaglep3\Utilities\RefineRTDCRunTimes.py" --tripid 237-30 --locoid 4011 --swversion DE.1.0.7.0 --startMP 204:431 --initTime 2016-08-30T22:54:12 --startdatetime 2016-08-30T23:00:22 --delay 2 --endMP 204:233274 --enddatetime 2016-08-30T23:37:41 --enforcementcount 0 &gt;&gt;C:\Users\stu\Documents\GitHub\eaglep3-reporting\EC\2016-08-30-refined-times.txt</v>
      </c>
      <c r="AI152" s="149" t="str">
        <f t="shared" si="64"/>
        <v>echo {"issue":{"subject":"","project_id":79,"tracker_id":40,"status_id":1,"priority_id":2,"assigned_to_id":23,"start_date":"2016-08-30","description":"","custom_fields":[{"id":1,"name":"Subdivision","value":"EC"},{"id":4,"name":"Milepost","value":"23.2843"},{"id":17,"name":"Train ID","value":"237-30"},{"id":16,"name":"Locomotive ID","value":"4011"},{"id":130,"name":"Impact","value":""},{"id":150,"name":"Time of Event (Mountain Time)","value":"23:37:41"},{"id":151,"name":"Denver Issue ID","value":""},{"id":178,"name":"Operational Impact","value":"Yes"},{"id":179,"name":"Denver Segment Assigned","value":""}]}} | curl -X POST -H "Content-Type: application/json" -H "X-Redmine-API-Key: d6333d4a04012a730768444271f8ca06482dae87" https://secure.xorail.net/redmine/issues.json --data @-</v>
      </c>
      <c r="AJ152" s="55"/>
      <c r="AK152" s="55"/>
      <c r="AL152" s="55"/>
    </row>
    <row r="153" spans="1:38" x14ac:dyDescent="0.25">
      <c r="A153" s="39" t="s">
        <v>563</v>
      </c>
      <c r="B153" s="7">
        <v>4012</v>
      </c>
      <c r="C153" s="24" t="s">
        <v>113</v>
      </c>
      <c r="D153" s="24" t="s">
        <v>336</v>
      </c>
      <c r="E153" s="15">
        <v>42612.993460648147</v>
      </c>
      <c r="F153" s="15">
        <v>42612.997615740744</v>
      </c>
      <c r="G153" s="7">
        <v>1</v>
      </c>
      <c r="H153" s="15" t="s">
        <v>149</v>
      </c>
      <c r="I153" s="15">
        <v>42613.025983796295</v>
      </c>
      <c r="J153" s="7">
        <v>0</v>
      </c>
      <c r="K153" s="132" t="str">
        <f t="shared" si="51"/>
        <v>4011/4012</v>
      </c>
      <c r="L153" s="24" t="str">
        <f>VLOOKUP(A153,'Trips&amp;Operators'!$C$1:$E$10000,3,FALSE)</f>
        <v>HILLS</v>
      </c>
      <c r="M153" s="6">
        <f t="shared" si="52"/>
        <v>2.8368055551254656E-2</v>
      </c>
      <c r="N153" s="7">
        <f t="shared" si="65"/>
        <v>40.849999993806705</v>
      </c>
      <c r="O153" s="7"/>
      <c r="P153" s="7"/>
      <c r="Q153" s="25"/>
      <c r="R153" s="25"/>
      <c r="S153" s="37">
        <f t="shared" si="50"/>
        <v>1</v>
      </c>
      <c r="T153" s="52" t="str">
        <f t="shared" si="53"/>
        <v>Southbound</v>
      </c>
      <c r="U153" s="126">
        <f>IF(AG153="EC",COUNTIFS(Variables!$M$2:$M$19,IF(T153="NorthBound","&gt;=","&lt;=")&amp;Y153,Variables!$M$2:$M$19,IF(T153="NorthBound","&lt;=","&gt;=")&amp;Z153),COUNTIFS(Variables!$P$2:$P$19,IF(T153="NorthBound","&gt;=","&lt;=")&amp;Y153,Variables!$P$2:$P$19,IF(T153="NorthBound","&lt;=","&gt;=")&amp;Z153))</f>
        <v>12</v>
      </c>
      <c r="V153" s="106" t="str">
        <f t="shared" si="54"/>
        <v>https://search-rtdc-monitor-bjffxe2xuh6vdkpspy63sjmuny.us-east-1.es.amazonaws.com/_plugin/kibana/#/discover/Steve-Slow-Train-Analysis-(2080s-and-2083s)?_g=(refreshInterval:(display:Off,section:0,value:0),time:(from:'2016-08-30 22:50:35-0600',mode:absolute,to:'2016-08-31 01:37: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W153" s="54" t="str">
        <f t="shared" si="55"/>
        <v>N</v>
      </c>
      <c r="X153" s="120">
        <f t="shared" si="66"/>
        <v>1</v>
      </c>
      <c r="Y153" s="69">
        <f t="shared" si="56"/>
        <v>23.296299999999999</v>
      </c>
      <c r="Z153" s="69">
        <f t="shared" si="57"/>
        <v>1.5599999999999999E-2</v>
      </c>
      <c r="AA153" s="69">
        <f t="shared" si="58"/>
        <v>23.2807</v>
      </c>
      <c r="AB153" s="66" t="e">
        <f>VLOOKUP(A153,Enforcements!$C$7:$J$21,8,0)</f>
        <v>#N/A</v>
      </c>
      <c r="AC153" s="62" t="e">
        <f>VLOOKUP(A153,Enforcements!$C$7:$E$21,3,0)</f>
        <v>#N/A</v>
      </c>
      <c r="AD153" s="63" t="str">
        <f t="shared" si="59"/>
        <v>0238-30</v>
      </c>
      <c r="AE153" s="99" t="str">
        <f t="shared" si="60"/>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AF153" s="96" t="str">
        <f t="shared" si="61"/>
        <v>"C:\Program Files (x86)\AstroGrep\AstroGrep.exe" /spath="%USERPROFILE%\AppData\Local\Temp\OnboardLogs" /stypes="*4012*20160831*" /stext=" 06:.+((SYSTEM_STATE.+slice.+state.+changed )|(ment ac)|(system.+state.+changed )|(\|lc)|(penalty)|(\[timeout)|(PRM\|1\|D)|(kpr)|(kdp))" /e /r /s</v>
      </c>
      <c r="AG153" s="1" t="str">
        <f t="shared" si="62"/>
        <v>EC</v>
      </c>
      <c r="AH153" s="100" t="str">
        <f t="shared" si="63"/>
        <v>"%USERPROFILE%\Documents\GitHub\eaglep3\Utilities\RefineRTDCRunTimes.py" --tripid 238-30 --locoid 4012 --swversion DE.1.0.7.0 --startMP 204:232963 --initTime 2016-08-30T23:50:35 --startdatetime 2016-08-30T23:56:34 --delay 1 --endMP 204:156 --enddatetime 2016-08-31T00:37:25 --enforcementcount 0 &gt;&gt;C:\Users\stu\Documents\GitHub\eaglep3-reporting\EC\2016-08-30-refined-times.txt</v>
      </c>
      <c r="AI153" s="149" t="str">
        <f t="shared" si="64"/>
        <v>echo {"issue":{"subject":"","project_id":79,"tracker_id":40,"status_id":1,"priority_id":2,"assigned_to_id":23,"start_date":"2016-08-31","description":"","custom_fields":[{"id":1,"name":"Subdivision","value":"EC"},{"id":4,"name":"Milepost","value":"23.2807"},{"id":17,"name":"Train ID","value":"238-30"},{"id":16,"name":"Locomotive ID","value":"4012"},{"id":130,"name":"Impact","value":""},{"id":150,"name":"Time of Event (Mountain Time)","value":"00:37:25"},{"id":151,"name":"Denver Issue ID","value":""},{"id":178,"name":"Operational Impact","value":"Yes"},{"id":179,"name":"Denver Segment Assigned","value":""}]}} | curl -X POST -H "Content-Type: application/json" -H "X-Redmine-API-Key: d6333d4a04012a730768444271f8ca06482dae87" https://secure.xorail.net/redmine/issues.json --data @-</v>
      </c>
      <c r="AJ153" s="55"/>
      <c r="AK153" s="55"/>
      <c r="AL153" s="55"/>
    </row>
    <row r="154" spans="1:38" x14ac:dyDescent="0.25">
      <c r="A154" s="39" t="s">
        <v>561</v>
      </c>
      <c r="B154" s="7">
        <v>4040</v>
      </c>
      <c r="C154" s="24" t="s">
        <v>113</v>
      </c>
      <c r="D154" s="24" t="s">
        <v>125</v>
      </c>
      <c r="E154" s="15">
        <v>42612.97583333333</v>
      </c>
      <c r="F154" s="15">
        <v>42612.979432870372</v>
      </c>
      <c r="G154" s="7">
        <v>1</v>
      </c>
      <c r="H154" s="15" t="s">
        <v>595</v>
      </c>
      <c r="I154" s="15">
        <v>42613.005312499998</v>
      </c>
      <c r="J154" s="7">
        <v>0</v>
      </c>
      <c r="K154" s="132" t="str">
        <f t="shared" si="51"/>
        <v>4039/4040</v>
      </c>
      <c r="L154" s="24" t="str">
        <f>VLOOKUP(A154,'Trips&amp;Operators'!$C$1:$E$10000,3,FALSE)</f>
        <v>COOLAHAN</v>
      </c>
      <c r="M154" s="6">
        <f t="shared" si="52"/>
        <v>2.5879629625706002E-2</v>
      </c>
      <c r="N154" s="7">
        <f t="shared" si="65"/>
        <v>37.266666661016643</v>
      </c>
      <c r="O154" s="7"/>
      <c r="P154" s="7"/>
      <c r="Q154" s="25"/>
      <c r="R154" s="25"/>
      <c r="S154" s="37">
        <f t="shared" si="50"/>
        <v>1</v>
      </c>
      <c r="T154" s="52" t="str">
        <f t="shared" si="53"/>
        <v>NorthBound</v>
      </c>
      <c r="U154" s="126">
        <f>IF(AG154="EC",COUNTIFS(Variables!$M$2:$M$19,IF(T154="NorthBound","&gt;=","&lt;=")&amp;Y154,Variables!$M$2:$M$19,IF(T154="NorthBound","&lt;=","&gt;=")&amp;Z154),COUNTIFS(Variables!$P$2:$P$19,IF(T154="NorthBound","&gt;=","&lt;=")&amp;Y154,Variables!$P$2:$P$19,IF(T154="NorthBound","&lt;=","&gt;=")&amp;Z154))</f>
        <v>12</v>
      </c>
      <c r="V154" s="106" t="str">
        <f t="shared" si="54"/>
        <v>https://search-rtdc-monitor-bjffxe2xuh6vdkpspy63sjmuny.us-east-1.es.amazonaws.com/_plugin/kibana/#/discover/Steve-Slow-Train-Analysis-(2080s-and-2083s)?_g=(refreshInterval:(display:Off,section:0,value:0),time:(from:'2016-08-30 22:25:12-0600',mode:absolute,to:'2016-08-31 01:07: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154" s="54" t="str">
        <f t="shared" si="55"/>
        <v>N</v>
      </c>
      <c r="X154" s="120">
        <f t="shared" si="66"/>
        <v>1</v>
      </c>
      <c r="Y154" s="69">
        <f t="shared" si="56"/>
        <v>4.5499999999999999E-2</v>
      </c>
      <c r="Z154" s="69">
        <f t="shared" si="57"/>
        <v>23.3309</v>
      </c>
      <c r="AA154" s="69">
        <f t="shared" si="58"/>
        <v>23.285399999999999</v>
      </c>
      <c r="AB154" s="66" t="e">
        <f>VLOOKUP(A154,Enforcements!$C$7:$J$21,8,0)</f>
        <v>#N/A</v>
      </c>
      <c r="AC154" s="62" t="e">
        <f>VLOOKUP(A154,Enforcements!$C$7:$E$21,3,0)</f>
        <v>#N/A</v>
      </c>
      <c r="AD154" s="63" t="str">
        <f t="shared" si="59"/>
        <v>0239-30</v>
      </c>
      <c r="AE154" s="99" t="str">
        <f t="shared" si="60"/>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AF154" s="96" t="str">
        <f t="shared" si="61"/>
        <v>"C:\Program Files (x86)\AstroGrep\AstroGrep.exe" /spath="%USERPROFILE%\AppData\Local\Temp\OnboardLogs" /stypes="*4040*20160831*" /stext=" 06:.+((SYSTEM_STATE.+slice.+state.+changed )|(ment ac)|(system.+state.+changed )|(\|lc)|(penalty)|(\[timeout)|(PRM\|1\|D)|(kpr)|(kdp))" /e /r /s</v>
      </c>
      <c r="AG154" s="1" t="str">
        <f t="shared" si="62"/>
        <v>EC</v>
      </c>
      <c r="AH154" s="100" t="str">
        <f t="shared" si="63"/>
        <v>"%USERPROFILE%\Documents\GitHub\eaglep3\Utilities\RefineRTDCRunTimes.py" --tripid 239-30 --locoid 4040 --swversion DE.1.0.7.0 --startMP 204:455 --initTime 2016-08-30T23:25:12 --startdatetime 2016-08-30T23:30:23 --delay 1 --endMP 204:233309 --enddatetime 2016-08-31T00:07:39 --enforcementcount 0 &gt;&gt;C:\Users\stu\Documents\GitHub\eaglep3-reporting\EC\2016-08-30-refined-times.txt</v>
      </c>
      <c r="AI154" s="149" t="str">
        <f t="shared" si="64"/>
        <v>echo {"issue":{"subject":"","project_id":79,"tracker_id":40,"status_id":1,"priority_id":2,"assigned_to_id":23,"start_date":"2016-08-31","description":"","custom_fields":[{"id":1,"name":"Subdivision","value":"EC"},{"id":4,"name":"Milepost","value":"23.2854"},{"id":17,"name":"Train ID","value":"239-30"},{"id":16,"name":"Locomotive ID","value":"4040"},{"id":130,"name":"Impact","value":""},{"id":150,"name":"Time of Event (Mountain Time)","value":"00:07:39"},{"id":151,"name":"Denver Issue ID","value":""},{"id":178,"name":"Operational Impact","value":"Yes"},{"id":179,"name":"Denver Segment Assigned","value":""}]}} | curl -X POST -H "Content-Type: application/json" -H "X-Redmine-API-Key: d6333d4a04012a730768444271f8ca06482dae87" https://secure.xorail.net/redmine/issues.json --data @-</v>
      </c>
      <c r="AJ154" s="55"/>
      <c r="AK154" s="55"/>
      <c r="AL154" s="55"/>
    </row>
    <row r="155" spans="1:38" s="23" customFormat="1" x14ac:dyDescent="0.25">
      <c r="A155" s="39" t="s">
        <v>564</v>
      </c>
      <c r="B155" s="7">
        <v>4039</v>
      </c>
      <c r="C155" s="24" t="s">
        <v>113</v>
      </c>
      <c r="D155" s="24" t="s">
        <v>613</v>
      </c>
      <c r="E155" s="15">
        <v>42613.011921296296</v>
      </c>
      <c r="F155" s="15">
        <v>42613.018240740741</v>
      </c>
      <c r="G155" s="7">
        <v>2</v>
      </c>
      <c r="H155" s="15" t="s">
        <v>645</v>
      </c>
      <c r="I155" s="15">
        <v>42613.046134259261</v>
      </c>
      <c r="J155" s="7">
        <v>0</v>
      </c>
      <c r="K155" s="132" t="str">
        <f t="shared" si="51"/>
        <v>4039/4040</v>
      </c>
      <c r="L155" s="24" t="str">
        <f>VLOOKUP(A155,'Trips&amp;Operators'!$C$1:$E$10000,3,FALSE)</f>
        <v>COOLAHAN</v>
      </c>
      <c r="M155" s="6">
        <f t="shared" si="52"/>
        <v>2.789351851970423E-2</v>
      </c>
      <c r="N155" s="7">
        <f t="shared" si="65"/>
        <v>40.166666668374091</v>
      </c>
      <c r="O155" s="7"/>
      <c r="P155" s="7"/>
      <c r="Q155" s="25"/>
      <c r="R155" s="25"/>
      <c r="S155" s="37">
        <f t="shared" si="50"/>
        <v>1</v>
      </c>
      <c r="T155" s="52" t="str">
        <f t="shared" si="53"/>
        <v>Southbound</v>
      </c>
      <c r="U155" s="126">
        <f>IF(AG155="EC",COUNTIFS(Variables!$M$2:$M$19,IF(T155="NorthBound","&gt;=","&lt;=")&amp;Y155,Variables!$M$2:$M$19,IF(T155="NorthBound","&lt;=","&gt;=")&amp;Z155),COUNTIFS(Variables!$P$2:$P$19,IF(T155="NorthBound","&gt;=","&lt;=")&amp;Y155,Variables!$P$2:$P$19,IF(T155="NorthBound","&lt;=","&gt;=")&amp;Z155))</f>
        <v>12</v>
      </c>
      <c r="V155" s="106" t="str">
        <f t="shared" si="54"/>
        <v>https://search-rtdc-monitor-bjffxe2xuh6vdkpspy63sjmuny.us-east-1.es.amazonaws.com/_plugin/kibana/#/discover/Steve-Slow-Train-Analysis-(2080s-and-2083s)?_g=(refreshInterval:(display:Off,section:0,value:0),time:(from:'2016-08-30 23:17:10-0600',mode:absolute,to:'2016-08-31 02:06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W155" s="54" t="str">
        <f t="shared" si="55"/>
        <v>N</v>
      </c>
      <c r="X155" s="120">
        <f t="shared" si="66"/>
        <v>1</v>
      </c>
      <c r="Y155" s="69">
        <f t="shared" si="56"/>
        <v>23.298400000000001</v>
      </c>
      <c r="Z155" s="69">
        <f t="shared" si="57"/>
        <v>1.72E-2</v>
      </c>
      <c r="AA155" s="69">
        <f t="shared" si="58"/>
        <v>23.281200000000002</v>
      </c>
      <c r="AB155" s="66" t="e">
        <f>VLOOKUP(A155,Enforcements!$C$7:$J$21,8,0)</f>
        <v>#N/A</v>
      </c>
      <c r="AC155" s="62" t="e">
        <f>VLOOKUP(A155,Enforcements!$C$7:$E$21,3,0)</f>
        <v>#N/A</v>
      </c>
      <c r="AD155" s="63" t="str">
        <f t="shared" si="59"/>
        <v>0240-30</v>
      </c>
      <c r="AE155" s="99" t="str">
        <f t="shared" si="60"/>
        <v>aws s3 cp s3://rtdc.mdm.uploadarchive/RTDC4039/2016-08-31/ "%USERPROFILE%\AppData\Local\Temp\OnboardLogs"\RTDC4039\2016-08-31 --recursive &amp; "%USERPROFILE%\Documents\GitHub\mrs-test-scripts\Headless Mode &amp; Sideloading\WalkAndUnGZ.bat" "%USERPROFILE%\AppData\Local\Temp\OnboardLogs"\RTDC4039\2016-08-31 &amp; aws s3 cp s3://rtdc.mdm.uploadarchive/RTDC4039/2016-09-01/ "%USERPROFILE%\AppData\Local\Temp\OnboardLogs"\RTDC4039\2016-09-01 --recursive &amp; "%USERPROFILE%\Documents\GitHub\mrs-test-scripts\Headless Mode &amp; Sideloading\WalkAndUnGZ.bat" "%USERPROFILE%\AppData\Local\Temp\OnboardLogs"\RTDC4039\2016-09-01</v>
      </c>
      <c r="AF155" s="96" t="str">
        <f t="shared" si="61"/>
        <v>"C:\Program Files (x86)\AstroGrep\AstroGrep.exe" /spath="%USERPROFILE%\AppData\Local\Temp\OnboardLogs" /stypes="*4039*20160831*" /stext=" 07:.+((SYSTEM_STATE.+slice.+state.+changed )|(ment ac)|(system.+state.+changed )|(\|lc)|(penalty)|(\[timeout)|(PRM\|1\|D)|(kpr)|(kdp))" /e /r /s</v>
      </c>
      <c r="AG155" s="1" t="str">
        <f t="shared" si="62"/>
        <v>EC</v>
      </c>
      <c r="AH155" s="100" t="str">
        <f t="shared" si="63"/>
        <v>"%USERPROFILE%\Documents\GitHub\eaglep3\Utilities\RefineRTDCRunTimes.py" --tripid 240-30 --locoid 4039 --swversion DE.1.0.7.0 --startMP 204:232984 --initTime 2016-08-31T00:17:10 --startdatetime 2016-08-31T00:26:16 --delay 2 --endMP 204:172 --enddatetime 2016-08-31T01:06:26 --enforcementcount 0 &gt;&gt;C:\Users\stu\Documents\GitHub\eaglep3-reporting\EC\2016-08-30-refined-times.txt</v>
      </c>
      <c r="AI155" s="149" t="str">
        <f t="shared" si="64"/>
        <v>echo {"issue":{"subject":"","project_id":79,"tracker_id":40,"status_id":1,"priority_id":2,"assigned_to_id":23,"start_date":"2016-08-31","description":"","custom_fields":[{"id":1,"name":"Subdivision","value":"EC"},{"id":4,"name":"Milepost","value":"23.2812"},{"id":17,"name":"Train ID","value":"240-30"},{"id":16,"name":"Locomotive ID","value":"4039"},{"id":130,"name":"Impact","value":""},{"id":150,"name":"Time of Event (Mountain Time)","value":"01:06:26"},{"id":151,"name":"Denver Issue ID","value":""},{"id":178,"name":"Operational Impact","value":"Yes"},{"id":179,"name":"Denver Segment Assigned","value":""}]}} | curl -X POST -H "Content-Type: application/json" -H "X-Redmine-API-Key: d6333d4a04012a730768444271f8ca06482dae87" https://secure.xorail.net/redmine/issues.json --data @-</v>
      </c>
      <c r="AJ155" s="55"/>
      <c r="AK155" s="55"/>
      <c r="AL155" s="55"/>
    </row>
    <row r="156" spans="1:38" x14ac:dyDescent="0.25">
      <c r="A156" s="39" t="s">
        <v>562</v>
      </c>
      <c r="B156" s="7">
        <v>4020</v>
      </c>
      <c r="C156" s="24" t="s">
        <v>113</v>
      </c>
      <c r="D156" s="24" t="s">
        <v>293</v>
      </c>
      <c r="E156" s="15">
        <v>42612.9843287037</v>
      </c>
      <c r="F156" s="15">
        <v>42613.000347222223</v>
      </c>
      <c r="G156" s="7">
        <v>1</v>
      </c>
      <c r="H156" s="15" t="s">
        <v>332</v>
      </c>
      <c r="I156" s="15">
        <v>42613.026400462964</v>
      </c>
      <c r="J156" s="7">
        <v>0</v>
      </c>
      <c r="K156" s="132" t="str">
        <f t="shared" si="51"/>
        <v>4019/4020</v>
      </c>
      <c r="L156" s="24" t="str">
        <f>VLOOKUP(A156,'Trips&amp;Operators'!$C$1:$E$10000,3,FALSE)</f>
        <v>YANAI</v>
      </c>
      <c r="M156" s="6">
        <f t="shared" si="52"/>
        <v>2.6053240741021E-2</v>
      </c>
      <c r="N156" s="7">
        <f t="shared" si="65"/>
        <v>37.51666666707024</v>
      </c>
      <c r="O156" s="7"/>
      <c r="P156" s="7"/>
      <c r="Q156" s="25"/>
      <c r="R156" s="25"/>
      <c r="S156" s="37">
        <f t="shared" si="50"/>
        <v>1</v>
      </c>
      <c r="T156" s="52" t="str">
        <f t="shared" si="53"/>
        <v>NorthBound</v>
      </c>
      <c r="U156" s="126">
        <f>IF(AG156="EC",COUNTIFS(Variables!$M$2:$M$19,IF(T156="NorthBound","&gt;=","&lt;=")&amp;Y156,Variables!$M$2:$M$19,IF(T156="NorthBound","&lt;=","&gt;=")&amp;Z156),COUNTIFS(Variables!$P$2:$P$19,IF(T156="NorthBound","&gt;=","&lt;=")&amp;Y156,Variables!$P$2:$P$19,IF(T156="NorthBound","&lt;=","&gt;=")&amp;Z156))</f>
        <v>12</v>
      </c>
      <c r="V156" s="106" t="str">
        <f t="shared" si="54"/>
        <v>https://search-rtdc-monitor-bjffxe2xuh6vdkpspy63sjmuny.us-east-1.es.amazonaws.com/_plugin/kibana/#/discover/Steve-Slow-Train-Analysis-(2080s-and-2083s)?_g=(refreshInterval:(display:Off,section:0,value:0),time:(from:'2016-08-30 22:37:26-0600',mode:absolute,to:'2016-08-31 01:38: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156" s="54" t="str">
        <f t="shared" si="55"/>
        <v>N</v>
      </c>
      <c r="X156" s="120">
        <f t="shared" si="66"/>
        <v>1</v>
      </c>
      <c r="Y156" s="69">
        <f t="shared" si="56"/>
        <v>4.4200000000000003E-2</v>
      </c>
      <c r="Z156" s="69">
        <f t="shared" si="57"/>
        <v>23.3307</v>
      </c>
      <c r="AA156" s="69">
        <f t="shared" si="58"/>
        <v>23.2865</v>
      </c>
      <c r="AB156" s="66" t="e">
        <f>VLOOKUP(A156,Enforcements!$C$7:$J$21,8,0)</f>
        <v>#N/A</v>
      </c>
      <c r="AC156" s="62" t="e">
        <f>VLOOKUP(A156,Enforcements!$C$7:$E$21,3,0)</f>
        <v>#N/A</v>
      </c>
      <c r="AD156" s="63" t="str">
        <f t="shared" si="59"/>
        <v>0241-30</v>
      </c>
      <c r="AE156" s="99" t="str">
        <f t="shared" si="60"/>
        <v>aws s3 cp s3://rtdc.mdm.uploadarchive/RTDC4020/2016-08-31/ "%USERPROFILE%\AppData\Local\Temp\OnboardLogs"\RTDC4020\2016-08-31 --recursive &amp; "%USERPROFILE%\Documents\GitHub\mrs-test-scripts\Headless Mode &amp; Sideloading\WalkAndUnGZ.bat" "%USERPROFILE%\AppData\Local\Temp\OnboardLogs"\RTDC4020\2016-08-31 &amp; aws s3 cp s3://rtdc.mdm.uploadarchive/RTDC4020/2016-09-01/ "%USERPROFILE%\AppData\Local\Temp\OnboardLogs"\RTDC4020\2016-09-01 --recursive &amp; "%USERPROFILE%\Documents\GitHub\mrs-test-scripts\Headless Mode &amp; Sideloading\WalkAndUnGZ.bat" "%USERPROFILE%\AppData\Local\Temp\OnboardLogs"\RTDC4020\2016-09-01</v>
      </c>
      <c r="AF156" s="96" t="str">
        <f t="shared" si="61"/>
        <v>"C:\Program Files (x86)\AstroGrep\AstroGrep.exe" /spath="%USERPROFILE%\AppData\Local\Temp\OnboardLogs" /stypes="*4020*20160831*" /stext=" 06:.+((SYSTEM_STATE.+slice.+state.+changed )|(ment ac)|(system.+state.+changed )|(\|lc)|(penalty)|(\[timeout)|(PRM\|1\|D)|(kpr)|(kdp))" /e /r /s</v>
      </c>
      <c r="AG156" s="1" t="str">
        <f t="shared" si="62"/>
        <v>EC</v>
      </c>
      <c r="AH156" s="100" t="str">
        <f t="shared" si="63"/>
        <v>"%USERPROFILE%\Documents\GitHub\eaglep3\Utilities\RefineRTDCRunTimes.py" --tripid 241-30 --locoid 4020 --swversion DE.1.0.7.0 --startMP 204:442 --initTime 2016-08-30T23:37:26 --startdatetime 2016-08-31T00:00:30 --delay 1 --endMP 204:233307 --enddatetime 2016-08-31T00:38:01 --enforcementcount 0 &gt;&gt;C:\Users\stu\Documents\GitHub\eaglep3-reporting\EC\2016-08-30-refined-times.txt</v>
      </c>
      <c r="AI156" s="149" t="str">
        <f t="shared" si="64"/>
        <v>echo {"issue":{"subject":"","project_id":79,"tracker_id":40,"status_id":1,"priority_id":2,"assigned_to_id":23,"start_date":"2016-08-31","description":"","custom_fields":[{"id":1,"name":"Subdivision","value":"EC"},{"id":4,"name":"Milepost","value":"23.2865"},{"id":17,"name":"Train ID","value":"241-30"},{"id":16,"name":"Locomotive ID","value":"4020"},{"id":130,"name":"Impact","value":""},{"id":150,"name":"Time of Event (Mountain Time)","value":"00:38:01"},{"id":151,"name":"Denver Issue ID","value":""},{"id":178,"name":"Operational Impact","value":"Yes"},{"id":179,"name":"Denver Segment Assigned","value":""}]}} | curl -X POST -H "Content-Type: application/json" -H "X-Redmine-API-Key: d6333d4a04012a730768444271f8ca06482dae87" https://secure.xorail.net/redmine/issues.json --data @-</v>
      </c>
      <c r="AJ156" s="55"/>
      <c r="AK156" s="55"/>
      <c r="AL156" s="55"/>
    </row>
    <row r="157" spans="1:38" s="23" customFormat="1" x14ac:dyDescent="0.25">
      <c r="A157" s="39" t="s">
        <v>567</v>
      </c>
      <c r="B157" s="7">
        <v>4019</v>
      </c>
      <c r="C157" s="24" t="s">
        <v>113</v>
      </c>
      <c r="D157" s="24" t="s">
        <v>646</v>
      </c>
      <c r="E157" s="15">
        <v>42613.034016203703</v>
      </c>
      <c r="F157" s="15">
        <v>42613.039050925923</v>
      </c>
      <c r="G157" s="7">
        <v>1</v>
      </c>
      <c r="H157" s="15" t="s">
        <v>174</v>
      </c>
      <c r="I157" s="15">
        <v>42613.066284722219</v>
      </c>
      <c r="J157" s="7">
        <v>0</v>
      </c>
      <c r="K157" s="132" t="str">
        <f t="shared" si="51"/>
        <v>4019/4020</v>
      </c>
      <c r="L157" s="24" t="str">
        <f>VLOOKUP(A157,'Trips&amp;Operators'!$C$1:$E$10000,3,FALSE)</f>
        <v>YANAI</v>
      </c>
      <c r="M157" s="6">
        <f t="shared" si="52"/>
        <v>2.7233796296059154E-2</v>
      </c>
      <c r="N157" s="7">
        <f t="shared" si="65"/>
        <v>39.216666666325182</v>
      </c>
      <c r="O157" s="7"/>
      <c r="P157" s="7"/>
      <c r="Q157" s="25"/>
      <c r="R157" s="25"/>
      <c r="S157" s="37">
        <f t="shared" si="50"/>
        <v>1</v>
      </c>
      <c r="T157" s="52" t="str">
        <f t="shared" si="53"/>
        <v>Southbound</v>
      </c>
      <c r="U157" s="126">
        <f>IF(AG157="EC",COUNTIFS(Variables!$M$2:$M$19,IF(T157="NorthBound","&gt;=","&lt;=")&amp;Y157,Variables!$M$2:$M$19,IF(T157="NorthBound","&lt;=","&gt;=")&amp;Z157),COUNTIFS(Variables!$P$2:$P$19,IF(T157="NorthBound","&gt;=","&lt;=")&amp;Y157,Variables!$P$2:$P$19,IF(T157="NorthBound","&lt;=","&gt;=")&amp;Z157))</f>
        <v>12</v>
      </c>
      <c r="V157" s="106" t="str">
        <f t="shared" si="54"/>
        <v>https://search-rtdc-monitor-bjffxe2xuh6vdkpspy63sjmuny.us-east-1.es.amazonaws.com/_plugin/kibana/#/discover/Steve-Slow-Train-Analysis-(2080s-and-2083s)?_g=(refreshInterval:(display:Off,section:0,value:0),time:(from:'2016-08-30 23:48:59-0600',mode:absolute,to:'2016-08-31 02:35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W157" s="54" t="str">
        <f t="shared" si="55"/>
        <v>N</v>
      </c>
      <c r="X157" s="120">
        <f t="shared" si="66"/>
        <v>1</v>
      </c>
      <c r="Y157" s="69">
        <f t="shared" si="56"/>
        <v>23.296700000000001</v>
      </c>
      <c r="Z157" s="69">
        <f t="shared" si="57"/>
        <v>1.4500000000000001E-2</v>
      </c>
      <c r="AA157" s="69">
        <f t="shared" si="58"/>
        <v>23.2822</v>
      </c>
      <c r="AB157" s="66" t="e">
        <f>VLOOKUP(A157,Enforcements!$C$7:$J$21,8,0)</f>
        <v>#N/A</v>
      </c>
      <c r="AC157" s="62" t="e">
        <f>VLOOKUP(A157,Enforcements!$C$7:$E$21,3,0)</f>
        <v>#N/A</v>
      </c>
      <c r="AD157" s="63" t="str">
        <f t="shared" si="59"/>
        <v>0242-30</v>
      </c>
      <c r="AE157" s="99" t="str">
        <f t="shared" si="60"/>
        <v>aws s3 cp s3://rtdc.mdm.uploadarchive/RTDC4019/2016-08-31/ "%USERPROFILE%\AppData\Local\Temp\OnboardLogs"\RTDC4019\2016-08-31 --recursive &amp; "%USERPROFILE%\Documents\GitHub\mrs-test-scripts\Headless Mode &amp; Sideloading\WalkAndUnGZ.bat" "%USERPROFILE%\AppData\Local\Temp\OnboardLogs"\RTDC4019\2016-08-31 &amp; aws s3 cp s3://rtdc.mdm.uploadarchive/RTDC4019/2016-09-01/ "%USERPROFILE%\AppData\Local\Temp\OnboardLogs"\RTDC4019\2016-09-01 --recursive &amp; "%USERPROFILE%\Documents\GitHub\mrs-test-scripts\Headless Mode &amp; Sideloading\WalkAndUnGZ.bat" "%USERPROFILE%\AppData\Local\Temp\OnboardLogs"\RTDC4019\2016-09-01</v>
      </c>
      <c r="AF157" s="96" t="str">
        <f t="shared" si="61"/>
        <v>"C:\Program Files (x86)\AstroGrep\AstroGrep.exe" /spath="%USERPROFILE%\AppData\Local\Temp\OnboardLogs" /stypes="*4019*20160831*" /stext=" 07:.+((SYSTEM_STATE.+slice.+state.+changed )|(ment ac)|(system.+state.+changed )|(\|lc)|(penalty)|(\[timeout)|(PRM\|1\|D)|(kpr)|(kdp))" /e /r /s</v>
      </c>
      <c r="AG157" s="1" t="str">
        <f t="shared" si="62"/>
        <v>EC</v>
      </c>
      <c r="AH157" s="100" t="str">
        <f t="shared" si="63"/>
        <v>"%USERPROFILE%\Documents\GitHub\eaglep3\Utilities\RefineRTDCRunTimes.py" --tripid 242-30 --locoid 4019 --swversion DE.1.0.7.0 --startMP 204:232967 --initTime 2016-08-31T00:48:59 --startdatetime 2016-08-31T00:56:14 --delay 1 --endMP 204:145 --enddatetime 2016-08-31T01:35:27 --enforcementcount 0 &gt;&gt;C:\Users\stu\Documents\GitHub\eaglep3-reporting\EC\2016-08-30-refined-times.txt</v>
      </c>
      <c r="AI157" s="149" t="str">
        <f t="shared" si="64"/>
        <v>echo {"issue":{"subject":"","project_id":79,"tracker_id":40,"status_id":1,"priority_id":2,"assigned_to_id":23,"start_date":"2016-08-31","description":"","custom_fields":[{"id":1,"name":"Subdivision","value":"EC"},{"id":4,"name":"Milepost","value":"23.2822"},{"id":17,"name":"Train ID","value":"242-30"},{"id":16,"name":"Locomotive ID","value":"4019"},{"id":130,"name":"Impact","value":""},{"id":150,"name":"Time of Event (Mountain Time)","value":"01:35:27"},{"id":151,"name":"Denver Issue ID","value":""},{"id":178,"name":"Operational Impact","value":"Yes"},{"id":179,"name":"Denver Segment Assigned","value":""}]}} | curl -X POST -H "Content-Type: application/json" -H "X-Redmine-API-Key: d6333d4a04012a730768444271f8ca06482dae87" https://secure.xorail.net/redmine/issues.json --data @-</v>
      </c>
      <c r="AJ157" s="55"/>
      <c r="AK157" s="55"/>
      <c r="AL157" s="55"/>
    </row>
    <row r="158" spans="1:38" x14ac:dyDescent="0.25">
      <c r="A158" s="39" t="s">
        <v>565</v>
      </c>
      <c r="B158" s="7">
        <v>4018</v>
      </c>
      <c r="C158" s="24" t="s">
        <v>113</v>
      </c>
      <c r="D158" s="24" t="s">
        <v>621</v>
      </c>
      <c r="E158" s="15">
        <v>42613.019826388889</v>
      </c>
      <c r="F158" s="15">
        <v>42613.021458333336</v>
      </c>
      <c r="G158" s="7">
        <v>1</v>
      </c>
      <c r="H158" s="15" t="s">
        <v>254</v>
      </c>
      <c r="I158" s="15">
        <v>42613.048252314817</v>
      </c>
      <c r="J158" s="7">
        <v>0</v>
      </c>
      <c r="K158" s="132" t="str">
        <f t="shared" si="51"/>
        <v>4017/4018</v>
      </c>
      <c r="L158" s="24" t="str">
        <f>VLOOKUP(A158,'Trips&amp;Operators'!$C$1:$E$10000,3,FALSE)</f>
        <v>CHANDLER</v>
      </c>
      <c r="M158" s="6">
        <f t="shared" si="52"/>
        <v>2.679398148029577E-2</v>
      </c>
      <c r="N158" s="7">
        <f t="shared" si="65"/>
        <v>38.583333331625909</v>
      </c>
      <c r="O158" s="7"/>
      <c r="P158" s="7"/>
      <c r="Q158" s="25"/>
      <c r="R158" s="25"/>
      <c r="S158" s="37">
        <f t="shared" si="50"/>
        <v>1</v>
      </c>
      <c r="T158" s="52" t="str">
        <f t="shared" si="53"/>
        <v>NorthBound</v>
      </c>
      <c r="U158" s="126">
        <f>IF(AG158="EC",COUNTIFS(Variables!$M$2:$M$19,IF(T158="NorthBound","&gt;=","&lt;=")&amp;Y158,Variables!$M$2:$M$19,IF(T158="NorthBound","&lt;=","&gt;=")&amp;Z158),COUNTIFS(Variables!$P$2:$P$19,IF(T158="NorthBound","&gt;=","&lt;=")&amp;Y158,Variables!$P$2:$P$19,IF(T158="NorthBound","&lt;=","&gt;=")&amp;Z158))</f>
        <v>12</v>
      </c>
      <c r="V158" s="106" t="str">
        <f t="shared" si="54"/>
        <v>https://search-rtdc-monitor-bjffxe2xuh6vdkpspy63sjmuny.us-east-1.es.amazonaws.com/_plugin/kibana/#/discover/Steve-Slow-Train-Analysis-(2080s-and-2083s)?_g=(refreshInterval:(display:Off,section:0,value:0),time:(from:'2016-08-30 23:28:33-0600',mode:absolute,to:'2016-08-31 02:09: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158" s="54" t="str">
        <f t="shared" si="55"/>
        <v>N</v>
      </c>
      <c r="X158" s="120">
        <f t="shared" si="66"/>
        <v>1</v>
      </c>
      <c r="Y158" s="69">
        <f t="shared" si="56"/>
        <v>4.7800000000000002E-2</v>
      </c>
      <c r="Z158" s="69">
        <f t="shared" si="57"/>
        <v>23.331600000000002</v>
      </c>
      <c r="AA158" s="69">
        <f t="shared" si="58"/>
        <v>23.283800000000003</v>
      </c>
      <c r="AB158" s="66" t="e">
        <f>VLOOKUP(A158,Enforcements!$C$7:$J$21,8,0)</f>
        <v>#N/A</v>
      </c>
      <c r="AC158" s="62" t="e">
        <f>VLOOKUP(A158,Enforcements!$C$7:$E$21,3,0)</f>
        <v>#N/A</v>
      </c>
      <c r="AD158" s="63" t="str">
        <f t="shared" si="59"/>
        <v>0243-30</v>
      </c>
      <c r="AE158" s="99" t="str">
        <f t="shared" si="60"/>
        <v>aws s3 cp s3://rtdc.mdm.uploadarchive/RTDC4018/2016-08-31/ "%USERPROFILE%\AppData\Local\Temp\OnboardLogs"\RTDC4018\2016-08-31 --recursive &amp; "%USERPROFILE%\Documents\GitHub\mrs-test-scripts\Headless Mode &amp; Sideloading\WalkAndUnGZ.bat" "%USERPROFILE%\AppData\Local\Temp\OnboardLogs"\RTDC4018\2016-08-31 &amp; aws s3 cp s3://rtdc.mdm.uploadarchive/RTDC4018/2016-09-01/ "%USERPROFILE%\AppData\Local\Temp\OnboardLogs"\RTDC4018\2016-09-01 --recursive &amp; "%USERPROFILE%\Documents\GitHub\mrs-test-scripts\Headless Mode &amp; Sideloading\WalkAndUnGZ.bat" "%USERPROFILE%\AppData\Local\Temp\OnboardLogs"\RTDC4018\2016-09-01</v>
      </c>
      <c r="AF158" s="96" t="str">
        <f t="shared" si="61"/>
        <v>"C:\Program Files (x86)\AstroGrep\AstroGrep.exe" /spath="%USERPROFILE%\AppData\Local\Temp\OnboardLogs" /stypes="*4018*20160831*" /stext=" 07:.+((SYSTEM_STATE.+slice.+state.+changed )|(ment ac)|(system.+state.+changed )|(\|lc)|(penalty)|(\[timeout)|(PRM\|1\|D)|(kpr)|(kdp))" /e /r /s</v>
      </c>
      <c r="AG158" s="1" t="str">
        <f t="shared" si="62"/>
        <v>EC</v>
      </c>
      <c r="AH158" s="100" t="str">
        <f t="shared" si="63"/>
        <v>"%USERPROFILE%\Documents\GitHub\eaglep3\Utilities\RefineRTDCRunTimes.py" --tripid 243-30 --locoid 4018 --swversion DE.1.0.7.0 --startMP 204:478 --initTime 2016-08-31T00:28:33 --startdatetime 2016-08-31T00:30:54 --delay 1 --endMP 204:233316 --enddatetime 2016-08-31T01:09:29 --enforcementcount 0 &gt;&gt;C:\Users\stu\Documents\GitHub\eaglep3-reporting\EC\2016-08-30-refined-times.txt</v>
      </c>
      <c r="AI158" s="149" t="str">
        <f t="shared" si="64"/>
        <v>echo {"issue":{"subject":"","project_id":79,"tracker_id":40,"status_id":1,"priority_id":2,"assigned_to_id":23,"start_date":"2016-08-31","description":"","custom_fields":[{"id":1,"name":"Subdivision","value":"EC"},{"id":4,"name":"Milepost","value":"23.2838"},{"id":17,"name":"Train ID","value":"243-30"},{"id":16,"name":"Locomotive ID","value":"4018"},{"id":130,"name":"Impact","value":""},{"id":150,"name":"Time of Event (Mountain Time)","value":"01:09:29"},{"id":151,"name":"Denver Issue ID","value":""},{"id":178,"name":"Operational Impact","value":"Yes"},{"id":179,"name":"Denver Segment Assigned","value":""}]}} | curl -X POST -H "Content-Type: application/json" -H "X-Redmine-API-Key: d6333d4a04012a730768444271f8ca06482dae87" https://secure.xorail.net/redmine/issues.json --data @-</v>
      </c>
      <c r="AJ158" s="55"/>
      <c r="AK158" s="55"/>
      <c r="AL158" s="55"/>
    </row>
    <row r="159" spans="1:38" s="23" customFormat="1" x14ac:dyDescent="0.25">
      <c r="A159" s="39" t="s">
        <v>569</v>
      </c>
      <c r="B159" s="7">
        <v>4017</v>
      </c>
      <c r="C159" s="24" t="s">
        <v>113</v>
      </c>
      <c r="D159" s="24" t="s">
        <v>261</v>
      </c>
      <c r="E159" s="15">
        <v>42613.058194444442</v>
      </c>
      <c r="F159" s="15">
        <v>42613.06040509259</v>
      </c>
      <c r="G159" s="7">
        <v>1</v>
      </c>
      <c r="H159" s="15" t="s">
        <v>640</v>
      </c>
      <c r="I159" s="15">
        <v>42613.086875000001</v>
      </c>
      <c r="J159" s="7">
        <v>0</v>
      </c>
      <c r="K159" s="132" t="str">
        <f t="shared" si="51"/>
        <v>4017/4018</v>
      </c>
      <c r="L159" s="24" t="str">
        <f>VLOOKUP(A159,'Trips&amp;Operators'!$C$1:$E$10000,3,FALSE)</f>
        <v>CHANDLER</v>
      </c>
      <c r="M159" s="6">
        <f t="shared" si="52"/>
        <v>2.6469907410501037E-2</v>
      </c>
      <c r="N159" s="7">
        <f t="shared" si="65"/>
        <v>38.116666671121493</v>
      </c>
      <c r="O159" s="7"/>
      <c r="P159" s="7"/>
      <c r="Q159" s="25"/>
      <c r="R159" s="25"/>
      <c r="S159" s="37">
        <f t="shared" si="50"/>
        <v>1</v>
      </c>
      <c r="T159" s="52" t="str">
        <f t="shared" si="53"/>
        <v>Southbound</v>
      </c>
      <c r="U159" s="126">
        <f>IF(AG159="EC",COUNTIFS(Variables!$M$2:$M$19,IF(T159="NorthBound","&gt;=","&lt;=")&amp;Y159,Variables!$M$2:$M$19,IF(T159="NorthBound","&lt;=","&gt;=")&amp;Z159),COUNTIFS(Variables!$P$2:$P$19,IF(T159="NorthBound","&gt;=","&lt;=")&amp;Y159,Variables!$P$2:$P$19,IF(T159="NorthBound","&lt;=","&gt;=")&amp;Z159))</f>
        <v>12</v>
      </c>
      <c r="V159" s="106" t="str">
        <f t="shared" si="54"/>
        <v>https://search-rtdc-monitor-bjffxe2xuh6vdkpspy63sjmuny.us-east-1.es.amazonaws.com/_plugin/kibana/#/discover/Steve-Slow-Train-Analysis-(2080s-and-2083s)?_g=(refreshInterval:(display:Off,section:0,value:0),time:(from:'2016-08-31 00:23:48-0600',mode:absolute,to:'2016-08-31 03:05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W159" s="54" t="str">
        <f t="shared" si="55"/>
        <v>N</v>
      </c>
      <c r="X159" s="120">
        <f t="shared" si="66"/>
        <v>1</v>
      </c>
      <c r="Y159" s="69">
        <f t="shared" si="56"/>
        <v>23.2973</v>
      </c>
      <c r="Z159" s="69">
        <f t="shared" si="57"/>
        <v>1.7000000000000001E-2</v>
      </c>
      <c r="AA159" s="69">
        <f t="shared" si="58"/>
        <v>23.2803</v>
      </c>
      <c r="AB159" s="66" t="e">
        <f>VLOOKUP(A159,Enforcements!$C$7:$J$21,8,0)</f>
        <v>#N/A</v>
      </c>
      <c r="AC159" s="62" t="e">
        <f>VLOOKUP(A159,Enforcements!$C$7:$E$21,3,0)</f>
        <v>#N/A</v>
      </c>
      <c r="AD159" s="63" t="str">
        <f t="shared" si="59"/>
        <v>0244-30</v>
      </c>
      <c r="AE159" s="99" t="str">
        <f t="shared" si="60"/>
        <v>aws s3 cp s3://rtdc.mdm.uploadarchive/RTDC4017/2016-08-31/ "%USERPROFILE%\AppData\Local\Temp\OnboardLogs"\RTDC4017\2016-08-31 --recursive &amp; "%USERPROFILE%\Documents\GitHub\mrs-test-scripts\Headless Mode &amp; Sideloading\WalkAndUnGZ.bat" "%USERPROFILE%\AppData\Local\Temp\OnboardLogs"\RTDC4017\2016-08-31 &amp; aws s3 cp s3://rtdc.mdm.uploadarchive/RTDC4017/2016-09-01/ "%USERPROFILE%\AppData\Local\Temp\OnboardLogs"\RTDC4017\2016-09-01 --recursive &amp; "%USERPROFILE%\Documents\GitHub\mrs-test-scripts\Headless Mode &amp; Sideloading\WalkAndUnGZ.bat" "%USERPROFILE%\AppData\Local\Temp\OnboardLogs"\RTDC4017\2016-09-01</v>
      </c>
      <c r="AF159" s="96" t="str">
        <f t="shared" si="61"/>
        <v>"C:\Program Files (x86)\AstroGrep\AstroGrep.exe" /spath="%USERPROFILE%\AppData\Local\Temp\OnboardLogs" /stypes="*4017*20160831*" /stext=" 08:.+((SYSTEM_STATE.+slice.+state.+changed )|(ment ac)|(system.+state.+changed )|(\|lc)|(penalty)|(\[timeout)|(PRM\|1\|D)|(kpr)|(kdp))" /e /r /s</v>
      </c>
      <c r="AG159" s="1" t="str">
        <f t="shared" si="62"/>
        <v>EC</v>
      </c>
      <c r="AH159" s="100" t="str">
        <f t="shared" si="63"/>
        <v>"%USERPROFILE%\Documents\GitHub\eaglep3\Utilities\RefineRTDCRunTimes.py" --tripid 244-30 --locoid 4017 --swversion DE.1.0.7.0 --startMP 204:232973 --initTime 2016-08-31T01:23:48 --startdatetime 2016-08-31T01:26:59 --delay 1 --endMP 204:170 --enddatetime 2016-08-31T02:05:06 --enforcementcount 0 &gt;&gt;C:\Users\stu\Documents\GitHub\eaglep3-reporting\EC\2016-08-30-refined-times.txt</v>
      </c>
      <c r="AI159" s="149" t="str">
        <f t="shared" si="64"/>
        <v>echo {"issue":{"subject":"","project_id":79,"tracker_id":40,"status_id":1,"priority_id":2,"assigned_to_id":23,"start_date":"2016-08-31","description":"","custom_fields":[{"id":1,"name":"Subdivision","value":"EC"},{"id":4,"name":"Milepost","value":"23.2803"},{"id":17,"name":"Train ID","value":"244-30"},{"id":16,"name":"Locomotive ID","value":"4017"},{"id":130,"name":"Impact","value":""},{"id":150,"name":"Time of Event (Mountain Time)","value":"02:05:06"},{"id":151,"name":"Denver Issue ID","value":""},{"id":178,"name":"Operational Impact","value":"Yes"},{"id":179,"name":"Denver Segment Assigned","value":""}]}} | curl -X POST -H "Content-Type: application/json" -H "X-Redmine-API-Key: d6333d4a04012a730768444271f8ca06482dae87" https://secure.xorail.net/redmine/issues.json --data @-</v>
      </c>
      <c r="AJ159" s="55"/>
      <c r="AK159" s="55"/>
      <c r="AL159" s="55"/>
    </row>
    <row r="160" spans="1:38" s="23" customFormat="1" x14ac:dyDescent="0.25">
      <c r="A160" s="39" t="s">
        <v>353</v>
      </c>
      <c r="B160" s="7">
        <v>4028</v>
      </c>
      <c r="C160" s="24" t="s">
        <v>113</v>
      </c>
      <c r="D160" s="24" t="s">
        <v>287</v>
      </c>
      <c r="E160" s="15">
        <v>42612.211238425924</v>
      </c>
      <c r="F160" s="15">
        <v>42612.213518518518</v>
      </c>
      <c r="G160" s="7">
        <v>1</v>
      </c>
      <c r="H160" s="15" t="s">
        <v>346</v>
      </c>
      <c r="I160" s="15">
        <v>42612.229039351849</v>
      </c>
      <c r="J160" s="7">
        <v>0</v>
      </c>
      <c r="K160" s="132" t="str">
        <f t="shared" si="51"/>
        <v>4027/4028</v>
      </c>
      <c r="L160" s="24" t="str">
        <f>VLOOKUP(A160,'Trips&amp;Operators'!$C$1:$E$10000,3,FALSE)</f>
        <v>STARKS</v>
      </c>
      <c r="M160" s="6">
        <f t="shared" si="52"/>
        <v>1.5520833330811001E-2</v>
      </c>
      <c r="N160" s="7">
        <f t="shared" si="65"/>
        <v>22.349999996367842</v>
      </c>
      <c r="O160" s="7"/>
      <c r="P160" s="7"/>
      <c r="Q160" s="25"/>
      <c r="R160" s="25"/>
      <c r="S160" s="37">
        <f t="shared" si="50"/>
        <v>1</v>
      </c>
      <c r="T160" s="52" t="str">
        <f t="shared" si="53"/>
        <v>Southbound</v>
      </c>
      <c r="U160" s="126">
        <f>IF(AG160="EC",COUNTIFS(Variables!$M$2:$M$19,IF(T160="NorthBound","&gt;=","&lt;=")&amp;Y160,Variables!$M$2:$M$19,IF(T160="NorthBound","&lt;=","&gt;=")&amp;Z160),COUNTIFS(Variables!$P$2:$P$19,IF(T160="NorthBound","&gt;=","&lt;=")&amp;Y160,Variables!$P$2:$P$19,IF(T160="NorthBound","&lt;=","&gt;=")&amp;Z160))</f>
        <v>1</v>
      </c>
      <c r="V160" s="106" t="str">
        <f t="shared" si="54"/>
        <v>https://search-rtdc-monitor-bjffxe2xuh6vdkpspy63sjmuny.us-east-1.es.amazonaws.com/_plugin/kibana/#/discover/Steve-Slow-Train-Analysis-(2080s-and-2083s)?_g=(refreshInterval:(display:Off,section:0,value:0),time:(from:'2016-08-30 04:04:11-0600',mode:absolute,to:'2016-08-30 06:29: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60" s="54" t="str">
        <f t="shared" si="55"/>
        <v>N</v>
      </c>
      <c r="X160" s="120">
        <f t="shared" si="66"/>
        <v>556</v>
      </c>
      <c r="Y160" s="69">
        <f t="shared" si="56"/>
        <v>5.8605999999999998</v>
      </c>
      <c r="Z160" s="69">
        <f t="shared" si="57"/>
        <v>7.1900000000000006E-2</v>
      </c>
      <c r="AA160" s="69">
        <f t="shared" si="58"/>
        <v>5.7886999999999995</v>
      </c>
      <c r="AB160" s="66" t="e">
        <f>VLOOKUP(A160,Enforcements!$C$7:$J$21,8,0)</f>
        <v>#N/A</v>
      </c>
      <c r="AC160" s="62" t="e">
        <f>VLOOKUP(A160,Enforcements!$C$7:$E$21,3,0)</f>
        <v>#N/A</v>
      </c>
      <c r="AD160" s="63" t="str">
        <f t="shared" si="59"/>
        <v>0800-30</v>
      </c>
      <c r="AE160"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60" s="96" t="str">
        <f t="shared" si="61"/>
        <v>"C:\Program Files (x86)\AstroGrep\AstroGrep.exe" /spath="%USERPROFILE%\AppData\Local\Temp\OnboardLogs" /stypes="*4028*20160830*" /stext=" 11:.+((SYSTEM_STATE.+slice.+state.+changed )|(ment ac)|(system.+state.+changed )|(\|lc)|(penalty)|(\[timeout)|(PRM\|1\|D)|(kpr)|(kdp))" /e /r /s</v>
      </c>
      <c r="AG160" s="1" t="str">
        <f t="shared" si="62"/>
        <v>NW</v>
      </c>
      <c r="AH160" s="100" t="str">
        <f t="shared" si="63"/>
        <v>"%USERPROFILE%\Documents\GitHub\eaglep3\Utilities\RefineRTDCRunTimes.py" --tripid 800-30 --locoid 4028 --swversion DE.1.0.7.0 --startMP 300:58606 --initTime 2016-08-30T05:04:11 --startdatetime 2016-08-30T05:07:28 --delay 1 --endMP 204:719 --enddatetime 2016-08-30T05:29:49 --enforcementcount 0 &gt;&gt;C:\Users\stu\Documents\GitHub\eaglep3-reporting\EC\2016-08-30-refined-times.txt</v>
      </c>
      <c r="AI160" s="149" t="str">
        <f t="shared" si="64"/>
        <v>echo {"issue":{"subject":"","project_id":79,"tracker_id":40,"status_id":1,"priority_id":2,"assigned_to_id":23,"start_date":"2016-08-30","description":"","custom_fields":[{"id":1,"name":"Subdivision","value":"NW"},{"id":4,"name":"Milepost","value":"5.7887"},{"id":17,"name":"Train ID","value":"800-30"},{"id":16,"name":"Locomotive ID","value":"4028"},{"id":130,"name":"Impact","value":""},{"id":150,"name":"Time of Event (Mountain Time)","value":"05:29:49"},{"id":151,"name":"Denver Issue ID","value":""},{"id":178,"name":"Operational Impact","value":"Yes"},{"id":179,"name":"Denver Segment Assigned","value":""}]}} | curl -X POST -H "Content-Type: application/json" -H "X-Redmine-API-Key: d6333d4a04012a730768444271f8ca06482dae87" https://secure.xorail.net/redmine/issues.json --data @-</v>
      </c>
      <c r="AJ160" s="55"/>
      <c r="AK160" s="55"/>
      <c r="AL160" s="55"/>
    </row>
    <row r="161" spans="1:38" x14ac:dyDescent="0.25">
      <c r="A161" s="39" t="s">
        <v>404</v>
      </c>
      <c r="B161" s="7">
        <v>4027</v>
      </c>
      <c r="C161" s="24" t="s">
        <v>113</v>
      </c>
      <c r="D161" s="24" t="s">
        <v>345</v>
      </c>
      <c r="E161" s="15">
        <v>42612.240659722222</v>
      </c>
      <c r="F161" s="15">
        <v>42612.243923611109</v>
      </c>
      <c r="G161" s="7">
        <v>1</v>
      </c>
      <c r="H161" s="15" t="s">
        <v>267</v>
      </c>
      <c r="I161" s="15">
        <v>42612.25372685185</v>
      </c>
      <c r="J161" s="7">
        <v>0</v>
      </c>
      <c r="K161" s="132" t="str">
        <f t="shared" si="51"/>
        <v>4027/4028</v>
      </c>
      <c r="L161" s="24" t="str">
        <f>VLOOKUP(A161,'Trips&amp;Operators'!$C$1:$E$10000,3,FALSE)</f>
        <v>STARKS</v>
      </c>
      <c r="M161" s="6">
        <f t="shared" si="52"/>
        <v>9.8032407404389232E-3</v>
      </c>
      <c r="N161" s="7">
        <f t="shared" si="65"/>
        <v>14.116666666232049</v>
      </c>
      <c r="O161" s="7"/>
      <c r="P161" s="7"/>
      <c r="Q161" s="25"/>
      <c r="R161" s="25"/>
      <c r="S161" s="37">
        <f t="shared" si="50"/>
        <v>1</v>
      </c>
      <c r="T161" s="52" t="str">
        <f t="shared" si="53"/>
        <v>NorthBound</v>
      </c>
      <c r="U161" s="126">
        <f>IF(AG161="EC",COUNTIFS(Variables!$M$2:$M$19,IF(T161="NorthBound","&gt;=","&lt;=")&amp;Y161,Variables!$M$2:$M$19,IF(T161="NorthBound","&lt;=","&gt;=")&amp;Z161),COUNTIFS(Variables!$P$2:$P$19,IF(T161="NorthBound","&gt;=","&lt;=")&amp;Y161,Variables!$P$2:$P$19,IF(T161="NorthBound","&lt;=","&gt;=")&amp;Z161))</f>
        <v>1</v>
      </c>
      <c r="V161" s="106" t="str">
        <f t="shared" si="54"/>
        <v>https://search-rtdc-monitor-bjffxe2xuh6vdkpspy63sjmuny.us-east-1.es.amazonaws.com/_plugin/kibana/#/discover/Steve-Slow-Train-Analysis-(2080s-and-2083s)?_g=(refreshInterval:(display:Off,section:0,value:0),time:(from:'2016-08-30 04:46:33-0600',mode:absolute,to:'2016-08-30 07:05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61" s="54" t="str">
        <f t="shared" si="55"/>
        <v>N</v>
      </c>
      <c r="X161" s="120">
        <f t="shared" si="66"/>
        <v>1</v>
      </c>
      <c r="Y161" s="69">
        <f t="shared" si="56"/>
        <v>0.1007</v>
      </c>
      <c r="Z161" s="69">
        <f t="shared" si="57"/>
        <v>5.8933</v>
      </c>
      <c r="AA161" s="69">
        <f t="shared" si="58"/>
        <v>5.7926000000000002</v>
      </c>
      <c r="AB161" s="66" t="e">
        <f>VLOOKUP(A161,Enforcements!$C$7:$J$21,8,0)</f>
        <v>#N/A</v>
      </c>
      <c r="AC161" s="62" t="e">
        <f>VLOOKUP(A161,Enforcements!$C$7:$E$21,3,0)</f>
        <v>#N/A</v>
      </c>
      <c r="AD161" s="63" t="str">
        <f t="shared" si="59"/>
        <v>0801-30</v>
      </c>
      <c r="AE161"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61" s="96" t="str">
        <f t="shared" si="61"/>
        <v>"C:\Program Files (x86)\AstroGrep\AstroGrep.exe" /spath="%USERPROFILE%\AppData\Local\Temp\OnboardLogs" /stypes="*4027*20160830*" /stext=" 12:.+((SYSTEM_STATE.+slice.+state.+changed )|(ment ac)|(system.+state.+changed )|(\|lc)|(penalty)|(\[timeout)|(PRM\|1\|D)|(kpr)|(kdp))" /e /r /s</v>
      </c>
      <c r="AG161" s="1" t="str">
        <f t="shared" si="62"/>
        <v>NW</v>
      </c>
      <c r="AH161" s="100" t="str">
        <f t="shared" si="63"/>
        <v>"%USERPROFILE%\Documents\GitHub\eaglep3\Utilities\RefineRTDCRunTimes.py" --tripid 801-30 --locoid 4027 --swversion DE.1.0.7.0 --startMP 204:1007 --initTime 2016-08-30T05:46:33 --startdatetime 2016-08-30T05:51:15 --delay 1 --endMP 300:58933 --enddatetime 2016-08-30T06:05:22 --enforcementcount 0 &gt;&gt;C:\Users\stu\Documents\GitHub\eaglep3-reporting\EC\2016-08-30-refined-times.txt</v>
      </c>
      <c r="AI161" s="149" t="str">
        <f t="shared" si="64"/>
        <v>echo {"issue":{"subject":"","project_id":79,"tracker_id":40,"status_id":1,"priority_id":2,"assigned_to_id":23,"start_date":"2016-08-30","description":"","custom_fields":[{"id":1,"name":"Subdivision","value":"NW"},{"id":4,"name":"Milepost","value":"5.7926"},{"id":17,"name":"Train ID","value":"801-30"},{"id":16,"name":"Locomotive ID","value":"4027"},{"id":130,"name":"Impact","value":""},{"id":150,"name":"Time of Event (Mountain Time)","value":"06:05:22"},{"id":151,"name":"Denver Issue ID","value":""},{"id":178,"name":"Operational Impact","value":"Yes"},{"id":179,"name":"Denver Segment Assigned","value":""}]}} | curl -X POST -H "Content-Type: application/json" -H "X-Redmine-API-Key: d6333d4a04012a730768444271f8ca06482dae87" https://secure.xorail.net/redmine/issues.json --data @-</v>
      </c>
      <c r="AJ161" s="55"/>
      <c r="AK161" s="55"/>
      <c r="AL161" s="55"/>
    </row>
    <row r="162" spans="1:38" s="23" customFormat="1" x14ac:dyDescent="0.25">
      <c r="A162" s="39" t="s">
        <v>407</v>
      </c>
      <c r="B162" s="7">
        <v>4028</v>
      </c>
      <c r="C162" s="24" t="s">
        <v>113</v>
      </c>
      <c r="D162" s="24" t="s">
        <v>283</v>
      </c>
      <c r="E162" s="15">
        <v>42612.254907407405</v>
      </c>
      <c r="F162" s="15">
        <v>42612.256377314814</v>
      </c>
      <c r="G162" s="7">
        <v>1</v>
      </c>
      <c r="H162" s="15" t="s">
        <v>667</v>
      </c>
      <c r="I162" s="15">
        <v>42612.267893518518</v>
      </c>
      <c r="J162" s="7">
        <v>0</v>
      </c>
      <c r="K162" s="132" t="str">
        <f t="shared" si="51"/>
        <v>4027/4028</v>
      </c>
      <c r="L162" s="24" t="str">
        <f>VLOOKUP(A162,'Trips&amp;Operators'!$C$1:$E$10000,3,FALSE)</f>
        <v>STARKS</v>
      </c>
      <c r="M162" s="6">
        <f t="shared" si="52"/>
        <v>1.1516203703649808E-2</v>
      </c>
      <c r="N162" s="7">
        <f t="shared" si="65"/>
        <v>16.583333333255723</v>
      </c>
      <c r="O162" s="7"/>
      <c r="P162" s="7"/>
      <c r="Q162" s="25"/>
      <c r="R162" s="25"/>
      <c r="S162" s="37">
        <f t="shared" si="50"/>
        <v>1</v>
      </c>
      <c r="T162" s="52" t="str">
        <f t="shared" si="53"/>
        <v>Southbound</v>
      </c>
      <c r="U162" s="126">
        <f>IF(AG162="EC",COUNTIFS(Variables!$M$2:$M$19,IF(T162="NorthBound","&gt;=","&lt;=")&amp;Y162,Variables!$M$2:$M$19,IF(T162="NorthBound","&lt;=","&gt;=")&amp;Z162),COUNTIFS(Variables!$P$2:$P$19,IF(T162="NorthBound","&gt;=","&lt;=")&amp;Y162,Variables!$P$2:$P$19,IF(T162="NorthBound","&lt;=","&gt;=")&amp;Z162))</f>
        <v>1</v>
      </c>
      <c r="V162" s="106" t="str">
        <f t="shared" si="54"/>
        <v>https://search-rtdc-monitor-bjffxe2xuh6vdkpspy63sjmuny.us-east-1.es.amazonaws.com/_plugin/kibana/#/discover/Steve-Slow-Train-Analysis-(2080s-and-2083s)?_g=(refreshInterval:(display:Off,section:0,value:0),time:(from:'2016-08-30 05:07:04-0600',mode:absolute,to:'2016-08-30 07:25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62" s="54" t="str">
        <f t="shared" si="55"/>
        <v>N</v>
      </c>
      <c r="X162" s="120">
        <f t="shared" si="66"/>
        <v>1</v>
      </c>
      <c r="Y162" s="69">
        <f t="shared" si="56"/>
        <v>5.8611000000000004</v>
      </c>
      <c r="Z162" s="69">
        <f t="shared" si="57"/>
        <v>7.1499999999999994E-2</v>
      </c>
      <c r="AA162" s="69">
        <f t="shared" si="58"/>
        <v>5.7896000000000001</v>
      </c>
      <c r="AB162" s="66" t="e">
        <f>VLOOKUP(A162,Enforcements!$C$7:$J$21,8,0)</f>
        <v>#N/A</v>
      </c>
      <c r="AC162" s="62" t="e">
        <f>VLOOKUP(A162,Enforcements!$C$7:$E$21,3,0)</f>
        <v>#N/A</v>
      </c>
      <c r="AD162" s="63" t="str">
        <f t="shared" si="59"/>
        <v>0802-30</v>
      </c>
      <c r="AE162"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62" s="96" t="str">
        <f t="shared" si="61"/>
        <v>"C:\Program Files (x86)\AstroGrep\AstroGrep.exe" /spath="%USERPROFILE%\AppData\Local\Temp\OnboardLogs" /stypes="*4028*20160830*" /stext=" 12:.+((SYSTEM_STATE.+slice.+state.+changed )|(ment ac)|(system.+state.+changed )|(\|lc)|(penalty)|(\[timeout)|(PRM\|1\|D)|(kpr)|(kdp))" /e /r /s</v>
      </c>
      <c r="AG162" s="1" t="str">
        <f t="shared" si="62"/>
        <v>NW</v>
      </c>
      <c r="AH162" s="100" t="str">
        <f t="shared" si="63"/>
        <v>"%USERPROFILE%\Documents\GitHub\eaglep3\Utilities\RefineRTDCRunTimes.py" --tripid 802-30 --locoid 4028 --swversion DE.1.0.7.0 --startMP 300:58611 --initTime 2016-08-30T06:07:04 --startdatetime 2016-08-30T06:09:11 --delay 1 --endMP 204:715 --enddatetime 2016-08-30T06:25:46 --enforcementcount 0 &gt;&gt;C:\Users\stu\Documents\GitHub\eaglep3-reporting\EC\2016-08-30-refined-times.txt</v>
      </c>
      <c r="AI162" s="149" t="str">
        <f t="shared" si="64"/>
        <v>echo {"issue":{"subject":"","project_id":79,"tracker_id":40,"status_id":1,"priority_id":2,"assigned_to_id":23,"start_date":"2016-08-30","description":"","custom_fields":[{"id":1,"name":"Subdivision","value":"NW"},{"id":4,"name":"Milepost","value":"5.7896"},{"id":17,"name":"Train ID","value":"802-30"},{"id":16,"name":"Locomotive ID","value":"4028"},{"id":130,"name":"Impact","value":""},{"id":150,"name":"Time of Event (Mountain Time)","value":"06:25:46"},{"id":151,"name":"Denver Issue ID","value":""},{"id":178,"name":"Operational Impact","value":"Yes"},{"id":179,"name":"Denver Segment Assigned","value":""}]}} | curl -X POST -H "Content-Type: application/json" -H "X-Redmine-API-Key: d6333d4a04012a730768444271f8ca06482dae87" https://secure.xorail.net/redmine/issues.json --data @-</v>
      </c>
      <c r="AJ162" s="55"/>
      <c r="AK162" s="55"/>
      <c r="AL162" s="55"/>
    </row>
    <row r="163" spans="1:38" x14ac:dyDescent="0.25">
      <c r="A163" s="39" t="s">
        <v>356</v>
      </c>
      <c r="B163" s="7">
        <v>4014</v>
      </c>
      <c r="C163" s="24" t="s">
        <v>113</v>
      </c>
      <c r="D163" s="24" t="s">
        <v>668</v>
      </c>
      <c r="E163" s="15">
        <v>42612.255810185183</v>
      </c>
      <c r="F163" s="15">
        <v>42612.264872685184</v>
      </c>
      <c r="G163" s="7">
        <v>1</v>
      </c>
      <c r="H163" s="15" t="s">
        <v>669</v>
      </c>
      <c r="I163" s="15">
        <v>42612.274027777778</v>
      </c>
      <c r="J163" s="7">
        <v>0</v>
      </c>
      <c r="K163" s="132" t="str">
        <f t="shared" si="51"/>
        <v>4013/4014</v>
      </c>
      <c r="L163" s="24" t="str">
        <f>VLOOKUP(A163,'Trips&amp;Operators'!$C$1:$E$10000,3,FALSE)</f>
        <v>SANTIZO</v>
      </c>
      <c r="M163" s="6">
        <f t="shared" si="52"/>
        <v>9.1550925935734995E-3</v>
      </c>
      <c r="N163" s="7">
        <f t="shared" si="65"/>
        <v>13.183333334745839</v>
      </c>
      <c r="O163" s="7"/>
      <c r="P163" s="7"/>
      <c r="Q163" s="25"/>
      <c r="R163" s="25"/>
      <c r="S163" s="37">
        <f t="shared" si="50"/>
        <v>1</v>
      </c>
      <c r="T163" s="52" t="str">
        <f t="shared" si="53"/>
        <v>NorthBound</v>
      </c>
      <c r="U163" s="126">
        <f>IF(AG163="EC",COUNTIFS(Variables!$M$2:$M$19,IF(T163="NorthBound","&gt;=","&lt;=")&amp;Y163,Variables!$M$2:$M$19,IF(T163="NorthBound","&lt;=","&gt;=")&amp;Z163),COUNTIFS(Variables!$P$2:$P$19,IF(T163="NorthBound","&gt;=","&lt;=")&amp;Y163,Variables!$P$2:$P$19,IF(T163="NorthBound","&lt;=","&gt;=")&amp;Z163))</f>
        <v>1</v>
      </c>
      <c r="V163" s="106" t="str">
        <f t="shared" si="54"/>
        <v>https://search-rtdc-monitor-bjffxe2xuh6vdkpspy63sjmuny.us-east-1.es.amazonaws.com/_plugin/kibana/#/discover/Steve-Slow-Train-Analysis-(2080s-and-2083s)?_g=(refreshInterval:(display:Off,section:0,value:0),time:(from:'2016-08-30 05:08:22-0600',mode:absolute,to:'2016-08-30 07: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63" s="54" t="str">
        <f t="shared" si="55"/>
        <v>N</v>
      </c>
      <c r="X163" s="120">
        <f t="shared" si="66"/>
        <v>1</v>
      </c>
      <c r="Y163" s="69">
        <f t="shared" si="56"/>
        <v>8.8999999999999996E-2</v>
      </c>
      <c r="Z163" s="69">
        <f t="shared" si="57"/>
        <v>5.8967000000000001</v>
      </c>
      <c r="AA163" s="69">
        <f t="shared" si="58"/>
        <v>5.8076999999999996</v>
      </c>
      <c r="AB163" s="66" t="e">
        <f>VLOOKUP(A163,Enforcements!$C$7:$J$21,8,0)</f>
        <v>#N/A</v>
      </c>
      <c r="AC163" s="62" t="e">
        <f>VLOOKUP(A163,Enforcements!$C$7:$E$21,3,0)</f>
        <v>#N/A</v>
      </c>
      <c r="AD163" s="63" t="str">
        <f t="shared" si="59"/>
        <v>0803-30</v>
      </c>
      <c r="AE163"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63" s="96" t="str">
        <f t="shared" si="61"/>
        <v>"C:\Program Files (x86)\AstroGrep\AstroGrep.exe" /spath="%USERPROFILE%\AppData\Local\Temp\OnboardLogs" /stypes="*4014*20160830*" /stext=" 12:.+((SYSTEM_STATE.+slice.+state.+changed )|(ment ac)|(system.+state.+changed )|(\|lc)|(penalty)|(\[timeout)|(PRM\|1\|D)|(kpr)|(kdp))" /e /r /s</v>
      </c>
      <c r="AG163" s="1" t="str">
        <f t="shared" si="62"/>
        <v>NW</v>
      </c>
      <c r="AH163" s="100" t="str">
        <f t="shared" si="63"/>
        <v>"%USERPROFILE%\Documents\GitHub\eaglep3\Utilities\RefineRTDCRunTimes.py" --tripid 803-30 --locoid 4014 --swversion DE.1.0.7.0 --startMP 204:890 --initTime 2016-08-30T06:08:22 --startdatetime 2016-08-30T06:21:25 --delay 1 --endMP 300:58967 --enddatetime 2016-08-30T06:34:36 --enforcementcount 0 &gt;&gt;C:\Users\stu\Documents\GitHub\eaglep3-reporting\EC\2016-08-30-refined-times.txt</v>
      </c>
      <c r="AI163" s="149" t="str">
        <f t="shared" si="64"/>
        <v>echo {"issue":{"subject":"","project_id":79,"tracker_id":40,"status_id":1,"priority_id":2,"assigned_to_id":23,"start_date":"2016-08-30","description":"","custom_fields":[{"id":1,"name":"Subdivision","value":"NW"},{"id":4,"name":"Milepost","value":"5.8077"},{"id":17,"name":"Train ID","value":"803-30"},{"id":16,"name":"Locomotive ID","value":"4014"},{"id":130,"name":"Impact","value":""},{"id":150,"name":"Time of Event (Mountain Time)","value":"06:34:36"},{"id":151,"name":"Denver Issue ID","value":""},{"id":178,"name":"Operational Impact","value":"Yes"},{"id":179,"name":"Denver Segment Assigned","value":""}]}} | curl -X POST -H "Content-Type: application/json" -H "X-Redmine-API-Key: d6333d4a04012a730768444271f8ca06482dae87" https://secure.xorail.net/redmine/issues.json --data @-</v>
      </c>
      <c r="AJ163" s="55"/>
      <c r="AK163" s="55"/>
      <c r="AL163" s="55"/>
    </row>
    <row r="164" spans="1:38" x14ac:dyDescent="0.25">
      <c r="A164" s="39" t="s">
        <v>359</v>
      </c>
      <c r="B164" s="7">
        <v>4013</v>
      </c>
      <c r="C164" s="24" t="s">
        <v>113</v>
      </c>
      <c r="D164" s="24" t="s">
        <v>670</v>
      </c>
      <c r="E164" s="15">
        <v>42612.27548611111</v>
      </c>
      <c r="F164" s="15">
        <v>42612.277291666665</v>
      </c>
      <c r="G164" s="7">
        <v>1</v>
      </c>
      <c r="H164" s="15" t="s">
        <v>671</v>
      </c>
      <c r="I164" s="15">
        <v>42612.289259259262</v>
      </c>
      <c r="J164" s="7">
        <v>0</v>
      </c>
      <c r="K164" s="132" t="str">
        <f t="shared" si="51"/>
        <v>4013/4014</v>
      </c>
      <c r="L164" s="24" t="str">
        <f>VLOOKUP(A164,'Trips&amp;Operators'!$C$1:$E$10000,3,FALSE)</f>
        <v>SANTIZO</v>
      </c>
      <c r="M164" s="6">
        <f t="shared" si="52"/>
        <v>1.1967592596192844E-2</v>
      </c>
      <c r="N164" s="7">
        <f t="shared" si="65"/>
        <v>17.233333338517696</v>
      </c>
      <c r="O164" s="7"/>
      <c r="P164" s="7"/>
      <c r="Q164" s="25"/>
      <c r="R164" s="25"/>
      <c r="S164" s="37">
        <f t="shared" si="50"/>
        <v>1</v>
      </c>
      <c r="T164" s="52" t="str">
        <f t="shared" si="53"/>
        <v>Southbound</v>
      </c>
      <c r="U164" s="126">
        <f>IF(AG164="EC",COUNTIFS(Variables!$M$2:$M$19,IF(T164="NorthBound","&gt;=","&lt;=")&amp;Y164,Variables!$M$2:$M$19,IF(T164="NorthBound","&lt;=","&gt;=")&amp;Z164),COUNTIFS(Variables!$P$2:$P$19,IF(T164="NorthBound","&gt;=","&lt;=")&amp;Y164,Variables!$P$2:$P$19,IF(T164="NorthBound","&lt;=","&gt;=")&amp;Z164))</f>
        <v>1</v>
      </c>
      <c r="V164" s="106" t="str">
        <f t="shared" si="54"/>
        <v>https://search-rtdc-monitor-bjffxe2xuh6vdkpspy63sjmuny.us-east-1.es.amazonaws.com/_plugin/kibana/#/discover/Steve-Slow-Train-Analysis-(2080s-and-2083s)?_g=(refreshInterval:(display:Off,section:0,value:0),time:(from:'2016-08-30 05:36:42-0600',mode:absolute,to:'2016-08-30 07:56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64" s="54" t="str">
        <f t="shared" si="55"/>
        <v>N</v>
      </c>
      <c r="X164" s="120">
        <f t="shared" si="66"/>
        <v>1</v>
      </c>
      <c r="Y164" s="69">
        <f t="shared" si="56"/>
        <v>5.8644999999999996</v>
      </c>
      <c r="Z164" s="69">
        <f t="shared" si="57"/>
        <v>8.1699999999999995E-2</v>
      </c>
      <c r="AA164" s="69">
        <f t="shared" si="58"/>
        <v>5.7827999999999999</v>
      </c>
      <c r="AB164" s="66" t="e">
        <f>VLOOKUP(A164,Enforcements!$C$7:$J$21,8,0)</f>
        <v>#N/A</v>
      </c>
      <c r="AC164" s="62" t="e">
        <f>VLOOKUP(A164,Enforcements!$C$7:$E$21,3,0)</f>
        <v>#N/A</v>
      </c>
      <c r="AD164" s="63" t="str">
        <f t="shared" si="59"/>
        <v>0804-30</v>
      </c>
      <c r="AE164"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64" s="96" t="str">
        <f t="shared" si="61"/>
        <v>"C:\Program Files (x86)\AstroGrep\AstroGrep.exe" /spath="%USERPROFILE%\AppData\Local\Temp\OnboardLogs" /stypes="*4013*20160830*" /stext=" 12:.+((SYSTEM_STATE.+slice.+state.+changed )|(ment ac)|(system.+state.+changed )|(\|lc)|(penalty)|(\[timeout)|(PRM\|1\|D)|(kpr)|(kdp))" /e /r /s</v>
      </c>
      <c r="AG164" s="1" t="str">
        <f t="shared" si="62"/>
        <v>NW</v>
      </c>
      <c r="AH164" s="100" t="str">
        <f t="shared" si="63"/>
        <v>"%USERPROFILE%\Documents\GitHub\eaglep3\Utilities\RefineRTDCRunTimes.py" --tripid 804-30 --locoid 4013 --swversion DE.1.0.7.0 --startMP 300:58645 --initTime 2016-08-30T06:36:42 --startdatetime 2016-08-30T06:39:18 --delay 1 --endMP 204:817 --enddatetime 2016-08-30T06:56:32 --enforcementcount 0 &gt;&gt;C:\Users\stu\Documents\GitHub\eaglep3-reporting\EC\2016-08-30-refined-times.txt</v>
      </c>
      <c r="AI164" s="149" t="str">
        <f t="shared" si="64"/>
        <v>echo {"issue":{"subject":"","project_id":79,"tracker_id":40,"status_id":1,"priority_id":2,"assigned_to_id":23,"start_date":"2016-08-30","description":"","custom_fields":[{"id":1,"name":"Subdivision","value":"NW"},{"id":4,"name":"Milepost","value":"5.7828"},{"id":17,"name":"Train ID","value":"804-30"},{"id":16,"name":"Locomotive ID","value":"4013"},{"id":130,"name":"Impact","value":""},{"id":150,"name":"Time of Event (Mountain Time)","value":"06:56:32"},{"id":151,"name":"Denver Issue ID","value":""},{"id":178,"name":"Operational Impact","value":"Yes"},{"id":179,"name":"Denver Segment Assigned","value":""}]}} | curl -X POST -H "Content-Type: application/json" -H "X-Redmine-API-Key: d6333d4a04012a730768444271f8ca06482dae87" https://secure.xorail.net/redmine/issues.json --data @-</v>
      </c>
      <c r="AJ164" s="55"/>
      <c r="AK164" s="55"/>
      <c r="AL164" s="55"/>
    </row>
    <row r="165" spans="1:38" x14ac:dyDescent="0.25">
      <c r="A165" s="39" t="s">
        <v>360</v>
      </c>
      <c r="B165" s="7">
        <v>4027</v>
      </c>
      <c r="C165" s="24" t="s">
        <v>113</v>
      </c>
      <c r="D165" s="24" t="s">
        <v>672</v>
      </c>
      <c r="E165" s="15">
        <v>42612.282129629632</v>
      </c>
      <c r="F165" s="15">
        <v>42612.285590277781</v>
      </c>
      <c r="G165" s="7">
        <v>0</v>
      </c>
      <c r="H165" s="15" t="s">
        <v>267</v>
      </c>
      <c r="I165" s="15">
        <v>42612.295451388891</v>
      </c>
      <c r="J165" s="7">
        <v>0</v>
      </c>
      <c r="K165" s="132" t="str">
        <f t="shared" si="51"/>
        <v>4027/4028</v>
      </c>
      <c r="L165" s="24" t="str">
        <f>VLOOKUP(A165,'Trips&amp;Operators'!$C$1:$E$10000,3,FALSE)</f>
        <v>STARKS</v>
      </c>
      <c r="M165" s="6">
        <f t="shared" si="52"/>
        <v>9.8611111097852699E-3</v>
      </c>
      <c r="N165" s="7">
        <f t="shared" si="65"/>
        <v>14.199999998090789</v>
      </c>
      <c r="O165" s="7"/>
      <c r="P165" s="7"/>
      <c r="Q165" s="25"/>
      <c r="R165" s="25"/>
      <c r="S165" s="37">
        <f t="shared" si="50"/>
        <v>1</v>
      </c>
      <c r="T165" s="52" t="str">
        <f t="shared" si="53"/>
        <v>NorthBound</v>
      </c>
      <c r="U165" s="126">
        <f>IF(AG165="EC",COUNTIFS(Variables!$M$2:$M$19,IF(T165="NorthBound","&gt;=","&lt;=")&amp;Y165,Variables!$M$2:$M$19,IF(T165="NorthBound","&lt;=","&gt;=")&amp;Z165),COUNTIFS(Variables!$P$2:$P$19,IF(T165="NorthBound","&gt;=","&lt;=")&amp;Y165,Variables!$P$2:$P$19,IF(T165="NorthBound","&lt;=","&gt;=")&amp;Z165))</f>
        <v>1</v>
      </c>
      <c r="V165" s="106" t="str">
        <f t="shared" si="54"/>
        <v>https://search-rtdc-monitor-bjffxe2xuh6vdkpspy63sjmuny.us-east-1.es.amazonaws.com/_plugin/kibana/#/discover/Steve-Slow-Train-Analysis-(2080s-and-2083s)?_g=(refreshInterval:(display:Off,section:0,value:0),time:(from:'2016-08-30 05:46:16-0600',mode:absolute,to:'2016-08-30 08: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65" s="54" t="str">
        <f t="shared" si="55"/>
        <v>N</v>
      </c>
      <c r="X165" s="120">
        <f t="shared" si="66"/>
        <v>1</v>
      </c>
      <c r="Y165" s="69">
        <f t="shared" si="56"/>
        <v>0.1</v>
      </c>
      <c r="Z165" s="69">
        <f t="shared" si="57"/>
        <v>5.8933</v>
      </c>
      <c r="AA165" s="69">
        <f t="shared" si="58"/>
        <v>5.7933000000000003</v>
      </c>
      <c r="AB165" s="66" t="e">
        <f>VLOOKUP(A165,Enforcements!$C$7:$J$21,8,0)</f>
        <v>#N/A</v>
      </c>
      <c r="AC165" s="62" t="e">
        <f>VLOOKUP(A165,Enforcements!$C$7:$E$21,3,0)</f>
        <v>#N/A</v>
      </c>
      <c r="AD165" s="63" t="str">
        <f t="shared" si="59"/>
        <v>0805-30</v>
      </c>
      <c r="AE165"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65" s="96" t="str">
        <f t="shared" si="61"/>
        <v>"C:\Program Files (x86)\AstroGrep\AstroGrep.exe" /spath="%USERPROFILE%\AppData\Local\Temp\OnboardLogs" /stypes="*4027*20160830*" /stext=" 13:.+((SYSTEM_STATE.+slice.+state.+changed )|(ment ac)|(system.+state.+changed )|(\|lc)|(penalty)|(\[timeout)|(PRM\|1\|D)|(kpr)|(kdp))" /e /r /s</v>
      </c>
      <c r="AG165" s="1" t="str">
        <f t="shared" si="62"/>
        <v>NW</v>
      </c>
      <c r="AH165" s="100" t="str">
        <f t="shared" si="63"/>
        <v>"%USERPROFILE%\Documents\GitHub\eaglep3\Utilities\RefineRTDCRunTimes.py" --tripid 805-30 --locoid 4027 --swversion DE.1.0.7.0 --startMP 204:1000 --initTime 2016-08-30T06:46:16 --startdatetime 2016-08-30T06:51:15 --delay 0 --endMP 300:58933 --enddatetime 2016-08-30T07:05:27 --enforcementcount 0 &gt;&gt;C:\Users\stu\Documents\GitHub\eaglep3-reporting\EC\2016-08-30-refined-times.txt</v>
      </c>
      <c r="AI165" s="149" t="str">
        <f t="shared" si="64"/>
        <v>echo {"issue":{"subject":"","project_id":79,"tracker_id":40,"status_id":1,"priority_id":2,"assigned_to_id":23,"start_date":"2016-08-30","description":"","custom_fields":[{"id":1,"name":"Subdivision","value":"NW"},{"id":4,"name":"Milepost","value":"5.7933"},{"id":17,"name":"Train ID","value":"805-30"},{"id":16,"name":"Locomotive ID","value":"4027"},{"id":130,"name":"Impact","value":""},{"id":150,"name":"Time of Event (Mountain Time)","value":"07:05:27"},{"id":151,"name":"Denver Issue ID","value":""},{"id":178,"name":"Operational Impact","value":"Yes"},{"id":179,"name":"Denver Segment Assigned","value":""}]}} | curl -X POST -H "Content-Type: application/json" -H "X-Redmine-API-Key: d6333d4a04012a730768444271f8ca06482dae87" https://secure.xorail.net/redmine/issues.json --data @-</v>
      </c>
      <c r="AJ165" s="55"/>
      <c r="AK165" s="55"/>
      <c r="AL165" s="55"/>
    </row>
    <row r="166" spans="1:38" x14ac:dyDescent="0.25">
      <c r="A166" s="39" t="s">
        <v>416</v>
      </c>
      <c r="B166" s="7">
        <v>4028</v>
      </c>
      <c r="C166" s="24" t="s">
        <v>113</v>
      </c>
      <c r="D166" s="24" t="s">
        <v>673</v>
      </c>
      <c r="E166" s="15">
        <v>42612.296331018515</v>
      </c>
      <c r="F166" s="15">
        <v>42612.298159722224</v>
      </c>
      <c r="G166" s="7">
        <v>1</v>
      </c>
      <c r="H166" s="15" t="s">
        <v>347</v>
      </c>
      <c r="I166" s="15">
        <v>42612.309641203705</v>
      </c>
      <c r="J166" s="7">
        <v>0</v>
      </c>
      <c r="K166" s="132" t="str">
        <f t="shared" si="51"/>
        <v>4027/4028</v>
      </c>
      <c r="L166" s="24" t="str">
        <f>VLOOKUP(A166,'Trips&amp;Operators'!$C$1:$E$10000,3,FALSE)</f>
        <v>STARKS</v>
      </c>
      <c r="M166" s="6">
        <f t="shared" si="52"/>
        <v>1.1481481480586808E-2</v>
      </c>
      <c r="N166" s="7">
        <f t="shared" si="65"/>
        <v>16.533333332045004</v>
      </c>
      <c r="O166" s="7"/>
      <c r="P166" s="7"/>
      <c r="Q166" s="25"/>
      <c r="R166" s="25"/>
      <c r="S166" s="37">
        <f t="shared" ref="S166:S197" si="67">SUM(U166:U166)/IF(AG166="EC",12,1)</f>
        <v>1</v>
      </c>
      <c r="T166" s="52" t="str">
        <f t="shared" si="53"/>
        <v>Southbound</v>
      </c>
      <c r="U166" s="126">
        <f>IF(AG166="EC",COUNTIFS(Variables!$M$2:$M$19,IF(T166="NorthBound","&gt;=","&lt;=")&amp;Y166,Variables!$M$2:$M$19,IF(T166="NorthBound","&lt;=","&gt;=")&amp;Z166),COUNTIFS(Variables!$P$2:$P$19,IF(T166="NorthBound","&gt;=","&lt;=")&amp;Y166,Variables!$P$2:$P$19,IF(T166="NorthBound","&lt;=","&gt;=")&amp;Z166))</f>
        <v>1</v>
      </c>
      <c r="V166" s="106" t="str">
        <f t="shared" si="54"/>
        <v>https://search-rtdc-monitor-bjffxe2xuh6vdkpspy63sjmuny.us-east-1.es.amazonaws.com/_plugin/kibana/#/discover/Steve-Slow-Train-Analysis-(2080s-and-2083s)?_g=(refreshInterval:(display:Off,section:0,value:0),time:(from:'2016-08-30 06:06:43-0600',mode:absolute,to:'2016-08-30 08:25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66" s="54" t="str">
        <f t="shared" si="55"/>
        <v>N</v>
      </c>
      <c r="X166" s="120">
        <f t="shared" si="66"/>
        <v>1</v>
      </c>
      <c r="Y166" s="69">
        <f t="shared" si="56"/>
        <v>5.8613</v>
      </c>
      <c r="Z166" s="69">
        <f t="shared" si="57"/>
        <v>7.2700000000000001E-2</v>
      </c>
      <c r="AA166" s="69">
        <f t="shared" si="58"/>
        <v>5.7885999999999997</v>
      </c>
      <c r="AB166" s="66" t="e">
        <f>VLOOKUP(A166,Enforcements!$C$7:$J$21,8,0)</f>
        <v>#N/A</v>
      </c>
      <c r="AC166" s="62" t="e">
        <f>VLOOKUP(A166,Enforcements!$C$7:$E$21,3,0)</f>
        <v>#N/A</v>
      </c>
      <c r="AD166" s="63" t="str">
        <f t="shared" si="59"/>
        <v>0806-30</v>
      </c>
      <c r="AE166"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66" s="96" t="str">
        <f t="shared" si="61"/>
        <v>"C:\Program Files (x86)\AstroGrep\AstroGrep.exe" /spath="%USERPROFILE%\AppData\Local\Temp\OnboardLogs" /stypes="*4028*20160830*" /stext=" 13:.+((SYSTEM_STATE.+slice.+state.+changed )|(ment ac)|(system.+state.+changed )|(\|lc)|(penalty)|(\[timeout)|(PRM\|1\|D)|(kpr)|(kdp))" /e /r /s</v>
      </c>
      <c r="AG166" s="1" t="str">
        <f t="shared" si="62"/>
        <v>NW</v>
      </c>
      <c r="AH166" s="100" t="str">
        <f t="shared" si="63"/>
        <v>"%USERPROFILE%\Documents\GitHub\eaglep3\Utilities\RefineRTDCRunTimes.py" --tripid 806-30 --locoid 4028 --swversion DE.1.0.7.0 --startMP 300:58613 --initTime 2016-08-30T07:06:43 --startdatetime 2016-08-30T07:09:21 --delay 1 --endMP 204:727 --enddatetime 2016-08-30T07:25:53 --enforcementcount 0 &gt;&gt;C:\Users\stu\Documents\GitHub\eaglep3-reporting\EC\2016-08-30-refined-times.txt</v>
      </c>
      <c r="AI166" s="149" t="str">
        <f t="shared" si="64"/>
        <v>echo {"issue":{"subject":"","project_id":79,"tracker_id":40,"status_id":1,"priority_id":2,"assigned_to_id":23,"start_date":"2016-08-30","description":"","custom_fields":[{"id":1,"name":"Subdivision","value":"NW"},{"id":4,"name":"Milepost","value":"5.7886"},{"id":17,"name":"Train ID","value":"806-30"},{"id":16,"name":"Locomotive ID","value":"4028"},{"id":130,"name":"Impact","value":""},{"id":150,"name":"Time of Event (Mountain Time)","value":"07:25:53"},{"id":151,"name":"Denver Issue ID","value":""},{"id":178,"name":"Operational Impact","value":"Yes"},{"id":179,"name":"Denver Segment Assigned","value":""}]}} | curl -X POST -H "Content-Type: application/json" -H "X-Redmine-API-Key: d6333d4a04012a730768444271f8ca06482dae87" https://secure.xorail.net/redmine/issues.json --data @-</v>
      </c>
      <c r="AJ166" s="55"/>
      <c r="AK166" s="55"/>
      <c r="AL166" s="55"/>
    </row>
    <row r="167" spans="1:38" x14ac:dyDescent="0.25">
      <c r="A167" s="39" t="s">
        <v>414</v>
      </c>
      <c r="B167" s="7">
        <v>4014</v>
      </c>
      <c r="C167" s="24" t="s">
        <v>113</v>
      </c>
      <c r="D167" s="24" t="s">
        <v>674</v>
      </c>
      <c r="E167" s="15">
        <v>42612.290555555555</v>
      </c>
      <c r="F167" s="15">
        <v>42612.306435185186</v>
      </c>
      <c r="G167" s="7">
        <v>1</v>
      </c>
      <c r="H167" s="15" t="s">
        <v>675</v>
      </c>
      <c r="I167" s="15">
        <v>42612.316030092596</v>
      </c>
      <c r="J167" s="7">
        <v>0</v>
      </c>
      <c r="K167" s="132" t="str">
        <f t="shared" si="51"/>
        <v>4013/4014</v>
      </c>
      <c r="L167" s="24" t="str">
        <f>VLOOKUP(A167,'Trips&amp;Operators'!$C$1:$E$10000,3,FALSE)</f>
        <v>SANTIZO</v>
      </c>
      <c r="M167" s="6">
        <f t="shared" si="52"/>
        <v>9.5949074093368836E-3</v>
      </c>
      <c r="N167" s="7">
        <f t="shared" si="65"/>
        <v>13.816666669445112</v>
      </c>
      <c r="O167" s="7"/>
      <c r="P167" s="7"/>
      <c r="Q167" s="25"/>
      <c r="R167" s="25"/>
      <c r="S167" s="37">
        <f t="shared" si="67"/>
        <v>1</v>
      </c>
      <c r="T167" s="52" t="str">
        <f t="shared" si="53"/>
        <v>NorthBound</v>
      </c>
      <c r="U167" s="126">
        <f>IF(AG167="EC",COUNTIFS(Variables!$M$2:$M$19,IF(T167="NorthBound","&gt;=","&lt;=")&amp;Y167,Variables!$M$2:$M$19,IF(T167="NorthBound","&lt;=","&gt;=")&amp;Z167),COUNTIFS(Variables!$P$2:$P$19,IF(T167="NorthBound","&gt;=","&lt;=")&amp;Y167,Variables!$P$2:$P$19,IF(T167="NorthBound","&lt;=","&gt;=")&amp;Z167))</f>
        <v>1</v>
      </c>
      <c r="V167" s="106" t="str">
        <f t="shared" si="54"/>
        <v>https://search-rtdc-monitor-bjffxe2xuh6vdkpspy63sjmuny.us-east-1.es.amazonaws.com/_plugin/kibana/#/discover/Steve-Slow-Train-Analysis-(2080s-and-2083s)?_g=(refreshInterval:(display:Off,section:0,value:0),time:(from:'2016-08-30 05:58:24-0600',mode:absolute,to:'2016-08-30 08:35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67" s="54" t="str">
        <f t="shared" si="55"/>
        <v>N</v>
      </c>
      <c r="X167" s="120">
        <f t="shared" si="66"/>
        <v>1</v>
      </c>
      <c r="Y167" s="69">
        <f t="shared" si="56"/>
        <v>0.11020000000000001</v>
      </c>
      <c r="Z167" s="69">
        <f t="shared" si="57"/>
        <v>5.8945999999999996</v>
      </c>
      <c r="AA167" s="69">
        <f t="shared" si="58"/>
        <v>5.7843999999999998</v>
      </c>
      <c r="AB167" s="66" t="e">
        <f>VLOOKUP(A167,Enforcements!$C$7:$J$21,8,0)</f>
        <v>#N/A</v>
      </c>
      <c r="AC167" s="62" t="e">
        <f>VLOOKUP(A167,Enforcements!$C$7:$E$21,3,0)</f>
        <v>#N/A</v>
      </c>
      <c r="AD167" s="63" t="str">
        <f t="shared" si="59"/>
        <v>0807-30</v>
      </c>
      <c r="AE167"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67" s="96" t="str">
        <f t="shared" si="61"/>
        <v>"C:\Program Files (x86)\AstroGrep\AstroGrep.exe" /spath="%USERPROFILE%\AppData\Local\Temp\OnboardLogs" /stypes="*4014*20160830*" /stext=" 13:.+((SYSTEM_STATE.+slice.+state.+changed )|(ment ac)|(system.+state.+changed )|(\|lc)|(penalty)|(\[timeout)|(PRM\|1\|D)|(kpr)|(kdp))" /e /r /s</v>
      </c>
      <c r="AG167" s="1" t="str">
        <f t="shared" si="62"/>
        <v>NW</v>
      </c>
      <c r="AH167" s="100" t="str">
        <f t="shared" si="63"/>
        <v>"%USERPROFILE%\Documents\GitHub\eaglep3\Utilities\RefineRTDCRunTimes.py" --tripid 807-30 --locoid 4014 --swversion DE.1.0.7.0 --startMP 204:1102 --initTime 2016-08-30T06:58:24 --startdatetime 2016-08-30T07:21:16 --delay 1 --endMP 300:58946 --enddatetime 2016-08-30T07:35:05 --enforcementcount 0 &gt;&gt;C:\Users\stu\Documents\GitHub\eaglep3-reporting\EC\2016-08-30-refined-times.txt</v>
      </c>
      <c r="AI167" s="149" t="str">
        <f t="shared" si="64"/>
        <v>echo {"issue":{"subject":"","project_id":79,"tracker_id":40,"status_id":1,"priority_id":2,"assigned_to_id":23,"start_date":"2016-08-30","description":"","custom_fields":[{"id":1,"name":"Subdivision","value":"NW"},{"id":4,"name":"Milepost","value":"5.7844"},{"id":17,"name":"Train ID","value":"807-30"},{"id":16,"name":"Locomotive ID","value":"4014"},{"id":130,"name":"Impact","value":""},{"id":150,"name":"Time of Event (Mountain Time)","value":"07:35:05"},{"id":151,"name":"Denver Issue ID","value":""},{"id":178,"name":"Operational Impact","value":"Yes"},{"id":179,"name":"Denver Segment Assigned","value":""}]}} | curl -X POST -H "Content-Type: application/json" -H "X-Redmine-API-Key: d6333d4a04012a730768444271f8ca06482dae87" https://secure.xorail.net/redmine/issues.json --data @-</v>
      </c>
      <c r="AJ167" s="55"/>
      <c r="AK167" s="55"/>
      <c r="AL167" s="55"/>
    </row>
    <row r="168" spans="1:38" x14ac:dyDescent="0.25">
      <c r="A168" s="39" t="s">
        <v>420</v>
      </c>
      <c r="B168" s="7">
        <v>4013</v>
      </c>
      <c r="C168" s="24" t="s">
        <v>113</v>
      </c>
      <c r="D168" s="24" t="s">
        <v>676</v>
      </c>
      <c r="E168" s="15">
        <v>42612.316828703704</v>
      </c>
      <c r="F168" s="15">
        <v>42612.318159722221</v>
      </c>
      <c r="G168" s="7">
        <v>1</v>
      </c>
      <c r="H168" s="15" t="s">
        <v>677</v>
      </c>
      <c r="I168" s="15">
        <v>42612.33016203704</v>
      </c>
      <c r="J168" s="7">
        <v>0</v>
      </c>
      <c r="K168" s="132" t="str">
        <f t="shared" si="51"/>
        <v>4013/4014</v>
      </c>
      <c r="L168" s="24" t="str">
        <f>VLOOKUP(A168,'Trips&amp;Operators'!$C$1:$E$10000,3,FALSE)</f>
        <v>SANTIZO</v>
      </c>
      <c r="M168" s="6">
        <f t="shared" si="52"/>
        <v>1.2002314819255844E-2</v>
      </c>
      <c r="N168" s="7">
        <f t="shared" si="65"/>
        <v>17.283333339728415</v>
      </c>
      <c r="O168" s="7"/>
      <c r="P168" s="7"/>
      <c r="Q168" s="25"/>
      <c r="R168" s="25"/>
      <c r="S168" s="37">
        <f t="shared" si="67"/>
        <v>1</v>
      </c>
      <c r="T168" s="52" t="str">
        <f t="shared" si="53"/>
        <v>Southbound</v>
      </c>
      <c r="U168" s="126">
        <f>IF(AG168="EC",COUNTIFS(Variables!$M$2:$M$19,IF(T168="NorthBound","&gt;=","&lt;=")&amp;Y168,Variables!$M$2:$M$19,IF(T168="NorthBound","&lt;=","&gt;=")&amp;Z168),COUNTIFS(Variables!$P$2:$P$19,IF(T168="NorthBound","&gt;=","&lt;=")&amp;Y168,Variables!$P$2:$P$19,IF(T168="NorthBound","&lt;=","&gt;=")&amp;Z168))</f>
        <v>1</v>
      </c>
      <c r="V168" s="106" t="str">
        <f t="shared" si="54"/>
        <v>https://search-rtdc-monitor-bjffxe2xuh6vdkpspy63sjmuny.us-east-1.es.amazonaws.com/_plugin/kibana/#/discover/Steve-Slow-Train-Analysis-(2080s-and-2083s)?_g=(refreshInterval:(display:Off,section:0,value:0),time:(from:'2016-08-30 06:36:14-0600',mode:absolute,to:'2016-08-30 08:55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68" s="54" t="str">
        <f t="shared" si="55"/>
        <v>N</v>
      </c>
      <c r="X168" s="120">
        <f t="shared" si="66"/>
        <v>1</v>
      </c>
      <c r="Y168" s="69">
        <f t="shared" si="56"/>
        <v>5.8623000000000003</v>
      </c>
      <c r="Z168" s="69">
        <f t="shared" si="57"/>
        <v>7.3599999999999999E-2</v>
      </c>
      <c r="AA168" s="69">
        <f t="shared" si="58"/>
        <v>5.7887000000000004</v>
      </c>
      <c r="AB168" s="66" t="e">
        <f>VLOOKUP(A168,Enforcements!$C$7:$J$21,8,0)</f>
        <v>#N/A</v>
      </c>
      <c r="AC168" s="62" t="e">
        <f>VLOOKUP(A168,Enforcements!$C$7:$E$21,3,0)</f>
        <v>#N/A</v>
      </c>
      <c r="AD168" s="63" t="str">
        <f t="shared" si="59"/>
        <v>0808-30</v>
      </c>
      <c r="AE168"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68" s="96" t="str">
        <f t="shared" si="61"/>
        <v>"C:\Program Files (x86)\AstroGrep\AstroGrep.exe" /spath="%USERPROFILE%\AppData\Local\Temp\OnboardLogs" /stypes="*4013*20160830*" /stext=" 13:.+((SYSTEM_STATE.+slice.+state.+changed )|(ment ac)|(system.+state.+changed )|(\|lc)|(penalty)|(\[timeout)|(PRM\|1\|D)|(kpr)|(kdp))" /e /r /s</v>
      </c>
      <c r="AG168" s="1" t="str">
        <f t="shared" si="62"/>
        <v>NW</v>
      </c>
      <c r="AH168" s="100" t="str">
        <f t="shared" si="63"/>
        <v>"%USERPROFILE%\Documents\GitHub\eaglep3\Utilities\RefineRTDCRunTimes.py" --tripid 808-30 --locoid 4013 --swversion DE.1.0.7.0 --startMP 300:58623 --initTime 2016-08-30T07:36:14 --startdatetime 2016-08-30T07:38:09 --delay 1 --endMP 204:736 --enddatetime 2016-08-30T07:55:26 --enforcementcount 0 &gt;&gt;C:\Users\stu\Documents\GitHub\eaglep3-reporting\EC\2016-08-30-refined-times.txt</v>
      </c>
      <c r="AI168" s="149" t="str">
        <f t="shared" si="64"/>
        <v>echo {"issue":{"subject":"","project_id":79,"tracker_id":40,"status_id":1,"priority_id":2,"assigned_to_id":23,"start_date":"2016-08-30","description":"","custom_fields":[{"id":1,"name":"Subdivision","value":"NW"},{"id":4,"name":"Milepost","value":"5.7887"},{"id":17,"name":"Train ID","value":"808-30"},{"id":16,"name":"Locomotive ID","value":"4013"},{"id":130,"name":"Impact","value":""},{"id":150,"name":"Time of Event (Mountain Time)","value":"07:55:26"},{"id":151,"name":"Denver Issue ID","value":""},{"id":178,"name":"Operational Impact","value":"Yes"},{"id":179,"name":"Denver Segment Assigned","value":""}]}} | curl -X POST -H "Content-Type: application/json" -H "X-Redmine-API-Key: d6333d4a04012a730768444271f8ca06482dae87" https://secure.xorail.net/redmine/issues.json --data @-</v>
      </c>
      <c r="AJ168" s="55"/>
      <c r="AK168" s="55"/>
      <c r="AL168" s="55"/>
    </row>
    <row r="169" spans="1:38" x14ac:dyDescent="0.25">
      <c r="A169" s="39" t="s">
        <v>423</v>
      </c>
      <c r="B169" s="7">
        <v>4027</v>
      </c>
      <c r="C169" s="24" t="s">
        <v>113</v>
      </c>
      <c r="D169" s="24" t="s">
        <v>678</v>
      </c>
      <c r="E169" s="15">
        <v>42612.322523148148</v>
      </c>
      <c r="F169" s="15">
        <v>42612.327384259261</v>
      </c>
      <c r="G169" s="7">
        <v>1</v>
      </c>
      <c r="H169" s="15" t="s">
        <v>341</v>
      </c>
      <c r="I169" s="15">
        <v>42612.336828703701</v>
      </c>
      <c r="J169" s="7">
        <v>0</v>
      </c>
      <c r="K169" s="132" t="str">
        <f t="shared" si="51"/>
        <v>4027/4028</v>
      </c>
      <c r="L169" s="24" t="str">
        <f>VLOOKUP(A169,'Trips&amp;Operators'!$C$1:$E$10000,3,FALSE)</f>
        <v>STARKS</v>
      </c>
      <c r="M169" s="6">
        <f t="shared" si="52"/>
        <v>9.444444440305233E-3</v>
      </c>
      <c r="N169" s="7">
        <f t="shared" si="65"/>
        <v>13.599999994039536</v>
      </c>
      <c r="O169" s="7"/>
      <c r="P169" s="7"/>
      <c r="Q169" s="25"/>
      <c r="R169" s="25"/>
      <c r="S169" s="37">
        <f t="shared" si="67"/>
        <v>1</v>
      </c>
      <c r="T169" s="52" t="str">
        <f t="shared" si="53"/>
        <v>NorthBound</v>
      </c>
      <c r="U169" s="126">
        <f>IF(AG169="EC",COUNTIFS(Variables!$M$2:$M$19,IF(T169="NorthBound","&gt;=","&lt;=")&amp;Y169,Variables!$M$2:$M$19,IF(T169="NorthBound","&lt;=","&gt;=")&amp;Z169),COUNTIFS(Variables!$P$2:$P$19,IF(T169="NorthBound","&gt;=","&lt;=")&amp;Y169,Variables!$P$2:$P$19,IF(T169="NorthBound","&lt;=","&gt;=")&amp;Z169))</f>
        <v>1</v>
      </c>
      <c r="V169" s="106" t="str">
        <f t="shared" si="54"/>
        <v>https://search-rtdc-monitor-bjffxe2xuh6vdkpspy63sjmuny.us-east-1.es.amazonaws.com/_plugin/kibana/#/discover/Steve-Slow-Train-Analysis-(2080s-and-2083s)?_g=(refreshInterval:(display:Off,section:0,value:0),time:(from:'2016-08-30 06:44:26-0600',mode:absolute,to:'2016-08-30 09: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69" s="54" t="str">
        <f t="shared" si="55"/>
        <v>N</v>
      </c>
      <c r="X169" s="120">
        <f t="shared" si="66"/>
        <v>1</v>
      </c>
      <c r="Y169" s="69">
        <f t="shared" si="56"/>
        <v>0.1009</v>
      </c>
      <c r="Z169" s="69">
        <f t="shared" si="57"/>
        <v>5.8921999999999999</v>
      </c>
      <c r="AA169" s="69">
        <f t="shared" si="58"/>
        <v>5.7912999999999997</v>
      </c>
      <c r="AB169" s="66" t="e">
        <f>VLOOKUP(A169,Enforcements!$C$7:$J$21,8,0)</f>
        <v>#N/A</v>
      </c>
      <c r="AC169" s="62" t="e">
        <f>VLOOKUP(A169,Enforcements!$C$7:$E$21,3,0)</f>
        <v>#N/A</v>
      </c>
      <c r="AD169" s="63" t="str">
        <f t="shared" si="59"/>
        <v>0809-30</v>
      </c>
      <c r="AE169"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69" s="96" t="str">
        <f t="shared" si="61"/>
        <v>"C:\Program Files (x86)\AstroGrep\AstroGrep.exe" /spath="%USERPROFILE%\AppData\Local\Temp\OnboardLogs" /stypes="*4027*20160830*" /stext=" 14:.+((SYSTEM_STATE.+slice.+state.+changed )|(ment ac)|(system.+state.+changed )|(\|lc)|(penalty)|(\[timeout)|(PRM\|1\|D)|(kpr)|(kdp))" /e /r /s</v>
      </c>
      <c r="AG169" s="1" t="str">
        <f t="shared" si="62"/>
        <v>NW</v>
      </c>
      <c r="AH169" s="100" t="str">
        <f t="shared" si="63"/>
        <v>"%USERPROFILE%\Documents\GitHub\eaglep3\Utilities\RefineRTDCRunTimes.py" --tripid 809-30 --locoid 4027 --swversion DE.1.0.7.0 --startMP 204:1009 --initTime 2016-08-30T07:44:26 --startdatetime 2016-08-30T07:51:26 --delay 1 --endMP 300:58922 --enddatetime 2016-08-30T08:05:02 --enforcementcount 0 &gt;&gt;C:\Users\stu\Documents\GitHub\eaglep3-reporting\EC\2016-08-30-refined-times.txt</v>
      </c>
      <c r="AI169" s="149" t="str">
        <f t="shared" si="64"/>
        <v>echo {"issue":{"subject":"","project_id":79,"tracker_id":40,"status_id":1,"priority_id":2,"assigned_to_id":23,"start_date":"2016-08-30","description":"","custom_fields":[{"id":1,"name":"Subdivision","value":"NW"},{"id":4,"name":"Milepost","value":"5.7913"},{"id":17,"name":"Train ID","value":"809-30"},{"id":16,"name":"Locomotive ID","value":"4027"},{"id":130,"name":"Impact","value":""},{"id":150,"name":"Time of Event (Mountain Time)","value":"08:05:02"},{"id":151,"name":"Denver Issue ID","value":""},{"id":178,"name":"Operational Impact","value":"Yes"},{"id":179,"name":"Denver Segment Assigned","value":""}]}} | curl -X POST -H "Content-Type: application/json" -H "X-Redmine-API-Key: d6333d4a04012a730768444271f8ca06482dae87" https://secure.xorail.net/redmine/issues.json --data @-</v>
      </c>
      <c r="AJ169" s="55"/>
      <c r="AK169" s="55"/>
      <c r="AL169" s="55"/>
    </row>
    <row r="170" spans="1:38" x14ac:dyDescent="0.25">
      <c r="A170" s="39" t="s">
        <v>426</v>
      </c>
      <c r="B170" s="7">
        <v>4028</v>
      </c>
      <c r="C170" s="24" t="s">
        <v>113</v>
      </c>
      <c r="D170" s="24" t="s">
        <v>342</v>
      </c>
      <c r="E170" s="15">
        <v>42612.338078703702</v>
      </c>
      <c r="F170" s="15">
        <v>42612.33929398148</v>
      </c>
      <c r="G170" s="7">
        <v>1</v>
      </c>
      <c r="H170" s="15" t="s">
        <v>679</v>
      </c>
      <c r="I170" s="15">
        <v>42612.352881944447</v>
      </c>
      <c r="J170" s="7">
        <v>0</v>
      </c>
      <c r="K170" s="132" t="str">
        <f t="shared" si="51"/>
        <v>4027/4028</v>
      </c>
      <c r="L170" s="24" t="str">
        <f>VLOOKUP(A170,'Trips&amp;Operators'!$C$1:$E$10000,3,FALSE)</f>
        <v>STARKS</v>
      </c>
      <c r="M170" s="6">
        <f t="shared" si="52"/>
        <v>1.3587962966994382E-2</v>
      </c>
      <c r="N170" s="7">
        <f t="shared" si="65"/>
        <v>19.566666672471911</v>
      </c>
      <c r="O170" s="7"/>
      <c r="P170" s="7"/>
      <c r="Q170" s="25"/>
      <c r="R170" s="25"/>
      <c r="S170" s="37">
        <f t="shared" si="67"/>
        <v>1</v>
      </c>
      <c r="T170" s="52" t="str">
        <f t="shared" si="53"/>
        <v>Southbound</v>
      </c>
      <c r="U170" s="126">
        <f>IF(AG170="EC",COUNTIFS(Variables!$M$2:$M$19,IF(T170="NorthBound","&gt;=","&lt;=")&amp;Y170,Variables!$M$2:$M$19,IF(T170="NorthBound","&lt;=","&gt;=")&amp;Z170),COUNTIFS(Variables!$P$2:$P$19,IF(T170="NorthBound","&gt;=","&lt;=")&amp;Y170,Variables!$P$2:$P$19,IF(T170="NorthBound","&lt;=","&gt;=")&amp;Z170))</f>
        <v>1</v>
      </c>
      <c r="V170" s="106" t="str">
        <f t="shared" si="54"/>
        <v>https://search-rtdc-monitor-bjffxe2xuh6vdkpspy63sjmuny.us-east-1.es.amazonaws.com/_plugin/kibana/#/discover/Steve-Slow-Train-Analysis-(2080s-and-2083s)?_g=(refreshInterval:(display:Off,section:0,value:0),time:(from:'2016-08-30 07:06:50-0600',mode:absolute,to:'2016-08-30 09:28: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70" s="54" t="str">
        <f t="shared" si="55"/>
        <v>N</v>
      </c>
      <c r="X170" s="120">
        <f t="shared" si="66"/>
        <v>1</v>
      </c>
      <c r="Y170" s="69">
        <f t="shared" si="56"/>
        <v>5.8604000000000003</v>
      </c>
      <c r="Z170" s="69">
        <f t="shared" si="57"/>
        <v>7.3300000000000004E-2</v>
      </c>
      <c r="AA170" s="69">
        <f t="shared" si="58"/>
        <v>5.7871000000000006</v>
      </c>
      <c r="AB170" s="66" t="e">
        <f>VLOOKUP(A170,Enforcements!$C$7:$J$21,8,0)</f>
        <v>#N/A</v>
      </c>
      <c r="AC170" s="62" t="e">
        <f>VLOOKUP(A170,Enforcements!$C$7:$E$21,3,0)</f>
        <v>#N/A</v>
      </c>
      <c r="AD170" s="63" t="str">
        <f t="shared" si="59"/>
        <v>0810-30</v>
      </c>
      <c r="AE170"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70" s="96" t="str">
        <f t="shared" si="61"/>
        <v>"C:\Program Files (x86)\AstroGrep\AstroGrep.exe" /spath="%USERPROFILE%\AppData\Local\Temp\OnboardLogs" /stypes="*4028*20160830*" /stext=" 14:.+((SYSTEM_STATE.+slice.+state.+changed )|(ment ac)|(system.+state.+changed )|(\|lc)|(penalty)|(\[timeout)|(PRM\|1\|D)|(kpr)|(kdp))" /e /r /s</v>
      </c>
      <c r="AG170" s="1" t="str">
        <f t="shared" si="62"/>
        <v>NW</v>
      </c>
      <c r="AH170" s="100" t="str">
        <f t="shared" si="63"/>
        <v>"%USERPROFILE%\Documents\GitHub\eaglep3\Utilities\RefineRTDCRunTimes.py" --tripid 810-30 --locoid 4028 --swversion DE.1.0.7.0 --startMP 300:58604 --initTime 2016-08-30T08:06:50 --startdatetime 2016-08-30T08:08:35 --delay 1 --endMP 204:733 --enddatetime 2016-08-30T08:28:09 --enforcementcount 0 &gt;&gt;C:\Users\stu\Documents\GitHub\eaglep3-reporting\EC\2016-08-30-refined-times.txt</v>
      </c>
      <c r="AI170" s="149" t="str">
        <f t="shared" si="64"/>
        <v>echo {"issue":{"subject":"","project_id":79,"tracker_id":40,"status_id":1,"priority_id":2,"assigned_to_id":23,"start_date":"2016-08-30","description":"","custom_fields":[{"id":1,"name":"Subdivision","value":"NW"},{"id":4,"name":"Milepost","value":"5.7871"},{"id":17,"name":"Train ID","value":"810-30"},{"id":16,"name":"Locomotive ID","value":"4028"},{"id":130,"name":"Impact","value":""},{"id":150,"name":"Time of Event (Mountain Time)","value":"08:28:09"},{"id":151,"name":"Denver Issue ID","value":""},{"id":178,"name":"Operational Impact","value":"Yes"},{"id":179,"name":"Denver Segment Assigned","value":""}]}} | curl -X POST -H "Content-Type: application/json" -H "X-Redmine-API-Key: d6333d4a04012a730768444271f8ca06482dae87" https://secure.xorail.net/redmine/issues.json --data @-</v>
      </c>
      <c r="AJ170" s="55"/>
      <c r="AK170" s="55"/>
      <c r="AL170" s="55"/>
    </row>
    <row r="171" spans="1:38" x14ac:dyDescent="0.25">
      <c r="A171" s="39" t="s">
        <v>424</v>
      </c>
      <c r="B171" s="7">
        <v>4014</v>
      </c>
      <c r="C171" s="24" t="s">
        <v>113</v>
      </c>
      <c r="D171" s="24" t="s">
        <v>286</v>
      </c>
      <c r="E171" s="15">
        <v>42612.33121527778</v>
      </c>
      <c r="F171" s="15">
        <v>42612.348078703704</v>
      </c>
      <c r="G171" s="7">
        <v>1</v>
      </c>
      <c r="H171" s="15" t="s">
        <v>680</v>
      </c>
      <c r="I171" s="15">
        <v>42612.35732638889</v>
      </c>
      <c r="J171" s="7">
        <v>0</v>
      </c>
      <c r="K171" s="132" t="str">
        <f t="shared" si="51"/>
        <v>4013/4014</v>
      </c>
      <c r="L171" s="24" t="str">
        <f>VLOOKUP(A171,'Trips&amp;Operators'!$C$1:$E$10000,3,FALSE)</f>
        <v>SANTIZO</v>
      </c>
      <c r="M171" s="6">
        <f t="shared" si="52"/>
        <v>9.2476851859828457E-3</v>
      </c>
      <c r="N171" s="7">
        <f t="shared" si="65"/>
        <v>13.316666667815298</v>
      </c>
      <c r="O171" s="7"/>
      <c r="P171" s="7"/>
      <c r="Q171" s="25"/>
      <c r="R171" s="25"/>
      <c r="S171" s="37">
        <f t="shared" si="67"/>
        <v>1</v>
      </c>
      <c r="T171" s="52" t="str">
        <f t="shared" si="53"/>
        <v>NorthBound</v>
      </c>
      <c r="U171" s="126">
        <f>IF(AG171="EC",COUNTIFS(Variables!$M$2:$M$19,IF(T171="NorthBound","&gt;=","&lt;=")&amp;Y171,Variables!$M$2:$M$19,IF(T171="NorthBound","&lt;=","&gt;=")&amp;Z171),COUNTIFS(Variables!$P$2:$P$19,IF(T171="NorthBound","&gt;=","&lt;=")&amp;Y171,Variables!$P$2:$P$19,IF(T171="NorthBound","&lt;=","&gt;=")&amp;Z171))</f>
        <v>1</v>
      </c>
      <c r="V171" s="106" t="str">
        <f t="shared" si="54"/>
        <v>https://search-rtdc-monitor-bjffxe2xuh6vdkpspy63sjmuny.us-east-1.es.amazonaws.com/_plugin/kibana/#/discover/Steve-Slow-Train-Analysis-(2080s-and-2083s)?_g=(refreshInterval:(display:Off,section:0,value:0),time:(from:'2016-08-30 06:56:57-0600',mode:absolute,to:'2016-08-30 09:34: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71" s="54" t="str">
        <f t="shared" si="55"/>
        <v>N</v>
      </c>
      <c r="X171" s="120">
        <f t="shared" si="66"/>
        <v>1</v>
      </c>
      <c r="Y171" s="69">
        <f t="shared" si="56"/>
        <v>0.10199999999999999</v>
      </c>
      <c r="Z171" s="69">
        <f t="shared" si="57"/>
        <v>5.8943000000000003</v>
      </c>
      <c r="AA171" s="69">
        <f t="shared" si="58"/>
        <v>5.7923</v>
      </c>
      <c r="AB171" s="66" t="e">
        <f>VLOOKUP(A171,Enforcements!$C$7:$J$21,8,0)</f>
        <v>#N/A</v>
      </c>
      <c r="AC171" s="62" t="e">
        <f>VLOOKUP(A171,Enforcements!$C$7:$E$21,3,0)</f>
        <v>#N/A</v>
      </c>
      <c r="AD171" s="63" t="str">
        <f t="shared" si="59"/>
        <v>0811-30</v>
      </c>
      <c r="AE171"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71" s="96" t="str">
        <f t="shared" si="61"/>
        <v>"C:\Program Files (x86)\AstroGrep\AstroGrep.exe" /spath="%USERPROFILE%\AppData\Local\Temp\OnboardLogs" /stypes="*4014*20160830*" /stext=" 14:.+((SYSTEM_STATE.+slice.+state.+changed )|(ment ac)|(system.+state.+changed )|(\|lc)|(penalty)|(\[timeout)|(PRM\|1\|D)|(kpr)|(kdp))" /e /r /s</v>
      </c>
      <c r="AG171" s="1" t="str">
        <f t="shared" si="62"/>
        <v>NW</v>
      </c>
      <c r="AH171" s="100" t="str">
        <f t="shared" si="63"/>
        <v>"%USERPROFILE%\Documents\GitHub\eaglep3\Utilities\RefineRTDCRunTimes.py" --tripid 811-30 --locoid 4014 --swversion DE.1.0.7.0 --startMP 204:1020 --initTime 2016-08-30T07:56:57 --startdatetime 2016-08-30T08:21:14 --delay 1 --endMP 300:58943 --enddatetime 2016-08-30T08:34:33 --enforcementcount 0 &gt;&gt;C:\Users\stu\Documents\GitHub\eaglep3-reporting\EC\2016-08-30-refined-times.txt</v>
      </c>
      <c r="AI171" s="149" t="str">
        <f t="shared" si="64"/>
        <v>echo {"issue":{"subject":"","project_id":79,"tracker_id":40,"status_id":1,"priority_id":2,"assigned_to_id":23,"start_date":"2016-08-30","description":"","custom_fields":[{"id":1,"name":"Subdivision","value":"NW"},{"id":4,"name":"Milepost","value":"5.7923"},{"id":17,"name":"Train ID","value":"811-30"},{"id":16,"name":"Locomotive ID","value":"4014"},{"id":130,"name":"Impact","value":""},{"id":150,"name":"Time of Event (Mountain Time)","value":"08:34:33"},{"id":151,"name":"Denver Issue ID","value":""},{"id":178,"name":"Operational Impact","value":"Yes"},{"id":179,"name":"Denver Segment Assigned","value":""}]}} | curl -X POST -H "Content-Type: application/json" -H "X-Redmine-API-Key: d6333d4a04012a730768444271f8ca06482dae87" https://secure.xorail.net/redmine/issues.json --data @-</v>
      </c>
      <c r="AJ171" s="55"/>
      <c r="AK171" s="55"/>
      <c r="AL171" s="55"/>
    </row>
    <row r="172" spans="1:38" x14ac:dyDescent="0.25">
      <c r="A172" s="39" t="s">
        <v>432</v>
      </c>
      <c r="B172" s="7">
        <v>4013</v>
      </c>
      <c r="C172" s="24" t="s">
        <v>113</v>
      </c>
      <c r="D172" s="24" t="s">
        <v>681</v>
      </c>
      <c r="E172" s="15">
        <v>42612.358101851853</v>
      </c>
      <c r="F172" s="15">
        <v>42612.359560185185</v>
      </c>
      <c r="G172" s="7">
        <v>1</v>
      </c>
      <c r="H172" s="15" t="s">
        <v>346</v>
      </c>
      <c r="I172" s="15">
        <v>42612.371608796297</v>
      </c>
      <c r="J172" s="7">
        <v>0</v>
      </c>
      <c r="K172" s="132" t="str">
        <f t="shared" si="51"/>
        <v>4013/4014</v>
      </c>
      <c r="L172" s="24" t="str">
        <f>VLOOKUP(A172,'Trips&amp;Operators'!$C$1:$E$10000,3,FALSE)</f>
        <v>SANTIZO</v>
      </c>
      <c r="M172" s="6">
        <f t="shared" si="52"/>
        <v>1.2048611111822538E-2</v>
      </c>
      <c r="N172" s="7">
        <f t="shared" si="65"/>
        <v>17.350000001024455</v>
      </c>
      <c r="O172" s="7"/>
      <c r="P172" s="7"/>
      <c r="Q172" s="25"/>
      <c r="R172" s="25"/>
      <c r="S172" s="37">
        <f t="shared" si="67"/>
        <v>1</v>
      </c>
      <c r="T172" s="52" t="str">
        <f t="shared" si="53"/>
        <v>Southbound</v>
      </c>
      <c r="U172" s="126">
        <f>IF(AG172="EC",COUNTIFS(Variables!$M$2:$M$19,IF(T172="NorthBound","&gt;=","&lt;=")&amp;Y172,Variables!$M$2:$M$19,IF(T172="NorthBound","&lt;=","&gt;=")&amp;Z172),COUNTIFS(Variables!$P$2:$P$19,IF(T172="NorthBound","&gt;=","&lt;=")&amp;Y172,Variables!$P$2:$P$19,IF(T172="NorthBound","&lt;=","&gt;=")&amp;Z172))</f>
        <v>1</v>
      </c>
      <c r="V172" s="106" t="str">
        <f t="shared" si="54"/>
        <v>https://search-rtdc-monitor-bjffxe2xuh6vdkpspy63sjmuny.us-east-1.es.amazonaws.com/_plugin/kibana/#/discover/Steve-Slow-Train-Analysis-(2080s-and-2083s)?_g=(refreshInterval:(display:Off,section:0,value:0),time:(from:'2016-08-30 07:35:40-0600',mode:absolute,to:'2016-08-30 09:55: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72" s="54" t="str">
        <f t="shared" si="55"/>
        <v>N</v>
      </c>
      <c r="X172" s="120">
        <f t="shared" si="66"/>
        <v>1</v>
      </c>
      <c r="Y172" s="69">
        <f t="shared" si="56"/>
        <v>5.8628</v>
      </c>
      <c r="Z172" s="69">
        <f t="shared" si="57"/>
        <v>7.1900000000000006E-2</v>
      </c>
      <c r="AA172" s="69">
        <f t="shared" si="58"/>
        <v>5.7908999999999997</v>
      </c>
      <c r="AB172" s="66" t="e">
        <f>VLOOKUP(A172,Enforcements!$C$7:$J$21,8,0)</f>
        <v>#N/A</v>
      </c>
      <c r="AC172" s="62" t="e">
        <f>VLOOKUP(A172,Enforcements!$C$7:$E$21,3,0)</f>
        <v>#N/A</v>
      </c>
      <c r="AD172" s="63" t="str">
        <f t="shared" si="59"/>
        <v>0812-30</v>
      </c>
      <c r="AE172"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72" s="96" t="str">
        <f t="shared" si="61"/>
        <v>"C:\Program Files (x86)\AstroGrep\AstroGrep.exe" /spath="%USERPROFILE%\AppData\Local\Temp\OnboardLogs" /stypes="*4013*20160830*" /stext=" 14:.+((SYSTEM_STATE.+slice.+state.+changed )|(ment ac)|(system.+state.+changed )|(\|lc)|(penalty)|(\[timeout)|(PRM\|1\|D)|(kpr)|(kdp))" /e /r /s</v>
      </c>
      <c r="AG172" s="1" t="str">
        <f t="shared" si="62"/>
        <v>NW</v>
      </c>
      <c r="AH172" s="100" t="str">
        <f t="shared" si="63"/>
        <v>"%USERPROFILE%\Documents\GitHub\eaglep3\Utilities\RefineRTDCRunTimes.py" --tripid 812-30 --locoid 4013 --swversion DE.1.0.7.0 --startMP 300:58628 --initTime 2016-08-30T08:35:40 --startdatetime 2016-08-30T08:37:46 --delay 1 --endMP 204:719 --enddatetime 2016-08-30T08:55:07 --enforcementcount 0 &gt;&gt;C:\Users\stu\Documents\GitHub\eaglep3-reporting\EC\2016-08-30-refined-times.txt</v>
      </c>
      <c r="AI172" s="149" t="str">
        <f t="shared" si="64"/>
        <v>echo {"issue":{"subject":"","project_id":79,"tracker_id":40,"status_id":1,"priority_id":2,"assigned_to_id":23,"start_date":"2016-08-30","description":"","custom_fields":[{"id":1,"name":"Subdivision","value":"NW"},{"id":4,"name":"Milepost","value":"5.7909"},{"id":17,"name":"Train ID","value":"812-30"},{"id":16,"name":"Locomotive ID","value":"4013"},{"id":130,"name":"Impact","value":""},{"id":150,"name":"Time of Event (Mountain Time)","value":"08:55:07"},{"id":151,"name":"Denver Issue ID","value":""},{"id":178,"name":"Operational Impact","value":"Yes"},{"id":179,"name":"Denver Segment Assigned","value":""}]}} | curl -X POST -H "Content-Type: application/json" -H "X-Redmine-API-Key: d6333d4a04012a730768444271f8ca06482dae87" https://secure.xorail.net/redmine/issues.json --data @-</v>
      </c>
      <c r="AJ172" s="55"/>
      <c r="AK172" s="55"/>
      <c r="AL172" s="55"/>
    </row>
    <row r="173" spans="1:38" x14ac:dyDescent="0.25">
      <c r="A173" s="39" t="s">
        <v>436</v>
      </c>
      <c r="B173" s="7">
        <v>4014</v>
      </c>
      <c r="C173" s="24" t="s">
        <v>113</v>
      </c>
      <c r="D173" s="24" t="s">
        <v>284</v>
      </c>
      <c r="E173" s="15">
        <v>42612.381724537037</v>
      </c>
      <c r="F173" s="15">
        <v>42612.389768518522</v>
      </c>
      <c r="G173" s="7">
        <v>1</v>
      </c>
      <c r="H173" s="15" t="s">
        <v>682</v>
      </c>
      <c r="I173" s="15">
        <v>42612.39943287037</v>
      </c>
      <c r="J173" s="7">
        <v>0</v>
      </c>
      <c r="K173" s="132" t="str">
        <f t="shared" si="51"/>
        <v>4013/4014</v>
      </c>
      <c r="L173" s="24" t="str">
        <f>VLOOKUP(A173,'Trips&amp;Operators'!$C$1:$E$10000,3,FALSE)</f>
        <v>BEAM</v>
      </c>
      <c r="M173" s="6">
        <f t="shared" si="52"/>
        <v>9.6643518481869251E-3</v>
      </c>
      <c r="N173" s="7">
        <f t="shared" si="65"/>
        <v>13.916666661389172</v>
      </c>
      <c r="O173" s="7"/>
      <c r="P173" s="7"/>
      <c r="Q173" s="25"/>
      <c r="R173" s="25"/>
      <c r="S173" s="37">
        <f t="shared" si="67"/>
        <v>1</v>
      </c>
      <c r="T173" s="52" t="str">
        <f t="shared" si="53"/>
        <v>NorthBound</v>
      </c>
      <c r="U173" s="126">
        <f>IF(AG173="EC",COUNTIFS(Variables!$M$2:$M$19,IF(T173="NorthBound","&gt;=","&lt;=")&amp;Y173,Variables!$M$2:$M$19,IF(T173="NorthBound","&lt;=","&gt;=")&amp;Z173),COUNTIFS(Variables!$P$2:$P$19,IF(T173="NorthBound","&gt;=","&lt;=")&amp;Y173,Variables!$P$2:$P$19,IF(T173="NorthBound","&lt;=","&gt;=")&amp;Z173))</f>
        <v>1</v>
      </c>
      <c r="V173" s="106" t="str">
        <f t="shared" si="54"/>
        <v>https://search-rtdc-monitor-bjffxe2xuh6vdkpspy63sjmuny.us-east-1.es.amazonaws.com/_plugin/kibana/#/discover/Steve-Slow-Train-Analysis-(2080s-and-2083s)?_g=(refreshInterval:(display:Off,section:0,value:0),time:(from:'2016-08-30 08:09:41-0600',mode:absolute,to:'2016-08-30 10: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73" s="54" t="str">
        <f t="shared" si="55"/>
        <v>N</v>
      </c>
      <c r="X173" s="120">
        <f t="shared" si="66"/>
        <v>1</v>
      </c>
      <c r="Y173" s="69">
        <f t="shared" si="56"/>
        <v>0.10249999999999999</v>
      </c>
      <c r="Z173" s="69">
        <f t="shared" si="57"/>
        <v>5.8992000000000004</v>
      </c>
      <c r="AA173" s="69">
        <f t="shared" si="58"/>
        <v>5.7967000000000004</v>
      </c>
      <c r="AB173" s="66" t="e">
        <f>VLOOKUP(A173,Enforcements!$C$7:$J$21,8,0)</f>
        <v>#N/A</v>
      </c>
      <c r="AC173" s="62" t="e">
        <f>VLOOKUP(A173,Enforcements!$C$7:$E$21,3,0)</f>
        <v>#N/A</v>
      </c>
      <c r="AD173" s="63" t="str">
        <f t="shared" si="59"/>
        <v>0813-30</v>
      </c>
      <c r="AE173"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73" s="96" t="str">
        <f t="shared" si="61"/>
        <v>"C:\Program Files (x86)\AstroGrep\AstroGrep.exe" /spath="%USERPROFILE%\AppData\Local\Temp\OnboardLogs" /stypes="*4014*20160830*" /stext=" 15:.+((SYSTEM_STATE.+slice.+state.+changed )|(ment ac)|(system.+state.+changed )|(\|lc)|(penalty)|(\[timeout)|(PRM\|1\|D)|(kpr)|(kdp))" /e /r /s</v>
      </c>
      <c r="AG173" s="1" t="str">
        <f t="shared" si="62"/>
        <v>NW</v>
      </c>
      <c r="AH173" s="100" t="str">
        <f t="shared" si="63"/>
        <v>"%USERPROFILE%\Documents\GitHub\eaglep3\Utilities\RefineRTDCRunTimes.py" --tripid 813-30 --locoid 4014 --swversion DE.1.0.7.0 --startMP 204:1025 --initTime 2016-08-30T09:09:41 --startdatetime 2016-08-30T09:21:16 --delay 1 --endMP 300:58992 --enddatetime 2016-08-30T09:35:11 --enforcementcount 0 &gt;&gt;C:\Users\stu\Documents\GitHub\eaglep3-reporting\EC\2016-08-30-refined-times.txt</v>
      </c>
      <c r="AI173" s="149" t="str">
        <f t="shared" si="64"/>
        <v>echo {"issue":{"subject":"","project_id":79,"tracker_id":40,"status_id":1,"priority_id":2,"assigned_to_id":23,"start_date":"2016-08-30","description":"","custom_fields":[{"id":1,"name":"Subdivision","value":"NW"},{"id":4,"name":"Milepost","value":"5.7967"},{"id":17,"name":"Train ID","value":"813-30"},{"id":16,"name":"Locomotive ID","value":"4014"},{"id":130,"name":"Impact","value":""},{"id":150,"name":"Time of Event (Mountain Time)","value":"09:35:11"},{"id":151,"name":"Denver Issue ID","value":""},{"id":178,"name":"Operational Impact","value":"Yes"},{"id":179,"name":"Denver Segment Assigned","value":""}]}} | curl -X POST -H "Content-Type: application/json" -H "X-Redmine-API-Key: d6333d4a04012a730768444271f8ca06482dae87" https://secure.xorail.net/redmine/issues.json --data @-</v>
      </c>
      <c r="AJ173" s="55"/>
      <c r="AK173" s="55"/>
      <c r="AL173" s="55"/>
    </row>
    <row r="174" spans="1:38" x14ac:dyDescent="0.25">
      <c r="A174" s="39" t="s">
        <v>442</v>
      </c>
      <c r="B174" s="7">
        <v>4013</v>
      </c>
      <c r="C174" s="24" t="s">
        <v>113</v>
      </c>
      <c r="D174" s="24" t="s">
        <v>683</v>
      </c>
      <c r="E174" s="15">
        <v>42612.400717592594</v>
      </c>
      <c r="F174" s="15">
        <v>42612.402071759258</v>
      </c>
      <c r="G174" s="7">
        <v>1</v>
      </c>
      <c r="H174" s="15" t="s">
        <v>684</v>
      </c>
      <c r="I174" s="15">
        <v>42612.413252314815</v>
      </c>
      <c r="J174" s="7">
        <v>0</v>
      </c>
      <c r="K174" s="132" t="str">
        <f t="shared" si="51"/>
        <v>4013/4014</v>
      </c>
      <c r="L174" s="24" t="str">
        <f>VLOOKUP(A174,'Trips&amp;Operators'!$C$1:$E$10000,3,FALSE)</f>
        <v>BEAM</v>
      </c>
      <c r="M174" s="6">
        <f t="shared" si="52"/>
        <v>1.1180555557075422E-2</v>
      </c>
      <c r="N174" s="7">
        <f t="shared" si="65"/>
        <v>16.100000002188608</v>
      </c>
      <c r="O174" s="7"/>
      <c r="P174" s="7"/>
      <c r="Q174" s="25"/>
      <c r="R174" s="25"/>
      <c r="S174" s="37">
        <f t="shared" si="67"/>
        <v>1</v>
      </c>
      <c r="T174" s="52" t="str">
        <f t="shared" si="53"/>
        <v>Southbound</v>
      </c>
      <c r="U174" s="126">
        <f>IF(AG174="EC",COUNTIFS(Variables!$M$2:$M$19,IF(T174="NorthBound","&gt;=","&lt;=")&amp;Y174,Variables!$M$2:$M$19,IF(T174="NorthBound","&lt;=","&gt;=")&amp;Z174),COUNTIFS(Variables!$P$2:$P$19,IF(T174="NorthBound","&gt;=","&lt;=")&amp;Y174,Variables!$P$2:$P$19,IF(T174="NorthBound","&lt;=","&gt;=")&amp;Z174))</f>
        <v>1</v>
      </c>
      <c r="V174" s="106" t="str">
        <f t="shared" si="54"/>
        <v>https://search-rtdc-monitor-bjffxe2xuh6vdkpspy63sjmuny.us-east-1.es.amazonaws.com/_plugin/kibana/#/discover/Steve-Slow-Train-Analysis-(2080s-and-2083s)?_g=(refreshInterval:(display:Off,section:0,value:0),time:(from:'2016-08-30 08:37:02-0600',mode:absolute,to:'2016-08-30 10: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74" s="54" t="str">
        <f t="shared" si="55"/>
        <v>N</v>
      </c>
      <c r="X174" s="120">
        <f t="shared" si="66"/>
        <v>1</v>
      </c>
      <c r="Y174" s="69">
        <f t="shared" si="56"/>
        <v>5.8667999999999996</v>
      </c>
      <c r="Z174" s="69">
        <f t="shared" si="57"/>
        <v>7.9399999999999998E-2</v>
      </c>
      <c r="AA174" s="69">
        <f t="shared" si="58"/>
        <v>5.7873999999999999</v>
      </c>
      <c r="AB174" s="66" t="e">
        <f>VLOOKUP(A174,Enforcements!$C$7:$J$21,8,0)</f>
        <v>#N/A</v>
      </c>
      <c r="AC174" s="62" t="e">
        <f>VLOOKUP(A174,Enforcements!$C$7:$E$21,3,0)</f>
        <v>#N/A</v>
      </c>
      <c r="AD174" s="63" t="str">
        <f t="shared" si="59"/>
        <v>0814-30</v>
      </c>
      <c r="AE174"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74" s="96" t="str">
        <f t="shared" si="61"/>
        <v>"C:\Program Files (x86)\AstroGrep\AstroGrep.exe" /spath="%USERPROFILE%\AppData\Local\Temp\OnboardLogs" /stypes="*4013*20160830*" /stext=" 15:.+((SYSTEM_STATE.+slice.+state.+changed )|(ment ac)|(system.+state.+changed )|(\|lc)|(penalty)|(\[timeout)|(PRM\|1\|D)|(kpr)|(kdp))" /e /r /s</v>
      </c>
      <c r="AG174" s="1" t="str">
        <f t="shared" si="62"/>
        <v>NW</v>
      </c>
      <c r="AH174" s="100" t="str">
        <f t="shared" si="63"/>
        <v>"%USERPROFILE%\Documents\GitHub\eaglep3\Utilities\RefineRTDCRunTimes.py" --tripid 814-30 --locoid 4013 --swversion DE.1.0.7.0 --startMP 300:58668 --initTime 2016-08-30T09:37:02 --startdatetime 2016-08-30T09:38:59 --delay 1 --endMP 204:794 --enddatetime 2016-08-30T09:55:05 --enforcementcount 0 &gt;&gt;C:\Users\stu\Documents\GitHub\eaglep3-reporting\EC\2016-08-30-refined-times.txt</v>
      </c>
      <c r="AI174" s="149" t="str">
        <f t="shared" si="64"/>
        <v>echo {"issue":{"subject":"","project_id":79,"tracker_id":40,"status_id":1,"priority_id":2,"assigned_to_id":23,"start_date":"2016-08-30","description":"","custom_fields":[{"id":1,"name":"Subdivision","value":"NW"},{"id":4,"name":"Milepost","value":"5.7874"},{"id":17,"name":"Train ID","value":"814-30"},{"id":16,"name":"Locomotive ID","value":"4013"},{"id":130,"name":"Impact","value":""},{"id":150,"name":"Time of Event (Mountain Time)","value":"09:55:05"},{"id":151,"name":"Denver Issue ID","value":""},{"id":178,"name":"Operational Impact","value":"Yes"},{"id":179,"name":"Denver Segment Assigned","value":""}]}} | curl -X POST -H "Content-Type: application/json" -H "X-Redmine-API-Key: d6333d4a04012a730768444271f8ca06482dae87" https://secure.xorail.net/redmine/issues.json --data @-</v>
      </c>
      <c r="AJ174" s="55"/>
      <c r="AK174" s="55"/>
      <c r="AL174" s="55"/>
    </row>
    <row r="175" spans="1:38" x14ac:dyDescent="0.25">
      <c r="A175" s="39" t="s">
        <v>448</v>
      </c>
      <c r="B175" s="7">
        <v>4014</v>
      </c>
      <c r="C175" s="24" t="s">
        <v>113</v>
      </c>
      <c r="D175" s="24" t="s">
        <v>685</v>
      </c>
      <c r="E175" s="15">
        <v>42612.428240740737</v>
      </c>
      <c r="F175" s="15">
        <v>42612.43141203704</v>
      </c>
      <c r="G175" s="7">
        <v>1</v>
      </c>
      <c r="H175" s="15" t="s">
        <v>686</v>
      </c>
      <c r="I175" s="15">
        <v>42612.440821759257</v>
      </c>
      <c r="J175" s="7">
        <v>0</v>
      </c>
      <c r="K175" s="132" t="str">
        <f t="shared" si="51"/>
        <v>4013/4014</v>
      </c>
      <c r="L175" s="24" t="str">
        <f>VLOOKUP(A175,'Trips&amp;Operators'!$C$1:$E$10000,3,FALSE)</f>
        <v>BEAM</v>
      </c>
      <c r="M175" s="6">
        <f t="shared" si="52"/>
        <v>9.4097222172422335E-3</v>
      </c>
      <c r="N175" s="7">
        <f t="shared" si="65"/>
        <v>13.549999992828816</v>
      </c>
      <c r="O175" s="7"/>
      <c r="P175" s="7"/>
      <c r="Q175" s="25"/>
      <c r="R175" s="25"/>
      <c r="S175" s="37">
        <f t="shared" si="67"/>
        <v>1</v>
      </c>
      <c r="T175" s="52" t="str">
        <f t="shared" si="53"/>
        <v>NorthBound</v>
      </c>
      <c r="U175" s="126">
        <f>IF(AG175="EC",COUNTIFS(Variables!$M$2:$M$19,IF(T175="NorthBound","&gt;=","&lt;=")&amp;Y175,Variables!$M$2:$M$19,IF(T175="NorthBound","&lt;=","&gt;=")&amp;Z175),COUNTIFS(Variables!$P$2:$P$19,IF(T175="NorthBound","&gt;=","&lt;=")&amp;Y175,Variables!$P$2:$P$19,IF(T175="NorthBound","&lt;=","&gt;=")&amp;Z175))</f>
        <v>1</v>
      </c>
      <c r="V175" s="106" t="str">
        <f t="shared" si="54"/>
        <v>https://search-rtdc-monitor-bjffxe2xuh6vdkpspy63sjmuny.us-east-1.es.amazonaws.com/_plugin/kibana/#/discover/Steve-Slow-Train-Analysis-(2080s-and-2083s)?_g=(refreshInterval:(display:Off,section:0,value:0),time:(from:'2016-08-30 09:16:40-0600',mode:absolute,to:'2016-08-30 11:34: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75" s="54" t="str">
        <f t="shared" si="55"/>
        <v>N</v>
      </c>
      <c r="X175" s="120">
        <f t="shared" si="66"/>
        <v>1</v>
      </c>
      <c r="Y175" s="69">
        <f t="shared" si="56"/>
        <v>0.109</v>
      </c>
      <c r="Z175" s="69">
        <f t="shared" si="57"/>
        <v>5.9021999999999997</v>
      </c>
      <c r="AA175" s="69">
        <f t="shared" si="58"/>
        <v>5.7931999999999997</v>
      </c>
      <c r="AB175" s="66" t="e">
        <f>VLOOKUP(A175,Enforcements!$C$7:$J$21,8,0)</f>
        <v>#N/A</v>
      </c>
      <c r="AC175" s="62" t="e">
        <f>VLOOKUP(A175,Enforcements!$C$7:$E$21,3,0)</f>
        <v>#N/A</v>
      </c>
      <c r="AD175" s="63" t="str">
        <f t="shared" si="59"/>
        <v>0815-30</v>
      </c>
      <c r="AE175"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75" s="96" t="str">
        <f t="shared" si="61"/>
        <v>"C:\Program Files (x86)\AstroGrep\AstroGrep.exe" /spath="%USERPROFILE%\AppData\Local\Temp\OnboardLogs" /stypes="*4014*20160830*" /stext=" 16:.+((SYSTEM_STATE.+slice.+state.+changed )|(ment ac)|(system.+state.+changed )|(\|lc)|(penalty)|(\[timeout)|(PRM\|1\|D)|(kpr)|(kdp))" /e /r /s</v>
      </c>
      <c r="AG175" s="1" t="str">
        <f t="shared" si="62"/>
        <v>NW</v>
      </c>
      <c r="AH175" s="100" t="str">
        <f t="shared" si="63"/>
        <v>"%USERPROFILE%\Documents\GitHub\eaglep3\Utilities\RefineRTDCRunTimes.py" --tripid 815-30 --locoid 4014 --swversion DE.1.0.7.0 --startMP 204:1090 --initTime 2016-08-30T10:16:40 --startdatetime 2016-08-30T10:21:14 --delay 1 --endMP 300:59022 --enddatetime 2016-08-30T10:34:47 --enforcementcount 0 &gt;&gt;C:\Users\stu\Documents\GitHub\eaglep3-reporting\EC\2016-08-30-refined-times.txt</v>
      </c>
      <c r="AI175" s="149" t="str">
        <f t="shared" si="64"/>
        <v>echo {"issue":{"subject":"","project_id":79,"tracker_id":40,"status_id":1,"priority_id":2,"assigned_to_id":23,"start_date":"2016-08-30","description":"","custom_fields":[{"id":1,"name":"Subdivision","value":"NW"},{"id":4,"name":"Milepost","value":"5.7932"},{"id":17,"name":"Train ID","value":"815-30"},{"id":16,"name":"Locomotive ID","value":"4014"},{"id":130,"name":"Impact","value":""},{"id":150,"name":"Time of Event (Mountain Time)","value":"10:34:47"},{"id":151,"name":"Denver Issue ID","value":""},{"id":178,"name":"Operational Impact","value":"Yes"},{"id":179,"name":"Denver Segment Assigned","value":""}]}} | curl -X POST -H "Content-Type: application/json" -H "X-Redmine-API-Key: d6333d4a04012a730768444271f8ca06482dae87" https://secure.xorail.net/redmine/issues.json --data @-</v>
      </c>
      <c r="AJ175" s="55"/>
      <c r="AK175" s="55"/>
      <c r="AL175" s="55"/>
    </row>
    <row r="176" spans="1:38" x14ac:dyDescent="0.25">
      <c r="A176" s="39" t="s">
        <v>451</v>
      </c>
      <c r="B176" s="7">
        <v>4013</v>
      </c>
      <c r="C176" s="24" t="s">
        <v>113</v>
      </c>
      <c r="D176" s="24" t="s">
        <v>687</v>
      </c>
      <c r="E176" s="15">
        <v>42612.44195601852</v>
      </c>
      <c r="F176" s="15">
        <v>42612.443541666667</v>
      </c>
      <c r="G176" s="7">
        <v>1</v>
      </c>
      <c r="H176" s="15" t="s">
        <v>688</v>
      </c>
      <c r="I176" s="15">
        <v>42612.45516203704</v>
      </c>
      <c r="J176" s="7">
        <v>0</v>
      </c>
      <c r="K176" s="132" t="str">
        <f t="shared" si="51"/>
        <v>4013/4014</v>
      </c>
      <c r="L176" s="24" t="str">
        <f>VLOOKUP(A176,'Trips&amp;Operators'!$C$1:$E$10000,3,FALSE)</f>
        <v>BEAM</v>
      </c>
      <c r="M176" s="6">
        <f t="shared" si="52"/>
        <v>1.1620370372838806E-2</v>
      </c>
      <c r="N176" s="7">
        <f t="shared" si="65"/>
        <v>16.733333336887881</v>
      </c>
      <c r="O176" s="7"/>
      <c r="P176" s="7"/>
      <c r="Q176" s="25"/>
      <c r="R176" s="25"/>
      <c r="S176" s="37">
        <f t="shared" si="67"/>
        <v>1</v>
      </c>
      <c r="T176" s="52" t="str">
        <f t="shared" si="53"/>
        <v>Southbound</v>
      </c>
      <c r="U176" s="126">
        <f>IF(AG176="EC",COUNTIFS(Variables!$M$2:$M$19,IF(T176="NorthBound","&gt;=","&lt;=")&amp;Y176,Variables!$M$2:$M$19,IF(T176="NorthBound","&lt;=","&gt;=")&amp;Z176),COUNTIFS(Variables!$P$2:$P$19,IF(T176="NorthBound","&gt;=","&lt;=")&amp;Y176,Variables!$P$2:$P$19,IF(T176="NorthBound","&lt;=","&gt;=")&amp;Z176))</f>
        <v>1</v>
      </c>
      <c r="V176" s="106" t="str">
        <f t="shared" si="54"/>
        <v>https://search-rtdc-monitor-bjffxe2xuh6vdkpspy63sjmuny.us-east-1.es.amazonaws.com/_plugin/kibana/#/discover/Steve-Slow-Train-Analysis-(2080s-and-2083s)?_g=(refreshInterval:(display:Off,section:0,value:0),time:(from:'2016-08-30 09:36:25-0600',mode:absolute,to:'2016-08-30 11:55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76" s="54" t="str">
        <f t="shared" si="55"/>
        <v>N</v>
      </c>
      <c r="X176" s="120">
        <f t="shared" si="66"/>
        <v>1</v>
      </c>
      <c r="Y176" s="69">
        <f t="shared" si="56"/>
        <v>5.8712</v>
      </c>
      <c r="Z176" s="69">
        <f t="shared" si="57"/>
        <v>7.7499999999999999E-2</v>
      </c>
      <c r="AA176" s="69">
        <f t="shared" si="58"/>
        <v>5.7937000000000003</v>
      </c>
      <c r="AB176" s="66" t="e">
        <f>VLOOKUP(A176,Enforcements!$C$7:$J$21,8,0)</f>
        <v>#N/A</v>
      </c>
      <c r="AC176" s="62" t="e">
        <f>VLOOKUP(A176,Enforcements!$C$7:$E$21,3,0)</f>
        <v>#N/A</v>
      </c>
      <c r="AD176" s="63" t="str">
        <f t="shared" si="59"/>
        <v>0816-30</v>
      </c>
      <c r="AE176"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76" s="96" t="str">
        <f t="shared" si="61"/>
        <v>"C:\Program Files (x86)\AstroGrep\AstroGrep.exe" /spath="%USERPROFILE%\AppData\Local\Temp\OnboardLogs" /stypes="*4013*20160830*" /stext=" 16:.+((SYSTEM_STATE.+slice.+state.+changed )|(ment ac)|(system.+state.+changed )|(\|lc)|(penalty)|(\[timeout)|(PRM\|1\|D)|(kpr)|(kdp))" /e /r /s</v>
      </c>
      <c r="AG176" s="1" t="str">
        <f t="shared" si="62"/>
        <v>NW</v>
      </c>
      <c r="AH176" s="100" t="str">
        <f t="shared" si="63"/>
        <v>"%USERPROFILE%\Documents\GitHub\eaglep3\Utilities\RefineRTDCRunTimes.py" --tripid 816-30 --locoid 4013 --swversion DE.1.0.7.0 --startMP 300:58712 --initTime 2016-08-30T10:36:25 --startdatetime 2016-08-30T10:38:42 --delay 1 --endMP 204:775 --enddatetime 2016-08-30T10:55:26 --enforcementcount 0 &gt;&gt;C:\Users\stu\Documents\GitHub\eaglep3-reporting\EC\2016-08-30-refined-times.txt</v>
      </c>
      <c r="AI176" s="149" t="str">
        <f t="shared" si="64"/>
        <v>echo {"issue":{"subject":"","project_id":79,"tracker_id":40,"status_id":1,"priority_id":2,"assigned_to_id":23,"start_date":"2016-08-30","description":"","custom_fields":[{"id":1,"name":"Subdivision","value":"NW"},{"id":4,"name":"Milepost","value":"5.7937"},{"id":17,"name":"Train ID","value":"816-30"},{"id":16,"name":"Locomotive ID","value":"4013"},{"id":130,"name":"Impact","value":""},{"id":150,"name":"Time of Event (Mountain Time)","value":"10:55:26"},{"id":151,"name":"Denver Issue ID","value":""},{"id":178,"name":"Operational Impact","value":"Yes"},{"id":179,"name":"Denver Segment Assigned","value":""}]}} | curl -X POST -H "Content-Type: application/json" -H "X-Redmine-API-Key: d6333d4a04012a730768444271f8ca06482dae87" https://secure.xorail.net/redmine/issues.json --data @-</v>
      </c>
      <c r="AJ176" s="55"/>
      <c r="AK176" s="55"/>
      <c r="AL176" s="55"/>
    </row>
    <row r="177" spans="1:38" x14ac:dyDescent="0.25">
      <c r="A177" s="39" t="s">
        <v>455</v>
      </c>
      <c r="B177" s="7">
        <v>4014</v>
      </c>
      <c r="C177" s="24" t="s">
        <v>113</v>
      </c>
      <c r="D177" s="24" t="s">
        <v>689</v>
      </c>
      <c r="E177" s="15">
        <v>42612.471203703702</v>
      </c>
      <c r="F177" s="15">
        <v>42612.473090277781</v>
      </c>
      <c r="G177" s="7">
        <v>1</v>
      </c>
      <c r="H177" s="15" t="s">
        <v>690</v>
      </c>
      <c r="I177" s="15">
        <v>42612.482187499998</v>
      </c>
      <c r="J177" s="7">
        <v>0</v>
      </c>
      <c r="K177" s="132" t="str">
        <f t="shared" si="51"/>
        <v>4013/4014</v>
      </c>
      <c r="L177" s="24" t="str">
        <f>VLOOKUP(A177,'Trips&amp;Operators'!$C$1:$E$10000,3,FALSE)</f>
        <v>BEAM</v>
      </c>
      <c r="M177" s="6">
        <f t="shared" si="52"/>
        <v>9.0972222169511952E-3</v>
      </c>
      <c r="N177" s="7">
        <f t="shared" si="65"/>
        <v>13.099999992409721</v>
      </c>
      <c r="O177" s="7"/>
      <c r="P177" s="7"/>
      <c r="Q177" s="25"/>
      <c r="R177" s="25"/>
      <c r="S177" s="37">
        <f t="shared" si="67"/>
        <v>1</v>
      </c>
      <c r="T177" s="52" t="str">
        <f t="shared" si="53"/>
        <v>NorthBound</v>
      </c>
      <c r="U177" s="126">
        <f>IF(AG177="EC",COUNTIFS(Variables!$M$2:$M$19,IF(T177="NorthBound","&gt;=","&lt;=")&amp;Y177,Variables!$M$2:$M$19,IF(T177="NorthBound","&lt;=","&gt;=")&amp;Z177),COUNTIFS(Variables!$P$2:$P$19,IF(T177="NorthBound","&gt;=","&lt;=")&amp;Y177,Variables!$P$2:$P$19,IF(T177="NorthBound","&lt;=","&gt;=")&amp;Z177))</f>
        <v>1</v>
      </c>
      <c r="V177" s="106" t="str">
        <f t="shared" si="54"/>
        <v>https://search-rtdc-monitor-bjffxe2xuh6vdkpspy63sjmuny.us-east-1.es.amazonaws.com/_plugin/kibana/#/discover/Steve-Slow-Train-Analysis-(2080s-and-2083s)?_g=(refreshInterval:(display:Off,section:0,value:0),time:(from:'2016-08-30 10:18:32-0600',mode:absolute,to:'2016-08-30 12:34: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77" s="54" t="str">
        <f t="shared" si="55"/>
        <v>N</v>
      </c>
      <c r="X177" s="120">
        <f t="shared" si="66"/>
        <v>1</v>
      </c>
      <c r="Y177" s="69">
        <f t="shared" si="56"/>
        <v>0.10829999999999999</v>
      </c>
      <c r="Z177" s="69">
        <f t="shared" si="57"/>
        <v>5.9016000000000002</v>
      </c>
      <c r="AA177" s="69">
        <f t="shared" si="58"/>
        <v>5.7933000000000003</v>
      </c>
      <c r="AB177" s="66" t="e">
        <f>VLOOKUP(A177,Enforcements!$C$7:$J$21,8,0)</f>
        <v>#N/A</v>
      </c>
      <c r="AC177" s="62" t="e">
        <f>VLOOKUP(A177,Enforcements!$C$7:$E$21,3,0)</f>
        <v>#N/A</v>
      </c>
      <c r="AD177" s="63" t="str">
        <f t="shared" si="59"/>
        <v>0817-30</v>
      </c>
      <c r="AE177"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77" s="96" t="str">
        <f t="shared" si="61"/>
        <v>"C:\Program Files (x86)\AstroGrep\AstroGrep.exe" /spath="%USERPROFILE%\AppData\Local\Temp\OnboardLogs" /stypes="*4014*20160830*" /stext=" 17:.+((SYSTEM_STATE.+slice.+state.+changed )|(ment ac)|(system.+state.+changed )|(\|lc)|(penalty)|(\[timeout)|(PRM\|1\|D)|(kpr)|(kdp))" /e /r /s</v>
      </c>
      <c r="AG177" s="1" t="str">
        <f t="shared" si="62"/>
        <v>NW</v>
      </c>
      <c r="AH177" s="100" t="str">
        <f t="shared" si="63"/>
        <v>"%USERPROFILE%\Documents\GitHub\eaglep3\Utilities\RefineRTDCRunTimes.py" --tripid 817-30 --locoid 4014 --swversion DE.1.0.7.0 --startMP 204:1083 --initTime 2016-08-30T11:18:32 --startdatetime 2016-08-30T11:21:15 --delay 1 --endMP 300:59016 --enddatetime 2016-08-30T11:34:21 --enforcementcount 0 &gt;&gt;C:\Users\stu\Documents\GitHub\eaglep3-reporting\EC\2016-08-30-refined-times.txt</v>
      </c>
      <c r="AI177" s="149" t="str">
        <f t="shared" si="64"/>
        <v>echo {"issue":{"subject":"","project_id":79,"tracker_id":40,"status_id":1,"priority_id":2,"assigned_to_id":23,"start_date":"2016-08-30","description":"","custom_fields":[{"id":1,"name":"Subdivision","value":"NW"},{"id":4,"name":"Milepost","value":"5.7933"},{"id":17,"name":"Train ID","value":"817-30"},{"id":16,"name":"Locomotive ID","value":"4014"},{"id":130,"name":"Impact","value":""},{"id":150,"name":"Time of Event (Mountain Time)","value":"11:34:21"},{"id":151,"name":"Denver Issue ID","value":""},{"id":178,"name":"Operational Impact","value":"Yes"},{"id":179,"name":"Denver Segment Assigned","value":""}]}} | curl -X POST -H "Content-Type: application/json" -H "X-Redmine-API-Key: d6333d4a04012a730768444271f8ca06482dae87" https://secure.xorail.net/redmine/issues.json --data @-</v>
      </c>
      <c r="AJ177" s="55"/>
      <c r="AK177" s="55"/>
      <c r="AL177" s="55"/>
    </row>
    <row r="178" spans="1:38" x14ac:dyDescent="0.25">
      <c r="A178" s="39" t="s">
        <v>459</v>
      </c>
      <c r="B178" s="7">
        <v>4013</v>
      </c>
      <c r="C178" s="24" t="s">
        <v>113</v>
      </c>
      <c r="D178" s="24" t="s">
        <v>691</v>
      </c>
      <c r="E178" s="15">
        <v>42612.483344907407</v>
      </c>
      <c r="F178" s="15">
        <v>42612.527083333334</v>
      </c>
      <c r="G178" s="7">
        <v>0</v>
      </c>
      <c r="H178" s="15" t="s">
        <v>692</v>
      </c>
      <c r="I178" s="15">
        <v>42612.538726851853</v>
      </c>
      <c r="J178" s="7">
        <v>0</v>
      </c>
      <c r="K178" s="132" t="str">
        <f t="shared" si="51"/>
        <v>4013/4014</v>
      </c>
      <c r="L178" s="24" t="str">
        <f>VLOOKUP(A178,'Trips&amp;Operators'!$C$1:$E$10000,3,FALSE)</f>
        <v>BEAM</v>
      </c>
      <c r="M178" s="6">
        <f t="shared" si="52"/>
        <v>1.1643518519122154E-2</v>
      </c>
      <c r="N178" s="7">
        <f t="shared" si="65"/>
        <v>16.766666667535901</v>
      </c>
      <c r="O178" s="7"/>
      <c r="P178" s="7"/>
      <c r="Q178" s="25"/>
      <c r="R178" s="25"/>
      <c r="S178" s="37">
        <f t="shared" si="67"/>
        <v>1</v>
      </c>
      <c r="T178" s="52" t="str">
        <f t="shared" si="53"/>
        <v>Southbound</v>
      </c>
      <c r="U178" s="126">
        <f>IF(AG178="EC",COUNTIFS(Variables!$M$2:$M$19,IF(T178="NorthBound","&gt;=","&lt;=")&amp;Y178,Variables!$M$2:$M$19,IF(T178="NorthBound","&lt;=","&gt;=")&amp;Z178),COUNTIFS(Variables!$P$2:$P$19,IF(T178="NorthBound","&gt;=","&lt;=")&amp;Y178,Variables!$P$2:$P$19,IF(T178="NorthBound","&lt;=","&gt;=")&amp;Z178))</f>
        <v>1</v>
      </c>
      <c r="V178" s="106" t="str">
        <f t="shared" si="54"/>
        <v>https://search-rtdc-monitor-bjffxe2xuh6vdkpspy63sjmuny.us-east-1.es.amazonaws.com/_plugin/kibana/#/discover/Steve-Slow-Train-Analysis-(2080s-and-2083s)?_g=(refreshInterval:(display:Off,section:0,value:0),time:(from:'2016-08-30 10:36:01-0600',mode:absolute,to:'2016-08-30 13: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78" s="54" t="str">
        <f t="shared" si="55"/>
        <v>N</v>
      </c>
      <c r="X178" s="120">
        <f t="shared" si="66"/>
        <v>1</v>
      </c>
      <c r="Y178" s="69">
        <f t="shared" si="56"/>
        <v>5.8692000000000002</v>
      </c>
      <c r="Z178" s="69">
        <f t="shared" si="57"/>
        <v>6.3500000000000001E-2</v>
      </c>
      <c r="AA178" s="69">
        <f t="shared" si="58"/>
        <v>5.8056999999999999</v>
      </c>
      <c r="AB178" s="66" t="e">
        <f>VLOOKUP(A178,Enforcements!$C$7:$J$21,8,0)</f>
        <v>#N/A</v>
      </c>
      <c r="AC178" s="62" t="e">
        <f>VLOOKUP(A178,Enforcements!$C$7:$E$21,3,0)</f>
        <v>#N/A</v>
      </c>
      <c r="AD178" s="63" t="str">
        <f t="shared" si="59"/>
        <v>0818-30</v>
      </c>
      <c r="AE178"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78" s="96" t="str">
        <f t="shared" si="61"/>
        <v>"C:\Program Files (x86)\AstroGrep\AstroGrep.exe" /spath="%USERPROFILE%\AppData\Local\Temp\OnboardLogs" /stypes="*4013*20160830*" /stext=" 18:.+((SYSTEM_STATE.+slice.+state.+changed )|(ment ac)|(system.+state.+changed )|(\|lc)|(penalty)|(\[timeout)|(PRM\|1\|D)|(kpr)|(kdp))" /e /r /s</v>
      </c>
      <c r="AG178" s="1" t="str">
        <f t="shared" si="62"/>
        <v>NW</v>
      </c>
      <c r="AH178" s="100" t="str">
        <f t="shared" si="63"/>
        <v>"%USERPROFILE%\Documents\GitHub\eaglep3\Utilities\RefineRTDCRunTimes.py" --tripid 818-30 --locoid 4013 --swversion DE.1.0.7.0 --startMP 300:58692 --initTime 2016-08-30T11:36:01 --startdatetime 2016-08-30T12:39:00 --delay 0 --endMP 204:635 --enddatetime 2016-08-30T12:55:46 --enforcementcount 0 &gt;&gt;C:\Users\stu\Documents\GitHub\eaglep3-reporting\EC\2016-08-30-refined-times.txt</v>
      </c>
      <c r="AI178" s="149" t="str">
        <f t="shared" si="64"/>
        <v>echo {"issue":{"subject":"","project_id":79,"tracker_id":40,"status_id":1,"priority_id":2,"assigned_to_id":23,"start_date":"2016-08-30","description":"","custom_fields":[{"id":1,"name":"Subdivision","value":"NW"},{"id":4,"name":"Milepost","value":"5.8057"},{"id":17,"name":"Train ID","value":"818-30"},{"id":16,"name":"Locomotive ID","value":"4013"},{"id":130,"name":"Impact","value":""},{"id":150,"name":"Time of Event (Mountain Time)","value":"12:55:46"},{"id":151,"name":"Denver Issue ID","value":""},{"id":178,"name":"Operational Impact","value":"Yes"},{"id":179,"name":"Denver Segment Assigned","value":""}]}} | curl -X POST -H "Content-Type: application/json" -H "X-Redmine-API-Key: d6333d4a04012a730768444271f8ca06482dae87" https://secure.xorail.net/redmine/issues.json --data @-</v>
      </c>
      <c r="AJ178" s="55"/>
      <c r="AK178" s="55"/>
      <c r="AL178" s="55"/>
    </row>
    <row r="179" spans="1:38" x14ac:dyDescent="0.25">
      <c r="A179" s="39" t="s">
        <v>369</v>
      </c>
      <c r="B179" s="7">
        <v>4014</v>
      </c>
      <c r="C179" s="24" t="s">
        <v>113</v>
      </c>
      <c r="D179" s="24" t="s">
        <v>693</v>
      </c>
      <c r="E179" s="15">
        <v>42612.500335648147</v>
      </c>
      <c r="F179" s="15">
        <v>42612.514849537038</v>
      </c>
      <c r="G179" s="7">
        <v>2</v>
      </c>
      <c r="H179" s="15" t="s">
        <v>694</v>
      </c>
      <c r="I179" s="15">
        <v>42612.524560185186</v>
      </c>
      <c r="J179" s="7">
        <v>0</v>
      </c>
      <c r="K179" s="132" t="str">
        <f t="shared" si="51"/>
        <v>4013/4014</v>
      </c>
      <c r="L179" s="24" t="str">
        <f>VLOOKUP(A179,'Trips&amp;Operators'!$C$1:$E$10000,3,FALSE)</f>
        <v>SANTIZO</v>
      </c>
      <c r="M179" s="6">
        <f t="shared" si="52"/>
        <v>9.710648148029577E-3</v>
      </c>
      <c r="N179" s="7">
        <f t="shared" si="65"/>
        <v>13.983333333162591</v>
      </c>
      <c r="O179" s="7"/>
      <c r="P179" s="7"/>
      <c r="Q179" s="25"/>
      <c r="R179" s="25"/>
      <c r="S179" s="37">
        <f t="shared" si="67"/>
        <v>1</v>
      </c>
      <c r="T179" s="52" t="str">
        <f t="shared" si="53"/>
        <v>NorthBound</v>
      </c>
      <c r="U179" s="126">
        <f>IF(AG179="EC",COUNTIFS(Variables!$M$2:$M$19,IF(T179="NorthBound","&gt;=","&lt;=")&amp;Y179,Variables!$M$2:$M$19,IF(T179="NorthBound","&lt;=","&gt;=")&amp;Z179),COUNTIFS(Variables!$P$2:$P$19,IF(T179="NorthBound","&gt;=","&lt;=")&amp;Y179,Variables!$P$2:$P$19,IF(T179="NorthBound","&lt;=","&gt;=")&amp;Z179))</f>
        <v>1</v>
      </c>
      <c r="V179" s="106" t="str">
        <f t="shared" si="54"/>
        <v>https://search-rtdc-monitor-bjffxe2xuh6vdkpspy63sjmuny.us-east-1.es.amazonaws.com/_plugin/kibana/#/discover/Steve-Slow-Train-Analysis-(2080s-and-2083s)?_g=(refreshInterval:(display:Off,section:0,value:0),time:(from:'2016-08-30 11:00:29-0600',mode:absolute,to:'2016-08-30 13:35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79" s="54" t="str">
        <f t="shared" si="55"/>
        <v>N</v>
      </c>
      <c r="X179" s="120">
        <f t="shared" si="66"/>
        <v>1</v>
      </c>
      <c r="Y179" s="69">
        <f t="shared" si="56"/>
        <v>0.1014</v>
      </c>
      <c r="Z179" s="69">
        <f t="shared" si="57"/>
        <v>5.8929</v>
      </c>
      <c r="AA179" s="69">
        <f t="shared" si="58"/>
        <v>5.7915000000000001</v>
      </c>
      <c r="AB179" s="66" t="e">
        <f>VLOOKUP(A179,Enforcements!$C$7:$J$21,8,0)</f>
        <v>#N/A</v>
      </c>
      <c r="AC179" s="62" t="e">
        <f>VLOOKUP(A179,Enforcements!$C$7:$E$21,3,0)</f>
        <v>#N/A</v>
      </c>
      <c r="AD179" s="63" t="str">
        <f t="shared" si="59"/>
        <v>0819-30</v>
      </c>
      <c r="AE179"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79" s="96" t="str">
        <f t="shared" si="61"/>
        <v>"C:\Program Files (x86)\AstroGrep\AstroGrep.exe" /spath="%USERPROFILE%\AppData\Local\Temp\OnboardLogs" /stypes="*4014*20160830*" /stext=" 18:.+((SYSTEM_STATE.+slice.+state.+changed )|(ment ac)|(system.+state.+changed )|(\|lc)|(penalty)|(\[timeout)|(PRM\|1\|D)|(kpr)|(kdp))" /e /r /s</v>
      </c>
      <c r="AG179" s="1" t="str">
        <f t="shared" si="62"/>
        <v>NW</v>
      </c>
      <c r="AH179" s="100" t="str">
        <f t="shared" si="63"/>
        <v>"%USERPROFILE%\Documents\GitHub\eaglep3\Utilities\RefineRTDCRunTimes.py" --tripid 819-30 --locoid 4014 --swversion DE.1.0.7.0 --startMP 204:1014 --initTime 2016-08-30T12:00:29 --startdatetime 2016-08-30T12:21:23 --delay 2 --endMP 300:58929 --enddatetime 2016-08-30T12:35:22 --enforcementcount 0 &gt;&gt;C:\Users\stu\Documents\GitHub\eaglep3-reporting\EC\2016-08-30-refined-times.txt</v>
      </c>
      <c r="AI179" s="149" t="str">
        <f t="shared" si="64"/>
        <v>echo {"issue":{"subject":"","project_id":79,"tracker_id":40,"status_id":1,"priority_id":2,"assigned_to_id":23,"start_date":"2016-08-30","description":"","custom_fields":[{"id":1,"name":"Subdivision","value":"NW"},{"id":4,"name":"Milepost","value":"5.7915"},{"id":17,"name":"Train ID","value":"819-30"},{"id":16,"name":"Locomotive ID","value":"4014"},{"id":130,"name":"Impact","value":""},{"id":150,"name":"Time of Event (Mountain Time)","value":"12:35:22"},{"id":151,"name":"Denver Issue ID","value":""},{"id":178,"name":"Operational Impact","value":"Yes"},{"id":179,"name":"Denver Segment Assigned","value":""}]}} | curl -X POST -H "Content-Type: application/json" -H "X-Redmine-API-Key: d6333d4a04012a730768444271f8ca06482dae87" https://secure.xorail.net/redmine/issues.json --data @-</v>
      </c>
      <c r="AJ179" s="55"/>
      <c r="AK179" s="55"/>
      <c r="AL179" s="55"/>
    </row>
    <row r="180" spans="1:38" x14ac:dyDescent="0.25">
      <c r="A180" s="39" t="s">
        <v>372</v>
      </c>
      <c r="B180" s="7">
        <v>4013</v>
      </c>
      <c r="C180" s="24" t="s">
        <v>113</v>
      </c>
      <c r="D180" s="24" t="s">
        <v>695</v>
      </c>
      <c r="E180" s="15">
        <v>42612.525509259256</v>
      </c>
      <c r="F180" s="15">
        <v>42612.527083333334</v>
      </c>
      <c r="G180" s="7">
        <v>1</v>
      </c>
      <c r="H180" s="15" t="s">
        <v>692</v>
      </c>
      <c r="I180" s="15">
        <v>42612.538726851853</v>
      </c>
      <c r="J180" s="7">
        <v>0</v>
      </c>
      <c r="K180" s="132" t="str">
        <f t="shared" si="51"/>
        <v>4013/4014</v>
      </c>
      <c r="L180" s="24" t="str">
        <f>VLOOKUP(A180,'Trips&amp;Operators'!$C$1:$E$10000,3,FALSE)</f>
        <v>SANTIZO</v>
      </c>
      <c r="M180" s="6">
        <f t="shared" si="52"/>
        <v>1.1643518519122154E-2</v>
      </c>
      <c r="N180" s="7">
        <f t="shared" ref="N180:N211" si="68">24*60*SUM($M180:$M180)</f>
        <v>16.766666667535901</v>
      </c>
      <c r="O180" s="7"/>
      <c r="P180" s="7"/>
      <c r="Q180" s="25"/>
      <c r="R180" s="25"/>
      <c r="S180" s="37">
        <f t="shared" si="67"/>
        <v>1</v>
      </c>
      <c r="T180" s="52" t="str">
        <f t="shared" si="53"/>
        <v>Southbound</v>
      </c>
      <c r="U180" s="126">
        <f>IF(AG180="EC",COUNTIFS(Variables!$M$2:$M$19,IF(T180="NorthBound","&gt;=","&lt;=")&amp;Y180,Variables!$M$2:$M$19,IF(T180="NorthBound","&lt;=","&gt;=")&amp;Z180),COUNTIFS(Variables!$P$2:$P$19,IF(T180="NorthBound","&gt;=","&lt;=")&amp;Y180,Variables!$P$2:$P$19,IF(T180="NorthBound","&lt;=","&gt;=")&amp;Z180))</f>
        <v>1</v>
      </c>
      <c r="V180" s="106" t="str">
        <f t="shared" si="54"/>
        <v>https://search-rtdc-monitor-bjffxe2xuh6vdkpspy63sjmuny.us-east-1.es.amazonaws.com/_plugin/kibana/#/discover/Steve-Slow-Train-Analysis-(2080s-and-2083s)?_g=(refreshInterval:(display:Off,section:0,value:0),time:(from:'2016-08-30 11:36:44-0600',mode:absolute,to:'2016-08-30 13: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80" s="54" t="str">
        <f t="shared" si="55"/>
        <v>N</v>
      </c>
      <c r="X180" s="120">
        <f t="shared" si="66"/>
        <v>1</v>
      </c>
      <c r="Y180" s="69">
        <f t="shared" si="56"/>
        <v>5.8625999999999996</v>
      </c>
      <c r="Z180" s="69">
        <f t="shared" si="57"/>
        <v>6.3500000000000001E-2</v>
      </c>
      <c r="AA180" s="69">
        <f t="shared" si="58"/>
        <v>5.7990999999999993</v>
      </c>
      <c r="AB180" s="66" t="e">
        <f>VLOOKUP(A180,Enforcements!$C$7:$J$21,8,0)</f>
        <v>#N/A</v>
      </c>
      <c r="AC180" s="62" t="e">
        <f>VLOOKUP(A180,Enforcements!$C$7:$E$21,3,0)</f>
        <v>#N/A</v>
      </c>
      <c r="AD180" s="63" t="str">
        <f t="shared" si="59"/>
        <v>0820-30</v>
      </c>
      <c r="AE180"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80" s="96" t="str">
        <f t="shared" si="61"/>
        <v>"C:\Program Files (x86)\AstroGrep\AstroGrep.exe" /spath="%USERPROFILE%\AppData\Local\Temp\OnboardLogs" /stypes="*4013*20160830*" /stext=" 18:.+((SYSTEM_STATE.+slice.+state.+changed )|(ment ac)|(system.+state.+changed )|(\|lc)|(penalty)|(\[timeout)|(PRM\|1\|D)|(kpr)|(kdp))" /e /r /s</v>
      </c>
      <c r="AG180" s="1" t="str">
        <f t="shared" si="62"/>
        <v>NW</v>
      </c>
      <c r="AH180" s="100" t="str">
        <f t="shared" si="63"/>
        <v>"%USERPROFILE%\Documents\GitHub\eaglep3\Utilities\RefineRTDCRunTimes.py" --tripid 820-30 --locoid 4013 --swversion DE.1.0.7.0 --startMP 300:58626 --initTime 2016-08-30T12:36:44 --startdatetime 2016-08-30T12:39:00 --delay 1 --endMP 204:635 --enddatetime 2016-08-30T12:55:46 --enforcementcount 0 &gt;&gt;C:\Users\stu\Documents\GitHub\eaglep3-reporting\EC\2016-08-30-refined-times.txt</v>
      </c>
      <c r="AI180" s="149" t="str">
        <f t="shared" si="64"/>
        <v>echo {"issue":{"subject":"","project_id":79,"tracker_id":40,"status_id":1,"priority_id":2,"assigned_to_id":23,"start_date":"2016-08-30","description":"","custom_fields":[{"id":1,"name":"Subdivision","value":"NW"},{"id":4,"name":"Milepost","value":"5.7991"},{"id":17,"name":"Train ID","value":"820-30"},{"id":16,"name":"Locomotive ID","value":"4013"},{"id":130,"name":"Impact","value":""},{"id":150,"name":"Time of Event (Mountain Time)","value":"12:55:46"},{"id":151,"name":"Denver Issue ID","value":""},{"id":178,"name":"Operational Impact","value":"Yes"},{"id":179,"name":"Denver Segment Assigned","value":""}]}} | curl -X POST -H "Content-Type: application/json" -H "X-Redmine-API-Key: d6333d4a04012a730768444271f8ca06482dae87" https://secure.xorail.net/redmine/issues.json --data @-</v>
      </c>
      <c r="AJ180" s="55"/>
      <c r="AK180" s="55"/>
      <c r="AL180" s="55"/>
    </row>
    <row r="181" spans="1:38" x14ac:dyDescent="0.25">
      <c r="A181" s="39" t="s">
        <v>472</v>
      </c>
      <c r="B181" s="7">
        <v>4014</v>
      </c>
      <c r="C181" s="24" t="s">
        <v>113</v>
      </c>
      <c r="D181" s="24" t="s">
        <v>696</v>
      </c>
      <c r="E181" s="15">
        <v>42612.546354166669</v>
      </c>
      <c r="F181" s="15">
        <v>42612.556469907409</v>
      </c>
      <c r="G181" s="7">
        <v>1</v>
      </c>
      <c r="H181" s="15" t="s">
        <v>341</v>
      </c>
      <c r="I181" s="15">
        <v>42612.565868055557</v>
      </c>
      <c r="J181" s="7">
        <v>0</v>
      </c>
      <c r="K181" s="132" t="str">
        <f t="shared" si="51"/>
        <v>4013/4014</v>
      </c>
      <c r="L181" s="24" t="str">
        <f>VLOOKUP(A181,'Trips&amp;Operators'!$C$1:$E$10000,3,FALSE)</f>
        <v>BRUDER</v>
      </c>
      <c r="M181" s="6">
        <f t="shared" si="52"/>
        <v>9.3981481477385387E-3</v>
      </c>
      <c r="N181" s="7">
        <f t="shared" si="68"/>
        <v>13.533333332743496</v>
      </c>
      <c r="O181" s="7"/>
      <c r="P181" s="7"/>
      <c r="Q181" s="25"/>
      <c r="R181" s="25"/>
      <c r="S181" s="37">
        <f t="shared" si="67"/>
        <v>1</v>
      </c>
      <c r="T181" s="52" t="str">
        <f t="shared" si="53"/>
        <v>NorthBound</v>
      </c>
      <c r="U181" s="126">
        <f>IF(AG181="EC",COUNTIFS(Variables!$M$2:$M$19,IF(T181="NorthBound","&gt;=","&lt;=")&amp;Y181,Variables!$M$2:$M$19,IF(T181="NorthBound","&lt;=","&gt;=")&amp;Z181),COUNTIFS(Variables!$P$2:$P$19,IF(T181="NorthBound","&gt;=","&lt;=")&amp;Y181,Variables!$P$2:$P$19,IF(T181="NorthBound","&lt;=","&gt;=")&amp;Z181))</f>
        <v>1</v>
      </c>
      <c r="V181" s="106" t="str">
        <f t="shared" si="54"/>
        <v>https://search-rtdc-monitor-bjffxe2xuh6vdkpspy63sjmuny.us-east-1.es.amazonaws.com/_plugin/kibana/#/discover/Steve-Slow-Train-Analysis-(2080s-and-2083s)?_g=(refreshInterval:(display:Off,section:0,value:0),time:(from:'2016-08-30 12:06:45-0600',mode:absolute,to:'2016-08-30 14:34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81" s="54" t="str">
        <f t="shared" si="55"/>
        <v>N</v>
      </c>
      <c r="X181" s="120">
        <f t="shared" si="66"/>
        <v>1</v>
      </c>
      <c r="Y181" s="69">
        <f t="shared" si="56"/>
        <v>9.2899999999999996E-2</v>
      </c>
      <c r="Z181" s="69">
        <f t="shared" si="57"/>
        <v>5.8921999999999999</v>
      </c>
      <c r="AA181" s="69">
        <f t="shared" si="58"/>
        <v>5.7992999999999997</v>
      </c>
      <c r="AB181" s="66" t="e">
        <f>VLOOKUP(A181,Enforcements!$C$7:$J$21,8,0)</f>
        <v>#N/A</v>
      </c>
      <c r="AC181" s="62" t="e">
        <f>VLOOKUP(A181,Enforcements!$C$7:$E$21,3,0)</f>
        <v>#N/A</v>
      </c>
      <c r="AD181" s="63" t="str">
        <f t="shared" si="59"/>
        <v>0821-30</v>
      </c>
      <c r="AE181"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81" s="96" t="str">
        <f t="shared" si="61"/>
        <v>"C:\Program Files (x86)\AstroGrep\AstroGrep.exe" /spath="%USERPROFILE%\AppData\Local\Temp\OnboardLogs" /stypes="*4014*20160830*" /stext=" 19:.+((SYSTEM_STATE.+slice.+state.+changed )|(ment ac)|(system.+state.+changed )|(\|lc)|(penalty)|(\[timeout)|(PRM\|1\|D)|(kpr)|(kdp))" /e /r /s</v>
      </c>
      <c r="AG181" s="1" t="str">
        <f t="shared" si="62"/>
        <v>NW</v>
      </c>
      <c r="AH181" s="100" t="str">
        <f t="shared" si="63"/>
        <v>"%USERPROFILE%\Documents\GitHub\eaglep3\Utilities\RefineRTDCRunTimes.py" --tripid 821-30 --locoid 4014 --swversion DE.1.0.7.0 --startMP 204:929 --initTime 2016-08-30T13:06:45 --startdatetime 2016-08-30T13:21:19 --delay 1 --endMP 300:58922 --enddatetime 2016-08-30T13:34:51 --enforcementcount 0 &gt;&gt;C:\Users\stu\Documents\GitHub\eaglep3-reporting\EC\2016-08-30-refined-times.txt</v>
      </c>
      <c r="AI181" s="149" t="str">
        <f t="shared" si="64"/>
        <v>echo {"issue":{"subject":"","project_id":79,"tracker_id":40,"status_id":1,"priority_id":2,"assigned_to_id":23,"start_date":"2016-08-30","description":"","custom_fields":[{"id":1,"name":"Subdivision","value":"NW"},{"id":4,"name":"Milepost","value":"5.7993"},{"id":17,"name":"Train ID","value":"821-30"},{"id":16,"name":"Locomotive ID","value":"4014"},{"id":130,"name":"Impact","value":""},{"id":150,"name":"Time of Event (Mountain Time)","value":"13:34:51"},{"id":151,"name":"Denver Issue ID","value":""},{"id":178,"name":"Operational Impact","value":"Yes"},{"id":179,"name":"Denver Segment Assigned","value":""}]}} | curl -X POST -H "Content-Type: application/json" -H "X-Redmine-API-Key: d6333d4a04012a730768444271f8ca06482dae87" https://secure.xorail.net/redmine/issues.json --data @-</v>
      </c>
      <c r="AJ181" s="55"/>
      <c r="AK181" s="55"/>
      <c r="AL181" s="55"/>
    </row>
    <row r="182" spans="1:38" s="23" customFormat="1" x14ac:dyDescent="0.25">
      <c r="A182" s="39" t="s">
        <v>478</v>
      </c>
      <c r="B182" s="7">
        <v>4013</v>
      </c>
      <c r="C182" s="24" t="s">
        <v>113</v>
      </c>
      <c r="D182" s="24" t="s">
        <v>697</v>
      </c>
      <c r="E182" s="15">
        <v>42612.567187499997</v>
      </c>
      <c r="F182" s="15">
        <v>42612.569282407407</v>
      </c>
      <c r="G182" s="7">
        <v>2</v>
      </c>
      <c r="H182" s="15" t="s">
        <v>350</v>
      </c>
      <c r="I182" s="15">
        <v>42612.579826388886</v>
      </c>
      <c r="J182" s="7">
        <v>0</v>
      </c>
      <c r="K182" s="132" t="str">
        <f t="shared" si="51"/>
        <v>4013/4014</v>
      </c>
      <c r="L182" s="24" t="str">
        <f>VLOOKUP(A182,'Trips&amp;Operators'!$C$1:$E$10000,3,FALSE)</f>
        <v>BRUDER</v>
      </c>
      <c r="M182" s="6">
        <f t="shared" si="52"/>
        <v>1.0543981479713693E-2</v>
      </c>
      <c r="N182" s="7">
        <f t="shared" si="68"/>
        <v>15.183333330787718</v>
      </c>
      <c r="O182" s="7"/>
      <c r="P182" s="7"/>
      <c r="Q182" s="25"/>
      <c r="R182" s="25"/>
      <c r="S182" s="37">
        <f t="shared" si="67"/>
        <v>1</v>
      </c>
      <c r="T182" s="52" t="str">
        <f t="shared" si="53"/>
        <v>Southbound</v>
      </c>
      <c r="U182" s="126">
        <f>IF(AG182="EC",COUNTIFS(Variables!$M$2:$M$19,IF(T182="NorthBound","&gt;=","&lt;=")&amp;Y182,Variables!$M$2:$M$19,IF(T182="NorthBound","&lt;=","&gt;=")&amp;Z182),COUNTIFS(Variables!$P$2:$P$19,IF(T182="NorthBound","&gt;=","&lt;=")&amp;Y182,Variables!$P$2:$P$19,IF(T182="NorthBound","&lt;=","&gt;=")&amp;Z182))</f>
        <v>1</v>
      </c>
      <c r="V182" s="106" t="str">
        <f t="shared" si="54"/>
        <v>https://search-rtdc-monitor-bjffxe2xuh6vdkpspy63sjmuny.us-east-1.es.amazonaws.com/_plugin/kibana/#/discover/Steve-Slow-Train-Analysis-(2080s-and-2083s)?_g=(refreshInterval:(display:Off,section:0,value:0),time:(from:'2016-08-30 12:36:45-0600',mode:absolute,to:'2016-08-30 14:54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82" s="54" t="str">
        <f t="shared" si="55"/>
        <v>N</v>
      </c>
      <c r="X182" s="120">
        <f t="shared" si="66"/>
        <v>1</v>
      </c>
      <c r="Y182" s="69">
        <f t="shared" si="56"/>
        <v>5.8608000000000002</v>
      </c>
      <c r="Z182" s="69">
        <f t="shared" si="57"/>
        <v>6.7799999999999999E-2</v>
      </c>
      <c r="AA182" s="69">
        <f t="shared" si="58"/>
        <v>5.7930000000000001</v>
      </c>
      <c r="AB182" s="66" t="e">
        <f>VLOOKUP(A182,Enforcements!$C$7:$J$21,8,0)</f>
        <v>#N/A</v>
      </c>
      <c r="AC182" s="62" t="e">
        <f>VLOOKUP(A182,Enforcements!$C$7:$E$21,3,0)</f>
        <v>#N/A</v>
      </c>
      <c r="AD182" s="63" t="str">
        <f t="shared" si="59"/>
        <v>0822-30</v>
      </c>
      <c r="AE182"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82" s="96" t="str">
        <f t="shared" si="61"/>
        <v>"C:\Program Files (x86)\AstroGrep\AstroGrep.exe" /spath="%USERPROFILE%\AppData\Local\Temp\OnboardLogs" /stypes="*4013*20160830*" /stext=" 19:.+((SYSTEM_STATE.+slice.+state.+changed )|(ment ac)|(system.+state.+changed )|(\|lc)|(penalty)|(\[timeout)|(PRM\|1\|D)|(kpr)|(kdp))" /e /r /s</v>
      </c>
      <c r="AG182" s="1" t="str">
        <f t="shared" si="62"/>
        <v>NW</v>
      </c>
      <c r="AH182" s="100" t="str">
        <f t="shared" si="63"/>
        <v>"%USERPROFILE%\Documents\GitHub\eaglep3\Utilities\RefineRTDCRunTimes.py" --tripid 822-30 --locoid 4013 --swversion DE.1.0.7.0 --startMP 300:58608 --initTime 2016-08-30T13:36:45 --startdatetime 2016-08-30T13:39:46 --delay 2 --endMP 204:678 --enddatetime 2016-08-30T13:54:57 --enforcementcount 0 &gt;&gt;C:\Users\stu\Documents\GitHub\eaglep3-reporting\EC\2016-08-30-refined-times.txt</v>
      </c>
      <c r="AI182" s="149" t="str">
        <f t="shared" si="64"/>
        <v>echo {"issue":{"subject":"","project_id":79,"tracker_id":40,"status_id":1,"priority_id":2,"assigned_to_id":23,"start_date":"2016-08-30","description":"","custom_fields":[{"id":1,"name":"Subdivision","value":"NW"},{"id":4,"name":"Milepost","value":"5.793"},{"id":17,"name":"Train ID","value":"822-30"},{"id":16,"name":"Locomotive ID","value":"4013"},{"id":130,"name":"Impact","value":""},{"id":150,"name":"Time of Event (Mountain Time)","value":"13:54:57"},{"id":151,"name":"Denver Issue ID","value":""},{"id":178,"name":"Operational Impact","value":"Yes"},{"id":179,"name":"Denver Segment Assigned","value":""}]}} | curl -X POST -H "Content-Type: application/json" -H "X-Redmine-API-Key: d6333d4a04012a730768444271f8ca06482dae87" https://secure.xorail.net/redmine/issues.json --data @-</v>
      </c>
      <c r="AJ182" s="55"/>
      <c r="AK182" s="55"/>
      <c r="AL182" s="55"/>
    </row>
    <row r="183" spans="1:38" x14ac:dyDescent="0.25">
      <c r="A183" s="39" t="s">
        <v>484</v>
      </c>
      <c r="B183" s="7">
        <v>4014</v>
      </c>
      <c r="C183" s="24" t="s">
        <v>113</v>
      </c>
      <c r="D183" s="24" t="s">
        <v>698</v>
      </c>
      <c r="E183" s="15">
        <v>42612.591666666667</v>
      </c>
      <c r="F183" s="15">
        <v>42612.598229166666</v>
      </c>
      <c r="G183" s="7">
        <v>1</v>
      </c>
      <c r="H183" s="15" t="s">
        <v>290</v>
      </c>
      <c r="I183" s="15">
        <v>42612.607847222222</v>
      </c>
      <c r="J183" s="7">
        <v>0</v>
      </c>
      <c r="K183" s="132" t="str">
        <f t="shared" si="51"/>
        <v>4013/4014</v>
      </c>
      <c r="L183" s="24" t="str">
        <f>VLOOKUP(A183,'Trips&amp;Operators'!$C$1:$E$10000,3,FALSE)</f>
        <v>BRUDER</v>
      </c>
      <c r="M183" s="6">
        <f t="shared" si="52"/>
        <v>9.6180555556202307E-3</v>
      </c>
      <c r="N183" s="7">
        <f t="shared" si="68"/>
        <v>13.850000000093132</v>
      </c>
      <c r="O183" s="7"/>
      <c r="P183" s="7"/>
      <c r="Q183" s="25"/>
      <c r="R183" s="25"/>
      <c r="S183" s="37">
        <f t="shared" si="67"/>
        <v>1</v>
      </c>
      <c r="T183" s="52" t="str">
        <f t="shared" si="53"/>
        <v>NorthBound</v>
      </c>
      <c r="U183" s="126">
        <f>IF(AG183="EC",COUNTIFS(Variables!$M$2:$M$19,IF(T183="NorthBound","&gt;=","&lt;=")&amp;Y183,Variables!$M$2:$M$19,IF(T183="NorthBound","&lt;=","&gt;=")&amp;Z183),COUNTIFS(Variables!$P$2:$P$19,IF(T183="NorthBound","&gt;=","&lt;=")&amp;Y183,Variables!$P$2:$P$19,IF(T183="NorthBound","&lt;=","&gt;=")&amp;Z183))</f>
        <v>1</v>
      </c>
      <c r="V183" s="106" t="str">
        <f t="shared" si="54"/>
        <v>https://search-rtdc-monitor-bjffxe2xuh6vdkpspy63sjmuny.us-east-1.es.amazonaws.com/_plugin/kibana/#/discover/Steve-Slow-Train-Analysis-(2080s-and-2083s)?_g=(refreshInterval:(display:Off,section:0,value:0),time:(from:'2016-08-30 13:12:00-0600',mode:absolute,to:'2016-08-30 15: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83" s="54" t="str">
        <f t="shared" si="55"/>
        <v>N</v>
      </c>
      <c r="X183" s="120">
        <f t="shared" ref="X183:X214" si="69">VALUE(LEFT(AD183,4))-VALUE(LEFT(AD182,4))</f>
        <v>1</v>
      </c>
      <c r="Y183" s="69">
        <f t="shared" si="56"/>
        <v>9.5699999999999993E-2</v>
      </c>
      <c r="Z183" s="69">
        <f t="shared" si="57"/>
        <v>5.8916000000000004</v>
      </c>
      <c r="AA183" s="69">
        <f t="shared" si="58"/>
        <v>5.7959000000000005</v>
      </c>
      <c r="AB183" s="66" t="e">
        <f>VLOOKUP(A183,Enforcements!$C$7:$J$21,8,0)</f>
        <v>#N/A</v>
      </c>
      <c r="AC183" s="62" t="e">
        <f>VLOOKUP(A183,Enforcements!$C$7:$E$21,3,0)</f>
        <v>#N/A</v>
      </c>
      <c r="AD183" s="63" t="str">
        <f t="shared" si="59"/>
        <v>0823-30</v>
      </c>
      <c r="AE183"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83" s="96" t="str">
        <f t="shared" si="61"/>
        <v>"C:\Program Files (x86)\AstroGrep\AstroGrep.exe" /spath="%USERPROFILE%\AppData\Local\Temp\OnboardLogs" /stypes="*4014*20160830*" /stext=" 20:.+((SYSTEM_STATE.+slice.+state.+changed )|(ment ac)|(system.+state.+changed )|(\|lc)|(penalty)|(\[timeout)|(PRM\|1\|D)|(kpr)|(kdp))" /e /r /s</v>
      </c>
      <c r="AG183" s="1" t="str">
        <f t="shared" si="62"/>
        <v>NW</v>
      </c>
      <c r="AH183" s="100" t="str">
        <f t="shared" si="63"/>
        <v>"%USERPROFILE%\Documents\GitHub\eaglep3\Utilities\RefineRTDCRunTimes.py" --tripid 823-30 --locoid 4014 --swversion DE.1.0.7.0 --startMP 204:957 --initTime 2016-08-30T14:12:00 --startdatetime 2016-08-30T14:21:27 --delay 1 --endMP 300:58916 --enddatetime 2016-08-30T14:35:18 --enforcementcount 0 &gt;&gt;C:\Users\stu\Documents\GitHub\eaglep3-reporting\EC\2016-08-30-refined-times.txt</v>
      </c>
      <c r="AI183" s="149" t="str">
        <f t="shared" si="64"/>
        <v>echo {"issue":{"subject":"","project_id":79,"tracker_id":40,"status_id":1,"priority_id":2,"assigned_to_id":23,"start_date":"2016-08-30","description":"","custom_fields":[{"id":1,"name":"Subdivision","value":"NW"},{"id":4,"name":"Milepost","value":"5.7959"},{"id":17,"name":"Train ID","value":"823-30"},{"id":16,"name":"Locomotive ID","value":"4014"},{"id":130,"name":"Impact","value":""},{"id":150,"name":"Time of Event (Mountain Time)","value":"14:35:18"},{"id":151,"name":"Denver Issue ID","value":""},{"id":178,"name":"Operational Impact","value":"Yes"},{"id":179,"name":"Denver Segment Assigned","value":""}]}} | curl -X POST -H "Content-Type: application/json" -H "X-Redmine-API-Key: d6333d4a04012a730768444271f8ca06482dae87" https://secure.xorail.net/redmine/issues.json --data @-</v>
      </c>
      <c r="AJ183" s="55"/>
      <c r="AK183" s="55"/>
      <c r="AL183" s="55"/>
    </row>
    <row r="184" spans="1:38" s="23" customFormat="1" x14ac:dyDescent="0.25">
      <c r="A184" s="39" t="s">
        <v>488</v>
      </c>
      <c r="B184" s="7">
        <v>4013</v>
      </c>
      <c r="C184" s="24" t="s">
        <v>113</v>
      </c>
      <c r="D184" s="24" t="s">
        <v>287</v>
      </c>
      <c r="E184" s="15">
        <v>42612.609282407408</v>
      </c>
      <c r="F184" s="15">
        <v>42612.610937500001</v>
      </c>
      <c r="G184" s="7">
        <v>1</v>
      </c>
      <c r="H184" s="15" t="s">
        <v>288</v>
      </c>
      <c r="I184" s="15">
        <v>42612.62127314815</v>
      </c>
      <c r="J184" s="7">
        <v>0</v>
      </c>
      <c r="K184" s="132" t="str">
        <f t="shared" si="51"/>
        <v>4013/4014</v>
      </c>
      <c r="L184" s="24" t="str">
        <f>VLOOKUP(A184,'Trips&amp;Operators'!$C$1:$E$10000,3,FALSE)</f>
        <v>BRUDER</v>
      </c>
      <c r="M184" s="6">
        <f t="shared" si="52"/>
        <v>1.0335648148611654E-2</v>
      </c>
      <c r="N184" s="7">
        <f t="shared" si="68"/>
        <v>14.883333334000781</v>
      </c>
      <c r="O184" s="7"/>
      <c r="P184" s="7"/>
      <c r="Q184" s="25"/>
      <c r="R184" s="25"/>
      <c r="S184" s="37">
        <f t="shared" si="67"/>
        <v>1</v>
      </c>
      <c r="T184" s="52" t="str">
        <f t="shared" si="53"/>
        <v>Southbound</v>
      </c>
      <c r="U184" s="126">
        <f>IF(AG184="EC",COUNTIFS(Variables!$M$2:$M$19,IF(T184="NorthBound","&gt;=","&lt;=")&amp;Y184,Variables!$M$2:$M$19,IF(T184="NorthBound","&lt;=","&gt;=")&amp;Z184),COUNTIFS(Variables!$P$2:$P$19,IF(T184="NorthBound","&gt;=","&lt;=")&amp;Y184,Variables!$P$2:$P$19,IF(T184="NorthBound","&lt;=","&gt;=")&amp;Z184))</f>
        <v>1</v>
      </c>
      <c r="V184" s="106" t="str">
        <f t="shared" si="54"/>
        <v>https://search-rtdc-monitor-bjffxe2xuh6vdkpspy63sjmuny.us-east-1.es.amazonaws.com/_plugin/kibana/#/discover/Steve-Slow-Train-Analysis-(2080s-and-2083s)?_g=(refreshInterval:(display:Off,section:0,value:0),time:(from:'2016-08-30 13:37:22-0600',mode:absolute,to:'2016-08-30 15:54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84" s="54" t="str">
        <f t="shared" si="55"/>
        <v>N</v>
      </c>
      <c r="X184" s="120">
        <f t="shared" si="69"/>
        <v>1</v>
      </c>
      <c r="Y184" s="69">
        <f t="shared" si="56"/>
        <v>5.8605999999999998</v>
      </c>
      <c r="Z184" s="69">
        <f t="shared" si="57"/>
        <v>6.7100000000000007E-2</v>
      </c>
      <c r="AA184" s="69">
        <f t="shared" si="58"/>
        <v>5.7934999999999999</v>
      </c>
      <c r="AB184" s="66" t="e">
        <f>VLOOKUP(A184,Enforcements!$C$7:$J$21,8,0)</f>
        <v>#N/A</v>
      </c>
      <c r="AC184" s="62" t="e">
        <f>VLOOKUP(A184,Enforcements!$C$7:$E$21,3,0)</f>
        <v>#N/A</v>
      </c>
      <c r="AD184" s="63" t="str">
        <f t="shared" si="59"/>
        <v>0824-30</v>
      </c>
      <c r="AE184"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84" s="96" t="str">
        <f t="shared" si="61"/>
        <v>"C:\Program Files (x86)\AstroGrep\AstroGrep.exe" /spath="%USERPROFILE%\AppData\Local\Temp\OnboardLogs" /stypes="*4013*20160830*" /stext=" 20:.+((SYSTEM_STATE.+slice.+state.+changed )|(ment ac)|(system.+state.+changed )|(\|lc)|(penalty)|(\[timeout)|(PRM\|1\|D)|(kpr)|(kdp))" /e /r /s</v>
      </c>
      <c r="AG184" s="1" t="str">
        <f t="shared" si="62"/>
        <v>NW</v>
      </c>
      <c r="AH184" s="100" t="str">
        <f t="shared" si="63"/>
        <v>"%USERPROFILE%\Documents\GitHub\eaglep3\Utilities\RefineRTDCRunTimes.py" --tripid 824-30 --locoid 4013 --swversion DE.1.0.7.0 --startMP 300:58606 --initTime 2016-08-30T14:37:22 --startdatetime 2016-08-30T14:39:45 --delay 1 --endMP 204:671 --enddatetime 2016-08-30T14:54:38 --enforcementcount 0 &gt;&gt;C:\Users\stu\Documents\GitHub\eaglep3-reporting\EC\2016-08-30-refined-times.txt</v>
      </c>
      <c r="AI184" s="149" t="str">
        <f t="shared" si="64"/>
        <v>echo {"issue":{"subject":"","project_id":79,"tracker_id":40,"status_id":1,"priority_id":2,"assigned_to_id":23,"start_date":"2016-08-30","description":"","custom_fields":[{"id":1,"name":"Subdivision","value":"NW"},{"id":4,"name":"Milepost","value":"5.7935"},{"id":17,"name":"Train ID","value":"824-30"},{"id":16,"name":"Locomotive ID","value":"4013"},{"id":130,"name":"Impact","value":""},{"id":150,"name":"Time of Event (Mountain Time)","value":"14:54:38"},{"id":151,"name":"Denver Issue ID","value":""},{"id":178,"name":"Operational Impact","value":"Yes"},{"id":179,"name":"Denver Segment Assigned","value":""}]}} | curl -X POST -H "Content-Type: application/json" -H "X-Redmine-API-Key: d6333d4a04012a730768444271f8ca06482dae87" https://secure.xorail.net/redmine/issues.json --data @-</v>
      </c>
      <c r="AJ184" s="55"/>
      <c r="AK184" s="55"/>
      <c r="AL184" s="55"/>
    </row>
    <row r="185" spans="1:38" s="23" customFormat="1" x14ac:dyDescent="0.25">
      <c r="A185" s="39" t="s">
        <v>494</v>
      </c>
      <c r="B185" s="7">
        <v>4014</v>
      </c>
      <c r="C185" s="24" t="s">
        <v>113</v>
      </c>
      <c r="D185" s="24" t="s">
        <v>699</v>
      </c>
      <c r="E185" s="15">
        <v>42612.635428240741</v>
      </c>
      <c r="F185" s="15">
        <v>42612.639803240738</v>
      </c>
      <c r="G185" s="7">
        <v>1</v>
      </c>
      <c r="H185" s="15" t="s">
        <v>344</v>
      </c>
      <c r="I185" s="15">
        <v>42612.649224537039</v>
      </c>
      <c r="J185" s="7">
        <v>0</v>
      </c>
      <c r="K185" s="132" t="str">
        <f t="shared" si="51"/>
        <v>4013/4014</v>
      </c>
      <c r="L185" s="24" t="str">
        <f>VLOOKUP(A185,'Trips&amp;Operators'!$C$1:$E$10000,3,FALSE)</f>
        <v>BRUDER</v>
      </c>
      <c r="M185" s="6">
        <f t="shared" si="52"/>
        <v>9.4212963012978435E-3</v>
      </c>
      <c r="N185" s="7">
        <f t="shared" si="68"/>
        <v>13.566666673868895</v>
      </c>
      <c r="O185" s="7"/>
      <c r="P185" s="7"/>
      <c r="Q185" s="25"/>
      <c r="R185" s="25"/>
      <c r="S185" s="37">
        <f t="shared" si="67"/>
        <v>1</v>
      </c>
      <c r="T185" s="52" t="str">
        <f t="shared" si="53"/>
        <v>NorthBound</v>
      </c>
      <c r="U185" s="126">
        <f>IF(AG185="EC",COUNTIFS(Variables!$M$2:$M$19,IF(T185="NorthBound","&gt;=","&lt;=")&amp;Y185,Variables!$M$2:$M$19,IF(T185="NorthBound","&lt;=","&gt;=")&amp;Z185),COUNTIFS(Variables!$P$2:$P$19,IF(T185="NorthBound","&gt;=","&lt;=")&amp;Y185,Variables!$P$2:$P$19,IF(T185="NorthBound","&lt;=","&gt;=")&amp;Z185))</f>
        <v>1</v>
      </c>
      <c r="V185" s="106" t="str">
        <f t="shared" si="54"/>
        <v>https://search-rtdc-monitor-bjffxe2xuh6vdkpspy63sjmuny.us-east-1.es.amazonaws.com/_plugin/kibana/#/discover/Steve-Slow-Train-Analysis-(2080s-and-2083s)?_g=(refreshInterval:(display:Off,section:0,value:0),time:(from:'2016-08-30 14:15:01-0600',mode:absolute,to:'2016-08-30 16:34: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85" s="54" t="str">
        <f t="shared" si="55"/>
        <v>N</v>
      </c>
      <c r="X185" s="120">
        <f t="shared" si="69"/>
        <v>1</v>
      </c>
      <c r="Y185" s="69">
        <f t="shared" si="56"/>
        <v>9.7100000000000006E-2</v>
      </c>
      <c r="Z185" s="69">
        <f t="shared" si="57"/>
        <v>5.8925999999999998</v>
      </c>
      <c r="AA185" s="69">
        <f t="shared" si="58"/>
        <v>5.7954999999999997</v>
      </c>
      <c r="AB185" s="66" t="e">
        <f>VLOOKUP(A185,Enforcements!$C$7:$J$21,8,0)</f>
        <v>#N/A</v>
      </c>
      <c r="AC185" s="62" t="e">
        <f>VLOOKUP(A185,Enforcements!$C$7:$E$21,3,0)</f>
        <v>#N/A</v>
      </c>
      <c r="AD185" s="63" t="str">
        <f t="shared" si="59"/>
        <v>0825-30</v>
      </c>
      <c r="AE185"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85" s="96" t="str">
        <f t="shared" si="61"/>
        <v>"C:\Program Files (x86)\AstroGrep\AstroGrep.exe" /spath="%USERPROFILE%\AppData\Local\Temp\OnboardLogs" /stypes="*4014*20160830*" /stext=" 21:.+((SYSTEM_STATE.+slice.+state.+changed )|(ment ac)|(system.+state.+changed )|(\|lc)|(penalty)|(\[timeout)|(PRM\|1\|D)|(kpr)|(kdp))" /e /r /s</v>
      </c>
      <c r="AG185" s="1" t="str">
        <f t="shared" si="62"/>
        <v>NW</v>
      </c>
      <c r="AH185" s="100" t="str">
        <f t="shared" si="63"/>
        <v>"%USERPROFILE%\Documents\GitHub\eaglep3\Utilities\RefineRTDCRunTimes.py" --tripid 825-30 --locoid 4014 --swversion DE.1.0.7.0 --startMP 204:971 --initTime 2016-08-30T15:15:01 --startdatetime 2016-08-30T15:21:19 --delay 1 --endMP 300:58926 --enddatetime 2016-08-30T15:34:53 --enforcementcount 0 &gt;&gt;C:\Users\stu\Documents\GitHub\eaglep3-reporting\EC\2016-08-30-refined-times.txt</v>
      </c>
      <c r="AI185" s="149" t="str">
        <f t="shared" si="64"/>
        <v>echo {"issue":{"subject":"","project_id":79,"tracker_id":40,"status_id":1,"priority_id":2,"assigned_to_id":23,"start_date":"2016-08-30","description":"","custom_fields":[{"id":1,"name":"Subdivision","value":"NW"},{"id":4,"name":"Milepost","value":"5.7955"},{"id":17,"name":"Train ID","value":"825-30"},{"id":16,"name":"Locomotive ID","value":"4014"},{"id":130,"name":"Impact","value":""},{"id":150,"name":"Time of Event (Mountain Time)","value":"15:34:53"},{"id":151,"name":"Denver Issue ID","value":""},{"id":178,"name":"Operational Impact","value":"Yes"},{"id":179,"name":"Denver Segment Assigned","value":""}]}} | curl -X POST -H "Content-Type: application/json" -H "X-Redmine-API-Key: d6333d4a04012a730768444271f8ca06482dae87" https://secure.xorail.net/redmine/issues.json --data @-</v>
      </c>
      <c r="AJ185" s="55"/>
      <c r="AK185" s="55"/>
      <c r="AL185" s="55"/>
    </row>
    <row r="186" spans="1:38" s="23" customFormat="1" x14ac:dyDescent="0.25">
      <c r="A186" s="39" t="s">
        <v>500</v>
      </c>
      <c r="B186" s="7">
        <v>4013</v>
      </c>
      <c r="C186" s="24" t="s">
        <v>113</v>
      </c>
      <c r="D186" s="24" t="s">
        <v>700</v>
      </c>
      <c r="E186" s="15">
        <v>42612.650567129633</v>
      </c>
      <c r="F186" s="15">
        <v>42612.652337962965</v>
      </c>
      <c r="G186" s="7">
        <v>1</v>
      </c>
      <c r="H186" s="15" t="s">
        <v>351</v>
      </c>
      <c r="I186" s="15">
        <v>42612.663622685184</v>
      </c>
      <c r="J186" s="7">
        <v>0</v>
      </c>
      <c r="K186" s="132" t="str">
        <f t="shared" si="51"/>
        <v>4013/4014</v>
      </c>
      <c r="L186" s="24" t="str">
        <f>VLOOKUP(A186,'Trips&amp;Operators'!$C$1:$E$10000,3,FALSE)</f>
        <v>BRUDER</v>
      </c>
      <c r="M186" s="6">
        <f t="shared" si="52"/>
        <v>1.1284722218988463E-2</v>
      </c>
      <c r="N186" s="7">
        <f t="shared" si="68"/>
        <v>16.249999995343387</v>
      </c>
      <c r="O186" s="7"/>
      <c r="P186" s="7"/>
      <c r="Q186" s="25"/>
      <c r="R186" s="25"/>
      <c r="S186" s="37">
        <f t="shared" si="67"/>
        <v>1</v>
      </c>
      <c r="T186" s="52" t="str">
        <f t="shared" si="53"/>
        <v>Southbound</v>
      </c>
      <c r="U186" s="126">
        <f>IF(AG186="EC",COUNTIFS(Variables!$M$2:$M$19,IF(T186="NorthBound","&gt;=","&lt;=")&amp;Y186,Variables!$M$2:$M$19,IF(T186="NorthBound","&lt;=","&gt;=")&amp;Z186),COUNTIFS(Variables!$P$2:$P$19,IF(T186="NorthBound","&gt;=","&lt;=")&amp;Y186,Variables!$P$2:$P$19,IF(T186="NorthBound","&lt;=","&gt;=")&amp;Z186))</f>
        <v>1</v>
      </c>
      <c r="V186" s="106" t="str">
        <f t="shared" si="54"/>
        <v>https://search-rtdc-monitor-bjffxe2xuh6vdkpspy63sjmuny.us-east-1.es.amazonaws.com/_plugin/kibana/#/discover/Steve-Slow-Train-Analysis-(2080s-and-2083s)?_g=(refreshInterval:(display:Off,section:0,value:0),time:(from:'2016-08-30 14:36:49-0600',mode:absolute,to:'2016-08-30 16:55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86" s="54" t="str">
        <f t="shared" si="55"/>
        <v>N</v>
      </c>
      <c r="X186" s="120">
        <f t="shared" si="69"/>
        <v>1</v>
      </c>
      <c r="Y186" s="69">
        <f t="shared" si="56"/>
        <v>5.8609</v>
      </c>
      <c r="Z186" s="69">
        <f t="shared" si="57"/>
        <v>6.8199999999999997E-2</v>
      </c>
      <c r="AA186" s="69">
        <f t="shared" si="58"/>
        <v>5.7927</v>
      </c>
      <c r="AB186" s="66" t="e">
        <f>VLOOKUP(A186,Enforcements!$C$7:$J$21,8,0)</f>
        <v>#N/A</v>
      </c>
      <c r="AC186" s="62" t="e">
        <f>VLOOKUP(A186,Enforcements!$C$7:$E$21,3,0)</f>
        <v>#N/A</v>
      </c>
      <c r="AD186" s="63" t="str">
        <f t="shared" si="59"/>
        <v>0826-30</v>
      </c>
      <c r="AE186"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86" s="96" t="str">
        <f t="shared" si="61"/>
        <v>"C:\Program Files (x86)\AstroGrep\AstroGrep.exe" /spath="%USERPROFILE%\AppData\Local\Temp\OnboardLogs" /stypes="*4013*20160830*" /stext=" 21:.+((SYSTEM_STATE.+slice.+state.+changed )|(ment ac)|(system.+state.+changed )|(\|lc)|(penalty)|(\[timeout)|(PRM\|1\|D)|(kpr)|(kdp))" /e /r /s</v>
      </c>
      <c r="AG186" s="1" t="str">
        <f t="shared" si="62"/>
        <v>NW</v>
      </c>
      <c r="AH186" s="100" t="str">
        <f t="shared" si="63"/>
        <v>"%USERPROFILE%\Documents\GitHub\eaglep3\Utilities\RefineRTDCRunTimes.py" --tripid 826-30 --locoid 4013 --swversion DE.1.0.7.0 --startMP 300:58609 --initTime 2016-08-30T15:36:49 --startdatetime 2016-08-30T15:39:22 --delay 1 --endMP 204:682 --enddatetime 2016-08-30T15:55:37 --enforcementcount 0 &gt;&gt;C:\Users\stu\Documents\GitHub\eaglep3-reporting\EC\2016-08-30-refined-times.txt</v>
      </c>
      <c r="AI186" s="149" t="str">
        <f t="shared" si="64"/>
        <v>echo {"issue":{"subject":"","project_id":79,"tracker_id":40,"status_id":1,"priority_id":2,"assigned_to_id":23,"start_date":"2016-08-30","description":"","custom_fields":[{"id":1,"name":"Subdivision","value":"NW"},{"id":4,"name":"Milepost","value":"5.7927"},{"id":17,"name":"Train ID","value":"826-30"},{"id":16,"name":"Locomotive ID","value":"4013"},{"id":130,"name":"Impact","value":""},{"id":150,"name":"Time of Event (Mountain Time)","value":"15:55:37"},{"id":151,"name":"Denver Issue ID","value":""},{"id":178,"name":"Operational Impact","value":"Yes"},{"id":179,"name":"Denver Segment Assigned","value":""}]}} | curl -X POST -H "Content-Type: application/json" -H "X-Redmine-API-Key: d6333d4a04012a730768444271f8ca06482dae87" https://secure.xorail.net/redmine/issues.json --data @-</v>
      </c>
      <c r="AJ186" s="55"/>
      <c r="AK186" s="55"/>
      <c r="AL186" s="55"/>
    </row>
    <row r="187" spans="1:38" s="23" customFormat="1" x14ac:dyDescent="0.25">
      <c r="A187" s="39" t="s">
        <v>502</v>
      </c>
      <c r="B187" s="7">
        <v>4027</v>
      </c>
      <c r="C187" s="24" t="s">
        <v>113</v>
      </c>
      <c r="D187" s="24" t="s">
        <v>345</v>
      </c>
      <c r="E187" s="15">
        <v>42612.657071759262</v>
      </c>
      <c r="F187" s="15">
        <v>42612.660787037035</v>
      </c>
      <c r="G187" s="7">
        <v>2</v>
      </c>
      <c r="H187" s="15" t="s">
        <v>290</v>
      </c>
      <c r="I187" s="15">
        <v>42612.670775462961</v>
      </c>
      <c r="J187" s="7">
        <v>0</v>
      </c>
      <c r="K187" s="132" t="str">
        <f t="shared" si="51"/>
        <v>4027/4028</v>
      </c>
      <c r="L187" s="24" t="str">
        <f>VLOOKUP(A187,'Trips&amp;Operators'!$C$1:$E$10000,3,FALSE)</f>
        <v>CRAYTON</v>
      </c>
      <c r="M187" s="6">
        <f t="shared" si="52"/>
        <v>9.9884259252576157E-3</v>
      </c>
      <c r="N187" s="7">
        <f t="shared" si="68"/>
        <v>14.383333332370967</v>
      </c>
      <c r="O187" s="7"/>
      <c r="P187" s="7"/>
      <c r="Q187" s="25"/>
      <c r="R187" s="25"/>
      <c r="S187" s="37">
        <f t="shared" si="67"/>
        <v>1</v>
      </c>
      <c r="T187" s="52" t="str">
        <f t="shared" si="53"/>
        <v>NorthBound</v>
      </c>
      <c r="U187" s="126">
        <f>IF(AG187="EC",COUNTIFS(Variables!$M$2:$M$19,IF(T187="NorthBound","&gt;=","&lt;=")&amp;Y187,Variables!$M$2:$M$19,IF(T187="NorthBound","&lt;=","&gt;=")&amp;Z187),COUNTIFS(Variables!$P$2:$P$19,IF(T187="NorthBound","&gt;=","&lt;=")&amp;Y187,Variables!$P$2:$P$19,IF(T187="NorthBound","&lt;=","&gt;=")&amp;Z187))</f>
        <v>1</v>
      </c>
      <c r="V187" s="106" t="str">
        <f t="shared" si="54"/>
        <v>https://search-rtdc-monitor-bjffxe2xuh6vdkpspy63sjmuny.us-east-1.es.amazonaws.com/_plugin/kibana/#/discover/Steve-Slow-Train-Analysis-(2080s-and-2083s)?_g=(refreshInterval:(display:Off,section:0,value:0),time:(from:'2016-08-30 14:46:11-0600',mode:absolute,to:'2016-08-30 17: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87" s="54" t="str">
        <f t="shared" si="55"/>
        <v>N</v>
      </c>
      <c r="X187" s="120">
        <f t="shared" si="69"/>
        <v>1</v>
      </c>
      <c r="Y187" s="69">
        <f t="shared" si="56"/>
        <v>0.1007</v>
      </c>
      <c r="Z187" s="69">
        <f t="shared" si="57"/>
        <v>5.8916000000000004</v>
      </c>
      <c r="AA187" s="69">
        <f t="shared" si="58"/>
        <v>5.7909000000000006</v>
      </c>
      <c r="AB187" s="66" t="e">
        <f>VLOOKUP(A187,Enforcements!$C$7:$J$21,8,0)</f>
        <v>#N/A</v>
      </c>
      <c r="AC187" s="62" t="e">
        <f>VLOOKUP(A187,Enforcements!$C$7:$E$21,3,0)</f>
        <v>#N/A</v>
      </c>
      <c r="AD187" s="63" t="str">
        <f t="shared" si="59"/>
        <v>0827-30</v>
      </c>
      <c r="AE187"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87" s="96" t="str">
        <f t="shared" si="61"/>
        <v>"C:\Program Files (x86)\AstroGrep\AstroGrep.exe" /spath="%USERPROFILE%\AppData\Local\Temp\OnboardLogs" /stypes="*4027*20160830*" /stext=" 22:.+((SYSTEM_STATE.+slice.+state.+changed )|(ment ac)|(system.+state.+changed )|(\|lc)|(penalty)|(\[timeout)|(PRM\|1\|D)|(kpr)|(kdp))" /e /r /s</v>
      </c>
      <c r="AG187" s="1" t="str">
        <f t="shared" si="62"/>
        <v>NW</v>
      </c>
      <c r="AH187" s="100" t="str">
        <f t="shared" si="63"/>
        <v>"%USERPROFILE%\Documents\GitHub\eaglep3\Utilities\RefineRTDCRunTimes.py" --tripid 827-30 --locoid 4027 --swversion DE.1.0.7.0 --startMP 204:1007 --initTime 2016-08-30T15:46:11 --startdatetime 2016-08-30T15:51:32 --delay 2 --endMP 300:58916 --enddatetime 2016-08-30T16:05:55 --enforcementcount 0 &gt;&gt;C:\Users\stu\Documents\GitHub\eaglep3-reporting\EC\2016-08-30-refined-times.txt</v>
      </c>
      <c r="AI187" s="149" t="str">
        <f t="shared" si="64"/>
        <v>echo {"issue":{"subject":"","project_id":79,"tracker_id":40,"status_id":1,"priority_id":2,"assigned_to_id":23,"start_date":"2016-08-30","description":"","custom_fields":[{"id":1,"name":"Subdivision","value":"NW"},{"id":4,"name":"Milepost","value":"5.7909"},{"id":17,"name":"Train ID","value":"827-30"},{"id":16,"name":"Locomotive ID","value":"4027"},{"id":130,"name":"Impact","value":""},{"id":150,"name":"Time of Event (Mountain Time)","value":"16:05:55"},{"id":151,"name":"Denver Issue ID","value":""},{"id":178,"name":"Operational Impact","value":"Yes"},{"id":179,"name":"Denver Segment Assigned","value":""}]}} | curl -X POST -H "Content-Type: application/json" -H "X-Redmine-API-Key: d6333d4a04012a730768444271f8ca06482dae87" https://secure.xorail.net/redmine/issues.json --data @-</v>
      </c>
      <c r="AJ187" s="55"/>
      <c r="AK187" s="55"/>
      <c r="AL187" s="55"/>
    </row>
    <row r="188" spans="1:38" s="23" customFormat="1" x14ac:dyDescent="0.25">
      <c r="A188" s="39" t="s">
        <v>505</v>
      </c>
      <c r="B188" s="7">
        <v>4028</v>
      </c>
      <c r="C188" s="24" t="s">
        <v>113</v>
      </c>
      <c r="D188" s="24" t="s">
        <v>676</v>
      </c>
      <c r="E188" s="15">
        <v>42612.672384259262</v>
      </c>
      <c r="F188" s="15">
        <v>42612.674085648148</v>
      </c>
      <c r="G188" s="7">
        <v>1</v>
      </c>
      <c r="H188" s="15" t="s">
        <v>343</v>
      </c>
      <c r="I188" s="15">
        <v>42612.684756944444</v>
      </c>
      <c r="J188" s="7">
        <v>0</v>
      </c>
      <c r="K188" s="132" t="str">
        <f t="shared" si="51"/>
        <v>4027/4028</v>
      </c>
      <c r="L188" s="24" t="str">
        <f>VLOOKUP(A188,'Trips&amp;Operators'!$C$1:$E$10000,3,FALSE)</f>
        <v>CRAYTON</v>
      </c>
      <c r="M188" s="6">
        <f t="shared" si="52"/>
        <v>1.0671296295186039E-2</v>
      </c>
      <c r="N188" s="7">
        <f t="shared" si="68"/>
        <v>15.366666665067896</v>
      </c>
      <c r="O188" s="7"/>
      <c r="P188" s="7"/>
      <c r="Q188" s="25"/>
      <c r="R188" s="25"/>
      <c r="S188" s="37">
        <f t="shared" si="67"/>
        <v>1</v>
      </c>
      <c r="T188" s="52" t="str">
        <f t="shared" si="53"/>
        <v>Southbound</v>
      </c>
      <c r="U188" s="126">
        <f>IF(AG188="EC",COUNTIFS(Variables!$M$2:$M$19,IF(T188="NorthBound","&gt;=","&lt;=")&amp;Y188,Variables!$M$2:$M$19,IF(T188="NorthBound","&lt;=","&gt;=")&amp;Z188),COUNTIFS(Variables!$P$2:$P$19,IF(T188="NorthBound","&gt;=","&lt;=")&amp;Y188,Variables!$P$2:$P$19,IF(T188="NorthBound","&lt;=","&gt;=")&amp;Z188))</f>
        <v>1</v>
      </c>
      <c r="V188" s="106" t="str">
        <f t="shared" si="54"/>
        <v>https://search-rtdc-monitor-bjffxe2xuh6vdkpspy63sjmuny.us-east-1.es.amazonaws.com/_plugin/kibana/#/discover/Steve-Slow-Train-Analysis-(2080s-and-2083s)?_g=(refreshInterval:(display:Off,section:0,value:0),time:(from:'2016-08-30 15:08:14-0600',mode:absolute,to:'2016-08-30 17:26: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88" s="54" t="str">
        <f t="shared" si="55"/>
        <v>N</v>
      </c>
      <c r="X188" s="120">
        <f t="shared" si="69"/>
        <v>1</v>
      </c>
      <c r="Y188" s="69">
        <f t="shared" si="56"/>
        <v>5.8623000000000003</v>
      </c>
      <c r="Z188" s="69">
        <f t="shared" si="57"/>
        <v>7.2400000000000006E-2</v>
      </c>
      <c r="AA188" s="69">
        <f t="shared" si="58"/>
        <v>5.7899000000000003</v>
      </c>
      <c r="AB188" s="66" t="e">
        <f>VLOOKUP(A188,Enforcements!$C$7:$J$21,8,0)</f>
        <v>#N/A</v>
      </c>
      <c r="AC188" s="62" t="e">
        <f>VLOOKUP(A188,Enforcements!$C$7:$E$21,3,0)</f>
        <v>#N/A</v>
      </c>
      <c r="AD188" s="63" t="str">
        <f t="shared" si="59"/>
        <v>0828-30</v>
      </c>
      <c r="AE188"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88" s="96" t="str">
        <f t="shared" si="61"/>
        <v>"C:\Program Files (x86)\AstroGrep\AstroGrep.exe" /spath="%USERPROFILE%\AppData\Local\Temp\OnboardLogs" /stypes="*4028*20160830*" /stext=" 22:.+((SYSTEM_STATE.+slice.+state.+changed )|(ment ac)|(system.+state.+changed )|(\|lc)|(penalty)|(\[timeout)|(PRM\|1\|D)|(kpr)|(kdp))" /e /r /s</v>
      </c>
      <c r="AG188" s="1" t="str">
        <f t="shared" si="62"/>
        <v>NW</v>
      </c>
      <c r="AH188" s="100" t="str">
        <f t="shared" si="63"/>
        <v>"%USERPROFILE%\Documents\GitHub\eaglep3\Utilities\RefineRTDCRunTimes.py" --tripid 828-30 --locoid 4028 --swversion DE.1.0.7.0 --startMP 300:58623 --initTime 2016-08-30T16:08:14 --startdatetime 2016-08-30T16:10:41 --delay 1 --endMP 204:724 --enddatetime 2016-08-30T16:26:03 --enforcementcount 0 &gt;&gt;C:\Users\stu\Documents\GitHub\eaglep3-reporting\EC\2016-08-30-refined-times.txt</v>
      </c>
      <c r="AI188" s="149" t="str">
        <f t="shared" si="64"/>
        <v>echo {"issue":{"subject":"","project_id":79,"tracker_id":40,"status_id":1,"priority_id":2,"assigned_to_id":23,"start_date":"2016-08-30","description":"","custom_fields":[{"id":1,"name":"Subdivision","value":"NW"},{"id":4,"name":"Milepost","value":"5.7899"},{"id":17,"name":"Train ID","value":"828-30"},{"id":16,"name":"Locomotive ID","value":"4028"},{"id":130,"name":"Impact","value":""},{"id":150,"name":"Time of Event (Mountain Time)","value":"16:26:03"},{"id":151,"name":"Denver Issue ID","value":""},{"id":178,"name":"Operational Impact","value":"Yes"},{"id":179,"name":"Denver Segment Assigned","value":""}]}} | curl -X POST -H "Content-Type: application/json" -H "X-Redmine-API-Key: d6333d4a04012a730768444271f8ca06482dae87" https://secure.xorail.net/redmine/issues.json --data @-</v>
      </c>
      <c r="AJ188" s="55"/>
      <c r="AK188" s="55"/>
      <c r="AL188" s="55"/>
    </row>
    <row r="189" spans="1:38" x14ac:dyDescent="0.25">
      <c r="A189" s="39" t="s">
        <v>374</v>
      </c>
      <c r="B189" s="7">
        <v>4014</v>
      </c>
      <c r="C189" s="24" t="s">
        <v>113</v>
      </c>
      <c r="D189" s="24" t="s">
        <v>701</v>
      </c>
      <c r="E189" s="15">
        <v>42612.674525462964</v>
      </c>
      <c r="F189" s="15">
        <v>42612.681435185186</v>
      </c>
      <c r="G189" s="7">
        <v>1</v>
      </c>
      <c r="H189" s="15" t="s">
        <v>702</v>
      </c>
      <c r="I189" s="15">
        <v>42612.691041666665</v>
      </c>
      <c r="J189" s="7">
        <v>0</v>
      </c>
      <c r="K189" s="132" t="str">
        <f t="shared" si="51"/>
        <v>4013/4014</v>
      </c>
      <c r="L189" s="24" t="str">
        <f>VLOOKUP(A189,'Trips&amp;Operators'!$C$1:$E$10000,3,FALSE)</f>
        <v>BRUDER</v>
      </c>
      <c r="M189" s="6">
        <f t="shared" si="52"/>
        <v>9.6064814788405783E-3</v>
      </c>
      <c r="N189" s="7">
        <f t="shared" si="68"/>
        <v>13.833333329530433</v>
      </c>
      <c r="O189" s="7"/>
      <c r="P189" s="7"/>
      <c r="Q189" s="25"/>
      <c r="R189" s="25"/>
      <c r="S189" s="37">
        <f t="shared" si="67"/>
        <v>1</v>
      </c>
      <c r="T189" s="52" t="str">
        <f t="shared" si="53"/>
        <v>NorthBound</v>
      </c>
      <c r="U189" s="126">
        <f>IF(AG189="EC",COUNTIFS(Variables!$M$2:$M$19,IF(T189="NorthBound","&gt;=","&lt;=")&amp;Y189,Variables!$M$2:$M$19,IF(T189="NorthBound","&lt;=","&gt;=")&amp;Z189),COUNTIFS(Variables!$P$2:$P$19,IF(T189="NorthBound","&gt;=","&lt;=")&amp;Y189,Variables!$P$2:$P$19,IF(T189="NorthBound","&lt;=","&gt;=")&amp;Z189))</f>
        <v>1</v>
      </c>
      <c r="V189" s="106" t="str">
        <f t="shared" si="54"/>
        <v>https://search-rtdc-monitor-bjffxe2xuh6vdkpspy63sjmuny.us-east-1.es.amazonaws.com/_plugin/kibana/#/discover/Steve-Slow-Train-Analysis-(2080s-and-2083s)?_g=(refreshInterval:(display:Off,section:0,value:0),time:(from:'2016-08-30 15:11:19-0600',mode:absolute,to:'2016-08-30 17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89" s="54" t="str">
        <f t="shared" si="55"/>
        <v>N</v>
      </c>
      <c r="X189" s="120">
        <f t="shared" si="69"/>
        <v>1</v>
      </c>
      <c r="Y189" s="69">
        <f t="shared" si="56"/>
        <v>9.7199999999999995E-2</v>
      </c>
      <c r="Z189" s="69">
        <f t="shared" si="57"/>
        <v>5.8917999999999999</v>
      </c>
      <c r="AA189" s="69">
        <f t="shared" si="58"/>
        <v>5.7946</v>
      </c>
      <c r="AB189" s="66" t="e">
        <f>VLOOKUP(A189,Enforcements!$C$7:$J$21,8,0)</f>
        <v>#N/A</v>
      </c>
      <c r="AC189" s="62" t="e">
        <f>VLOOKUP(A189,Enforcements!$C$7:$E$21,3,0)</f>
        <v>#N/A</v>
      </c>
      <c r="AD189" s="63" t="str">
        <f t="shared" si="59"/>
        <v>0829-30</v>
      </c>
      <c r="AE189"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89" s="96" t="str">
        <f t="shared" si="61"/>
        <v>"C:\Program Files (x86)\AstroGrep\AstroGrep.exe" /spath="%USERPROFILE%\AppData\Local\Temp\OnboardLogs" /stypes="*4014*20160830*" /stext=" 22:.+((SYSTEM_STATE.+slice.+state.+changed )|(ment ac)|(system.+state.+changed )|(\|lc)|(penalty)|(\[timeout)|(PRM\|1\|D)|(kpr)|(kdp))" /e /r /s</v>
      </c>
      <c r="AG189" s="1" t="str">
        <f t="shared" si="62"/>
        <v>NW</v>
      </c>
      <c r="AH189" s="100" t="str">
        <f t="shared" si="63"/>
        <v>"%USERPROFILE%\Documents\GitHub\eaglep3\Utilities\RefineRTDCRunTimes.py" --tripid 829-30 --locoid 4014 --swversion DE.1.0.7.0 --startMP 204:972 --initTime 2016-08-30T16:11:19 --startdatetime 2016-08-30T16:21:16 --delay 1 --endMP 300:58918 --enddatetime 2016-08-30T16:35:06 --enforcementcount 0 &gt;&gt;C:\Users\stu\Documents\GitHub\eaglep3-reporting\EC\2016-08-30-refined-times.txt</v>
      </c>
      <c r="AI189" s="149" t="str">
        <f t="shared" si="64"/>
        <v>echo {"issue":{"subject":"","project_id":79,"tracker_id":40,"status_id":1,"priority_id":2,"assigned_to_id":23,"start_date":"2016-08-30","description":"","custom_fields":[{"id":1,"name":"Subdivision","value":"NW"},{"id":4,"name":"Milepost","value":"5.7946"},{"id":17,"name":"Train ID","value":"829-30"},{"id":16,"name":"Locomotive ID","value":"4014"},{"id":130,"name":"Impact","value":""},{"id":150,"name":"Time of Event (Mountain Time)","value":"16:35:06"},{"id":151,"name":"Denver Issue ID","value":""},{"id":178,"name":"Operational Impact","value":"Yes"},{"id":179,"name":"Denver Segment Assigned","value":""}]}} | curl -X POST -H "Content-Type: application/json" -H "X-Redmine-API-Key: d6333d4a04012a730768444271f8ca06482dae87" https://secure.xorail.net/redmine/issues.json --data @-</v>
      </c>
      <c r="AJ189" s="55"/>
      <c r="AK189" s="55"/>
      <c r="AL189" s="55"/>
    </row>
    <row r="190" spans="1:38" x14ac:dyDescent="0.25">
      <c r="A190" s="39" t="s">
        <v>509</v>
      </c>
      <c r="B190" s="7">
        <v>4013</v>
      </c>
      <c r="C190" s="24" t="s">
        <v>113</v>
      </c>
      <c r="D190" s="24" t="s">
        <v>285</v>
      </c>
      <c r="E190" s="15">
        <v>42612.692800925928</v>
      </c>
      <c r="F190" s="15">
        <v>42612.694398148145</v>
      </c>
      <c r="G190" s="7">
        <v>1</v>
      </c>
      <c r="H190" s="15" t="s">
        <v>351</v>
      </c>
      <c r="I190" s="15">
        <v>42612.70553240741</v>
      </c>
      <c r="J190" s="7">
        <v>0</v>
      </c>
      <c r="K190" s="132" t="str">
        <f t="shared" si="51"/>
        <v>4013/4014</v>
      </c>
      <c r="L190" s="24" t="str">
        <f>VLOOKUP(A190,'Trips&amp;Operators'!$C$1:$E$10000,3,FALSE)</f>
        <v>BRUDER</v>
      </c>
      <c r="M190" s="6">
        <f t="shared" si="52"/>
        <v>1.1134259264508728E-2</v>
      </c>
      <c r="N190" s="7">
        <f t="shared" si="68"/>
        <v>16.033333340892568</v>
      </c>
      <c r="O190" s="7"/>
      <c r="P190" s="7"/>
      <c r="Q190" s="25"/>
      <c r="R190" s="25"/>
      <c r="S190" s="37">
        <f t="shared" si="67"/>
        <v>1</v>
      </c>
      <c r="T190" s="52" t="str">
        <f t="shared" si="53"/>
        <v>Southbound</v>
      </c>
      <c r="U190" s="126">
        <f>IF(AG190="EC",COUNTIFS(Variables!$M$2:$M$19,IF(T190="NorthBound","&gt;=","&lt;=")&amp;Y190,Variables!$M$2:$M$19,IF(T190="NorthBound","&lt;=","&gt;=")&amp;Z190),COUNTIFS(Variables!$P$2:$P$19,IF(T190="NorthBound","&gt;=","&lt;=")&amp;Y190,Variables!$P$2:$P$19,IF(T190="NorthBound","&lt;=","&gt;=")&amp;Z190))</f>
        <v>1</v>
      </c>
      <c r="V190" s="106" t="str">
        <f t="shared" si="54"/>
        <v>https://search-rtdc-monitor-bjffxe2xuh6vdkpspy63sjmuny.us-east-1.es.amazonaws.com/_plugin/kibana/#/discover/Steve-Slow-Train-Analysis-(2080s-and-2083s)?_g=(refreshInterval:(display:Off,section:0,value:0),time:(from:'2016-08-30 15:37:38-0600',mode:absolute,to:'2016-08-30 17:55: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90" s="54" t="str">
        <f t="shared" si="55"/>
        <v>N</v>
      </c>
      <c r="X190" s="120">
        <f t="shared" si="69"/>
        <v>1</v>
      </c>
      <c r="Y190" s="69">
        <f t="shared" si="56"/>
        <v>5.8615000000000004</v>
      </c>
      <c r="Z190" s="69">
        <f t="shared" si="57"/>
        <v>6.8199999999999997E-2</v>
      </c>
      <c r="AA190" s="69">
        <f t="shared" si="58"/>
        <v>5.7933000000000003</v>
      </c>
      <c r="AB190" s="66" t="e">
        <f>VLOOKUP(A190,Enforcements!$C$7:$J$21,8,0)</f>
        <v>#N/A</v>
      </c>
      <c r="AC190" s="62" t="e">
        <f>VLOOKUP(A190,Enforcements!$C$7:$E$21,3,0)</f>
        <v>#N/A</v>
      </c>
      <c r="AD190" s="63" t="str">
        <f t="shared" si="59"/>
        <v>0830-30</v>
      </c>
      <c r="AE190"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90" s="96" t="str">
        <f t="shared" si="61"/>
        <v>"C:\Program Files (x86)\AstroGrep\AstroGrep.exe" /spath="%USERPROFILE%\AppData\Local\Temp\OnboardLogs" /stypes="*4013*20160830*" /stext=" 22:.+((SYSTEM_STATE.+slice.+state.+changed )|(ment ac)|(system.+state.+changed )|(\|lc)|(penalty)|(\[timeout)|(PRM\|1\|D)|(kpr)|(kdp))" /e /r /s</v>
      </c>
      <c r="AG190" s="1" t="str">
        <f t="shared" si="62"/>
        <v>NW</v>
      </c>
      <c r="AH190" s="100" t="str">
        <f t="shared" si="63"/>
        <v>"%USERPROFILE%\Documents\GitHub\eaglep3\Utilities\RefineRTDCRunTimes.py" --tripid 830-30 --locoid 4013 --swversion DE.1.0.7.0 --startMP 300:58615 --initTime 2016-08-30T16:37:38 --startdatetime 2016-08-30T16:39:56 --delay 1 --endMP 204:682 --enddatetime 2016-08-30T16:55:58 --enforcementcount 0 &gt;&gt;C:\Users\stu\Documents\GitHub\eaglep3-reporting\EC\2016-08-30-refined-times.txt</v>
      </c>
      <c r="AI190" s="149" t="str">
        <f t="shared" si="64"/>
        <v>echo {"issue":{"subject":"","project_id":79,"tracker_id":40,"status_id":1,"priority_id":2,"assigned_to_id":23,"start_date":"2016-08-30","description":"","custom_fields":[{"id":1,"name":"Subdivision","value":"NW"},{"id":4,"name":"Milepost","value":"5.7933"},{"id":17,"name":"Train ID","value":"830-30"},{"id":16,"name":"Locomotive ID","value":"4013"},{"id":130,"name":"Impact","value":""},{"id":150,"name":"Time of Event (Mountain Time)","value":"16:55:58"},{"id":151,"name":"Denver Issue ID","value":""},{"id":178,"name":"Operational Impact","value":"Yes"},{"id":179,"name":"Denver Segment Assigned","value":""}]}} | curl -X POST -H "Content-Type: application/json" -H "X-Redmine-API-Key: d6333d4a04012a730768444271f8ca06482dae87" https://secure.xorail.net/redmine/issues.json --data @-</v>
      </c>
      <c r="AJ190" s="55"/>
      <c r="AK190" s="55"/>
      <c r="AL190" s="55"/>
    </row>
    <row r="191" spans="1:38" s="23" customFormat="1" x14ac:dyDescent="0.25">
      <c r="A191" s="39" t="s">
        <v>510</v>
      </c>
      <c r="B191" s="7">
        <v>4027</v>
      </c>
      <c r="C191" s="24" t="s">
        <v>113</v>
      </c>
      <c r="D191" s="24" t="s">
        <v>703</v>
      </c>
      <c r="E191" s="15">
        <v>42612.696087962962</v>
      </c>
      <c r="F191" s="15">
        <v>42612.702465277776</v>
      </c>
      <c r="G191" s="7">
        <v>1</v>
      </c>
      <c r="H191" s="15" t="s">
        <v>290</v>
      </c>
      <c r="I191" s="15">
        <v>42612.712395833332</v>
      </c>
      <c r="J191" s="7">
        <v>0</v>
      </c>
      <c r="K191" s="132" t="str">
        <f t="shared" si="51"/>
        <v>4027/4028</v>
      </c>
      <c r="L191" s="24" t="str">
        <f>VLOOKUP(A191,'Trips&amp;Operators'!$C$1:$E$10000,3,FALSE)</f>
        <v>CRAYTON</v>
      </c>
      <c r="M191" s="6">
        <f t="shared" si="52"/>
        <v>9.930555555911269E-3</v>
      </c>
      <c r="N191" s="7">
        <f t="shared" si="68"/>
        <v>14.300000000512227</v>
      </c>
      <c r="O191" s="7"/>
      <c r="P191" s="7"/>
      <c r="Q191" s="25"/>
      <c r="R191" s="25"/>
      <c r="S191" s="37">
        <f t="shared" si="67"/>
        <v>1</v>
      </c>
      <c r="T191" s="52" t="str">
        <f t="shared" si="53"/>
        <v>NorthBound</v>
      </c>
      <c r="U191" s="126">
        <f>IF(AG191="EC",COUNTIFS(Variables!$M$2:$M$19,IF(T191="NorthBound","&gt;=","&lt;=")&amp;Y191,Variables!$M$2:$M$19,IF(T191="NorthBound","&lt;=","&gt;=")&amp;Z191),COUNTIFS(Variables!$P$2:$P$19,IF(T191="NorthBound","&gt;=","&lt;=")&amp;Y191,Variables!$P$2:$P$19,IF(T191="NorthBound","&lt;=","&gt;=")&amp;Z191))</f>
        <v>1</v>
      </c>
      <c r="V191" s="106" t="str">
        <f t="shared" si="54"/>
        <v>https://search-rtdc-monitor-bjffxe2xuh6vdkpspy63sjmuny.us-east-1.es.amazonaws.com/_plugin/kibana/#/discover/Steve-Slow-Train-Analysis-(2080s-and-2083s)?_g=(refreshInterval:(display:Off,section:0,value:0),time:(from:'2016-08-30 15:42:22-0600',mode:absolute,to:'2016-08-30 18: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91" s="54" t="str">
        <f t="shared" si="55"/>
        <v>N</v>
      </c>
      <c r="X191" s="120">
        <f t="shared" si="69"/>
        <v>1</v>
      </c>
      <c r="Y191" s="69">
        <f t="shared" si="56"/>
        <v>0.1021</v>
      </c>
      <c r="Z191" s="69">
        <f t="shared" si="57"/>
        <v>5.8916000000000004</v>
      </c>
      <c r="AA191" s="69">
        <f t="shared" si="58"/>
        <v>5.7895000000000003</v>
      </c>
      <c r="AB191" s="66" t="e">
        <f>VLOOKUP(A191,Enforcements!$C$7:$J$21,8,0)</f>
        <v>#N/A</v>
      </c>
      <c r="AC191" s="62" t="e">
        <f>VLOOKUP(A191,Enforcements!$C$7:$E$21,3,0)</f>
        <v>#N/A</v>
      </c>
      <c r="AD191" s="63" t="str">
        <f t="shared" si="59"/>
        <v>0831-30</v>
      </c>
      <c r="AE191"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91" s="96" t="str">
        <f t="shared" si="61"/>
        <v>"C:\Program Files (x86)\AstroGrep\AstroGrep.exe" /spath="%USERPROFILE%\AppData\Local\Temp\OnboardLogs" /stypes="*4027*20160830*" /stext=" 23:.+((SYSTEM_STATE.+slice.+state.+changed )|(ment ac)|(system.+state.+changed )|(\|lc)|(penalty)|(\[timeout)|(PRM\|1\|D)|(kpr)|(kdp))" /e /r /s</v>
      </c>
      <c r="AG191" s="1" t="str">
        <f t="shared" si="62"/>
        <v>NW</v>
      </c>
      <c r="AH191" s="100" t="str">
        <f t="shared" si="63"/>
        <v>"%USERPROFILE%\Documents\GitHub\eaglep3\Utilities\RefineRTDCRunTimes.py" --tripid 831-30 --locoid 4027 --swversion DE.1.0.7.0 --startMP 204:1021 --initTime 2016-08-30T16:42:22 --startdatetime 2016-08-30T16:51:33 --delay 1 --endMP 300:58916 --enddatetime 2016-08-30T17:05:51 --enforcementcount 0 &gt;&gt;C:\Users\stu\Documents\GitHub\eaglep3-reporting\EC\2016-08-30-refined-times.txt</v>
      </c>
      <c r="AI191" s="149" t="str">
        <f t="shared" si="64"/>
        <v>echo {"issue":{"subject":"","project_id":79,"tracker_id":40,"status_id":1,"priority_id":2,"assigned_to_id":23,"start_date":"2016-08-30","description":"","custom_fields":[{"id":1,"name":"Subdivision","value":"NW"},{"id":4,"name":"Milepost","value":"5.7895"},{"id":17,"name":"Train ID","value":"831-30"},{"id":16,"name":"Locomotive ID","value":"4027"},{"id":130,"name":"Impact","value":""},{"id":150,"name":"Time of Event (Mountain Time)","value":"17:05:51"},{"id":151,"name":"Denver Issue ID","value":""},{"id":178,"name":"Operational Impact","value":"Yes"},{"id":179,"name":"Denver Segment Assigned","value":""}]}} | curl -X POST -H "Content-Type: application/json" -H "X-Redmine-API-Key: d6333d4a04012a730768444271f8ca06482dae87" https://secure.xorail.net/redmine/issues.json --data @-</v>
      </c>
      <c r="AJ191" s="55"/>
      <c r="AK191" s="55"/>
      <c r="AL191" s="55"/>
    </row>
    <row r="192" spans="1:38" s="23" customFormat="1" x14ac:dyDescent="0.25">
      <c r="A192" s="39" t="s">
        <v>513</v>
      </c>
      <c r="B192" s="7">
        <v>4028</v>
      </c>
      <c r="C192" s="24" t="s">
        <v>113</v>
      </c>
      <c r="D192" s="24" t="s">
        <v>704</v>
      </c>
      <c r="E192" s="15">
        <v>42612.713750000003</v>
      </c>
      <c r="F192" s="15">
        <v>42612.715219907404</v>
      </c>
      <c r="G192" s="7">
        <v>1</v>
      </c>
      <c r="H192" s="15" t="s">
        <v>705</v>
      </c>
      <c r="I192" s="15">
        <v>42612.727175925924</v>
      </c>
      <c r="J192" s="7">
        <v>0</v>
      </c>
      <c r="K192" s="132" t="str">
        <f t="shared" si="51"/>
        <v>4027/4028</v>
      </c>
      <c r="L192" s="24" t="str">
        <f>VLOOKUP(A192,'Trips&amp;Operators'!$C$1:$E$10000,3,FALSE)</f>
        <v>CRAYTON</v>
      </c>
      <c r="M192" s="6">
        <f t="shared" si="52"/>
        <v>1.1956018519413192E-2</v>
      </c>
      <c r="N192" s="7">
        <f t="shared" si="68"/>
        <v>17.216666667954996</v>
      </c>
      <c r="O192" s="7"/>
      <c r="P192" s="7"/>
      <c r="Q192" s="25"/>
      <c r="R192" s="25"/>
      <c r="S192" s="37">
        <f t="shared" si="67"/>
        <v>1</v>
      </c>
      <c r="T192" s="52" t="str">
        <f t="shared" si="53"/>
        <v>Southbound</v>
      </c>
      <c r="U192" s="126">
        <f>IF(AG192="EC",COUNTIFS(Variables!$M$2:$M$19,IF(T192="NorthBound","&gt;=","&lt;=")&amp;Y192,Variables!$M$2:$M$19,IF(T192="NorthBound","&lt;=","&gt;=")&amp;Z192),COUNTIFS(Variables!$P$2:$P$19,IF(T192="NorthBound","&gt;=","&lt;=")&amp;Y192,Variables!$P$2:$P$19,IF(T192="NorthBound","&lt;=","&gt;=")&amp;Z192))</f>
        <v>1</v>
      </c>
      <c r="V192" s="106" t="str">
        <f t="shared" si="54"/>
        <v>https://search-rtdc-monitor-bjffxe2xuh6vdkpspy63sjmuny.us-east-1.es.amazonaws.com/_plugin/kibana/#/discover/Steve-Slow-Train-Analysis-(2080s-and-2083s)?_g=(refreshInterval:(display:Off,section:0,value:0),time:(from:'2016-08-30 16:07:48-0600',mode:absolute,to:'2016-08-30 18:27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92" s="54" t="str">
        <f t="shared" si="55"/>
        <v>N</v>
      </c>
      <c r="X192" s="120">
        <f t="shared" si="69"/>
        <v>1</v>
      </c>
      <c r="Y192" s="69">
        <f t="shared" si="56"/>
        <v>5.86</v>
      </c>
      <c r="Z192" s="69">
        <f t="shared" si="57"/>
        <v>7.6899999999999996E-2</v>
      </c>
      <c r="AA192" s="69">
        <f t="shared" si="58"/>
        <v>5.7831000000000001</v>
      </c>
      <c r="AB192" s="66" t="e">
        <f>VLOOKUP(A192,Enforcements!$C$7:$J$21,8,0)</f>
        <v>#N/A</v>
      </c>
      <c r="AC192" s="62" t="e">
        <f>VLOOKUP(A192,Enforcements!$C$7:$E$21,3,0)</f>
        <v>#N/A</v>
      </c>
      <c r="AD192" s="63" t="str">
        <f t="shared" si="59"/>
        <v>0832-30</v>
      </c>
      <c r="AE192"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92" s="96" t="str">
        <f t="shared" si="61"/>
        <v>"C:\Program Files (x86)\AstroGrep\AstroGrep.exe" /spath="%USERPROFILE%\AppData\Local\Temp\OnboardLogs" /stypes="*4028*20160830*" /stext=" 23:.+((SYSTEM_STATE.+slice.+state.+changed )|(ment ac)|(system.+state.+changed )|(\|lc)|(penalty)|(\[timeout)|(PRM\|1\|D)|(kpr)|(kdp))" /e /r /s</v>
      </c>
      <c r="AG192" s="1" t="str">
        <f t="shared" si="62"/>
        <v>NW</v>
      </c>
      <c r="AH192" s="100" t="str">
        <f t="shared" si="63"/>
        <v>"%USERPROFILE%\Documents\GitHub\eaglep3\Utilities\RefineRTDCRunTimes.py" --tripid 832-30 --locoid 4028 --swversion DE.1.0.7.0 --startMP 300:58600 --initTime 2016-08-30T17:07:48 --startdatetime 2016-08-30T17:09:55 --delay 1 --endMP 204:769 --enddatetime 2016-08-30T17:27:08 --enforcementcount 0 &gt;&gt;C:\Users\stu\Documents\GitHub\eaglep3-reporting\EC\2016-08-30-refined-times.txt</v>
      </c>
      <c r="AI192" s="149" t="str">
        <f t="shared" si="64"/>
        <v>echo {"issue":{"subject":"","project_id":79,"tracker_id":40,"status_id":1,"priority_id":2,"assigned_to_id":23,"start_date":"2016-08-30","description":"","custom_fields":[{"id":1,"name":"Subdivision","value":"NW"},{"id":4,"name":"Milepost","value":"5.7831"},{"id":17,"name":"Train ID","value":"832-30"},{"id":16,"name":"Locomotive ID","value":"4028"},{"id":130,"name":"Impact","value":""},{"id":150,"name":"Time of Event (Mountain Time)","value":"17:27:08"},{"id":151,"name":"Denver Issue ID","value":""},{"id":178,"name":"Operational Impact","value":"Yes"},{"id":179,"name":"Denver Segment Assigned","value":""}]}} | curl -X POST -H "Content-Type: application/json" -H "X-Redmine-API-Key: d6333d4a04012a730768444271f8ca06482dae87" https://secure.xorail.net/redmine/issues.json --data @-</v>
      </c>
      <c r="AJ192" s="55"/>
      <c r="AK192" s="55"/>
      <c r="AL192" s="55"/>
    </row>
    <row r="193" spans="1:38" x14ac:dyDescent="0.25">
      <c r="A193" s="39" t="s">
        <v>516</v>
      </c>
      <c r="B193" s="7">
        <v>4014</v>
      </c>
      <c r="C193" s="24" t="s">
        <v>113</v>
      </c>
      <c r="D193" s="24" t="s">
        <v>706</v>
      </c>
      <c r="E193" s="15">
        <v>42612.719502314816</v>
      </c>
      <c r="F193" s="15">
        <v>42612.723171296297</v>
      </c>
      <c r="G193" s="7">
        <v>1</v>
      </c>
      <c r="H193" s="15" t="s">
        <v>341</v>
      </c>
      <c r="I193" s="15">
        <v>42612.732372685183</v>
      </c>
      <c r="J193" s="7">
        <v>0</v>
      </c>
      <c r="K193" s="132" t="str">
        <f t="shared" si="51"/>
        <v>4013/4014</v>
      </c>
      <c r="L193" s="24" t="str">
        <f>VLOOKUP(A193,'Trips&amp;Operators'!$C$1:$E$10000,3,FALSE)</f>
        <v>BRUDER</v>
      </c>
      <c r="M193" s="6">
        <f t="shared" si="52"/>
        <v>9.2013888861401938E-3</v>
      </c>
      <c r="N193" s="7">
        <f t="shared" si="68"/>
        <v>13.249999996041879</v>
      </c>
      <c r="O193" s="7"/>
      <c r="P193" s="7"/>
      <c r="Q193" s="25"/>
      <c r="R193" s="25"/>
      <c r="S193" s="37">
        <f t="shared" si="67"/>
        <v>1</v>
      </c>
      <c r="T193" s="52" t="str">
        <f t="shared" si="53"/>
        <v>NorthBound</v>
      </c>
      <c r="U193" s="126">
        <f>IF(AG193="EC",COUNTIFS(Variables!$M$2:$M$19,IF(T193="NorthBound","&gt;=","&lt;=")&amp;Y193,Variables!$M$2:$M$19,IF(T193="NorthBound","&lt;=","&gt;=")&amp;Z193),COUNTIFS(Variables!$P$2:$P$19,IF(T193="NorthBound","&gt;=","&lt;=")&amp;Y193,Variables!$P$2:$P$19,IF(T193="NorthBound","&lt;=","&gt;=")&amp;Z193))</f>
        <v>1</v>
      </c>
      <c r="V193" s="106" t="str">
        <f t="shared" si="54"/>
        <v>https://search-rtdc-monitor-bjffxe2xuh6vdkpspy63sjmuny.us-east-1.es.amazonaws.com/_plugin/kibana/#/discover/Steve-Slow-Train-Analysis-(2080s-and-2083s)?_g=(refreshInterval:(display:Off,section:0,value:0),time:(from:'2016-08-30 16:16:05-0600',mode:absolute,to:'2016-08-30 18:34: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93" s="54" t="str">
        <f t="shared" si="55"/>
        <v>N</v>
      </c>
      <c r="X193" s="120">
        <f t="shared" si="69"/>
        <v>1</v>
      </c>
      <c r="Y193" s="69">
        <f t="shared" si="56"/>
        <v>9.7600000000000006E-2</v>
      </c>
      <c r="Z193" s="69">
        <f t="shared" si="57"/>
        <v>5.8921999999999999</v>
      </c>
      <c r="AA193" s="69">
        <f t="shared" si="58"/>
        <v>5.7946</v>
      </c>
      <c r="AB193" s="66" t="e">
        <f>VLOOKUP(A193,Enforcements!$C$7:$J$21,8,0)</f>
        <v>#N/A</v>
      </c>
      <c r="AC193" s="62" t="e">
        <f>VLOOKUP(A193,Enforcements!$C$7:$E$21,3,0)</f>
        <v>#N/A</v>
      </c>
      <c r="AD193" s="63" t="str">
        <f t="shared" si="59"/>
        <v>0833-30</v>
      </c>
      <c r="AE193"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93" s="96" t="str">
        <f t="shared" si="61"/>
        <v>"C:\Program Files (x86)\AstroGrep\AstroGrep.exe" /spath="%USERPROFILE%\AppData\Local\Temp\OnboardLogs" /stypes="*4014*20160830*" /stext=" 23:.+((SYSTEM_STATE.+slice.+state.+changed )|(ment ac)|(system.+state.+changed )|(\|lc)|(penalty)|(\[timeout)|(PRM\|1\|D)|(kpr)|(kdp))" /e /r /s</v>
      </c>
      <c r="AG193" s="1" t="str">
        <f t="shared" si="62"/>
        <v>NW</v>
      </c>
      <c r="AH193" s="100" t="str">
        <f t="shared" si="63"/>
        <v>"%USERPROFILE%\Documents\GitHub\eaglep3\Utilities\RefineRTDCRunTimes.py" --tripid 833-30 --locoid 4014 --swversion DE.1.0.7.0 --startMP 204:976 --initTime 2016-08-30T17:16:05 --startdatetime 2016-08-30T17:21:22 --delay 1 --endMP 300:58922 --enddatetime 2016-08-30T17:34:37 --enforcementcount 0 &gt;&gt;C:\Users\stu\Documents\GitHub\eaglep3-reporting\EC\2016-08-30-refined-times.txt</v>
      </c>
      <c r="AI193" s="149" t="str">
        <f t="shared" si="64"/>
        <v>echo {"issue":{"subject":"","project_id":79,"tracker_id":40,"status_id":1,"priority_id":2,"assigned_to_id":23,"start_date":"2016-08-30","description":"","custom_fields":[{"id":1,"name":"Subdivision","value":"NW"},{"id":4,"name":"Milepost","value":"5.7946"},{"id":17,"name":"Train ID","value":"833-30"},{"id":16,"name":"Locomotive ID","value":"4014"},{"id":130,"name":"Impact","value":""},{"id":150,"name":"Time of Event (Mountain Time)","value":"17:34:37"},{"id":151,"name":"Denver Issue ID","value":""},{"id":178,"name":"Operational Impact","value":"Yes"},{"id":179,"name":"Denver Segment Assigned","value":""}]}} | curl -X POST -H "Content-Type: application/json" -H "X-Redmine-API-Key: d6333d4a04012a730768444271f8ca06482dae87" https://secure.xorail.net/redmine/issues.json --data @-</v>
      </c>
      <c r="AJ193" s="55"/>
      <c r="AK193" s="55"/>
      <c r="AL193" s="55"/>
    </row>
    <row r="194" spans="1:38" x14ac:dyDescent="0.25">
      <c r="A194" s="39" t="s">
        <v>520</v>
      </c>
      <c r="B194" s="7">
        <v>4013</v>
      </c>
      <c r="C194" s="24" t="s">
        <v>113</v>
      </c>
      <c r="D194" s="24" t="s">
        <v>673</v>
      </c>
      <c r="E194" s="15">
        <v>42612.733807870369</v>
      </c>
      <c r="F194" s="15">
        <v>42612.735081018516</v>
      </c>
      <c r="G194" s="7">
        <v>0</v>
      </c>
      <c r="H194" s="15" t="s">
        <v>707</v>
      </c>
      <c r="I194" s="15">
        <v>42612.747199074074</v>
      </c>
      <c r="J194" s="7">
        <v>0</v>
      </c>
      <c r="K194" s="132" t="str">
        <f t="shared" si="51"/>
        <v>4013/4014</v>
      </c>
      <c r="L194" s="24" t="str">
        <f>VLOOKUP(A194,'Trips&amp;Operators'!$C$1:$E$10000,3,FALSE)</f>
        <v>BRUDER</v>
      </c>
      <c r="M194" s="6">
        <f t="shared" si="52"/>
        <v>1.2118055557948537E-2</v>
      </c>
      <c r="N194" s="7">
        <f t="shared" si="68"/>
        <v>17.450000003445894</v>
      </c>
      <c r="O194" s="7"/>
      <c r="P194" s="7"/>
      <c r="Q194" s="25"/>
      <c r="R194" s="25"/>
      <c r="S194" s="37">
        <f t="shared" si="67"/>
        <v>1</v>
      </c>
      <c r="T194" s="52" t="str">
        <f t="shared" si="53"/>
        <v>Southbound</v>
      </c>
      <c r="U194" s="126">
        <f>IF(AG194="EC",COUNTIFS(Variables!$M$2:$M$19,IF(T194="NorthBound","&gt;=","&lt;=")&amp;Y194,Variables!$M$2:$M$19,IF(T194="NorthBound","&lt;=","&gt;=")&amp;Z194),COUNTIFS(Variables!$P$2:$P$19,IF(T194="NorthBound","&gt;=","&lt;=")&amp;Y194,Variables!$P$2:$P$19,IF(T194="NorthBound","&lt;=","&gt;=")&amp;Z194))</f>
        <v>1</v>
      </c>
      <c r="V194" s="106" t="str">
        <f t="shared" si="54"/>
        <v>https://search-rtdc-monitor-bjffxe2xuh6vdkpspy63sjmuny.us-east-1.es.amazonaws.com/_plugin/kibana/#/discover/Steve-Slow-Train-Analysis-(2080s-and-2083s)?_g=(refreshInterval:(display:Off,section:0,value:0),time:(from:'2016-08-30 16:36:41-0600',mode:absolute,to:'2016-08-30 18:55: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94" s="54" t="str">
        <f t="shared" si="55"/>
        <v>N</v>
      </c>
      <c r="X194" s="120">
        <f t="shared" si="69"/>
        <v>1</v>
      </c>
      <c r="Y194" s="69">
        <f t="shared" si="56"/>
        <v>5.8613</v>
      </c>
      <c r="Z194" s="69">
        <f t="shared" si="57"/>
        <v>6.8400000000000002E-2</v>
      </c>
      <c r="AA194" s="69">
        <f t="shared" si="58"/>
        <v>5.7929000000000004</v>
      </c>
      <c r="AB194" s="66" t="e">
        <f>VLOOKUP(A194,Enforcements!$C$7:$J$21,8,0)</f>
        <v>#N/A</v>
      </c>
      <c r="AC194" s="62" t="e">
        <f>VLOOKUP(A194,Enforcements!$C$7:$E$21,3,0)</f>
        <v>#N/A</v>
      </c>
      <c r="AD194" s="63" t="str">
        <f t="shared" si="59"/>
        <v>0834-30</v>
      </c>
      <c r="AE194"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94" s="96" t="str">
        <f t="shared" si="61"/>
        <v>"C:\Program Files (x86)\AstroGrep\AstroGrep.exe" /spath="%USERPROFILE%\AppData\Local\Temp\OnboardLogs" /stypes="*4013*20160830*" /stext=" 23:.+((SYSTEM_STATE.+slice.+state.+changed )|(ment ac)|(system.+state.+changed )|(\|lc)|(penalty)|(\[timeout)|(PRM\|1\|D)|(kpr)|(kdp))" /e /r /s</v>
      </c>
      <c r="AG194" s="1" t="str">
        <f t="shared" si="62"/>
        <v>NW</v>
      </c>
      <c r="AH194" s="100" t="str">
        <f t="shared" si="63"/>
        <v>"%USERPROFILE%\Documents\GitHub\eaglep3\Utilities\RefineRTDCRunTimes.py" --tripid 834-30 --locoid 4013 --swversion DE.1.0.7.0 --startMP 300:58613 --initTime 2016-08-30T17:36:41 --startdatetime 2016-08-30T17:38:31 --delay 0 --endMP 204:684 --enddatetime 2016-08-30T17:55:58 --enforcementcount 0 &gt;&gt;C:\Users\stu\Documents\GitHub\eaglep3-reporting\EC\2016-08-30-refined-times.txt</v>
      </c>
      <c r="AI194" s="149" t="str">
        <f t="shared" si="64"/>
        <v>echo {"issue":{"subject":"","project_id":79,"tracker_id":40,"status_id":1,"priority_id":2,"assigned_to_id":23,"start_date":"2016-08-30","description":"","custom_fields":[{"id":1,"name":"Subdivision","value":"NW"},{"id":4,"name":"Milepost","value":"5.7929"},{"id":17,"name":"Train ID","value":"834-30"},{"id":16,"name":"Locomotive ID","value":"4013"},{"id":130,"name":"Impact","value":""},{"id":150,"name":"Time of Event (Mountain Time)","value":"17:55:58"},{"id":151,"name":"Denver Issue ID","value":""},{"id":178,"name":"Operational Impact","value":"Yes"},{"id":179,"name":"Denver Segment Assigned","value":""}]}} | curl -X POST -H "Content-Type: application/json" -H "X-Redmine-API-Key: d6333d4a04012a730768444271f8ca06482dae87" https://secure.xorail.net/redmine/issues.json --data @-</v>
      </c>
      <c r="AJ194" s="55"/>
      <c r="AK194" s="55"/>
      <c r="AL194" s="55"/>
    </row>
    <row r="195" spans="1:38" s="23" customFormat="1" x14ac:dyDescent="0.25">
      <c r="A195" s="39" t="s">
        <v>380</v>
      </c>
      <c r="B195" s="7">
        <v>4027</v>
      </c>
      <c r="C195" s="24" t="s">
        <v>113</v>
      </c>
      <c r="D195" s="24" t="s">
        <v>708</v>
      </c>
      <c r="E195" s="15">
        <v>42612.72960648148</v>
      </c>
      <c r="F195" s="15">
        <v>42612.744016203702</v>
      </c>
      <c r="G195" s="7">
        <v>1</v>
      </c>
      <c r="H195" s="15" t="s">
        <v>709</v>
      </c>
      <c r="I195" s="15">
        <v>42612.753923611112</v>
      </c>
      <c r="J195" s="7">
        <v>0</v>
      </c>
      <c r="K195" s="132" t="str">
        <f t="shared" si="51"/>
        <v>4027/4028</v>
      </c>
      <c r="L195" s="24" t="str">
        <f>VLOOKUP(A195,'Trips&amp;Operators'!$C$1:$E$10000,3,FALSE)</f>
        <v>CRAYTON</v>
      </c>
      <c r="M195" s="6">
        <f t="shared" si="52"/>
        <v>9.9074074096279219E-3</v>
      </c>
      <c r="N195" s="7">
        <f t="shared" si="68"/>
        <v>14.266666669864208</v>
      </c>
      <c r="O195" s="7"/>
      <c r="P195" s="7"/>
      <c r="Q195" s="25"/>
      <c r="R195" s="25"/>
      <c r="S195" s="37">
        <f t="shared" si="67"/>
        <v>1</v>
      </c>
      <c r="T195" s="52" t="str">
        <f t="shared" si="53"/>
        <v>NorthBound</v>
      </c>
      <c r="U195" s="126">
        <f>IF(AG195="EC",COUNTIFS(Variables!$M$2:$M$19,IF(T195="NorthBound","&gt;=","&lt;=")&amp;Y195,Variables!$M$2:$M$19,IF(T195="NorthBound","&lt;=","&gt;=")&amp;Z195),COUNTIFS(Variables!$P$2:$P$19,IF(T195="NorthBound","&gt;=","&lt;=")&amp;Y195,Variables!$P$2:$P$19,IF(T195="NorthBound","&lt;=","&gt;=")&amp;Z195))</f>
        <v>1</v>
      </c>
      <c r="V195" s="106" t="str">
        <f t="shared" si="54"/>
        <v>https://search-rtdc-monitor-bjffxe2xuh6vdkpspy63sjmuny.us-east-1.es.amazonaws.com/_plugin/kibana/#/discover/Steve-Slow-Train-Analysis-(2080s-and-2083s)?_g=(refreshInterval:(display:Off,section:0,value:0),time:(from:'2016-08-30 16:30:38-0600',mode:absolute,to:'2016-08-30 19:05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95" s="54" t="str">
        <f t="shared" si="55"/>
        <v>N</v>
      </c>
      <c r="X195" s="120">
        <f t="shared" si="69"/>
        <v>1</v>
      </c>
      <c r="Y195" s="69">
        <f t="shared" si="56"/>
        <v>0.10390000000000001</v>
      </c>
      <c r="Z195" s="69">
        <f t="shared" si="57"/>
        <v>5.8909000000000002</v>
      </c>
      <c r="AA195" s="69">
        <f t="shared" si="58"/>
        <v>5.7869999999999999</v>
      </c>
      <c r="AB195" s="66" t="e">
        <f>VLOOKUP(A195,Enforcements!$C$7:$J$21,8,0)</f>
        <v>#N/A</v>
      </c>
      <c r="AC195" s="62" t="e">
        <f>VLOOKUP(A195,Enforcements!$C$7:$E$21,3,0)</f>
        <v>#N/A</v>
      </c>
      <c r="AD195" s="63" t="str">
        <f t="shared" si="59"/>
        <v>0835-30</v>
      </c>
      <c r="AE195"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95" s="96" t="str">
        <f t="shared" si="61"/>
        <v>"C:\Program Files (x86)\AstroGrep\AstroGrep.exe" /spath="%USERPROFILE%\AppData\Local\Temp\OnboardLogs" /stypes="*4027*20160831*" /stext=" 00:.+((SYSTEM_STATE.+slice.+state.+changed )|(ment ac)|(system.+state.+changed )|(\|lc)|(penalty)|(\[timeout)|(PRM\|1\|D)|(kpr)|(kdp))" /e /r /s</v>
      </c>
      <c r="AG195" s="1" t="str">
        <f t="shared" si="62"/>
        <v>NW</v>
      </c>
      <c r="AH195" s="100" t="str">
        <f t="shared" si="63"/>
        <v>"%USERPROFILE%\Documents\GitHub\eaglep3\Utilities\RefineRTDCRunTimes.py" --tripid 835-30 --locoid 4027 --swversion DE.1.0.7.0 --startMP 204:1039 --initTime 2016-08-30T17:30:38 --startdatetime 2016-08-30T17:51:23 --delay 1 --endMP 300:58909 --enddatetime 2016-08-30T18:05:39 --enforcementcount 0 &gt;&gt;C:\Users\stu\Documents\GitHub\eaglep3-reporting\EC\2016-08-30-refined-times.txt</v>
      </c>
      <c r="AI195" s="149" t="str">
        <f t="shared" si="64"/>
        <v>echo {"issue":{"subject":"","project_id":79,"tracker_id":40,"status_id":1,"priority_id":2,"assigned_to_id":23,"start_date":"2016-08-30","description":"","custom_fields":[{"id":1,"name":"Subdivision","value":"NW"},{"id":4,"name":"Milepost","value":"5.787"},{"id":17,"name":"Train ID","value":"835-30"},{"id":16,"name":"Locomotive ID","value":"4027"},{"id":130,"name":"Impact","value":""},{"id":150,"name":"Time of Event (Mountain Time)","value":"18:05:39"},{"id":151,"name":"Denver Issue ID","value":""},{"id":178,"name":"Operational Impact","value":"Yes"},{"id":179,"name":"Denver Segment Assigned","value":""}]}} | curl -X POST -H "Content-Type: application/json" -H "X-Redmine-API-Key: d6333d4a04012a730768444271f8ca06482dae87" https://secure.xorail.net/redmine/issues.json --data @-</v>
      </c>
      <c r="AJ195" s="55"/>
      <c r="AK195" s="55"/>
      <c r="AL195" s="55"/>
    </row>
    <row r="196" spans="1:38" x14ac:dyDescent="0.25">
      <c r="A196" s="39" t="s">
        <v>523</v>
      </c>
      <c r="B196" s="7">
        <v>4028</v>
      </c>
      <c r="C196" s="24" t="s">
        <v>113</v>
      </c>
      <c r="D196" s="24" t="s">
        <v>704</v>
      </c>
      <c r="E196" s="15">
        <v>42612.755532407406</v>
      </c>
      <c r="F196" s="15">
        <v>42612.757349537038</v>
      </c>
      <c r="G196" s="7">
        <v>1</v>
      </c>
      <c r="H196" s="15" t="s">
        <v>710</v>
      </c>
      <c r="I196" s="15">
        <v>42612.771874999999</v>
      </c>
      <c r="J196" s="7">
        <v>0</v>
      </c>
      <c r="K196" s="132" t="str">
        <f t="shared" si="51"/>
        <v>4027/4028</v>
      </c>
      <c r="L196" s="24" t="str">
        <f>VLOOKUP(A196,'Trips&amp;Operators'!$C$1:$E$10000,3,FALSE)</f>
        <v>CRAYTON</v>
      </c>
      <c r="M196" s="6">
        <f t="shared" si="52"/>
        <v>1.452546296059154E-2</v>
      </c>
      <c r="N196" s="7">
        <f t="shared" si="68"/>
        <v>20.916666663251817</v>
      </c>
      <c r="O196" s="7"/>
      <c r="P196" s="7"/>
      <c r="Q196" s="25"/>
      <c r="R196" s="25"/>
      <c r="S196" s="37">
        <f t="shared" si="67"/>
        <v>1</v>
      </c>
      <c r="T196" s="52" t="str">
        <f t="shared" si="53"/>
        <v>Southbound</v>
      </c>
      <c r="U196" s="126">
        <f>IF(AG196="EC",COUNTIFS(Variables!$M$2:$M$19,IF(T196="NorthBound","&gt;=","&lt;=")&amp;Y196,Variables!$M$2:$M$19,IF(T196="NorthBound","&lt;=","&gt;=")&amp;Z196),COUNTIFS(Variables!$P$2:$P$19,IF(T196="NorthBound","&gt;=","&lt;=")&amp;Y196,Variables!$P$2:$P$19,IF(T196="NorthBound","&lt;=","&gt;=")&amp;Z196))</f>
        <v>1</v>
      </c>
      <c r="V196" s="106" t="str">
        <f t="shared" si="54"/>
        <v>https://search-rtdc-monitor-bjffxe2xuh6vdkpspy63sjmuny.us-east-1.es.amazonaws.com/_plugin/kibana/#/discover/Steve-Slow-Train-Analysis-(2080s-and-2083s)?_g=(refreshInterval:(display:Off,section:0,value:0),time:(from:'2016-08-30 17:07:58-0600',mode:absolute,to:'2016-08-30 19:31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196" s="54" t="str">
        <f t="shared" si="55"/>
        <v>N</v>
      </c>
      <c r="X196" s="120">
        <f t="shared" si="69"/>
        <v>1</v>
      </c>
      <c r="Y196" s="69">
        <f t="shared" si="56"/>
        <v>5.86</v>
      </c>
      <c r="Z196" s="69">
        <f t="shared" si="57"/>
        <v>7.5499999999999998E-2</v>
      </c>
      <c r="AA196" s="69">
        <f t="shared" si="58"/>
        <v>5.7845000000000004</v>
      </c>
      <c r="AB196" s="66" t="e">
        <f>VLOOKUP(A196,Enforcements!$C$7:$J$21,8,0)</f>
        <v>#N/A</v>
      </c>
      <c r="AC196" s="62" t="e">
        <f>VLOOKUP(A196,Enforcements!$C$7:$E$21,3,0)</f>
        <v>#N/A</v>
      </c>
      <c r="AD196" s="63" t="str">
        <f t="shared" si="59"/>
        <v>0836-30</v>
      </c>
      <c r="AE196" s="99" t="str">
        <f t="shared" si="6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196" s="96" t="str">
        <f t="shared" si="61"/>
        <v>"C:\Program Files (x86)\AstroGrep\AstroGrep.exe" /spath="%USERPROFILE%\AppData\Local\Temp\OnboardLogs" /stypes="*4028*20160831*" /stext=" 00:.+((SYSTEM_STATE.+slice.+state.+changed )|(ment ac)|(system.+state.+changed )|(\|lc)|(penalty)|(\[timeout)|(PRM\|1\|D)|(kpr)|(kdp))" /e /r /s</v>
      </c>
      <c r="AG196" s="1" t="str">
        <f t="shared" si="62"/>
        <v>NW</v>
      </c>
      <c r="AH196" s="100" t="str">
        <f t="shared" si="63"/>
        <v>"%USERPROFILE%\Documents\GitHub\eaglep3\Utilities\RefineRTDCRunTimes.py" --tripid 836-30 --locoid 4028 --swversion DE.1.0.7.0 --startMP 300:58600 --initTime 2016-08-30T18:07:58 --startdatetime 2016-08-30T18:10:35 --delay 1 --endMP 204:755 --enddatetime 2016-08-30T18:31:30 --enforcementcount 0 &gt;&gt;C:\Users\stu\Documents\GitHub\eaglep3-reporting\EC\2016-08-30-refined-times.txt</v>
      </c>
      <c r="AI196" s="149" t="str">
        <f t="shared" si="64"/>
        <v>echo {"issue":{"subject":"","project_id":79,"tracker_id":40,"status_id":1,"priority_id":2,"assigned_to_id":23,"start_date":"2016-08-30","description":"","custom_fields":[{"id":1,"name":"Subdivision","value":"NW"},{"id":4,"name":"Milepost","value":"5.7845"},{"id":17,"name":"Train ID","value":"836-30"},{"id":16,"name":"Locomotive ID","value":"4028"},{"id":130,"name":"Impact","value":""},{"id":150,"name":"Time of Event (Mountain Time)","value":"18:31:30"},{"id":151,"name":"Denver Issue ID","value":""},{"id":178,"name":"Operational Impact","value":"Yes"},{"id":179,"name":"Denver Segment Assigned","value":""}]}} | curl -X POST -H "Content-Type: application/json" -H "X-Redmine-API-Key: d6333d4a04012a730768444271f8ca06482dae87" https://secure.xorail.net/redmine/issues.json --data @-</v>
      </c>
      <c r="AJ196" s="55"/>
      <c r="AK196" s="55"/>
      <c r="AL196" s="55"/>
    </row>
    <row r="197" spans="1:38" x14ac:dyDescent="0.25">
      <c r="A197" s="39" t="s">
        <v>527</v>
      </c>
      <c r="B197" s="7">
        <v>4014</v>
      </c>
      <c r="C197" s="24" t="s">
        <v>113</v>
      </c>
      <c r="D197" s="24" t="s">
        <v>289</v>
      </c>
      <c r="E197" s="15">
        <v>42612.759826388887</v>
      </c>
      <c r="F197" s="15">
        <v>42612.764803240738</v>
      </c>
      <c r="G197" s="7">
        <v>1</v>
      </c>
      <c r="H197" s="15" t="s">
        <v>349</v>
      </c>
      <c r="I197" s="15">
        <v>42612.774340277778</v>
      </c>
      <c r="J197" s="7">
        <v>0</v>
      </c>
      <c r="K197" s="132" t="str">
        <f t="shared" si="51"/>
        <v>4013/4014</v>
      </c>
      <c r="L197" s="24" t="str">
        <f>VLOOKUP(A197,'Trips&amp;Operators'!$C$1:$E$10000,3,FALSE)</f>
        <v>BRUDER</v>
      </c>
      <c r="M197" s="6">
        <f t="shared" si="52"/>
        <v>9.5370370399905369E-3</v>
      </c>
      <c r="N197" s="7">
        <f t="shared" si="68"/>
        <v>13.733333337586373</v>
      </c>
      <c r="O197" s="7"/>
      <c r="P197" s="7"/>
      <c r="Q197" s="25"/>
      <c r="R197" s="25"/>
      <c r="S197" s="37">
        <f t="shared" si="67"/>
        <v>1</v>
      </c>
      <c r="T197" s="52" t="str">
        <f t="shared" si="53"/>
        <v>NorthBound</v>
      </c>
      <c r="U197" s="126">
        <f>IF(AG197="EC",COUNTIFS(Variables!$M$2:$M$19,IF(T197="NorthBound","&gt;=","&lt;=")&amp;Y197,Variables!$M$2:$M$19,IF(T197="NorthBound","&lt;=","&gt;=")&amp;Z197),COUNTIFS(Variables!$P$2:$P$19,IF(T197="NorthBound","&gt;=","&lt;=")&amp;Y197,Variables!$P$2:$P$19,IF(T197="NorthBound","&lt;=","&gt;=")&amp;Z197))</f>
        <v>1</v>
      </c>
      <c r="V197" s="106" t="str">
        <f t="shared" si="54"/>
        <v>https://search-rtdc-monitor-bjffxe2xuh6vdkpspy63sjmuny.us-east-1.es.amazonaws.com/_plugin/kibana/#/discover/Steve-Slow-Train-Analysis-(2080s-and-2083s)?_g=(refreshInterval:(display:Off,section:0,value:0),time:(from:'2016-08-30 17:14:09-0600',mode:absolute,to:'2016-08-30 19: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197" s="54" t="str">
        <f t="shared" si="55"/>
        <v>N</v>
      </c>
      <c r="X197" s="120">
        <f t="shared" si="69"/>
        <v>1</v>
      </c>
      <c r="Y197" s="69">
        <f t="shared" si="56"/>
        <v>9.74E-2</v>
      </c>
      <c r="Z197" s="69">
        <f t="shared" si="57"/>
        <v>5.8924000000000003</v>
      </c>
      <c r="AA197" s="69">
        <f t="shared" si="58"/>
        <v>5.7949999999999999</v>
      </c>
      <c r="AB197" s="66" t="e">
        <f>VLOOKUP(A197,Enforcements!$C$7:$J$21,8,0)</f>
        <v>#N/A</v>
      </c>
      <c r="AC197" s="62" t="e">
        <f>VLOOKUP(A197,Enforcements!$C$7:$E$21,3,0)</f>
        <v>#N/A</v>
      </c>
      <c r="AD197" s="63" t="str">
        <f t="shared" si="59"/>
        <v>0837-30</v>
      </c>
      <c r="AE197"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197" s="96" t="str">
        <f t="shared" si="61"/>
        <v>"C:\Program Files (x86)\AstroGrep\AstroGrep.exe" /spath="%USERPROFILE%\AppData\Local\Temp\OnboardLogs" /stypes="*4014*20160831*" /stext=" 00:.+((SYSTEM_STATE.+slice.+state.+changed )|(ment ac)|(system.+state.+changed )|(\|lc)|(penalty)|(\[timeout)|(PRM\|1\|D)|(kpr)|(kdp))" /e /r /s</v>
      </c>
      <c r="AG197" s="1" t="str">
        <f t="shared" si="62"/>
        <v>NW</v>
      </c>
      <c r="AH197" s="100" t="str">
        <f t="shared" si="63"/>
        <v>"%USERPROFILE%\Documents\GitHub\eaglep3\Utilities\RefineRTDCRunTimes.py" --tripid 837-30 --locoid 4014 --swversion DE.1.0.7.0 --startMP 204:974 --initTime 2016-08-30T18:14:09 --startdatetime 2016-08-30T18:21:19 --delay 1 --endMP 300:58924 --enddatetime 2016-08-30T18:35:03 --enforcementcount 0 &gt;&gt;C:\Users\stu\Documents\GitHub\eaglep3-reporting\EC\2016-08-30-refined-times.txt</v>
      </c>
      <c r="AI197" s="149" t="str">
        <f t="shared" si="64"/>
        <v>echo {"issue":{"subject":"","project_id":79,"tracker_id":40,"status_id":1,"priority_id":2,"assigned_to_id":23,"start_date":"2016-08-30","description":"","custom_fields":[{"id":1,"name":"Subdivision","value":"NW"},{"id":4,"name":"Milepost","value":"5.795"},{"id":17,"name":"Train ID","value":"837-30"},{"id":16,"name":"Locomotive ID","value":"4014"},{"id":130,"name":"Impact","value":""},{"id":150,"name":"Time of Event (Mountain Time)","value":"18:35:03"},{"id":151,"name":"Denver Issue ID","value":""},{"id":178,"name":"Operational Impact","value":"Yes"},{"id":179,"name":"Denver Segment Assigned","value":""}]}} | curl -X POST -H "Content-Type: application/json" -H "X-Redmine-API-Key: d6333d4a04012a730768444271f8ca06482dae87" https://secure.xorail.net/redmine/issues.json --data @-</v>
      </c>
      <c r="AJ197" s="55"/>
      <c r="AK197" s="55"/>
      <c r="AL197" s="55"/>
    </row>
    <row r="198" spans="1:38" x14ac:dyDescent="0.25">
      <c r="A198" s="39" t="s">
        <v>532</v>
      </c>
      <c r="B198" s="7">
        <v>4013</v>
      </c>
      <c r="C198" s="24" t="s">
        <v>113</v>
      </c>
      <c r="D198" s="24" t="s">
        <v>287</v>
      </c>
      <c r="E198" s="15">
        <v>42612.775659722225</v>
      </c>
      <c r="F198" s="15">
        <v>42612.777002314811</v>
      </c>
      <c r="G198" s="7">
        <v>1</v>
      </c>
      <c r="H198" s="15" t="s">
        <v>711</v>
      </c>
      <c r="I198" s="15">
        <v>42612.788576388892</v>
      </c>
      <c r="J198" s="7">
        <v>0</v>
      </c>
      <c r="K198" s="132" t="str">
        <f t="shared" si="51"/>
        <v>4013/4014</v>
      </c>
      <c r="L198" s="24" t="str">
        <f>VLOOKUP(A198,'Trips&amp;Operators'!$C$1:$E$10000,3,FALSE)</f>
        <v>BRUDER</v>
      </c>
      <c r="M198" s="6">
        <f t="shared" si="52"/>
        <v>1.1574074080272112E-2</v>
      </c>
      <c r="N198" s="7">
        <f t="shared" si="68"/>
        <v>16.666666675591841</v>
      </c>
      <c r="O198" s="7"/>
      <c r="P198" s="7"/>
      <c r="Q198" s="25"/>
      <c r="R198" s="25"/>
      <c r="S198" s="37">
        <f t="shared" ref="S198:S225" si="70">SUM(U198:U198)/IF(AG198="EC",12,1)</f>
        <v>1</v>
      </c>
      <c r="T198" s="52" t="str">
        <f t="shared" si="53"/>
        <v>Southbound</v>
      </c>
      <c r="U198" s="126">
        <f>IF(AG198="EC",COUNTIFS(Variables!$M$2:$M$19,IF(T198="NorthBound","&gt;=","&lt;=")&amp;Y198,Variables!$M$2:$M$19,IF(T198="NorthBound","&lt;=","&gt;=")&amp;Z198),COUNTIFS(Variables!$P$2:$P$19,IF(T198="NorthBound","&gt;=","&lt;=")&amp;Y198,Variables!$P$2:$P$19,IF(T198="NorthBound","&lt;=","&gt;=")&amp;Z198))</f>
        <v>1</v>
      </c>
      <c r="V198" s="106" t="str">
        <f t="shared" si="54"/>
        <v>https://search-rtdc-monitor-bjffxe2xuh6vdkpspy63sjmuny.us-east-1.es.amazonaws.com/_plugin/kibana/#/discover/Steve-Slow-Train-Analysis-(2080s-and-2083s)?_g=(refreshInterval:(display:Off,section:0,value:0),time:(from:'2016-08-30 17:36:57-0600',mode:absolute,to:'2016-08-30 19:55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198" s="54" t="str">
        <f t="shared" si="55"/>
        <v>N</v>
      </c>
      <c r="X198" s="120">
        <f t="shared" si="69"/>
        <v>1</v>
      </c>
      <c r="Y198" s="69">
        <f t="shared" si="56"/>
        <v>5.8605999999999998</v>
      </c>
      <c r="Z198" s="69">
        <f t="shared" si="57"/>
        <v>6.9400000000000003E-2</v>
      </c>
      <c r="AA198" s="69">
        <f t="shared" si="58"/>
        <v>5.7911999999999999</v>
      </c>
      <c r="AB198" s="66" t="e">
        <f>VLOOKUP(A198,Enforcements!$C$7:$J$21,8,0)</f>
        <v>#N/A</v>
      </c>
      <c r="AC198" s="62" t="e">
        <f>VLOOKUP(A198,Enforcements!$C$7:$E$21,3,0)</f>
        <v>#N/A</v>
      </c>
      <c r="AD198" s="63" t="str">
        <f t="shared" si="59"/>
        <v>0838-30</v>
      </c>
      <c r="AE198"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198" s="96" t="str">
        <f t="shared" si="61"/>
        <v>"C:\Program Files (x86)\AstroGrep\AstroGrep.exe" /spath="%USERPROFILE%\AppData\Local\Temp\OnboardLogs" /stypes="*4013*20160831*" /stext=" 00:.+((SYSTEM_STATE.+slice.+state.+changed )|(ment ac)|(system.+state.+changed )|(\|lc)|(penalty)|(\[timeout)|(PRM\|1\|D)|(kpr)|(kdp))" /e /r /s</v>
      </c>
      <c r="AG198" s="1" t="str">
        <f t="shared" si="62"/>
        <v>NW</v>
      </c>
      <c r="AH198" s="100" t="str">
        <f t="shared" si="63"/>
        <v>"%USERPROFILE%\Documents\GitHub\eaglep3\Utilities\RefineRTDCRunTimes.py" --tripid 838-30 --locoid 4013 --swversion DE.1.0.7.0 --startMP 300:58606 --initTime 2016-08-30T18:36:57 --startdatetime 2016-08-30T18:38:53 --delay 1 --endMP 204:694 --enddatetime 2016-08-30T18:55:33 --enforcementcount 0 &gt;&gt;C:\Users\stu\Documents\GitHub\eaglep3-reporting\EC\2016-08-30-refined-times.txt</v>
      </c>
      <c r="AI198" s="149" t="str">
        <f t="shared" si="64"/>
        <v>echo {"issue":{"subject":"","project_id":79,"tracker_id":40,"status_id":1,"priority_id":2,"assigned_to_id":23,"start_date":"2016-08-30","description":"","custom_fields":[{"id":1,"name":"Subdivision","value":"NW"},{"id":4,"name":"Milepost","value":"5.7912"},{"id":17,"name":"Train ID","value":"838-30"},{"id":16,"name":"Locomotive ID","value":"4013"},{"id":130,"name":"Impact","value":""},{"id":150,"name":"Time of Event (Mountain Time)","value":"18:55:33"},{"id":151,"name":"Denver Issue ID","value":""},{"id":178,"name":"Operational Impact","value":"Yes"},{"id":179,"name":"Denver Segment Assigned","value":""}]}} | curl -X POST -H "Content-Type: application/json" -H "X-Redmine-API-Key: d6333d4a04012a730768444271f8ca06482dae87" https://secure.xorail.net/redmine/issues.json --data @-</v>
      </c>
      <c r="AJ198" s="55"/>
      <c r="AK198" s="55"/>
      <c r="AL198" s="55"/>
    </row>
    <row r="199" spans="1:38" x14ac:dyDescent="0.25">
      <c r="A199" s="39" t="s">
        <v>531</v>
      </c>
      <c r="B199" s="7">
        <v>4027</v>
      </c>
      <c r="C199" s="24" t="s">
        <v>113</v>
      </c>
      <c r="D199" s="24" t="s">
        <v>712</v>
      </c>
      <c r="E199" s="15">
        <v>42612.774155092593</v>
      </c>
      <c r="F199" s="15">
        <v>42612.785624999997</v>
      </c>
      <c r="G199" s="7">
        <v>1</v>
      </c>
      <c r="H199" s="15" t="s">
        <v>713</v>
      </c>
      <c r="I199" s="15">
        <v>42612.795682870368</v>
      </c>
      <c r="J199" s="7">
        <v>0</v>
      </c>
      <c r="K199" s="132" t="str">
        <f t="shared" si="51"/>
        <v>4027/4028</v>
      </c>
      <c r="L199" s="24" t="str">
        <f>VLOOKUP(A199,'Trips&amp;Operators'!$C$1:$E$10000,3,FALSE)</f>
        <v>CRAYTON</v>
      </c>
      <c r="M199" s="6">
        <f t="shared" si="52"/>
        <v>1.0057870371383615E-2</v>
      </c>
      <c r="N199" s="7">
        <f t="shared" si="68"/>
        <v>14.483333334792405</v>
      </c>
      <c r="O199" s="7"/>
      <c r="P199" s="7"/>
      <c r="Q199" s="25"/>
      <c r="R199" s="25"/>
      <c r="S199" s="37">
        <f t="shared" si="70"/>
        <v>1</v>
      </c>
      <c r="T199" s="52" t="str">
        <f t="shared" si="53"/>
        <v>NorthBound</v>
      </c>
      <c r="U199" s="126">
        <f>IF(AG199="EC",COUNTIFS(Variables!$M$2:$M$19,IF(T199="NorthBound","&gt;=","&lt;=")&amp;Y199,Variables!$M$2:$M$19,IF(T199="NorthBound","&lt;=","&gt;=")&amp;Z199),COUNTIFS(Variables!$P$2:$P$19,IF(T199="NorthBound","&gt;=","&lt;=")&amp;Y199,Variables!$P$2:$P$19,IF(T199="NorthBound","&lt;=","&gt;=")&amp;Z199))</f>
        <v>1</v>
      </c>
      <c r="V199" s="106" t="str">
        <f t="shared" si="54"/>
        <v>https://search-rtdc-monitor-bjffxe2xuh6vdkpspy63sjmuny.us-east-1.es.amazonaws.com/_plugin/kibana/#/discover/Steve-Slow-Train-Analysis-(2080s-and-2083s)?_g=(refreshInterval:(display:Off,section:0,value:0),time:(from:'2016-08-30 17:34:47-0600',mode:absolute,to:'2016-08-30 20:05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W199" s="54" t="str">
        <f t="shared" si="55"/>
        <v>N</v>
      </c>
      <c r="X199" s="120">
        <f t="shared" si="69"/>
        <v>1</v>
      </c>
      <c r="Y199" s="69">
        <f t="shared" si="56"/>
        <v>0.1027</v>
      </c>
      <c r="Z199" s="69">
        <f t="shared" si="57"/>
        <v>5.8964999999999996</v>
      </c>
      <c r="AA199" s="69">
        <f t="shared" si="58"/>
        <v>5.7938000000000001</v>
      </c>
      <c r="AB199" s="66" t="e">
        <f>VLOOKUP(A199,Enforcements!$C$7:$J$21,8,0)</f>
        <v>#N/A</v>
      </c>
      <c r="AC199" s="62" t="e">
        <f>VLOOKUP(A199,Enforcements!$C$7:$E$21,3,0)</f>
        <v>#N/A</v>
      </c>
      <c r="AD199" s="63" t="str">
        <f t="shared" si="59"/>
        <v>0839-30</v>
      </c>
      <c r="AE199" s="99" t="str">
        <f t="shared" si="60"/>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AF199" s="96" t="str">
        <f t="shared" si="61"/>
        <v>"C:\Program Files (x86)\AstroGrep\AstroGrep.exe" /spath="%USERPROFILE%\AppData\Local\Temp\OnboardLogs" /stypes="*4027*20160831*" /stext=" 01:.+((SYSTEM_STATE.+slice.+state.+changed )|(ment ac)|(system.+state.+changed )|(\|lc)|(penalty)|(\[timeout)|(PRM\|1\|D)|(kpr)|(kdp))" /e /r /s</v>
      </c>
      <c r="AG199" s="1" t="str">
        <f t="shared" si="62"/>
        <v>NW</v>
      </c>
      <c r="AH199" s="100" t="str">
        <f t="shared" si="63"/>
        <v>"%USERPROFILE%\Documents\GitHub\eaglep3\Utilities\RefineRTDCRunTimes.py" --tripid 839-30 --locoid 4027 --swversion DE.1.0.7.0 --startMP 204:1027 --initTime 2016-08-30T18:34:47 --startdatetime 2016-08-30T18:51:18 --delay 1 --endMP 300:58965 --enddatetime 2016-08-30T19:05:47 --enforcementcount 0 &gt;&gt;C:\Users\stu\Documents\GitHub\eaglep3-reporting\EC\2016-08-30-refined-times.txt</v>
      </c>
      <c r="AI199" s="149" t="str">
        <f t="shared" si="64"/>
        <v>echo {"issue":{"subject":"","project_id":79,"tracker_id":40,"status_id":1,"priority_id":2,"assigned_to_id":23,"start_date":"2016-08-30","description":"","custom_fields":[{"id":1,"name":"Subdivision","value":"NW"},{"id":4,"name":"Milepost","value":"5.7938"},{"id":17,"name":"Train ID","value":"839-30"},{"id":16,"name":"Locomotive ID","value":"4027"},{"id":130,"name":"Impact","value":""},{"id":150,"name":"Time of Event (Mountain Time)","value":"19:05:47"},{"id":151,"name":"Denver Issue ID","value":""},{"id":178,"name":"Operational Impact","value":"Yes"},{"id":179,"name":"Denver Segment Assigned","value":""}]}} | curl -X POST -H "Content-Type: application/json" -H "X-Redmine-API-Key: d6333d4a04012a730768444271f8ca06482dae87" https://secure.xorail.net/redmine/issues.json --data @-</v>
      </c>
      <c r="AJ199" s="55"/>
      <c r="AK199" s="55"/>
      <c r="AL199" s="55"/>
    </row>
    <row r="200" spans="1:38" x14ac:dyDescent="0.25">
      <c r="A200" s="39" t="s">
        <v>541</v>
      </c>
      <c r="B200" s="7">
        <v>4013</v>
      </c>
      <c r="C200" s="24" t="s">
        <v>113</v>
      </c>
      <c r="D200" s="24" t="s">
        <v>673</v>
      </c>
      <c r="E200" s="15">
        <v>42612.817824074074</v>
      </c>
      <c r="F200" s="15">
        <v>42612.819710648146</v>
      </c>
      <c r="G200" s="7">
        <v>1</v>
      </c>
      <c r="H200" s="15" t="s">
        <v>714</v>
      </c>
      <c r="I200" s="15">
        <v>42612.831307870372</v>
      </c>
      <c r="J200" s="7">
        <v>0</v>
      </c>
      <c r="K200" s="132" t="str">
        <f t="shared" si="51"/>
        <v>4013/4014</v>
      </c>
      <c r="L200" s="24" t="str">
        <f>VLOOKUP(A200,'Trips&amp;Operators'!$C$1:$E$10000,3,FALSE)</f>
        <v>BRUDER</v>
      </c>
      <c r="M200" s="6">
        <f t="shared" si="52"/>
        <v>1.1597222226555459E-2</v>
      </c>
      <c r="N200" s="7">
        <f t="shared" si="68"/>
        <v>16.700000006239861</v>
      </c>
      <c r="O200" s="7"/>
      <c r="P200" s="7"/>
      <c r="Q200" s="25"/>
      <c r="R200" s="25"/>
      <c r="S200" s="37">
        <f t="shared" si="70"/>
        <v>1</v>
      </c>
      <c r="T200" s="52" t="str">
        <f t="shared" si="53"/>
        <v>Southbound</v>
      </c>
      <c r="U200" s="126">
        <f>IF(AG200="EC",COUNTIFS(Variables!$M$2:$M$19,IF(T200="NorthBound","&gt;=","&lt;=")&amp;Y200,Variables!$M$2:$M$19,IF(T200="NorthBound","&lt;=","&gt;=")&amp;Z200),COUNTIFS(Variables!$P$2:$P$19,IF(T200="NorthBound","&gt;=","&lt;=")&amp;Y200,Variables!$P$2:$P$19,IF(T200="NorthBound","&lt;=","&gt;=")&amp;Z200))</f>
        <v>1</v>
      </c>
      <c r="V200" s="106" t="str">
        <f t="shared" si="54"/>
        <v>https://search-rtdc-monitor-bjffxe2xuh6vdkpspy63sjmuny.us-east-1.es.amazonaws.com/_plugin/kibana/#/discover/Steve-Slow-Train-Analysis-(2080s-and-2083s)?_g=(refreshInterval:(display:Off,section:0,value:0),time:(from:'2016-08-30 18:37:40-0600',mode:absolute,to:'2016-08-30 20:57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200" s="54" t="str">
        <f t="shared" si="55"/>
        <v>N</v>
      </c>
      <c r="X200" s="120">
        <f t="shared" si="69"/>
        <v>1</v>
      </c>
      <c r="Y200" s="69">
        <f t="shared" si="56"/>
        <v>5.8613</v>
      </c>
      <c r="Z200" s="69">
        <f t="shared" si="57"/>
        <v>6.8000000000000005E-2</v>
      </c>
      <c r="AA200" s="69">
        <f t="shared" si="58"/>
        <v>5.7933000000000003</v>
      </c>
      <c r="AB200" s="66" t="e">
        <f>VLOOKUP(A200,Enforcements!$C$7:$J$21,8,0)</f>
        <v>#N/A</v>
      </c>
      <c r="AC200" s="62" t="e">
        <f>VLOOKUP(A200,Enforcements!$C$7:$E$21,3,0)</f>
        <v>#N/A</v>
      </c>
      <c r="AD200" s="63" t="str">
        <f t="shared" si="59"/>
        <v>0840-30</v>
      </c>
      <c r="AE200"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200" s="96" t="str">
        <f t="shared" si="61"/>
        <v>"C:\Program Files (x86)\AstroGrep\AstroGrep.exe" /spath="%USERPROFILE%\AppData\Local\Temp\OnboardLogs" /stypes="*4013*20160831*" /stext=" 01:.+((SYSTEM_STATE.+slice.+state.+changed )|(ment ac)|(system.+state.+changed )|(\|lc)|(penalty)|(\[timeout)|(PRM\|1\|D)|(kpr)|(kdp))" /e /r /s</v>
      </c>
      <c r="AG200" s="1" t="str">
        <f t="shared" si="62"/>
        <v>NW</v>
      </c>
      <c r="AH200" s="100" t="str">
        <f t="shared" si="63"/>
        <v>"%USERPROFILE%\Documents\GitHub\eaglep3\Utilities\RefineRTDCRunTimes.py" --tripid 840-30 --locoid 4013 --swversion DE.1.0.7.0 --startMP 300:58613 --initTime 2016-08-30T19:37:40 --startdatetime 2016-08-30T19:40:23 --delay 1 --endMP 204:680 --enddatetime 2016-08-30T19:57:05 --enforcementcount 0 &gt;&gt;C:\Users\stu\Documents\GitHub\eaglep3-reporting\EC\2016-08-30-refined-times.txt</v>
      </c>
      <c r="AI200" s="149" t="str">
        <f t="shared" si="64"/>
        <v>echo {"issue":{"subject":"","project_id":79,"tracker_id":40,"status_id":1,"priority_id":2,"assigned_to_id":23,"start_date":"2016-08-30","description":"","custom_fields":[{"id":1,"name":"Subdivision","value":"NW"},{"id":4,"name":"Milepost","value":"5.7933"},{"id":17,"name":"Train ID","value":"840-30"},{"id":16,"name":"Locomotive ID","value":"4013"},{"id":130,"name":"Impact","value":""},{"id":150,"name":"Time of Event (Mountain Time)","value":"19:57:05"},{"id":151,"name":"Denver Issue ID","value":""},{"id":178,"name":"Operational Impact","value":"Yes"},{"id":179,"name":"Denver Segment Assigned","value":""}]}} | curl -X POST -H "Content-Type: application/json" -H "X-Redmine-API-Key: d6333d4a04012a730768444271f8ca06482dae87" https://secure.xorail.net/redmine/issues.json --data @-</v>
      </c>
      <c r="AJ200" s="55"/>
      <c r="AK200" s="55"/>
      <c r="AL200" s="55"/>
    </row>
    <row r="201" spans="1:38" x14ac:dyDescent="0.25">
      <c r="A201" s="39" t="s">
        <v>538</v>
      </c>
      <c r="B201" s="7">
        <v>4014</v>
      </c>
      <c r="C201" s="24" t="s">
        <v>113</v>
      </c>
      <c r="D201" s="24" t="s">
        <v>701</v>
      </c>
      <c r="E201" s="15">
        <v>42612.801944444444</v>
      </c>
      <c r="F201" s="15">
        <v>42612.806481481479</v>
      </c>
      <c r="G201" s="7">
        <v>1</v>
      </c>
      <c r="H201" s="15" t="s">
        <v>344</v>
      </c>
      <c r="I201" s="15">
        <v>42612.816099537034</v>
      </c>
      <c r="J201" s="7">
        <v>0</v>
      </c>
      <c r="K201" s="132" t="str">
        <f t="shared" si="51"/>
        <v>4013/4014</v>
      </c>
      <c r="L201" s="24" t="str">
        <f>VLOOKUP(A201,'Trips&amp;Operators'!$C$1:$E$10000,3,FALSE)</f>
        <v>BRUDER</v>
      </c>
      <c r="M201" s="6">
        <f t="shared" si="52"/>
        <v>9.6180555556202307E-3</v>
      </c>
      <c r="N201" s="7">
        <f t="shared" si="68"/>
        <v>13.850000000093132</v>
      </c>
      <c r="O201" s="7"/>
      <c r="P201" s="7"/>
      <c r="Q201" s="25"/>
      <c r="R201" s="25"/>
      <c r="S201" s="37">
        <f t="shared" si="70"/>
        <v>1</v>
      </c>
      <c r="T201" s="52" t="str">
        <f t="shared" si="53"/>
        <v>NorthBound</v>
      </c>
      <c r="U201" s="126">
        <f>IF(AG201="EC",COUNTIFS(Variables!$M$2:$M$19,IF(T201="NorthBound","&gt;=","&lt;=")&amp;Y201,Variables!$M$2:$M$19,IF(T201="NorthBound","&lt;=","&gt;=")&amp;Z201),COUNTIFS(Variables!$P$2:$P$19,IF(T201="NorthBound","&gt;=","&lt;=")&amp;Y201,Variables!$P$2:$P$19,IF(T201="NorthBound","&lt;=","&gt;=")&amp;Z201))</f>
        <v>1</v>
      </c>
      <c r="V201" s="106" t="str">
        <f t="shared" si="54"/>
        <v>https://search-rtdc-monitor-bjffxe2xuh6vdkpspy63sjmuny.us-east-1.es.amazonaws.com/_plugin/kibana/#/discover/Steve-Slow-Train-Analysis-(2080s-and-2083s)?_g=(refreshInterval:(display:Off,section:0,value:0),time:(from:'2016-08-30 18:14:48-0600',mode:absolute,to:'2016-08-30 20: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201" s="54" t="str">
        <f t="shared" si="55"/>
        <v>N</v>
      </c>
      <c r="X201" s="120">
        <f t="shared" si="69"/>
        <v>1</v>
      </c>
      <c r="Y201" s="69">
        <f t="shared" si="56"/>
        <v>9.7199999999999995E-2</v>
      </c>
      <c r="Z201" s="69">
        <f t="shared" si="57"/>
        <v>5.8925999999999998</v>
      </c>
      <c r="AA201" s="69">
        <f t="shared" si="58"/>
        <v>5.7953999999999999</v>
      </c>
      <c r="AB201" s="66" t="e">
        <f>VLOOKUP(A201,Enforcements!$C$7:$J$21,8,0)</f>
        <v>#N/A</v>
      </c>
      <c r="AC201" s="62" t="e">
        <f>VLOOKUP(A201,Enforcements!$C$7:$E$21,3,0)</f>
        <v>#N/A</v>
      </c>
      <c r="AD201" s="63" t="str">
        <f t="shared" si="59"/>
        <v>0841-30</v>
      </c>
      <c r="AE201"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201" s="96" t="str">
        <f t="shared" si="61"/>
        <v>"C:\Program Files (x86)\AstroGrep\AstroGrep.exe" /spath="%USERPROFILE%\AppData\Local\Temp\OnboardLogs" /stypes="*4014*20160831*" /stext=" 01:.+((SYSTEM_STATE.+slice.+state.+changed )|(ment ac)|(system.+state.+changed )|(\|lc)|(penalty)|(\[timeout)|(PRM\|1\|D)|(kpr)|(kdp))" /e /r /s</v>
      </c>
      <c r="AG201" s="1" t="str">
        <f t="shared" si="62"/>
        <v>NW</v>
      </c>
      <c r="AH201" s="100" t="str">
        <f t="shared" si="63"/>
        <v>"%USERPROFILE%\Documents\GitHub\eaglep3\Utilities\RefineRTDCRunTimes.py" --tripid 841-30 --locoid 4014 --swversion DE.1.0.7.0 --startMP 204:972 --initTime 2016-08-30T19:14:48 --startdatetime 2016-08-30T19:21:20 --delay 1 --endMP 300:58926 --enddatetime 2016-08-30T19:35:11 --enforcementcount 0 &gt;&gt;C:\Users\stu\Documents\GitHub\eaglep3-reporting\EC\2016-08-30-refined-times.txt</v>
      </c>
      <c r="AI201" s="149" t="str">
        <f t="shared" si="64"/>
        <v>echo {"issue":{"subject":"","project_id":79,"tracker_id":40,"status_id":1,"priority_id":2,"assigned_to_id":23,"start_date":"2016-08-30","description":"","custom_fields":[{"id":1,"name":"Subdivision","value":"NW"},{"id":4,"name":"Milepost","value":"5.7954"},{"id":17,"name":"Train ID","value":"841-30"},{"id":16,"name":"Locomotive ID","value":"4014"},{"id":130,"name":"Impact","value":""},{"id":150,"name":"Time of Event (Mountain Time)","value":"19:35:11"},{"id":151,"name":"Denver Issue ID","value":""},{"id":178,"name":"Operational Impact","value":"Yes"},{"id":179,"name":"Denver Segment Assigned","value":""}]}} | curl -X POST -H "Content-Type: application/json" -H "X-Redmine-API-Key: d6333d4a04012a730768444271f8ca06482dae87" https://secure.xorail.net/redmine/issues.json --data @-</v>
      </c>
      <c r="AJ201" s="55"/>
      <c r="AK201" s="55"/>
      <c r="AL201" s="55"/>
    </row>
    <row r="202" spans="1:38" x14ac:dyDescent="0.25">
      <c r="A202" s="39" t="s">
        <v>547</v>
      </c>
      <c r="B202" s="7">
        <v>4013</v>
      </c>
      <c r="C202" s="24" t="s">
        <v>113</v>
      </c>
      <c r="D202" s="24" t="s">
        <v>715</v>
      </c>
      <c r="E202" s="15">
        <v>42612.858796296299</v>
      </c>
      <c r="F202" s="15">
        <v>42612.860393518517</v>
      </c>
      <c r="G202" s="7">
        <v>1</v>
      </c>
      <c r="H202" s="15" t="s">
        <v>714</v>
      </c>
      <c r="I202" s="15">
        <v>42612.871504629627</v>
      </c>
      <c r="J202" s="7">
        <v>0</v>
      </c>
      <c r="K202" s="132" t="str">
        <f t="shared" si="51"/>
        <v>4013/4014</v>
      </c>
      <c r="L202" s="24" t="str">
        <f>VLOOKUP(A202,'Trips&amp;Operators'!$C$1:$E$10000,3,FALSE)</f>
        <v>BRUDER</v>
      </c>
      <c r="M202" s="6">
        <f t="shared" si="52"/>
        <v>1.1111111110949423E-2</v>
      </c>
      <c r="N202" s="7">
        <f t="shared" si="68"/>
        <v>15.999999999767169</v>
      </c>
      <c r="O202" s="7"/>
      <c r="P202" s="7"/>
      <c r="Q202" s="25"/>
      <c r="R202" s="25"/>
      <c r="S202" s="37">
        <f t="shared" si="70"/>
        <v>1</v>
      </c>
      <c r="T202" s="52" t="str">
        <f t="shared" si="53"/>
        <v>Southbound</v>
      </c>
      <c r="U202" s="126">
        <f>IF(AG202="EC",COUNTIFS(Variables!$M$2:$M$19,IF(T202="NorthBound","&gt;=","&lt;=")&amp;Y202,Variables!$M$2:$M$19,IF(T202="NorthBound","&lt;=","&gt;=")&amp;Z202),COUNTIFS(Variables!$P$2:$P$19,IF(T202="NorthBound","&gt;=","&lt;=")&amp;Y202,Variables!$P$2:$P$19,IF(T202="NorthBound","&lt;=","&gt;=")&amp;Z202))</f>
        <v>1</v>
      </c>
      <c r="V202" s="106" t="str">
        <f t="shared" si="54"/>
        <v>https://search-rtdc-monitor-bjffxe2xuh6vdkpspy63sjmuny.us-east-1.es.amazonaws.com/_plugin/kibana/#/discover/Steve-Slow-Train-Analysis-(2080s-and-2083s)?_g=(refreshInterval:(display:Off,section:0,value:0),time:(from:'2016-08-30 19:36:40-0600',mode:absolute,to:'2016-08-30 21:54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202" s="54" t="str">
        <f t="shared" si="55"/>
        <v>N</v>
      </c>
      <c r="X202" s="120">
        <f t="shared" si="69"/>
        <v>1</v>
      </c>
      <c r="Y202" s="69">
        <f t="shared" si="56"/>
        <v>5.8620999999999999</v>
      </c>
      <c r="Z202" s="69">
        <f t="shared" si="57"/>
        <v>6.8000000000000005E-2</v>
      </c>
      <c r="AA202" s="69">
        <f t="shared" si="58"/>
        <v>5.7941000000000003</v>
      </c>
      <c r="AB202" s="66" t="e">
        <f>VLOOKUP(A202,Enforcements!$C$7:$J$21,8,0)</f>
        <v>#N/A</v>
      </c>
      <c r="AC202" s="62" t="e">
        <f>VLOOKUP(A202,Enforcements!$C$7:$E$21,3,0)</f>
        <v>#N/A</v>
      </c>
      <c r="AD202" s="63" t="str">
        <f t="shared" si="59"/>
        <v>0842-30</v>
      </c>
      <c r="AE202"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202" s="96" t="str">
        <f t="shared" si="61"/>
        <v>"C:\Program Files (x86)\AstroGrep\AstroGrep.exe" /spath="%USERPROFILE%\AppData\Local\Temp\OnboardLogs" /stypes="*4013*20160831*" /stext=" 02:.+((SYSTEM_STATE.+slice.+state.+changed )|(ment ac)|(system.+state.+changed )|(\|lc)|(penalty)|(\[timeout)|(PRM\|1\|D)|(kpr)|(kdp))" /e /r /s</v>
      </c>
      <c r="AG202" s="1" t="str">
        <f t="shared" si="62"/>
        <v>NW</v>
      </c>
      <c r="AH202" s="100" t="str">
        <f t="shared" si="63"/>
        <v>"%USERPROFILE%\Documents\GitHub\eaglep3\Utilities\RefineRTDCRunTimes.py" --tripid 842-30 --locoid 4013 --swversion DE.1.0.7.0 --startMP 300:58621 --initTime 2016-08-30T20:36:40 --startdatetime 2016-08-30T20:38:58 --delay 1 --endMP 204:680 --enddatetime 2016-08-30T20:54:58 --enforcementcount 0 &gt;&gt;C:\Users\stu\Documents\GitHub\eaglep3-reporting\EC\2016-08-30-refined-times.txt</v>
      </c>
      <c r="AI202" s="149" t="str">
        <f t="shared" si="64"/>
        <v>echo {"issue":{"subject":"","project_id":79,"tracker_id":40,"status_id":1,"priority_id":2,"assigned_to_id":23,"start_date":"2016-08-30","description":"","custom_fields":[{"id":1,"name":"Subdivision","value":"NW"},{"id":4,"name":"Milepost","value":"5.7941"},{"id":17,"name":"Train ID","value":"842-30"},{"id":16,"name":"Locomotive ID","value":"4013"},{"id":130,"name":"Impact","value":""},{"id":150,"name":"Time of Event (Mountain Time)","value":"20:54:58"},{"id":151,"name":"Denver Issue ID","value":""},{"id":178,"name":"Operational Impact","value":"Yes"},{"id":179,"name":"Denver Segment Assigned","value":""}]}} | curl -X POST -H "Content-Type: application/json" -H "X-Redmine-API-Key: d6333d4a04012a730768444271f8ca06482dae87" https://secure.xorail.net/redmine/issues.json --data @-</v>
      </c>
      <c r="AJ202" s="55"/>
      <c r="AK202" s="55"/>
      <c r="AL202" s="55"/>
    </row>
    <row r="203" spans="1:38" x14ac:dyDescent="0.25">
      <c r="A203" s="39" t="s">
        <v>544</v>
      </c>
      <c r="B203" s="7">
        <v>4014</v>
      </c>
      <c r="C203" s="24" t="s">
        <v>113</v>
      </c>
      <c r="D203" s="24" t="s">
        <v>701</v>
      </c>
      <c r="E203" s="15">
        <v>42612.843449074076</v>
      </c>
      <c r="F203" s="15">
        <v>42612.848124999997</v>
      </c>
      <c r="G203" s="7">
        <v>1</v>
      </c>
      <c r="H203" s="15" t="s">
        <v>716</v>
      </c>
      <c r="I203" s="15">
        <v>42612.857407407406</v>
      </c>
      <c r="J203" s="7">
        <v>0</v>
      </c>
      <c r="K203" s="132" t="str">
        <f t="shared" si="51"/>
        <v>4013/4014</v>
      </c>
      <c r="L203" s="24" t="str">
        <f>VLOOKUP(A203,'Trips&amp;Operators'!$C$1:$E$10000,3,FALSE)</f>
        <v>BRUDER</v>
      </c>
      <c r="M203" s="6">
        <f t="shared" si="52"/>
        <v>9.2824074090458453E-3</v>
      </c>
      <c r="N203" s="7">
        <f t="shared" si="68"/>
        <v>13.366666669026017</v>
      </c>
      <c r="O203" s="7"/>
      <c r="P203" s="7"/>
      <c r="Q203" s="25"/>
      <c r="R203" s="25"/>
      <c r="S203" s="37">
        <f t="shared" si="70"/>
        <v>1</v>
      </c>
      <c r="T203" s="52" t="str">
        <f t="shared" si="53"/>
        <v>NorthBound</v>
      </c>
      <c r="U203" s="126">
        <f>IF(AG203="EC",COUNTIFS(Variables!$M$2:$M$19,IF(T203="NorthBound","&gt;=","&lt;=")&amp;Y203,Variables!$M$2:$M$19,IF(T203="NorthBound","&lt;=","&gt;=")&amp;Z203),COUNTIFS(Variables!$P$2:$P$19,IF(T203="NorthBound","&gt;=","&lt;=")&amp;Y203,Variables!$P$2:$P$19,IF(T203="NorthBound","&lt;=","&gt;=")&amp;Z203))</f>
        <v>1</v>
      </c>
      <c r="V203" s="106" t="str">
        <f t="shared" si="54"/>
        <v>https://search-rtdc-monitor-bjffxe2xuh6vdkpspy63sjmuny.us-east-1.es.amazonaws.com/_plugin/kibana/#/discover/Steve-Slow-Train-Analysis-(2080s-and-2083s)?_g=(refreshInterval:(display:Off,section:0,value:0),time:(from:'2016-08-30 19:14:34-0600',mode:absolute,to:'2016-08-30 21:34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203" s="54" t="str">
        <f t="shared" si="55"/>
        <v>N</v>
      </c>
      <c r="X203" s="120">
        <f t="shared" si="69"/>
        <v>1</v>
      </c>
      <c r="Y203" s="69">
        <f t="shared" si="56"/>
        <v>9.7199999999999995E-2</v>
      </c>
      <c r="Z203" s="69">
        <f t="shared" si="57"/>
        <v>5.8936999999999999</v>
      </c>
      <c r="AA203" s="69">
        <f t="shared" si="58"/>
        <v>5.7965</v>
      </c>
      <c r="AB203" s="66" t="e">
        <f>VLOOKUP(A203,Enforcements!$C$7:$J$21,8,0)</f>
        <v>#N/A</v>
      </c>
      <c r="AC203" s="62" t="e">
        <f>VLOOKUP(A203,Enforcements!$C$7:$E$21,3,0)</f>
        <v>#N/A</v>
      </c>
      <c r="AD203" s="63" t="str">
        <f t="shared" si="59"/>
        <v>0843-30</v>
      </c>
      <c r="AE203" s="99" t="str">
        <f t="shared" si="6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203" s="96" t="str">
        <f t="shared" si="61"/>
        <v>"C:\Program Files (x86)\AstroGrep\AstroGrep.exe" /spath="%USERPROFILE%\AppData\Local\Temp\OnboardLogs" /stypes="*4014*20160831*" /stext=" 02:.+((SYSTEM_STATE.+slice.+state.+changed )|(ment ac)|(system.+state.+changed )|(\|lc)|(penalty)|(\[timeout)|(PRM\|1\|D)|(kpr)|(kdp))" /e /r /s</v>
      </c>
      <c r="AG203" s="1" t="str">
        <f t="shared" si="62"/>
        <v>NW</v>
      </c>
      <c r="AH203" s="100" t="str">
        <f t="shared" si="63"/>
        <v>"%USERPROFILE%\Documents\GitHub\eaglep3\Utilities\RefineRTDCRunTimes.py" --tripid 843-30 --locoid 4014 --swversion DE.1.0.7.0 --startMP 204:972 --initTime 2016-08-30T20:14:34 --startdatetime 2016-08-30T20:21:18 --delay 1 --endMP 300:58937 --enddatetime 2016-08-30T20:34:40 --enforcementcount 0 &gt;&gt;C:\Users\stu\Documents\GitHub\eaglep3-reporting\EC\2016-08-30-refined-times.txt</v>
      </c>
      <c r="AI203" s="149" t="str">
        <f t="shared" si="64"/>
        <v>echo {"issue":{"subject":"","project_id":79,"tracker_id":40,"status_id":1,"priority_id":2,"assigned_to_id":23,"start_date":"2016-08-30","description":"","custom_fields":[{"id":1,"name":"Subdivision","value":"NW"},{"id":4,"name":"Milepost","value":"5.7965"},{"id":17,"name":"Train ID","value":"843-30"},{"id":16,"name":"Locomotive ID","value":"4014"},{"id":130,"name":"Impact","value":""},{"id":150,"name":"Time of Event (Mountain Time)","value":"20:34:40"},{"id":151,"name":"Denver Issue ID","value":""},{"id":178,"name":"Operational Impact","value":"Yes"},{"id":179,"name":"Denver Segment Assigned","value":""}]}} | curl -X POST -H "Content-Type: application/json" -H "X-Redmine-API-Key: d6333d4a04012a730768444271f8ca06482dae87" https://secure.xorail.net/redmine/issues.json --data @-</v>
      </c>
      <c r="AJ203" s="55"/>
      <c r="AK203" s="55"/>
      <c r="AL203" s="55"/>
    </row>
    <row r="204" spans="1:38" x14ac:dyDescent="0.25">
      <c r="A204" s="39" t="s">
        <v>554</v>
      </c>
      <c r="B204" s="7">
        <v>4013</v>
      </c>
      <c r="C204" s="24" t="s">
        <v>113</v>
      </c>
      <c r="D204" s="24" t="s">
        <v>717</v>
      </c>
      <c r="E204" s="15">
        <v>42612.901539351849</v>
      </c>
      <c r="F204" s="15">
        <v>42612.90315972222</v>
      </c>
      <c r="G204" s="7">
        <v>1</v>
      </c>
      <c r="H204" s="15" t="s">
        <v>718</v>
      </c>
      <c r="I204" s="15">
        <v>42612.914131944446</v>
      </c>
      <c r="J204" s="7">
        <v>0</v>
      </c>
      <c r="K204" s="132" t="str">
        <f t="shared" si="51"/>
        <v>4013/4014</v>
      </c>
      <c r="L204" s="24" t="str">
        <f>VLOOKUP(A204,'Trips&amp;Operators'!$C$1:$E$10000,3,FALSE)</f>
        <v>CRAYTON</v>
      </c>
      <c r="M204" s="6">
        <f t="shared" si="52"/>
        <v>1.0972222225973383E-2</v>
      </c>
      <c r="N204" s="7">
        <f t="shared" si="68"/>
        <v>15.800000005401671</v>
      </c>
      <c r="O204" s="7"/>
      <c r="P204" s="7"/>
      <c r="Q204" s="25"/>
      <c r="R204" s="25"/>
      <c r="S204" s="37">
        <f t="shared" si="70"/>
        <v>1</v>
      </c>
      <c r="T204" s="52" t="str">
        <f t="shared" si="53"/>
        <v>Southbound</v>
      </c>
      <c r="U204" s="126">
        <f>IF(AG204="EC",COUNTIFS(Variables!$M$2:$M$19,IF(T204="NorthBound","&gt;=","&lt;=")&amp;Y204,Variables!$M$2:$M$19,IF(T204="NorthBound","&lt;=","&gt;=")&amp;Z204),COUNTIFS(Variables!$P$2:$P$19,IF(T204="NorthBound","&gt;=","&lt;=")&amp;Y204,Variables!$P$2:$P$19,IF(T204="NorthBound","&lt;=","&gt;=")&amp;Z204))</f>
        <v>1</v>
      </c>
      <c r="V204" s="106" t="str">
        <f t="shared" si="54"/>
        <v>https://search-rtdc-monitor-bjffxe2xuh6vdkpspy63sjmuny.us-east-1.es.amazonaws.com/_plugin/kibana/#/discover/Steve-Slow-Train-Analysis-(2080s-and-2083s)?_g=(refreshInterval:(display:Off,section:0,value:0),time:(from:'2016-08-30 20:38:13-0600',mode:absolute,to:'2016-08-30 22:56: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204" s="54" t="str">
        <f t="shared" si="55"/>
        <v>N</v>
      </c>
      <c r="X204" s="120">
        <f t="shared" si="69"/>
        <v>1</v>
      </c>
      <c r="Y204" s="69">
        <f t="shared" si="56"/>
        <v>5.8635999999999999</v>
      </c>
      <c r="Z204" s="69">
        <f t="shared" si="57"/>
        <v>7.5899999999999995E-2</v>
      </c>
      <c r="AA204" s="69">
        <f t="shared" si="58"/>
        <v>5.7877000000000001</v>
      </c>
      <c r="AB204" s="66" t="e">
        <f>VLOOKUP(A204,Enforcements!$C$7:$J$21,8,0)</f>
        <v>#N/A</v>
      </c>
      <c r="AC204" s="62" t="e">
        <f>VLOOKUP(A204,Enforcements!$C$7:$E$21,3,0)</f>
        <v>#N/A</v>
      </c>
      <c r="AD204" s="63" t="str">
        <f t="shared" si="59"/>
        <v>0844-30</v>
      </c>
      <c r="AE204" s="99" t="str">
        <f t="shared" si="6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204" s="96" t="str">
        <f t="shared" si="61"/>
        <v>"C:\Program Files (x86)\AstroGrep\AstroGrep.exe" /spath="%USERPROFILE%\AppData\Local\Temp\OnboardLogs" /stypes="*4013*20160831*" /stext=" 03:.+((SYSTEM_STATE.+slice.+state.+changed )|(ment ac)|(system.+state.+changed )|(\|lc)|(penalty)|(\[timeout)|(PRM\|1\|D)|(kpr)|(kdp))" /e /r /s</v>
      </c>
      <c r="AG204" s="1" t="str">
        <f t="shared" si="62"/>
        <v>NW</v>
      </c>
      <c r="AH204" s="100" t="str">
        <f t="shared" si="63"/>
        <v>"%USERPROFILE%\Documents\GitHub\eaglep3\Utilities\RefineRTDCRunTimes.py" --tripid 844-30 --locoid 4013 --swversion DE.1.0.7.0 --startMP 300:58636 --initTime 2016-08-30T21:38:13 --startdatetime 2016-08-30T21:40:33 --delay 1 --endMP 204:759 --enddatetime 2016-08-30T21:56:21 --enforcementcount 0 &gt;&gt;C:\Users\stu\Documents\GitHub\eaglep3-reporting\EC\2016-08-30-refined-times.txt</v>
      </c>
      <c r="AI204" s="149" t="str">
        <f t="shared" si="64"/>
        <v>echo {"issue":{"subject":"","project_id":79,"tracker_id":40,"status_id":1,"priority_id":2,"assigned_to_id":23,"start_date":"2016-08-30","description":"","custom_fields":[{"id":1,"name":"Subdivision","value":"NW"},{"id":4,"name":"Milepost","value":"5.7877"},{"id":17,"name":"Train ID","value":"844-30"},{"id":16,"name":"Locomotive ID","value":"4013"},{"id":130,"name":"Impact","value":""},{"id":150,"name":"Time of Event (Mountain Time)","value":"21:56:21"},{"id":151,"name":"Denver Issue ID","value":""},{"id":178,"name":"Operational Impact","value":"Yes"},{"id":179,"name":"Denver Segment Assigned","value":""}]}} | curl -X POST -H "Content-Type: application/json" -H "X-Redmine-API-Key: d6333d4a04012a730768444271f8ca06482dae87" https://secure.xorail.net/redmine/issues.json --data @-</v>
      </c>
      <c r="AJ204" s="55"/>
      <c r="AK204" s="55"/>
      <c r="AL204" s="55"/>
    </row>
    <row r="205" spans="1:38" x14ac:dyDescent="0.25">
      <c r="A205" s="39" t="s">
        <v>550</v>
      </c>
      <c r="B205" s="7">
        <v>4014</v>
      </c>
      <c r="C205" s="24" t="s">
        <v>113</v>
      </c>
      <c r="D205" s="24" t="s">
        <v>719</v>
      </c>
      <c r="E205" s="15">
        <v>42612.876504629632</v>
      </c>
      <c r="F205" s="15">
        <v>42612.889803240738</v>
      </c>
      <c r="G205" s="7">
        <v>2</v>
      </c>
      <c r="H205" s="15" t="s">
        <v>720</v>
      </c>
      <c r="I205" s="15">
        <v>42612.900104166663</v>
      </c>
      <c r="J205" s="7">
        <v>0</v>
      </c>
      <c r="K205" s="132" t="str">
        <f t="shared" ref="K205:K225" si="71">IF(ISEVEN(B205),(B205-1)&amp;"/"&amp;B205,B205&amp;"/"&amp;(B205+1))</f>
        <v>4013/4014</v>
      </c>
      <c r="L205" s="24" t="str">
        <f>VLOOKUP(A205,'Trips&amp;Operators'!$C$1:$E$10000,3,FALSE)</f>
        <v>CRAYTON</v>
      </c>
      <c r="M205" s="6">
        <f t="shared" ref="M205:M225" si="72">I205-F205</f>
        <v>1.0300925925548654E-2</v>
      </c>
      <c r="N205" s="7">
        <f t="shared" si="68"/>
        <v>14.833333332790062</v>
      </c>
      <c r="O205" s="7"/>
      <c r="P205" s="7"/>
      <c r="Q205" s="25"/>
      <c r="R205" s="25"/>
      <c r="S205" s="37">
        <f t="shared" si="70"/>
        <v>1</v>
      </c>
      <c r="T205" s="52" t="str">
        <f t="shared" ref="T205:T225" si="73">IF(ISEVEN(LEFT(AD205,4)),"Southbound","NorthBound")</f>
        <v>NorthBound</v>
      </c>
      <c r="U205" s="126">
        <f>IF(AG205="EC",COUNTIFS(Variables!$M$2:$M$19,IF(T205="NorthBound","&gt;=","&lt;=")&amp;Y205,Variables!$M$2:$M$19,IF(T205="NorthBound","&lt;=","&gt;=")&amp;Z205),COUNTIFS(Variables!$P$2:$P$19,IF(T205="NorthBound","&gt;=","&lt;=")&amp;Y205,Variables!$P$2:$P$19,IF(T205="NorthBound","&lt;=","&gt;=")&amp;Z205))</f>
        <v>1</v>
      </c>
      <c r="V205" s="106" t="str">
        <f t="shared" ref="V205:V225" si="74">"https://search-rtdc-monitor-bjffxe2xuh6vdkpspy63sjmuny.us-east-1.es.amazonaws.com/_plugin/kibana/#/discover/Steve-Slow-Train-Analysis-(2080s-and-2083s)?_g=(refreshInterval:(display:Off,section:0,value:0),time:(from:'"&amp;TEXT(E205-1/24,"yyyy-MM-DD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filters:!(),index:'emp_*',interval:auto,query:"&amp;"(query_string:(analyze_wildcard:!t,query:'Message%5C%20ID:(2083%20OR%202080%20OR%201041%20OR%202003%20OR%201051)%20AND%20%22rtdc.l.rtdc."&amp;B205&amp;"%22')),sort:!(Time,asc))"</f>
        <v>https://search-rtdc-monitor-bjffxe2xuh6vdkpspy63sjmuny.us-east-1.es.amazonaws.com/_plugin/kibana/#/discover/Steve-Slow-Train-Analysis-(2080s-and-2083s)?_g=(refreshInterval:(display:Off,section:0,value:0),time:(from:'2016-08-30 20:02:10-0600',mode:absolute,to:'2016-08-30 22: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205" s="54" t="str">
        <f t="shared" ref="W205:W225" si="75">IF(AA205&lt;IF(AG205="EC",23,5.65),"Y","N")</f>
        <v>N</v>
      </c>
      <c r="X205" s="120">
        <f t="shared" si="69"/>
        <v>1</v>
      </c>
      <c r="Y205" s="69">
        <f t="shared" ref="Y205:Y225" si="76">RIGHT(D205,LEN(D205)-4)/10000</f>
        <v>9.5299999999999996E-2</v>
      </c>
      <c r="Z205" s="69">
        <f t="shared" ref="Z205:Z225" si="77">RIGHT(H205,LEN(H205)-4)/10000</f>
        <v>5.8954000000000004</v>
      </c>
      <c r="AA205" s="69">
        <f t="shared" ref="AA205:AA268" si="78">ABS(Z205-Y205)</f>
        <v>5.8001000000000005</v>
      </c>
      <c r="AB205" s="66" t="e">
        <f>VLOOKUP(A205,Enforcements!$C$7:$J$21,8,0)</f>
        <v>#N/A</v>
      </c>
      <c r="AC205" s="62" t="e">
        <f>VLOOKUP(A205,Enforcements!$C$7:$E$21,3,0)</f>
        <v>#N/A</v>
      </c>
      <c r="AD205" s="63" t="str">
        <f t="shared" ref="AD205:AD225" si="79">IF(LEN(A205)=6,"0"&amp;A205,A205)</f>
        <v>0845-30</v>
      </c>
      <c r="AE205" s="99" t="str">
        <f t="shared" ref="AE205:AE225" si="80">"aws s3 cp "&amp;s3_bucket&amp;"/RTDC"&amp;B205&amp;"/"&amp;TEXT(F205,"YYYY-MM-DD")&amp;"/ "&amp;search_path&amp;"\RTDC"&amp;B205&amp;"\"&amp;TEXT(F205,"YYYY-MM-DD")&amp;" --recursive &amp; """&amp;walkandungz&amp;""" "&amp;search_path&amp;"\RTDC"&amp;B205&amp;"\"&amp;TEXT(F205,"YYYY-MM-DD")
&amp;" &amp; "&amp;"aws s3 cp "&amp;s3_bucket&amp;"/RTDC"&amp;B205&amp;"/"&amp;TEXT(F205+1,"YYYY-MM-DD")&amp;"/ "&amp;search_path&amp;"\RTDC"&amp;B205&amp;"\"&amp;TEXT(F205+1,"YYYY-MM-DD")&amp;" --recursive &amp; """&amp;walkandungz&amp;""" "&amp;search_path&amp;"\RTDC"&amp;B205&amp;"\"&amp;TEXT(F205+1,"YYYY-MM-DD")</f>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205" s="96" t="str">
        <f t="shared" ref="AF205:AF225" si="81">astrogrep_path&amp;" /spath="&amp;search_path&amp;" /stypes=""*"&amp;B205&amp;"*"&amp;TEXT(I205-utc_offset/24,"YYYYMMDD")&amp;"*"" /stext="" "&amp;TEXT(I205-utc_offset/24,"HH")&amp;search_regexp&amp;""" /e /r /s"</f>
        <v>"C:\Program Files (x86)\AstroGrep\AstroGrep.exe" /spath="%USERPROFILE%\AppData\Local\Temp\OnboardLogs" /stypes="*4014*20160831*" /stext=" 03:.+((SYSTEM_STATE.+slice.+state.+changed )|(ment ac)|(system.+state.+changed )|(\|lc)|(penalty)|(\[timeout)|(PRM\|1\|D)|(kpr)|(kdp))" /e /r /s</v>
      </c>
      <c r="AG205" s="1" t="str">
        <f t="shared" ref="AG205:AG225" si="82">IFERROR(IF(VALUE(LEFT(AD205,2))&lt;=2,"EC",IF(OR(VALUE(LEFT(AD205,2))=8,VALUE(LEFT(AD205,2))=18),"NW","Other")),"Other")</f>
        <v>NW</v>
      </c>
      <c r="AH205" s="100" t="str">
        <f t="shared" si="63"/>
        <v>"%USERPROFILE%\Documents\GitHub\eaglep3\Utilities\RefineRTDCRunTimes.py" --tripid 845-30 --locoid 4014 --swversion DE.1.0.7.0 --startMP 204:953 --initTime 2016-08-30T21:02:10 --startdatetime 2016-08-30T21:21:19 --delay 2 --endMP 300:58954 --enddatetime 2016-08-30T21:36:09 --enforcementcount 0 &gt;&gt;C:\Users\stu\Documents\GitHub\eaglep3-reporting\EC\2016-08-30-refined-times.txt</v>
      </c>
      <c r="AI205" s="149" t="str">
        <f t="shared" si="64"/>
        <v>echo {"issue":{"subject":"","project_id":79,"tracker_id":40,"status_id":1,"priority_id":2,"assigned_to_id":23,"start_date":"2016-08-30","description":"","custom_fields":[{"id":1,"name":"Subdivision","value":"NW"},{"id":4,"name":"Milepost","value":"5.8001"},{"id":17,"name":"Train ID","value":"845-30"},{"id":16,"name":"Locomotive ID","value":"4014"},{"id":130,"name":"Impact","value":""},{"id":150,"name":"Time of Event (Mountain Time)","value":"21:36:09"},{"id":151,"name":"Denver Issue ID","value":""},{"id":178,"name":"Operational Impact","value":"Yes"},{"id":179,"name":"Denver Segment Assigned","value":""}]}} | curl -X POST -H "Content-Type: application/json" -H "X-Redmine-API-Key: d6333d4a04012a730768444271f8ca06482dae87" https://secure.xorail.net/redmine/issues.json --data @-</v>
      </c>
      <c r="AJ205" s="55"/>
      <c r="AK205" s="55"/>
      <c r="AL205" s="55"/>
    </row>
    <row r="206" spans="1:38" x14ac:dyDescent="0.25">
      <c r="A206" s="39" t="s">
        <v>555</v>
      </c>
      <c r="B206" s="7">
        <v>4014</v>
      </c>
      <c r="C206" s="24" t="s">
        <v>113</v>
      </c>
      <c r="D206" s="24" t="s">
        <v>721</v>
      </c>
      <c r="E206" s="15">
        <v>42612.91605324074</v>
      </c>
      <c r="F206" s="15">
        <v>42612.931446759256</v>
      </c>
      <c r="G206" s="7">
        <v>1</v>
      </c>
      <c r="H206" s="15" t="s">
        <v>722</v>
      </c>
      <c r="I206" s="15">
        <v>42612.941689814812</v>
      </c>
      <c r="J206" s="7">
        <v>0</v>
      </c>
      <c r="K206" s="132" t="str">
        <f t="shared" si="71"/>
        <v>4013/4014</v>
      </c>
      <c r="L206" s="24" t="str">
        <f>VLOOKUP(A206,'Trips&amp;Operators'!$C$1:$E$10000,3,FALSE)</f>
        <v>CRAYTON</v>
      </c>
      <c r="M206" s="6">
        <f t="shared" si="72"/>
        <v>1.0243055556202307E-2</v>
      </c>
      <c r="N206" s="7">
        <f t="shared" si="68"/>
        <v>14.750000000931323</v>
      </c>
      <c r="O206" s="7"/>
      <c r="P206" s="7"/>
      <c r="Q206" s="25"/>
      <c r="R206" s="25"/>
      <c r="S206" s="37">
        <f t="shared" si="70"/>
        <v>1</v>
      </c>
      <c r="T206" s="52" t="str">
        <f t="shared" si="73"/>
        <v>NorthBound</v>
      </c>
      <c r="U206" s="126">
        <f>IF(AG206="EC",COUNTIFS(Variables!$M$2:$M$19,IF(T206="NorthBound","&gt;=","&lt;=")&amp;Y206,Variables!$M$2:$M$19,IF(T206="NorthBound","&lt;=","&gt;=")&amp;Z206),COUNTIFS(Variables!$P$2:$P$19,IF(T206="NorthBound","&gt;=","&lt;=")&amp;Y206,Variables!$P$2:$P$19,IF(T206="NorthBound","&lt;=","&gt;=")&amp;Z206))</f>
        <v>1</v>
      </c>
      <c r="V206" s="106" t="str">
        <f t="shared" si="74"/>
        <v>https://search-rtdc-monitor-bjffxe2xuh6vdkpspy63sjmuny.us-east-1.es.amazonaws.com/_plugin/kibana/#/discover/Steve-Slow-Train-Analysis-(2080s-and-2083s)?_g=(refreshInterval:(display:Off,section:0,value:0),time:(from:'2016-08-30 20:59:07-0600',mode:absolute,to:'2016-08-30 23:36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W206" s="54" t="str">
        <f t="shared" si="75"/>
        <v>N</v>
      </c>
      <c r="X206" s="120">
        <f t="shared" si="69"/>
        <v>2</v>
      </c>
      <c r="Y206" s="69">
        <f t="shared" si="76"/>
        <v>0.1032</v>
      </c>
      <c r="Z206" s="69">
        <f t="shared" si="77"/>
        <v>5.8944000000000001</v>
      </c>
      <c r="AA206" s="69">
        <f t="shared" si="78"/>
        <v>5.7911999999999999</v>
      </c>
      <c r="AB206" s="66" t="e">
        <f>VLOOKUP(A206,Enforcements!$C$7:$J$21,8,0)</f>
        <v>#N/A</v>
      </c>
      <c r="AC206" s="62" t="e">
        <f>VLOOKUP(A206,Enforcements!$C$7:$E$21,3,0)</f>
        <v>#N/A</v>
      </c>
      <c r="AD206" s="63" t="str">
        <f t="shared" si="79"/>
        <v>0847-30</v>
      </c>
      <c r="AE206" s="99" t="str">
        <f t="shared" si="80"/>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AF206" s="96" t="str">
        <f t="shared" si="81"/>
        <v>"C:\Program Files (x86)\AstroGrep\AstroGrep.exe" /spath="%USERPROFILE%\AppData\Local\Temp\OnboardLogs" /stypes="*4014*20160831*" /stext=" 04:.+((SYSTEM_STATE.+slice.+state.+changed )|(ment ac)|(system.+state.+changed )|(\|lc)|(penalty)|(\[timeout)|(PRM\|1\|D)|(kpr)|(kdp))" /e /r /s</v>
      </c>
      <c r="AG206" s="1" t="str">
        <f t="shared" si="82"/>
        <v>NW</v>
      </c>
      <c r="AH206" s="100" t="str">
        <f t="shared" si="63"/>
        <v>"%USERPROFILE%\Documents\GitHub\eaglep3\Utilities\RefineRTDCRunTimes.py" --tripid 847-30 --locoid 4014 --swversion DE.1.0.7.0 --startMP 204:1032 --initTime 2016-08-30T21:59:07 --startdatetime 2016-08-30T22:21:17 --delay 1 --endMP 300:58944 --enddatetime 2016-08-30T22:36:02 --enforcementcount 0 &gt;&gt;C:\Users\stu\Documents\GitHub\eaglep3-reporting\EC\2016-08-30-refined-times.txt</v>
      </c>
      <c r="AI206" s="149" t="str">
        <f t="shared" si="64"/>
        <v>echo {"issue":{"subject":"","project_id":79,"tracker_id":40,"status_id":1,"priority_id":2,"assigned_to_id":23,"start_date":"2016-08-30","description":"","custom_fields":[{"id":1,"name":"Subdivision","value":"NW"},{"id":4,"name":"Milepost","value":"5.7912"},{"id":17,"name":"Train ID","value":"847-30"},{"id":16,"name":"Locomotive ID","value":"4014"},{"id":130,"name":"Impact","value":""},{"id":150,"name":"Time of Event (Mountain Time)","value":"22:36:02"},{"id":151,"name":"Denver Issue ID","value":""},{"id":178,"name":"Operational Impact","value":"Yes"},{"id":179,"name":"Denver Segment Assigned","value":""}]}} | curl -X POST -H "Content-Type: application/json" -H "X-Redmine-API-Key: d6333d4a04012a730768444271f8ca06482dae87" https://secure.xorail.net/redmine/issues.json --data @-</v>
      </c>
      <c r="AJ206" s="55"/>
      <c r="AK206" s="55"/>
      <c r="AL206" s="55"/>
    </row>
    <row r="207" spans="1:38" x14ac:dyDescent="0.25">
      <c r="A207" s="39" t="s">
        <v>388</v>
      </c>
      <c r="B207" s="7">
        <v>4041</v>
      </c>
      <c r="C207" s="24" t="s">
        <v>113</v>
      </c>
      <c r="D207" s="24" t="s">
        <v>647</v>
      </c>
      <c r="E207" s="15">
        <v>42612.117118055554</v>
      </c>
      <c r="F207" s="15">
        <v>42612.119074074071</v>
      </c>
      <c r="G207" s="7">
        <v>1</v>
      </c>
      <c r="H207" s="15" t="s">
        <v>648</v>
      </c>
      <c r="I207" s="15">
        <v>42612.119386574072</v>
      </c>
      <c r="J207" s="7">
        <v>0</v>
      </c>
      <c r="K207" s="132" t="str">
        <f t="shared" si="71"/>
        <v>4041/4042</v>
      </c>
      <c r="L207" s="24" t="str">
        <f>VLOOKUP(A207,'Trips&amp;Operators'!$C$1:$E$10000,3,FALSE)</f>
        <v>KILLION</v>
      </c>
      <c r="M207" s="6">
        <f t="shared" si="72"/>
        <v>3.125000002910383E-4</v>
      </c>
      <c r="N207" s="7">
        <f t="shared" si="68"/>
        <v>0.45000000041909516</v>
      </c>
      <c r="O207" s="7"/>
      <c r="P207" s="7"/>
      <c r="Q207" s="25"/>
      <c r="R207" s="25"/>
      <c r="S207" s="37">
        <f t="shared" si="70"/>
        <v>0</v>
      </c>
      <c r="T207" s="52" t="str">
        <f t="shared" si="73"/>
        <v>Southbound</v>
      </c>
      <c r="U207" s="126">
        <f>IF(AG207="EC",COUNTIFS(Variables!$M$2:$M$19,IF(T207="NorthBound","&gt;=","&lt;=")&amp;Y207,Variables!$M$2:$M$19,IF(T207="NorthBound","&lt;=","&gt;=")&amp;Z207),COUNTIFS(Variables!$P$2:$P$19,IF(T207="NorthBound","&gt;=","&lt;=")&amp;Y207,Variables!$P$2:$P$19,IF(T207="NorthBound","&lt;=","&gt;=")&amp;Z207))</f>
        <v>0</v>
      </c>
      <c r="V207" s="106" t="str">
        <f t="shared" si="74"/>
        <v>https://search-rtdc-monitor-bjffxe2xuh6vdkpspy63sjmuny.us-east-1.es.amazonaws.com/_plugin/kibana/#/discover/Steve-Slow-Train-Analysis-(2080s-and-2083s)?_g=(refreshInterval:(display:Off,section:0,value:0),time:(from:'2016-08-30 01:48:39-0600',mode:absolute,to:'2016-08-30 03:51: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W207" s="54" t="str">
        <f t="shared" si="75"/>
        <v>Y</v>
      </c>
      <c r="X207" s="120">
        <f t="shared" si="69"/>
        <v>-545</v>
      </c>
      <c r="Y207" s="69">
        <f t="shared" si="76"/>
        <v>2.5129999999999999</v>
      </c>
      <c r="Z207" s="69">
        <f t="shared" si="77"/>
        <v>2.4594999999999998</v>
      </c>
      <c r="AA207" s="69">
        <f t="shared" si="78"/>
        <v>5.3500000000000103E-2</v>
      </c>
      <c r="AB207" s="66" t="e">
        <f>VLOOKUP(A207,Enforcements!$C$7:$J$21,8,0)</f>
        <v>#N/A</v>
      </c>
      <c r="AC207" s="62" t="e">
        <f>VLOOKUP(A207,Enforcements!$C$7:$E$21,3,0)</f>
        <v>#N/A</v>
      </c>
      <c r="AD207" s="63" t="str">
        <f t="shared" si="79"/>
        <v>0302-30</v>
      </c>
      <c r="AE207" s="99" t="str">
        <f t="shared" si="80"/>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AF207" s="96" t="str">
        <f t="shared" si="81"/>
        <v>"C:\Program Files (x86)\AstroGrep\AstroGrep.exe" /spath="%USERPROFILE%\AppData\Local\Temp\OnboardLogs" /stypes="*4041*20160830*" /stext=" 08:.+((SYSTEM_STATE.+slice.+state.+changed )|(ment ac)|(system.+state.+changed )|(\|lc)|(penalty)|(\[timeout)|(PRM\|1\|D)|(kpr)|(kdp))" /e /r /s</v>
      </c>
      <c r="AG207" s="1" t="str">
        <f t="shared" si="82"/>
        <v>Other</v>
      </c>
      <c r="AH207" s="100" t="str">
        <f t="shared" si="63"/>
        <v>"%USERPROFILE%\Documents\GitHub\eaglep3\Utilities\RefineRTDCRunTimes.py" --tripid 302-30 --locoid 4041 --swversion DE.1.0.7.0 --startMP 300:25130 --initTime 2016-08-30T02:48:39 --startdatetime 2016-08-30T02:51:28 --delay 1 --endMP 300:24595 --enddatetime 2016-08-30T02:51:55 --enforcementcount 0 &gt;&gt;C:\Users\stu\Documents\GitHub\eaglep3-reporting\EC\2016-08-30-refined-times.txt</v>
      </c>
      <c r="AI207" s="149" t="str">
        <f t="shared" si="64"/>
        <v>echo {"issue":{"subject":"","project_id":79,"tracker_id":40,"status_id":1,"priority_id":2,"assigned_to_id":23,"start_date":"2016-08-30","description":"","custom_fields":[{"id":1,"name":"Subdivision","value":"Other"},{"id":4,"name":"Milepost","value":"0.0535000000000001"},{"id":17,"name":"Train ID","value":"302-30"},{"id":16,"name":"Locomotive ID","value":"4041"},{"id":130,"name":"Impact","value":""},{"id":150,"name":"Time of Event (Mountain Time)","value":"02:51:55"},{"id":151,"name":"Denver Issue ID","value":""},{"id":178,"name":"Operational Impact","value":"Yes"},{"id":179,"name":"Denver Segment Assigned","value":""}]}} | curl -X POST -H "Content-Type: application/json" -H "X-Redmine-API-Key: d6333d4a04012a730768444271f8ca06482dae87" https://secure.xorail.net/redmine/issues.json --data @-</v>
      </c>
      <c r="AJ207" s="55"/>
      <c r="AK207" s="55"/>
      <c r="AL207" s="55"/>
    </row>
    <row r="208" spans="1:38" x14ac:dyDescent="0.25">
      <c r="A208" s="39" t="s">
        <v>533</v>
      </c>
      <c r="B208" s="7">
        <v>4029</v>
      </c>
      <c r="C208" s="24" t="s">
        <v>113</v>
      </c>
      <c r="D208" s="24" t="s">
        <v>320</v>
      </c>
      <c r="E208" s="15">
        <v>42612.780775462961</v>
      </c>
      <c r="F208" s="15">
        <v>42612.788622685184</v>
      </c>
      <c r="G208" s="7">
        <v>1</v>
      </c>
      <c r="H208" s="15" t="s">
        <v>337</v>
      </c>
      <c r="I208" s="15">
        <v>42612.79414351852</v>
      </c>
      <c r="J208" s="7">
        <v>0</v>
      </c>
      <c r="K208" s="132" t="str">
        <f t="shared" si="71"/>
        <v>4029/4030</v>
      </c>
      <c r="L208" s="24" t="str">
        <f>VLOOKUP(A208,'Trips&amp;Operators'!$C$1:$E$10000,3,FALSE)</f>
        <v>BROWN</v>
      </c>
      <c r="M208" s="6">
        <f t="shared" si="72"/>
        <v>5.5208333360496908E-3</v>
      </c>
      <c r="N208" s="7">
        <f t="shared" si="68"/>
        <v>7.9500000039115548</v>
      </c>
      <c r="O208" s="7"/>
      <c r="P208" s="7"/>
      <c r="Q208" s="25"/>
      <c r="R208" s="25"/>
      <c r="S208" s="37">
        <f t="shared" si="70"/>
        <v>1</v>
      </c>
      <c r="T208" s="52" t="str">
        <f t="shared" si="73"/>
        <v>NorthBound</v>
      </c>
      <c r="U208" s="126">
        <f>IF(AG208="EC",COUNTIFS(Variables!$M$2:$M$19,IF(T208="NorthBound","&gt;=","&lt;=")&amp;Y208,Variables!$M$2:$M$19,IF(T208="NorthBound","&lt;=","&gt;=")&amp;Z208),COUNTIFS(Variables!$P$2:$P$19,IF(T208="NorthBound","&gt;=","&lt;=")&amp;Y208,Variables!$P$2:$P$19,IF(T208="NorthBound","&lt;=","&gt;=")&amp;Z208))</f>
        <v>1</v>
      </c>
      <c r="V208" s="106" t="str">
        <f t="shared" si="74"/>
        <v>https://search-rtdc-monitor-bjffxe2xuh6vdkpspy63sjmuny.us-east-1.es.amazonaws.com/_plugin/kibana/#/discover/Steve-Slow-Train-Analysis-(2080s-and-2083s)?_g=(refreshInterval:(display:Off,section:0,value:0),time:(from:'2016-08-30 17:44:19-0600',mode:absolute,to:'2016-08-30 20:03: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08" s="54" t="str">
        <f t="shared" si="75"/>
        <v>Y</v>
      </c>
      <c r="X208" s="120">
        <f t="shared" si="69"/>
        <v>1</v>
      </c>
      <c r="Y208" s="69">
        <f t="shared" si="76"/>
        <v>4.9700000000000001E-2</v>
      </c>
      <c r="Z208" s="69">
        <f t="shared" si="77"/>
        <v>2.3306</v>
      </c>
      <c r="AA208" s="69">
        <f t="shared" si="78"/>
        <v>2.2808999999999999</v>
      </c>
      <c r="AB208" s="66" t="e">
        <f>VLOOKUP(A208,Enforcements!$C$7:$J$21,8,0)</f>
        <v>#N/A</v>
      </c>
      <c r="AC208" s="62" t="e">
        <f>VLOOKUP(A208,Enforcements!$C$7:$E$21,3,0)</f>
        <v>#N/A</v>
      </c>
      <c r="AD208" s="63" t="str">
        <f t="shared" si="79"/>
        <v>0303-30</v>
      </c>
      <c r="AE208" s="99" t="str">
        <f t="shared" si="8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208" s="96" t="str">
        <f t="shared" si="81"/>
        <v>"C:\Program Files (x86)\AstroGrep\AstroGrep.exe" /spath="%USERPROFILE%\AppData\Local\Temp\OnboardLogs" /stypes="*4029*20160831*" /stext=" 01:.+((SYSTEM_STATE.+slice.+state.+changed )|(ment ac)|(system.+state.+changed )|(\|lc)|(penalty)|(\[timeout)|(PRM\|1\|D)|(kpr)|(kdp))" /e /r /s</v>
      </c>
      <c r="AG208" s="1" t="str">
        <f t="shared" si="82"/>
        <v>Other</v>
      </c>
      <c r="AH208" s="100" t="str">
        <f t="shared" ref="AH208:AH225" si="83">refinertdcruntimes&amp;" --tripid "&amp;A208&amp;" --locoid "&amp;B208&amp;" --swversion "&amp;C208&amp;" --startMP "&amp;D208&amp;" --initTime "&amp;TEXT(E208,"yyyy-mm-ddTHH:MM:SS")&amp;" --startdatetime "&amp;TEXT(F208,"yyyy-mm-ddTHH:MM:SS")&amp;" --delay "&amp;G208&amp;" --endMP "&amp;H208&amp;" --enddatetime "&amp;TEXT(I208,"yyyy-mm-ddTHH:MM:SS")&amp;" --enforcementcount "&amp;J208&amp;IF(outputrefinedruntimes," &gt;&gt;"&amp;RefinedRTDCRunTimesOutputFile,"")</f>
        <v>"%USERPROFILE%\Documents\GitHub\eaglep3\Utilities\RefineRTDCRunTimes.py" --tripid 303-30 --locoid 4029 --swversion DE.1.0.7.0 --startMP 204:497 --initTime 2016-08-30T18:44:19 --startdatetime 2016-08-30T18:55:37 --delay 1 --endMP 300:23306 --enddatetime 2016-08-30T19:03:34 --enforcementcount 0 &gt;&gt;C:\Users\stu\Documents\GitHub\eaglep3-reporting\EC\2016-08-30-refined-times.txt</v>
      </c>
      <c r="AI208" s="149" t="str">
        <f t="shared" ref="AI208:AI225" si="84">"echo {""issue"":{""subject"":"""&amp;R208&amp;""",""project_id"":79,""tracker_id"":40,""status_id"":"&amp;redmine_status&amp;",""priority_id"":"&amp;redmine_priority&amp;",""assigned_to_id"":"&amp;redmine_assignee&amp;",""start_date"":"""&amp;TEXT(I208,"YYYY-mm-dd")&amp;""",""description"":"""&amp;AJ208&amp;""",""custom_fields"":[{""id"":1,""name"":""Subdivision"",""value"":"""&amp;AG208&amp;"""},{""id"":4,""name"":""Milepost"",""value"":"""&amp;AA208&amp;"""},{""id"":17,""name"":""Train ID"",""value"":"""&amp;A208&amp;"""},{""id"":16,""name"":""Locomotive ID"",""value"":"""&amp;B208&amp;"""},{""id"":130,""name"":""Impact"",""value"":"""&amp;AK208&amp;"""},{""id"":150,""name"":""Time of Event (Mountain Time)"",""value"":"""&amp;TEXT(I208,"hh:mm:ss")&amp;"""},{""id"":151,""name"":""Denver Issue ID"",""value"":"""&amp;"""},{""id"":178,""name"":""Operational Impact"",""value"":"""&amp;redmine_op_impact&amp;"""},{""id"":179,""name"":""Denver Segment Assigned"",""value"":"""&amp;AL208&amp;"""}]}}"&amp;" | curl -X POST -H ""Content-Type: application/json"" -H ""X-Redmine-API-Key: "&amp;redm_api_key&amp;""" "&amp;redm_url&amp;" --data @-"</f>
        <v>echo {"issue":{"subject":"","project_id":79,"tracker_id":40,"status_id":1,"priority_id":2,"assigned_to_id":23,"start_date":"2016-08-30","description":"","custom_fields":[{"id":1,"name":"Subdivision","value":"Other"},{"id":4,"name":"Milepost","value":"2.2809"},{"id":17,"name":"Train ID","value":"303-30"},{"id":16,"name":"Locomotive ID","value":"4029"},{"id":130,"name":"Impact","value":""},{"id":150,"name":"Time of Event (Mountain Time)","value":"19:03:34"},{"id":151,"name":"Denver Issue ID","value":""},{"id":178,"name":"Operational Impact","value":"Yes"},{"id":179,"name":"Denver Segment Assigned","value":""}]}} | curl -X POST -H "Content-Type: application/json" -H "X-Redmine-API-Key: d6333d4a04012a730768444271f8ca06482dae87" https://secure.xorail.net/redmine/issues.json --data @-</v>
      </c>
      <c r="AJ208" s="55"/>
      <c r="AK208" s="55"/>
      <c r="AL208" s="55"/>
    </row>
    <row r="209" spans="1:38" x14ac:dyDescent="0.25">
      <c r="A209" s="39" t="s">
        <v>566</v>
      </c>
      <c r="B209" s="7">
        <v>4011</v>
      </c>
      <c r="C209" s="24" t="s">
        <v>113</v>
      </c>
      <c r="D209" s="24" t="s">
        <v>133</v>
      </c>
      <c r="E209" s="15">
        <v>42613.028483796297</v>
      </c>
      <c r="F209" s="15">
        <v>25568.958333333332</v>
      </c>
      <c r="G209" s="7">
        <v>1</v>
      </c>
      <c r="H209" s="15" t="s">
        <v>649</v>
      </c>
      <c r="I209" s="15">
        <v>25568.958333333332</v>
      </c>
      <c r="J209" s="7">
        <v>0</v>
      </c>
      <c r="K209" s="132" t="str">
        <f t="shared" si="71"/>
        <v>4011/4012</v>
      </c>
      <c r="L209" s="24" t="str">
        <f>VLOOKUP(A209,'Trips&amp;Operators'!$C$1:$E$10000,3,FALSE)</f>
        <v>HILLS</v>
      </c>
      <c r="M209" s="6">
        <f t="shared" si="72"/>
        <v>0</v>
      </c>
      <c r="N209" s="7">
        <f t="shared" si="68"/>
        <v>0</v>
      </c>
      <c r="O209" s="7"/>
      <c r="P209" s="7"/>
      <c r="Q209" s="25"/>
      <c r="R209" s="25"/>
      <c r="S209" s="37">
        <f t="shared" si="70"/>
        <v>1</v>
      </c>
      <c r="T209" s="52" t="str">
        <f t="shared" si="73"/>
        <v>NorthBound</v>
      </c>
      <c r="U209" s="126">
        <f>IF(AG209="EC",COUNTIFS(Variables!$M$2:$M$19,IF(T209="NorthBound","&gt;=","&lt;=")&amp;Y209,Variables!$M$2:$M$19,IF(T209="NorthBound","&lt;=","&gt;=")&amp;Z209),COUNTIFS(Variables!$P$2:$P$19,IF(T209="NorthBound","&gt;=","&lt;=")&amp;Y209,Variables!$P$2:$P$19,IF(T209="NorthBound","&lt;=","&gt;=")&amp;Z209))</f>
        <v>1</v>
      </c>
      <c r="V209" s="106" t="str">
        <f t="shared" si="74"/>
        <v>https://search-rtdc-monitor-bjffxe2xuh6vdkpspy63sjmuny.us-east-1.es.amazonaws.com/_plugin/kibana/#/discover/Steve-Slow-Train-Analysis-(2080s-and-2083s)?_g=(refreshInterval:(display:Off,section:0,value:0),time:(from:'2016-08-30 23:41:01-0600',mode:absolute,to:'1970-01-01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W209" s="54" t="str">
        <f t="shared" si="75"/>
        <v>Y</v>
      </c>
      <c r="X209" s="120">
        <f t="shared" si="69"/>
        <v>6</v>
      </c>
      <c r="Y209" s="69">
        <f t="shared" si="76"/>
        <v>4.53E-2</v>
      </c>
      <c r="Z209" s="69">
        <f t="shared" si="77"/>
        <v>2.331</v>
      </c>
      <c r="AA209" s="69">
        <f t="shared" si="78"/>
        <v>2.2856999999999998</v>
      </c>
      <c r="AB209" s="66" t="e">
        <f>VLOOKUP(A209,Enforcements!$C$7:$J$21,8,0)</f>
        <v>#N/A</v>
      </c>
      <c r="AC209" s="62" t="e">
        <f>VLOOKUP(A209,Enforcements!$C$7:$E$21,3,0)</f>
        <v>#N/A</v>
      </c>
      <c r="AD209" s="63" t="str">
        <f t="shared" si="79"/>
        <v>0309-30</v>
      </c>
      <c r="AE209" s="99" t="str">
        <f t="shared" si="80"/>
        <v>aws s3 cp s3://rtdc.mdm.uploadarchive/RTDC4011/1969-12-31/ "%USERPROFILE%\AppData\Local\Temp\OnboardLogs"\RTDC4011\1969-12-31 --recursive &amp; "%USERPROFILE%\Documents\GitHub\mrs-test-scripts\Headless Mode &amp; Sideloading\WalkAndUnGZ.bat" "%USERPROFILE%\AppData\Local\Temp\OnboardLogs"\RTDC4011\1969-12-31 &amp; aws s3 cp s3://rtdc.mdm.uploadarchive/RTDC4011/1970-01-01/ "%USERPROFILE%\AppData\Local\Temp\OnboardLogs"\RTDC4011\1970-01-01 --recursive &amp; "%USERPROFILE%\Documents\GitHub\mrs-test-scripts\Headless Mode &amp; Sideloading\WalkAndUnGZ.bat" "%USERPROFILE%\AppData\Local\Temp\OnboardLogs"\RTDC4011\1970-01-01</v>
      </c>
      <c r="AF209" s="96" t="str">
        <f t="shared" si="81"/>
        <v>"C:\Program Files (x86)\AstroGrep\AstroGrep.exe" /spath="%USERPROFILE%\AppData\Local\Temp\OnboardLogs" /stypes="*4011*19700101*" /stext=" 05:.+((SYSTEM_STATE.+slice.+state.+changed )|(ment ac)|(system.+state.+changed )|(\|lc)|(penalty)|(\[timeout)|(PRM\|1\|D)|(kpr)|(kdp))" /e /r /s</v>
      </c>
      <c r="AG209" s="1" t="str">
        <f t="shared" si="82"/>
        <v>Other</v>
      </c>
      <c r="AH209" s="100" t="str">
        <f t="shared" si="83"/>
        <v>"%USERPROFILE%\Documents\GitHub\eaglep3\Utilities\RefineRTDCRunTimes.py" --tripid 309-30 --locoid 4011 --swversion DE.1.0.7.0 --startMP 204:453 --initTime 2016-08-31T00:41:01 --startdatetime 1969-12-31T23:00:00 --delay 1 --endMP 300:23310 --enddatetime 1969-12-31T23:00:00 --enforcementcount 0 &gt;&gt;C:\Users\stu\Documents\GitHub\eaglep3-reporting\EC\2016-08-30-refined-times.txt</v>
      </c>
      <c r="AI209" s="149" t="str">
        <f t="shared" si="84"/>
        <v>echo {"issue":{"subject":"","project_id":79,"tracker_id":40,"status_id":1,"priority_id":2,"assigned_to_id":23,"start_date":"1969-12-31","description":"","custom_fields":[{"id":1,"name":"Subdivision","value":"Other"},{"id":4,"name":"Milepost","value":"2.2857"},{"id":17,"name":"Train ID","value":"309-30"},{"id":16,"name":"Locomotive ID","value":"4011"},{"id":130,"name":"Impact","value":""},{"id":150,"name":"Time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09" s="55"/>
      <c r="AK209" s="55"/>
      <c r="AL209" s="55"/>
    </row>
    <row r="210" spans="1:38" x14ac:dyDescent="0.25">
      <c r="A210" s="39" t="s">
        <v>568</v>
      </c>
      <c r="B210" s="7">
        <v>4040</v>
      </c>
      <c r="C210" s="24" t="s">
        <v>113</v>
      </c>
      <c r="D210" s="24" t="s">
        <v>650</v>
      </c>
      <c r="E210" s="15">
        <v>42613.048298611109</v>
      </c>
      <c r="F210" s="15">
        <v>25568.958333333332</v>
      </c>
      <c r="G210" s="7">
        <v>1</v>
      </c>
      <c r="H210" s="15" t="s">
        <v>651</v>
      </c>
      <c r="I210" s="15">
        <v>25568.958333333332</v>
      </c>
      <c r="J210" s="7">
        <v>0</v>
      </c>
      <c r="K210" s="132" t="str">
        <f t="shared" si="71"/>
        <v>4039/4040</v>
      </c>
      <c r="L210" s="24" t="str">
        <f>VLOOKUP(A210,'Trips&amp;Operators'!$C$1:$E$10000,3,FALSE)</f>
        <v>COOLAHAN</v>
      </c>
      <c r="M210" s="6">
        <f t="shared" si="72"/>
        <v>0</v>
      </c>
      <c r="N210" s="7">
        <f t="shared" si="68"/>
        <v>0</v>
      </c>
      <c r="O210" s="7"/>
      <c r="P210" s="7"/>
      <c r="Q210" s="25"/>
      <c r="R210" s="25"/>
      <c r="S210" s="37">
        <f t="shared" si="70"/>
        <v>1</v>
      </c>
      <c r="T210" s="52" t="str">
        <f t="shared" si="73"/>
        <v>NorthBound</v>
      </c>
      <c r="U210" s="126">
        <f>IF(AG210="EC",COUNTIFS(Variables!$M$2:$M$19,IF(T210="NorthBound","&gt;=","&lt;=")&amp;Y210,Variables!$M$2:$M$19,IF(T210="NorthBound","&lt;=","&gt;=")&amp;Z210),COUNTIFS(Variables!$P$2:$P$19,IF(T210="NorthBound","&gt;=","&lt;=")&amp;Y210,Variables!$P$2:$P$19,IF(T210="NorthBound","&lt;=","&gt;=")&amp;Z210))</f>
        <v>1</v>
      </c>
      <c r="V210" s="106" t="str">
        <f t="shared" si="74"/>
        <v>https://search-rtdc-monitor-bjffxe2xuh6vdkpspy63sjmuny.us-east-1.es.amazonaws.com/_plugin/kibana/#/discover/Steve-Slow-Train-Analysis-(2080s-and-2083s)?_g=(refreshInterval:(display:Off,section:0,value:0),time:(from:'2016-08-31 00:09:33-0600',mode:absolute,to:'1970-01-01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W210" s="54" t="str">
        <f t="shared" si="75"/>
        <v>Y</v>
      </c>
      <c r="X210" s="120">
        <f t="shared" si="69"/>
        <v>2</v>
      </c>
      <c r="Y210" s="69">
        <f t="shared" si="76"/>
        <v>5.1999999999999998E-2</v>
      </c>
      <c r="Z210" s="69">
        <f t="shared" si="77"/>
        <v>2.3298999999999999</v>
      </c>
      <c r="AA210" s="69">
        <f t="shared" si="78"/>
        <v>2.2778999999999998</v>
      </c>
      <c r="AB210" s="66" t="e">
        <f>VLOOKUP(A210,Enforcements!$C$7:$J$21,8,0)</f>
        <v>#N/A</v>
      </c>
      <c r="AC210" s="62" t="e">
        <f>VLOOKUP(A210,Enforcements!$C$7:$E$21,3,0)</f>
        <v>#N/A</v>
      </c>
      <c r="AD210" s="63" t="str">
        <f t="shared" si="79"/>
        <v>0311-30</v>
      </c>
      <c r="AE210" s="99" t="str">
        <f t="shared" si="80"/>
        <v>aws s3 cp s3://rtdc.mdm.uploadarchive/RTDC4040/1969-12-31/ "%USERPROFILE%\AppData\Local\Temp\OnboardLogs"\RTDC4040\1969-12-31 --recursive &amp; "%USERPROFILE%\Documents\GitHub\mrs-test-scripts\Headless Mode &amp; Sideloading\WalkAndUnGZ.bat" "%USERPROFILE%\AppData\Local\Temp\OnboardLogs"\RTDC4040\1969-12-31 &amp; aws s3 cp s3://rtdc.mdm.uploadarchive/RTDC4040/1970-01-01/ "%USERPROFILE%\AppData\Local\Temp\OnboardLogs"\RTDC4040\1970-01-01 --recursive &amp; "%USERPROFILE%\Documents\GitHub\mrs-test-scripts\Headless Mode &amp; Sideloading\WalkAndUnGZ.bat" "%USERPROFILE%\AppData\Local\Temp\OnboardLogs"\RTDC4040\1970-01-01</v>
      </c>
      <c r="AF210" s="96" t="str">
        <f t="shared" si="81"/>
        <v>"C:\Program Files (x86)\AstroGrep\AstroGrep.exe" /spath="%USERPROFILE%\AppData\Local\Temp\OnboardLogs" /stypes="*4040*19700101*" /stext=" 05:.+((SYSTEM_STATE.+slice.+state.+changed )|(ment ac)|(system.+state.+changed )|(\|lc)|(penalty)|(\[timeout)|(PRM\|1\|D)|(kpr)|(kdp))" /e /r /s</v>
      </c>
      <c r="AG210" s="1" t="str">
        <f t="shared" si="82"/>
        <v>Other</v>
      </c>
      <c r="AH210" s="100" t="str">
        <f t="shared" si="83"/>
        <v>"%USERPROFILE%\Documents\GitHub\eaglep3\Utilities\RefineRTDCRunTimes.py" --tripid 311-30 --locoid 4040 --swversion DE.1.0.7.0 --startMP 204:520 --initTime 2016-08-31T01:09:33 --startdatetime 1969-12-31T23:00:00 --delay 1 --endMP 300:23299 --enddatetime 1969-12-31T23:00:00 --enforcementcount 0 &gt;&gt;C:\Users\stu\Documents\GitHub\eaglep3-reporting\EC\2016-08-30-refined-times.txt</v>
      </c>
      <c r="AI210" s="149" t="str">
        <f t="shared" si="84"/>
        <v>echo {"issue":{"subject":"","project_id":79,"tracker_id":40,"status_id":1,"priority_id":2,"assigned_to_id":23,"start_date":"1969-12-31","description":"","custom_fields":[{"id":1,"name":"Subdivision","value":"Other"},{"id":4,"name":"Milepost","value":"2.2779"},{"id":17,"name":"Train ID","value":"311-30"},{"id":16,"name":"Locomotive ID","value":"4040"},{"id":130,"name":"Impact","value":""},{"id":150,"name":"Time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10" s="55"/>
      <c r="AK210" s="55"/>
      <c r="AL210" s="55"/>
    </row>
    <row r="211" spans="1:38" x14ac:dyDescent="0.25">
      <c r="A211" s="39" t="s">
        <v>311</v>
      </c>
      <c r="B211" s="7">
        <v>4029</v>
      </c>
      <c r="C211" s="24" t="s">
        <v>113</v>
      </c>
      <c r="D211" s="24" t="s">
        <v>180</v>
      </c>
      <c r="E211" s="15">
        <v>42612.072430555556</v>
      </c>
      <c r="F211" s="15">
        <v>42612.086423611108</v>
      </c>
      <c r="G211" s="7">
        <v>1</v>
      </c>
      <c r="H211" s="15" t="s">
        <v>338</v>
      </c>
      <c r="I211" s="15">
        <v>42612.087106481478</v>
      </c>
      <c r="J211" s="7">
        <v>0</v>
      </c>
      <c r="K211" s="132" t="str">
        <f t="shared" si="71"/>
        <v>4029/4030</v>
      </c>
      <c r="L211" s="24" t="str">
        <f>VLOOKUP(A211,'Trips&amp;Operators'!$C$1:$E$10000,3,FALSE)</f>
        <v>CHANDLER</v>
      </c>
      <c r="M211" s="6">
        <f t="shared" si="72"/>
        <v>6.8287036992842332E-4</v>
      </c>
      <c r="N211" s="7">
        <f t="shared" si="68"/>
        <v>0.98333333269692957</v>
      </c>
      <c r="O211" s="7"/>
      <c r="P211" s="7"/>
      <c r="Q211" s="25"/>
      <c r="R211" s="25"/>
      <c r="S211" s="37">
        <f t="shared" si="70"/>
        <v>1</v>
      </c>
      <c r="T211" s="52" t="str">
        <f t="shared" si="73"/>
        <v>NorthBound</v>
      </c>
      <c r="U211" s="126">
        <f>IF(AG211="EC",COUNTIFS(Variables!$M$2:$M$19,IF(T211="NorthBound","&gt;=","&lt;=")&amp;Y211,Variables!$M$2:$M$19,IF(T211="NorthBound","&lt;=","&gt;=")&amp;Z211),COUNTIFS(Variables!$P$2:$P$19,IF(T211="NorthBound","&gt;=","&lt;=")&amp;Y211,Variables!$P$2:$P$19,IF(T211="NorthBound","&lt;=","&gt;=")&amp;Z211))</f>
        <v>1</v>
      </c>
      <c r="V211" s="106" t="str">
        <f t="shared" si="74"/>
        <v>https://search-rtdc-monitor-bjffxe2xuh6vdkpspy63sjmuny.us-east-1.es.amazonaws.com/_plugin/kibana/#/discover/Steve-Slow-Train-Analysis-(2080s-and-2083s)?_g=(refreshInterval:(display:Off,section:0,value:0),time:(from:'2016-08-30 00:44:18-0600',mode:absolute,to:'2016-08-30 03:05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11" s="54" t="str">
        <f t="shared" si="75"/>
        <v>Y</v>
      </c>
      <c r="X211" s="120">
        <f t="shared" si="69"/>
        <v>2</v>
      </c>
      <c r="Y211" s="69">
        <f t="shared" si="76"/>
        <v>4.5999999999999999E-2</v>
      </c>
      <c r="Z211" s="69">
        <f t="shared" si="77"/>
        <v>2.5124</v>
      </c>
      <c r="AA211" s="69">
        <f t="shared" si="78"/>
        <v>2.4664000000000001</v>
      </c>
      <c r="AB211" s="66" t="e">
        <f>VLOOKUP(A211,Enforcements!$C$7:$J$21,8,0)</f>
        <v>#N/A</v>
      </c>
      <c r="AC211" s="62" t="e">
        <f>VLOOKUP(A211,Enforcements!$C$7:$E$21,3,0)</f>
        <v>#N/A</v>
      </c>
      <c r="AD211" s="63" t="str">
        <f t="shared" si="79"/>
        <v>0313-29</v>
      </c>
      <c r="AE211" s="99" t="str">
        <f t="shared" si="8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211" s="96" t="str">
        <f t="shared" si="81"/>
        <v>"C:\Program Files (x86)\AstroGrep\AstroGrep.exe" /spath="%USERPROFILE%\AppData\Local\Temp\OnboardLogs" /stypes="*4029*20160830*" /stext=" 08:.+((SYSTEM_STATE.+slice.+state.+changed )|(ment ac)|(system.+state.+changed )|(\|lc)|(penalty)|(\[timeout)|(PRM\|1\|D)|(kpr)|(kdp))" /e /r /s</v>
      </c>
      <c r="AG211" s="1" t="str">
        <f t="shared" si="82"/>
        <v>Other</v>
      </c>
      <c r="AH211" s="100" t="str">
        <f t="shared" si="83"/>
        <v>"%USERPROFILE%\Documents\GitHub\eaglep3\Utilities\RefineRTDCRunTimes.py" --tripid 313-29 --locoid 4029 --swversion DE.1.0.7.0 --startMP 204:460 --initTime 2016-08-30T01:44:18 --startdatetime 2016-08-30T02:04:27 --delay 1 --endMP 300:25124 --enddatetime 2016-08-30T02:05:26 --enforcementcount 0 &gt;&gt;C:\Users\stu\Documents\GitHub\eaglep3-reporting\EC\2016-08-30-refined-times.txt</v>
      </c>
      <c r="AI211" s="149" t="str">
        <f t="shared" si="84"/>
        <v>echo {"issue":{"subject":"","project_id":79,"tracker_id":40,"status_id":1,"priority_id":2,"assigned_to_id":23,"start_date":"2016-08-30","description":"","custom_fields":[{"id":1,"name":"Subdivision","value":"Other"},{"id":4,"name":"Milepost","value":"2.4664"},{"id":17,"name":"Train ID","value":"313-29"},{"id":16,"name":"Locomotive ID","value":"4029"},{"id":130,"name":"Impact","value":""},{"id":150,"name":"Time of Event (Mountain Time)","value":"02:05:26"},{"id":151,"name":"Denver Issue ID","value":""},{"id":178,"name":"Operational Impact","value":"Yes"},{"id":179,"name":"Denver Segment Assigned","value":""}]}} | curl -X POST -H "Content-Type: application/json" -H "X-Redmine-API-Key: d6333d4a04012a730768444271f8ca06482dae87" https://secure.xorail.net/redmine/issues.json --data @-</v>
      </c>
      <c r="AJ211" s="55"/>
      <c r="AK211" s="55"/>
      <c r="AL211" s="55"/>
    </row>
    <row r="212" spans="1:38" x14ac:dyDescent="0.25">
      <c r="A212" s="39" t="s">
        <v>311</v>
      </c>
      <c r="B212" s="7">
        <v>4029</v>
      </c>
      <c r="C212" s="24" t="s">
        <v>113</v>
      </c>
      <c r="D212" s="24" t="s">
        <v>339</v>
      </c>
      <c r="E212" s="15">
        <v>42612.085532407407</v>
      </c>
      <c r="F212" s="15">
        <v>42612.086423611108</v>
      </c>
      <c r="G212" s="7">
        <v>1</v>
      </c>
      <c r="H212" s="15" t="s">
        <v>340</v>
      </c>
      <c r="I212" s="15">
        <v>42612.087106481478</v>
      </c>
      <c r="J212" s="7">
        <v>0</v>
      </c>
      <c r="K212" s="132" t="str">
        <f t="shared" si="71"/>
        <v>4029/4030</v>
      </c>
      <c r="L212" s="24" t="str">
        <f>VLOOKUP(A212,'Trips&amp;Operators'!$C$1:$E$10000,3,FALSE)</f>
        <v>CHANDLER</v>
      </c>
      <c r="M212" s="6">
        <f t="shared" si="72"/>
        <v>6.8287036992842332E-4</v>
      </c>
      <c r="N212" s="7">
        <f t="shared" ref="N212:N225" si="85">24*60*SUM($M212:$M212)</f>
        <v>0.98333333269692957</v>
      </c>
      <c r="O212" s="7"/>
      <c r="P212" s="7"/>
      <c r="Q212" s="25"/>
      <c r="R212" s="25"/>
      <c r="S212" s="37">
        <f t="shared" si="70"/>
        <v>0</v>
      </c>
      <c r="T212" s="52" t="str">
        <f t="shared" si="73"/>
        <v>NorthBound</v>
      </c>
      <c r="U212" s="126">
        <f>IF(AG212="EC",COUNTIFS(Variables!$M$2:$M$19,IF(T212="NorthBound","&gt;=","&lt;=")&amp;Y212,Variables!$M$2:$M$19,IF(T212="NorthBound","&lt;=","&gt;=")&amp;Z212),COUNTIFS(Variables!$P$2:$P$19,IF(T212="NorthBound","&gt;=","&lt;=")&amp;Y212,Variables!$P$2:$P$19,IF(T212="NorthBound","&lt;=","&gt;=")&amp;Z212))</f>
        <v>0</v>
      </c>
      <c r="V212" s="106" t="str">
        <f t="shared" si="74"/>
        <v>https://search-rtdc-monitor-bjffxe2xuh6vdkpspy63sjmuny.us-east-1.es.amazonaws.com/_plugin/kibana/#/discover/Steve-Slow-Train-Analysis-(2080s-and-2083s)?_g=(refreshInterval:(display:Off,section:0,value:0),time:(from:'2016-08-30 01:03:10-0600',mode:absolute,to:'2016-08-30 03:05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4029%22')),sort:!(Time,asc))</v>
      </c>
      <c r="W212" s="54" t="str">
        <f t="shared" si="75"/>
        <v>Y</v>
      </c>
      <c r="X212" s="120">
        <f t="shared" si="69"/>
        <v>0</v>
      </c>
      <c r="Y212" s="69">
        <f t="shared" si="76"/>
        <v>2.2048999999999999</v>
      </c>
      <c r="Z212" s="69">
        <f t="shared" si="77"/>
        <v>2.2845</v>
      </c>
      <c r="AA212" s="69">
        <f t="shared" si="78"/>
        <v>7.9600000000000115E-2</v>
      </c>
      <c r="AB212" s="66" t="e">
        <f>VLOOKUP(A212,Enforcements!$C$7:$J$21,8,0)</f>
        <v>#N/A</v>
      </c>
      <c r="AC212" s="62" t="e">
        <f>VLOOKUP(A212,Enforcements!$C$7:$E$21,3,0)</f>
        <v>#N/A</v>
      </c>
      <c r="AD212" s="63" t="str">
        <f t="shared" si="79"/>
        <v>0313-29</v>
      </c>
      <c r="AE212" s="99" t="str">
        <f t="shared" si="80"/>
        <v>aws s3 cp s3://rtdc.mdm.uploadarchive/RTDC4029/2016-08-30/ "%USERPROFILE%\AppData\Local\Temp\OnboardLogs"\RTDC4029\2016-08-30 --recursive &amp; "%USERPROFILE%\Documents\GitHub\mrs-test-scripts\Headless Mode &amp; Sideloading\WalkAndUnGZ.bat" "%USERPROFILE%\AppData\Local\Temp\OnboardLogs"\RTDC4029\2016-08-30 &amp; aws s3 cp s3://rtdc.mdm.uploadarchive/RTDC4029/2016-08-31/ "%USERPROFILE%\AppData\Local\Temp\OnboardLogs"\RTDC4029\2016-08-31 --recursive &amp; "%USERPROFILE%\Documents\GitHub\mrs-test-scripts\Headless Mode &amp; Sideloading\WalkAndUnGZ.bat" "%USERPROFILE%\AppData\Local\Temp\OnboardLogs"\RTDC4029\2016-08-31</v>
      </c>
      <c r="AF212" s="96" t="str">
        <f t="shared" si="81"/>
        <v>"C:\Program Files (x86)\AstroGrep\AstroGrep.exe" /spath="%USERPROFILE%\AppData\Local\Temp\OnboardLogs" /stypes="*4029*20160830*" /stext=" 08:.+((SYSTEM_STATE.+slice.+state.+changed )|(ment ac)|(system.+state.+changed )|(\|lc)|(penalty)|(\[timeout)|(PRM\|1\|D)|(kpr)|(kdp))" /e /r /s</v>
      </c>
      <c r="AG212" s="1" t="str">
        <f t="shared" si="82"/>
        <v>Other</v>
      </c>
      <c r="AH212" s="100" t="str">
        <f t="shared" si="83"/>
        <v>"%USERPROFILE%\Documents\GitHub\eaglep3\Utilities\RefineRTDCRunTimes.py" --tripid 313-29 --locoid 4029 --swversion DE.1.0.7.0 --startMP 300:22049 --initTime 2016-08-30T02:03:10 --startdatetime 2016-08-30T02:04:27 --delay 1 --endMP 300:22845 --enddatetime 2016-08-30T02:05:26 --enforcementcount 0 &gt;&gt;C:\Users\stu\Documents\GitHub\eaglep3-reporting\EC\2016-08-30-refined-times.txt</v>
      </c>
      <c r="AI212" s="149" t="str">
        <f t="shared" si="84"/>
        <v>echo {"issue":{"subject":"","project_id":79,"tracker_id":40,"status_id":1,"priority_id":2,"assigned_to_id":23,"start_date":"2016-08-30","description":"","custom_fields":[{"id":1,"name":"Subdivision","value":"Other"},{"id":4,"name":"Milepost","value":"0.0796000000000001"},{"id":17,"name":"Train ID","value":"313-29"},{"id":16,"name":"Locomotive ID","value":"4029"},{"id":130,"name":"Impact","value":""},{"id":150,"name":"Time of Event (Mountain Time)","value":"02:05:26"},{"id":151,"name":"Denver Issue ID","value":""},{"id":178,"name":"Operational Impact","value":"Yes"},{"id":179,"name":"Denver Segment Assigned","value":""}]}} | curl -X POST -H "Content-Type: application/json" -H "X-Redmine-API-Key: d6333d4a04012a730768444271f8ca06482dae87" https://secure.xorail.net/redmine/issues.json --data @-</v>
      </c>
      <c r="AJ212" s="55"/>
      <c r="AK212" s="55"/>
      <c r="AL212" s="55"/>
    </row>
    <row r="213" spans="1:38" x14ac:dyDescent="0.25">
      <c r="A213" s="39" t="s">
        <v>570</v>
      </c>
      <c r="B213" s="7">
        <v>4020</v>
      </c>
      <c r="C213" s="24" t="s">
        <v>113</v>
      </c>
      <c r="D213" s="24" t="s">
        <v>626</v>
      </c>
      <c r="E213" s="15">
        <v>42613.067743055559</v>
      </c>
      <c r="F213" s="15">
        <v>25568.958333333332</v>
      </c>
      <c r="G213" s="7">
        <v>1</v>
      </c>
      <c r="H213" s="15" t="s">
        <v>652</v>
      </c>
      <c r="I213" s="15">
        <v>25568.958333333332</v>
      </c>
      <c r="J213" s="7">
        <v>0</v>
      </c>
      <c r="K213" s="132" t="str">
        <f t="shared" si="71"/>
        <v>4019/4020</v>
      </c>
      <c r="L213" s="24" t="str">
        <f>VLOOKUP(A213,'Trips&amp;Operators'!$C$1:$E$10000,3,FALSE)</f>
        <v>YANAI</v>
      </c>
      <c r="M213" s="6">
        <f t="shared" si="72"/>
        <v>0</v>
      </c>
      <c r="N213" s="7">
        <f t="shared" si="85"/>
        <v>0</v>
      </c>
      <c r="O213" s="7"/>
      <c r="P213" s="7"/>
      <c r="Q213" s="25"/>
      <c r="R213" s="25"/>
      <c r="S213" s="37">
        <f t="shared" si="70"/>
        <v>1</v>
      </c>
      <c r="T213" s="52" t="str">
        <f t="shared" si="73"/>
        <v>NorthBound</v>
      </c>
      <c r="U213" s="126">
        <f>IF(AG213="EC",COUNTIFS(Variables!$M$2:$M$19,IF(T213="NorthBound","&gt;=","&lt;=")&amp;Y213,Variables!$M$2:$M$19,IF(T213="NorthBound","&lt;=","&gt;=")&amp;Z213),COUNTIFS(Variables!$P$2:$P$19,IF(T213="NorthBound","&gt;=","&lt;=")&amp;Y213,Variables!$P$2:$P$19,IF(T213="NorthBound","&lt;=","&gt;=")&amp;Z213))</f>
        <v>1</v>
      </c>
      <c r="V213" s="106" t="str">
        <f t="shared" si="74"/>
        <v>https://search-rtdc-monitor-bjffxe2xuh6vdkpspy63sjmuny.us-east-1.es.amazonaws.com/_plugin/kibana/#/discover/Steve-Slow-Train-Analysis-(2080s-and-2083s)?_g=(refreshInterval:(display:Off,section:0,value:0),time:(from:'2016-08-31 00:37:33-0600',mode:absolute,to:'1970-01-01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213" s="54" t="str">
        <f t="shared" si="75"/>
        <v>Y</v>
      </c>
      <c r="X213" s="120">
        <f t="shared" si="69"/>
        <v>0</v>
      </c>
      <c r="Y213" s="69">
        <f t="shared" si="76"/>
        <v>4.8000000000000001E-2</v>
      </c>
      <c r="Z213" s="69">
        <f t="shared" si="77"/>
        <v>2.3346</v>
      </c>
      <c r="AA213" s="69">
        <f t="shared" si="78"/>
        <v>2.2866</v>
      </c>
      <c r="AB213" s="66" t="e">
        <f>VLOOKUP(A213,Enforcements!$C$7:$J$21,8,0)</f>
        <v>#N/A</v>
      </c>
      <c r="AC213" s="62" t="e">
        <f>VLOOKUP(A213,Enforcements!$C$7:$E$21,3,0)</f>
        <v>#N/A</v>
      </c>
      <c r="AD213" s="63" t="str">
        <f t="shared" si="79"/>
        <v>0313-30</v>
      </c>
      <c r="AE213" s="99" t="str">
        <f t="shared" si="80"/>
        <v>aws s3 cp s3://rtdc.mdm.uploadarchive/RTDC4020/1969-12-31/ "%USERPROFILE%\AppData\Local\Temp\OnboardLogs"\RTDC4020\1969-12-31 --recursive &amp; "%USERPROFILE%\Documents\GitHub\mrs-test-scripts\Headless Mode &amp; Sideloading\WalkAndUnGZ.bat" "%USERPROFILE%\AppData\Local\Temp\OnboardLogs"\RTDC4020\1969-12-31 &amp; aws s3 cp s3://rtdc.mdm.uploadarchive/RTDC4020/1970-01-01/ "%USERPROFILE%\AppData\Local\Temp\OnboardLogs"\RTDC4020\1970-01-01 --recursive &amp; "%USERPROFILE%\Documents\GitHub\mrs-test-scripts\Headless Mode &amp; Sideloading\WalkAndUnGZ.bat" "%USERPROFILE%\AppData\Local\Temp\OnboardLogs"\RTDC4020\1970-01-01</v>
      </c>
      <c r="AF213" s="96" t="str">
        <f t="shared" si="81"/>
        <v>"C:\Program Files (x86)\AstroGrep\AstroGrep.exe" /spath="%USERPROFILE%\AppData\Local\Temp\OnboardLogs" /stypes="*4020*19700101*" /stext=" 05:.+((SYSTEM_STATE.+slice.+state.+changed )|(ment ac)|(system.+state.+changed )|(\|lc)|(penalty)|(\[timeout)|(PRM\|1\|D)|(kpr)|(kdp))" /e /r /s</v>
      </c>
      <c r="AG213" s="1" t="str">
        <f t="shared" si="82"/>
        <v>Other</v>
      </c>
      <c r="AH213" s="100" t="str">
        <f t="shared" si="83"/>
        <v>"%USERPROFILE%\Documents\GitHub\eaglep3\Utilities\RefineRTDCRunTimes.py" --tripid 313-30 --locoid 4020 --swversion DE.1.0.7.0 --startMP 204:480 --initTime 2016-08-31T01:37:33 --startdatetime 1969-12-31T23:00:00 --delay 1 --endMP 300:23346 --enddatetime 1969-12-31T23:00:00 --enforcementcount 0 &gt;&gt;C:\Users\stu\Documents\GitHub\eaglep3-reporting\EC\2016-08-30-refined-times.txt</v>
      </c>
      <c r="AI213" s="149" t="str">
        <f t="shared" si="84"/>
        <v>echo {"issue":{"subject":"","project_id":79,"tracker_id":40,"status_id":1,"priority_id":2,"assigned_to_id":23,"start_date":"1969-12-31","description":"","custom_fields":[{"id":1,"name":"Subdivision","value":"Other"},{"id":4,"name":"Milepost","value":"2.2866"},{"id":17,"name":"Train ID","value":"313-30"},{"id":16,"name":"Locomotive ID","value":"4020"},{"id":130,"name":"Impact","value":""},{"id":150,"name":"Time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13" s="55"/>
      <c r="AK213" s="55"/>
      <c r="AL213" s="55"/>
    </row>
    <row r="214" spans="1:38" x14ac:dyDescent="0.25">
      <c r="A214" s="39" t="s">
        <v>570</v>
      </c>
      <c r="B214" s="7">
        <v>4020</v>
      </c>
      <c r="C214" s="24" t="s">
        <v>113</v>
      </c>
      <c r="D214" s="24" t="s">
        <v>652</v>
      </c>
      <c r="E214" s="15">
        <v>42613.067743055559</v>
      </c>
      <c r="F214" s="15">
        <v>25568.958333333332</v>
      </c>
      <c r="G214" s="7">
        <v>11</v>
      </c>
      <c r="H214" s="15" t="s">
        <v>652</v>
      </c>
      <c r="I214" s="15">
        <v>25568.958333333332</v>
      </c>
      <c r="J214" s="7">
        <v>0</v>
      </c>
      <c r="K214" s="132" t="str">
        <f t="shared" si="71"/>
        <v>4019/4020</v>
      </c>
      <c r="L214" s="24" t="str">
        <f>VLOOKUP(A214,'Trips&amp;Operators'!$C$1:$E$10000,3,FALSE)</f>
        <v>YANAI</v>
      </c>
      <c r="M214" s="6">
        <f t="shared" si="72"/>
        <v>0</v>
      </c>
      <c r="N214" s="7">
        <f t="shared" si="85"/>
        <v>0</v>
      </c>
      <c r="O214" s="7"/>
      <c r="P214" s="7"/>
      <c r="Q214" s="25"/>
      <c r="R214" s="25"/>
      <c r="S214" s="37">
        <f t="shared" si="70"/>
        <v>0</v>
      </c>
      <c r="T214" s="52" t="str">
        <f t="shared" si="73"/>
        <v>NorthBound</v>
      </c>
      <c r="U214" s="126">
        <f>IF(AG214="EC",COUNTIFS(Variables!$M$2:$M$19,IF(T214="NorthBound","&gt;=","&lt;=")&amp;Y214,Variables!$M$2:$M$19,IF(T214="NorthBound","&lt;=","&gt;=")&amp;Z214),COUNTIFS(Variables!$P$2:$P$19,IF(T214="NorthBound","&gt;=","&lt;=")&amp;Y214,Variables!$P$2:$P$19,IF(T214="NorthBound","&lt;=","&gt;=")&amp;Z214))</f>
        <v>0</v>
      </c>
      <c r="V214" s="106" t="str">
        <f t="shared" si="74"/>
        <v>https://search-rtdc-monitor-bjffxe2xuh6vdkpspy63sjmuny.us-east-1.es.amazonaws.com/_plugin/kibana/#/discover/Steve-Slow-Train-Analysis-(2080s-and-2083s)?_g=(refreshInterval:(display:Off,section:0,value:0),time:(from:'2016-08-31 00:37:33-0600',mode:absolute,to:'1970-01-01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W214" s="54" t="str">
        <f t="shared" si="75"/>
        <v>Y</v>
      </c>
      <c r="X214" s="120">
        <f t="shared" si="69"/>
        <v>0</v>
      </c>
      <c r="Y214" s="69">
        <f t="shared" si="76"/>
        <v>2.3346</v>
      </c>
      <c r="Z214" s="69">
        <f t="shared" si="77"/>
        <v>2.3346</v>
      </c>
      <c r="AA214" s="69">
        <f t="shared" si="78"/>
        <v>0</v>
      </c>
      <c r="AB214" s="66" t="e">
        <f>VLOOKUP(A214,Enforcements!$C$7:$J$21,8,0)</f>
        <v>#N/A</v>
      </c>
      <c r="AC214" s="62" t="e">
        <f>VLOOKUP(A214,Enforcements!$C$7:$E$21,3,0)</f>
        <v>#N/A</v>
      </c>
      <c r="AD214" s="63" t="str">
        <f t="shared" si="79"/>
        <v>0313-30</v>
      </c>
      <c r="AE214" s="99" t="str">
        <f t="shared" si="80"/>
        <v>aws s3 cp s3://rtdc.mdm.uploadarchive/RTDC4020/1969-12-31/ "%USERPROFILE%\AppData\Local\Temp\OnboardLogs"\RTDC4020\1969-12-31 --recursive &amp; "%USERPROFILE%\Documents\GitHub\mrs-test-scripts\Headless Mode &amp; Sideloading\WalkAndUnGZ.bat" "%USERPROFILE%\AppData\Local\Temp\OnboardLogs"\RTDC4020\1969-12-31 &amp; aws s3 cp s3://rtdc.mdm.uploadarchive/RTDC4020/1970-01-01/ "%USERPROFILE%\AppData\Local\Temp\OnboardLogs"\RTDC4020\1970-01-01 --recursive &amp; "%USERPROFILE%\Documents\GitHub\mrs-test-scripts\Headless Mode &amp; Sideloading\WalkAndUnGZ.bat" "%USERPROFILE%\AppData\Local\Temp\OnboardLogs"\RTDC4020\1970-01-01</v>
      </c>
      <c r="AF214" s="96" t="str">
        <f t="shared" si="81"/>
        <v>"C:\Program Files (x86)\AstroGrep\AstroGrep.exe" /spath="%USERPROFILE%\AppData\Local\Temp\OnboardLogs" /stypes="*4020*19700101*" /stext=" 05:.+((SYSTEM_STATE.+slice.+state.+changed )|(ment ac)|(system.+state.+changed )|(\|lc)|(penalty)|(\[timeout)|(PRM\|1\|D)|(kpr)|(kdp))" /e /r /s</v>
      </c>
      <c r="AG214" s="1" t="str">
        <f t="shared" si="82"/>
        <v>Other</v>
      </c>
      <c r="AH214" s="100" t="str">
        <f t="shared" si="83"/>
        <v>"%USERPROFILE%\Documents\GitHub\eaglep3\Utilities\RefineRTDCRunTimes.py" --tripid 313-30 --locoid 4020 --swversion DE.1.0.7.0 --startMP 300:23346 --initTime 2016-08-31T01:37:33 --startdatetime 1969-12-31T23:00:00 --delay 11 --endMP 300:23346 --enddatetime 1969-12-31T23:00:00 --enforcementcount 0 &gt;&gt;C:\Users\stu\Documents\GitHub\eaglep3-reporting\EC\2016-08-30-refined-times.txt</v>
      </c>
      <c r="AI214" s="149" t="str">
        <f t="shared" si="84"/>
        <v>echo {"issue":{"subject":"","project_id":79,"tracker_id":40,"status_id":1,"priority_id":2,"assigned_to_id":23,"start_date":"1969-12-31","description":"","custom_fields":[{"id":1,"name":"Subdivision","value":"Other"},{"id":4,"name":"Milepost","value":"0"},{"id":17,"name":"Train ID","value":"313-30"},{"id":16,"name":"Locomotive ID","value":"4020"},{"id":130,"name":"Impact","value":""},{"id":150,"name":"Time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14" s="55"/>
      <c r="AK214" s="55"/>
      <c r="AL214" s="55"/>
    </row>
    <row r="215" spans="1:38" x14ac:dyDescent="0.25">
      <c r="A215" s="39" t="s">
        <v>573</v>
      </c>
      <c r="B215" s="7">
        <v>4018</v>
      </c>
      <c r="C215" s="24" t="s">
        <v>113</v>
      </c>
      <c r="D215" s="24" t="s">
        <v>109</v>
      </c>
      <c r="E215" s="15">
        <v>42613.089872685188</v>
      </c>
      <c r="F215" s="15">
        <v>42613.091516203705</v>
      </c>
      <c r="G215" s="7">
        <v>1</v>
      </c>
      <c r="H215" s="15" t="s">
        <v>653</v>
      </c>
      <c r="I215" s="15">
        <v>42613.097638888888</v>
      </c>
      <c r="J215" s="7">
        <v>0</v>
      </c>
      <c r="K215" s="132" t="str">
        <f t="shared" si="71"/>
        <v>4017/4018</v>
      </c>
      <c r="L215" s="24" t="str">
        <f>VLOOKUP(A215,'Trips&amp;Operators'!$C$1:$E$10000,3,FALSE)</f>
        <v>CHANDLER</v>
      </c>
      <c r="M215" s="6">
        <f t="shared" si="72"/>
        <v>6.1226851830724627E-3</v>
      </c>
      <c r="N215" s="7">
        <f t="shared" si="85"/>
        <v>8.8166666636243463</v>
      </c>
      <c r="O215" s="7"/>
      <c r="P215" s="7"/>
      <c r="Q215" s="25"/>
      <c r="R215" s="25"/>
      <c r="S215" s="37">
        <f t="shared" si="70"/>
        <v>1</v>
      </c>
      <c r="T215" s="52" t="str">
        <f t="shared" si="73"/>
        <v>NorthBound</v>
      </c>
      <c r="U215" s="126">
        <f>IF(AG215="EC",COUNTIFS(Variables!$M$2:$M$19,IF(T215="NorthBound","&gt;=","&lt;=")&amp;Y215,Variables!$M$2:$M$19,IF(T215="NorthBound","&lt;=","&gt;=")&amp;Z215),COUNTIFS(Variables!$P$2:$P$19,IF(T215="NorthBound","&gt;=","&lt;=")&amp;Y215,Variables!$P$2:$P$19,IF(T215="NorthBound","&lt;=","&gt;=")&amp;Z215))</f>
        <v>1</v>
      </c>
      <c r="V215" s="106" t="str">
        <f t="shared" si="74"/>
        <v>https://search-rtdc-monitor-bjffxe2xuh6vdkpspy63sjmuny.us-east-1.es.amazonaws.com/_plugin/kibana/#/discover/Steve-Slow-Train-Analysis-(2080s-and-2083s)?_g=(refreshInterval:(display:Off,section:0,value:0),time:(from:'2016-08-31 01:09:25-0600',mode:absolute,to:'2016-08-31 03:20: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4018%22')),sort:!(Time,asc))</v>
      </c>
      <c r="W215" s="54" t="str">
        <f t="shared" si="75"/>
        <v>Y</v>
      </c>
      <c r="X215" s="120">
        <f t="shared" ref="X215:X225" si="86">VALUE(LEFT(AD215,4))-VALUE(LEFT(AD214,4))</f>
        <v>2</v>
      </c>
      <c r="Y215" s="69">
        <f t="shared" si="76"/>
        <v>4.6199999999999998E-2</v>
      </c>
      <c r="Z215" s="69">
        <f t="shared" si="77"/>
        <v>2.2877000000000001</v>
      </c>
      <c r="AA215" s="69">
        <f t="shared" si="78"/>
        <v>2.2415000000000003</v>
      </c>
      <c r="AB215" s="66" t="e">
        <f>VLOOKUP(A215,Enforcements!$C$7:$J$21,8,0)</f>
        <v>#N/A</v>
      </c>
      <c r="AC215" s="62" t="e">
        <f>VLOOKUP(A215,Enforcements!$C$7:$E$21,3,0)</f>
        <v>#N/A</v>
      </c>
      <c r="AD215" s="63" t="str">
        <f t="shared" si="79"/>
        <v>0315-30</v>
      </c>
      <c r="AE215" s="99" t="str">
        <f t="shared" si="80"/>
        <v>aws s3 cp s3://rtdc.mdm.uploadarchive/RTDC4018/2016-08-31/ "%USERPROFILE%\AppData\Local\Temp\OnboardLogs"\RTDC4018\2016-08-31 --recursive &amp; "%USERPROFILE%\Documents\GitHub\mrs-test-scripts\Headless Mode &amp; Sideloading\WalkAndUnGZ.bat" "%USERPROFILE%\AppData\Local\Temp\OnboardLogs"\RTDC4018\2016-08-31 &amp; aws s3 cp s3://rtdc.mdm.uploadarchive/RTDC4018/2016-09-01/ "%USERPROFILE%\AppData\Local\Temp\OnboardLogs"\RTDC4018\2016-09-01 --recursive &amp; "%USERPROFILE%\Documents\GitHub\mrs-test-scripts\Headless Mode &amp; Sideloading\WalkAndUnGZ.bat" "%USERPROFILE%\AppData\Local\Temp\OnboardLogs"\RTDC4018\2016-09-01</v>
      </c>
      <c r="AF215" s="96" t="str">
        <f t="shared" si="81"/>
        <v>"C:\Program Files (x86)\AstroGrep\AstroGrep.exe" /spath="%USERPROFILE%\AppData\Local\Temp\OnboardLogs" /stypes="*4018*20160831*" /stext=" 08:.+((SYSTEM_STATE.+slice.+state.+changed )|(ment ac)|(system.+state.+changed )|(\|lc)|(penalty)|(\[timeout)|(PRM\|1\|D)|(kpr)|(kdp))" /e /r /s</v>
      </c>
      <c r="AG215" s="1" t="str">
        <f t="shared" si="82"/>
        <v>Other</v>
      </c>
      <c r="AH215" s="100" t="str">
        <f t="shared" si="83"/>
        <v>"%USERPROFILE%\Documents\GitHub\eaglep3\Utilities\RefineRTDCRunTimes.py" --tripid 315-30 --locoid 4018 --swversion DE.1.0.7.0 --startMP 204:462 --initTime 2016-08-31T02:09:25 --startdatetime 2016-08-31T02:11:47 --delay 1 --endMP 300:22877 --enddatetime 2016-08-31T02:20:36 --enforcementcount 0 &gt;&gt;C:\Users\stu\Documents\GitHub\eaglep3-reporting\EC\2016-08-30-refined-times.txt</v>
      </c>
      <c r="AI215" s="149" t="str">
        <f t="shared" si="84"/>
        <v>echo {"issue":{"subject":"","project_id":79,"tracker_id":40,"status_id":1,"priority_id":2,"assigned_to_id":23,"start_date":"2016-08-31","description":"","custom_fields":[{"id":1,"name":"Subdivision","value":"Other"},{"id":4,"name":"Milepost","value":"2.2415"},{"id":17,"name":"Train ID","value":"315-30"},{"id":16,"name":"Locomotive ID","value":"4018"},{"id":130,"name":"Impact","value":""},{"id":150,"name":"Time of Event (Mountain Time)","value":"02:20:36"},{"id":151,"name":"Denver Issue ID","value":""},{"id":178,"name":"Operational Impact","value":"Yes"},{"id":179,"name":"Denver Segment Assigned","value":""}]}} | curl -X POST -H "Content-Type: application/json" -H "X-Redmine-API-Key: d6333d4a04012a730768444271f8ca06482dae87" https://secure.xorail.net/redmine/issues.json --data @-</v>
      </c>
      <c r="AJ215" s="55"/>
      <c r="AK215" s="55"/>
      <c r="AL215" s="55"/>
    </row>
    <row r="216" spans="1:38" x14ac:dyDescent="0.25">
      <c r="A216" s="39" t="s">
        <v>496</v>
      </c>
      <c r="B216" s="7">
        <v>4028</v>
      </c>
      <c r="C216" s="24" t="s">
        <v>113</v>
      </c>
      <c r="D216" s="24" t="s">
        <v>723</v>
      </c>
      <c r="E216" s="15">
        <v>42612.64398148148</v>
      </c>
      <c r="F216" s="15">
        <v>42612.647407407407</v>
      </c>
      <c r="G216" s="7">
        <v>4</v>
      </c>
      <c r="H216" s="15" t="s">
        <v>346</v>
      </c>
      <c r="I216" s="15">
        <v>42612.653854166667</v>
      </c>
      <c r="J216" s="7">
        <v>0</v>
      </c>
      <c r="K216" s="132" t="str">
        <f t="shared" si="71"/>
        <v>4027/4028</v>
      </c>
      <c r="L216" s="24" t="str">
        <f>VLOOKUP(A216,'Trips&amp;Operators'!$C$1:$E$10000,3,FALSE)</f>
        <v>CRAYTON</v>
      </c>
      <c r="M216" s="6">
        <f t="shared" si="72"/>
        <v>6.4467592601431534E-3</v>
      </c>
      <c r="N216" s="7">
        <f t="shared" si="85"/>
        <v>9.2833333346061409</v>
      </c>
      <c r="O216" s="7"/>
      <c r="P216" s="7"/>
      <c r="Q216" s="25"/>
      <c r="R216" s="25"/>
      <c r="S216" s="37">
        <f t="shared" si="70"/>
        <v>1</v>
      </c>
      <c r="T216" s="52" t="str">
        <f t="shared" si="73"/>
        <v>Southbound</v>
      </c>
      <c r="U216" s="126">
        <f>IF(AG216="EC",COUNTIFS(Variables!$M$2:$M$19,IF(T216="NorthBound","&gt;=","&lt;=")&amp;Y216,Variables!$M$2:$M$19,IF(T216="NorthBound","&lt;=","&gt;=")&amp;Z216),COUNTIFS(Variables!$P$2:$P$19,IF(T216="NorthBound","&gt;=","&lt;=")&amp;Y216,Variables!$P$2:$P$19,IF(T216="NorthBound","&lt;=","&gt;=")&amp;Z216))</f>
        <v>1</v>
      </c>
      <c r="V216" s="106" t="str">
        <f t="shared" si="74"/>
        <v>https://search-rtdc-monitor-bjffxe2xuh6vdkpspy63sjmuny.us-east-1.es.amazonaws.com/_plugin/kibana/#/discover/Steve-Slow-Train-Analysis-(2080s-and-2083s)?_g=(refreshInterval:(display:Off,section:0,value:0),time:(from:'2016-08-30 14:27:20-0600',mode:absolute,to:'2016-08-30 16:41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216" s="54" t="str">
        <f t="shared" si="75"/>
        <v>Y</v>
      </c>
      <c r="X216" s="120">
        <f t="shared" si="86"/>
        <v>589</v>
      </c>
      <c r="Y216" s="69">
        <f t="shared" si="76"/>
        <v>2.3391999999999999</v>
      </c>
      <c r="Z216" s="69">
        <f t="shared" si="77"/>
        <v>7.1900000000000006E-2</v>
      </c>
      <c r="AA216" s="69">
        <f t="shared" si="78"/>
        <v>2.2673000000000001</v>
      </c>
      <c r="AB216" s="66" t="e">
        <f>VLOOKUP(A216,Enforcements!$C$7:$J$21,8,0)</f>
        <v>#N/A</v>
      </c>
      <c r="AC216" s="62" t="e">
        <f>VLOOKUP(A216,Enforcements!$C$7:$E$21,3,0)</f>
        <v>#N/A</v>
      </c>
      <c r="AD216" s="63" t="str">
        <f t="shared" si="79"/>
        <v>0904-30</v>
      </c>
      <c r="AE216" s="99" t="str">
        <f t="shared" si="80"/>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AF216" s="96" t="str">
        <f t="shared" si="81"/>
        <v>"C:\Program Files (x86)\AstroGrep\AstroGrep.exe" /spath="%USERPROFILE%\AppData\Local\Temp\OnboardLogs" /stypes="*4028*20160830*" /stext=" 21:.+((SYSTEM_STATE.+slice.+state.+changed )|(ment ac)|(system.+state.+changed )|(\|lc)|(penalty)|(\[timeout)|(PRM\|1\|D)|(kpr)|(kdp))" /e /r /s</v>
      </c>
      <c r="AG216" s="1" t="str">
        <f t="shared" si="82"/>
        <v>Other</v>
      </c>
      <c r="AH216" s="100" t="str">
        <f t="shared" si="83"/>
        <v>"%USERPROFILE%\Documents\GitHub\eaglep3\Utilities\RefineRTDCRunTimes.py" --tripid 904-30 --locoid 4028 --swversion DE.1.0.7.0 --startMP 300:23392 --initTime 2016-08-30T15:27:20 --startdatetime 2016-08-30T15:32:16 --delay 4 --endMP 204:719 --enddatetime 2016-08-30T15:41:33 --enforcementcount 0 &gt;&gt;C:\Users\stu\Documents\GitHub\eaglep3-reporting\EC\2016-08-30-refined-times.txt</v>
      </c>
      <c r="AI216" s="149" t="str">
        <f t="shared" si="84"/>
        <v>echo {"issue":{"subject":"","project_id":79,"tracker_id":40,"status_id":1,"priority_id":2,"assigned_to_id":23,"start_date":"2016-08-30","description":"","custom_fields":[{"id":1,"name":"Subdivision","value":"Other"},{"id":4,"name":"Milepost","value":"2.2673"},{"id":17,"name":"Train ID","value":"904-30"},{"id":16,"name":"Locomotive ID","value":"4028"},{"id":130,"name":"Impact","value":""},{"id":150,"name":"Time of Event (Mountain Time)","value":"15:41:33"},{"id":151,"name":"Denver Issue ID","value":""},{"id":178,"name":"Operational Impact","value":"Yes"},{"id":179,"name":"Denver Segment Assigned","value":""}]}} | curl -X POST -H "Content-Type: application/json" -H "X-Redmine-API-Key: d6333d4a04012a730768444271f8ca06482dae87" https://secure.xorail.net/redmine/issues.json --data @-</v>
      </c>
      <c r="AJ216" s="55"/>
      <c r="AK216" s="55"/>
      <c r="AL216" s="55"/>
    </row>
    <row r="217" spans="1:38" x14ac:dyDescent="0.25">
      <c r="A217" s="39" t="s">
        <v>537</v>
      </c>
      <c r="B217" s="7">
        <v>4028</v>
      </c>
      <c r="C217" s="24" t="s">
        <v>113</v>
      </c>
      <c r="D217" s="24" t="s">
        <v>670</v>
      </c>
      <c r="E217" s="15">
        <v>42612.797037037039</v>
      </c>
      <c r="F217" s="15">
        <v>25568.958333333332</v>
      </c>
      <c r="G217" s="7">
        <v>1</v>
      </c>
      <c r="H217" s="15" t="s">
        <v>724</v>
      </c>
      <c r="I217" s="15">
        <v>25568.958333333332</v>
      </c>
      <c r="J217" s="7">
        <v>0</v>
      </c>
      <c r="K217" s="132" t="str">
        <f t="shared" si="71"/>
        <v>4027/4028</v>
      </c>
      <c r="L217" s="24" t="str">
        <f>VLOOKUP(A217,'Trips&amp;Operators'!$C$1:$E$10000,3,FALSE)</f>
        <v>CRAYTON</v>
      </c>
      <c r="M217" s="6">
        <f t="shared" si="72"/>
        <v>0</v>
      </c>
      <c r="N217" s="7">
        <f t="shared" si="85"/>
        <v>0</v>
      </c>
      <c r="O217" s="7"/>
      <c r="P217" s="7"/>
      <c r="Q217" s="25"/>
      <c r="R217" s="25"/>
      <c r="S217" s="37">
        <f t="shared" si="70"/>
        <v>0</v>
      </c>
      <c r="T217" s="52" t="str">
        <f t="shared" si="73"/>
        <v>Southbound</v>
      </c>
      <c r="U217" s="126">
        <f>IF(AG217="EC",COUNTIFS(Variables!$M$2:$M$19,IF(T217="NorthBound","&gt;=","&lt;=")&amp;Y217,Variables!$M$2:$M$19,IF(T217="NorthBound","&lt;=","&gt;=")&amp;Z217),COUNTIFS(Variables!$P$2:$P$19,IF(T217="NorthBound","&gt;=","&lt;=")&amp;Y217,Variables!$P$2:$P$19,IF(T217="NorthBound","&lt;=","&gt;=")&amp;Z217))</f>
        <v>0</v>
      </c>
      <c r="V217" s="106" t="str">
        <f t="shared" si="74"/>
        <v>https://search-rtdc-monitor-bjffxe2xuh6vdkpspy63sjmuny.us-east-1.es.amazonaws.com/_plugin/kibana/#/discover/Steve-Slow-Train-Analysis-(2080s-and-2083s)?_g=(refreshInterval:(display:Off,section:0,value:0),time:(from:'2016-08-30 18:07:44-0600',mode:absolute,to:'1970-01-01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W217" s="54" t="str">
        <f t="shared" si="75"/>
        <v>Y</v>
      </c>
      <c r="X217" s="120">
        <f t="shared" si="86"/>
        <v>2</v>
      </c>
      <c r="Y217" s="69">
        <f t="shared" si="76"/>
        <v>5.8644999999999996</v>
      </c>
      <c r="Z217" s="69">
        <f t="shared" si="77"/>
        <v>2.8795000000000002</v>
      </c>
      <c r="AA217" s="69">
        <f t="shared" si="78"/>
        <v>2.9849999999999994</v>
      </c>
      <c r="AB217" s="66" t="e">
        <f>VLOOKUP(A217,Enforcements!$C$7:$J$21,8,0)</f>
        <v>#N/A</v>
      </c>
      <c r="AC217" s="62" t="e">
        <f>VLOOKUP(A217,Enforcements!$C$7:$E$21,3,0)</f>
        <v>#N/A</v>
      </c>
      <c r="AD217" s="63" t="str">
        <f t="shared" si="79"/>
        <v>0906-30</v>
      </c>
      <c r="AE217" s="99" t="str">
        <f t="shared" si="80"/>
        <v>aws s3 cp s3://rtdc.mdm.uploadarchive/RTDC4028/1969-12-31/ "%USERPROFILE%\AppData\Local\Temp\OnboardLogs"\RTDC4028\1969-12-31 --recursive &amp; "%USERPROFILE%\Documents\GitHub\mrs-test-scripts\Headless Mode &amp; Sideloading\WalkAndUnGZ.bat" "%USERPROFILE%\AppData\Local\Temp\OnboardLogs"\RTDC4028\1969-12-31 &amp; aws s3 cp s3://rtdc.mdm.uploadarchive/RTDC4028/1970-01-01/ "%USERPROFILE%\AppData\Local\Temp\OnboardLogs"\RTDC4028\1970-01-01 --recursive &amp; "%USERPROFILE%\Documents\GitHub\mrs-test-scripts\Headless Mode &amp; Sideloading\WalkAndUnGZ.bat" "%USERPROFILE%\AppData\Local\Temp\OnboardLogs"\RTDC4028\1970-01-01</v>
      </c>
      <c r="AF217" s="96" t="str">
        <f t="shared" si="81"/>
        <v>"C:\Program Files (x86)\AstroGrep\AstroGrep.exe" /spath="%USERPROFILE%\AppData\Local\Temp\OnboardLogs" /stypes="*4028*19700101*" /stext=" 05:.+((SYSTEM_STATE.+slice.+state.+changed )|(ment ac)|(system.+state.+changed )|(\|lc)|(penalty)|(\[timeout)|(PRM\|1\|D)|(kpr)|(kdp))" /e /r /s</v>
      </c>
      <c r="AG217" s="1" t="str">
        <f t="shared" si="82"/>
        <v>Other</v>
      </c>
      <c r="AH217" s="100" t="str">
        <f t="shared" si="83"/>
        <v>"%USERPROFILE%\Documents\GitHub\eaglep3\Utilities\RefineRTDCRunTimes.py" --tripid 906-30 --locoid 4028 --swversion DE.1.0.7.0 --startMP 300:58645 --initTime 2016-08-30T19:07:44 --startdatetime 1969-12-31T23:00:00 --delay 1 --endMP 300:28795 --enddatetime 1969-12-31T23:00:00 --enforcementcount 0 &gt;&gt;C:\Users\stu\Documents\GitHub\eaglep3-reporting\EC\2016-08-30-refined-times.txt</v>
      </c>
      <c r="AI217" s="149" t="str">
        <f t="shared" si="84"/>
        <v>echo {"issue":{"subject":"","project_id":79,"tracker_id":40,"status_id":1,"priority_id":2,"assigned_to_id":23,"start_date":"1969-12-31","description":"","custom_fields":[{"id":1,"name":"Subdivision","value":"Other"},{"id":4,"name":"Milepost","value":"2.985"},{"id":17,"name":"Train ID","value":"906-30"},{"id":16,"name":"Locomotive ID","value":"4028"},{"id":130,"name":"Impact","value":""},{"id":150,"name":"Time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17" s="55"/>
      <c r="AK217" s="55"/>
      <c r="AL217" s="55"/>
    </row>
    <row r="218" spans="1:38" x14ac:dyDescent="0.25">
      <c r="A218" s="39" t="s">
        <v>557</v>
      </c>
      <c r="B218" s="7">
        <v>4013</v>
      </c>
      <c r="C218" s="24" t="s">
        <v>113</v>
      </c>
      <c r="D218" s="24" t="s">
        <v>725</v>
      </c>
      <c r="E218" s="15">
        <v>42612.942800925928</v>
      </c>
      <c r="F218" s="15">
        <v>42612.944374999999</v>
      </c>
      <c r="G218" s="7">
        <v>1</v>
      </c>
      <c r="H218" s="15" t="s">
        <v>726</v>
      </c>
      <c r="I218" s="15">
        <v>42612.949270833335</v>
      </c>
      <c r="J218" s="7">
        <v>0</v>
      </c>
      <c r="K218" s="132" t="str">
        <f t="shared" si="71"/>
        <v>4013/4014</v>
      </c>
      <c r="L218" s="24" t="str">
        <f>VLOOKUP(A218,'Trips&amp;Operators'!$C$1:$E$10000,3,FALSE)</f>
        <v>CRAYTON</v>
      </c>
      <c r="M218" s="6">
        <f t="shared" si="72"/>
        <v>4.8958333354676142E-3</v>
      </c>
      <c r="N218" s="7">
        <f t="shared" si="85"/>
        <v>7.0500000030733645</v>
      </c>
      <c r="O218" s="7"/>
      <c r="P218" s="7"/>
      <c r="Q218" s="25"/>
      <c r="R218" s="25"/>
      <c r="S218" s="37">
        <f t="shared" si="70"/>
        <v>0</v>
      </c>
      <c r="T218" s="52" t="str">
        <f t="shared" si="73"/>
        <v>Southbound</v>
      </c>
      <c r="U218" s="126">
        <f>IF(AG218="EC",COUNTIFS(Variables!$M$2:$M$19,IF(T218="NorthBound","&gt;=","&lt;=")&amp;Y218,Variables!$M$2:$M$19,IF(T218="NorthBound","&lt;=","&gt;=")&amp;Z218),COUNTIFS(Variables!$P$2:$P$19,IF(T218="NorthBound","&gt;=","&lt;=")&amp;Y218,Variables!$P$2:$P$19,IF(T218="NorthBound","&lt;=","&gt;=")&amp;Z218))</f>
        <v>0</v>
      </c>
      <c r="V218" s="106" t="str">
        <f t="shared" si="74"/>
        <v>https://search-rtdc-monitor-bjffxe2xuh6vdkpspy63sjmuny.us-east-1.es.amazonaws.com/_plugin/kibana/#/discover/Steve-Slow-Train-Analysis-(2080s-and-2083s)?_g=(refreshInterval:(display:Off,section:0,value:0),time:(from:'2016-08-30 21:37:38-0600',mode:absolute,to:'2016-08-30 23:46: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W218" s="54" t="str">
        <f t="shared" si="75"/>
        <v>Y</v>
      </c>
      <c r="X218" s="120">
        <f t="shared" si="86"/>
        <v>2</v>
      </c>
      <c r="Y218" s="69">
        <f t="shared" si="76"/>
        <v>5.8640999999999996</v>
      </c>
      <c r="Z218" s="69">
        <f t="shared" si="77"/>
        <v>2.17</v>
      </c>
      <c r="AA218" s="69">
        <f t="shared" si="78"/>
        <v>3.6940999999999997</v>
      </c>
      <c r="AB218" s="66" t="e">
        <f>VLOOKUP(A218,Enforcements!$C$7:$J$21,8,0)</f>
        <v>#N/A</v>
      </c>
      <c r="AC218" s="62" t="e">
        <f>VLOOKUP(A218,Enforcements!$C$7:$E$21,3,0)</f>
        <v>#N/A</v>
      </c>
      <c r="AD218" s="63" t="str">
        <f t="shared" si="79"/>
        <v>0908-30</v>
      </c>
      <c r="AE218" s="99" t="str">
        <f t="shared" si="80"/>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AF218" s="96" t="str">
        <f t="shared" si="81"/>
        <v>"C:\Program Files (x86)\AstroGrep\AstroGrep.exe" /spath="%USERPROFILE%\AppData\Local\Temp\OnboardLogs" /stypes="*4013*20160831*" /stext=" 04:.+((SYSTEM_STATE.+slice.+state.+changed )|(ment ac)|(system.+state.+changed )|(\|lc)|(penalty)|(\[timeout)|(PRM\|1\|D)|(kpr)|(kdp))" /e /r /s</v>
      </c>
      <c r="AG218" s="1" t="str">
        <f t="shared" si="82"/>
        <v>Other</v>
      </c>
      <c r="AH218" s="100" t="str">
        <f t="shared" si="83"/>
        <v>"%USERPROFILE%\Documents\GitHub\eaglep3\Utilities\RefineRTDCRunTimes.py" --tripid 908-30 --locoid 4013 --swversion DE.1.0.7.0 --startMP 300:58641 --initTime 2016-08-30T22:37:38 --startdatetime 2016-08-30T22:39:54 --delay 1 --endMP 300:21700 --enddatetime 2016-08-30T22:46:57 --enforcementcount 0 &gt;&gt;C:\Users\stu\Documents\GitHub\eaglep3-reporting\EC\2016-08-30-refined-times.txt</v>
      </c>
      <c r="AI218" s="149" t="str">
        <f t="shared" si="84"/>
        <v>echo {"issue":{"subject":"","project_id":79,"tracker_id":40,"status_id":1,"priority_id":2,"assigned_to_id":23,"start_date":"2016-08-30","description":"","custom_fields":[{"id":1,"name":"Subdivision","value":"Other"},{"id":4,"name":"Milepost","value":"3.6941"},{"id":17,"name":"Train ID","value":"908-30"},{"id":16,"name":"Locomotive ID","value":"4013"},{"id":130,"name":"Impact","value":""},{"id":150,"name":"Time of Event (Mountain Time)","value":"22:46:57"},{"id":151,"name":"Denver Issue ID","value":""},{"id":178,"name":"Operational Impact","value":"Yes"},{"id":179,"name":"Denver Segment Assigned","value":""}]}} | curl -X POST -H "Content-Type: application/json" -H "X-Redmine-API-Key: d6333d4a04012a730768444271f8ca06482dae87" https://secure.xorail.net/redmine/issues.json --data @-</v>
      </c>
      <c r="AJ218" s="55"/>
      <c r="AK218" s="55"/>
      <c r="AL218" s="55"/>
    </row>
    <row r="219" spans="1:38" x14ac:dyDescent="0.25">
      <c r="A219" s="39" t="s">
        <v>574</v>
      </c>
      <c r="B219" s="7">
        <v>4010</v>
      </c>
      <c r="C219" s="24" t="s">
        <v>113</v>
      </c>
      <c r="D219" s="24" t="s">
        <v>654</v>
      </c>
      <c r="E219" s="15">
        <v>42613.094351851854</v>
      </c>
      <c r="F219" s="15">
        <v>42613.099317129629</v>
      </c>
      <c r="G219" s="7">
        <v>1</v>
      </c>
      <c r="H219" s="15" t="s">
        <v>655</v>
      </c>
      <c r="I219" s="15">
        <v>42613.103043981479</v>
      </c>
      <c r="J219" s="7">
        <v>0</v>
      </c>
      <c r="K219" s="132" t="str">
        <f t="shared" si="71"/>
        <v>4009/4010</v>
      </c>
      <c r="L219" s="24" t="str">
        <f>VLOOKUP(A219,'Trips&amp;Operators'!$C$1:$E$10000,3,FALSE)</f>
        <v>CHIONE</v>
      </c>
      <c r="M219" s="6">
        <f t="shared" si="72"/>
        <v>3.7268518499331549E-3</v>
      </c>
      <c r="N219" s="7">
        <f t="shared" si="85"/>
        <v>5.366666663903743</v>
      </c>
      <c r="O219" s="7"/>
      <c r="P219" s="7"/>
      <c r="Q219" s="25"/>
      <c r="R219" s="25"/>
      <c r="S219" s="37">
        <f t="shared" si="70"/>
        <v>0</v>
      </c>
      <c r="T219" s="52" t="e">
        <f t="shared" si="73"/>
        <v>#VALUE!</v>
      </c>
      <c r="U219" s="126">
        <f>IF(AG219="EC",COUNTIFS(Variables!$M$2:$M$19,IF(T219="NorthBound","&gt;=","&lt;=")&amp;Y219,Variables!$M$2:$M$19,IF(T219="NorthBound","&lt;=","&gt;=")&amp;Z219),COUNTIFS(Variables!$P$2:$P$19,IF(T219="NorthBound","&gt;=","&lt;=")&amp;Y219,Variables!$P$2:$P$19,IF(T219="NorthBound","&lt;=","&gt;=")&amp;Z219))</f>
        <v>0</v>
      </c>
      <c r="V219" s="106" t="str">
        <f t="shared" si="74"/>
        <v>https://search-rtdc-monitor-bjffxe2xuh6vdkpspy63sjmuny.us-east-1.es.amazonaws.com/_plugin/kibana/#/discover/Steve-Slow-Train-Analysis-(2080s-and-2083s)?_g=(refreshInterval:(display:Off,section:0,value:0),time:(from:'2016-08-31 01:15:52-0600',mode:absolute,to:'2016-08-31 03:28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219" s="54" t="str">
        <f t="shared" si="75"/>
        <v>Y</v>
      </c>
      <c r="X219" s="120" t="e">
        <f t="shared" si="86"/>
        <v>#VALUE!</v>
      </c>
      <c r="Y219" s="69">
        <f t="shared" si="76"/>
        <v>3.1141999999999999</v>
      </c>
      <c r="Z219" s="69">
        <f t="shared" si="77"/>
        <v>0.52800000000000002</v>
      </c>
      <c r="AA219" s="69">
        <f t="shared" si="78"/>
        <v>2.5861999999999998</v>
      </c>
      <c r="AB219" s="66" t="e">
        <f>VLOOKUP(A219,Enforcements!$C$7:$J$21,8,0)</f>
        <v>#N/A</v>
      </c>
      <c r="AC219" s="62" t="e">
        <f>VLOOKUP(A219,Enforcements!$C$7:$E$21,3,0)</f>
        <v>#N/A</v>
      </c>
      <c r="AD219" s="63" t="str">
        <f t="shared" si="79"/>
        <v>50-31</v>
      </c>
      <c r="AE219" s="99" t="str">
        <f t="shared" si="80"/>
        <v>aws s3 cp s3://rtdc.mdm.uploadarchive/RTDC4010/2016-08-31/ "%USERPROFILE%\AppData\Local\Temp\OnboardLogs"\RTDC4010\2016-08-31 --recursive &amp; "%USERPROFILE%\Documents\GitHub\mrs-test-scripts\Headless Mode &amp; Sideloading\WalkAndUnGZ.bat" "%USERPROFILE%\AppData\Local\Temp\OnboardLogs"\RTDC4010\2016-08-31 &amp; aws s3 cp s3://rtdc.mdm.uploadarchive/RTDC4010/2016-09-01/ "%USERPROFILE%\AppData\Local\Temp\OnboardLogs"\RTDC4010\2016-09-01 --recursive &amp; "%USERPROFILE%\Documents\GitHub\mrs-test-scripts\Headless Mode &amp; Sideloading\WalkAndUnGZ.bat" "%USERPROFILE%\AppData\Local\Temp\OnboardLogs"\RTDC4010\2016-09-01</v>
      </c>
      <c r="AF219" s="96" t="str">
        <f t="shared" si="81"/>
        <v>"C:\Program Files (x86)\AstroGrep\AstroGrep.exe" /spath="%USERPROFILE%\AppData\Local\Temp\OnboardLogs" /stypes="*4010*20160831*" /stext=" 08:.+((SYSTEM_STATE.+slice.+state.+changed )|(ment ac)|(system.+state.+changed )|(\|lc)|(penalty)|(\[timeout)|(PRM\|1\|D)|(kpr)|(kdp))" /e /r /s</v>
      </c>
      <c r="AG219" s="1" t="str">
        <f t="shared" si="82"/>
        <v>Other</v>
      </c>
      <c r="AH219" s="100" t="str">
        <f t="shared" si="83"/>
        <v>"%USERPROFILE%\Documents\GitHub\eaglep3\Utilities\RefineRTDCRunTimes.py" --tripid 50-31 --locoid 4010 --swversion DE.1.0.7.0 --startMP 300:31142 --initTime 2016-08-31T02:15:52 --startdatetime 2016-08-31T02:23:01 --delay 1 --endMP 300:5280 --enddatetime 2016-08-31T02:28:23 --enforcementcount 0 &gt;&gt;C:\Users\stu\Documents\GitHub\eaglep3-reporting\EC\2016-08-30-refined-times.txt</v>
      </c>
      <c r="AI219" s="149" t="str">
        <f t="shared" si="84"/>
        <v>echo {"issue":{"subject":"","project_id":79,"tracker_id":40,"status_id":1,"priority_id":2,"assigned_to_id":23,"start_date":"2016-08-31","description":"","custom_fields":[{"id":1,"name":"Subdivision","value":"Other"},{"id":4,"name":"Milepost","value":"2.5862"},{"id":17,"name":"Train ID","value":"50-31"},{"id":16,"name":"Locomotive ID","value":"4010"},{"id":130,"name":"Impact","value":""},{"id":150,"name":"Time of Event (Mountain Time)","value":"02:28:23"},{"id":151,"name":"Denver Issue ID","value":""},{"id":178,"name":"Operational Impact","value":"Yes"},{"id":179,"name":"Denver Segment Assigned","value":""}]}} | curl -X POST -H "Content-Type: application/json" -H "X-Redmine-API-Key: d6333d4a04012a730768444271f8ca06482dae87" https://secure.xorail.net/redmine/issues.json --data @-</v>
      </c>
      <c r="AJ219" s="55"/>
      <c r="AK219" s="55"/>
      <c r="AL219" s="55"/>
    </row>
    <row r="220" spans="1:38" x14ac:dyDescent="0.25">
      <c r="A220" s="39" t="s">
        <v>571</v>
      </c>
      <c r="B220" s="7">
        <v>4009</v>
      </c>
      <c r="C220" s="24" t="s">
        <v>113</v>
      </c>
      <c r="D220" s="24" t="s">
        <v>656</v>
      </c>
      <c r="E220" s="15">
        <v>42613.077361111114</v>
      </c>
      <c r="F220" s="15">
        <v>42613.108564814815</v>
      </c>
      <c r="G220" s="7">
        <v>2</v>
      </c>
      <c r="H220" s="15" t="s">
        <v>657</v>
      </c>
      <c r="I220" s="15">
        <v>42613.113993055558</v>
      </c>
      <c r="J220" s="7">
        <v>0</v>
      </c>
      <c r="K220" s="132" t="str">
        <f t="shared" si="71"/>
        <v>4009/4010</v>
      </c>
      <c r="L220" s="24" t="str">
        <f>VLOOKUP(A220,'Trips&amp;Operators'!$C$1:$E$10000,3,FALSE)</f>
        <v>CHIONE</v>
      </c>
      <c r="M220" s="6">
        <f t="shared" si="72"/>
        <v>5.4282407436403446E-3</v>
      </c>
      <c r="N220" s="7">
        <f t="shared" si="85"/>
        <v>7.8166666708420962</v>
      </c>
      <c r="O220" s="7"/>
      <c r="P220" s="7"/>
      <c r="Q220" s="25"/>
      <c r="R220" s="25"/>
      <c r="S220" s="37">
        <f t="shared" si="70"/>
        <v>0</v>
      </c>
      <c r="T220" s="52" t="e">
        <f t="shared" si="73"/>
        <v>#VALUE!</v>
      </c>
      <c r="U220" s="126">
        <f>IF(AG220="EC",COUNTIFS(Variables!$M$2:$M$19,IF(T220="NorthBound","&gt;=","&lt;=")&amp;Y220,Variables!$M$2:$M$19,IF(T220="NorthBound","&lt;=","&gt;=")&amp;Z220),COUNTIFS(Variables!$P$2:$P$19,IF(T220="NorthBound","&gt;=","&lt;=")&amp;Y220,Variables!$P$2:$P$19,IF(T220="NorthBound","&lt;=","&gt;=")&amp;Z220))</f>
        <v>0</v>
      </c>
      <c r="V220" s="106" t="str">
        <f t="shared" si="74"/>
        <v>https://search-rtdc-monitor-bjffxe2xuh6vdkpspy63sjmuny.us-east-1.es.amazonaws.com/_plugin/kibana/#/discover/Steve-Slow-Train-Analysis-(2080s-and-2083s)?_g=(refreshInterval:(display:Off,section:0,value:0),time:(from:'2016-08-31 00:51:24-0600',mode:absolute,to:'2016-08-31 03:44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220" s="54" t="str">
        <f t="shared" si="75"/>
        <v>Y</v>
      </c>
      <c r="X220" s="120" t="e">
        <f t="shared" si="86"/>
        <v>#VALUE!</v>
      </c>
      <c r="Y220" s="69">
        <f t="shared" si="76"/>
        <v>0.1177</v>
      </c>
      <c r="Z220" s="69">
        <f t="shared" si="77"/>
        <v>3.1461999999999999</v>
      </c>
      <c r="AA220" s="69">
        <f t="shared" si="78"/>
        <v>3.0284999999999997</v>
      </c>
      <c r="AB220" s="66" t="e">
        <f>VLOOKUP(A220,Enforcements!$C$7:$J$21,8,0)</f>
        <v>#N/A</v>
      </c>
      <c r="AC220" s="62" t="e">
        <f>VLOOKUP(A220,Enforcements!$C$7:$E$21,3,0)</f>
        <v>#N/A</v>
      </c>
      <c r="AD220" s="63" t="str">
        <f t="shared" si="79"/>
        <v>51-31</v>
      </c>
      <c r="AE220" s="99" t="str">
        <f t="shared" si="80"/>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220" s="96" t="str">
        <f t="shared" si="81"/>
        <v>"C:\Program Files (x86)\AstroGrep\AstroGrep.exe" /spath="%USERPROFILE%\AppData\Local\Temp\OnboardLogs" /stypes="*4009*20160831*" /stext=" 08:.+((SYSTEM_STATE.+slice.+state.+changed )|(ment ac)|(system.+state.+changed )|(\|lc)|(penalty)|(\[timeout)|(PRM\|1\|D)|(kpr)|(kdp))" /e /r /s</v>
      </c>
      <c r="AG220" s="1" t="str">
        <f t="shared" si="82"/>
        <v>Other</v>
      </c>
      <c r="AH220" s="100" t="str">
        <f t="shared" si="83"/>
        <v>"%USERPROFILE%\Documents\GitHub\eaglep3\Utilities\RefineRTDCRunTimes.py" --tripid 51-31 --locoid 4009 --swversion DE.1.0.7.0 --startMP 204:1177 --initTime 2016-08-31T01:51:24 --startdatetime 2016-08-31T02:36:20 --delay 2 --endMP 300:31462 --enddatetime 2016-08-31T02:44:09 --enforcementcount 0 &gt;&gt;C:\Users\stu\Documents\GitHub\eaglep3-reporting\EC\2016-08-30-refined-times.txt</v>
      </c>
      <c r="AI220" s="149" t="str">
        <f t="shared" si="84"/>
        <v>echo {"issue":{"subject":"","project_id":79,"tracker_id":40,"status_id":1,"priority_id":2,"assigned_to_id":23,"start_date":"2016-08-31","description":"","custom_fields":[{"id":1,"name":"Subdivision","value":"Other"},{"id":4,"name":"Milepost","value":"3.0285"},{"id":17,"name":"Train ID","value":"51-31"},{"id":16,"name":"Locomotive ID","value":"4009"},{"id":130,"name":"Impact","value":""},{"id":150,"name":"Time of Event (Mountain Time)","value":"02:44:09"},{"id":151,"name":"Denver Issue ID","value":""},{"id":178,"name":"Operational Impact","value":"Yes"},{"id":179,"name":"Denver Segment Assigned","value":""}]}} | curl -X POST -H "Content-Type: application/json" -H "X-Redmine-API-Key: d6333d4a04012a730768444271f8ca06482dae87" https://secure.xorail.net/redmine/issues.json --data @-</v>
      </c>
      <c r="AJ220" s="55"/>
      <c r="AK220" s="55"/>
      <c r="AL220" s="55"/>
    </row>
    <row r="221" spans="1:38" x14ac:dyDescent="0.25">
      <c r="A221" s="39" t="s">
        <v>571</v>
      </c>
      <c r="B221" s="7">
        <v>4009</v>
      </c>
      <c r="C221" s="24" t="s">
        <v>113</v>
      </c>
      <c r="D221" s="24" t="s">
        <v>658</v>
      </c>
      <c r="E221" s="15">
        <v>42613.105798611112</v>
      </c>
      <c r="F221" s="15">
        <v>42613.108564814815</v>
      </c>
      <c r="G221" s="7">
        <v>0</v>
      </c>
      <c r="H221" s="15" t="s">
        <v>659</v>
      </c>
      <c r="I221" s="15">
        <v>42613.113993055558</v>
      </c>
      <c r="J221" s="7">
        <v>0</v>
      </c>
      <c r="K221" s="132" t="str">
        <f t="shared" si="71"/>
        <v>4009/4010</v>
      </c>
      <c r="L221" s="24" t="str">
        <f>VLOOKUP(A221,'Trips&amp;Operators'!$C$1:$E$10000,3,FALSE)</f>
        <v>CHIONE</v>
      </c>
      <c r="M221" s="6">
        <f t="shared" si="72"/>
        <v>5.4282407436403446E-3</v>
      </c>
      <c r="N221" s="7">
        <f t="shared" si="85"/>
        <v>7.8166666708420962</v>
      </c>
      <c r="O221" s="7"/>
      <c r="P221" s="7"/>
      <c r="Q221" s="25"/>
      <c r="R221" s="25"/>
      <c r="S221" s="37">
        <f t="shared" si="70"/>
        <v>0</v>
      </c>
      <c r="T221" s="52" t="e">
        <f t="shared" si="73"/>
        <v>#VALUE!</v>
      </c>
      <c r="U221" s="126">
        <f>IF(AG221="EC",COUNTIFS(Variables!$M$2:$M$19,IF(T221="NorthBound","&gt;=","&lt;=")&amp;Y221,Variables!$M$2:$M$19,IF(T221="NorthBound","&lt;=","&gt;=")&amp;Z221),COUNTIFS(Variables!$P$2:$P$19,IF(T221="NorthBound","&gt;=","&lt;=")&amp;Y221,Variables!$P$2:$P$19,IF(T221="NorthBound","&lt;=","&gt;=")&amp;Z221))</f>
        <v>0</v>
      </c>
      <c r="V221" s="106" t="str">
        <f t="shared" si="74"/>
        <v>https://search-rtdc-monitor-bjffxe2xuh6vdkpspy63sjmuny.us-east-1.es.amazonaws.com/_plugin/kibana/#/discover/Steve-Slow-Train-Analysis-(2080s-and-2083s)?_g=(refreshInterval:(display:Off,section:0,value:0),time:(from:'2016-08-31 01:32:21-0600',mode:absolute,to:'2016-08-31 03:44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4009%22')),sort:!(Time,asc))</v>
      </c>
      <c r="W221" s="54" t="str">
        <f t="shared" si="75"/>
        <v>Y</v>
      </c>
      <c r="X221" s="120" t="e">
        <f t="shared" si="86"/>
        <v>#VALUE!</v>
      </c>
      <c r="Y221" s="69">
        <f t="shared" si="76"/>
        <v>0.55400000000000005</v>
      </c>
      <c r="Z221" s="69">
        <f t="shared" si="77"/>
        <v>3.1265000000000001</v>
      </c>
      <c r="AA221" s="69">
        <f t="shared" si="78"/>
        <v>2.5724999999999998</v>
      </c>
      <c r="AB221" s="66" t="e">
        <f>VLOOKUP(A221,Enforcements!$C$7:$J$21,8,0)</f>
        <v>#N/A</v>
      </c>
      <c r="AC221" s="62" t="e">
        <f>VLOOKUP(A221,Enforcements!$C$7:$E$21,3,0)</f>
        <v>#N/A</v>
      </c>
      <c r="AD221" s="63" t="str">
        <f t="shared" si="79"/>
        <v>51-31</v>
      </c>
      <c r="AE221" s="99" t="str">
        <f t="shared" si="80"/>
        <v>aws s3 cp s3://rtdc.mdm.uploadarchive/RTDC4009/2016-08-31/ "%USERPROFILE%\AppData\Local\Temp\OnboardLogs"\RTDC4009\2016-08-31 --recursive &amp; "%USERPROFILE%\Documents\GitHub\mrs-test-scripts\Headless Mode &amp; Sideloading\WalkAndUnGZ.bat" "%USERPROFILE%\AppData\Local\Temp\OnboardLogs"\RTDC4009\2016-08-31 &amp; aws s3 cp s3://rtdc.mdm.uploadarchive/RTDC4009/2016-09-01/ "%USERPROFILE%\AppData\Local\Temp\OnboardLogs"\RTDC4009\2016-09-01 --recursive &amp; "%USERPROFILE%\Documents\GitHub\mrs-test-scripts\Headless Mode &amp; Sideloading\WalkAndUnGZ.bat" "%USERPROFILE%\AppData\Local\Temp\OnboardLogs"\RTDC4009\2016-09-01</v>
      </c>
      <c r="AF221" s="96" t="str">
        <f t="shared" si="81"/>
        <v>"C:\Program Files (x86)\AstroGrep\AstroGrep.exe" /spath="%USERPROFILE%\AppData\Local\Temp\OnboardLogs" /stypes="*4009*20160831*" /stext=" 08:.+((SYSTEM_STATE.+slice.+state.+changed )|(ment ac)|(system.+state.+changed )|(\|lc)|(penalty)|(\[timeout)|(PRM\|1\|D)|(kpr)|(kdp))" /e /r /s</v>
      </c>
      <c r="AG221" s="1" t="str">
        <f t="shared" si="82"/>
        <v>Other</v>
      </c>
      <c r="AH221" s="100" t="str">
        <f t="shared" si="83"/>
        <v>"%USERPROFILE%\Documents\GitHub\eaglep3\Utilities\RefineRTDCRunTimes.py" --tripid 51-31 --locoid 4009 --swversion DE.1.0.7.0 --startMP 300:5540 --initTime 2016-08-31T02:32:21 --startdatetime 2016-08-31T02:36:20 --delay 0 --endMP 300:31265 --enddatetime 2016-08-31T02:44:09 --enforcementcount 0 &gt;&gt;C:\Users\stu\Documents\GitHub\eaglep3-reporting\EC\2016-08-30-refined-times.txt</v>
      </c>
      <c r="AI221" s="149" t="str">
        <f t="shared" si="84"/>
        <v>echo {"issue":{"subject":"","project_id":79,"tracker_id":40,"status_id":1,"priority_id":2,"assigned_to_id":23,"start_date":"2016-08-31","description":"","custom_fields":[{"id":1,"name":"Subdivision","value":"Other"},{"id":4,"name":"Milepost","value":"2.5725"},{"id":17,"name":"Train ID","value":"51-31"},{"id":16,"name":"Locomotive ID","value":"4009"},{"id":130,"name":"Impact","value":""},{"id":150,"name":"Time of Event (Mountain Time)","value":"02:44:09"},{"id":151,"name":"Denver Issue ID","value":""},{"id":178,"name":"Operational Impact","value":"Yes"},{"id":179,"name":"Denver Segment Assigned","value":""}]}} | curl -X POST -H "Content-Type: application/json" -H "X-Redmine-API-Key: d6333d4a04012a730768444271f8ca06482dae87" https://secure.xorail.net/redmine/issues.json --data @-</v>
      </c>
      <c r="AJ221" s="55"/>
      <c r="AK221" s="55"/>
      <c r="AL221" s="55"/>
    </row>
    <row r="222" spans="1:38" x14ac:dyDescent="0.25">
      <c r="A222" s="39" t="s">
        <v>529</v>
      </c>
      <c r="B222" s="7">
        <v>4002</v>
      </c>
      <c r="C222" s="24" t="s">
        <v>113</v>
      </c>
      <c r="D222" s="24" t="s">
        <v>660</v>
      </c>
      <c r="E222" s="15">
        <v>42612.761886574073</v>
      </c>
      <c r="F222" s="15">
        <v>42612.772013888891</v>
      </c>
      <c r="G222" s="7">
        <v>4</v>
      </c>
      <c r="H222" s="15" t="s">
        <v>649</v>
      </c>
      <c r="I222" s="15">
        <v>42612.776886574073</v>
      </c>
      <c r="J222" s="7">
        <v>0</v>
      </c>
      <c r="K222" s="132" t="str">
        <f t="shared" si="71"/>
        <v>4001/4002</v>
      </c>
      <c r="L222" s="24" t="str">
        <f>VLOOKUP(A222,'Trips&amp;Operators'!$C$1:$E$10000,3,FALSE)</f>
        <v>DE LA ROSA</v>
      </c>
      <c r="M222" s="6">
        <f t="shared" si="72"/>
        <v>4.8726851819083095E-3</v>
      </c>
      <c r="N222" s="7">
        <f t="shared" si="85"/>
        <v>7.0166666619479656</v>
      </c>
      <c r="O222" s="7"/>
      <c r="P222" s="7"/>
      <c r="Q222" s="25"/>
      <c r="R222" s="25"/>
      <c r="S222" s="37">
        <f t="shared" si="70"/>
        <v>0</v>
      </c>
      <c r="T222" s="52" t="e">
        <f t="shared" si="73"/>
        <v>#VALUE!</v>
      </c>
      <c r="U222" s="126">
        <f>IF(AG222="EC",COUNTIFS(Variables!$M$2:$M$19,IF(T222="NorthBound","&gt;=","&lt;=")&amp;Y222,Variables!$M$2:$M$19,IF(T222="NorthBound","&lt;=","&gt;=")&amp;Z222),COUNTIFS(Variables!$P$2:$P$19,IF(T222="NorthBound","&gt;=","&lt;=")&amp;Y222,Variables!$P$2:$P$19,IF(T222="NorthBound","&lt;=","&gt;=")&amp;Z222))</f>
        <v>0</v>
      </c>
      <c r="V222" s="106" t="str">
        <f t="shared" si="74"/>
        <v>https://search-rtdc-monitor-bjffxe2xuh6vdkpspy63sjmuny.us-east-1.es.amazonaws.com/_plugin/kibana/#/discover/Steve-Slow-Train-Analysis-(2080s-and-2083s)?_g=(refreshInterval:(display:Off,section:0,value:0),time:(from:'2016-08-30 17:17:07-0600',mode:absolute,to:'2016-08-30 19:38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4002%22')),sort:!(Time,asc))</v>
      </c>
      <c r="W222" s="54" t="str">
        <f t="shared" si="75"/>
        <v>Y</v>
      </c>
      <c r="X222" s="120" t="e">
        <f t="shared" si="86"/>
        <v>#VALUE!</v>
      </c>
      <c r="Y222" s="69">
        <f t="shared" si="76"/>
        <v>0.14610000000000001</v>
      </c>
      <c r="Z222" s="69">
        <f t="shared" si="77"/>
        <v>2.331</v>
      </c>
      <c r="AA222" s="69">
        <f t="shared" si="78"/>
        <v>2.1848999999999998</v>
      </c>
      <c r="AB222" s="66" t="e">
        <f>VLOOKUP(A222,Enforcements!$C$7:$J$21,8,0)</f>
        <v>#N/A</v>
      </c>
      <c r="AC222" s="62" t="e">
        <f>VLOOKUP(A222,Enforcements!$C$7:$E$21,3,0)</f>
        <v>#N/A</v>
      </c>
      <c r="AD222" s="63" t="str">
        <f t="shared" si="79"/>
        <v>56-30</v>
      </c>
      <c r="AE222" s="99" t="str">
        <f t="shared" si="80"/>
        <v>aws s3 cp s3://rtdc.mdm.uploadarchive/RTDC4002/2016-08-30/ "%USERPROFILE%\AppData\Local\Temp\OnboardLogs"\RTDC4002\2016-08-30 --recursive &amp; "%USERPROFILE%\Documents\GitHub\mrs-test-scripts\Headless Mode &amp; Sideloading\WalkAndUnGZ.bat" "%USERPROFILE%\AppData\Local\Temp\OnboardLogs"\RTDC4002\2016-08-30 &amp; aws s3 cp s3://rtdc.mdm.uploadarchive/RTDC4002/2016-08-31/ "%USERPROFILE%\AppData\Local\Temp\OnboardLogs"\RTDC4002\2016-08-31 --recursive &amp; "%USERPROFILE%\Documents\GitHub\mrs-test-scripts\Headless Mode &amp; Sideloading\WalkAndUnGZ.bat" "%USERPROFILE%\AppData\Local\Temp\OnboardLogs"\RTDC4002\2016-08-31</v>
      </c>
      <c r="AF222" s="96" t="str">
        <f t="shared" si="81"/>
        <v>"C:\Program Files (x86)\AstroGrep\AstroGrep.exe" /spath="%USERPROFILE%\AppData\Local\Temp\OnboardLogs" /stypes="*4002*20160831*" /stext=" 00:.+((SYSTEM_STATE.+slice.+state.+changed )|(ment ac)|(system.+state.+changed )|(\|lc)|(penalty)|(\[timeout)|(PRM\|1\|D)|(kpr)|(kdp))" /e /r /s</v>
      </c>
      <c r="AG222" s="1" t="str">
        <f t="shared" si="82"/>
        <v>Other</v>
      </c>
      <c r="AH222" s="100" t="str">
        <f t="shared" si="83"/>
        <v>"%USERPROFILE%\Documents\GitHub\eaglep3\Utilities\RefineRTDCRunTimes.py" --tripid 56-30 --locoid 4002 --swversion DE.1.0.7.0 --startMP 204:1461 --initTime 2016-08-30T18:17:07 --startdatetime 2016-08-30T18:31:42 --delay 4 --endMP 300:23310 --enddatetime 2016-08-30T18:38:43 --enforcementcount 0 &gt;&gt;C:\Users\stu\Documents\GitHub\eaglep3-reporting\EC\2016-08-30-refined-times.txt</v>
      </c>
      <c r="AI222" s="149" t="str">
        <f t="shared" si="84"/>
        <v>echo {"issue":{"subject":"","project_id":79,"tracker_id":40,"status_id":1,"priority_id":2,"assigned_to_id":23,"start_date":"2016-08-30","description":"","custom_fields":[{"id":1,"name":"Subdivision","value":"Other"},{"id":4,"name":"Milepost","value":"2.1849"},{"id":17,"name":"Train ID","value":"56-30"},{"id":16,"name":"Locomotive ID","value":"4002"},{"id":130,"name":"Impact","value":""},{"id":150,"name":"Time of Event (Mountain Time)","value":"18:38:43"},{"id":151,"name":"Denver Issue ID","value":""},{"id":178,"name":"Operational Impact","value":"Yes"},{"id":179,"name":"Denver Segment Assigned","value":""}]}} | curl -X POST -H "Content-Type: application/json" -H "X-Redmine-API-Key: d6333d4a04012a730768444271f8ca06482dae87" https://secure.xorail.net/redmine/issues.json --data @-</v>
      </c>
      <c r="AJ222" s="55"/>
      <c r="AK222" s="55"/>
      <c r="AL222" s="55"/>
    </row>
    <row r="223" spans="1:38" x14ac:dyDescent="0.25">
      <c r="A223" s="39" t="s">
        <v>525</v>
      </c>
      <c r="B223" s="7">
        <v>4022</v>
      </c>
      <c r="C223" s="24" t="s">
        <v>113</v>
      </c>
      <c r="D223" s="24" t="s">
        <v>661</v>
      </c>
      <c r="E223" s="15">
        <v>42612.755844907406</v>
      </c>
      <c r="F223" s="15">
        <v>25568.958333333332</v>
      </c>
      <c r="G223" s="7">
        <v>1</v>
      </c>
      <c r="H223" s="15" t="s">
        <v>662</v>
      </c>
      <c r="I223" s="15">
        <v>25568.958333333332</v>
      </c>
      <c r="J223" s="7">
        <v>0</v>
      </c>
      <c r="K223" s="132" t="str">
        <f t="shared" si="71"/>
        <v>4021/4022</v>
      </c>
      <c r="L223" s="24" t="str">
        <f>VLOOKUP(A223,'Trips&amp;Operators'!$C$1:$E$10000,3,FALSE)</f>
        <v>BARTLETT</v>
      </c>
      <c r="M223" s="6">
        <f t="shared" si="72"/>
        <v>0</v>
      </c>
      <c r="N223" s="7">
        <f t="shared" si="85"/>
        <v>0</v>
      </c>
      <c r="O223" s="7"/>
      <c r="P223" s="7"/>
      <c r="Q223" s="25"/>
      <c r="R223" s="25"/>
      <c r="S223" s="37">
        <f t="shared" si="70"/>
        <v>0</v>
      </c>
      <c r="T223" s="52" t="e">
        <f t="shared" si="73"/>
        <v>#VALUE!</v>
      </c>
      <c r="U223" s="126">
        <f>IF(AG223="EC",COUNTIFS(Variables!$M$2:$M$19,IF(T223="NorthBound","&gt;=","&lt;=")&amp;Y223,Variables!$M$2:$M$19,IF(T223="NorthBound","&lt;=","&gt;=")&amp;Z223),COUNTIFS(Variables!$P$2:$P$19,IF(T223="NorthBound","&gt;=","&lt;=")&amp;Y223,Variables!$P$2:$P$19,IF(T223="NorthBound","&lt;=","&gt;=")&amp;Z223))</f>
        <v>0</v>
      </c>
      <c r="V223" s="106" t="str">
        <f t="shared" si="74"/>
        <v>https://search-rtdc-monitor-bjffxe2xuh6vdkpspy63sjmuny.us-east-1.es.amazonaws.com/_plugin/kibana/#/discover/Steve-Slow-Train-Analysis-(2080s-and-2083s)?_g=(refreshInterval:(display:Off,section:0,value:0),time:(from:'2016-08-30 17:08:25-0600',mode:absolute,to:'1970-01-01 00: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4022%22')),sort:!(Time,asc))</v>
      </c>
      <c r="W223" s="54" t="str">
        <f t="shared" si="75"/>
        <v>Y</v>
      </c>
      <c r="X223" s="120" t="e">
        <f t="shared" si="86"/>
        <v>#VALUE!</v>
      </c>
      <c r="Y223" s="69">
        <f t="shared" si="76"/>
        <v>4.1500000000000002E-2</v>
      </c>
      <c r="Z223" s="69">
        <f t="shared" si="77"/>
        <v>2.4218000000000002</v>
      </c>
      <c r="AA223" s="69">
        <f t="shared" si="78"/>
        <v>2.3803000000000001</v>
      </c>
      <c r="AB223" s="66" t="e">
        <f>VLOOKUP(A223,Enforcements!$C$7:$J$21,8,0)</f>
        <v>#N/A</v>
      </c>
      <c r="AC223" s="62" t="e">
        <f>VLOOKUP(A223,Enforcements!$C$7:$E$21,3,0)</f>
        <v>#N/A</v>
      </c>
      <c r="AD223" s="63" t="str">
        <f t="shared" si="79"/>
        <v>58-30</v>
      </c>
      <c r="AE223" s="99" t="str">
        <f t="shared" si="80"/>
        <v>aws s3 cp s3://rtdc.mdm.uploadarchive/RTDC4022/1969-12-31/ "%USERPROFILE%\AppData\Local\Temp\OnboardLogs"\RTDC4022\1969-12-31 --recursive &amp; "%USERPROFILE%\Documents\GitHub\mrs-test-scripts\Headless Mode &amp; Sideloading\WalkAndUnGZ.bat" "%USERPROFILE%\AppData\Local\Temp\OnboardLogs"\RTDC4022\1969-12-31 &amp; aws s3 cp s3://rtdc.mdm.uploadarchive/RTDC4022/1970-01-01/ "%USERPROFILE%\AppData\Local\Temp\OnboardLogs"\RTDC4022\1970-01-01 --recursive &amp; "%USERPROFILE%\Documents\GitHub\mrs-test-scripts\Headless Mode &amp; Sideloading\WalkAndUnGZ.bat" "%USERPROFILE%\AppData\Local\Temp\OnboardLogs"\RTDC4022\1970-01-01</v>
      </c>
      <c r="AF223" s="96" t="str">
        <f t="shared" si="81"/>
        <v>"C:\Program Files (x86)\AstroGrep\AstroGrep.exe" /spath="%USERPROFILE%\AppData\Local\Temp\OnboardLogs" /stypes="*4022*19700101*" /stext=" 05:.+((SYSTEM_STATE.+slice.+state.+changed )|(ment ac)|(system.+state.+changed )|(\|lc)|(penalty)|(\[timeout)|(PRM\|1\|D)|(kpr)|(kdp))" /e /r /s</v>
      </c>
      <c r="AG223" s="1" t="str">
        <f t="shared" si="82"/>
        <v>Other</v>
      </c>
      <c r="AH223" s="100" t="str">
        <f t="shared" si="83"/>
        <v>"%USERPROFILE%\Documents\GitHub\eaglep3\Utilities\RefineRTDCRunTimes.py" --tripid 58-30 --locoid 4022 --swversion DE.1.0.7.0 --startMP 204:415 --initTime 2016-08-30T18:08:25 --startdatetime 1969-12-31T23:00:00 --delay 1 --endMP 300:24218 --enddatetime 1969-12-31T23:00:00 --enforcementcount 0 &gt;&gt;C:\Users\stu\Documents\GitHub\eaglep3-reporting\EC\2016-08-30-refined-times.txt</v>
      </c>
      <c r="AI223" s="149" t="str">
        <f t="shared" si="84"/>
        <v>echo {"issue":{"subject":"","project_id":79,"tracker_id":40,"status_id":1,"priority_id":2,"assigned_to_id":23,"start_date":"1969-12-31","description":"","custom_fields":[{"id":1,"name":"Subdivision","value":"Other"},{"id":4,"name":"Milepost","value":"2.3803"},{"id":17,"name":"Train ID","value":"58-30"},{"id":16,"name":"Locomotive ID","value":"4022"},{"id":130,"name":"Impact","value":""},{"id":150,"name":"Time of Event (Mountain Time)","value":"23:00:00"},{"id":151,"name":"Denver Issue ID","value":""},{"id":178,"name":"Operational Impact","value":"Yes"},{"id":179,"name":"Denver Segment Assigned","value":""}]}} | curl -X POST -H "Content-Type: application/json" -H "X-Redmine-API-Key: d6333d4a04012a730768444271f8ca06482dae87" https://secure.xorail.net/redmine/issues.json --data @-</v>
      </c>
      <c r="AJ223" s="55"/>
      <c r="AK223" s="55"/>
      <c r="AL223" s="55"/>
    </row>
    <row r="224" spans="1:38" x14ac:dyDescent="0.25">
      <c r="A224" s="39" t="s">
        <v>378</v>
      </c>
      <c r="B224" s="7">
        <v>4021</v>
      </c>
      <c r="C224" s="24" t="s">
        <v>113</v>
      </c>
      <c r="D224" s="24" t="s">
        <v>663</v>
      </c>
      <c r="E224" s="15">
        <v>42612.716423611113</v>
      </c>
      <c r="F224" s="15">
        <v>42612.719305555554</v>
      </c>
      <c r="G224" s="7">
        <v>4</v>
      </c>
      <c r="H224" s="15" t="s">
        <v>664</v>
      </c>
      <c r="I224" s="15">
        <v>42612.724641203706</v>
      </c>
      <c r="J224" s="7">
        <v>0</v>
      </c>
      <c r="K224" s="132" t="str">
        <f t="shared" si="71"/>
        <v>4021/4022</v>
      </c>
      <c r="L224" s="24" t="str">
        <f>VLOOKUP(A224,'Trips&amp;Operators'!$C$1:$E$10000,3,FALSE)</f>
        <v>COOLAHAN</v>
      </c>
      <c r="M224" s="6">
        <f t="shared" si="72"/>
        <v>5.3356481512309983E-3</v>
      </c>
      <c r="N224" s="7">
        <f t="shared" si="85"/>
        <v>7.6833333377726376</v>
      </c>
      <c r="O224" s="7"/>
      <c r="P224" s="7"/>
      <c r="Q224" s="25"/>
      <c r="R224" s="25"/>
      <c r="S224" s="37">
        <f t="shared" si="70"/>
        <v>0</v>
      </c>
      <c r="T224" s="52" t="e">
        <f t="shared" si="73"/>
        <v>#VALUE!</v>
      </c>
      <c r="U224" s="126">
        <f>IF(AG224="EC",COUNTIFS(Variables!$M$2:$M$19,IF(T224="NorthBound","&gt;=","&lt;=")&amp;Y224,Variables!$M$2:$M$19,IF(T224="NorthBound","&lt;=","&gt;=")&amp;Z224),COUNTIFS(Variables!$P$2:$P$19,IF(T224="NorthBound","&gt;=","&lt;=")&amp;Y224,Variables!$P$2:$P$19,IF(T224="NorthBound","&lt;=","&gt;=")&amp;Z224))</f>
        <v>0</v>
      </c>
      <c r="V224" s="106" t="str">
        <f t="shared" si="74"/>
        <v>https://search-rtdc-monitor-bjffxe2xuh6vdkpspy63sjmuny.us-east-1.es.amazonaws.com/_plugin/kibana/#/discover/Steve-Slow-Train-Analysis-(2080s-and-2083s)?_g=(refreshInterval:(display:Off,section:0,value:0),time:(from:'2016-08-30 16:11:39-0600',mode:absolute,to:'2016-08-30 18:23: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4021%22')),sort:!(Time,asc))</v>
      </c>
      <c r="W224" s="54" t="str">
        <f t="shared" si="75"/>
        <v>Y</v>
      </c>
      <c r="X224" s="120" t="e">
        <f t="shared" si="86"/>
        <v>#VALUE!</v>
      </c>
      <c r="Y224" s="69">
        <f t="shared" si="76"/>
        <v>2.2017000000000002</v>
      </c>
      <c r="Z224" s="69">
        <f t="shared" si="77"/>
        <v>1.2800000000000001E-2</v>
      </c>
      <c r="AA224" s="69">
        <f t="shared" si="78"/>
        <v>2.1889000000000003</v>
      </c>
      <c r="AB224" s="66" t="e">
        <f>VLOOKUP(A224,Enforcements!$C$7:$J$21,8,0)</f>
        <v>#N/A</v>
      </c>
      <c r="AC224" s="62" t="e">
        <f>VLOOKUP(A224,Enforcements!$C$7:$E$21,3,0)</f>
        <v>#N/A</v>
      </c>
      <c r="AD224" s="63" t="str">
        <f t="shared" si="79"/>
        <v>62-30</v>
      </c>
      <c r="AE224" s="99" t="str">
        <f t="shared" si="80"/>
        <v>aws s3 cp s3://rtdc.mdm.uploadarchive/RTDC4021/2016-08-30/ "%USERPROFILE%\AppData\Local\Temp\OnboardLogs"\RTDC4021\2016-08-30 --recursive &amp; "%USERPROFILE%\Documents\GitHub\mrs-test-scripts\Headless Mode &amp; Sideloading\WalkAndUnGZ.bat" "%USERPROFILE%\AppData\Local\Temp\OnboardLogs"\RTDC4021\2016-08-30 &amp; aws s3 cp s3://rtdc.mdm.uploadarchive/RTDC4021/2016-08-31/ "%USERPROFILE%\AppData\Local\Temp\OnboardLogs"\RTDC4021\2016-08-31 --recursive &amp; "%USERPROFILE%\Documents\GitHub\mrs-test-scripts\Headless Mode &amp; Sideloading\WalkAndUnGZ.bat" "%USERPROFILE%\AppData\Local\Temp\OnboardLogs"\RTDC4021\2016-08-31</v>
      </c>
      <c r="AF224" s="96" t="str">
        <f t="shared" si="81"/>
        <v>"C:\Program Files (x86)\AstroGrep\AstroGrep.exe" /spath="%USERPROFILE%\AppData\Local\Temp\OnboardLogs" /stypes="*4021*20160830*" /stext=" 23:.+((SYSTEM_STATE.+slice.+state.+changed )|(ment ac)|(system.+state.+changed )|(\|lc)|(penalty)|(\[timeout)|(PRM\|1\|D)|(kpr)|(kdp))" /e /r /s</v>
      </c>
      <c r="AG224" s="1" t="str">
        <f t="shared" si="82"/>
        <v>Other</v>
      </c>
      <c r="AH224" s="100" t="str">
        <f t="shared" si="83"/>
        <v>"%USERPROFILE%\Documents\GitHub\eaglep3\Utilities\RefineRTDCRunTimes.py" --tripid 62-30 --locoid 4021 --swversion DE.1.0.7.0 --startMP 300:22017 --initTime 2016-08-30T17:11:39 --startdatetime 2016-08-30T17:15:48 --delay 4 --endMP 204:128 --enddatetime 2016-08-30T17:23:29 --enforcementcount 0 &gt;&gt;C:\Users\stu\Documents\GitHub\eaglep3-reporting\EC\2016-08-30-refined-times.txt</v>
      </c>
      <c r="AI224" s="149" t="str">
        <f t="shared" si="84"/>
        <v>echo {"issue":{"subject":"","project_id":79,"tracker_id":40,"status_id":1,"priority_id":2,"assigned_to_id":23,"start_date":"2016-08-30","description":"","custom_fields":[{"id":1,"name":"Subdivision","value":"Other"},{"id":4,"name":"Milepost","value":"2.1889"},{"id":17,"name":"Train ID","value":"62-30"},{"id":16,"name":"Locomotive ID","value":"4021"},{"id":130,"name":"Impact","value":""},{"id":150,"name":"Time of Event (Mountain Time)","value":"17:23:29"},{"id":151,"name":"Denver Issue ID","value":""},{"id":178,"name":"Operational Impact","value":"Yes"},{"id":179,"name":"Denver Segment Assigned","value":""}]}} | curl -X POST -H "Content-Type: application/json" -H "X-Redmine-API-Key: d6333d4a04012a730768444271f8ca06482dae87" https://secure.xorail.net/redmine/issues.json --data @-</v>
      </c>
      <c r="AJ224" s="55"/>
      <c r="AK224" s="55"/>
      <c r="AL224" s="55"/>
    </row>
    <row r="225" spans="1:38" x14ac:dyDescent="0.25">
      <c r="A225" s="39" t="s">
        <v>521</v>
      </c>
      <c r="B225" s="7">
        <v>4010</v>
      </c>
      <c r="C225" s="24" t="s">
        <v>113</v>
      </c>
      <c r="D225" s="24" t="s">
        <v>665</v>
      </c>
      <c r="E225" s="15">
        <v>42612.734166666669</v>
      </c>
      <c r="F225" s="15">
        <v>42612.736909722225</v>
      </c>
      <c r="G225" s="7">
        <v>3</v>
      </c>
      <c r="H225" s="15" t="s">
        <v>666</v>
      </c>
      <c r="I225" s="15">
        <v>42612.743356481478</v>
      </c>
      <c r="J225" s="7">
        <v>0</v>
      </c>
      <c r="K225" s="132" t="str">
        <f t="shared" si="71"/>
        <v>4009/4010</v>
      </c>
      <c r="L225" s="24" t="str">
        <f>VLOOKUP(A225,'Trips&amp;Operators'!$C$1:$E$10000,3,FALSE)</f>
        <v>HAITHCOX</v>
      </c>
      <c r="M225" s="6">
        <f t="shared" si="72"/>
        <v>6.4467592528671958E-3</v>
      </c>
      <c r="N225" s="7">
        <f t="shared" si="85"/>
        <v>9.2833333241287619</v>
      </c>
      <c r="O225" s="7"/>
      <c r="P225" s="7"/>
      <c r="Q225" s="25"/>
      <c r="R225" s="25"/>
      <c r="S225" s="37">
        <f t="shared" si="70"/>
        <v>0</v>
      </c>
      <c r="T225" s="52" t="e">
        <f t="shared" si="73"/>
        <v>#VALUE!</v>
      </c>
      <c r="U225" s="126">
        <f>IF(AG225="EC",COUNTIFS(Variables!$M$2:$M$19,IF(T225="NorthBound","&gt;=","&lt;=")&amp;Y225,Variables!$M$2:$M$19,IF(T225="NorthBound","&lt;=","&gt;=")&amp;Z225),COUNTIFS(Variables!$P$2:$P$19,IF(T225="NorthBound","&gt;=","&lt;=")&amp;Y225,Variables!$P$2:$P$19,IF(T225="NorthBound","&lt;=","&gt;=")&amp;Z225))</f>
        <v>0</v>
      </c>
      <c r="V225" s="106" t="str">
        <f t="shared" si="74"/>
        <v>https://search-rtdc-monitor-bjffxe2xuh6vdkpspy63sjmuny.us-east-1.es.amazonaws.com/_plugin/kibana/#/discover/Steve-Slow-Train-Analysis-(2080s-and-2083s)?_g=(refreshInterval:(display:Off,section:0,value:0),time:(from:'2016-08-30 16:37:12-0600',mode:absolute,to:'2016-08-30 18: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4010%22')),sort:!(Time,asc))</v>
      </c>
      <c r="W225" s="54" t="str">
        <f t="shared" si="75"/>
        <v>Y</v>
      </c>
      <c r="X225" s="120" t="e">
        <f t="shared" si="86"/>
        <v>#VALUE!</v>
      </c>
      <c r="Y225" s="69">
        <f t="shared" si="76"/>
        <v>2.3193000000000001</v>
      </c>
      <c r="Z225" s="69">
        <f t="shared" si="77"/>
        <v>4.1700000000000001E-2</v>
      </c>
      <c r="AA225" s="69">
        <f t="shared" si="78"/>
        <v>2.2776000000000001</v>
      </c>
      <c r="AB225" s="66" t="e">
        <f>VLOOKUP(A225,Enforcements!$C$7:$J$21,8,0)</f>
        <v>#N/A</v>
      </c>
      <c r="AC225" s="62" t="e">
        <f>VLOOKUP(A225,Enforcements!$C$7:$E$21,3,0)</f>
        <v>#N/A</v>
      </c>
      <c r="AD225" s="63" t="str">
        <f t="shared" si="79"/>
        <v>66-30</v>
      </c>
      <c r="AE225" s="99" t="str">
        <f t="shared" si="80"/>
        <v>aws s3 cp s3://rtdc.mdm.uploadarchive/RTDC4010/2016-08-30/ "%USERPROFILE%\AppData\Local\Temp\OnboardLogs"\RTDC4010\2016-08-30 --recursive &amp; "%USERPROFILE%\Documents\GitHub\mrs-test-scripts\Headless Mode &amp; Sideloading\WalkAndUnGZ.bat" "%USERPROFILE%\AppData\Local\Temp\OnboardLogs"\RTDC4010\2016-08-30 &amp; aws s3 cp s3://rtdc.mdm.uploadarchive/RTDC4010/2016-08-31/ "%USERPROFILE%\AppData\Local\Temp\OnboardLogs"\RTDC4010\2016-08-31 --recursive &amp; "%USERPROFILE%\Documents\GitHub\mrs-test-scripts\Headless Mode &amp; Sideloading\WalkAndUnGZ.bat" "%USERPROFILE%\AppData\Local\Temp\OnboardLogs"\RTDC4010\2016-08-31</v>
      </c>
      <c r="AF225" s="96" t="str">
        <f t="shared" si="81"/>
        <v>"C:\Program Files (x86)\AstroGrep\AstroGrep.exe" /spath="%USERPROFILE%\AppData\Local\Temp\OnboardLogs" /stypes="*4010*20160830*" /stext=" 23:.+((SYSTEM_STATE.+slice.+state.+changed )|(ment ac)|(system.+state.+changed )|(\|lc)|(penalty)|(\[timeout)|(PRM\|1\|D)|(kpr)|(kdp))" /e /r /s</v>
      </c>
      <c r="AG225" s="1" t="str">
        <f t="shared" si="82"/>
        <v>Other</v>
      </c>
      <c r="AH225" s="100" t="str">
        <f t="shared" si="83"/>
        <v>"%USERPROFILE%\Documents\GitHub\eaglep3\Utilities\RefineRTDCRunTimes.py" --tripid 66-30 --locoid 4010 --swversion DE.1.0.7.0 --startMP 300:23193 --initTime 2016-08-30T17:37:12 --startdatetime 2016-08-30T17:41:09 --delay 3 --endMP 204:417 --enddatetime 2016-08-30T17:50:26 --enforcementcount 0 &gt;&gt;C:\Users\stu\Documents\GitHub\eaglep3-reporting\EC\2016-08-30-refined-times.txt</v>
      </c>
      <c r="AI225" s="149" t="str">
        <f t="shared" si="84"/>
        <v>echo {"issue":{"subject":"","project_id":79,"tracker_id":40,"status_id":1,"priority_id":2,"assigned_to_id":23,"start_date":"2016-08-30","description":"","custom_fields":[{"id":1,"name":"Subdivision","value":"Other"},{"id":4,"name":"Milepost","value":"2.2776"},{"id":17,"name":"Train ID","value":"66-30"},{"id":16,"name":"Locomotive ID","value":"4010"},{"id":130,"name":"Impact","value":""},{"id":150,"name":"Time of Event (Mountain Time)","value":"17:50:26"},{"id":151,"name":"Denver Issue ID","value":""},{"id":178,"name":"Operational Impact","value":"Yes"},{"id":179,"name":"Denver Segment Assigned","value":""}]}} | curl -X POST -H "Content-Type: application/json" -H "X-Redmine-API-Key: d6333d4a04012a730768444271f8ca06482dae87" https://secure.xorail.net/redmine/issues.json --data @-</v>
      </c>
      <c r="AJ225" s="55"/>
      <c r="AK225" s="55"/>
      <c r="AL225" s="55"/>
    </row>
    <row r="226" spans="1:38" x14ac:dyDescent="0.25">
      <c r="A226" s="39"/>
      <c r="B226" s="7"/>
      <c r="C226" s="24"/>
      <c r="D226" s="24"/>
      <c r="E226" s="15"/>
      <c r="F226" s="15"/>
      <c r="G226" s="7"/>
      <c r="H226" s="15"/>
      <c r="I226" s="15"/>
      <c r="J226" s="7"/>
      <c r="K226" s="132"/>
      <c r="L226" s="24"/>
      <c r="M226" s="6"/>
      <c r="N226" s="7"/>
      <c r="O226" s="7"/>
      <c r="P226" s="7"/>
      <c r="Q226" s="25"/>
      <c r="R226" s="25"/>
      <c r="S226" s="37"/>
      <c r="T226" s="52"/>
      <c r="U226" s="126"/>
      <c r="V226" s="106"/>
      <c r="W226" s="54"/>
      <c r="X226" s="120"/>
      <c r="Y226" s="69"/>
      <c r="Z226" s="69"/>
      <c r="AA226" s="69"/>
      <c r="AB226" s="66"/>
      <c r="AC226" s="62"/>
      <c r="AD226" s="63"/>
      <c r="AE226" s="99"/>
      <c r="AF226" s="96"/>
      <c r="AG226" s="1"/>
      <c r="AI226" s="149"/>
      <c r="AJ226" s="55"/>
      <c r="AK226" s="55"/>
      <c r="AL226" s="55"/>
    </row>
    <row r="227" spans="1:38" x14ac:dyDescent="0.25">
      <c r="A227" s="39"/>
      <c r="B227" s="7"/>
      <c r="C227" s="24"/>
      <c r="D227" s="24"/>
      <c r="E227" s="15"/>
      <c r="F227" s="15"/>
      <c r="G227" s="7"/>
      <c r="H227" s="15"/>
      <c r="I227" s="15"/>
      <c r="J227" s="7"/>
      <c r="K227" s="132"/>
      <c r="L227" s="24"/>
      <c r="M227" s="6"/>
      <c r="N227" s="7"/>
      <c r="O227" s="7"/>
      <c r="P227" s="7"/>
      <c r="Q227" s="25"/>
      <c r="R227" s="25"/>
      <c r="S227" s="37"/>
      <c r="T227" s="52"/>
      <c r="U227" s="126"/>
      <c r="V227" s="106"/>
      <c r="W227" s="54"/>
      <c r="X227" s="120"/>
      <c r="Y227" s="69"/>
      <c r="Z227" s="69"/>
      <c r="AA227" s="69"/>
      <c r="AB227" s="66"/>
      <c r="AC227" s="62"/>
      <c r="AD227" s="63"/>
      <c r="AE227" s="99"/>
      <c r="AF227" s="96"/>
      <c r="AG227" s="1"/>
      <c r="AI227" s="149"/>
      <c r="AJ227" s="55"/>
      <c r="AK227" s="55"/>
      <c r="AL227" s="55"/>
    </row>
    <row r="228" spans="1:38" x14ac:dyDescent="0.25">
      <c r="A228" s="39"/>
      <c r="B228" s="7"/>
      <c r="C228" s="24"/>
      <c r="D228" s="24"/>
      <c r="E228" s="15"/>
      <c r="F228" s="15"/>
      <c r="G228" s="7"/>
      <c r="H228" s="15"/>
      <c r="I228" s="15"/>
      <c r="J228" s="7"/>
      <c r="K228" s="132"/>
      <c r="L228" s="24"/>
      <c r="M228" s="6"/>
      <c r="N228" s="7"/>
      <c r="O228" s="7"/>
      <c r="P228" s="7"/>
      <c r="Q228" s="25"/>
      <c r="R228" s="25"/>
      <c r="S228" s="37"/>
      <c r="T228" s="52"/>
      <c r="U228" s="126"/>
      <c r="V228" s="106"/>
      <c r="W228" s="54"/>
      <c r="X228" s="120"/>
      <c r="Y228" s="69"/>
      <c r="Z228" s="69"/>
      <c r="AA228" s="69"/>
      <c r="AB228" s="66"/>
      <c r="AC228" s="62"/>
      <c r="AD228" s="63"/>
      <c r="AE228" s="99"/>
      <c r="AF228" s="96"/>
      <c r="AG228" s="1"/>
      <c r="AI228" s="149"/>
      <c r="AJ228" s="55"/>
      <c r="AK228" s="55"/>
      <c r="AL228" s="55"/>
    </row>
    <row r="229" spans="1:38" x14ac:dyDescent="0.25">
      <c r="A229" s="39"/>
      <c r="B229" s="7"/>
      <c r="C229" s="24"/>
      <c r="D229" s="24"/>
      <c r="E229" s="15"/>
      <c r="F229" s="15"/>
      <c r="G229" s="7"/>
      <c r="H229" s="15"/>
      <c r="I229" s="15"/>
      <c r="J229" s="7"/>
      <c r="K229" s="132"/>
      <c r="L229" s="24"/>
      <c r="M229" s="6"/>
      <c r="N229" s="7"/>
      <c r="O229" s="7"/>
      <c r="P229" s="7"/>
      <c r="Q229" s="25"/>
      <c r="R229" s="25"/>
      <c r="S229" s="37"/>
      <c r="T229" s="52"/>
      <c r="U229" s="126"/>
      <c r="V229" s="106"/>
      <c r="W229" s="54"/>
      <c r="X229" s="120"/>
      <c r="Y229" s="69"/>
      <c r="Z229" s="69"/>
      <c r="AA229" s="69"/>
      <c r="AB229" s="66"/>
      <c r="AC229" s="62"/>
      <c r="AD229" s="63"/>
      <c r="AE229" s="99"/>
      <c r="AF229" s="96"/>
      <c r="AG229" s="1"/>
      <c r="AI229" s="149"/>
      <c r="AJ229" s="55"/>
      <c r="AK229" s="55"/>
      <c r="AL229" s="55"/>
    </row>
    <row r="230" spans="1:38" x14ac:dyDescent="0.25">
      <c r="A230" s="39"/>
      <c r="B230" s="7"/>
      <c r="C230" s="24"/>
      <c r="D230" s="24"/>
      <c r="E230" s="15"/>
      <c r="F230" s="15"/>
      <c r="G230" s="7"/>
      <c r="H230" s="15"/>
      <c r="I230" s="15"/>
      <c r="J230" s="7"/>
      <c r="K230" s="132"/>
      <c r="L230" s="24"/>
      <c r="M230" s="6"/>
      <c r="N230" s="7"/>
      <c r="O230" s="7"/>
      <c r="P230" s="7"/>
      <c r="Q230" s="25"/>
      <c r="R230" s="25"/>
      <c r="S230" s="37"/>
      <c r="T230" s="52"/>
      <c r="U230" s="126"/>
      <c r="V230" s="106"/>
      <c r="W230" s="54"/>
      <c r="X230" s="120"/>
      <c r="Y230" s="69"/>
      <c r="Z230" s="69"/>
      <c r="AA230" s="69"/>
      <c r="AB230" s="66"/>
      <c r="AC230" s="62"/>
      <c r="AD230" s="63"/>
      <c r="AE230" s="99"/>
      <c r="AF230" s="96"/>
      <c r="AG230" s="1"/>
      <c r="AI230" s="149"/>
      <c r="AJ230" s="55"/>
      <c r="AK230" s="55"/>
      <c r="AL230" s="55"/>
    </row>
    <row r="231" spans="1:38" x14ac:dyDescent="0.25">
      <c r="A231" s="39"/>
      <c r="B231" s="7"/>
      <c r="C231" s="24"/>
      <c r="D231" s="24"/>
      <c r="E231" s="15"/>
      <c r="F231" s="15"/>
      <c r="G231" s="7"/>
      <c r="H231" s="15"/>
      <c r="I231" s="15"/>
      <c r="J231" s="7"/>
      <c r="K231" s="132"/>
      <c r="L231" s="24"/>
      <c r="M231" s="6"/>
      <c r="N231" s="7"/>
      <c r="O231" s="7"/>
      <c r="P231" s="7"/>
      <c r="Q231" s="25"/>
      <c r="R231" s="25"/>
      <c r="S231" s="37"/>
      <c r="T231" s="52"/>
      <c r="U231" s="126"/>
      <c r="V231" s="106"/>
      <c r="W231" s="54"/>
      <c r="X231" s="120"/>
      <c r="Y231" s="69"/>
      <c r="Z231" s="69"/>
      <c r="AA231" s="69"/>
      <c r="AB231" s="66"/>
      <c r="AC231" s="62"/>
      <c r="AD231" s="63"/>
      <c r="AE231" s="99"/>
      <c r="AF231" s="96"/>
      <c r="AG231" s="1"/>
      <c r="AI231" s="149"/>
      <c r="AJ231" s="55"/>
      <c r="AK231" s="55"/>
      <c r="AL231" s="55"/>
    </row>
    <row r="232" spans="1:38" x14ac:dyDescent="0.25">
      <c r="A232" s="39"/>
      <c r="B232" s="7"/>
      <c r="C232" s="24"/>
      <c r="D232" s="24"/>
      <c r="E232" s="15"/>
      <c r="F232" s="15"/>
      <c r="G232" s="7"/>
      <c r="H232" s="15"/>
      <c r="I232" s="15"/>
      <c r="J232" s="7"/>
      <c r="K232" s="132"/>
      <c r="L232" s="24"/>
      <c r="M232" s="6"/>
      <c r="N232" s="7"/>
      <c r="O232" s="7"/>
      <c r="P232" s="7"/>
      <c r="Q232" s="25"/>
      <c r="R232" s="25"/>
      <c r="S232" s="37"/>
      <c r="T232" s="52"/>
      <c r="U232" s="126"/>
      <c r="V232" s="106"/>
      <c r="W232" s="54"/>
      <c r="X232" s="120"/>
      <c r="Y232" s="69"/>
      <c r="Z232" s="69"/>
      <c r="AA232" s="69"/>
      <c r="AB232" s="66"/>
      <c r="AC232" s="62"/>
      <c r="AD232" s="63"/>
      <c r="AE232" s="99"/>
      <c r="AF232" s="96"/>
      <c r="AG232" s="1"/>
      <c r="AI232" s="149"/>
      <c r="AJ232" s="55"/>
      <c r="AK232" s="55"/>
      <c r="AL232" s="55"/>
    </row>
    <row r="233" spans="1:38" x14ac:dyDescent="0.25">
      <c r="A233" s="39"/>
      <c r="B233" s="7"/>
      <c r="C233" s="24"/>
      <c r="D233" s="24"/>
      <c r="E233" s="15"/>
      <c r="F233" s="15"/>
      <c r="G233" s="7"/>
      <c r="H233" s="15"/>
      <c r="I233" s="15"/>
      <c r="J233" s="7"/>
      <c r="K233" s="132"/>
      <c r="L233" s="24"/>
      <c r="M233" s="6"/>
      <c r="N233" s="7"/>
      <c r="O233" s="7"/>
      <c r="P233" s="7"/>
      <c r="Q233" s="25"/>
      <c r="R233" s="25"/>
      <c r="S233" s="37"/>
      <c r="T233" s="52"/>
      <c r="U233" s="126"/>
      <c r="V233" s="106"/>
      <c r="W233" s="54"/>
      <c r="X233" s="120"/>
      <c r="Y233" s="69"/>
      <c r="Z233" s="69"/>
      <c r="AA233" s="69"/>
      <c r="AB233" s="66"/>
      <c r="AC233" s="62"/>
      <c r="AD233" s="63"/>
      <c r="AE233" s="99"/>
      <c r="AF233" s="96"/>
      <c r="AG233" s="1"/>
      <c r="AI233" s="149"/>
      <c r="AJ233" s="55"/>
      <c r="AK233" s="55"/>
      <c r="AL233" s="55"/>
    </row>
    <row r="234" spans="1:38" x14ac:dyDescent="0.25">
      <c r="A234" s="39"/>
      <c r="B234" s="7"/>
      <c r="C234" s="24"/>
      <c r="D234" s="24"/>
      <c r="E234" s="15"/>
      <c r="F234" s="15"/>
      <c r="G234" s="7"/>
      <c r="H234" s="15"/>
      <c r="I234" s="15"/>
      <c r="J234" s="7"/>
      <c r="K234" s="132"/>
      <c r="L234" s="24"/>
      <c r="M234" s="6"/>
      <c r="N234" s="7"/>
      <c r="O234" s="7"/>
      <c r="P234" s="7"/>
      <c r="Q234" s="25"/>
      <c r="R234" s="25"/>
      <c r="S234" s="37"/>
      <c r="T234" s="52"/>
      <c r="U234" s="126"/>
      <c r="V234" s="106"/>
      <c r="W234" s="54"/>
      <c r="X234" s="120"/>
      <c r="Y234" s="69"/>
      <c r="Z234" s="69"/>
      <c r="AA234" s="69"/>
      <c r="AB234" s="66"/>
      <c r="AC234" s="62"/>
      <c r="AD234" s="63"/>
      <c r="AE234" s="99"/>
      <c r="AF234" s="96"/>
      <c r="AG234" s="1"/>
      <c r="AI234" s="149"/>
      <c r="AJ234" s="55"/>
      <c r="AK234" s="55"/>
      <c r="AL234" s="55"/>
    </row>
    <row r="235" spans="1:38" x14ac:dyDescent="0.25">
      <c r="A235" s="39"/>
      <c r="B235" s="7"/>
      <c r="C235" s="24"/>
      <c r="D235" s="24"/>
      <c r="E235" s="15"/>
      <c r="F235" s="15"/>
      <c r="G235" s="7"/>
      <c r="H235" s="15"/>
      <c r="I235" s="15"/>
      <c r="J235" s="7"/>
      <c r="K235" s="132"/>
      <c r="L235" s="24"/>
      <c r="M235" s="6"/>
      <c r="N235" s="7"/>
      <c r="O235" s="7"/>
      <c r="P235" s="7"/>
      <c r="Q235" s="25"/>
      <c r="R235" s="25"/>
      <c r="S235" s="37"/>
      <c r="T235" s="52"/>
      <c r="U235" s="126"/>
      <c r="V235" s="106"/>
      <c r="W235" s="54"/>
      <c r="X235" s="120"/>
      <c r="Y235" s="69"/>
      <c r="Z235" s="69"/>
      <c r="AA235" s="69"/>
      <c r="AB235" s="66"/>
      <c r="AC235" s="62"/>
      <c r="AD235" s="63"/>
      <c r="AE235" s="99"/>
      <c r="AF235" s="96"/>
      <c r="AG235" s="1"/>
      <c r="AI235" s="149"/>
      <c r="AJ235" s="55"/>
      <c r="AK235" s="55"/>
      <c r="AL235" s="55"/>
    </row>
    <row r="236" spans="1:38" x14ac:dyDescent="0.25">
      <c r="A236" s="39"/>
      <c r="B236" s="7"/>
      <c r="C236" s="24"/>
      <c r="D236" s="24"/>
      <c r="E236" s="15"/>
      <c r="F236" s="15"/>
      <c r="G236" s="7"/>
      <c r="H236" s="15"/>
      <c r="I236" s="15"/>
      <c r="J236" s="7"/>
      <c r="K236" s="132"/>
      <c r="L236" s="24"/>
      <c r="M236" s="6"/>
      <c r="N236" s="7"/>
      <c r="O236" s="7"/>
      <c r="P236" s="7"/>
      <c r="Q236" s="25"/>
      <c r="R236" s="25"/>
      <c r="S236" s="37"/>
      <c r="T236" s="52"/>
      <c r="U236" s="126"/>
      <c r="V236" s="106"/>
      <c r="W236" s="54"/>
      <c r="X236" s="120"/>
      <c r="Y236" s="69"/>
      <c r="Z236" s="69"/>
      <c r="AA236" s="69"/>
      <c r="AB236" s="66"/>
      <c r="AC236" s="62"/>
      <c r="AD236" s="63"/>
      <c r="AE236" s="99"/>
      <c r="AF236" s="96"/>
      <c r="AG236" s="1"/>
      <c r="AI236" s="149"/>
      <c r="AJ236" s="55"/>
      <c r="AK236" s="55"/>
      <c r="AL236" s="55"/>
    </row>
    <row r="237" spans="1:38" x14ac:dyDescent="0.25">
      <c r="A237" s="39"/>
      <c r="B237" s="7"/>
      <c r="C237" s="24"/>
      <c r="D237" s="24"/>
      <c r="E237" s="15"/>
      <c r="F237" s="15"/>
      <c r="G237" s="7"/>
      <c r="H237" s="15"/>
      <c r="I237" s="15"/>
      <c r="J237" s="7"/>
      <c r="K237" s="132"/>
      <c r="L237" s="24"/>
      <c r="M237" s="6"/>
      <c r="N237" s="7"/>
      <c r="O237" s="7"/>
      <c r="P237" s="7"/>
      <c r="Q237" s="25"/>
      <c r="R237" s="25"/>
      <c r="S237" s="37"/>
      <c r="T237" s="52"/>
      <c r="U237" s="126"/>
      <c r="V237" s="106"/>
      <c r="W237" s="54"/>
      <c r="X237" s="120"/>
      <c r="Y237" s="69"/>
      <c r="Z237" s="69"/>
      <c r="AA237" s="69"/>
      <c r="AB237" s="66"/>
      <c r="AC237" s="62"/>
      <c r="AD237" s="63"/>
      <c r="AE237" s="99"/>
      <c r="AF237" s="96"/>
      <c r="AG237" s="1"/>
      <c r="AI237" s="149"/>
      <c r="AJ237" s="55"/>
      <c r="AK237" s="55"/>
      <c r="AL237" s="55"/>
    </row>
    <row r="238" spans="1:38" x14ac:dyDescent="0.25">
      <c r="A238" s="39"/>
      <c r="B238" s="7"/>
      <c r="C238" s="24"/>
      <c r="D238" s="24"/>
      <c r="E238" s="15"/>
      <c r="F238" s="15"/>
      <c r="G238" s="7"/>
      <c r="H238" s="15"/>
      <c r="I238" s="15"/>
      <c r="J238" s="7"/>
      <c r="K238" s="132"/>
      <c r="L238" s="24"/>
      <c r="M238" s="6"/>
      <c r="N238" s="7"/>
      <c r="O238" s="7"/>
      <c r="P238" s="7"/>
      <c r="Q238" s="25"/>
      <c r="R238" s="25"/>
      <c r="S238" s="37"/>
      <c r="T238" s="52"/>
      <c r="U238" s="126"/>
      <c r="V238" s="106"/>
      <c r="W238" s="54"/>
      <c r="X238" s="120"/>
      <c r="Y238" s="69"/>
      <c r="Z238" s="69"/>
      <c r="AA238" s="69"/>
      <c r="AB238" s="66"/>
      <c r="AC238" s="62"/>
      <c r="AD238" s="63"/>
      <c r="AE238" s="99"/>
      <c r="AF238" s="96"/>
      <c r="AG238" s="1"/>
      <c r="AI238" s="149"/>
      <c r="AJ238" s="55"/>
      <c r="AK238" s="55"/>
      <c r="AL238" s="55"/>
    </row>
    <row r="239" spans="1:38" x14ac:dyDescent="0.25">
      <c r="A239" s="39"/>
      <c r="B239" s="7"/>
      <c r="C239" s="24"/>
      <c r="D239" s="24"/>
      <c r="E239" s="15"/>
      <c r="F239" s="15"/>
      <c r="G239" s="7"/>
      <c r="H239" s="15"/>
      <c r="I239" s="15"/>
      <c r="J239" s="7"/>
      <c r="K239" s="132"/>
      <c r="L239" s="24"/>
      <c r="M239" s="6"/>
      <c r="N239" s="7"/>
      <c r="O239" s="7"/>
      <c r="P239" s="7"/>
      <c r="Q239" s="25"/>
      <c r="R239" s="25"/>
      <c r="S239" s="37"/>
      <c r="T239" s="52"/>
      <c r="U239" s="126"/>
      <c r="V239" s="106"/>
      <c r="W239" s="54"/>
      <c r="X239" s="120"/>
      <c r="Y239" s="69"/>
      <c r="Z239" s="69"/>
      <c r="AA239" s="69"/>
      <c r="AB239" s="66"/>
      <c r="AC239" s="62"/>
      <c r="AD239" s="63"/>
      <c r="AE239" s="99"/>
      <c r="AF239" s="96"/>
      <c r="AG239" s="1"/>
    </row>
    <row r="240" spans="1:38" x14ac:dyDescent="0.25">
      <c r="A240" s="39"/>
      <c r="B240" s="7"/>
      <c r="C240" s="24"/>
      <c r="D240" s="24"/>
      <c r="E240" s="15"/>
      <c r="F240" s="15"/>
      <c r="G240" s="7"/>
      <c r="H240" s="15"/>
      <c r="I240" s="15"/>
      <c r="J240" s="7"/>
      <c r="K240" s="132"/>
      <c r="L240" s="24"/>
      <c r="M240" s="6"/>
      <c r="N240" s="7"/>
      <c r="O240" s="7"/>
      <c r="P240" s="7"/>
      <c r="Q240" s="25"/>
      <c r="R240" s="25"/>
      <c r="S240" s="37"/>
      <c r="T240" s="52"/>
      <c r="U240" s="126"/>
      <c r="V240" s="106"/>
      <c r="W240" s="54"/>
      <c r="X240" s="120"/>
      <c r="Y240" s="69"/>
      <c r="Z240" s="69"/>
      <c r="AA240" s="69"/>
      <c r="AB240" s="66"/>
      <c r="AC240" s="62"/>
      <c r="AD240" s="63"/>
      <c r="AE240" s="99"/>
      <c r="AF240" s="96"/>
      <c r="AG240" s="1"/>
    </row>
    <row r="241" spans="1:33" x14ac:dyDescent="0.25">
      <c r="A241" s="39"/>
      <c r="B241" s="7"/>
      <c r="C241" s="24"/>
      <c r="D241" s="24"/>
      <c r="E241" s="15"/>
      <c r="F241" s="15"/>
      <c r="G241" s="7"/>
      <c r="H241" s="15"/>
      <c r="I241" s="15"/>
      <c r="J241" s="7"/>
      <c r="K241" s="132"/>
      <c r="L241" s="24"/>
      <c r="M241" s="6"/>
      <c r="N241" s="7"/>
      <c r="O241" s="7"/>
      <c r="P241" s="7"/>
      <c r="Q241" s="25"/>
      <c r="R241" s="25"/>
      <c r="S241" s="37"/>
      <c r="T241" s="52"/>
      <c r="U241" s="126"/>
      <c r="V241" s="106"/>
      <c r="W241" s="54"/>
      <c r="X241" s="120"/>
      <c r="Y241" s="69"/>
      <c r="Z241" s="69"/>
      <c r="AA241" s="69"/>
      <c r="AB241" s="66"/>
      <c r="AC241" s="62"/>
      <c r="AD241" s="63"/>
      <c r="AE241" s="99"/>
      <c r="AF241" s="96"/>
      <c r="AG241" s="1"/>
    </row>
  </sheetData>
  <autoFilter ref="A12:AG241"/>
  <sortState ref="A13:AH200">
    <sortCondition ref="AG13:AG200"/>
    <sortCondition ref="AD13:AD200"/>
  </sortState>
  <mergeCells count="1">
    <mergeCell ref="A11:P11"/>
  </mergeCells>
  <conditionalFormatting sqref="W11:W12 W13:X1048576">
    <cfRule type="cellIs" dxfId="8" priority="259" operator="equal">
      <formula>"Y"</formula>
    </cfRule>
  </conditionalFormatting>
  <conditionalFormatting sqref="X13:X1048576">
    <cfRule type="cellIs" dxfId="7" priority="242" operator="greaterThan">
      <formula>1</formula>
    </cfRule>
  </conditionalFormatting>
  <conditionalFormatting sqref="X12:X1048576">
    <cfRule type="cellIs" dxfId="6" priority="239" operator="equal">
      <formula>0</formula>
    </cfRule>
  </conditionalFormatting>
  <conditionalFormatting sqref="A13:S241">
    <cfRule type="expression" dxfId="5" priority="235">
      <formula>$O13&gt;0</formula>
    </cfRule>
  </conditionalFormatting>
  <conditionalFormatting sqref="A13:S241">
    <cfRule type="expression" dxfId="4" priority="234">
      <formula>$P13&gt;0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33" id="{07B64F47-9FD1-48B1-84DC-90BBCF0B8697}">
            <xm:f>IF($AG13="EC",$N13&gt;Variables!$C$2,$N13&gt;Variables!$D$2)</xm:f>
            <x14:dxf>
              <fill>
                <patternFill>
                  <bgColor theme="5" tint="0.79998168889431442"/>
                </patternFill>
              </fill>
            </x14:dxf>
          </x14:cfRule>
          <xm:sqref>A13:S241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AK13:AK238</xm:sqref>
        </x14:dataValidation>
        <x14:dataValidation type="list" allowBlank="1" showInputMessage="1" showErrorMessage="1">
          <x14:formula1>
            <xm:f>'Redmine List Values'!$C$2:$C$13</xm:f>
          </x14:formula1>
          <xm:sqref>AL13:AL238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74"/>
  <sheetViews>
    <sheetView topLeftCell="A2" workbookViewId="0">
      <selection activeCell="J16" sqref="J16"/>
    </sheetView>
  </sheetViews>
  <sheetFormatPr defaultRowHeight="15" x14ac:dyDescent="0.25"/>
  <cols>
    <col min="1" max="1" width="17.7109375" style="8" customWidth="1"/>
    <col min="2" max="2" width="15" customWidth="1"/>
    <col min="3" max="3" width="8.28515625" customWidth="1"/>
    <col min="4" max="4" width="19.85546875" customWidth="1"/>
    <col min="5" max="5" width="21" customWidth="1"/>
    <col min="6" max="6" width="7.7109375" style="2" customWidth="1"/>
    <col min="7" max="7" width="8.28515625" style="2" customWidth="1"/>
    <col min="8" max="8" width="9" style="2" customWidth="1"/>
    <col min="9" max="9" width="11.5703125" hidden="1" customWidth="1"/>
    <col min="10" max="10" width="10.85546875" style="2" customWidth="1"/>
    <col min="11" max="11" width="7.85546875" customWidth="1"/>
    <col min="12" max="12" width="11.85546875" style="30" customWidth="1"/>
    <col min="13" max="13" width="5.140625" style="114" customWidth="1"/>
    <col min="14" max="14" width="30.7109375" customWidth="1"/>
    <col min="15" max="15" width="5" hidden="1" customWidth="1"/>
    <col min="16" max="16" width="5.7109375" style="97" customWidth="1"/>
    <col min="17" max="17" width="5.7109375" style="109" customWidth="1"/>
    <col min="18" max="18" width="6" style="94" customWidth="1"/>
    <col min="19" max="19" width="5.28515625" customWidth="1"/>
    <col min="20" max="20" width="20" style="50" bestFit="1" customWidth="1"/>
    <col min="21" max="21" width="5.28515625" customWidth="1"/>
    <col min="22" max="22" width="6.7109375" customWidth="1"/>
  </cols>
  <sheetData>
    <row r="1" spans="1:26" s="23" customFormat="1" ht="15.75" hidden="1" thickBot="1" x14ac:dyDescent="0.3">
      <c r="A1" s="8"/>
      <c r="F1" s="2"/>
      <c r="G1" s="2"/>
      <c r="H1" s="2"/>
      <c r="J1" s="2"/>
      <c r="L1" s="30"/>
      <c r="M1" s="114"/>
      <c r="P1" s="97"/>
      <c r="Q1" s="109"/>
      <c r="R1" s="94"/>
      <c r="T1" s="50"/>
    </row>
    <row r="2" spans="1:26" s="23" customFormat="1" x14ac:dyDescent="0.25">
      <c r="A2" s="8"/>
      <c r="F2" s="2"/>
      <c r="G2" s="2"/>
      <c r="H2" s="2"/>
      <c r="J2" s="2"/>
      <c r="K2" s="133" t="s">
        <v>87</v>
      </c>
      <c r="L2" s="134"/>
      <c r="M2" s="135">
        <f>COUNTIF($M$7:$M$403,"=Y")</f>
        <v>2</v>
      </c>
      <c r="N2" s="136"/>
      <c r="P2" s="97"/>
      <c r="Q2" s="109"/>
      <c r="R2" s="94"/>
      <c r="T2" s="50"/>
    </row>
    <row r="3" spans="1:26" s="23" customFormat="1" ht="15.75" thickBot="1" x14ac:dyDescent="0.3">
      <c r="A3" s="8"/>
      <c r="F3" s="2"/>
      <c r="G3" s="2"/>
      <c r="H3" s="2"/>
      <c r="J3" s="2"/>
      <c r="K3" s="137" t="s">
        <v>88</v>
      </c>
      <c r="L3" s="138"/>
      <c r="M3" s="139">
        <f>COUNTA($M$7:$M$403)-M2</f>
        <v>35</v>
      </c>
      <c r="N3" s="136"/>
      <c r="P3" s="97"/>
      <c r="Q3" s="109"/>
      <c r="R3" s="94"/>
      <c r="T3" s="50"/>
    </row>
    <row r="4" spans="1:26" s="23" customFormat="1" x14ac:dyDescent="0.25">
      <c r="A4" s="8"/>
      <c r="F4" s="2"/>
      <c r="G4" s="2"/>
      <c r="H4" s="2"/>
      <c r="J4" s="2"/>
      <c r="L4" s="30"/>
      <c r="M4" s="114"/>
      <c r="P4" s="97"/>
      <c r="Q4" s="109"/>
      <c r="R4" s="94"/>
      <c r="T4" s="50"/>
    </row>
    <row r="5" spans="1:26" s="11" customFormat="1" ht="15" customHeight="1" x14ac:dyDescent="0.25">
      <c r="A5" s="164" t="str">
        <f>"Eagle P3 Braking Events - "&amp;TEXT(Variables!$A$2,"YYYY-mm-dd")</f>
        <v>Eagle P3 Braking Events - 2016-08-30</v>
      </c>
      <c r="B5" s="164"/>
      <c r="C5" s="164"/>
      <c r="D5" s="164"/>
      <c r="E5" s="164"/>
      <c r="F5" s="164"/>
      <c r="G5" s="164"/>
      <c r="H5" s="164"/>
      <c r="I5" s="164"/>
      <c r="J5" s="164"/>
      <c r="K5" s="164"/>
      <c r="L5" s="164"/>
      <c r="M5" s="164"/>
      <c r="N5" s="12"/>
      <c r="P5" s="107"/>
      <c r="Q5" s="110"/>
      <c r="R5" s="112"/>
      <c r="T5" s="51"/>
    </row>
    <row r="6" spans="1:26" s="162" customFormat="1" ht="69.75" customHeight="1" x14ac:dyDescent="0.2">
      <c r="A6" s="150" t="s">
        <v>38</v>
      </c>
      <c r="B6" s="151" t="s">
        <v>37</v>
      </c>
      <c r="C6" s="151" t="s">
        <v>36</v>
      </c>
      <c r="D6" s="151" t="s">
        <v>35</v>
      </c>
      <c r="E6" s="151" t="s">
        <v>34</v>
      </c>
      <c r="F6" s="152" t="s">
        <v>33</v>
      </c>
      <c r="G6" s="152" t="s">
        <v>32</v>
      </c>
      <c r="H6" s="152" t="s">
        <v>31</v>
      </c>
      <c r="I6" s="151" t="s">
        <v>30</v>
      </c>
      <c r="J6" s="152" t="s">
        <v>29</v>
      </c>
      <c r="K6" s="151" t="s">
        <v>28</v>
      </c>
      <c r="L6" s="153" t="s">
        <v>47</v>
      </c>
      <c r="M6" s="154" t="s">
        <v>27</v>
      </c>
      <c r="N6" s="151" t="s">
        <v>24</v>
      </c>
      <c r="O6" s="155"/>
      <c r="P6" s="156" t="s">
        <v>101</v>
      </c>
      <c r="Q6" s="157" t="s">
        <v>61</v>
      </c>
      <c r="R6" s="158" t="s">
        <v>100</v>
      </c>
      <c r="S6" s="151" t="s">
        <v>95</v>
      </c>
      <c r="T6" s="159" t="s">
        <v>96</v>
      </c>
      <c r="U6" s="155" t="s">
        <v>108</v>
      </c>
      <c r="V6" s="155" t="s">
        <v>110</v>
      </c>
      <c r="W6" s="160" t="s">
        <v>225</v>
      </c>
      <c r="X6" s="161" t="s">
        <v>226</v>
      </c>
      <c r="Y6" s="161" t="s">
        <v>198</v>
      </c>
      <c r="Z6" s="161" t="s">
        <v>227</v>
      </c>
    </row>
    <row r="7" spans="1:26" s="1" customFormat="1" x14ac:dyDescent="0.25">
      <c r="A7" s="38">
        <v>42612.79892361111</v>
      </c>
      <c r="B7" s="33" t="s">
        <v>241</v>
      </c>
      <c r="C7" s="33" t="s">
        <v>384</v>
      </c>
      <c r="D7" s="33" t="s">
        <v>111</v>
      </c>
      <c r="E7" s="33" t="s">
        <v>251</v>
      </c>
      <c r="F7" s="49">
        <v>0</v>
      </c>
      <c r="G7" s="49">
        <v>183</v>
      </c>
      <c r="H7" s="49">
        <v>33255</v>
      </c>
      <c r="I7" s="33" t="s">
        <v>250</v>
      </c>
      <c r="J7" s="49">
        <v>33257</v>
      </c>
      <c r="K7" s="33" t="s">
        <v>53</v>
      </c>
      <c r="L7" s="92" t="str">
        <f>VLOOKUP(C7,'Trips&amp;Operators'!$C$1:$E$9999,3,0)</f>
        <v>COOLAHAN</v>
      </c>
      <c r="M7" s="131" t="s">
        <v>86</v>
      </c>
      <c r="N7" s="10" t="s">
        <v>300</v>
      </c>
      <c r="O7" s="33"/>
      <c r="P7" s="108" t="str">
        <f>VLOOKUP(C7,'Train Runs'!$A$13:$AE$10016,31,0)</f>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Q7" s="111" t="str">
        <f>VLOOKUP(C7,'Train Runs'!$A$13:$AE$10016,22,0)</f>
        <v>https://search-rtdc-monitor-bjffxe2xuh6vdkpspy63sjmuny.us-east-1.es.amazonaws.com/_plugin/kibana/#/discover/Steve-Slow-Train-Analysis-(2080s-and-2083s)?_g=(refreshInterval:(display:Off,section:0,value:0),time:(from:'2016-08-30 17:35:57-0600',mode:absolute,to:'2016-08-30 20:20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R7" s="113" t="str">
        <f t="shared" ref="R7:R43" si="0">astrogrep_path&amp;" /spath="&amp;search_path&amp;" /stypes=""*"&amp;S7&amp;"*"&amp;TEXT(A7-utc_offset/24,"YYYYMMDD")&amp;LEFT(TEXT(A7-utc_offset/24,"HH"),1)&amp;"*"" /stext="" "&amp;TEXT(A7-utc_offset/24,"HH")&amp;search_regexp&amp;""" /e /r /s"</f>
        <v>"C:\Program Files (x86)\AstroGrep\AstroGrep.exe" /spath="%USERPROFILE%\AppData\Local\Temp\OnboardLogs" /stypes="*4039*201608310*" /stext=" 01:.+((SYSTEM_STATE.+slice.+state.+changed )|(ment ac)|(system.+state.+changed )|(\|lc)|(penalty)|(\[timeout)|(PRM\|1\|D)|(kpr)|(kdp))" /e /r /s</v>
      </c>
      <c r="S7" s="9" t="str">
        <f t="shared" ref="S7:S43" si="1">MID(B7,13,4)</f>
        <v>4039</v>
      </c>
      <c r="T7" s="38">
        <f t="shared" ref="T7:T43" si="2">A7+6/24</f>
        <v>42613.04892361111</v>
      </c>
      <c r="U7" s="52" t="str">
        <f t="shared" ref="U7:U43" si="3">IF(VALUE(LEFT(IF(LEN(C7)=6,"0"&amp;C7,C7),2))&lt;=2,"EC",IF(OR(VALUE(LEFT(IF(LEN(C7)=6,"0"&amp;C7,C7),2))=8,VALUE(LEFT(IF(LEN(C7)=6,"0"&amp;C7,C7),2))=18),"NW","Other"))</f>
        <v>EC</v>
      </c>
      <c r="V7" s="52" t="str">
        <f t="shared" ref="V7:V43" si="4">IF(AND(E7="TRACK WARRANT AUTHORITY",G7&lt;10),"OMIT","KEEP")</f>
        <v>KEEP</v>
      </c>
      <c r="W7" s="149" t="str">
        <f t="shared" ref="W7:W43" si="5">"echo {""issue"":{""subject"":"""&amp;N7&amp;""",""project_id"":79,""tracker_id"":40,""status_id"":"&amp;redmine_status&amp;",""priority_id"":"&amp;redmine_priority&amp;",""assigned_to_id"":"&amp;redmine_assignee&amp;",""start_date"":"""&amp;TEXT(A7,"YYYY-mm-dd")&amp;""",""description"":"""&amp;X7&amp;""",""custom_fields"":[{""id"":1,""name"":""Subdivision"",""value"":"""&amp;U7&amp;"""},{""id"":4,""name"":""Milepost"",""value"":"""&amp;J7/10000&amp;"""},{""id"":17,""name"":""Train ID"",""value"":"""&amp;C7&amp;"""},{""id"":16,""name"":""Locomotive ID"",""value"":"""&amp;S7&amp;"""},{""id"":130,""name"":""Impact"",""value"":"""&amp;Y7&amp;"""},{""id"":150,""name"":""Time of Event (Mountain Time)"",""value"":"""&amp;TEXT(A7,"hh:mm:ss")&amp;"""},{""id"":151,""name"":""Denver Issue ID"",""value"":"""&amp;"""},{""id"":178,""name"":""Operational Impact"",""value"":"""&amp;redmine_op_impact&amp;"""},{""id"":179,""name"":""Denver Segment Assigned"",""value"":"""&amp;Z7&amp;"""}]}}"&amp;" | curl -X POST -H ""Content-Type: application/json"" -H ""X-Redmine-API-Key: "&amp;redm_api_key&amp;""" "&amp;redm_url&amp;" --data @-"</f>
        <v>echo {"issue":{"subject":"Early arrival","project_id":79,"tracker_id":40,"status_id":1,"priority_id":2,"assigned_to_id":23,"start_date":"2016-08-30","description":"","custom_fields":[{"id":1,"name":"Subdivision","value":"EC"},{"id":4,"name":"Milepost","value":"3.3257"},{"id":17,"name":"Train ID","value":"214-30"},{"id":16,"name":"Locomotive ID","value":"4039"},{"id":130,"name":"Impact","value":""},{"id":150,"name":"Time of Event (Mountain Time)","value":"19:10:27"},{"id":151,"name":"Denver Issue ID","value":""},{"id":178,"name":"Operational Impact","value":"Yes"},{"id":179,"name":"Denver Segment Assigned","value":""}]}} | curl -X POST -H "Content-Type: application/json" -H "X-Redmine-API-Key: d6333d4a04012a730768444271f8ca06482dae87" https://secure.xorail.net/redmine/issues.json --data @-</v>
      </c>
      <c r="X7" s="55"/>
      <c r="Y7" s="55"/>
      <c r="Z7" s="55"/>
    </row>
    <row r="8" spans="1:26" s="1" customFormat="1" x14ac:dyDescent="0.25">
      <c r="A8" s="38">
        <v>42612.955231481479</v>
      </c>
      <c r="B8" s="33" t="s">
        <v>241</v>
      </c>
      <c r="C8" s="33" t="s">
        <v>387</v>
      </c>
      <c r="D8" s="33" t="s">
        <v>111</v>
      </c>
      <c r="E8" s="33" t="s">
        <v>251</v>
      </c>
      <c r="F8" s="49">
        <v>0</v>
      </c>
      <c r="G8" s="49">
        <v>216</v>
      </c>
      <c r="H8" s="49">
        <v>33244</v>
      </c>
      <c r="I8" s="33" t="s">
        <v>250</v>
      </c>
      <c r="J8" s="49">
        <v>33257</v>
      </c>
      <c r="K8" s="33" t="s">
        <v>53</v>
      </c>
      <c r="L8" s="92" t="str">
        <f>VLOOKUP(C8,'Trips&amp;Operators'!$C$1:$E$9999,3,0)</f>
        <v>COOLAHAN</v>
      </c>
      <c r="M8" s="131" t="s">
        <v>86</v>
      </c>
      <c r="N8" s="10" t="s">
        <v>300</v>
      </c>
      <c r="O8" s="33"/>
      <c r="P8" s="108" t="str">
        <f>VLOOKUP(C8,'Train Runs'!$A$13:$AE$10016,31,0)</f>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Q8" s="111" t="str">
        <f>VLOOKUP(C8,'Train Runs'!$A$13:$AE$10016,22,0)</f>
        <v>https://search-rtdc-monitor-bjffxe2xuh6vdkpspy63sjmuny.us-east-1.es.amazonaws.com/_plugin/kibana/#/discover/Steve-Slow-Train-Analysis-(2080s-and-2083s)?_g=(refreshInterval:(display:Off,section:0,value:0),time:(from:'2016-08-30 21:18:50-0600',mode:absolute,to:'2016-08-31 00:04: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R8" s="113" t="str">
        <f t="shared" si="0"/>
        <v>"C:\Program Files (x86)\AstroGrep\AstroGrep.exe" /spath="%USERPROFILE%\AppData\Local\Temp\OnboardLogs" /stypes="*4039*201608310*" /stext=" 04:.+((SYSTEM_STATE.+slice.+state.+changed )|(ment ac)|(system.+state.+changed )|(\|lc)|(penalty)|(\[timeout)|(PRM\|1\|D)|(kpr)|(kdp))" /e /r /s</v>
      </c>
      <c r="S8" s="9" t="str">
        <f t="shared" si="1"/>
        <v>4039</v>
      </c>
      <c r="T8" s="38">
        <f t="shared" si="2"/>
        <v>42613.205231481479</v>
      </c>
      <c r="U8" s="52" t="str">
        <f t="shared" si="3"/>
        <v>EC</v>
      </c>
      <c r="V8" s="52" t="str">
        <f t="shared" si="4"/>
        <v>KEEP</v>
      </c>
      <c r="W8" s="149" t="str">
        <f t="shared" si="5"/>
        <v>echo {"issue":{"subject":"Early arrival","project_id":79,"tracker_id":40,"status_id":1,"priority_id":2,"assigned_to_id":23,"start_date":"2016-08-30","description":"","custom_fields":[{"id":1,"name":"Subdivision","value":"EC"},{"id":4,"name":"Milepost","value":"3.3257"},{"id":17,"name":"Train ID","value":"232-30"},{"id":16,"name":"Locomotive ID","value":"4039"},{"id":130,"name":"Impact","value":""},{"id":150,"name":"Time of Event (Mountain Time)","value":"22:55:32"},{"id":151,"name":"Denver Issue ID","value":""},{"id":178,"name":"Operational Impact","value":"Yes"},{"id":179,"name":"Denver Segment Assigned","value":""}]}} | curl -X POST -H "Content-Type: application/json" -H "X-Redmine-API-Key: d6333d4a04012a730768444271f8ca06482dae87" https://secure.xorail.net/redmine/issues.json --data @-</v>
      </c>
      <c r="X8" s="55"/>
      <c r="Y8" s="55"/>
      <c r="Z8" s="55"/>
    </row>
    <row r="9" spans="1:26" s="1" customFormat="1" x14ac:dyDescent="0.25">
      <c r="A9" s="38">
        <v>42612.795300925929</v>
      </c>
      <c r="B9" s="33" t="s">
        <v>241</v>
      </c>
      <c r="C9" s="33" t="s">
        <v>384</v>
      </c>
      <c r="D9" s="33" t="s">
        <v>49</v>
      </c>
      <c r="E9" s="33" t="s">
        <v>251</v>
      </c>
      <c r="F9" s="49">
        <v>120</v>
      </c>
      <c r="G9" s="49">
        <v>173</v>
      </c>
      <c r="H9" s="49">
        <v>63733</v>
      </c>
      <c r="I9" s="33" t="s">
        <v>250</v>
      </c>
      <c r="J9" s="49">
        <v>63309</v>
      </c>
      <c r="K9" s="33" t="s">
        <v>53</v>
      </c>
      <c r="L9" s="92" t="str">
        <f>VLOOKUP(C9,'Trips&amp;Operators'!$C$1:$E$9999,3,0)</f>
        <v>COOLAHAN</v>
      </c>
      <c r="M9" s="131" t="s">
        <v>86</v>
      </c>
      <c r="N9" s="10" t="s">
        <v>300</v>
      </c>
      <c r="O9" s="33"/>
      <c r="P9" s="108" t="str">
        <f>VLOOKUP(C9,'Train Runs'!$A$13:$AE$10016,31,0)</f>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Q9" s="111" t="str">
        <f>VLOOKUP(C9,'Train Runs'!$A$13:$AE$10016,22,0)</f>
        <v>https://search-rtdc-monitor-bjffxe2xuh6vdkpspy63sjmuny.us-east-1.es.amazonaws.com/_plugin/kibana/#/discover/Steve-Slow-Train-Analysis-(2080s-and-2083s)?_g=(refreshInterval:(display:Off,section:0,value:0),time:(from:'2016-08-30 17:35:57-0600',mode:absolute,to:'2016-08-30 20:20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R9" s="113" t="str">
        <f t="shared" si="0"/>
        <v>"C:\Program Files (x86)\AstroGrep\AstroGrep.exe" /spath="%USERPROFILE%\AppData\Local\Temp\OnboardLogs" /stypes="*4039*201608310*" /stext=" 01:.+((SYSTEM_STATE.+slice.+state.+changed )|(ment ac)|(system.+state.+changed )|(\|lc)|(penalty)|(\[timeout)|(PRM\|1\|D)|(kpr)|(kdp))" /e /r /s</v>
      </c>
      <c r="S9" s="9" t="str">
        <f t="shared" si="1"/>
        <v>4039</v>
      </c>
      <c r="T9" s="38">
        <f t="shared" si="2"/>
        <v>42613.045300925929</v>
      </c>
      <c r="U9" s="52" t="str">
        <f t="shared" si="3"/>
        <v>EC</v>
      </c>
      <c r="V9" s="52" t="str">
        <f t="shared" si="4"/>
        <v>KEEP</v>
      </c>
      <c r="W9" s="149" t="str">
        <f t="shared" si="5"/>
        <v>echo {"issue":{"subject":"Early arrival","project_id":79,"tracker_id":40,"status_id":1,"priority_id":2,"assigned_to_id":23,"start_date":"2016-08-30","description":"","custom_fields":[{"id":1,"name":"Subdivision","value":"EC"},{"id":4,"name":"Milepost","value":"6.3309"},{"id":17,"name":"Train ID","value":"214-30"},{"id":16,"name":"Locomotive ID","value":"4039"},{"id":130,"name":"Impact","value":""},{"id":150,"name":"Time of Event (Mountain Time)","value":"19:05:14"},{"id":151,"name":"Denver Issue ID","value":""},{"id":178,"name":"Operational Impact","value":"Yes"},{"id":179,"name":"Denver Segment Assigned","value":""}]}} | curl -X POST -H "Content-Type: application/json" -H "X-Redmine-API-Key: d6333d4a04012a730768444271f8ca06482dae87" https://secure.xorail.net/redmine/issues.json --data @-</v>
      </c>
      <c r="X9" s="55"/>
      <c r="Y9" s="55"/>
      <c r="Z9" s="55"/>
    </row>
    <row r="10" spans="1:26" s="1" customFormat="1" x14ac:dyDescent="0.25">
      <c r="A10" s="38">
        <v>42612.918124999997</v>
      </c>
      <c r="B10" s="33" t="s">
        <v>365</v>
      </c>
      <c r="C10" s="33" t="s">
        <v>386</v>
      </c>
      <c r="D10" s="33" t="s">
        <v>49</v>
      </c>
      <c r="E10" s="33" t="s">
        <v>56</v>
      </c>
      <c r="F10" s="49">
        <v>450</v>
      </c>
      <c r="G10" s="49">
        <v>510</v>
      </c>
      <c r="H10" s="49">
        <v>191739</v>
      </c>
      <c r="I10" s="33" t="s">
        <v>57</v>
      </c>
      <c r="J10" s="49">
        <v>191108</v>
      </c>
      <c r="K10" s="33" t="s">
        <v>53</v>
      </c>
      <c r="L10" s="92" t="str">
        <f>VLOOKUP(C10,'Trips&amp;Operators'!$C$1:$E$9999,3,0)</f>
        <v>HAITHCOX</v>
      </c>
      <c r="M10" s="131" t="s">
        <v>86</v>
      </c>
      <c r="N10" s="10"/>
      <c r="O10" s="33"/>
      <c r="P10" s="108" t="str">
        <f>VLOOKUP(C10,'Train Runs'!$A$13:$AE$10016,31,0)</f>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Q10" s="111" t="str">
        <f>VLOOKUP(C10,'Train Runs'!$A$13:$AE$10016,22,0)</f>
        <v>https://search-rtdc-monitor-bjffxe2xuh6vdkpspy63sjmuny.us-east-1.es.amazonaws.com/_plugin/kibana/#/discover/Steve-Slow-Train-Analysis-(2080s-and-2083s)?_g=(refreshInterval:(display:Off,section:0,value:0),time:(from:'2016-08-30 20:52:16-0600',mode:absolute,to:'2016-08-30 23:38: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R10" s="113" t="str">
        <f t="shared" si="0"/>
        <v>"C:\Program Files (x86)\AstroGrep\AstroGrep.exe" /spath="%USERPROFILE%\AppData\Local\Temp\OnboardLogs" /stypes="*4012*201608310*" /stext=" 04:.+((SYSTEM_STATE.+slice.+state.+changed )|(ment ac)|(system.+state.+changed )|(\|lc)|(penalty)|(\[timeout)|(PRM\|1\|D)|(kpr)|(kdp))" /e /r /s</v>
      </c>
      <c r="S10" s="9" t="str">
        <f t="shared" si="1"/>
        <v>4012</v>
      </c>
      <c r="T10" s="38">
        <f t="shared" si="2"/>
        <v>42613.168124999997</v>
      </c>
      <c r="U10" s="52" t="str">
        <f t="shared" si="3"/>
        <v>EC</v>
      </c>
      <c r="V10" s="52" t="str">
        <f t="shared" si="4"/>
        <v>KEEP</v>
      </c>
      <c r="W10" s="149" t="str">
        <f t="shared" si="5"/>
        <v>echo {"issue":{"subject":"","project_id":79,"tracker_id":40,"status_id":1,"priority_id":2,"assigned_to_id":23,"start_date":"2016-08-30","description":"","custom_fields":[{"id":1,"name":"Subdivision","value":"EC"},{"id":4,"name":"Milepost","value":"19.1108"},{"id":17,"name":"Train ID","value":"230-30"},{"id":16,"name":"Locomotive ID","value":"4012"},{"id":130,"name":"Impact","value":""},{"id":150,"name":"Time of Event (Mountain Time)","value":"22:02:06"},{"id":151,"name":"Denver Issue ID","value":""},{"id":178,"name":"Operational Impact","value":"Yes"},{"id":179,"name":"Denver Segment Assigned","value":""}]}} | curl -X POST -H "Content-Type: application/json" -H "X-Redmine-API-Key: d6333d4a04012a730768444271f8ca06482dae87" https://secure.xorail.net/redmine/issues.json --data @-</v>
      </c>
      <c r="X10" s="55"/>
      <c r="Y10" s="55"/>
      <c r="Z10" s="55"/>
    </row>
    <row r="11" spans="1:26" s="1" customFormat="1" x14ac:dyDescent="0.25">
      <c r="A11" s="38">
        <v>42612.489525462966</v>
      </c>
      <c r="B11" s="33" t="s">
        <v>241</v>
      </c>
      <c r="C11" s="33" t="s">
        <v>368</v>
      </c>
      <c r="D11" s="33" t="s">
        <v>111</v>
      </c>
      <c r="E11" s="33" t="s">
        <v>56</v>
      </c>
      <c r="F11" s="49">
        <v>550</v>
      </c>
      <c r="G11" s="49">
        <v>604</v>
      </c>
      <c r="H11" s="49">
        <v>222134</v>
      </c>
      <c r="I11" s="33" t="s">
        <v>57</v>
      </c>
      <c r="J11" s="49">
        <v>224581</v>
      </c>
      <c r="K11" s="33" t="s">
        <v>53</v>
      </c>
      <c r="L11" s="92" t="str">
        <f>VLOOKUP(C11,'Trips&amp;Operators'!$C$1:$E$9999,3,0)</f>
        <v>ROCHA</v>
      </c>
      <c r="M11" s="131" t="s">
        <v>86</v>
      </c>
      <c r="N11" s="10"/>
      <c r="O11" s="33"/>
      <c r="P11" s="108" t="str">
        <f>VLOOKUP(C11,'Train Runs'!$A$13:$AE$10016,31,0)</f>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Q11" s="111" t="str">
        <f>VLOOKUP(C11,'Train Runs'!$A$13:$AE$10016,22,0)</f>
        <v>https://search-rtdc-monitor-bjffxe2xuh6vdkpspy63sjmuny.us-east-1.es.amazonaws.com/_plugin/kibana/#/discover/Steve-Slow-Train-Analysis-(2080s-and-2083s)?_g=(refreshInterval:(display:Off,section:0,value:0),time:(from:'2016-08-30 10:24:17-0600',mode:absolute,to:'2016-08-30 13:20: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R11" s="113" t="str">
        <f t="shared" si="0"/>
        <v>"C:\Program Files (x86)\AstroGrep\AstroGrep.exe" /spath="%USERPROFILE%\AppData\Local\Temp\OnboardLogs" /stypes="*4039*201608301*" /stext=" 17:.+((SYSTEM_STATE.+slice.+state.+changed )|(ment ac)|(system.+state.+changed )|(\|lc)|(penalty)|(\[timeout)|(PRM\|1\|D)|(kpr)|(kdp))" /e /r /s</v>
      </c>
      <c r="S11" s="9" t="str">
        <f t="shared" si="1"/>
        <v>4039</v>
      </c>
      <c r="T11" s="38">
        <f t="shared" si="2"/>
        <v>42612.739525462966</v>
      </c>
      <c r="U11" s="52" t="str">
        <f t="shared" si="3"/>
        <v>EC</v>
      </c>
      <c r="V11" s="52" t="str">
        <f t="shared" si="4"/>
        <v>KEEP</v>
      </c>
      <c r="W11" s="149" t="str">
        <f t="shared" si="5"/>
        <v>echo {"issue":{"subject":"","project_id":79,"tracker_id":40,"status_id":1,"priority_id":2,"assigned_to_id":23,"start_date":"2016-08-30","description":"","custom_fields":[{"id":1,"name":"Subdivision","value":"EC"},{"id":4,"name":"Milepost","value":"22.4581"},{"id":17,"name":"Train ID","value":"158-30"},{"id":16,"name":"Locomotive ID","value":"4039"},{"id":130,"name":"Impact","value":""},{"id":150,"name":"Time of Event (Mountain Time)","value":"11:44:55"},{"id":151,"name":"Denver Issue ID","value":""},{"id":178,"name":"Operational Impact","value":"Yes"},{"id":179,"name":"Denver Segment Assigned","value":""}]}} | curl -X POST -H "Content-Type: application/json" -H "X-Redmine-API-Key: d6333d4a04012a730768444271f8ca06482dae87" https://secure.xorail.net/redmine/issues.json --data @-</v>
      </c>
      <c r="X11" s="55"/>
      <c r="Y11" s="55"/>
      <c r="Z11" s="55"/>
    </row>
    <row r="12" spans="1:26" s="1" customFormat="1" x14ac:dyDescent="0.25">
      <c r="A12" s="38">
        <v>42612.274826388886</v>
      </c>
      <c r="B12" s="33" t="s">
        <v>236</v>
      </c>
      <c r="C12" s="33" t="s">
        <v>357</v>
      </c>
      <c r="D12" s="33" t="s">
        <v>49</v>
      </c>
      <c r="E12" s="33" t="s">
        <v>56</v>
      </c>
      <c r="F12" s="49">
        <v>150</v>
      </c>
      <c r="G12" s="49">
        <v>327</v>
      </c>
      <c r="H12" s="49">
        <v>229363</v>
      </c>
      <c r="I12" s="33" t="s">
        <v>57</v>
      </c>
      <c r="J12" s="49">
        <v>230436</v>
      </c>
      <c r="K12" s="33" t="s">
        <v>52</v>
      </c>
      <c r="L12" s="92" t="str">
        <f>VLOOKUP(C12,'Trips&amp;Operators'!$C$1:$E$9999,3,0)</f>
        <v>SMITH</v>
      </c>
      <c r="M12" s="131" t="s">
        <v>86</v>
      </c>
      <c r="N12" s="10"/>
      <c r="O12" s="33"/>
      <c r="P12" s="108" t="str">
        <f>VLOOKUP(C12,'Train Runs'!$A$13:$AE$10016,31,0)</f>
        <v>aws s3 cp s3://rtdc.mdm.uploadarchive/RTDC4020/2016-08-30/ "%USERPROFILE%\AppData\Local\Temp\OnboardLogs"\RTDC4020\2016-08-30 --recursive &amp; "%USERPROFILE%\Documents\GitHub\mrs-test-scripts\Headless Mode &amp; Sideloading\WalkAndUnGZ.bat" "%USERPROFILE%\AppData\Local\Temp\OnboardLogs"\RTDC4020\2016-08-30 &amp; aws s3 cp s3://rtdc.mdm.uploadarchive/RTDC4020/2016-08-31/ "%USERPROFILE%\AppData\Local\Temp\OnboardLogs"\RTDC4020\2016-08-31 --recursive &amp; "%USERPROFILE%\Documents\GitHub\mrs-test-scripts\Headless Mode &amp; Sideloading\WalkAndUnGZ.bat" "%USERPROFILE%\AppData\Local\Temp\OnboardLogs"\RTDC4020\2016-08-31</v>
      </c>
      <c r="Q12" s="111" t="str">
        <f>VLOOKUP(C12,'Train Runs'!$A$13:$AE$10016,22,0)</f>
        <v>https://search-rtdc-monitor-bjffxe2xuh6vdkpspy63sjmuny.us-east-1.es.amazonaws.com/_plugin/kibana/#/discover/Steve-Slow-Train-Analysis-(2080s-and-2083s)?_g=(refreshInterval:(display:Off,section:0,value:0),time:(from:'2016-08-30 04:58:26-0600',mode:absolute,to:'2016-08-30 07:37: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4020%22')),sort:!(Time,asc))</v>
      </c>
      <c r="R12" s="113" t="str">
        <f t="shared" si="0"/>
        <v>"C:\Program Files (x86)\AstroGrep\AstroGrep.exe" /spath="%USERPROFILE%\AppData\Local\Temp\OnboardLogs" /stypes="*4020*201608301*" /stext=" 12:.+((SYSTEM_STATE.+slice.+state.+changed )|(ment ac)|(system.+state.+changed )|(\|lc)|(penalty)|(\[timeout)|(PRM\|1\|D)|(kpr)|(kdp))" /e /r /s</v>
      </c>
      <c r="S12" s="9" t="str">
        <f t="shared" si="1"/>
        <v>4020</v>
      </c>
      <c r="T12" s="38">
        <f t="shared" si="2"/>
        <v>42612.524826388886</v>
      </c>
      <c r="U12" s="52" t="str">
        <f t="shared" si="3"/>
        <v>EC</v>
      </c>
      <c r="V12" s="52" t="str">
        <f t="shared" si="4"/>
        <v>KEEP</v>
      </c>
      <c r="W12" s="149" t="str">
        <f t="shared" si="5"/>
        <v>echo {"issue":{"subject":"","project_id":79,"tracker_id":40,"status_id":1,"priority_id":2,"assigned_to_id":23,"start_date":"2016-08-30","description":"","custom_fields":[{"id":1,"name":"Subdivision","value":"EC"},{"id":4,"name":"Milepost","value":"23.0436"},{"id":17,"name":"Train ID","value":"119-30"},{"id":16,"name":"Locomotive ID","value":"4020"},{"id":130,"name":"Impact","value":""},{"id":150,"name":"Time of Event (Mountain Time)","value":"06:35:45"},{"id":151,"name":"Denver Issue ID","value":""},{"id":178,"name":"Operational Impact","value":"Yes"},{"id":179,"name":"Denver Segment Assigned","value":""}]}} | curl -X POST -H "Content-Type: application/json" -H "X-Redmine-API-Key: d6333d4a04012a730768444271f8ca06482dae87" https://secure.xorail.net/redmine/issues.json --data @-</v>
      </c>
      <c r="X12" s="55"/>
      <c r="Y12" s="55"/>
      <c r="Z12" s="55"/>
    </row>
    <row r="13" spans="1:26" s="1" customFormat="1" x14ac:dyDescent="0.25">
      <c r="A13" s="38">
        <v>42612.3984837963</v>
      </c>
      <c r="B13" s="33" t="s">
        <v>239</v>
      </c>
      <c r="C13" s="33" t="s">
        <v>363</v>
      </c>
      <c r="D13" s="33" t="s">
        <v>49</v>
      </c>
      <c r="E13" s="33" t="s">
        <v>56</v>
      </c>
      <c r="F13" s="49">
        <v>150</v>
      </c>
      <c r="G13" s="49">
        <v>251</v>
      </c>
      <c r="H13" s="49">
        <v>229714</v>
      </c>
      <c r="I13" s="33" t="s">
        <v>57</v>
      </c>
      <c r="J13" s="49">
        <v>230436</v>
      </c>
      <c r="K13" s="33" t="s">
        <v>52</v>
      </c>
      <c r="L13" s="92" t="str">
        <f>VLOOKUP(C13,'Trips&amp;Operators'!$C$1:$E$9999,3,0)</f>
        <v>ROCHA</v>
      </c>
      <c r="M13" s="131" t="s">
        <v>86</v>
      </c>
      <c r="N13" s="10"/>
      <c r="O13" s="33"/>
      <c r="P13" s="108" t="str">
        <f>VLOOKUP(C13,'Train Runs'!$A$13:$AE$10016,31,0)</f>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Q13" s="111" t="str">
        <f>VLOOKUP(C13,'Train Runs'!$A$13:$AE$10016,22,0)</f>
        <v>https://search-rtdc-monitor-bjffxe2xuh6vdkpspy63sjmuny.us-east-1.es.amazonaws.com/_plugin/kibana/#/discover/Steve-Slow-Train-Analysis-(2080s-and-2083s)?_g=(refreshInterval:(display:Off,section:0,value:0),time:(from:'2016-08-30 07:58:16-0600',mode:absolute,to:'2016-08-30 10:35: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R13" s="113" t="str">
        <f t="shared" si="0"/>
        <v>"C:\Program Files (x86)\AstroGrep\AstroGrep.exe" /spath="%USERPROFILE%\AppData\Local\Temp\OnboardLogs" /stypes="*4040*201608301*" /stext=" 15:.+((SYSTEM_STATE.+slice.+state.+changed )|(ment ac)|(system.+state.+changed )|(\|lc)|(penalty)|(\[timeout)|(PRM\|1\|D)|(kpr)|(kdp))" /e /r /s</v>
      </c>
      <c r="S13" s="9" t="str">
        <f t="shared" si="1"/>
        <v>4040</v>
      </c>
      <c r="T13" s="38">
        <f t="shared" si="2"/>
        <v>42612.6484837963</v>
      </c>
      <c r="U13" s="52" t="str">
        <f t="shared" si="3"/>
        <v>EC</v>
      </c>
      <c r="V13" s="52" t="str">
        <f t="shared" si="4"/>
        <v>KEEP</v>
      </c>
      <c r="W13" s="149" t="str">
        <f t="shared" si="5"/>
        <v>echo {"issue":{"subject":"","project_id":79,"tracker_id":40,"status_id":1,"priority_id":2,"assigned_to_id":23,"start_date":"2016-08-30","description":"","custom_fields":[{"id":1,"name":"Subdivision","value":"EC"},{"id":4,"name":"Milepost","value":"23.0436"},{"id":17,"name":"Train ID","value":"143-30"},{"id":16,"name":"Locomotive ID","value":"4040"},{"id":130,"name":"Impact","value":""},{"id":150,"name":"Time of Event (Mountain Time)","value":"09:33:49"},{"id":151,"name":"Denver Issue ID","value":""},{"id":178,"name":"Operational Impact","value":"Yes"},{"id":179,"name":"Denver Segment Assigned","value":""}]}} | curl -X POST -H "Content-Type: application/json" -H "X-Redmine-API-Key: d6333d4a04012a730768444271f8ca06482dae87" https://secure.xorail.net/redmine/issues.json --data @-</v>
      </c>
      <c r="X13" s="55"/>
      <c r="Y13" s="55"/>
      <c r="Z13" s="55"/>
    </row>
    <row r="14" spans="1:26" s="1" customFormat="1" x14ac:dyDescent="0.25">
      <c r="A14" s="38">
        <v>42612.767152777778</v>
      </c>
      <c r="B14" s="33" t="s">
        <v>365</v>
      </c>
      <c r="C14" s="33" t="s">
        <v>381</v>
      </c>
      <c r="D14" s="33" t="s">
        <v>49</v>
      </c>
      <c r="E14" s="33" t="s">
        <v>54</v>
      </c>
      <c r="F14" s="49">
        <v>0</v>
      </c>
      <c r="G14" s="49">
        <v>394</v>
      </c>
      <c r="H14" s="49">
        <v>129696</v>
      </c>
      <c r="I14" s="33" t="s">
        <v>55</v>
      </c>
      <c r="J14" s="49">
        <v>127587</v>
      </c>
      <c r="K14" s="33" t="s">
        <v>53</v>
      </c>
      <c r="L14" s="92" t="str">
        <f>VLOOKUP(C14,'Trips&amp;Operators'!$C$1:$E$9999,3,0)</f>
        <v>HILLS</v>
      </c>
      <c r="M14" s="131" t="s">
        <v>86</v>
      </c>
      <c r="N14" s="10" t="s">
        <v>299</v>
      </c>
      <c r="O14" s="33"/>
      <c r="P14" s="108" t="str">
        <f>VLOOKUP(C14,'Train Runs'!$A$13:$AE$10016,31,0)</f>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Q14" s="111" t="str">
        <f>VLOOKUP(C14,'Train Runs'!$A$13:$AE$10016,22,0)</f>
        <v>https://search-rtdc-monitor-bjffxe2xuh6vdkpspy63sjmuny.us-east-1.es.amazonaws.com/_plugin/kibana/#/discover/Steve-Slow-Train-Analysis-(2080s-and-2083s)?_g=(refreshInterval:(display:Off,section:0,value:0),time:(from:'2016-08-30 16:59:04-0600',mode:absolute,to:'2016-08-30 19:50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R14" s="113" t="str">
        <f t="shared" si="0"/>
        <v>"C:\Program Files (x86)\AstroGrep\AstroGrep.exe" /spath="%USERPROFILE%\AppData\Local\Temp\OnboardLogs" /stypes="*4012*201608310*" /stext=" 00:.+((SYSTEM_STATE.+slice.+state.+changed )|(ment ac)|(system.+state.+changed )|(\|lc)|(penalty)|(\[timeout)|(PRM\|1\|D)|(kpr)|(kdp))" /e /r /s</v>
      </c>
      <c r="S14" s="9" t="str">
        <f t="shared" si="1"/>
        <v>4012</v>
      </c>
      <c r="T14" s="38">
        <f t="shared" si="2"/>
        <v>42613.017152777778</v>
      </c>
      <c r="U14" s="52" t="str">
        <f t="shared" si="3"/>
        <v>EC</v>
      </c>
      <c r="V14" s="52" t="str">
        <f t="shared" si="4"/>
        <v>KEEP</v>
      </c>
      <c r="W14" s="149" t="str">
        <f t="shared" si="5"/>
        <v>echo {"issue":{"subject":"40th 4S STOP, cleared shortly","project_id":79,"tracker_id":40,"status_id":1,"priority_id":2,"assigned_to_id":23,"start_date":"2016-08-30","description":"","custom_fields":[{"id":1,"name":"Subdivision","value":"EC"},{"id":4,"name":"Milepost","value":"12.7587"},{"id":17,"name":"Train ID","value":"210-30"},{"id":16,"name":"Locomotive ID","value":"4012"},{"id":130,"name":"Impact","value":""},{"id":150,"name":"Time of Event (Mountain Time)","value":"18:24:42"},{"id":151,"name":"Denver Issue ID","value":""},{"id":178,"name":"Operational Impact","value":"Yes"},{"id":179,"name":"Denver Segment Assigned","value":""}]}} | curl -X POST -H "Content-Type: application/json" -H "X-Redmine-API-Key: d6333d4a04012a730768444271f8ca06482dae87" https://secure.xorail.net/redmine/issues.json --data @-</v>
      </c>
      <c r="X14" s="55"/>
      <c r="Y14" s="55"/>
      <c r="Z14" s="55"/>
    </row>
    <row r="15" spans="1:26" s="1" customFormat="1" x14ac:dyDescent="0.25">
      <c r="A15" s="38">
        <v>42612.219953703701</v>
      </c>
      <c r="B15" s="33" t="s">
        <v>354</v>
      </c>
      <c r="C15" s="33" t="s">
        <v>355</v>
      </c>
      <c r="D15" s="33" t="s">
        <v>49</v>
      </c>
      <c r="E15" s="33" t="s">
        <v>54</v>
      </c>
      <c r="F15" s="49">
        <v>0</v>
      </c>
      <c r="G15" s="49">
        <v>460</v>
      </c>
      <c r="H15" s="49">
        <v>194262</v>
      </c>
      <c r="I15" s="33" t="s">
        <v>55</v>
      </c>
      <c r="J15" s="49">
        <v>191723</v>
      </c>
      <c r="K15" s="33" t="s">
        <v>53</v>
      </c>
      <c r="L15" s="92" t="str">
        <f>VLOOKUP(C15,'Trips&amp;Operators'!$C$1:$E$9999,3,0)</f>
        <v>SMITH</v>
      </c>
      <c r="M15" s="131" t="s">
        <v>86</v>
      </c>
      <c r="N15" s="10" t="s">
        <v>734</v>
      </c>
      <c r="O15" s="33"/>
      <c r="P15" s="108" t="str">
        <f>VLOOKUP(C15,'Train Runs'!$A$13:$AE$10016,31,0)</f>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Q15" s="111" t="str">
        <f>VLOOKUP(C15,'Train Runs'!$A$13:$AE$10016,22,0)</f>
        <v>https://search-rtdc-monitor-bjffxe2xuh6vdkpspy63sjmuny.us-east-1.es.amazonaws.com/_plugin/kibana/#/discover/Steve-Slow-Train-Analysis-(2080s-and-2083s)?_g=(refreshInterval:(display:Off,section:0,value:0),time:(from:'2016-08-30 03:58:44-0600',mode:absolute,to:'2016-08-30 06:51: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15" s="113" t="str">
        <f t="shared" si="0"/>
        <v>"C:\Program Files (x86)\AstroGrep\AstroGrep.exe" /spath="%USERPROFILE%\AppData\Local\Temp\OnboardLogs" /stypes="*4015*201608301*" /stext=" 11:.+((SYSTEM_STATE.+slice.+state.+changed )|(ment ac)|(system.+state.+changed )|(\|lc)|(penalty)|(\[timeout)|(PRM\|1\|D)|(kpr)|(kdp))" /e /r /s</v>
      </c>
      <c r="S15" s="9" t="str">
        <f t="shared" si="1"/>
        <v>4015</v>
      </c>
      <c r="T15" s="38">
        <f t="shared" si="2"/>
        <v>42612.469953703701</v>
      </c>
      <c r="U15" s="52" t="str">
        <f t="shared" si="3"/>
        <v>EC</v>
      </c>
      <c r="V15" s="52" t="str">
        <f t="shared" si="4"/>
        <v>KEEP</v>
      </c>
      <c r="W15" s="149" t="str">
        <f t="shared" si="5"/>
        <v>echo {"issue":{"subject":"Pena 4S STOP, cleared shortly","project_id":79,"tracker_id":40,"status_id":1,"priority_id":2,"assigned_to_id":23,"start_date":"2016-08-30","description":"","custom_fields":[{"id":1,"name":"Subdivision","value":"EC"},{"id":4,"name":"Milepost","value":"19.1723"},{"id":17,"name":"Train ID","value":"106-30"},{"id":16,"name":"Locomotive ID","value":"4015"},{"id":130,"name":"Impact","value":""},{"id":150,"name":"Time of Event (Mountain Time)","value":"05:16:44"},{"id":151,"name":"Denver Issue ID","value":""},{"id":178,"name":"Operational Impact","value":"Yes"},{"id":179,"name":"Denver Segment Assigned","value":""}]}} | curl -X POST -H "Content-Type: application/json" -H "X-Redmine-API-Key: d6333d4a04012a730768444271f8ca06482dae87" https://secure.xorail.net/redmine/issues.json --data @-</v>
      </c>
      <c r="X15" s="55"/>
      <c r="Y15" s="55"/>
      <c r="Z15" s="55"/>
    </row>
    <row r="16" spans="1:26" s="1" customFormat="1" x14ac:dyDescent="0.25">
      <c r="A16" s="38">
        <v>42612.470590277779</v>
      </c>
      <c r="B16" s="33" t="s">
        <v>365</v>
      </c>
      <c r="C16" s="33" t="s">
        <v>366</v>
      </c>
      <c r="D16" s="33" t="s">
        <v>49</v>
      </c>
      <c r="E16" s="33" t="s">
        <v>54</v>
      </c>
      <c r="F16" s="49">
        <v>0</v>
      </c>
      <c r="G16" s="49">
        <v>438</v>
      </c>
      <c r="H16" s="49">
        <v>192009</v>
      </c>
      <c r="I16" s="33" t="s">
        <v>55</v>
      </c>
      <c r="J16" s="49">
        <v>191723</v>
      </c>
      <c r="K16" s="33" t="s">
        <v>53</v>
      </c>
      <c r="L16" s="92" t="str">
        <f>VLOOKUP(C16,'Trips&amp;Operators'!$C$1:$E$9999,3,0)</f>
        <v>GEBRETEKLE</v>
      </c>
      <c r="M16" s="131" t="s">
        <v>315</v>
      </c>
      <c r="N16" s="10" t="s">
        <v>731</v>
      </c>
      <c r="O16" s="33"/>
      <c r="P16" s="108" t="str">
        <f>VLOOKUP(C16,'Train Runs'!$A$13:$AE$10016,31,0)</f>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Q16" s="111" t="str">
        <f>VLOOKUP(C16,'Train Runs'!$A$13:$AE$10016,22,0)</f>
        <v>https://search-rtdc-monitor-bjffxe2xuh6vdkpspy63sjmuny.us-east-1.es.amazonaws.com/_plugin/kibana/#/discover/Steve-Slow-Train-Analysis-(2080s-and-2083s)?_g=(refreshInterval:(display:Off,section:0,value:0),time:(from:'2016-08-30 10:27:42-0600',mode:absolute,to:'2016-08-30 12:53: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R16" s="113" t="str">
        <f t="shared" si="0"/>
        <v>"C:\Program Files (x86)\AstroGrep\AstroGrep.exe" /spath="%USERPROFILE%\AppData\Local\Temp\OnboardLogs" /stypes="*4012*201608301*" /stext=" 17:.+((SYSTEM_STATE.+slice.+state.+changed )|(ment ac)|(system.+state.+changed )|(\|lc)|(penalty)|(\[timeout)|(PRM\|1\|D)|(kpr)|(kdp))" /e /r /s</v>
      </c>
      <c r="S16" s="9" t="str">
        <f t="shared" si="1"/>
        <v>4012</v>
      </c>
      <c r="T16" s="38">
        <f t="shared" si="2"/>
        <v>42612.720590277779</v>
      </c>
      <c r="U16" s="52" t="str">
        <f t="shared" si="3"/>
        <v>EC</v>
      </c>
      <c r="V16" s="52" t="str">
        <f t="shared" si="4"/>
        <v>KEEP</v>
      </c>
      <c r="W16" s="149" t="str">
        <f t="shared" si="5"/>
        <v>echo {"issue":{"subject":"TMDS or dispatcher issue - no clear requests sent to Pena 2S","project_id":79,"tracker_id":40,"status_id":1,"priority_id":2,"assigned_to_id":23,"start_date":"2016-08-30","description":"","custom_fields":[{"id":1,"name":"Subdivision","value":"EC"},{"id":4,"name":"Milepost","value":"19.1723"},{"id":17,"name":"Train ID","value":"154-30"},{"id":16,"name":"Locomotive ID","value":"4012"},{"id":130,"name":"Impact","value":""},{"id":150,"name":"Time of Event (Mountain Time)","value":"11:17:39"},{"id":151,"name":"Denver Issue ID","value":""},{"id":178,"name":"Operational Impact","value":"Yes"},{"id":179,"name":"Denver Segment Assigned","value":""}]}} | curl -X POST -H "Content-Type: application/json" -H "X-Redmine-API-Key: d6333d4a04012a730768444271f8ca06482dae87" https://secure.xorail.net/redmine/issues.json --data @-</v>
      </c>
      <c r="X16" s="55"/>
      <c r="Y16" s="55"/>
      <c r="Z16" s="55"/>
    </row>
    <row r="17" spans="1:26" s="1" customFormat="1" x14ac:dyDescent="0.25">
      <c r="A17" s="38">
        <v>42612.53261574074</v>
      </c>
      <c r="B17" s="33" t="s">
        <v>92</v>
      </c>
      <c r="C17" s="33" t="s">
        <v>370</v>
      </c>
      <c r="D17" s="33" t="s">
        <v>49</v>
      </c>
      <c r="E17" s="33" t="s">
        <v>54</v>
      </c>
      <c r="F17" s="49">
        <v>0</v>
      </c>
      <c r="G17" s="49">
        <v>385</v>
      </c>
      <c r="H17" s="49">
        <v>193710</v>
      </c>
      <c r="I17" s="33" t="s">
        <v>55</v>
      </c>
      <c r="J17" s="49">
        <v>191723</v>
      </c>
      <c r="K17" s="33" t="s">
        <v>53</v>
      </c>
      <c r="L17" s="92" t="str">
        <f>VLOOKUP(C17,'Trips&amp;Operators'!$C$1:$E$9999,3,0)</f>
        <v>BROWN</v>
      </c>
      <c r="M17" s="131" t="s">
        <v>86</v>
      </c>
      <c r="N17" s="10" t="s">
        <v>734</v>
      </c>
      <c r="O17" s="33"/>
      <c r="P17" s="108" t="str">
        <f>VLOOKUP(C17,'Train Runs'!$A$13:$AE$10016,31,0)</f>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Q17" s="111" t="str">
        <f>VLOOKUP(C17,'Train Runs'!$A$13:$AE$10016,22,0)</f>
        <v>https://search-rtdc-monitor-bjffxe2xuh6vdkpspy63sjmuny.us-east-1.es.amazonaws.com/_plugin/kibana/#/discover/Steve-Slow-Train-Analysis-(2080s-and-2083s)?_g=(refreshInterval:(display:Off,section:0,value:0),time:(from:'2016-08-30 11:32:13-0600',mode:absolute,to:'2016-08-30 14:21: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R17" s="113" t="str">
        <f t="shared" si="0"/>
        <v>"C:\Program Files (x86)\AstroGrep\AstroGrep.exe" /spath="%USERPROFILE%\AppData\Local\Temp\OnboardLogs" /stypes="*4030*201608301*" /stext=" 18:.+((SYSTEM_STATE.+slice.+state.+changed )|(ment ac)|(system.+state.+changed )|(\|lc)|(penalty)|(\[timeout)|(PRM\|1\|D)|(kpr)|(kdp))" /e /r /s</v>
      </c>
      <c r="S17" s="9" t="str">
        <f t="shared" si="1"/>
        <v>4030</v>
      </c>
      <c r="T17" s="38">
        <f t="shared" si="2"/>
        <v>42612.78261574074</v>
      </c>
      <c r="U17" s="52" t="str">
        <f t="shared" si="3"/>
        <v>EC</v>
      </c>
      <c r="V17" s="52" t="str">
        <f t="shared" si="4"/>
        <v>KEEP</v>
      </c>
      <c r="W17" s="149" t="str">
        <f t="shared" si="5"/>
        <v>echo {"issue":{"subject":"Pena 4S STOP, cleared shortly","project_id":79,"tracker_id":40,"status_id":1,"priority_id":2,"assigned_to_id":23,"start_date":"2016-08-30","description":"","custom_fields":[{"id":1,"name":"Subdivision","value":"EC"},{"id":4,"name":"Milepost","value":"19.1723"},{"id":17,"name":"Train ID","value":"166-30"},{"id":16,"name":"Locomotive ID","value":"4030"},{"id":130,"name":"Impact","value":""},{"id":150,"name":"Time of Event (Mountain Time)","value":"12:46:58"},{"id":151,"name":"Denver Issue ID","value":""},{"id":178,"name":"Operational Impact","value":"Yes"},{"id":179,"name":"Denver Segment Assigned","value":""}]}} | curl -X POST -H "Content-Type: application/json" -H "X-Redmine-API-Key: d6333d4a04012a730768444271f8ca06482dae87" https://secure.xorail.net/redmine/issues.json --data @-</v>
      </c>
      <c r="X17" s="55"/>
      <c r="Y17" s="55"/>
      <c r="Z17" s="55"/>
    </row>
    <row r="18" spans="1:26" s="1" customFormat="1" x14ac:dyDescent="0.25">
      <c r="A18" s="38">
        <v>42612.761238425926</v>
      </c>
      <c r="B18" s="33" t="s">
        <v>365</v>
      </c>
      <c r="C18" s="33" t="s">
        <v>381</v>
      </c>
      <c r="D18" s="33" t="s">
        <v>49</v>
      </c>
      <c r="E18" s="33" t="s">
        <v>54</v>
      </c>
      <c r="F18" s="49">
        <v>0</v>
      </c>
      <c r="G18" s="49">
        <v>365</v>
      </c>
      <c r="H18" s="49">
        <v>194200</v>
      </c>
      <c r="I18" s="33" t="s">
        <v>55</v>
      </c>
      <c r="J18" s="49">
        <v>191723</v>
      </c>
      <c r="K18" s="33" t="s">
        <v>53</v>
      </c>
      <c r="L18" s="92" t="str">
        <f>VLOOKUP(C18,'Trips&amp;Operators'!$C$1:$E$9999,3,0)</f>
        <v>HILLS</v>
      </c>
      <c r="M18" s="131" t="s">
        <v>86</v>
      </c>
      <c r="N18" s="10" t="s">
        <v>734</v>
      </c>
      <c r="O18" s="33"/>
      <c r="P18" s="108" t="str">
        <f>VLOOKUP(C18,'Train Runs'!$A$13:$AE$10016,31,0)</f>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Q18" s="111" t="str">
        <f>VLOOKUP(C18,'Train Runs'!$A$13:$AE$10016,22,0)</f>
        <v>https://search-rtdc-monitor-bjffxe2xuh6vdkpspy63sjmuny.us-east-1.es.amazonaws.com/_plugin/kibana/#/discover/Steve-Slow-Train-Analysis-(2080s-and-2083s)?_g=(refreshInterval:(display:Off,section:0,value:0),time:(from:'2016-08-30 16:59:04-0600',mode:absolute,to:'2016-08-30 19:50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R18" s="113" t="str">
        <f t="shared" si="0"/>
        <v>"C:\Program Files (x86)\AstroGrep\AstroGrep.exe" /spath="%USERPROFILE%\AppData\Local\Temp\OnboardLogs" /stypes="*4012*201608310*" /stext=" 00:.+((SYSTEM_STATE.+slice.+state.+changed )|(ment ac)|(system.+state.+changed )|(\|lc)|(penalty)|(\[timeout)|(PRM\|1\|D)|(kpr)|(kdp))" /e /r /s</v>
      </c>
      <c r="S18" s="9" t="str">
        <f t="shared" si="1"/>
        <v>4012</v>
      </c>
      <c r="T18" s="38">
        <f t="shared" si="2"/>
        <v>42613.011238425926</v>
      </c>
      <c r="U18" s="52" t="str">
        <f t="shared" si="3"/>
        <v>EC</v>
      </c>
      <c r="V18" s="52" t="str">
        <f t="shared" si="4"/>
        <v>KEEP</v>
      </c>
      <c r="W18" s="149" t="str">
        <f t="shared" si="5"/>
        <v>echo {"issue":{"subject":"Pena 4S STOP, cleared shortly","project_id":79,"tracker_id":40,"status_id":1,"priority_id":2,"assigned_to_id":23,"start_date":"2016-08-30","description":"","custom_fields":[{"id":1,"name":"Subdivision","value":"EC"},{"id":4,"name":"Milepost","value":"19.1723"},{"id":17,"name":"Train ID","value":"210-30"},{"id":16,"name":"Locomotive ID","value":"4012"},{"id":130,"name":"Impact","value":""},{"id":150,"name":"Time of Event (Mountain Time)","value":"18:16:11"},{"id":151,"name":"Denver Issue ID","value":""},{"id":178,"name":"Operational Impact","value":"Yes"},{"id":179,"name":"Denver Segment Assigned","value":""}]}} | curl -X POST -H "Content-Type: application/json" -H "X-Redmine-API-Key: d6333d4a04012a730768444271f8ca06482dae87" https://secure.xorail.net/redmine/issues.json --data @-</v>
      </c>
      <c r="X18" s="55"/>
      <c r="Y18" s="55"/>
      <c r="Z18" s="55"/>
    </row>
    <row r="19" spans="1:26" s="1" customFormat="1" x14ac:dyDescent="0.25">
      <c r="A19" s="38">
        <v>42612.282534722224</v>
      </c>
      <c r="B19" s="33" t="s">
        <v>306</v>
      </c>
      <c r="C19" s="33" t="s">
        <v>358</v>
      </c>
      <c r="D19" s="33" t="s">
        <v>111</v>
      </c>
      <c r="E19" s="33" t="s">
        <v>313</v>
      </c>
      <c r="F19" s="49">
        <v>0</v>
      </c>
      <c r="G19" s="49">
        <v>149</v>
      </c>
      <c r="H19" s="49">
        <v>1938</v>
      </c>
      <c r="I19" s="33" t="s">
        <v>314</v>
      </c>
      <c r="J19" s="49">
        <v>1692</v>
      </c>
      <c r="K19" s="33" t="s">
        <v>52</v>
      </c>
      <c r="L19" s="92" t="str">
        <f>VLOOKUP(C19,'Trips&amp;Operators'!$C$1:$E$9999,3,0)</f>
        <v>GEBRETEKLE</v>
      </c>
      <c r="M19" s="131" t="s">
        <v>315</v>
      </c>
      <c r="N19" s="10" t="s">
        <v>352</v>
      </c>
      <c r="O19" s="33"/>
      <c r="P19" s="108" t="str">
        <f>VLOOKUP(C19,'Train Runs'!$A$13:$AE$10016,31,0)</f>
        <v>aws s3 cp s3://rtdc.mdm.uploadarchive/RTDC4011/2016-08-30/ "%USERPROFILE%\AppData\Local\Temp\OnboardLogs"\RTDC4011\2016-08-30 --recursive &amp; "%USERPROFILE%\Documents\GitHub\mrs-test-scripts\Headless Mode &amp; Sideloading\WalkAndUnGZ.bat" "%USERPROFILE%\AppData\Local\Temp\OnboardLogs"\RTDC4011\2016-08-30 &amp; aws s3 cp s3://rtdc.mdm.uploadarchive/RTDC4011/2016-08-31/ "%USERPROFILE%\AppData\Local\Temp\OnboardLogs"\RTDC4011\2016-08-31 --recursive &amp; "%USERPROFILE%\Documents\GitHub\mrs-test-scripts\Headless Mode &amp; Sideloading\WalkAndUnGZ.bat" "%USERPROFILE%\AppData\Local\Temp\OnboardLogs"\RTDC4011\2016-08-31</v>
      </c>
      <c r="Q19" s="111" t="str">
        <f>VLOOKUP(C19,'Train Runs'!$A$13:$AE$10016,22,0)</f>
        <v>https://search-rtdc-monitor-bjffxe2xuh6vdkpspy63sjmuny.us-east-1.es.amazonaws.com/_plugin/kibana/#/discover/Steve-Slow-Train-Analysis-(2080s-and-2083s)?_g=(refreshInterval:(display:Off,section:0,value:0),time:(from:'2016-08-30 05:51:24-0600',mode:absolute,to:'2016-08-30 08:23: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4011%22')),sort:!(Time,asc))</v>
      </c>
      <c r="R19" s="113" t="str">
        <f t="shared" si="0"/>
        <v>"C:\Program Files (x86)\AstroGrep\AstroGrep.exe" /spath="%USERPROFILE%\AppData\Local\Temp\OnboardLogs" /stypes="*4011*201608301*" /stext=" 12:.+((SYSTEM_STATE.+slice.+state.+changed )|(ment ac)|(system.+state.+changed )|(\|lc)|(penalty)|(\[timeout)|(PRM\|1\|D)|(kpr)|(kdp))" /e /r /s</v>
      </c>
      <c r="S19" s="9" t="str">
        <f t="shared" si="1"/>
        <v>4011</v>
      </c>
      <c r="T19" s="38">
        <f t="shared" si="2"/>
        <v>42612.532534722224</v>
      </c>
      <c r="U19" s="52" t="str">
        <f t="shared" si="3"/>
        <v>EC</v>
      </c>
      <c r="V19" s="52" t="str">
        <f t="shared" si="4"/>
        <v>KEEP</v>
      </c>
      <c r="W19" s="149" t="str">
        <f t="shared" si="5"/>
        <v>echo {"issue":{"subject":"Onboard in-route failure","project_id":79,"tracker_id":40,"status_id":1,"priority_id":2,"assigned_to_id":23,"start_date":"2016-08-30","description":"","custom_fields":[{"id":1,"name":"Subdivision","value":"EC"},{"id":4,"name":"Milepost","value":"0.1692"},{"id":17,"name":"Train ID","value":"125-30"},{"id":16,"name":"Locomotive ID","value":"4011"},{"id":130,"name":"Impact","value":""},{"id":150,"name":"Time of Event (Mountain Time)","value":"06:46:51"},{"id":151,"name":"Denver Issue ID","value":""},{"id":178,"name":"Operational Impact","value":"Yes"},{"id":179,"name":"Denver Segment Assigned","value":""}]}} | curl -X POST -H "Content-Type: application/json" -H "X-Redmine-API-Key: d6333d4a04012a730768444271f8ca06482dae87" https://secure.xorail.net/redmine/issues.json --data @-</v>
      </c>
      <c r="X19" s="55"/>
      <c r="Y19" s="55"/>
      <c r="Z19" s="55"/>
    </row>
    <row r="20" spans="1:26" s="1" customFormat="1" x14ac:dyDescent="0.25">
      <c r="A20" s="38">
        <v>42612.244328703702</v>
      </c>
      <c r="B20" s="33" t="s">
        <v>354</v>
      </c>
      <c r="C20" s="33" t="s">
        <v>355</v>
      </c>
      <c r="D20" s="33" t="s">
        <v>49</v>
      </c>
      <c r="E20" s="33" t="s">
        <v>50</v>
      </c>
      <c r="F20" s="49">
        <v>0</v>
      </c>
      <c r="G20" s="49">
        <v>87</v>
      </c>
      <c r="H20" s="49">
        <v>329</v>
      </c>
      <c r="I20" s="33" t="s">
        <v>51</v>
      </c>
      <c r="J20" s="49">
        <v>1</v>
      </c>
      <c r="K20" s="33" t="s">
        <v>53</v>
      </c>
      <c r="L20" s="92" t="str">
        <f>VLOOKUP(C20,'Trips&amp;Operators'!$C$1:$E$9999,3,0)</f>
        <v>SMITH</v>
      </c>
      <c r="M20" s="131" t="s">
        <v>86</v>
      </c>
      <c r="N20" s="10"/>
      <c r="O20" s="33"/>
      <c r="P20" s="108" t="str">
        <f>VLOOKUP(C20,'Train Runs'!$A$13:$AE$10016,31,0)</f>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Q20" s="111" t="str">
        <f>VLOOKUP(C20,'Train Runs'!$A$13:$AE$10016,22,0)</f>
        <v>https://search-rtdc-monitor-bjffxe2xuh6vdkpspy63sjmuny.us-east-1.es.amazonaws.com/_plugin/kibana/#/discover/Steve-Slow-Train-Analysis-(2080s-and-2083s)?_g=(refreshInterval:(display:Off,section:0,value:0),time:(from:'2016-08-30 03:58:44-0600',mode:absolute,to:'2016-08-30 06:51: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20" s="113" t="str">
        <f t="shared" si="0"/>
        <v>"C:\Program Files (x86)\AstroGrep\AstroGrep.exe" /spath="%USERPROFILE%\AppData\Local\Temp\OnboardLogs" /stypes="*4015*201608301*" /stext=" 11:.+((SYSTEM_STATE.+slice.+state.+changed )|(ment ac)|(system.+state.+changed )|(\|lc)|(penalty)|(\[timeout)|(PRM\|1\|D)|(kpr)|(kdp))" /e /r /s</v>
      </c>
      <c r="S20" s="9" t="str">
        <f t="shared" si="1"/>
        <v>4015</v>
      </c>
      <c r="T20" s="38">
        <f t="shared" si="2"/>
        <v>42612.494328703702</v>
      </c>
      <c r="U20" s="52" t="str">
        <f t="shared" si="3"/>
        <v>EC</v>
      </c>
      <c r="V20" s="52" t="str">
        <f t="shared" si="4"/>
        <v>KEEP</v>
      </c>
      <c r="W20" s="149" t="str">
        <f t="shared" si="5"/>
        <v>echo {"issue":{"subject":"","project_id":79,"tracker_id":40,"status_id":1,"priority_id":2,"assigned_to_id":23,"start_date":"2016-08-30","description":"","custom_fields":[{"id":1,"name":"Subdivision","value":"EC"},{"id":4,"name":"Milepost","value":"0.0001"},{"id":17,"name":"Train ID","value":"106-30"},{"id":16,"name":"Locomotive ID","value":"4015"},{"id":130,"name":"Impact","value":""},{"id":150,"name":"Time of Event (Mountain Time)","value":"05:51:50"},{"id":151,"name":"Denver Issue ID","value":""},{"id":178,"name":"Operational Impact","value":"Yes"},{"id":179,"name":"Denver Segment Assigned","value":""}]}} | curl -X POST -H "Content-Type: application/json" -H "X-Redmine-API-Key: d6333d4a04012a730768444271f8ca06482dae87" https://secure.xorail.net/redmine/issues.json --data @-</v>
      </c>
      <c r="X20" s="55"/>
      <c r="Y20" s="55"/>
      <c r="Z20" s="55"/>
    </row>
    <row r="21" spans="1:26" s="1" customFormat="1" x14ac:dyDescent="0.25">
      <c r="A21" s="38">
        <v>42612.358437499999</v>
      </c>
      <c r="B21" s="33" t="s">
        <v>176</v>
      </c>
      <c r="C21" s="33" t="s">
        <v>361</v>
      </c>
      <c r="D21" s="33" t="s">
        <v>49</v>
      </c>
      <c r="E21" s="33" t="s">
        <v>50</v>
      </c>
      <c r="F21" s="49">
        <v>0</v>
      </c>
      <c r="G21" s="49">
        <v>63</v>
      </c>
      <c r="H21" s="49">
        <v>192</v>
      </c>
      <c r="I21" s="33" t="s">
        <v>51</v>
      </c>
      <c r="J21" s="49">
        <v>1</v>
      </c>
      <c r="K21" s="33" t="s">
        <v>53</v>
      </c>
      <c r="L21" s="92" t="str">
        <f>VLOOKUP(C21,'Trips&amp;Operators'!$C$1:$E$9999,3,0)</f>
        <v>KILLION</v>
      </c>
      <c r="M21" s="131" t="s">
        <v>86</v>
      </c>
      <c r="N21" s="10"/>
      <c r="O21" s="33"/>
      <c r="P21" s="108" t="str">
        <f>VLOOKUP(C21,'Train Runs'!$A$13:$AE$10016,31,0)</f>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Q21" s="111" t="str">
        <f>VLOOKUP(C21,'Train Runs'!$A$13:$AE$10016,22,0)</f>
        <v>https://search-rtdc-monitor-bjffxe2xuh6vdkpspy63sjmuny.us-east-1.es.amazonaws.com/_plugin/kibana/#/discover/Steve-Slow-Train-Analysis-(2080s-and-2083s)?_g=(refreshInterval:(display:Off,section:0,value:0),time:(from:'2016-08-30 06:43:13-0600',mode:absolute,to:'2016-08-30 09: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R21" s="113" t="str">
        <f t="shared" si="0"/>
        <v>"C:\Program Files (x86)\AstroGrep\AstroGrep.exe" /spath="%USERPROFILE%\AppData\Local\Temp\OnboardLogs" /stypes="*4041*201608301*" /stext=" 14:.+((SYSTEM_STATE.+slice.+state.+changed )|(ment ac)|(system.+state.+changed )|(\|lc)|(penalty)|(\[timeout)|(PRM\|1\|D)|(kpr)|(kdp))" /e /r /s</v>
      </c>
      <c r="S21" s="9" t="str">
        <f t="shared" si="1"/>
        <v>4041</v>
      </c>
      <c r="T21" s="38">
        <f t="shared" si="2"/>
        <v>42612.608437499999</v>
      </c>
      <c r="U21" s="52" t="str">
        <f t="shared" si="3"/>
        <v>EC</v>
      </c>
      <c r="V21" s="52" t="str">
        <f t="shared" si="4"/>
        <v>KEEP</v>
      </c>
      <c r="W21" s="149" t="str">
        <f t="shared" si="5"/>
        <v>echo {"issue":{"subject":"","project_id":79,"tracker_id":40,"status_id":1,"priority_id":2,"assigned_to_id":23,"start_date":"2016-08-30","description":"From 08-24-2016 13:14:05.327 until 13:28:22.128, 61st 2S should have been clear (controls sent to it the entire time was CLEAR). However, it cycled back and forth between PROCEED CAB and STOP. Any ideas why?","custom_fields":[{"id":1,"name":"Subdivision","value":"EC"},{"id":4,"name":"Milepost","value":"0.0001"},{"id":17,"name":"Train ID","value":"128-30"},{"id":16,"name":"Locomotive ID","value":"4041"},{"id":130,"name":"Impact","value":"Enforcement"},{"id":150,"name":"Time of Event (Mountain Time)","value":"08:36:09"},{"id":151,"name":"Denver Issue ID","value":""},{"id":178,"name":"Operational Impact","value":"Yes"},{"id":179,"name":"Denver Segment Assigned","value":"Signal"}]}} | curl -X POST -H "Content-Type: application/json" -H "X-Redmine-API-Key: d6333d4a04012a730768444271f8ca06482dae87" https://secure.xorail.net/redmine/issues.json --data @-</v>
      </c>
      <c r="X21" s="55" t="s">
        <v>231</v>
      </c>
      <c r="Y21" s="55" t="s">
        <v>201</v>
      </c>
      <c r="Z21" s="55" t="s">
        <v>206</v>
      </c>
    </row>
    <row r="22" spans="1:26" x14ac:dyDescent="0.25">
      <c r="A22" s="38">
        <v>42612.368831018517</v>
      </c>
      <c r="B22" s="33" t="s">
        <v>241</v>
      </c>
      <c r="C22" s="33" t="s">
        <v>362</v>
      </c>
      <c r="D22" s="33" t="s">
        <v>49</v>
      </c>
      <c r="E22" s="33" t="s">
        <v>50</v>
      </c>
      <c r="F22" s="49">
        <v>0</v>
      </c>
      <c r="G22" s="49">
        <v>50</v>
      </c>
      <c r="H22" s="49">
        <v>161</v>
      </c>
      <c r="I22" s="33" t="s">
        <v>51</v>
      </c>
      <c r="J22" s="49">
        <v>1</v>
      </c>
      <c r="K22" s="33" t="s">
        <v>53</v>
      </c>
      <c r="L22" s="92" t="str">
        <f>VLOOKUP(C22,'Trips&amp;Operators'!$C$1:$E$9999,3,0)</f>
        <v>ROCHA</v>
      </c>
      <c r="M22" s="131" t="s">
        <v>86</v>
      </c>
      <c r="N22" s="10"/>
      <c r="O22" s="33"/>
      <c r="P22" s="108" t="str">
        <f>VLOOKUP(C22,'Train Runs'!$A$13:$AE$10016,31,0)</f>
        <v>aws s3 cp s3://rtdc.mdm.uploadarchive/RTDC4039/2016-08-30/ "%USERPROFILE%\AppData\Local\Temp\OnboardLogs"\RTDC4039\2016-08-30 --recursive &amp; "%USERPROFILE%\Documents\GitHub\mrs-test-scripts\Headless Mode &amp; Sideloading\WalkAndUnGZ.bat" "%USERPROFILE%\AppData\Local\Temp\OnboardLogs"\RTDC4039\2016-08-30 &amp; aws s3 cp s3://rtdc.mdm.uploadarchive/RTDC4039/2016-08-31/ "%USERPROFILE%\AppData\Local\Temp\OnboardLogs"\RTDC4039\2016-08-31 --recursive &amp; "%USERPROFILE%\Documents\GitHub\mrs-test-scripts\Headless Mode &amp; Sideloading\WalkAndUnGZ.bat" "%USERPROFILE%\AppData\Local\Temp\OnboardLogs"\RTDC4039\2016-08-31</v>
      </c>
      <c r="Q22" s="111" t="str">
        <f>VLOOKUP(C22,'Train Runs'!$A$13:$AE$10016,22,0)</f>
        <v>https://search-rtdc-monitor-bjffxe2xuh6vdkpspy63sjmuny.us-east-1.es.amazonaws.com/_plugin/kibana/#/discover/Steve-Slow-Train-Analysis-(2080s-and-2083s)?_g=(refreshInterval:(display:Off,section:0,value:0),time:(from:'2016-08-30 07:06:44-0600',mode:absolute,to:'2016-08-30 09:51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4039%22')),sort:!(Time,asc))</v>
      </c>
      <c r="R22" s="113" t="str">
        <f t="shared" si="0"/>
        <v>"C:\Program Files (x86)\AstroGrep\AstroGrep.exe" /spath="%USERPROFILE%\AppData\Local\Temp\OnboardLogs" /stypes="*4039*201608301*" /stext=" 14:.+((SYSTEM_STATE.+slice.+state.+changed )|(ment ac)|(system.+state.+changed )|(\|lc)|(penalty)|(\[timeout)|(PRM\|1\|D)|(kpr)|(kdp))" /e /r /s</v>
      </c>
      <c r="S22" s="9" t="str">
        <f t="shared" si="1"/>
        <v>4039</v>
      </c>
      <c r="T22" s="38">
        <f t="shared" si="2"/>
        <v>42612.618831018517</v>
      </c>
      <c r="U22" s="52" t="str">
        <f t="shared" si="3"/>
        <v>EC</v>
      </c>
      <c r="V22" s="52" t="str">
        <f t="shared" si="4"/>
        <v>KEEP</v>
      </c>
      <c r="W22" s="149" t="str">
        <f t="shared" si="5"/>
        <v>echo {"issue":{"subject":"","project_id":79,"tracker_id":40,"status_id":1,"priority_id":2,"assigned_to_id":23,"start_date":"2016-08-30","description":"","custom_fields":[{"id":1,"name":"Subdivision","value":"EC"},{"id":4,"name":"Milepost","value":"0.0001"},{"id":17,"name":"Train ID","value":"130-30"},{"id":16,"name":"Locomotive ID","value":"4039"},{"id":130,"name":"Impact","value":""},{"id":150,"name":"Time of Event (Mountain Time)","value":"08:51:07"},{"id":151,"name":"Denver Issue ID","value":""},{"id":178,"name":"Operational Impact","value":"Yes"},{"id":179,"name":"Denver Segment Assigned","value":""}]}} | curl -X POST -H "Content-Type: application/json" -H "X-Redmine-API-Key: d6333d4a04012a730768444271f8ca06482dae87" https://secure.xorail.net/redmine/issues.json --data @-</v>
      </c>
      <c r="X22" s="55"/>
      <c r="Y22" s="55"/>
      <c r="Z22" s="55"/>
    </row>
    <row r="23" spans="1:26" x14ac:dyDescent="0.25">
      <c r="A23" s="38">
        <v>42612.462314814817</v>
      </c>
      <c r="B23" s="33" t="s">
        <v>235</v>
      </c>
      <c r="C23" s="33" t="s">
        <v>364</v>
      </c>
      <c r="D23" s="33" t="s">
        <v>49</v>
      </c>
      <c r="E23" s="33" t="s">
        <v>50</v>
      </c>
      <c r="F23" s="49">
        <v>0</v>
      </c>
      <c r="G23" s="49">
        <v>100</v>
      </c>
      <c r="H23" s="49">
        <v>375</v>
      </c>
      <c r="I23" s="33" t="s">
        <v>51</v>
      </c>
      <c r="J23" s="49">
        <v>1</v>
      </c>
      <c r="K23" s="33" t="s">
        <v>53</v>
      </c>
      <c r="L23" s="92" t="str">
        <f>VLOOKUP(C23,'Trips&amp;Operators'!$C$1:$E$9999,3,0)</f>
        <v>SMITH</v>
      </c>
      <c r="M23" s="131" t="s">
        <v>86</v>
      </c>
      <c r="N23" s="10"/>
      <c r="O23" s="33"/>
      <c r="P23" s="108" t="str">
        <f>VLOOKUP(C23,'Train Runs'!$A$13:$AE$10016,31,0)</f>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Q23" s="111" t="str">
        <f>VLOOKUP(C23,'Train Runs'!$A$13:$AE$10016,22,0)</f>
        <v>https://search-rtdc-monitor-bjffxe2xuh6vdkpspy63sjmuny.us-east-1.es.amazonaws.com/_plugin/kibana/#/discover/Steve-Slow-Train-Analysis-(2080s-and-2083s)?_g=(refreshInterval:(display:Off,section:0,value:0),time:(from:'2016-08-30 09:13:35-0600',mode:absolute,to:'2016-08-30 12: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R23" s="113" t="str">
        <f t="shared" si="0"/>
        <v>"C:\Program Files (x86)\AstroGrep\AstroGrep.exe" /spath="%USERPROFILE%\AppData\Local\Temp\OnboardLogs" /stypes="*4019*201608301*" /stext=" 17:.+((SYSTEM_STATE.+slice.+state.+changed )|(ment ac)|(system.+state.+changed )|(\|lc)|(penalty)|(\[timeout)|(PRM\|1\|D)|(kpr)|(kdp))" /e /r /s</v>
      </c>
      <c r="S23" s="9" t="str">
        <f t="shared" si="1"/>
        <v>4019</v>
      </c>
      <c r="T23" s="38">
        <f t="shared" si="2"/>
        <v>42612.712314814817</v>
      </c>
      <c r="U23" s="52" t="str">
        <f t="shared" si="3"/>
        <v>EC</v>
      </c>
      <c r="V23" s="52" t="str">
        <f t="shared" si="4"/>
        <v>KEEP</v>
      </c>
      <c r="W23" s="149" t="str">
        <f t="shared" si="5"/>
        <v>echo {"issue":{"subject":"","project_id":79,"tracker_id":40,"status_id":1,"priority_id":2,"assigned_to_id":23,"start_date":"2016-08-30","description":"","custom_fields":[{"id":1,"name":"Subdivision","value":"EC"},{"id":4,"name":"Milepost","value":"0.0001"},{"id":17,"name":"Train ID","value":"148-30"},{"id":16,"name":"Locomotive ID","value":"4019"},{"id":130,"name":"Impact","value":""},{"id":150,"name":"Time of Event (Mountain Time)","value":"11:05:44"},{"id":151,"name":"Denver Issue ID","value":""},{"id":178,"name":"Operational Impact","value":"Yes"},{"id":179,"name":"Denver Segment Assigned","value":""}]}} | curl -X POST -H "Content-Type: application/json" -H "X-Redmine-API-Key: d6333d4a04012a730768444271f8ca06482dae87" https://secure.xorail.net/redmine/issues.json --data @-</v>
      </c>
      <c r="X23" s="55"/>
      <c r="Y23" s="55"/>
      <c r="Z23" s="55"/>
    </row>
    <row r="24" spans="1:26" x14ac:dyDescent="0.25">
      <c r="A24" s="38">
        <v>42612.536678240744</v>
      </c>
      <c r="B24" s="33" t="s">
        <v>235</v>
      </c>
      <c r="C24" s="33" t="s">
        <v>371</v>
      </c>
      <c r="D24" s="33" t="s">
        <v>49</v>
      </c>
      <c r="E24" s="33" t="s">
        <v>50</v>
      </c>
      <c r="F24" s="49">
        <v>0</v>
      </c>
      <c r="G24" s="49">
        <v>45</v>
      </c>
      <c r="H24" s="49">
        <v>160</v>
      </c>
      <c r="I24" s="33" t="s">
        <v>51</v>
      </c>
      <c r="J24" s="49">
        <v>1</v>
      </c>
      <c r="K24" s="33" t="s">
        <v>53</v>
      </c>
      <c r="L24" s="92" t="str">
        <f>VLOOKUP(C24,'Trips&amp;Operators'!$C$1:$E$9999,3,0)</f>
        <v>SMITH</v>
      </c>
      <c r="M24" s="131" t="s">
        <v>86</v>
      </c>
      <c r="N24" s="10"/>
      <c r="O24" s="33"/>
      <c r="P24" s="108" t="str">
        <f>VLOOKUP(C24,'Train Runs'!$A$13:$AE$10016,31,0)</f>
        <v>aws s3 cp s3://rtdc.mdm.uploadarchive/RTDC4019/2016-08-30/ "%USERPROFILE%\AppData\Local\Temp\OnboardLogs"\RTDC4019\2016-08-30 --recursive &amp; "%USERPROFILE%\Documents\GitHub\mrs-test-scripts\Headless Mode &amp; Sideloading\WalkAndUnGZ.bat" "%USERPROFILE%\AppData\Local\Temp\OnboardLogs"\RTDC4019\2016-08-30 &amp; aws s3 cp s3://rtdc.mdm.uploadarchive/RTDC4019/2016-08-31/ "%USERPROFILE%\AppData\Local\Temp\OnboardLogs"\RTDC4019\2016-08-31 --recursive &amp; "%USERPROFILE%\Documents\GitHub\mrs-test-scripts\Headless Mode &amp; Sideloading\WalkAndUnGZ.bat" "%USERPROFILE%\AppData\Local\Temp\OnboardLogs"\RTDC4019\2016-08-31</v>
      </c>
      <c r="Q24" s="111" t="str">
        <f>VLOOKUP(C24,'Train Runs'!$A$13:$AE$10016,22,0)</f>
        <v>https://search-rtdc-monitor-bjffxe2xuh6vdkpspy63sjmuny.us-east-1.es.amazonaws.com/_plugin/kibana/#/discover/Steve-Slow-Train-Analysis-(2080s-and-2083s)?_g=(refreshInterval:(display:Off,section:0,value:0),time:(from:'2016-08-30 10:56:12-0600',mode:absolute,to:'2016-08-30 13:52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4019%22')),sort:!(Time,asc))</v>
      </c>
      <c r="R24" s="113" t="str">
        <f t="shared" si="0"/>
        <v>"C:\Program Files (x86)\AstroGrep\AstroGrep.exe" /spath="%USERPROFILE%\AppData\Local\Temp\OnboardLogs" /stypes="*4019*201608301*" /stext=" 18:.+((SYSTEM_STATE.+slice.+state.+changed )|(ment ac)|(system.+state.+changed )|(\|lc)|(penalty)|(\[timeout)|(PRM\|1\|D)|(kpr)|(kdp))" /e /r /s</v>
      </c>
      <c r="S24" s="9" t="str">
        <f t="shared" si="1"/>
        <v>4019</v>
      </c>
      <c r="T24" s="38">
        <f t="shared" si="2"/>
        <v>42612.786678240744</v>
      </c>
      <c r="U24" s="52" t="str">
        <f t="shared" si="3"/>
        <v>EC</v>
      </c>
      <c r="V24" s="52" t="str">
        <f t="shared" si="4"/>
        <v>KEEP</v>
      </c>
      <c r="W24" s="149" t="str">
        <f t="shared" si="5"/>
        <v>echo {"issue":{"subject":"","project_id":79,"tracker_id":40,"status_id":1,"priority_id":2,"assigned_to_id":23,"start_date":"2016-08-30","description":"","custom_fields":[{"id":1,"name":"Subdivision","value":"EC"},{"id":4,"name":"Milepost","value":"0.0001"},{"id":17,"name":"Train ID","value":"162-30"},{"id":16,"name":"Locomotive ID","value":"4019"},{"id":130,"name":"Impact","value":""},{"id":150,"name":"Time of Event (Mountain Time)","value":"12:52:49"},{"id":151,"name":"Denver Issue ID","value":""},{"id":178,"name":"Operational Impact","value":"Yes"},{"id":179,"name":"Denver Segment Assigned","value":""}]}} | curl -X POST -H "Content-Type: application/json" -H "X-Redmine-API-Key: d6333d4a04012a730768444271f8ca06482dae87" https://secure.xorail.net/redmine/issues.json --data @-</v>
      </c>
      <c r="X24" s="55"/>
      <c r="Y24" s="55"/>
      <c r="Z24" s="55"/>
    </row>
    <row r="25" spans="1:26" ht="15" customHeight="1" x14ac:dyDescent="0.25">
      <c r="A25" s="38">
        <v>42612.581238425926</v>
      </c>
      <c r="B25" s="33" t="s">
        <v>176</v>
      </c>
      <c r="C25" s="33" t="s">
        <v>373</v>
      </c>
      <c r="D25" s="33" t="s">
        <v>49</v>
      </c>
      <c r="E25" s="33" t="s">
        <v>50</v>
      </c>
      <c r="F25" s="49">
        <v>0</v>
      </c>
      <c r="G25" s="49">
        <v>61</v>
      </c>
      <c r="H25" s="49">
        <v>203</v>
      </c>
      <c r="I25" s="33" t="s">
        <v>51</v>
      </c>
      <c r="J25" s="49">
        <v>1</v>
      </c>
      <c r="K25" s="33" t="s">
        <v>53</v>
      </c>
      <c r="L25" s="92" t="str">
        <f>VLOOKUP(C25,'Trips&amp;Operators'!$C$1:$E$9999,3,0)</f>
        <v>CLARK</v>
      </c>
      <c r="M25" s="131" t="s">
        <v>86</v>
      </c>
      <c r="N25" s="10"/>
      <c r="O25" s="33"/>
      <c r="P25" s="108" t="str">
        <f>VLOOKUP(C25,'Train Runs'!$A$13:$AE$10016,31,0)</f>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Q25" s="111" t="str">
        <f>VLOOKUP(C25,'Train Runs'!$A$13:$AE$10016,22,0)</f>
        <v>https://search-rtdc-monitor-bjffxe2xuh6vdkpspy63sjmuny.us-east-1.es.amazonaws.com/_plugin/kibana/#/discover/Steve-Slow-Train-Analysis-(2080s-and-2083s)?_g=(refreshInterval:(display:Off,section:0,value:0),time:(from:'2016-08-30 12:03:36-0600',mode:absolute,to:'2016-08-30 14:56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R25" s="113" t="str">
        <f t="shared" si="0"/>
        <v>"C:\Program Files (x86)\AstroGrep\AstroGrep.exe" /spath="%USERPROFILE%\AppData\Local\Temp\OnboardLogs" /stypes="*4041*201608301*" /stext=" 19:.+((SYSTEM_STATE.+slice.+state.+changed )|(ment ac)|(system.+state.+changed )|(\|lc)|(penalty)|(\[timeout)|(PRM\|1\|D)|(kpr)|(kdp))" /e /r /s</v>
      </c>
      <c r="S25" s="9" t="str">
        <f t="shared" si="1"/>
        <v>4041</v>
      </c>
      <c r="T25" s="38">
        <f t="shared" si="2"/>
        <v>42612.831238425926</v>
      </c>
      <c r="U25" s="52" t="str">
        <f t="shared" si="3"/>
        <v>EC</v>
      </c>
      <c r="V25" s="52" t="str">
        <f t="shared" si="4"/>
        <v>KEEP</v>
      </c>
      <c r="W25" s="149" t="str">
        <f t="shared" si="5"/>
        <v>echo {"issue":{"subject":"","project_id":79,"tracker_id":40,"status_id":1,"priority_id":2,"assigned_to_id":23,"start_date":"2016-08-30","description":"","custom_fields":[{"id":1,"name":"Subdivision","value":"EC"},{"id":4,"name":"Milepost","value":"0.0001"},{"id":17,"name":"Train ID","value":"170-30"},{"id":16,"name":"Locomotive ID","value":"4041"},{"id":130,"name":"Impact","value":""},{"id":150,"name":"Time of Event (Mountain Time)","value":"13:56:59"},{"id":151,"name":"Denver Issue ID","value":""},{"id":178,"name":"Operational Impact","value":"Yes"},{"id":179,"name":"Denver Segment Assigned","value":""}]}} | curl -X POST -H "Content-Type: application/json" -H "X-Redmine-API-Key: d6333d4a04012a730768444271f8ca06482dae87" https://secure.xorail.net/redmine/issues.json --data @-</v>
      </c>
      <c r="X25" s="55"/>
      <c r="Y25" s="55"/>
      <c r="Z25" s="55"/>
    </row>
    <row r="26" spans="1:26" x14ac:dyDescent="0.25">
      <c r="A26" s="38">
        <v>42612.694687499999</v>
      </c>
      <c r="B26" s="33" t="s">
        <v>304</v>
      </c>
      <c r="C26" s="33" t="s">
        <v>375</v>
      </c>
      <c r="D26" s="33" t="s">
        <v>49</v>
      </c>
      <c r="E26" s="33" t="s">
        <v>50</v>
      </c>
      <c r="F26" s="49">
        <v>0</v>
      </c>
      <c r="G26" s="49">
        <v>50</v>
      </c>
      <c r="H26" s="49">
        <v>154</v>
      </c>
      <c r="I26" s="33" t="s">
        <v>51</v>
      </c>
      <c r="J26" s="49">
        <v>1</v>
      </c>
      <c r="K26" s="33" t="s">
        <v>53</v>
      </c>
      <c r="L26" s="92" t="str">
        <f>VLOOKUP(C26,'Trips&amp;Operators'!$C$1:$E$9999,3,0)</f>
        <v>MAHAN</v>
      </c>
      <c r="M26" s="131" t="s">
        <v>86</v>
      </c>
      <c r="N26" s="10"/>
      <c r="O26" s="33"/>
      <c r="P26" s="108" t="str">
        <f>VLOOKUP(C26,'Train Runs'!$A$13:$AE$10016,31,0)</f>
        <v>aws s3 cp s3://rtdc.mdm.uploadarchive/RTDC4017/2016-08-30/ "%USERPROFILE%\AppData\Local\Temp\OnboardLogs"\RTDC4017\2016-08-30 --recursive &amp; "%USERPROFILE%\Documents\GitHub\mrs-test-scripts\Headless Mode &amp; Sideloading\WalkAndUnGZ.bat" "%USERPROFILE%\AppData\Local\Temp\OnboardLogs"\RTDC4017\2016-08-30 &amp; aws s3 cp s3://rtdc.mdm.uploadarchive/RTDC4017/2016-08-31/ "%USERPROFILE%\AppData\Local\Temp\OnboardLogs"\RTDC4017\2016-08-31 --recursive &amp; "%USERPROFILE%\Documents\GitHub\mrs-test-scripts\Headless Mode &amp; Sideloading\WalkAndUnGZ.bat" "%USERPROFILE%\AppData\Local\Temp\OnboardLogs"\RTDC4017\2016-08-31</v>
      </c>
      <c r="Q26" s="111" t="str">
        <f>VLOOKUP(C26,'Train Runs'!$A$13:$AE$10016,22,0)</f>
        <v>https://search-rtdc-monitor-bjffxe2xuh6vdkpspy63sjmuny.us-east-1.es.amazonaws.com/_plugin/kibana/#/discover/Steve-Slow-Train-Analysis-(2080s-and-2083s)?_g=(refreshInterval:(display:Off,section:0,value:0),time:(from:'2016-08-30 14:51:06-0600',mode:absolute,to:'2016-08-30 17:40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4017%22')),sort:!(Time,asc))</v>
      </c>
      <c r="R26" s="113" t="str">
        <f t="shared" si="0"/>
        <v>"C:\Program Files (x86)\AstroGrep\AstroGrep.exe" /spath="%USERPROFILE%\AppData\Local\Temp\OnboardLogs" /stypes="*4017*201608302*" /stext=" 22:.+((SYSTEM_STATE.+slice.+state.+changed )|(ment ac)|(system.+state.+changed )|(\|lc)|(penalty)|(\[timeout)|(PRM\|1\|D)|(kpr)|(kdp))" /e /r /s</v>
      </c>
      <c r="S26" s="9" t="str">
        <f t="shared" si="1"/>
        <v>4017</v>
      </c>
      <c r="T26" s="38">
        <f t="shared" si="2"/>
        <v>42612.944687499999</v>
      </c>
      <c r="U26" s="52" t="str">
        <f t="shared" si="3"/>
        <v>EC</v>
      </c>
      <c r="V26" s="52" t="str">
        <f t="shared" si="4"/>
        <v>KEEP</v>
      </c>
      <c r="W26" s="149" t="str">
        <f t="shared" si="5"/>
        <v>echo {"issue":{"subject":"","project_id":79,"tracker_id":40,"status_id":1,"priority_id":2,"assigned_to_id":23,"start_date":"2016-08-30","description":"","custom_fields":[{"id":1,"name":"Subdivision","value":"EC"},{"id":4,"name":"Milepost","value":"0.0001"},{"id":17,"name":"Train ID","value":"192-30"},{"id":16,"name":"Locomotive ID","value":"4017"},{"id":130,"name":"Impact","value":""},{"id":150,"name":"Time of Event (Mountain Time)","value":"16:40:21"},{"id":151,"name":"Denver Issue ID","value":""},{"id":178,"name":"Operational Impact","value":"Yes"},{"id":179,"name":"Denver Segment Assigned","value":""}]}} | curl -X POST -H "Content-Type: application/json" -H "X-Redmine-API-Key: d6333d4a04012a730768444271f8ca06482dae87" https://secure.xorail.net/redmine/issues.json --data @-</v>
      </c>
      <c r="X26" s="55"/>
      <c r="Y26" s="55"/>
      <c r="Z26" s="55"/>
    </row>
    <row r="27" spans="1:26" x14ac:dyDescent="0.25">
      <c r="A27" s="38">
        <v>42612.724004629628</v>
      </c>
      <c r="B27" s="33" t="s">
        <v>176</v>
      </c>
      <c r="C27" s="33" t="s">
        <v>376</v>
      </c>
      <c r="D27" s="33" t="s">
        <v>49</v>
      </c>
      <c r="E27" s="33" t="s">
        <v>50</v>
      </c>
      <c r="F27" s="49">
        <v>0</v>
      </c>
      <c r="G27" s="49">
        <v>41</v>
      </c>
      <c r="H27" s="49">
        <v>147</v>
      </c>
      <c r="I27" s="33" t="s">
        <v>51</v>
      </c>
      <c r="J27" s="49">
        <v>1</v>
      </c>
      <c r="K27" s="33" t="s">
        <v>53</v>
      </c>
      <c r="L27" s="92" t="str">
        <f>VLOOKUP(C27,'Trips&amp;Operators'!$C$1:$E$9999,3,0)</f>
        <v>CLARK</v>
      </c>
      <c r="M27" s="131" t="s">
        <v>86</v>
      </c>
      <c r="N27" s="10"/>
      <c r="O27" s="33"/>
      <c r="P27" s="108" t="str">
        <f>VLOOKUP(C27,'Train Runs'!$A$13:$AE$10016,31,0)</f>
        <v>aws s3 cp s3://rtdc.mdm.uploadarchive/RTDC4041/2016-08-30/ "%USERPROFILE%\AppData\Local\Temp\OnboardLogs"\RTDC4041\2016-08-30 --recursive &amp; "%USERPROFILE%\Documents\GitHub\mrs-test-scripts\Headless Mode &amp; Sideloading\WalkAndUnGZ.bat" "%USERPROFILE%\AppData\Local\Temp\OnboardLogs"\RTDC4041\2016-08-30 &amp; aws s3 cp s3://rtdc.mdm.uploadarchive/RTDC4041/2016-08-31/ "%USERPROFILE%\AppData\Local\Temp\OnboardLogs"\RTDC4041\2016-08-31 --recursive &amp; "%USERPROFILE%\Documents\GitHub\mrs-test-scripts\Headless Mode &amp; Sideloading\WalkAndUnGZ.bat" "%USERPROFILE%\AppData\Local\Temp\OnboardLogs"\RTDC4041\2016-08-31</v>
      </c>
      <c r="Q27" s="111" t="str">
        <f>VLOOKUP(C27,'Train Runs'!$A$13:$AE$10016,22,0)</f>
        <v>https://search-rtdc-monitor-bjffxe2xuh6vdkpspy63sjmuny.us-east-1.es.amazonaws.com/_plugin/kibana/#/discover/Steve-Slow-Train-Analysis-(2080s-and-2083s)?_g=(refreshInterval:(display:Off,section:0,value:0),time:(from:'2016-08-30 15:34:53-0600',mode:absolute,to:'2016-08-30 18: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4041%22')),sort:!(Time,asc))</v>
      </c>
      <c r="R27" s="113" t="str">
        <f t="shared" si="0"/>
        <v>"C:\Program Files (x86)\AstroGrep\AstroGrep.exe" /spath="%USERPROFILE%\AppData\Local\Temp\OnboardLogs" /stypes="*4041*201608302*" /stext=" 23:.+((SYSTEM_STATE.+slice.+state.+changed )|(ment ac)|(system.+state.+changed )|(\|lc)|(penalty)|(\[timeout)|(PRM\|1\|D)|(kpr)|(kdp))" /e /r /s</v>
      </c>
      <c r="S27" s="9" t="str">
        <f t="shared" si="1"/>
        <v>4041</v>
      </c>
      <c r="T27" s="38">
        <f t="shared" si="2"/>
        <v>42612.974004629628</v>
      </c>
      <c r="U27" s="52" t="str">
        <f t="shared" si="3"/>
        <v>EC</v>
      </c>
      <c r="V27" s="52" t="str">
        <f t="shared" si="4"/>
        <v>KEEP</v>
      </c>
      <c r="W27" s="149" t="str">
        <f t="shared" si="5"/>
        <v>echo {"issue":{"subject":"","project_id":79,"tracker_id":40,"status_id":1,"priority_id":2,"assigned_to_id":23,"start_date":"2016-08-30","description":"","custom_fields":[{"id":1,"name":"Subdivision","value":"EC"},{"id":4,"name":"Milepost","value":"0.0001"},{"id":17,"name":"Train ID","value":"198-30"},{"id":16,"name":"Locomotive ID","value":"4041"},{"id":130,"name":"Impact","value":""},{"id":150,"name":"Time of Event (Mountain Time)","value":"17:22:34"},{"id":151,"name":"Denver Issue ID","value":""},{"id":178,"name":"Operational Impact","value":"Yes"},{"id":179,"name":"Denver Segment Assigned","value":""}]}} | curl -X POST -H "Content-Type: application/json" -H "X-Redmine-API-Key: d6333d4a04012a730768444271f8ca06482dae87" https://secure.xorail.net/redmine/issues.json --data @-</v>
      </c>
      <c r="X27" s="55"/>
      <c r="Y27" s="55"/>
      <c r="Z27" s="55"/>
    </row>
    <row r="28" spans="1:26" x14ac:dyDescent="0.25">
      <c r="A28" s="38">
        <v>42612.745509259257</v>
      </c>
      <c r="B28" s="33" t="s">
        <v>354</v>
      </c>
      <c r="C28" s="33" t="s">
        <v>379</v>
      </c>
      <c r="D28" s="33" t="s">
        <v>49</v>
      </c>
      <c r="E28" s="33" t="s">
        <v>50</v>
      </c>
      <c r="F28" s="49">
        <v>0</v>
      </c>
      <c r="G28" s="49">
        <v>76</v>
      </c>
      <c r="H28" s="49">
        <v>278</v>
      </c>
      <c r="I28" s="33" t="s">
        <v>51</v>
      </c>
      <c r="J28" s="49">
        <v>1</v>
      </c>
      <c r="K28" s="33" t="s">
        <v>53</v>
      </c>
      <c r="L28" s="92" t="str">
        <f>VLOOKUP(C28,'Trips&amp;Operators'!$C$1:$E$9999,3,0)</f>
        <v>BARTLETT</v>
      </c>
      <c r="M28" s="131" t="s">
        <v>86</v>
      </c>
      <c r="N28" s="10"/>
      <c r="O28" s="33"/>
      <c r="P28" s="108" t="str">
        <f>VLOOKUP(C28,'Train Runs'!$A$13:$AE$10016,31,0)</f>
        <v>aws s3 cp s3://rtdc.mdm.uploadarchive/RTDC4015/2016-08-30/ "%USERPROFILE%\AppData\Local\Temp\OnboardLogs"\RTDC4015\2016-08-30 --recursive &amp; "%USERPROFILE%\Documents\GitHub\mrs-test-scripts\Headless Mode &amp; Sideloading\WalkAndUnGZ.bat" "%USERPROFILE%\AppData\Local\Temp\OnboardLogs"\RTDC4015\2016-08-30 &amp; aws s3 cp s3://rtdc.mdm.uploadarchive/RTDC4015/2016-08-31/ "%USERPROFILE%\AppData\Local\Temp\OnboardLogs"\RTDC4015\2016-08-31 --recursive &amp; "%USERPROFILE%\Documents\GitHub\mrs-test-scripts\Headless Mode &amp; Sideloading\WalkAndUnGZ.bat" "%USERPROFILE%\AppData\Local\Temp\OnboardLogs"\RTDC4015\2016-08-31</v>
      </c>
      <c r="Q28" s="111" t="str">
        <f>VLOOKUP(C28,'Train Runs'!$A$13:$AE$10016,22,0)</f>
        <v>https://search-rtdc-monitor-bjffxe2xuh6vdkpspy63sjmuny.us-east-1.es.amazonaws.com/_plugin/kibana/#/discover/Steve-Slow-Train-Analysis-(2080s-and-2083s)?_g=(refreshInterval:(display:Off,section:0,value:0),time:(from:'2016-08-30 15:58:40-0600',mode:absolute,to:'2016-08-30 18:53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4015%22')),sort:!(Time,asc))</v>
      </c>
      <c r="R28" s="113" t="str">
        <f t="shared" si="0"/>
        <v>"C:\Program Files (x86)\AstroGrep\AstroGrep.exe" /spath="%USERPROFILE%\AppData\Local\Temp\OnboardLogs" /stypes="*4015*201608302*" /stext=" 23:.+((SYSTEM_STATE.+slice.+state.+changed )|(ment ac)|(system.+state.+changed )|(\|lc)|(penalty)|(\[timeout)|(PRM\|1\|D)|(kpr)|(kdp))" /e /r /s</v>
      </c>
      <c r="S28" s="9" t="str">
        <f t="shared" si="1"/>
        <v>4015</v>
      </c>
      <c r="T28" s="38">
        <f t="shared" si="2"/>
        <v>42612.995509259257</v>
      </c>
      <c r="U28" s="52" t="str">
        <f t="shared" si="3"/>
        <v>EC</v>
      </c>
      <c r="V28" s="52" t="str">
        <f t="shared" si="4"/>
        <v>KEEP</v>
      </c>
      <c r="W28" s="149" t="str">
        <f t="shared" si="5"/>
        <v>echo {"issue":{"subject":"","project_id":79,"tracker_id":40,"status_id":1,"priority_id":2,"assigned_to_id":23,"start_date":"2016-08-30","description":"","custom_fields":[{"id":1,"name":"Subdivision","value":"EC"},{"id":4,"name":"Milepost","value":"0.0001"},{"id":17,"name":"Train ID","value":"202-30"},{"id":16,"name":"Locomotive ID","value":"4015"},{"id":130,"name":"Impact","value":""},{"id":150,"name":"Time of Event (Mountain Time)","value":"17:53:32"},{"id":151,"name":"Denver Issue ID","value":""},{"id":178,"name":"Operational Impact","value":"Yes"},{"id":179,"name":"Denver Segment Assigned","value":""}]}} | curl -X POST -H "Content-Type: application/json" -H "X-Redmine-API-Key: d6333d4a04012a730768444271f8ca06482dae87" https://secure.xorail.net/redmine/issues.json --data @-</v>
      </c>
      <c r="X28" s="55"/>
      <c r="Y28" s="55"/>
      <c r="Z28" s="55"/>
    </row>
    <row r="29" spans="1:26" x14ac:dyDescent="0.25">
      <c r="A29" s="38">
        <v>42612.777708333335</v>
      </c>
      <c r="B29" s="33" t="s">
        <v>92</v>
      </c>
      <c r="C29" s="33" t="s">
        <v>383</v>
      </c>
      <c r="D29" s="33" t="s">
        <v>49</v>
      </c>
      <c r="E29" s="33" t="s">
        <v>50</v>
      </c>
      <c r="F29" s="49">
        <v>0</v>
      </c>
      <c r="G29" s="49">
        <v>56</v>
      </c>
      <c r="H29" s="49">
        <v>163</v>
      </c>
      <c r="I29" s="33" t="s">
        <v>51</v>
      </c>
      <c r="J29" s="49">
        <v>1</v>
      </c>
      <c r="K29" s="33" t="s">
        <v>53</v>
      </c>
      <c r="L29" s="92" t="str">
        <f>VLOOKUP(C29,'Trips&amp;Operators'!$C$1:$E$9999,3,0)</f>
        <v>BROWN</v>
      </c>
      <c r="M29" s="131" t="s">
        <v>86</v>
      </c>
      <c r="N29" s="10"/>
      <c r="O29" s="33"/>
      <c r="P29" s="108" t="str">
        <f>VLOOKUP(C29,'Train Runs'!$A$13:$AE$10016,31,0)</f>
        <v>aws s3 cp s3://rtdc.mdm.uploadarchive/RTDC4030/2016-08-30/ "%USERPROFILE%\AppData\Local\Temp\OnboardLogs"\RTDC4030\2016-08-30 --recursive &amp; "%USERPROFILE%\Documents\GitHub\mrs-test-scripts\Headless Mode &amp; Sideloading\WalkAndUnGZ.bat" "%USERPROFILE%\AppData\Local\Temp\OnboardLogs"\RTDC4030\2016-08-30 &amp; aws s3 cp s3://rtdc.mdm.uploadarchive/RTDC4030/2016-08-31/ "%USERPROFILE%\AppData\Local\Temp\OnboardLogs"\RTDC4030\2016-08-31 --recursive &amp; "%USERPROFILE%\Documents\GitHub\mrs-test-scripts\Headless Mode &amp; Sideloading\WalkAndUnGZ.bat" "%USERPROFILE%\AppData\Local\Temp\OnboardLogs"\RTDC4030\2016-08-31</v>
      </c>
      <c r="Q29" s="111" t="str">
        <f>VLOOKUP(C29,'Train Runs'!$A$13:$AE$10016,22,0)</f>
        <v>https://search-rtdc-monitor-bjffxe2xuh6vdkpspy63sjmuny.us-east-1.es.amazonaws.com/_plugin/kibana/#/discover/Steve-Slow-Train-Analysis-(2080s-and-2083s)?_g=(refreshInterval:(display:Off,section:0,value:0),time:(from:'2016-08-30 16:47:30-0600',mode:absolute,to:'2016-08-30 19:39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4030%22')),sort:!(Time,asc))</v>
      </c>
      <c r="R29" s="113" t="str">
        <f t="shared" si="0"/>
        <v>"C:\Program Files (x86)\AstroGrep\AstroGrep.exe" /spath="%USERPROFILE%\AppData\Local\Temp\OnboardLogs" /stypes="*4030*201608310*" /stext=" 00:.+((SYSTEM_STATE.+slice.+state.+changed )|(ment ac)|(system.+state.+changed )|(\|lc)|(penalty)|(\[timeout)|(PRM\|1\|D)|(kpr)|(kdp))" /e /r /s</v>
      </c>
      <c r="S29" s="9" t="str">
        <f t="shared" si="1"/>
        <v>4030</v>
      </c>
      <c r="T29" s="38">
        <f t="shared" si="2"/>
        <v>42613.027708333335</v>
      </c>
      <c r="U29" s="52" t="str">
        <f t="shared" si="3"/>
        <v>EC</v>
      </c>
      <c r="V29" s="52" t="str">
        <f t="shared" si="4"/>
        <v>KEEP</v>
      </c>
      <c r="W29" s="149" t="str">
        <f t="shared" si="5"/>
        <v>echo {"issue":{"subject":"","project_id":79,"tracker_id":40,"status_id":1,"priority_id":2,"assigned_to_id":23,"start_date":"2016-08-30","description":"","custom_fields":[{"id":1,"name":"Subdivision","value":"EC"},{"id":4,"name":"Milepost","value":"0.0001"},{"id":17,"name":"Train ID","value":"208-30"},{"id":16,"name":"Locomotive ID","value":"4030"},{"id":130,"name":"Impact","value":""},{"id":150,"name":"Time of Event (Mountain Time)","value":"18:39:54"},{"id":151,"name":"Denver Issue ID","value":""},{"id":178,"name":"Operational Impact","value":"Yes"},{"id":179,"name":"Denver Segment Assigned","value":""}]}} | curl -X POST -H "Content-Type: application/json" -H "X-Redmine-API-Key: d6333d4a04012a730768444271f8ca06482dae87" https://secure.xorail.net/redmine/issues.json --data @-</v>
      </c>
      <c r="X29" s="55"/>
      <c r="Y29" s="55"/>
      <c r="Z29" s="55"/>
    </row>
    <row r="30" spans="1:26" x14ac:dyDescent="0.25">
      <c r="A30" s="38">
        <v>42612.858576388891</v>
      </c>
      <c r="B30" s="33" t="s">
        <v>365</v>
      </c>
      <c r="C30" s="33" t="s">
        <v>385</v>
      </c>
      <c r="D30" s="33" t="s">
        <v>49</v>
      </c>
      <c r="E30" s="33" t="s">
        <v>50</v>
      </c>
      <c r="F30" s="49">
        <v>0</v>
      </c>
      <c r="G30" s="49">
        <v>77</v>
      </c>
      <c r="H30" s="49">
        <v>303</v>
      </c>
      <c r="I30" s="33" t="s">
        <v>51</v>
      </c>
      <c r="J30" s="49">
        <v>1</v>
      </c>
      <c r="K30" s="33" t="s">
        <v>53</v>
      </c>
      <c r="L30" s="92" t="str">
        <f>VLOOKUP(C30,'Trips&amp;Operators'!$C$1:$E$9999,3,0)</f>
        <v>HILLS</v>
      </c>
      <c r="M30" s="131" t="s">
        <v>86</v>
      </c>
      <c r="N30" s="10"/>
      <c r="O30" s="33"/>
      <c r="P30" s="108" t="str">
        <f>VLOOKUP(C30,'Train Runs'!$A$13:$AE$10016,31,0)</f>
        <v>aws s3 cp s3://rtdc.mdm.uploadarchive/RTDC4012/2016-08-30/ "%USERPROFILE%\AppData\Local\Temp\OnboardLogs"\RTDC4012\2016-08-30 --recursive &amp; "%USERPROFILE%\Documents\GitHub\mrs-test-scripts\Headless Mode &amp; Sideloading\WalkAndUnGZ.bat" "%USERPROFILE%\AppData\Local\Temp\OnboardLogs"\RTDC4012\2016-08-30 &amp; aws s3 cp s3://rtdc.mdm.uploadarchive/RTDC4012/2016-08-31/ "%USERPROFILE%\AppData\Local\Temp\OnboardLogs"\RTDC4012\2016-08-31 --recursive &amp; "%USERPROFILE%\Documents\GitHub\mrs-test-scripts\Headless Mode &amp; Sideloading\WalkAndUnGZ.bat" "%USERPROFILE%\AppData\Local\Temp\OnboardLogs"\RTDC4012\2016-08-31</v>
      </c>
      <c r="Q30" s="111" t="str">
        <f>VLOOKUP(C30,'Train Runs'!$A$13:$AE$10016,22,0)</f>
        <v>https://search-rtdc-monitor-bjffxe2xuh6vdkpspy63sjmuny.us-east-1.es.amazonaws.com/_plugin/kibana/#/discover/Steve-Slow-Train-Analysis-(2080s-and-2083s)?_g=(refreshInterval:(display:Off,section:0,value:0),time:(from:'2016-08-30 18:46:22-0600',mode:absolute,to:'2016-08-30 21:36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4012%22')),sort:!(Time,asc))</v>
      </c>
      <c r="R30" s="113" t="str">
        <f t="shared" si="0"/>
        <v>"C:\Program Files (x86)\AstroGrep\AstroGrep.exe" /spath="%USERPROFILE%\AppData\Local\Temp\OnboardLogs" /stypes="*4012*201608310*" /stext=" 02:.+((SYSTEM_STATE.+slice.+state.+changed )|(ment ac)|(system.+state.+changed )|(\|lc)|(penalty)|(\[timeout)|(PRM\|1\|D)|(kpr)|(kdp))" /e /r /s</v>
      </c>
      <c r="S30" s="9" t="str">
        <f t="shared" si="1"/>
        <v>4012</v>
      </c>
      <c r="T30" s="38">
        <f t="shared" si="2"/>
        <v>42613.108576388891</v>
      </c>
      <c r="U30" s="52" t="str">
        <f t="shared" si="3"/>
        <v>EC</v>
      </c>
      <c r="V30" s="52" t="str">
        <f t="shared" si="4"/>
        <v>KEEP</v>
      </c>
      <c r="W30" s="149" t="str">
        <f t="shared" si="5"/>
        <v>echo {"issue":{"subject":"","project_id":79,"tracker_id":40,"status_id":1,"priority_id":2,"assigned_to_id":23,"start_date":"2016-08-30","description":"","custom_fields":[{"id":1,"name":"Subdivision","value":"EC"},{"id":4,"name":"Milepost","value":"0.0001"},{"id":17,"name":"Train ID","value":"222-30"},{"id":16,"name":"Locomotive ID","value":"4012"},{"id":130,"name":"Impact","value":""},{"id":150,"name":"Time of Event (Mountain Time)","value":"20:36:21"},{"id":151,"name":"Denver Issue ID","value":""},{"id":178,"name":"Operational Impact","value":"Yes"},{"id":179,"name":"Denver Segment Assigned","value":""}]}} | curl -X POST -H "Content-Type: application/json" -H "X-Redmine-API-Key: d6333d4a04012a730768444271f8ca06482dae87" https://secure.xorail.net/redmine/issues.json --data @-</v>
      </c>
      <c r="X30" s="55"/>
      <c r="Y30" s="55"/>
      <c r="Z30" s="55"/>
    </row>
    <row r="31" spans="1:26" x14ac:dyDescent="0.25">
      <c r="A31" s="38">
        <v>42612.487199074072</v>
      </c>
      <c r="B31" s="33" t="s">
        <v>148</v>
      </c>
      <c r="C31" s="33" t="s">
        <v>367</v>
      </c>
      <c r="D31" s="33" t="s">
        <v>49</v>
      </c>
      <c r="E31" s="33" t="s">
        <v>50</v>
      </c>
      <c r="F31" s="49">
        <v>0</v>
      </c>
      <c r="G31" s="49">
        <v>44</v>
      </c>
      <c r="H31" s="49">
        <v>233363</v>
      </c>
      <c r="I31" s="33" t="s">
        <v>51</v>
      </c>
      <c r="J31" s="49">
        <v>233491</v>
      </c>
      <c r="K31" s="33" t="s">
        <v>52</v>
      </c>
      <c r="L31" s="92" t="str">
        <f>VLOOKUP(C31,'Trips&amp;Operators'!$C$1:$E$9999,3,0)</f>
        <v>BARTLETT</v>
      </c>
      <c r="M31" s="131" t="s">
        <v>86</v>
      </c>
      <c r="N31" s="10"/>
      <c r="O31" s="33"/>
      <c r="P31" s="108" t="str">
        <f>VLOOKUP(C31,'Train Runs'!$A$13:$AE$10016,31,0)</f>
        <v>aws s3 cp s3://rtdc.mdm.uploadarchive/RTDC4038/2016-08-30/ "%USERPROFILE%\AppData\Local\Temp\OnboardLogs"\RTDC4038\2016-08-30 --recursive &amp; "%USERPROFILE%\Documents\GitHub\mrs-test-scripts\Headless Mode &amp; Sideloading\WalkAndUnGZ.bat" "%USERPROFILE%\AppData\Local\Temp\OnboardLogs"\RTDC4038\2016-08-30 &amp; aws s3 cp s3://rtdc.mdm.uploadarchive/RTDC4038/2016-08-31/ "%USERPROFILE%\AppData\Local\Temp\OnboardLogs"\RTDC4038\2016-08-31 --recursive &amp; "%USERPROFILE%\Documents\GitHub\mrs-test-scripts\Headless Mode &amp; Sideloading\WalkAndUnGZ.bat" "%USERPROFILE%\AppData\Local\Temp\OnboardLogs"\RTDC4038\2016-08-31</v>
      </c>
      <c r="Q31" s="111" t="str">
        <f>VLOOKUP(C31,'Train Runs'!$A$13:$AE$10016,22,0)</f>
        <v>https://search-rtdc-monitor-bjffxe2xuh6vdkpspy63sjmuny.us-east-1.es.amazonaws.com/_plugin/kibana/#/discover/Steve-Slow-Train-Analysis-(2080s-and-2083s)?_g=(refreshInterval:(display:Off,section:0,value:0),time:(from:'2016-08-30 09:56:10-0600',mode:absolute,to:'2016-08-30 12:41: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4038%22')),sort:!(Time,asc))</v>
      </c>
      <c r="R31" s="113" t="str">
        <f t="shared" si="0"/>
        <v>"C:\Program Files (x86)\AstroGrep\AstroGrep.exe" /spath="%USERPROFILE%\AppData\Local\Temp\OnboardLogs" /stypes="*4038*201608301*" /stext=" 17:.+((SYSTEM_STATE.+slice.+state.+changed )|(ment ac)|(system.+state.+changed )|(\|lc)|(penalty)|(\[timeout)|(PRM\|1\|D)|(kpr)|(kdp))" /e /r /s</v>
      </c>
      <c r="S31" s="9" t="str">
        <f t="shared" si="1"/>
        <v>4038</v>
      </c>
      <c r="T31" s="38">
        <f t="shared" si="2"/>
        <v>42612.737199074072</v>
      </c>
      <c r="U31" s="52" t="str">
        <f t="shared" si="3"/>
        <v>EC</v>
      </c>
      <c r="V31" s="52" t="str">
        <f t="shared" si="4"/>
        <v>KEEP</v>
      </c>
      <c r="W31" s="149" t="str">
        <f t="shared" si="5"/>
        <v>echo {"issue":{"subject":"","project_id":79,"tracker_id":40,"status_id":1,"priority_id":2,"assigned_to_id":23,"start_date":"2016-08-30","description":"","custom_fields":[{"id":1,"name":"Subdivision","value":"EC"},{"id":4,"name":"Milepost","value":"23.3491"},{"id":17,"name":"Train ID","value":"159-30"},{"id":16,"name":"Locomotive ID","value":"4038"},{"id":130,"name":"Impact","value":""},{"id":150,"name":"Time of Event (Mountain Time)","value":"11:41:34"},{"id":151,"name":"Denver Issue ID","value":""},{"id":178,"name":"Operational Impact","value":"Yes"},{"id":179,"name":"Denver Segment Assigned","value":""}]}} | curl -X POST -H "Content-Type: application/json" -H "X-Redmine-API-Key: d6333d4a04012a730768444271f8ca06482dae87" https://secure.xorail.net/redmine/issues.json --data @-</v>
      </c>
      <c r="X31" s="55"/>
      <c r="Y31" s="55"/>
      <c r="Z31" s="55"/>
    </row>
    <row r="32" spans="1:26" x14ac:dyDescent="0.25">
      <c r="A32" s="38">
        <v>42612.764745370368</v>
      </c>
      <c r="B32" s="33" t="s">
        <v>239</v>
      </c>
      <c r="C32" s="33" t="s">
        <v>382</v>
      </c>
      <c r="D32" s="33" t="s">
        <v>49</v>
      </c>
      <c r="E32" s="33" t="s">
        <v>50</v>
      </c>
      <c r="F32" s="49">
        <v>0</v>
      </c>
      <c r="G32" s="49">
        <v>53</v>
      </c>
      <c r="H32" s="49">
        <v>233308</v>
      </c>
      <c r="I32" s="33" t="s">
        <v>51</v>
      </c>
      <c r="J32" s="49">
        <v>233491</v>
      </c>
      <c r="K32" s="33" t="s">
        <v>52</v>
      </c>
      <c r="L32" s="92" t="str">
        <f>VLOOKUP(C32,'Trips&amp;Operators'!$C$1:$E$9999,3,0)</f>
        <v>COOLAHAN</v>
      </c>
      <c r="M32" s="131" t="s">
        <v>86</v>
      </c>
      <c r="N32" s="10"/>
      <c r="O32" s="33"/>
      <c r="P32" s="108" t="str">
        <f>VLOOKUP(C32,'Train Runs'!$A$13:$AE$10016,31,0)</f>
        <v>aws s3 cp s3://rtdc.mdm.uploadarchive/RTDC4040/2016-08-30/ "%USERPROFILE%\AppData\Local\Temp\OnboardLogs"\RTDC4040\2016-08-30 --recursive &amp; "%USERPROFILE%\Documents\GitHub\mrs-test-scripts\Headless Mode &amp; Sideloading\WalkAndUnGZ.bat" "%USERPROFILE%\AppData\Local\Temp\OnboardLogs"\RTDC4040\2016-08-30 &amp; aws s3 cp s3://rtdc.mdm.uploadarchive/RTDC4040/2016-08-31/ "%USERPROFILE%\AppData\Local\Temp\OnboardLogs"\RTDC4040\2016-08-31 --recursive &amp; "%USERPROFILE%\Documents\GitHub\mrs-test-scripts\Headless Mode &amp; Sideloading\WalkAndUnGZ.bat" "%USERPROFILE%\AppData\Local\Temp\OnboardLogs"\RTDC4040\2016-08-31</v>
      </c>
      <c r="Q32" s="111" t="str">
        <f>VLOOKUP(C32,'Train Runs'!$A$13:$AE$10016,22,0)</f>
        <v>https://search-rtdc-monitor-bjffxe2xuh6vdkpspy63sjmuny.us-east-1.es.amazonaws.com/_plugin/kibana/#/discover/Steve-Slow-Train-Analysis-(2080s-and-2083s)?_g=(refreshInterval:(display:Off,section:0,value:0),time:(from:'2016-08-30 16:34:03-0600',mode:absolute,to:'2016-08-30 19:21: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4040%22')),sort:!(Time,asc))</v>
      </c>
      <c r="R32" s="113" t="str">
        <f t="shared" si="0"/>
        <v>"C:\Program Files (x86)\AstroGrep\AstroGrep.exe" /spath="%USERPROFILE%\AppData\Local\Temp\OnboardLogs" /stypes="*4040*201608310*" /stext=" 00:.+((SYSTEM_STATE.+slice.+state.+changed )|(ment ac)|(system.+state.+changed )|(\|lc)|(penalty)|(\[timeout)|(PRM\|1\|D)|(kpr)|(kdp))" /e /r /s</v>
      </c>
      <c r="S32" s="9" t="str">
        <f t="shared" si="1"/>
        <v>4040</v>
      </c>
      <c r="T32" s="38">
        <f t="shared" si="2"/>
        <v>42613.014745370368</v>
      </c>
      <c r="U32" s="52" t="str">
        <f t="shared" si="3"/>
        <v>EC</v>
      </c>
      <c r="V32" s="52" t="str">
        <f t="shared" si="4"/>
        <v>KEEP</v>
      </c>
      <c r="W32" s="149" t="str">
        <f t="shared" si="5"/>
        <v>echo {"issue":{"subject":"","project_id":79,"tracker_id":40,"status_id":1,"priority_id":2,"assigned_to_id":23,"start_date":"2016-08-30","description":"","custom_fields":[{"id":1,"name":"Subdivision","value":"EC"},{"id":4,"name":"Milepost","value":"23.3491"},{"id":17,"name":"Train ID","value":"213-30"},{"id":16,"name":"Locomotive ID","value":"4040"},{"id":130,"name":"Impact","value":""},{"id":150,"name":"Time of Event (Mountain Time)","value":"18:21:14"},{"id":151,"name":"Denver Issue ID","value":""},{"id":178,"name":"Operational Impact","value":"Yes"},{"id":179,"name":"Denver Segment Assigned","value":""}]}} | curl -X POST -H "Content-Type: application/json" -H "X-Redmine-API-Key: d6333d4a04012a730768444271f8ca06482dae87" https://secure.xorail.net/redmine/issues.json --data @-</v>
      </c>
      <c r="X32" s="55"/>
      <c r="Y32" s="55"/>
      <c r="Z32" s="55"/>
    </row>
    <row r="33" spans="1:26" ht="15" customHeight="1" x14ac:dyDescent="0.25">
      <c r="A33" s="38">
        <v>42612.284826388888</v>
      </c>
      <c r="B33" s="33" t="s">
        <v>90</v>
      </c>
      <c r="C33" s="33" t="s">
        <v>359</v>
      </c>
      <c r="D33" s="33" t="s">
        <v>111</v>
      </c>
      <c r="E33" s="33" t="s">
        <v>251</v>
      </c>
      <c r="F33" s="49">
        <v>0</v>
      </c>
      <c r="G33" s="49">
        <v>355</v>
      </c>
      <c r="H33" s="49">
        <v>15698</v>
      </c>
      <c r="I33" s="33" t="s">
        <v>250</v>
      </c>
      <c r="J33" s="49">
        <v>15777</v>
      </c>
      <c r="K33" s="33" t="s">
        <v>53</v>
      </c>
      <c r="L33" s="92" t="str">
        <f>VLOOKUP(C33,'Trips&amp;Operators'!$C$1:$E$9999,3,0)</f>
        <v>SANTIZO</v>
      </c>
      <c r="M33" s="131" t="s">
        <v>86</v>
      </c>
      <c r="N33" s="10" t="s">
        <v>300</v>
      </c>
      <c r="O33" s="33"/>
      <c r="P33" s="108" t="str">
        <f>VLOOKUP(C33,'Train Runs'!$A$13:$AE$10016,31,0)</f>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Q33" s="111" t="str">
        <f>VLOOKUP(C33,'Train Runs'!$A$13:$AE$10016,22,0)</f>
        <v>https://search-rtdc-monitor-bjffxe2xuh6vdkpspy63sjmuny.us-east-1.es.amazonaws.com/_plugin/kibana/#/discover/Steve-Slow-Train-Analysis-(2080s-and-2083s)?_g=(refreshInterval:(display:Off,section:0,value:0),time:(from:'2016-08-30 05:36:42-0600',mode:absolute,to:'2016-08-30 07:56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R33" s="113" t="str">
        <f t="shared" si="0"/>
        <v>"C:\Program Files (x86)\AstroGrep\AstroGrep.exe" /spath="%USERPROFILE%\AppData\Local\Temp\OnboardLogs" /stypes="*4013*201608301*" /stext=" 12:.+((SYSTEM_STATE.+slice.+state.+changed )|(ment ac)|(system.+state.+changed )|(\|lc)|(penalty)|(\[timeout)|(PRM\|1\|D)|(kpr)|(kdp))" /e /r /s</v>
      </c>
      <c r="S33" s="9" t="str">
        <f t="shared" si="1"/>
        <v>4013</v>
      </c>
      <c r="T33" s="38">
        <f t="shared" si="2"/>
        <v>42612.534826388888</v>
      </c>
      <c r="U33" s="52" t="str">
        <f t="shared" si="3"/>
        <v>NW</v>
      </c>
      <c r="V33" s="52" t="str">
        <f t="shared" si="4"/>
        <v>KEEP</v>
      </c>
      <c r="W33" s="149" t="str">
        <f t="shared" si="5"/>
        <v>echo {"issue":{"subject":"Early arrival","project_id":79,"tracker_id":40,"status_id":1,"priority_id":2,"assigned_to_id":23,"start_date":"2016-08-30","description":"","custom_fields":[{"id":1,"name":"Subdivision","value":"NW"},{"id":4,"name":"Milepost","value":"1.5777"},{"id":17,"name":"Train ID","value":"804-30"},{"id":16,"name":"Locomotive ID","value":"4013"},{"id":130,"name":"Impact","value":""},{"id":150,"name":"Time of Event (Mountain Time)","value":"06:50:09"},{"id":151,"name":"Denver Issue ID","value":""},{"id":178,"name":"Operational Impact","value":"Yes"},{"id":179,"name":"Denver Segment Assigned","value":""}]}} | curl -X POST -H "Content-Type: application/json" -H "X-Redmine-API-Key: d6333d4a04012a730768444271f8ca06482dae87" https://secure.xorail.net/redmine/issues.json --data @-</v>
      </c>
      <c r="X33" s="55"/>
      <c r="Y33" s="55"/>
      <c r="Z33" s="55"/>
    </row>
    <row r="34" spans="1:26" x14ac:dyDescent="0.25">
      <c r="A34" s="38">
        <v>42612.291400462964</v>
      </c>
      <c r="B34" s="33" t="s">
        <v>93</v>
      </c>
      <c r="C34" s="33" t="s">
        <v>360</v>
      </c>
      <c r="D34" s="33" t="s">
        <v>49</v>
      </c>
      <c r="E34" s="33" t="s">
        <v>56</v>
      </c>
      <c r="F34" s="49">
        <v>300</v>
      </c>
      <c r="G34" s="49">
        <v>504</v>
      </c>
      <c r="H34" s="49">
        <v>35928</v>
      </c>
      <c r="I34" s="33" t="s">
        <v>57</v>
      </c>
      <c r="J34" s="49">
        <v>39716</v>
      </c>
      <c r="K34" s="33" t="s">
        <v>52</v>
      </c>
      <c r="L34" s="92" t="str">
        <f>VLOOKUP(C34,'Trips&amp;Operators'!$C$1:$E$9999,3,0)</f>
        <v>STARKS</v>
      </c>
      <c r="M34" s="131" t="s">
        <v>86</v>
      </c>
      <c r="N34" s="10"/>
      <c r="O34" s="33"/>
      <c r="P34" s="108" t="str">
        <f>VLOOKUP(C34,'Train Runs'!$A$13:$AE$10016,31,0)</f>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Q34" s="111" t="str">
        <f>VLOOKUP(C34,'Train Runs'!$A$13:$AE$10016,22,0)</f>
        <v>https://search-rtdc-monitor-bjffxe2xuh6vdkpspy63sjmuny.us-east-1.es.amazonaws.com/_plugin/kibana/#/discover/Steve-Slow-Train-Analysis-(2080s-and-2083s)?_g=(refreshInterval:(display:Off,section:0,value:0),time:(from:'2016-08-30 05:46:16-0600',mode:absolute,to:'2016-08-30 08: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R34" s="113" t="str">
        <f t="shared" si="0"/>
        <v>"C:\Program Files (x86)\AstroGrep\AstroGrep.exe" /spath="%USERPROFILE%\AppData\Local\Temp\OnboardLogs" /stypes="*4027*201608301*" /stext=" 12:.+((SYSTEM_STATE.+slice.+state.+changed )|(ment ac)|(system.+state.+changed )|(\|lc)|(penalty)|(\[timeout)|(PRM\|1\|D)|(kpr)|(kdp))" /e /r /s</v>
      </c>
      <c r="S34" s="9" t="str">
        <f t="shared" si="1"/>
        <v>4027</v>
      </c>
      <c r="T34" s="38">
        <f t="shared" si="2"/>
        <v>42612.541400462964</v>
      </c>
      <c r="U34" s="52" t="str">
        <f t="shared" si="3"/>
        <v>NW</v>
      </c>
      <c r="V34" s="52" t="str">
        <f t="shared" si="4"/>
        <v>KEEP</v>
      </c>
      <c r="W34" s="149" t="str">
        <f t="shared" si="5"/>
        <v>echo {"issue":{"subject":"","project_id":79,"tracker_id":40,"status_id":1,"priority_id":2,"assigned_to_id":23,"start_date":"2016-08-30","description":"","custom_fields":[{"id":1,"name":"Subdivision","value":"NW"},{"id":4,"name":"Milepost","value":"3.9716"},{"id":17,"name":"Train ID","value":"805-30"},{"id":16,"name":"Locomotive ID","value":"4027"},{"id":130,"name":"Impact","value":""},{"id":150,"name":"Time of Event (Mountain Time)","value":"06:59:37"},{"id":151,"name":"Denver Issue ID","value":""},{"id":178,"name":"Operational Impact","value":"Yes"},{"id":179,"name":"Denver Segment Assigned","value":""}]}} | curl -X POST -H "Content-Type: application/json" -H "X-Redmine-API-Key: d6333d4a04012a730768444271f8ca06482dae87" https://secure.xorail.net/redmine/issues.json --data @-</v>
      </c>
      <c r="X34" s="55"/>
      <c r="Y34" s="55"/>
      <c r="Z34" s="55"/>
    </row>
    <row r="35" spans="1:26" ht="15" customHeight="1" x14ac:dyDescent="0.25">
      <c r="A35" s="38">
        <v>42612.688969907409</v>
      </c>
      <c r="B35" s="33" t="s">
        <v>112</v>
      </c>
      <c r="C35" s="33" t="s">
        <v>374</v>
      </c>
      <c r="D35" s="33" t="s">
        <v>49</v>
      </c>
      <c r="E35" s="33" t="s">
        <v>56</v>
      </c>
      <c r="F35" s="49">
        <v>150</v>
      </c>
      <c r="G35" s="49">
        <v>345</v>
      </c>
      <c r="H35" s="49">
        <v>55987</v>
      </c>
      <c r="I35" s="33" t="s">
        <v>57</v>
      </c>
      <c r="J35" s="49">
        <v>57008</v>
      </c>
      <c r="K35" s="33" t="s">
        <v>52</v>
      </c>
      <c r="L35" s="92" t="str">
        <f>VLOOKUP(C35,'Trips&amp;Operators'!$C$1:$E$9999,3,0)</f>
        <v>BRUDER</v>
      </c>
      <c r="M35" s="131" t="s">
        <v>86</v>
      </c>
      <c r="N35" s="10"/>
      <c r="O35" s="33"/>
      <c r="P35" s="108" t="str">
        <f>VLOOKUP(C35,'Train Runs'!$A$13:$AE$10016,31,0)</f>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Q35" s="111" t="str">
        <f>VLOOKUP(C35,'Train Runs'!$A$13:$AE$10016,22,0)</f>
        <v>https://search-rtdc-monitor-bjffxe2xuh6vdkpspy63sjmuny.us-east-1.es.amazonaws.com/_plugin/kibana/#/discover/Steve-Slow-Train-Analysis-(2080s-and-2083s)?_g=(refreshInterval:(display:Off,section:0,value:0),time:(from:'2016-08-30 15:11:19-0600',mode:absolute,to:'2016-08-30 17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35" s="113" t="str">
        <f t="shared" si="0"/>
        <v>"C:\Program Files (x86)\AstroGrep\AstroGrep.exe" /spath="%USERPROFILE%\AppData\Local\Temp\OnboardLogs" /stypes="*4014*201608302*" /stext=" 22:.+((SYSTEM_STATE.+slice.+state.+changed )|(ment ac)|(system.+state.+changed )|(\|lc)|(penalty)|(\[timeout)|(PRM\|1\|D)|(kpr)|(kdp))" /e /r /s</v>
      </c>
      <c r="S35" s="9" t="str">
        <f t="shared" si="1"/>
        <v>4014</v>
      </c>
      <c r="T35" s="38">
        <f t="shared" si="2"/>
        <v>42612.938969907409</v>
      </c>
      <c r="U35" s="52" t="str">
        <f t="shared" si="3"/>
        <v>NW</v>
      </c>
      <c r="V35" s="52" t="str">
        <f t="shared" si="4"/>
        <v>KEEP</v>
      </c>
      <c r="W35" s="149" t="str">
        <f t="shared" si="5"/>
        <v>echo {"issue":{"subject":"","project_id":79,"tracker_id":40,"status_id":1,"priority_id":2,"assigned_to_id":23,"start_date":"2016-08-30","description":"","custom_fields":[{"id":1,"name":"Subdivision","value":"NW"},{"id":4,"name":"Milepost","value":"5.7008"},{"id":17,"name":"Train ID","value":"829-30"},{"id":16,"name":"Locomotive ID","value":"4014"},{"id":130,"name":"Impact","value":""},{"id":150,"name":"Time of Event (Mountain Time)","value":"16:32:07"},{"id":151,"name":"Denver Issue ID","value":""},{"id":178,"name":"Operational Impact","value":"Yes"},{"id":179,"name":"Denver Segment Assigned","value":""}]}} | curl -X POST -H "Content-Type: application/json" -H "X-Redmine-API-Key: d6333d4a04012a730768444271f8ca06482dae87" https://secure.xorail.net/redmine/issues.json --data @-</v>
      </c>
      <c r="X35" s="55"/>
      <c r="Y35" s="55"/>
      <c r="Z35" s="55"/>
    </row>
    <row r="36" spans="1:26" x14ac:dyDescent="0.25">
      <c r="A36" s="38">
        <v>42612.75209490741</v>
      </c>
      <c r="B36" s="33" t="s">
        <v>93</v>
      </c>
      <c r="C36" s="33" t="s">
        <v>380</v>
      </c>
      <c r="D36" s="33" t="s">
        <v>49</v>
      </c>
      <c r="E36" s="33" t="s">
        <v>56</v>
      </c>
      <c r="F36" s="49">
        <v>150</v>
      </c>
      <c r="G36" s="49">
        <v>339</v>
      </c>
      <c r="H36" s="49">
        <v>56061</v>
      </c>
      <c r="I36" s="33" t="s">
        <v>57</v>
      </c>
      <c r="J36" s="49">
        <v>57008</v>
      </c>
      <c r="K36" s="33" t="s">
        <v>52</v>
      </c>
      <c r="L36" s="92" t="str">
        <f>VLOOKUP(C36,'Trips&amp;Operators'!$C$1:$E$9999,3,0)</f>
        <v>CRAYTON</v>
      </c>
      <c r="M36" s="131" t="s">
        <v>86</v>
      </c>
      <c r="N36" s="10"/>
      <c r="O36" s="33"/>
      <c r="P36" s="108" t="str">
        <f>VLOOKUP(C36,'Train Runs'!$A$13:$AE$10016,31,0)</f>
        <v>aws s3 cp s3://rtdc.mdm.uploadarchive/RTDC4027/2016-08-30/ "%USERPROFILE%\AppData\Local\Temp\OnboardLogs"\RTDC4027\2016-08-30 --recursive &amp; "%USERPROFILE%\Documents\GitHub\mrs-test-scripts\Headless Mode &amp; Sideloading\WalkAndUnGZ.bat" "%USERPROFILE%\AppData\Local\Temp\OnboardLogs"\RTDC4027\2016-08-30 &amp; aws s3 cp s3://rtdc.mdm.uploadarchive/RTDC4027/2016-08-31/ "%USERPROFILE%\AppData\Local\Temp\OnboardLogs"\RTDC4027\2016-08-31 --recursive &amp; "%USERPROFILE%\Documents\GitHub\mrs-test-scripts\Headless Mode &amp; Sideloading\WalkAndUnGZ.bat" "%USERPROFILE%\AppData\Local\Temp\OnboardLogs"\RTDC4027\2016-08-31</v>
      </c>
      <c r="Q36" s="111" t="str">
        <f>VLOOKUP(C36,'Train Runs'!$A$13:$AE$10016,22,0)</f>
        <v>https://search-rtdc-monitor-bjffxe2xuh6vdkpspy63sjmuny.us-east-1.es.amazonaws.com/_plugin/kibana/#/discover/Steve-Slow-Train-Analysis-(2080s-and-2083s)?_g=(refreshInterval:(display:Off,section:0,value:0),time:(from:'2016-08-30 16:30:38-0600',mode:absolute,to:'2016-08-30 19:05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4027%22')),sort:!(Time,asc))</v>
      </c>
      <c r="R36" s="113" t="str">
        <f t="shared" si="0"/>
        <v>"C:\Program Files (x86)\AstroGrep\AstroGrep.exe" /spath="%USERPROFILE%\AppData\Local\Temp\OnboardLogs" /stypes="*4027*201608310*" /stext=" 00:.+((SYSTEM_STATE.+slice.+state.+changed )|(ment ac)|(system.+state.+changed )|(\|lc)|(penalty)|(\[timeout)|(PRM\|1\|D)|(kpr)|(kdp))" /e /r /s</v>
      </c>
      <c r="S36" s="9" t="str">
        <f t="shared" si="1"/>
        <v>4027</v>
      </c>
      <c r="T36" s="38">
        <f t="shared" si="2"/>
        <v>42613.00209490741</v>
      </c>
      <c r="U36" s="52" t="str">
        <f t="shared" si="3"/>
        <v>NW</v>
      </c>
      <c r="V36" s="52" t="str">
        <f t="shared" si="4"/>
        <v>KEEP</v>
      </c>
      <c r="W36" s="149" t="str">
        <f t="shared" si="5"/>
        <v>echo {"issue":{"subject":"","project_id":79,"tracker_id":40,"status_id":1,"priority_id":2,"assigned_to_id":23,"start_date":"2016-08-30","description":"","custom_fields":[{"id":1,"name":"Subdivision","value":"NW"},{"id":4,"name":"Milepost","value":"5.7008"},{"id":17,"name":"Train ID","value":"835-30"},{"id":16,"name":"Locomotive ID","value":"4027"},{"id":130,"name":"Impact","value":""},{"id":150,"name":"Time of Event (Mountain Time)","value":"18:03:01"},{"id":151,"name":"Denver Issue ID","value":""},{"id":178,"name":"Operational Impact","value":"Yes"},{"id":179,"name":"Denver Segment Assigned","value":""}]}} | curl -X POST -H "Content-Type: application/json" -H "X-Redmine-API-Key: d6333d4a04012a730768444271f8ca06482dae87" https://secure.xorail.net/redmine/issues.json --data @-</v>
      </c>
      <c r="X36" s="55"/>
      <c r="Y36" s="55"/>
      <c r="Z36" s="55"/>
    </row>
    <row r="37" spans="1:26" x14ac:dyDescent="0.25">
      <c r="A37" s="38">
        <v>42612.212916666664</v>
      </c>
      <c r="B37" s="33" t="s">
        <v>242</v>
      </c>
      <c r="C37" s="33" t="s">
        <v>353</v>
      </c>
      <c r="D37" s="33" t="s">
        <v>111</v>
      </c>
      <c r="E37" s="33" t="s">
        <v>54</v>
      </c>
      <c r="F37" s="49">
        <v>0</v>
      </c>
      <c r="G37" s="49">
        <v>57</v>
      </c>
      <c r="H37" s="49">
        <v>58324</v>
      </c>
      <c r="I37" s="33" t="s">
        <v>55</v>
      </c>
      <c r="J37" s="49">
        <v>58472</v>
      </c>
      <c r="K37" s="33" t="s">
        <v>53</v>
      </c>
      <c r="L37" s="92" t="str">
        <f>VLOOKUP(C37,'Trips&amp;Operators'!$C$1:$E$9999,3,0)</f>
        <v>STARKS</v>
      </c>
      <c r="M37" s="131" t="s">
        <v>86</v>
      </c>
      <c r="N37" s="10" t="s">
        <v>735</v>
      </c>
      <c r="O37" s="33"/>
      <c r="P37" s="108" t="str">
        <f>VLOOKUP(C37,'Train Runs'!$A$13:$AE$10016,31,0)</f>
        <v>aws s3 cp s3://rtdc.mdm.uploadarchive/RTDC4028/2016-08-30/ "%USERPROFILE%\AppData\Local\Temp\OnboardLogs"\RTDC4028\2016-08-30 --recursive &amp; "%USERPROFILE%\Documents\GitHub\mrs-test-scripts\Headless Mode &amp; Sideloading\WalkAndUnGZ.bat" "%USERPROFILE%\AppData\Local\Temp\OnboardLogs"\RTDC4028\2016-08-30 &amp; aws s3 cp s3://rtdc.mdm.uploadarchive/RTDC4028/2016-08-31/ "%USERPROFILE%\AppData\Local\Temp\OnboardLogs"\RTDC4028\2016-08-31 --recursive &amp; "%USERPROFILE%\Documents\GitHub\mrs-test-scripts\Headless Mode &amp; Sideloading\WalkAndUnGZ.bat" "%USERPROFILE%\AppData\Local\Temp\OnboardLogs"\RTDC4028\2016-08-31</v>
      </c>
      <c r="Q37" s="111" t="str">
        <f>VLOOKUP(C37,'Train Runs'!$A$13:$AE$10016,22,0)</f>
        <v>https://search-rtdc-monitor-bjffxe2xuh6vdkpspy63sjmuny.us-east-1.es.amazonaws.com/_plugin/kibana/#/discover/Steve-Slow-Train-Analysis-(2080s-and-2083s)?_g=(refreshInterval:(display:Off,section:0,value:0),time:(from:'2016-08-30 04:04:11-0600',mode:absolute,to:'2016-08-30 06:29: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4028%22')),sort:!(Time,asc))</v>
      </c>
      <c r="R37" s="113" t="str">
        <f t="shared" si="0"/>
        <v>"C:\Program Files (x86)\AstroGrep\AstroGrep.exe" /spath="%USERPROFILE%\AppData\Local\Temp\OnboardLogs" /stypes="*4028*201608301*" /stext=" 11:.+((SYSTEM_STATE.+slice.+state.+changed )|(ment ac)|(system.+state.+changed )|(\|lc)|(penalty)|(\[timeout)|(PRM\|1\|D)|(kpr)|(kdp))" /e /r /s</v>
      </c>
      <c r="S37" s="9" t="str">
        <f t="shared" si="1"/>
        <v>4028</v>
      </c>
      <c r="T37" s="38">
        <f t="shared" si="2"/>
        <v>42612.462916666664</v>
      </c>
      <c r="U37" s="52" t="str">
        <f t="shared" si="3"/>
        <v>NW</v>
      </c>
      <c r="V37" s="52" t="str">
        <f t="shared" si="4"/>
        <v>KEEP</v>
      </c>
      <c r="W37" s="149" t="str">
        <f t="shared" si="5"/>
        <v>echo {"issue":{"subject":"Westminster 2S STOP, cleared shortly","project_id":79,"tracker_id":40,"status_id":1,"priority_id":2,"assigned_to_id":23,"start_date":"2016-08-30","description":"","custom_fields":[{"id":1,"name":"Subdivision","value":"NW"},{"id":4,"name":"Milepost","value":"5.8472"},{"id":17,"name":"Train ID","value":"800-30"},{"id":16,"name":"Locomotive ID","value":"4028"},{"id":130,"name":"Impact","value":""},{"id":150,"name":"Time of Event (Mountain Time)","value":"05:06:36"},{"id":151,"name":"Denver Issue ID","value":""},{"id":178,"name":"Operational Impact","value":"Yes"},{"id":179,"name":"Denver Segment Assigned","value":""}]}} | curl -X POST -H "Content-Type: application/json" -H "X-Redmine-API-Key: d6333d4a04012a730768444271f8ca06482dae87" https://secure.xorail.net/redmine/issues.json --data @-</v>
      </c>
      <c r="X37" s="55"/>
      <c r="Y37" s="55"/>
      <c r="Z37" s="55"/>
    </row>
    <row r="38" spans="1:26" x14ac:dyDescent="0.25">
      <c r="A38" s="38">
        <v>42612.289259259262</v>
      </c>
      <c r="B38" s="33" t="s">
        <v>90</v>
      </c>
      <c r="C38" s="33" t="s">
        <v>359</v>
      </c>
      <c r="D38" s="33" t="s">
        <v>49</v>
      </c>
      <c r="E38" s="33" t="s">
        <v>50</v>
      </c>
      <c r="F38" s="49">
        <v>0</v>
      </c>
      <c r="G38" s="49">
        <v>87</v>
      </c>
      <c r="H38" s="49">
        <v>866</v>
      </c>
      <c r="I38" s="33" t="s">
        <v>51</v>
      </c>
      <c r="J38" s="49">
        <v>575</v>
      </c>
      <c r="K38" s="33" t="s">
        <v>53</v>
      </c>
      <c r="L38" s="92" t="str">
        <f>VLOOKUP(C38,'Trips&amp;Operators'!$C$1:$E$9999,3,0)</f>
        <v>SANTIZO</v>
      </c>
      <c r="M38" s="131" t="s">
        <v>86</v>
      </c>
      <c r="N38" s="10"/>
      <c r="O38" s="33"/>
      <c r="P38" s="108" t="str">
        <f>VLOOKUP(C38,'Train Runs'!$A$13:$AE$10016,31,0)</f>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Q38" s="111" t="str">
        <f>VLOOKUP(C38,'Train Runs'!$A$13:$AE$10016,22,0)</f>
        <v>https://search-rtdc-monitor-bjffxe2xuh6vdkpspy63sjmuny.us-east-1.es.amazonaws.com/_plugin/kibana/#/discover/Steve-Slow-Train-Analysis-(2080s-and-2083s)?_g=(refreshInterval:(display:Off,section:0,value:0),time:(from:'2016-08-30 05:36:42-0600',mode:absolute,to:'2016-08-30 07:56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R38" s="113" t="str">
        <f t="shared" si="0"/>
        <v>"C:\Program Files (x86)\AstroGrep\AstroGrep.exe" /spath="%USERPROFILE%\AppData\Local\Temp\OnboardLogs" /stypes="*4013*201608301*" /stext=" 12:.+((SYSTEM_STATE.+slice.+state.+changed )|(ment ac)|(system.+state.+changed )|(\|lc)|(penalty)|(\[timeout)|(PRM\|1\|D)|(kpr)|(kdp))" /e /r /s</v>
      </c>
      <c r="S38" s="9" t="str">
        <f t="shared" si="1"/>
        <v>4013</v>
      </c>
      <c r="T38" s="38">
        <f t="shared" si="2"/>
        <v>42612.539259259262</v>
      </c>
      <c r="U38" s="52" t="str">
        <f t="shared" si="3"/>
        <v>NW</v>
      </c>
      <c r="V38" s="52" t="str">
        <f t="shared" si="4"/>
        <v>KEEP</v>
      </c>
      <c r="W38" s="149" t="str">
        <f t="shared" si="5"/>
        <v>echo {"issue":{"subject":"","project_id":79,"tracker_id":40,"status_id":1,"priority_id":2,"assigned_to_id":23,"start_date":"2016-08-30","description":"","custom_fields":[{"id":1,"name":"Subdivision","value":"NW"},{"id":4,"name":"Milepost","value":"0.0575"},{"id":17,"name":"Train ID","value":"804-30"},{"id":16,"name":"Locomotive ID","value":"4013"},{"id":130,"name":"Impact","value":""},{"id":150,"name":"Time of Event (Mountain Time)","value":"06:56:32"},{"id":151,"name":"Denver Issue ID","value":""},{"id":178,"name":"Operational Impact","value":"Yes"},{"id":179,"name":"Denver Segment Assigned","value":""}]}} | curl -X POST -H "Content-Type: application/json" -H "X-Redmine-API-Key: d6333d4a04012a730768444271f8ca06482dae87" https://secure.xorail.net/redmine/issues.json --data @-</v>
      </c>
      <c r="X38" s="55"/>
      <c r="Y38" s="55"/>
      <c r="Z38" s="55"/>
    </row>
    <row r="39" spans="1:26" ht="15" customHeight="1" x14ac:dyDescent="0.25">
      <c r="A39" s="38">
        <v>42612.538726851853</v>
      </c>
      <c r="B39" s="33" t="s">
        <v>90</v>
      </c>
      <c r="C39" s="33" t="s">
        <v>372</v>
      </c>
      <c r="D39" s="33" t="s">
        <v>49</v>
      </c>
      <c r="E39" s="33" t="s">
        <v>50</v>
      </c>
      <c r="F39" s="49">
        <v>0</v>
      </c>
      <c r="G39" s="49">
        <v>34</v>
      </c>
      <c r="H39" s="49">
        <v>647</v>
      </c>
      <c r="I39" s="33" t="s">
        <v>51</v>
      </c>
      <c r="J39" s="49">
        <v>575</v>
      </c>
      <c r="K39" s="33" t="s">
        <v>53</v>
      </c>
      <c r="L39" s="92" t="str">
        <f>VLOOKUP(C39,'Trips&amp;Operators'!$C$1:$E$9999,3,0)</f>
        <v>SANTIZO</v>
      </c>
      <c r="M39" s="131" t="s">
        <v>86</v>
      </c>
      <c r="N39" s="10"/>
      <c r="O39" s="33"/>
      <c r="P39" s="108" t="str">
        <f>VLOOKUP(C39,'Train Runs'!$A$13:$AE$10016,31,0)</f>
        <v>aws s3 cp s3://rtdc.mdm.uploadarchive/RTDC4013/2016-08-30/ "%USERPROFILE%\AppData\Local\Temp\OnboardLogs"\RTDC4013\2016-08-30 --recursive &amp; "%USERPROFILE%\Documents\GitHub\mrs-test-scripts\Headless Mode &amp; Sideloading\WalkAndUnGZ.bat" "%USERPROFILE%\AppData\Local\Temp\OnboardLogs"\RTDC4013\2016-08-30 &amp; aws s3 cp s3://rtdc.mdm.uploadarchive/RTDC4013/2016-08-31/ "%USERPROFILE%\AppData\Local\Temp\OnboardLogs"\RTDC4013\2016-08-31 --recursive &amp; "%USERPROFILE%\Documents\GitHub\mrs-test-scripts\Headless Mode &amp; Sideloading\WalkAndUnGZ.bat" "%USERPROFILE%\AppData\Local\Temp\OnboardLogs"\RTDC4013\2016-08-31</v>
      </c>
      <c r="Q39" s="111" t="str">
        <f>VLOOKUP(C39,'Train Runs'!$A$13:$AE$10016,22,0)</f>
        <v>https://search-rtdc-monitor-bjffxe2xuh6vdkpspy63sjmuny.us-east-1.es.amazonaws.com/_plugin/kibana/#/discover/Steve-Slow-Train-Analysis-(2080s-and-2083s)?_g=(refreshInterval:(display:Off,section:0,value:0),time:(from:'2016-08-30 11:36:44-0600',mode:absolute,to:'2016-08-30 13: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4013%22')),sort:!(Time,asc))</v>
      </c>
      <c r="R39" s="113" t="str">
        <f t="shared" si="0"/>
        <v>"C:\Program Files (x86)\AstroGrep\AstroGrep.exe" /spath="%USERPROFILE%\AppData\Local\Temp\OnboardLogs" /stypes="*4013*201608301*" /stext=" 18:.+((SYSTEM_STATE.+slice.+state.+changed )|(ment ac)|(system.+state.+changed )|(\|lc)|(penalty)|(\[timeout)|(PRM\|1\|D)|(kpr)|(kdp))" /e /r /s</v>
      </c>
      <c r="S39" s="9" t="str">
        <f t="shared" si="1"/>
        <v>4013</v>
      </c>
      <c r="T39" s="38">
        <f t="shared" si="2"/>
        <v>42612.788726851853</v>
      </c>
      <c r="U39" s="52" t="str">
        <f t="shared" si="3"/>
        <v>NW</v>
      </c>
      <c r="V39" s="52" t="str">
        <f t="shared" si="4"/>
        <v>KEEP</v>
      </c>
      <c r="W39" s="149" t="str">
        <f t="shared" si="5"/>
        <v>echo {"issue":{"subject":"","project_id":79,"tracker_id":40,"status_id":1,"priority_id":2,"assigned_to_id":23,"start_date":"2016-08-30","description":"","custom_fields":[{"id":1,"name":"Subdivision","value":"NW"},{"id":4,"name":"Milepost","value":"0.0575"},{"id":17,"name":"Train ID","value":"820-30"},{"id":16,"name":"Locomotive ID","value":"4013"},{"id":130,"name":"Impact","value":""},{"id":150,"name":"Time of Event (Mountain Time)","value":"12:55:46"},{"id":151,"name":"Denver Issue ID","value":""},{"id":178,"name":"Operational Impact","value":"Yes"},{"id":179,"name":"Denver Segment Assigned","value":""}]}} | curl -X POST -H "Content-Type: application/json" -H "X-Redmine-API-Key: d6333d4a04012a730768444271f8ca06482dae87" https://secure.xorail.net/redmine/issues.json --data @-</v>
      </c>
      <c r="X39" s="55"/>
      <c r="Y39" s="55"/>
      <c r="Z39" s="55"/>
    </row>
    <row r="40" spans="1:26" x14ac:dyDescent="0.25">
      <c r="A40" s="38">
        <v>42612.523715277777</v>
      </c>
      <c r="B40" s="33" t="s">
        <v>112</v>
      </c>
      <c r="C40" s="33" t="s">
        <v>369</v>
      </c>
      <c r="D40" s="33" t="s">
        <v>49</v>
      </c>
      <c r="E40" s="33" t="s">
        <v>50</v>
      </c>
      <c r="F40" s="49">
        <v>0</v>
      </c>
      <c r="G40" s="49">
        <v>171</v>
      </c>
      <c r="H40" s="49">
        <v>57956</v>
      </c>
      <c r="I40" s="33" t="s">
        <v>51</v>
      </c>
      <c r="J40" s="49">
        <v>59048</v>
      </c>
      <c r="K40" s="33" t="s">
        <v>52</v>
      </c>
      <c r="L40" s="92" t="str">
        <f>VLOOKUP(C40,'Trips&amp;Operators'!$C$1:$E$9999,3,0)</f>
        <v>SANTIZO</v>
      </c>
      <c r="M40" s="131" t="s">
        <v>86</v>
      </c>
      <c r="N40" s="10"/>
      <c r="O40" s="33"/>
      <c r="P40" s="108" t="str">
        <f>VLOOKUP(C40,'Train Runs'!$A$13:$AE$10016,31,0)</f>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Q40" s="111" t="str">
        <f>VLOOKUP(C40,'Train Runs'!$A$13:$AE$10016,22,0)</f>
        <v>https://search-rtdc-monitor-bjffxe2xuh6vdkpspy63sjmuny.us-east-1.es.amazonaws.com/_plugin/kibana/#/discover/Steve-Slow-Train-Analysis-(2080s-and-2083s)?_g=(refreshInterval:(display:Off,section:0,value:0),time:(from:'2016-08-30 11:00:29-0600',mode:absolute,to:'2016-08-30 13:35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40" s="113" t="str">
        <f t="shared" si="0"/>
        <v>"C:\Program Files (x86)\AstroGrep\AstroGrep.exe" /spath="%USERPROFILE%\AppData\Local\Temp\OnboardLogs" /stypes="*4014*201608301*" /stext=" 18:.+((SYSTEM_STATE.+slice.+state.+changed )|(ment ac)|(system.+state.+changed )|(\|lc)|(penalty)|(\[timeout)|(PRM\|1\|D)|(kpr)|(kdp))" /e /r /s</v>
      </c>
      <c r="S40" s="9" t="str">
        <f t="shared" si="1"/>
        <v>4014</v>
      </c>
      <c r="T40" s="38">
        <f t="shared" si="2"/>
        <v>42612.773715277777</v>
      </c>
      <c r="U40" s="52" t="str">
        <f t="shared" si="3"/>
        <v>NW</v>
      </c>
      <c r="V40" s="52" t="str">
        <f t="shared" si="4"/>
        <v>KEEP</v>
      </c>
      <c r="W40" s="149" t="str">
        <f t="shared" si="5"/>
        <v>echo {"issue":{"subject":"","project_id":79,"tracker_id":40,"status_id":1,"priority_id":2,"assigned_to_id":23,"start_date":"2016-08-30","description":"","custom_fields":[{"id":1,"name":"Subdivision","value":"NW"},{"id":4,"name":"Milepost","value":"5.9048"},{"id":17,"name":"Train ID","value":"819-30"},{"id":16,"name":"Locomotive ID","value":"4014"},{"id":130,"name":"Impact","value":""},{"id":150,"name":"Time of Event (Mountain Time)","value":"12:34:09"},{"id":151,"name":"Denver Issue ID","value":""},{"id":178,"name":"Operational Impact","value":"Yes"},{"id":179,"name":"Denver Segment Assigned","value":""}]}} | curl -X POST -H "Content-Type: application/json" -H "X-Redmine-API-Key: d6333d4a04012a730768444271f8ca06482dae87" https://secure.xorail.net/redmine/issues.json --data @-</v>
      </c>
      <c r="X40" s="55"/>
      <c r="Y40" s="55"/>
      <c r="Z40" s="55"/>
    </row>
    <row r="41" spans="1:26" x14ac:dyDescent="0.25">
      <c r="A41" s="38">
        <v>42612.524560185186</v>
      </c>
      <c r="B41" s="33" t="s">
        <v>112</v>
      </c>
      <c r="C41" s="33" t="s">
        <v>369</v>
      </c>
      <c r="D41" s="33" t="s">
        <v>49</v>
      </c>
      <c r="E41" s="33" t="s">
        <v>50</v>
      </c>
      <c r="F41" s="49">
        <v>0</v>
      </c>
      <c r="G41" s="49">
        <v>49</v>
      </c>
      <c r="H41" s="49">
        <v>58896</v>
      </c>
      <c r="I41" s="33" t="s">
        <v>51</v>
      </c>
      <c r="J41" s="49">
        <v>59048</v>
      </c>
      <c r="K41" s="33" t="s">
        <v>52</v>
      </c>
      <c r="L41" s="92" t="str">
        <f>VLOOKUP(C41,'Trips&amp;Operators'!$C$1:$E$9999,3,0)</f>
        <v>SANTIZO</v>
      </c>
      <c r="M41" s="131" t="s">
        <v>86</v>
      </c>
      <c r="N41" s="10"/>
      <c r="O41" s="33"/>
      <c r="P41" s="108" t="str">
        <f>VLOOKUP(C41,'Train Runs'!$A$13:$AE$10016,31,0)</f>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Q41" s="111" t="str">
        <f>VLOOKUP(C41,'Train Runs'!$A$13:$AE$10016,22,0)</f>
        <v>https://search-rtdc-monitor-bjffxe2xuh6vdkpspy63sjmuny.us-east-1.es.amazonaws.com/_plugin/kibana/#/discover/Steve-Slow-Train-Analysis-(2080s-and-2083s)?_g=(refreshInterval:(display:Off,section:0,value:0),time:(from:'2016-08-30 11:00:29-0600',mode:absolute,to:'2016-08-30 13:35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41" s="113" t="str">
        <f t="shared" si="0"/>
        <v>"C:\Program Files (x86)\AstroGrep\AstroGrep.exe" /spath="%USERPROFILE%\AppData\Local\Temp\OnboardLogs" /stypes="*4014*201608301*" /stext=" 18:.+((SYSTEM_STATE.+slice.+state.+changed )|(ment ac)|(system.+state.+changed )|(\|lc)|(penalty)|(\[timeout)|(PRM\|1\|D)|(kpr)|(kdp))" /e /r /s</v>
      </c>
      <c r="S41" s="9" t="str">
        <f t="shared" si="1"/>
        <v>4014</v>
      </c>
      <c r="T41" s="38">
        <f t="shared" si="2"/>
        <v>42612.774560185186</v>
      </c>
      <c r="U41" s="52" t="str">
        <f t="shared" si="3"/>
        <v>NW</v>
      </c>
      <c r="V41" s="52" t="str">
        <f t="shared" si="4"/>
        <v>KEEP</v>
      </c>
      <c r="W41" s="149" t="str">
        <f t="shared" si="5"/>
        <v>echo {"issue":{"subject":"","project_id":79,"tracker_id":40,"status_id":1,"priority_id":2,"assigned_to_id":23,"start_date":"2016-08-30","description":"","custom_fields":[{"id":1,"name":"Subdivision","value":"NW"},{"id":4,"name":"Milepost","value":"5.9048"},{"id":17,"name":"Train ID","value":"819-30"},{"id":16,"name":"Locomotive ID","value":"4014"},{"id":130,"name":"Impact","value":""},{"id":150,"name":"Time of Event (Mountain Time)","value":"12:35:22"},{"id":151,"name":"Denver Issue ID","value":""},{"id":178,"name":"Operational Impact","value":"Yes"},{"id":179,"name":"Denver Segment Assigned","value":""}]}} | curl -X POST -H "Content-Type: application/json" -H "X-Redmine-API-Key: d6333d4a04012a730768444271f8ca06482dae87" https://secure.xorail.net/redmine/issues.json --data @-</v>
      </c>
      <c r="X41" s="55"/>
      <c r="Y41" s="55"/>
      <c r="Z41" s="55"/>
    </row>
    <row r="42" spans="1:26" x14ac:dyDescent="0.25">
      <c r="A42" s="38">
        <v>42612.274027777778</v>
      </c>
      <c r="B42" s="33" t="s">
        <v>112</v>
      </c>
      <c r="C42" s="33" t="s">
        <v>356</v>
      </c>
      <c r="D42" s="33" t="s">
        <v>49</v>
      </c>
      <c r="E42" s="33" t="s">
        <v>50</v>
      </c>
      <c r="F42" s="49">
        <v>0</v>
      </c>
      <c r="G42" s="49">
        <v>49</v>
      </c>
      <c r="H42" s="49">
        <v>58954</v>
      </c>
      <c r="I42" s="33" t="s">
        <v>51</v>
      </c>
      <c r="J42" s="49">
        <v>59058</v>
      </c>
      <c r="K42" s="33" t="s">
        <v>52</v>
      </c>
      <c r="L42" s="92" t="str">
        <f>VLOOKUP(C42,'Trips&amp;Operators'!$C$1:$E$9999,3,0)</f>
        <v>SANTIZO</v>
      </c>
      <c r="M42" s="131" t="s">
        <v>86</v>
      </c>
      <c r="N42" s="10"/>
      <c r="O42" s="33"/>
      <c r="P42" s="108" t="str">
        <f>VLOOKUP(C42,'Train Runs'!$A$13:$AE$10016,31,0)</f>
        <v>aws s3 cp s3://rtdc.mdm.uploadarchive/RTDC4014/2016-08-30/ "%USERPROFILE%\AppData\Local\Temp\OnboardLogs"\RTDC4014\2016-08-30 --recursive &amp; "%USERPROFILE%\Documents\GitHub\mrs-test-scripts\Headless Mode &amp; Sideloading\WalkAndUnGZ.bat" "%USERPROFILE%\AppData\Local\Temp\OnboardLogs"\RTDC4014\2016-08-30 &amp; aws s3 cp s3://rtdc.mdm.uploadarchive/RTDC4014/2016-08-31/ "%USERPROFILE%\AppData\Local\Temp\OnboardLogs"\RTDC4014\2016-08-31 --recursive &amp; "%USERPROFILE%\Documents\GitHub\mrs-test-scripts\Headless Mode &amp; Sideloading\WalkAndUnGZ.bat" "%USERPROFILE%\AppData\Local\Temp\OnboardLogs"\RTDC4014\2016-08-31</v>
      </c>
      <c r="Q42" s="111" t="str">
        <f>VLOOKUP(C42,'Train Runs'!$A$13:$AE$10016,22,0)</f>
        <v>https://search-rtdc-monitor-bjffxe2xuh6vdkpspy63sjmuny.us-east-1.es.amazonaws.com/_plugin/kibana/#/discover/Steve-Slow-Train-Analysis-(2080s-and-2083s)?_g=(refreshInterval:(display:Off,section:0,value:0),time:(from:'2016-08-30 05:08:22-0600',mode:absolute,to:'2016-08-30 07: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4014%22')),sort:!(Time,asc))</v>
      </c>
      <c r="R42" s="113" t="str">
        <f t="shared" si="0"/>
        <v>"C:\Program Files (x86)\AstroGrep\AstroGrep.exe" /spath="%USERPROFILE%\AppData\Local\Temp\OnboardLogs" /stypes="*4014*201608301*" /stext=" 12:.+((SYSTEM_STATE.+slice.+state.+changed )|(ment ac)|(system.+state.+changed )|(\|lc)|(penalty)|(\[timeout)|(PRM\|1\|D)|(kpr)|(kdp))" /e /r /s</v>
      </c>
      <c r="S42" s="9" t="str">
        <f t="shared" si="1"/>
        <v>4014</v>
      </c>
      <c r="T42" s="38">
        <f t="shared" si="2"/>
        <v>42612.524027777778</v>
      </c>
      <c r="U42" s="52" t="str">
        <f t="shared" si="3"/>
        <v>NW</v>
      </c>
      <c r="V42" s="52" t="str">
        <f t="shared" si="4"/>
        <v>KEEP</v>
      </c>
      <c r="W42" s="149" t="str">
        <f t="shared" si="5"/>
        <v>echo {"issue":{"subject":"","project_id":79,"tracker_id":40,"status_id":1,"priority_id":2,"assigned_to_id":23,"start_date":"2016-08-30","description":"","custom_fields":[{"id":1,"name":"Subdivision","value":"NW"},{"id":4,"name":"Milepost","value":"5.9058"},{"id":17,"name":"Train ID","value":"803-30"},{"id":16,"name":"Locomotive ID","value":"4014"},{"id":130,"name":"Impact","value":""},{"id":150,"name":"Time of Event (Mountain Time)","value":"06:34:36"},{"id":151,"name":"Denver Issue ID","value":""},{"id":178,"name":"Operational Impact","value":"Yes"},{"id":179,"name":"Denver Segment Assigned","value":""}]}} | curl -X POST -H "Content-Type: application/json" -H "X-Redmine-API-Key: d6333d4a04012a730768444271f8ca06482dae87" https://secure.xorail.net/redmine/issues.json --data @-</v>
      </c>
      <c r="X42" s="55"/>
      <c r="Y42" s="55"/>
      <c r="Z42" s="55"/>
    </row>
    <row r="43" spans="1:26" x14ac:dyDescent="0.25">
      <c r="A43" s="38">
        <v>42612.724641203706</v>
      </c>
      <c r="B43" s="33" t="s">
        <v>377</v>
      </c>
      <c r="C43" s="33" t="s">
        <v>378</v>
      </c>
      <c r="D43" s="33" t="s">
        <v>49</v>
      </c>
      <c r="E43" s="33" t="s">
        <v>50</v>
      </c>
      <c r="F43" s="49">
        <v>0</v>
      </c>
      <c r="G43" s="49">
        <v>37</v>
      </c>
      <c r="H43" s="49">
        <v>131</v>
      </c>
      <c r="I43" s="33" t="s">
        <v>51</v>
      </c>
      <c r="J43" s="49">
        <v>1</v>
      </c>
      <c r="K43" s="33" t="s">
        <v>53</v>
      </c>
      <c r="L43" s="92" t="str">
        <f>VLOOKUP(C43,'Trips&amp;Operators'!$C$1:$E$9999,3,0)</f>
        <v>COOLAHAN</v>
      </c>
      <c r="M43" s="131" t="s">
        <v>86</v>
      </c>
      <c r="N43" s="10"/>
      <c r="O43" s="33"/>
      <c r="P43" s="108" t="str">
        <f>VLOOKUP(C43,'Train Runs'!$A$13:$AE$10016,31,0)</f>
        <v>aws s3 cp s3://rtdc.mdm.uploadarchive/RTDC4021/2016-08-30/ "%USERPROFILE%\AppData\Local\Temp\OnboardLogs"\RTDC4021\2016-08-30 --recursive &amp; "%USERPROFILE%\Documents\GitHub\mrs-test-scripts\Headless Mode &amp; Sideloading\WalkAndUnGZ.bat" "%USERPROFILE%\AppData\Local\Temp\OnboardLogs"\RTDC4021\2016-08-30 &amp; aws s3 cp s3://rtdc.mdm.uploadarchive/RTDC4021/2016-08-31/ "%USERPROFILE%\AppData\Local\Temp\OnboardLogs"\RTDC4021\2016-08-31 --recursive &amp; "%USERPROFILE%\Documents\GitHub\mrs-test-scripts\Headless Mode &amp; Sideloading\WalkAndUnGZ.bat" "%USERPROFILE%\AppData\Local\Temp\OnboardLogs"\RTDC4021\2016-08-31</v>
      </c>
      <c r="Q43" s="111" t="str">
        <f>VLOOKUP(C43,'Train Runs'!$A$13:$AE$10016,22,0)</f>
        <v>https://search-rtdc-monitor-bjffxe2xuh6vdkpspy63sjmuny.us-east-1.es.amazonaws.com/_plugin/kibana/#/discover/Steve-Slow-Train-Analysis-(2080s-and-2083s)?_g=(refreshInterval:(display:Off,section:0,value:0),time:(from:'2016-08-30 16:11:39-0600',mode:absolute,to:'2016-08-30 18:23: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filters:!(),index:'emp_*',interval:auto,query:(query_string:(analyze_wildcard:!t,query:'Message%5C%20ID:(2083%20OR%202080%20OR%201041%20OR%202003%20OR%201051)%20AND%20%22rtdc.l.rtdc.4021%22')),sort:!(Time,asc))</v>
      </c>
      <c r="R43" s="113" t="str">
        <f t="shared" si="0"/>
        <v>"C:\Program Files (x86)\AstroGrep\AstroGrep.exe" /spath="%USERPROFILE%\AppData\Local\Temp\OnboardLogs" /stypes="*4021*201608302*" /stext=" 23:.+((SYSTEM_STATE.+slice.+state.+changed )|(ment ac)|(system.+state.+changed )|(\|lc)|(penalty)|(\[timeout)|(PRM\|1\|D)|(kpr)|(kdp))" /e /r /s</v>
      </c>
      <c r="S43" s="9" t="str">
        <f t="shared" si="1"/>
        <v>4021</v>
      </c>
      <c r="T43" s="38">
        <f t="shared" si="2"/>
        <v>42612.974641203706</v>
      </c>
      <c r="U43" s="52" t="str">
        <f t="shared" si="3"/>
        <v>Other</v>
      </c>
      <c r="V43" s="52" t="str">
        <f t="shared" si="4"/>
        <v>KEEP</v>
      </c>
      <c r="W43" s="149" t="str">
        <f t="shared" si="5"/>
        <v>echo {"issue":{"subject":"","project_id":79,"tracker_id":40,"status_id":1,"priority_id":2,"assigned_to_id":23,"start_date":"2016-08-30","description":"","custom_fields":[{"id":1,"name":"Subdivision","value":"Other"},{"id":4,"name":"Milepost","value":"0.0001"},{"id":17,"name":"Train ID","value":"62-30"},{"id":16,"name":"Locomotive ID","value":"4021"},{"id":130,"name":"Impact","value":""},{"id":150,"name":"Time of Event (Mountain Time)","value":"17:23:29"},{"id":151,"name":"Denver Issue ID","value":""},{"id":178,"name":"Operational Impact","value":"Yes"},{"id":179,"name":"Denver Segment Assigned","value":""}]}} | curl -X POST -H "Content-Type: application/json" -H "X-Redmine-API-Key: d6333d4a04012a730768444271f8ca06482dae87" https://secure.xorail.net/redmine/issues.json --data @-</v>
      </c>
      <c r="X43" s="55"/>
      <c r="Y43" s="55"/>
      <c r="Z43" s="55"/>
    </row>
    <row r="44" spans="1:26" x14ac:dyDescent="0.25">
      <c r="A44" s="38"/>
      <c r="B44" s="33"/>
      <c r="C44" s="33"/>
      <c r="D44" s="33"/>
      <c r="E44" s="33"/>
      <c r="F44" s="49"/>
      <c r="G44" s="49"/>
      <c r="H44" s="49"/>
      <c r="I44" s="33"/>
      <c r="J44" s="49"/>
      <c r="K44" s="33"/>
      <c r="L44" s="92"/>
      <c r="M44" s="131"/>
      <c r="N44" s="10"/>
      <c r="O44" s="33"/>
      <c r="P44" s="108"/>
      <c r="Q44" s="111"/>
      <c r="R44" s="113"/>
      <c r="S44" s="9"/>
      <c r="T44" s="38"/>
      <c r="U44" s="52"/>
      <c r="V44" s="52"/>
      <c r="W44" s="149"/>
      <c r="X44" s="55"/>
      <c r="Y44" s="55"/>
      <c r="Z44" s="55"/>
    </row>
    <row r="45" spans="1:26" x14ac:dyDescent="0.25">
      <c r="A45" s="38"/>
      <c r="B45" s="33"/>
      <c r="C45" s="33"/>
      <c r="D45" s="33"/>
      <c r="E45" s="33"/>
      <c r="F45" s="49"/>
      <c r="G45" s="49"/>
      <c r="H45" s="49"/>
      <c r="I45" s="33"/>
      <c r="J45" s="49"/>
      <c r="K45" s="33"/>
      <c r="L45" s="92"/>
      <c r="M45" s="131"/>
      <c r="N45" s="10"/>
      <c r="O45" s="33"/>
      <c r="P45" s="108"/>
      <c r="Q45" s="111"/>
      <c r="R45" s="113"/>
      <c r="S45" s="9"/>
      <c r="T45" s="38"/>
      <c r="U45" s="52"/>
      <c r="V45" s="52"/>
      <c r="W45" s="149"/>
      <c r="X45" s="55"/>
      <c r="Y45" s="55"/>
      <c r="Z45" s="55"/>
    </row>
    <row r="46" spans="1:26" x14ac:dyDescent="0.25">
      <c r="A46" s="38"/>
      <c r="B46" s="33"/>
      <c r="C46" s="33"/>
      <c r="D46" s="33"/>
      <c r="E46" s="33"/>
      <c r="F46" s="49"/>
      <c r="G46" s="49"/>
      <c r="H46" s="49"/>
      <c r="I46" s="33"/>
      <c r="J46" s="49"/>
      <c r="K46" s="33"/>
      <c r="L46" s="92"/>
      <c r="M46" s="131"/>
      <c r="N46" s="10"/>
      <c r="O46" s="33"/>
      <c r="P46" s="108"/>
      <c r="Q46" s="111"/>
      <c r="R46" s="113"/>
      <c r="S46" s="9"/>
      <c r="T46" s="38"/>
      <c r="U46" s="52"/>
      <c r="V46" s="52"/>
      <c r="W46" s="149"/>
      <c r="X46" s="55"/>
      <c r="Y46" s="55"/>
      <c r="Z46" s="55"/>
    </row>
    <row r="47" spans="1:26" x14ac:dyDescent="0.25">
      <c r="A47" s="38"/>
      <c r="B47" s="33"/>
      <c r="C47" s="33"/>
      <c r="D47" s="33"/>
      <c r="E47" s="33"/>
      <c r="F47" s="49"/>
      <c r="G47" s="49"/>
      <c r="H47" s="49"/>
      <c r="I47" s="33"/>
      <c r="J47" s="49"/>
      <c r="K47" s="33"/>
      <c r="L47" s="92"/>
      <c r="M47" s="131"/>
      <c r="N47" s="10"/>
      <c r="O47" s="33"/>
      <c r="P47" s="108"/>
      <c r="Q47" s="111"/>
      <c r="R47" s="113"/>
      <c r="S47" s="9"/>
      <c r="T47" s="38"/>
      <c r="U47" s="52"/>
      <c r="V47" s="52"/>
      <c r="W47" s="149"/>
      <c r="X47" s="55"/>
      <c r="Y47" s="55"/>
      <c r="Z47" s="55"/>
    </row>
    <row r="48" spans="1:26" x14ac:dyDescent="0.25">
      <c r="A48" s="38"/>
      <c r="B48" s="33"/>
      <c r="C48" s="33"/>
      <c r="D48" s="33"/>
      <c r="E48" s="33"/>
      <c r="F48" s="49"/>
      <c r="G48" s="49"/>
      <c r="H48" s="49"/>
      <c r="I48" s="33"/>
      <c r="J48" s="49"/>
      <c r="K48" s="33"/>
      <c r="L48" s="92"/>
      <c r="M48" s="131"/>
      <c r="N48" s="10"/>
      <c r="O48" s="33"/>
      <c r="P48" s="108"/>
      <c r="Q48" s="111"/>
      <c r="R48" s="113"/>
      <c r="S48" s="9"/>
      <c r="T48" s="38"/>
      <c r="U48" s="52"/>
      <c r="V48" s="52"/>
      <c r="W48" s="149"/>
      <c r="X48" s="55"/>
      <c r="Y48" s="55"/>
      <c r="Z48" s="55"/>
    </row>
    <row r="49" spans="1:26" x14ac:dyDescent="0.25">
      <c r="A49" s="38"/>
      <c r="B49" s="33"/>
      <c r="C49" s="33"/>
      <c r="D49" s="33"/>
      <c r="E49" s="33"/>
      <c r="F49" s="49"/>
      <c r="G49" s="49"/>
      <c r="H49" s="49"/>
      <c r="I49" s="33"/>
      <c r="J49" s="49"/>
      <c r="K49" s="33"/>
      <c r="L49" s="92"/>
      <c r="M49" s="131"/>
      <c r="N49" s="10"/>
      <c r="O49" s="33"/>
      <c r="P49" s="108"/>
      <c r="Q49" s="111"/>
      <c r="R49" s="113"/>
      <c r="S49" s="9"/>
      <c r="T49" s="38"/>
      <c r="U49" s="52"/>
      <c r="V49" s="52"/>
      <c r="W49" s="149"/>
      <c r="X49" s="55"/>
      <c r="Y49" s="55"/>
      <c r="Z49" s="55"/>
    </row>
    <row r="50" spans="1:26" x14ac:dyDescent="0.25">
      <c r="A50" s="38"/>
      <c r="B50" s="33"/>
      <c r="C50" s="33"/>
      <c r="D50" s="33"/>
      <c r="E50" s="33"/>
      <c r="F50" s="49"/>
      <c r="G50" s="49"/>
      <c r="H50" s="49"/>
      <c r="I50" s="33"/>
      <c r="J50" s="49"/>
      <c r="K50" s="33"/>
      <c r="L50" s="92"/>
      <c r="M50" s="131"/>
      <c r="N50" s="10"/>
      <c r="O50" s="33"/>
      <c r="P50" s="108"/>
      <c r="Q50" s="111"/>
      <c r="R50" s="113"/>
      <c r="S50" s="9"/>
      <c r="T50" s="38"/>
      <c r="U50" s="52"/>
      <c r="V50" s="52"/>
      <c r="W50" s="149"/>
      <c r="X50" s="55"/>
      <c r="Y50" s="55"/>
      <c r="Z50" s="55"/>
    </row>
    <row r="51" spans="1:26" x14ac:dyDescent="0.25">
      <c r="A51" s="38"/>
      <c r="B51" s="33"/>
      <c r="C51" s="33"/>
      <c r="D51" s="33"/>
      <c r="E51" s="33"/>
      <c r="F51" s="49"/>
      <c r="G51" s="49"/>
      <c r="H51" s="49"/>
      <c r="I51" s="33"/>
      <c r="J51" s="49"/>
      <c r="K51" s="33"/>
      <c r="L51" s="92"/>
      <c r="M51" s="131"/>
      <c r="N51" s="10"/>
      <c r="O51" s="33"/>
      <c r="P51" s="108"/>
      <c r="Q51" s="111"/>
      <c r="R51" s="113"/>
      <c r="S51" s="9"/>
      <c r="T51" s="38"/>
      <c r="U51" s="52"/>
      <c r="V51" s="52"/>
      <c r="W51" s="149"/>
      <c r="X51" s="55"/>
      <c r="Y51" s="55"/>
      <c r="Z51" s="55"/>
    </row>
    <row r="52" spans="1:26" x14ac:dyDescent="0.25">
      <c r="A52" s="38"/>
      <c r="B52" s="33"/>
      <c r="C52" s="33"/>
      <c r="D52" s="33"/>
      <c r="E52" s="33"/>
      <c r="F52" s="49"/>
      <c r="G52" s="49"/>
      <c r="H52" s="49"/>
      <c r="I52" s="33"/>
      <c r="J52" s="49"/>
      <c r="K52" s="33"/>
      <c r="L52" s="92"/>
      <c r="M52" s="131"/>
      <c r="N52" s="10"/>
      <c r="O52" s="33"/>
      <c r="P52" s="108"/>
      <c r="Q52" s="111"/>
      <c r="R52" s="113"/>
      <c r="S52" s="9"/>
      <c r="T52" s="38"/>
      <c r="U52" s="52"/>
      <c r="V52" s="52"/>
      <c r="W52" s="149"/>
      <c r="X52" s="55"/>
      <c r="Y52" s="55"/>
      <c r="Z52" s="55"/>
    </row>
    <row r="53" spans="1:26" x14ac:dyDescent="0.25">
      <c r="A53" s="38"/>
      <c r="B53" s="33"/>
      <c r="C53" s="33"/>
      <c r="D53" s="33"/>
      <c r="E53" s="33"/>
      <c r="F53" s="49"/>
      <c r="G53" s="49"/>
      <c r="H53" s="49"/>
      <c r="I53" s="33"/>
      <c r="J53" s="49"/>
      <c r="K53" s="33"/>
      <c r="L53" s="92"/>
      <c r="M53" s="131"/>
      <c r="N53" s="10"/>
      <c r="O53" s="33"/>
      <c r="P53" s="108"/>
      <c r="Q53" s="111"/>
      <c r="R53" s="113"/>
      <c r="S53" s="9"/>
      <c r="T53" s="38"/>
      <c r="U53" s="52"/>
      <c r="V53" s="52"/>
      <c r="W53" s="149"/>
      <c r="X53" s="55"/>
      <c r="Y53" s="55"/>
      <c r="Z53" s="55"/>
    </row>
    <row r="54" spans="1:26" x14ac:dyDescent="0.25">
      <c r="A54" s="38"/>
      <c r="B54" s="33"/>
      <c r="C54" s="33"/>
      <c r="D54" s="33"/>
      <c r="E54" s="33"/>
      <c r="F54" s="49"/>
      <c r="G54" s="49"/>
      <c r="H54" s="49"/>
      <c r="I54" s="33"/>
      <c r="J54" s="49"/>
      <c r="K54" s="33"/>
      <c r="L54" s="92"/>
      <c r="M54" s="131"/>
      <c r="N54" s="10"/>
      <c r="O54" s="33"/>
      <c r="P54" s="108"/>
      <c r="Q54" s="111"/>
      <c r="R54" s="113"/>
      <c r="S54" s="9"/>
      <c r="T54" s="38"/>
      <c r="U54" s="52"/>
      <c r="V54" s="52"/>
      <c r="W54" s="149"/>
      <c r="X54" s="55"/>
      <c r="Y54" s="55"/>
      <c r="Z54" s="55"/>
    </row>
    <row r="55" spans="1:26" x14ac:dyDescent="0.25">
      <c r="A55" s="38"/>
      <c r="B55" s="33"/>
      <c r="C55" s="33"/>
      <c r="D55" s="33"/>
      <c r="E55" s="33"/>
      <c r="F55" s="49"/>
      <c r="G55" s="49"/>
      <c r="H55" s="49"/>
      <c r="I55" s="33"/>
      <c r="J55" s="49"/>
      <c r="K55" s="33"/>
      <c r="L55" s="92"/>
      <c r="M55" s="131"/>
      <c r="N55" s="10"/>
      <c r="O55" s="33"/>
      <c r="P55" s="108"/>
      <c r="Q55" s="111"/>
      <c r="R55" s="113"/>
      <c r="S55" s="9"/>
      <c r="T55" s="38"/>
      <c r="U55" s="52"/>
      <c r="V55" s="52"/>
      <c r="W55" s="149"/>
      <c r="X55" s="55"/>
      <c r="Y55" s="55"/>
      <c r="Z55" s="55"/>
    </row>
    <row r="56" spans="1:26" x14ac:dyDescent="0.25">
      <c r="A56" s="38"/>
      <c r="B56" s="33"/>
      <c r="C56" s="33"/>
      <c r="D56" s="33"/>
      <c r="E56" s="33"/>
      <c r="F56" s="49"/>
      <c r="G56" s="49"/>
      <c r="H56" s="49"/>
      <c r="I56" s="33"/>
      <c r="J56" s="49"/>
      <c r="K56" s="33"/>
      <c r="L56" s="92"/>
      <c r="M56" s="131"/>
      <c r="N56" s="10"/>
      <c r="O56" s="33"/>
      <c r="P56" s="108"/>
      <c r="Q56" s="111"/>
      <c r="R56" s="113"/>
      <c r="S56" s="9"/>
      <c r="T56" s="38"/>
      <c r="U56" s="52"/>
      <c r="V56" s="52"/>
      <c r="W56" s="149"/>
      <c r="X56" s="55"/>
      <c r="Y56" s="55"/>
      <c r="Z56" s="55"/>
    </row>
    <row r="57" spans="1:26" x14ac:dyDescent="0.25">
      <c r="A57" s="38"/>
      <c r="B57" s="33"/>
      <c r="C57" s="33"/>
      <c r="D57" s="33"/>
      <c r="E57" s="33"/>
      <c r="F57" s="49"/>
      <c r="G57" s="49"/>
      <c r="H57" s="49"/>
      <c r="I57" s="33"/>
      <c r="J57" s="49"/>
      <c r="K57" s="33"/>
      <c r="L57" s="92"/>
      <c r="M57" s="131"/>
      <c r="N57" s="10"/>
      <c r="O57" s="33"/>
      <c r="P57" s="108"/>
      <c r="Q57" s="111"/>
      <c r="R57" s="113"/>
      <c r="S57" s="9"/>
      <c r="T57" s="38"/>
      <c r="U57" s="52"/>
      <c r="V57" s="52"/>
      <c r="W57" s="149"/>
      <c r="X57" s="55"/>
      <c r="Y57" s="55"/>
      <c r="Z57" s="55"/>
    </row>
    <row r="58" spans="1:26" x14ac:dyDescent="0.25">
      <c r="A58" s="38"/>
      <c r="B58" s="33"/>
      <c r="C58" s="33"/>
      <c r="D58" s="33"/>
      <c r="E58" s="33"/>
      <c r="F58" s="49"/>
      <c r="G58" s="49"/>
      <c r="H58" s="49"/>
      <c r="I58" s="33"/>
      <c r="J58" s="49"/>
      <c r="K58" s="33"/>
      <c r="L58" s="92"/>
      <c r="M58" s="131"/>
      <c r="N58" s="10"/>
      <c r="O58" s="33"/>
      <c r="P58" s="108"/>
      <c r="Q58" s="111"/>
      <c r="R58" s="113"/>
      <c r="S58" s="9"/>
      <c r="T58" s="38"/>
      <c r="U58" s="52"/>
      <c r="V58" s="52"/>
      <c r="W58" s="149"/>
      <c r="X58" s="55"/>
      <c r="Y58" s="55"/>
      <c r="Z58" s="55"/>
    </row>
    <row r="59" spans="1:26" x14ac:dyDescent="0.25">
      <c r="A59" s="38"/>
      <c r="B59" s="33"/>
      <c r="C59" s="33"/>
      <c r="D59" s="33"/>
      <c r="E59" s="33"/>
      <c r="F59" s="49"/>
      <c r="G59" s="49"/>
      <c r="H59" s="49"/>
      <c r="I59" s="33"/>
      <c r="J59" s="49"/>
      <c r="K59" s="33"/>
      <c r="L59" s="92"/>
      <c r="M59" s="131"/>
      <c r="N59" s="10"/>
      <c r="O59" s="33"/>
      <c r="P59" s="108"/>
      <c r="Q59" s="111"/>
      <c r="R59" s="113"/>
      <c r="S59" s="9"/>
      <c r="T59" s="38"/>
      <c r="U59" s="52"/>
      <c r="V59" s="52"/>
      <c r="W59" s="149"/>
      <c r="X59" s="55"/>
      <c r="Y59" s="55"/>
      <c r="Z59" s="55"/>
    </row>
    <row r="60" spans="1:26" x14ac:dyDescent="0.25">
      <c r="A60" s="38"/>
      <c r="B60" s="33"/>
      <c r="C60" s="33"/>
      <c r="D60" s="33"/>
      <c r="E60" s="33"/>
      <c r="F60" s="49"/>
      <c r="G60" s="49"/>
      <c r="H60" s="49"/>
      <c r="I60" s="33"/>
      <c r="J60" s="49"/>
      <c r="K60" s="33"/>
      <c r="L60" s="92"/>
      <c r="M60" s="131"/>
      <c r="N60" s="10"/>
      <c r="O60" s="33"/>
      <c r="P60" s="108"/>
      <c r="Q60" s="111"/>
      <c r="R60" s="113"/>
      <c r="S60" s="9"/>
      <c r="T60" s="38"/>
      <c r="U60" s="52"/>
      <c r="V60" s="52"/>
      <c r="W60" s="149"/>
      <c r="X60" s="55"/>
      <c r="Y60" s="55"/>
      <c r="Z60" s="55"/>
    </row>
    <row r="61" spans="1:26" x14ac:dyDescent="0.25">
      <c r="A61" s="38"/>
      <c r="B61" s="33"/>
      <c r="C61" s="33"/>
      <c r="D61" s="33"/>
      <c r="E61" s="33"/>
      <c r="F61" s="49"/>
      <c r="G61" s="49"/>
      <c r="H61" s="49"/>
      <c r="I61" s="33"/>
      <c r="J61" s="49"/>
      <c r="K61" s="33"/>
      <c r="L61" s="92"/>
      <c r="M61" s="131"/>
      <c r="N61" s="10"/>
      <c r="O61" s="33"/>
      <c r="P61" s="108"/>
      <c r="Q61" s="111"/>
      <c r="R61" s="113"/>
      <c r="S61" s="9"/>
      <c r="T61" s="38"/>
      <c r="U61" s="52"/>
      <c r="V61" s="52"/>
      <c r="W61" s="149"/>
      <c r="X61" s="55"/>
      <c r="Y61" s="55"/>
      <c r="Z61" s="55"/>
    </row>
    <row r="62" spans="1:26" x14ac:dyDescent="0.25">
      <c r="A62" s="38"/>
      <c r="B62" s="33"/>
      <c r="C62" s="33"/>
      <c r="D62" s="33"/>
      <c r="E62" s="33"/>
      <c r="F62" s="49"/>
      <c r="G62" s="49"/>
      <c r="H62" s="49"/>
      <c r="I62" s="33"/>
      <c r="J62" s="49"/>
      <c r="K62" s="33"/>
      <c r="L62" s="92"/>
      <c r="M62" s="131"/>
      <c r="N62" s="10"/>
      <c r="O62" s="33"/>
      <c r="P62" s="108"/>
      <c r="Q62" s="111"/>
      <c r="R62" s="113"/>
      <c r="S62" s="9"/>
      <c r="T62" s="38"/>
      <c r="U62" s="52"/>
      <c r="V62" s="52"/>
      <c r="W62" s="149"/>
      <c r="X62" s="55"/>
      <c r="Y62" s="55"/>
      <c r="Z62" s="55"/>
    </row>
    <row r="63" spans="1:26" x14ac:dyDescent="0.25">
      <c r="A63" s="38"/>
      <c r="B63" s="33"/>
      <c r="C63" s="33"/>
      <c r="D63" s="33"/>
      <c r="E63" s="33"/>
      <c r="F63" s="49"/>
      <c r="G63" s="49"/>
      <c r="H63" s="49"/>
      <c r="I63" s="33"/>
      <c r="J63" s="49"/>
      <c r="K63" s="33"/>
      <c r="L63" s="92"/>
      <c r="M63" s="131"/>
      <c r="N63" s="10"/>
      <c r="O63" s="33"/>
      <c r="P63" s="108"/>
      <c r="Q63" s="111"/>
      <c r="R63" s="113"/>
      <c r="S63" s="9"/>
      <c r="T63" s="38"/>
      <c r="U63" s="52"/>
      <c r="V63" s="52"/>
      <c r="W63" s="149"/>
      <c r="X63" s="55"/>
      <c r="Y63" s="55"/>
      <c r="Z63" s="55"/>
    </row>
    <row r="64" spans="1:26" x14ac:dyDescent="0.25">
      <c r="A64" s="38"/>
      <c r="B64" s="33"/>
      <c r="C64" s="33"/>
      <c r="D64" s="33"/>
      <c r="E64" s="33"/>
      <c r="F64" s="49"/>
      <c r="G64" s="49"/>
      <c r="H64" s="49"/>
      <c r="I64" s="33"/>
      <c r="J64" s="49"/>
      <c r="K64" s="33"/>
      <c r="L64" s="92"/>
      <c r="M64" s="131"/>
      <c r="N64" s="10"/>
      <c r="O64" s="33"/>
      <c r="P64" s="108"/>
      <c r="Q64" s="111"/>
      <c r="R64" s="113"/>
      <c r="S64" s="9"/>
      <c r="T64" s="38"/>
      <c r="U64" s="52"/>
      <c r="V64" s="52"/>
      <c r="W64" s="149"/>
      <c r="X64" s="55"/>
      <c r="Y64" s="55"/>
      <c r="Z64" s="55"/>
    </row>
    <row r="65" spans="1:26" x14ac:dyDescent="0.25">
      <c r="A65" s="38"/>
      <c r="B65" s="33"/>
      <c r="C65" s="33"/>
      <c r="D65" s="33"/>
      <c r="E65" s="33"/>
      <c r="F65" s="49"/>
      <c r="G65" s="49"/>
      <c r="H65" s="49"/>
      <c r="I65" s="33"/>
      <c r="J65" s="49"/>
      <c r="K65" s="33"/>
      <c r="L65" s="92"/>
      <c r="M65" s="131"/>
      <c r="N65" s="10"/>
      <c r="O65" s="33"/>
      <c r="P65" s="108"/>
      <c r="Q65" s="111"/>
      <c r="R65" s="113"/>
      <c r="S65" s="9"/>
      <c r="T65" s="38"/>
      <c r="U65" s="52"/>
      <c r="V65" s="52"/>
      <c r="W65" s="149"/>
      <c r="X65" s="55"/>
      <c r="Y65" s="55"/>
      <c r="Z65" s="55"/>
    </row>
    <row r="66" spans="1:26" x14ac:dyDescent="0.25">
      <c r="A66" s="38"/>
      <c r="B66" s="33"/>
      <c r="C66" s="33"/>
      <c r="D66" s="33"/>
      <c r="E66" s="33"/>
      <c r="F66" s="49"/>
      <c r="G66" s="49"/>
      <c r="H66" s="49"/>
      <c r="I66" s="33"/>
      <c r="J66" s="49"/>
      <c r="K66" s="33"/>
      <c r="L66" s="92"/>
      <c r="M66" s="131"/>
      <c r="N66" s="10"/>
      <c r="O66" s="33"/>
      <c r="P66" s="108"/>
      <c r="Q66" s="111"/>
      <c r="R66" s="113"/>
      <c r="S66" s="9"/>
      <c r="T66" s="38"/>
      <c r="U66" s="52"/>
      <c r="V66" s="52"/>
      <c r="W66" s="149"/>
      <c r="X66" s="55"/>
      <c r="Y66" s="55"/>
      <c r="Z66" s="55"/>
    </row>
    <row r="67" spans="1:26" x14ac:dyDescent="0.25">
      <c r="A67" s="38"/>
      <c r="B67" s="33"/>
      <c r="C67" s="33"/>
      <c r="D67" s="33"/>
      <c r="E67" s="33"/>
      <c r="F67" s="49"/>
      <c r="G67" s="49"/>
      <c r="H67" s="49"/>
      <c r="I67" s="33"/>
      <c r="J67" s="49"/>
      <c r="K67" s="33"/>
      <c r="L67" s="92"/>
      <c r="M67" s="131"/>
      <c r="N67" s="10"/>
      <c r="O67" s="33"/>
      <c r="P67" s="108"/>
      <c r="Q67" s="111"/>
      <c r="R67" s="113"/>
      <c r="S67" s="9"/>
      <c r="T67" s="38"/>
      <c r="U67" s="52"/>
      <c r="V67" s="52"/>
      <c r="W67" s="149"/>
      <c r="X67" s="55"/>
      <c r="Y67" s="55"/>
      <c r="Z67" s="55"/>
    </row>
    <row r="68" spans="1:26" x14ac:dyDescent="0.25">
      <c r="A68" s="38"/>
      <c r="B68" s="33"/>
      <c r="C68" s="33"/>
      <c r="D68" s="33"/>
      <c r="E68" s="33"/>
      <c r="F68" s="49"/>
      <c r="G68" s="49"/>
      <c r="H68" s="49"/>
      <c r="I68" s="33"/>
      <c r="J68" s="49"/>
      <c r="K68" s="33"/>
      <c r="L68" s="92"/>
      <c r="M68" s="131"/>
      <c r="N68" s="10"/>
      <c r="O68" s="33"/>
      <c r="P68" s="108"/>
      <c r="Q68" s="111"/>
      <c r="R68" s="113"/>
      <c r="S68" s="9"/>
      <c r="T68" s="38"/>
      <c r="U68" s="52"/>
      <c r="V68" s="52"/>
      <c r="W68" s="149"/>
      <c r="X68" s="55"/>
      <c r="Y68" s="55"/>
      <c r="Z68" s="55"/>
    </row>
    <row r="69" spans="1:26" x14ac:dyDescent="0.25">
      <c r="A69" s="38"/>
      <c r="B69" s="33"/>
      <c r="C69" s="33"/>
      <c r="D69" s="33"/>
      <c r="E69" s="33"/>
      <c r="F69" s="49"/>
      <c r="G69" s="49"/>
      <c r="H69" s="49"/>
      <c r="I69" s="33"/>
      <c r="J69" s="49"/>
      <c r="K69" s="33"/>
      <c r="L69" s="92"/>
      <c r="M69" s="131"/>
      <c r="N69" s="10"/>
      <c r="O69" s="33"/>
      <c r="P69" s="108"/>
      <c r="Q69" s="111"/>
      <c r="R69" s="113"/>
      <c r="S69" s="9"/>
      <c r="T69" s="38"/>
      <c r="U69" s="52"/>
      <c r="V69" s="52"/>
      <c r="W69" s="149"/>
      <c r="X69" s="55"/>
      <c r="Y69" s="55"/>
      <c r="Z69" s="55"/>
    </row>
    <row r="70" spans="1:26" x14ac:dyDescent="0.25">
      <c r="A70" s="38"/>
      <c r="B70" s="33"/>
      <c r="C70" s="33"/>
      <c r="D70" s="33"/>
      <c r="E70" s="33"/>
      <c r="F70" s="49"/>
      <c r="G70" s="49"/>
      <c r="H70" s="49"/>
      <c r="I70" s="33"/>
      <c r="J70" s="49"/>
      <c r="K70" s="33"/>
      <c r="L70" s="92"/>
      <c r="M70" s="131"/>
      <c r="N70" s="10"/>
      <c r="O70" s="33"/>
      <c r="P70" s="108"/>
      <c r="Q70" s="111"/>
      <c r="R70" s="113"/>
      <c r="S70" s="9"/>
      <c r="T70" s="38"/>
      <c r="U70" s="52"/>
      <c r="V70" s="52"/>
      <c r="W70" s="149"/>
      <c r="X70" s="55"/>
      <c r="Y70" s="55"/>
      <c r="Z70" s="55"/>
    </row>
    <row r="71" spans="1:26" x14ac:dyDescent="0.25">
      <c r="A71" s="38"/>
      <c r="B71" s="33"/>
      <c r="C71" s="33"/>
      <c r="D71" s="33"/>
      <c r="E71" s="33"/>
      <c r="F71" s="49"/>
      <c r="G71" s="49"/>
      <c r="H71" s="49"/>
      <c r="I71" s="33"/>
      <c r="J71" s="49"/>
      <c r="K71" s="33"/>
      <c r="L71" s="92"/>
      <c r="M71" s="131"/>
      <c r="N71" s="10"/>
      <c r="O71" s="33"/>
      <c r="P71" s="108"/>
      <c r="Q71" s="111"/>
      <c r="R71" s="113"/>
      <c r="S71" s="9"/>
      <c r="T71" s="38"/>
      <c r="U71" s="52"/>
      <c r="V71" s="52"/>
      <c r="W71" s="149"/>
      <c r="X71" s="55"/>
      <c r="Y71" s="55"/>
      <c r="Z71" s="55"/>
    </row>
    <row r="72" spans="1:26" x14ac:dyDescent="0.25">
      <c r="A72" s="38"/>
      <c r="B72" s="33"/>
      <c r="C72" s="33"/>
      <c r="D72" s="33"/>
      <c r="E72" s="33"/>
      <c r="F72" s="49"/>
      <c r="G72" s="49"/>
      <c r="H72" s="49"/>
      <c r="I72" s="33"/>
      <c r="J72" s="49"/>
      <c r="K72" s="33"/>
      <c r="L72" s="92"/>
      <c r="M72" s="131"/>
      <c r="N72" s="10"/>
      <c r="O72" s="33"/>
      <c r="P72" s="108"/>
      <c r="Q72" s="111"/>
      <c r="R72" s="113"/>
      <c r="S72" s="9"/>
      <c r="T72" s="38"/>
      <c r="U72" s="52"/>
      <c r="V72" s="52"/>
      <c r="W72" s="149"/>
      <c r="X72" s="55"/>
      <c r="Y72" s="55"/>
      <c r="Z72" s="55"/>
    </row>
    <row r="73" spans="1:26" x14ac:dyDescent="0.25">
      <c r="A73" s="38"/>
      <c r="B73" s="33"/>
      <c r="C73" s="33"/>
      <c r="D73" s="33"/>
      <c r="E73" s="33"/>
      <c r="F73" s="49"/>
      <c r="G73" s="49"/>
      <c r="H73" s="49"/>
      <c r="I73" s="33"/>
      <c r="J73" s="49"/>
      <c r="K73" s="33"/>
      <c r="L73" s="92"/>
      <c r="M73" s="131"/>
      <c r="N73" s="10"/>
      <c r="O73" s="33"/>
      <c r="P73" s="108"/>
      <c r="Q73" s="111"/>
      <c r="R73" s="113"/>
      <c r="S73" s="9"/>
      <c r="T73" s="38"/>
      <c r="U73" s="52"/>
      <c r="V73" s="52"/>
      <c r="W73" s="149"/>
      <c r="X73" s="55"/>
      <c r="Y73" s="55"/>
      <c r="Z73" s="55"/>
    </row>
    <row r="74" spans="1:26" x14ac:dyDescent="0.25">
      <c r="B74" s="23"/>
      <c r="C74" s="23"/>
      <c r="D74" s="23"/>
      <c r="E74" s="23"/>
      <c r="I74" s="23"/>
      <c r="K74" s="23"/>
    </row>
  </sheetData>
  <autoFilter ref="A6:Z61"/>
  <sortState ref="A7:V83">
    <sortCondition ref="U7:U83"/>
    <sortCondition ref="E7:E83"/>
    <sortCondition ref="J7:J83"/>
    <sortCondition ref="C7:C83"/>
    <sortCondition ref="F7:F83"/>
  </sortState>
  <mergeCells count="1">
    <mergeCell ref="A5:M5"/>
  </mergeCells>
  <conditionalFormatting sqref="M6:N6 P6 M7:M1048576">
    <cfRule type="cellIs" dxfId="2" priority="14" operator="equal">
      <formula>"Y"</formula>
    </cfRule>
  </conditionalFormatting>
  <conditionalFormatting sqref="A7:N73">
    <cfRule type="expression" dxfId="1" priority="7">
      <formula>$M7="Y"</formula>
    </cfRule>
  </conditionalFormatting>
  <conditionalFormatting sqref="M2:M3">
    <cfRule type="cellIs" dxfId="0" priority="5" operator="equal">
      <formula>"Y"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13</xdr:col>
                    <xdr:colOff>352425</xdr:colOff>
                    <xdr:row>1</xdr:row>
                    <xdr:rowOff>28575</xdr:rowOff>
                  </from>
                  <to>
                    <xdr:col>13</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Values'!$C$2:$C$13</xm:f>
          </x14:formula1>
          <xm:sqref>Z7:Z53</xm:sqref>
        </x14:dataValidation>
        <x14:dataValidation type="list" allowBlank="1" showInputMessage="1" showErrorMessage="1">
          <x14:formula1>
            <xm:f>'Redmine List Values'!$A$2:$A$7</xm:f>
          </x14:formula1>
          <xm:sqref>Y7:Y53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76"/>
  <sheetViews>
    <sheetView workbookViewId="0">
      <selection activeCell="I3" sqref="I3"/>
    </sheetView>
  </sheetViews>
  <sheetFormatPr defaultRowHeight="15" x14ac:dyDescent="0.25"/>
  <cols>
    <col min="1" max="1" width="9.140625" style="114"/>
    <col min="2" max="2" width="9.140625" style="2" customWidth="1"/>
    <col min="3" max="3" width="8" style="130" bestFit="1" customWidth="1"/>
    <col min="4" max="4" width="9.85546875" style="121" bestFit="1" customWidth="1"/>
    <col min="5" max="5" width="45.140625" bestFit="1" customWidth="1"/>
    <col min="6" max="6" width="18.140625" customWidth="1"/>
    <col min="7" max="7" width="17" customWidth="1"/>
    <col min="8" max="8" width="14.140625" customWidth="1"/>
    <col min="9" max="10" width="9.140625" customWidth="1"/>
  </cols>
  <sheetData>
    <row r="1" spans="1:11" s="23" customFormat="1" x14ac:dyDescent="0.25">
      <c r="A1" s="114"/>
      <c r="B1" s="165" t="str">
        <f>"Trips that did not appear in PTC Data "&amp;TEXT(Variables!$A$2,"YYYY-mm-dd")</f>
        <v>Trips that did not appear in PTC Data 2016-08-30</v>
      </c>
      <c r="C1" s="165"/>
      <c r="D1" s="165"/>
      <c r="E1" s="165"/>
      <c r="F1" s="165"/>
    </row>
    <row r="2" spans="1:11" s="26" customFormat="1" ht="45" x14ac:dyDescent="0.25">
      <c r="A2" s="163" t="s">
        <v>298</v>
      </c>
      <c r="B2" s="140" t="s">
        <v>64</v>
      </c>
      <c r="C2" s="127" t="s">
        <v>65</v>
      </c>
      <c r="D2" s="128" t="s">
        <v>66</v>
      </c>
      <c r="E2" s="26" t="s">
        <v>62</v>
      </c>
      <c r="F2" s="26" t="s">
        <v>63</v>
      </c>
      <c r="G2" s="26" t="s">
        <v>67</v>
      </c>
      <c r="H2" s="31" t="s">
        <v>68</v>
      </c>
      <c r="I2" s="31" t="s">
        <v>121</v>
      </c>
    </row>
    <row r="3" spans="1:11" x14ac:dyDescent="0.25">
      <c r="A3" s="114">
        <v>846</v>
      </c>
      <c r="B3" s="2" t="str">
        <f>A3&amp;"-"&amp;DAY(Variables!$A$2)</f>
        <v>846-30</v>
      </c>
      <c r="C3" s="129"/>
      <c r="D3" s="129"/>
      <c r="E3" s="33"/>
      <c r="F3" s="24" t="e">
        <f>VLOOKUP(B3,'Trips&amp;Operators'!$C$2:$E$10000,3,FALSE)</f>
        <v>#N/A</v>
      </c>
      <c r="G3" s="24" t="e">
        <f>VLOOKUP(B3,'Trips&amp;Operators'!$C$1:$F$10000,4,FALSE)</f>
        <v>#N/A</v>
      </c>
      <c r="H3" s="32" t="e">
        <f>VLOOKUP(B3,'Trips&amp;Operators'!$C$1:$H$10000,5,FALSE)</f>
        <v>#N/A</v>
      </c>
      <c r="I3" s="52" t="str">
        <f t="shared" ref="I3:I9"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22846-30%22)),sort:!(Time,asc))</v>
      </c>
      <c r="J3" s="23"/>
      <c r="K3" s="23"/>
    </row>
    <row r="4" spans="1:11" x14ac:dyDescent="0.25">
      <c r="B4" s="2" t="str">
        <f>A4&amp;"-"&amp;DAY(Variables!$A$2)</f>
        <v>-30</v>
      </c>
      <c r="C4" s="129"/>
      <c r="D4" s="129"/>
      <c r="E4" s="33"/>
      <c r="F4" s="24" t="e">
        <f>VLOOKUP(B4,'Trips&amp;Operators'!$C$2:$E$10000,3,FALSE)</f>
        <v>#N/A</v>
      </c>
      <c r="G4" s="24" t="e">
        <f>VLOOKUP(B4,'Trips&amp;Operators'!$C$1:$F$10000,4,FALSE)</f>
        <v>#N/A</v>
      </c>
      <c r="H4" s="32" t="e">
        <f>VLOOKUP(B4,'Trips&amp;Operators'!$C$1:$H$10000,5,FALSE)</f>
        <v>#N/A</v>
      </c>
      <c r="I4"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4" s="23"/>
      <c r="K4" s="23"/>
    </row>
    <row r="5" spans="1:11" x14ac:dyDescent="0.25">
      <c r="B5" s="2" t="str">
        <f>A5&amp;"-"&amp;DAY(Variables!$A$2)</f>
        <v>-30</v>
      </c>
      <c r="C5" s="129"/>
      <c r="D5" s="129"/>
      <c r="E5" s="33"/>
      <c r="F5" s="24" t="e">
        <f>VLOOKUP(B5,'Trips&amp;Operators'!$C$2:$E$10000,3,FALSE)</f>
        <v>#N/A</v>
      </c>
      <c r="G5" s="24" t="e">
        <f>VLOOKUP(B5,'Trips&amp;Operators'!$C$1:$F$10000,4,FALSE)</f>
        <v>#N/A</v>
      </c>
      <c r="H5" s="32" t="e">
        <f>VLOOKUP(B5,'Trips&amp;Operators'!$C$1:$H$10000,5,FALSE)</f>
        <v>#N/A</v>
      </c>
      <c r="I5"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5" s="23"/>
      <c r="K5" s="23"/>
    </row>
    <row r="6" spans="1:11" x14ac:dyDescent="0.25">
      <c r="B6" s="2" t="str">
        <f>A6&amp;"-"&amp;DAY(Variables!$A$2)</f>
        <v>-30</v>
      </c>
      <c r="C6" s="129"/>
      <c r="D6" s="129"/>
      <c r="E6" s="33"/>
      <c r="F6" s="24" t="e">
        <f>VLOOKUP(B6,'Trips&amp;Operators'!$C$2:$E$10000,3,FALSE)</f>
        <v>#N/A</v>
      </c>
      <c r="G6" s="24" t="e">
        <f>VLOOKUP(B6,'Trips&amp;Operators'!$C$1:$F$10000,4,FALSE)</f>
        <v>#N/A</v>
      </c>
      <c r="H6" s="32" t="e">
        <f>VLOOKUP(B6,'Trips&amp;Operators'!$C$1:$H$10000,5,FALSE)</f>
        <v>#N/A</v>
      </c>
      <c r="I6"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6" s="23"/>
      <c r="K6" s="23"/>
    </row>
    <row r="7" spans="1:11" x14ac:dyDescent="0.25">
      <c r="B7" s="2" t="str">
        <f>A7&amp;"-"&amp;DAY(Variables!$A$2)</f>
        <v>-30</v>
      </c>
      <c r="C7" s="129"/>
      <c r="D7" s="129"/>
      <c r="E7" s="33"/>
      <c r="F7" s="24" t="e">
        <f>VLOOKUP(B7,'Trips&amp;Operators'!$C$2:$E$10000,3,FALSE)</f>
        <v>#N/A</v>
      </c>
      <c r="G7" s="24" t="e">
        <f>VLOOKUP(B7,'Trips&amp;Operators'!$C$1:$F$10000,4,FALSE)</f>
        <v>#N/A</v>
      </c>
      <c r="H7" s="32" t="e">
        <f>VLOOKUP(B7,'Trips&amp;Operators'!$C$1:$H$10000,5,FALSE)</f>
        <v>#N/A</v>
      </c>
      <c r="I7"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7" s="23"/>
      <c r="K7" s="23"/>
    </row>
    <row r="8" spans="1:11" x14ac:dyDescent="0.25">
      <c r="B8" s="2" t="str">
        <f>A8&amp;"-"&amp;DAY(Variables!$A$2)</f>
        <v>-30</v>
      </c>
      <c r="C8" s="129"/>
      <c r="D8" s="129"/>
      <c r="E8" s="33"/>
      <c r="F8" s="24" t="e">
        <f>VLOOKUP(B8,'Trips&amp;Operators'!$C$2:$E$10000,3,FALSE)</f>
        <v>#N/A</v>
      </c>
      <c r="G8" s="24" t="e">
        <f>VLOOKUP(B8,'Trips&amp;Operators'!$C$1:$F$10000,4,FALSE)</f>
        <v>#N/A</v>
      </c>
      <c r="H8" s="32" t="e">
        <f>VLOOKUP(B8,'Trips&amp;Operators'!$C$1:$H$10000,5,FALSE)</f>
        <v>#N/A</v>
      </c>
      <c r="I8"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8" s="23"/>
      <c r="K8" s="23"/>
    </row>
    <row r="9" spans="1:11" x14ac:dyDescent="0.25">
      <c r="B9" s="2" t="str">
        <f>A9&amp;"-"&amp;DAY(Variables!$A$2)</f>
        <v>-30</v>
      </c>
      <c r="C9" s="129"/>
      <c r="D9" s="129"/>
      <c r="E9" s="33"/>
      <c r="F9" s="24" t="e">
        <f>VLOOKUP(B9,'Trips&amp;Operators'!$C$2:$E$10000,3,FALSE)</f>
        <v>#N/A</v>
      </c>
      <c r="G9" s="24" t="e">
        <f>VLOOKUP(B9,'Trips&amp;Operators'!$C$1:$F$10000,4,FALSE)</f>
        <v>#N/A</v>
      </c>
      <c r="H9" s="32" t="e">
        <f>VLOOKUP(B9,'Trips&amp;Operators'!$C$1:$H$10000,5,FALSE)</f>
        <v>#N/A</v>
      </c>
      <c r="I9" s="52"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-30%22)),sort:!(Time,asc))</v>
      </c>
      <c r="J9" s="23"/>
      <c r="K9" s="23"/>
    </row>
    <row r="10" spans="1:11" x14ac:dyDescent="0.25">
      <c r="C10" s="114"/>
      <c r="D10" s="114"/>
      <c r="I10" s="23"/>
      <c r="J10" s="23"/>
      <c r="K10" s="23"/>
    </row>
    <row r="11" spans="1:11" x14ac:dyDescent="0.25">
      <c r="C11" s="114"/>
      <c r="D11" s="114"/>
      <c r="I11" s="23"/>
      <c r="J11" s="23"/>
      <c r="K11" s="23"/>
    </row>
    <row r="12" spans="1:11" x14ac:dyDescent="0.25">
      <c r="C12" s="114"/>
      <c r="D12" s="114"/>
      <c r="I12" s="23"/>
      <c r="J12" s="23"/>
      <c r="K12" s="23"/>
    </row>
    <row r="13" spans="1:11" x14ac:dyDescent="0.25">
      <c r="C13" s="114"/>
      <c r="D13" s="114"/>
      <c r="I13" s="23"/>
      <c r="J13" s="23"/>
      <c r="K13" s="23"/>
    </row>
    <row r="14" spans="1:11" x14ac:dyDescent="0.25">
      <c r="C14" s="114"/>
      <c r="D14" s="114"/>
      <c r="I14" s="23"/>
      <c r="J14" s="23"/>
      <c r="K14" s="23"/>
    </row>
    <row r="15" spans="1:11" x14ac:dyDescent="0.25">
      <c r="C15" s="114"/>
      <c r="D15" s="114"/>
      <c r="I15" s="23"/>
      <c r="J15" s="23"/>
      <c r="K15" s="23"/>
    </row>
    <row r="16" spans="1:11" x14ac:dyDescent="0.25">
      <c r="C16" s="114"/>
      <c r="D16" s="114"/>
      <c r="I16" s="23"/>
      <c r="J16" s="23"/>
      <c r="K16" s="23"/>
    </row>
    <row r="17" spans="3:11" x14ac:dyDescent="0.25">
      <c r="C17" s="114"/>
      <c r="D17" s="114"/>
      <c r="I17" s="23"/>
      <c r="J17" s="23"/>
      <c r="K17" s="23"/>
    </row>
    <row r="18" spans="3:11" x14ac:dyDescent="0.25">
      <c r="C18" s="114"/>
      <c r="D18" s="114"/>
      <c r="I18" s="23"/>
      <c r="J18" s="23"/>
      <c r="K18" s="23"/>
    </row>
    <row r="19" spans="3:11" x14ac:dyDescent="0.25">
      <c r="C19" s="114"/>
      <c r="D19" s="114"/>
      <c r="I19" s="23"/>
      <c r="J19" s="23"/>
      <c r="K19" s="23"/>
    </row>
    <row r="20" spans="3:11" x14ac:dyDescent="0.25">
      <c r="C20" s="114"/>
      <c r="D20" s="114"/>
      <c r="I20" s="23"/>
      <c r="J20" s="23"/>
      <c r="K20" s="23"/>
    </row>
    <row r="21" spans="3:11" x14ac:dyDescent="0.25">
      <c r="C21" s="114"/>
      <c r="D21" s="114"/>
      <c r="I21" s="23"/>
      <c r="J21" s="23"/>
      <c r="K21" s="23"/>
    </row>
    <row r="22" spans="3:11" x14ac:dyDescent="0.25">
      <c r="C22" s="114"/>
      <c r="D22" s="114"/>
      <c r="I22" s="23"/>
      <c r="J22" s="23"/>
      <c r="K22" s="23"/>
    </row>
    <row r="23" spans="3:11" x14ac:dyDescent="0.25">
      <c r="C23" s="114"/>
      <c r="D23" s="114"/>
      <c r="I23" s="23"/>
      <c r="J23" s="23"/>
      <c r="K23" s="23"/>
    </row>
    <row r="24" spans="3:11" x14ac:dyDescent="0.25">
      <c r="C24" s="114"/>
      <c r="D24" s="114"/>
      <c r="I24" s="23"/>
      <c r="J24" s="23"/>
      <c r="K24" s="23"/>
    </row>
    <row r="25" spans="3:11" x14ac:dyDescent="0.25">
      <c r="C25" s="114"/>
      <c r="D25" s="114"/>
      <c r="I25" s="23"/>
      <c r="J25" s="23"/>
      <c r="K25" s="23"/>
    </row>
    <row r="26" spans="3:11" x14ac:dyDescent="0.25">
      <c r="C26" s="114"/>
      <c r="D26" s="114"/>
      <c r="I26" s="23"/>
      <c r="J26" s="23"/>
      <c r="K26" s="23"/>
    </row>
    <row r="27" spans="3:11" x14ac:dyDescent="0.25">
      <c r="C27" s="114"/>
      <c r="D27" s="114"/>
      <c r="I27" s="23"/>
      <c r="J27" s="23"/>
      <c r="K27" s="23"/>
    </row>
    <row r="28" spans="3:11" x14ac:dyDescent="0.25">
      <c r="C28" s="114"/>
      <c r="D28" s="114"/>
      <c r="I28" s="23"/>
      <c r="J28" s="23"/>
      <c r="K28" s="23"/>
    </row>
    <row r="29" spans="3:11" x14ac:dyDescent="0.25">
      <c r="C29" s="114"/>
      <c r="D29" s="114"/>
      <c r="I29" s="23"/>
      <c r="J29" s="23"/>
      <c r="K29" s="23"/>
    </row>
    <row r="30" spans="3:11" x14ac:dyDescent="0.25">
      <c r="C30" s="114"/>
      <c r="D30" s="114"/>
      <c r="I30" s="23"/>
      <c r="J30" s="23"/>
      <c r="K30" s="23"/>
    </row>
    <row r="31" spans="3:11" x14ac:dyDescent="0.25">
      <c r="C31" s="114"/>
      <c r="D31" s="114"/>
      <c r="I31" s="23"/>
      <c r="J31" s="23"/>
      <c r="K31" s="23"/>
    </row>
    <row r="32" spans="3:11" x14ac:dyDescent="0.25">
      <c r="C32" s="114"/>
      <c r="D32" s="114"/>
      <c r="I32" s="23"/>
      <c r="J32" s="23"/>
      <c r="K32" s="23"/>
    </row>
    <row r="33" spans="3:11" x14ac:dyDescent="0.25">
      <c r="C33" s="114"/>
      <c r="D33" s="114"/>
      <c r="I33" s="23"/>
      <c r="J33" s="23"/>
      <c r="K33" s="23"/>
    </row>
    <row r="34" spans="3:11" x14ac:dyDescent="0.25">
      <c r="C34" s="114"/>
      <c r="D34" s="114"/>
      <c r="I34" s="23"/>
      <c r="J34" s="23"/>
      <c r="K34" s="23"/>
    </row>
    <row r="35" spans="3:11" x14ac:dyDescent="0.25">
      <c r="C35" s="114"/>
      <c r="D35" s="114"/>
      <c r="I35" s="23"/>
      <c r="J35" s="23"/>
      <c r="K35" s="23"/>
    </row>
    <row r="36" spans="3:11" x14ac:dyDescent="0.25">
      <c r="C36" s="114"/>
      <c r="D36" s="114"/>
      <c r="I36" s="23"/>
      <c r="J36" s="23"/>
      <c r="K36" s="23"/>
    </row>
    <row r="37" spans="3:11" x14ac:dyDescent="0.25">
      <c r="C37" s="114"/>
      <c r="D37" s="114"/>
      <c r="I37" s="23"/>
      <c r="J37" s="23"/>
      <c r="K37" s="23"/>
    </row>
    <row r="38" spans="3:11" x14ac:dyDescent="0.25">
      <c r="C38" s="114"/>
      <c r="D38" s="114"/>
      <c r="I38" s="23"/>
      <c r="J38" s="23"/>
      <c r="K38" s="23"/>
    </row>
    <row r="39" spans="3:11" x14ac:dyDescent="0.25">
      <c r="C39" s="114"/>
      <c r="D39" s="114"/>
      <c r="I39" s="23"/>
      <c r="J39" s="23"/>
      <c r="K39" s="23"/>
    </row>
    <row r="40" spans="3:11" x14ac:dyDescent="0.25">
      <c r="C40" s="114"/>
      <c r="D40" s="114"/>
      <c r="I40" s="23"/>
      <c r="J40" s="23"/>
      <c r="K40" s="23"/>
    </row>
    <row r="41" spans="3:11" x14ac:dyDescent="0.25">
      <c r="C41" s="114"/>
      <c r="D41" s="114"/>
      <c r="I41" s="23"/>
      <c r="J41" s="23"/>
      <c r="K41" s="23"/>
    </row>
    <row r="42" spans="3:11" x14ac:dyDescent="0.25">
      <c r="C42" s="114"/>
      <c r="D42" s="114"/>
      <c r="I42" s="23"/>
      <c r="J42" s="23"/>
      <c r="K42" s="23"/>
    </row>
    <row r="43" spans="3:11" x14ac:dyDescent="0.25">
      <c r="C43" s="114"/>
      <c r="D43" s="114"/>
      <c r="I43" s="23"/>
      <c r="J43" s="23"/>
      <c r="K43" s="23"/>
    </row>
    <row r="44" spans="3:11" x14ac:dyDescent="0.25">
      <c r="C44" s="114"/>
      <c r="D44" s="114"/>
      <c r="I44" s="23"/>
      <c r="J44" s="23"/>
      <c r="K44" s="23"/>
    </row>
    <row r="45" spans="3:11" x14ac:dyDescent="0.25">
      <c r="C45" s="114"/>
      <c r="D45" s="114"/>
      <c r="I45" s="23"/>
      <c r="J45" s="23"/>
      <c r="K45" s="23"/>
    </row>
    <row r="46" spans="3:11" x14ac:dyDescent="0.25">
      <c r="C46" s="114"/>
      <c r="D46" s="114"/>
      <c r="I46" s="23"/>
      <c r="J46" s="23"/>
      <c r="K46" s="23"/>
    </row>
    <row r="47" spans="3:11" x14ac:dyDescent="0.25">
      <c r="C47" s="114"/>
      <c r="D47" s="114"/>
      <c r="I47" s="23"/>
      <c r="J47" s="23"/>
      <c r="K47" s="23"/>
    </row>
    <row r="48" spans="3:11" x14ac:dyDescent="0.25">
      <c r="C48" s="114"/>
      <c r="D48" s="114"/>
      <c r="I48" s="23"/>
      <c r="J48" s="23"/>
      <c r="K48" s="23"/>
    </row>
    <row r="49" spans="3:11" x14ac:dyDescent="0.25">
      <c r="C49" s="114"/>
      <c r="D49" s="114"/>
      <c r="I49" s="23"/>
      <c r="J49" s="23"/>
      <c r="K49" s="23"/>
    </row>
    <row r="50" spans="3:11" x14ac:dyDescent="0.25">
      <c r="C50" s="114"/>
      <c r="D50" s="114"/>
      <c r="I50" s="23"/>
      <c r="J50" s="23"/>
      <c r="K50" s="23"/>
    </row>
    <row r="51" spans="3:11" x14ac:dyDescent="0.25">
      <c r="C51" s="114"/>
      <c r="D51" s="114"/>
      <c r="I51" s="23"/>
      <c r="J51" s="23"/>
      <c r="K51" s="23"/>
    </row>
    <row r="52" spans="3:11" x14ac:dyDescent="0.25">
      <c r="C52" s="114"/>
      <c r="D52" s="114"/>
      <c r="I52" s="23"/>
      <c r="J52" s="23"/>
      <c r="K52" s="23"/>
    </row>
    <row r="53" spans="3:11" x14ac:dyDescent="0.25">
      <c r="C53" s="114"/>
      <c r="D53" s="114"/>
      <c r="I53" s="23"/>
      <c r="J53" s="23"/>
      <c r="K53" s="23"/>
    </row>
    <row r="54" spans="3:11" x14ac:dyDescent="0.25">
      <c r="C54" s="114"/>
      <c r="D54" s="114"/>
      <c r="I54" s="23"/>
      <c r="J54" s="23"/>
      <c r="K54" s="23"/>
    </row>
    <row r="55" spans="3:11" x14ac:dyDescent="0.25">
      <c r="C55" s="114"/>
      <c r="D55" s="114"/>
      <c r="I55" s="23"/>
      <c r="J55" s="23"/>
      <c r="K55" s="23"/>
    </row>
    <row r="56" spans="3:11" x14ac:dyDescent="0.25">
      <c r="C56" s="114"/>
      <c r="D56" s="114"/>
      <c r="I56" s="23"/>
      <c r="J56" s="23"/>
      <c r="K56" s="23"/>
    </row>
    <row r="57" spans="3:11" x14ac:dyDescent="0.25">
      <c r="C57" s="114"/>
      <c r="D57" s="114"/>
      <c r="I57" s="23"/>
      <c r="J57" s="23"/>
      <c r="K57" s="23"/>
    </row>
    <row r="58" spans="3:11" x14ac:dyDescent="0.25">
      <c r="C58" s="114"/>
      <c r="D58" s="114"/>
      <c r="I58" s="23"/>
      <c r="J58" s="23"/>
      <c r="K58" s="23"/>
    </row>
    <row r="59" spans="3:11" x14ac:dyDescent="0.25">
      <c r="C59" s="114"/>
      <c r="D59" s="114"/>
      <c r="I59" s="23"/>
      <c r="J59" s="23"/>
      <c r="K59" s="23"/>
    </row>
    <row r="60" spans="3:11" x14ac:dyDescent="0.25">
      <c r="C60" s="114"/>
      <c r="D60" s="114"/>
      <c r="I60" s="23"/>
      <c r="J60" s="23"/>
      <c r="K60" s="23"/>
    </row>
    <row r="61" spans="3:11" x14ac:dyDescent="0.25">
      <c r="C61" s="114"/>
      <c r="D61" s="114"/>
      <c r="I61" s="23"/>
      <c r="J61" s="23"/>
      <c r="K61" s="23"/>
    </row>
    <row r="62" spans="3:11" x14ac:dyDescent="0.25">
      <c r="C62" s="114"/>
      <c r="D62" s="114"/>
      <c r="I62" s="23"/>
      <c r="J62" s="23"/>
      <c r="K62" s="23"/>
    </row>
    <row r="63" spans="3:11" x14ac:dyDescent="0.25">
      <c r="C63" s="114"/>
      <c r="D63" s="114"/>
      <c r="I63" s="23"/>
      <c r="J63" s="23"/>
      <c r="K63" s="23"/>
    </row>
    <row r="64" spans="3:11" x14ac:dyDescent="0.25">
      <c r="C64" s="114"/>
      <c r="D64" s="114"/>
      <c r="I64" s="23"/>
      <c r="J64" s="23"/>
      <c r="K64" s="23"/>
    </row>
    <row r="65" spans="3:11" x14ac:dyDescent="0.25">
      <c r="C65" s="114"/>
      <c r="D65" s="114"/>
      <c r="I65" s="23"/>
      <c r="J65" s="23"/>
      <c r="K65" s="23"/>
    </row>
    <row r="66" spans="3:11" x14ac:dyDescent="0.25">
      <c r="C66" s="114"/>
      <c r="D66" s="114"/>
      <c r="I66" s="23"/>
      <c r="J66" s="23"/>
      <c r="K66" s="23"/>
    </row>
    <row r="67" spans="3:11" x14ac:dyDescent="0.25">
      <c r="C67" s="114"/>
      <c r="D67" s="114"/>
      <c r="I67" s="23"/>
      <c r="J67" s="23"/>
      <c r="K67" s="23"/>
    </row>
    <row r="68" spans="3:11" x14ac:dyDescent="0.25">
      <c r="C68" s="114"/>
      <c r="D68" s="114"/>
      <c r="I68" s="23"/>
      <c r="J68" s="23"/>
      <c r="K68" s="23"/>
    </row>
    <row r="69" spans="3:11" x14ac:dyDescent="0.25">
      <c r="C69" s="114"/>
      <c r="D69" s="114"/>
      <c r="I69" s="23"/>
      <c r="J69" s="23"/>
      <c r="K69" s="23"/>
    </row>
    <row r="70" spans="3:11" x14ac:dyDescent="0.25">
      <c r="C70" s="114"/>
      <c r="D70" s="114"/>
      <c r="I70" s="23"/>
      <c r="J70" s="23"/>
      <c r="K70" s="23"/>
    </row>
    <row r="71" spans="3:11" x14ac:dyDescent="0.25">
      <c r="C71" s="114"/>
      <c r="D71" s="114"/>
      <c r="I71" s="23"/>
      <c r="J71" s="23"/>
      <c r="K71" s="23"/>
    </row>
    <row r="72" spans="3:11" x14ac:dyDescent="0.25">
      <c r="C72" s="114"/>
      <c r="D72" s="114"/>
      <c r="I72" s="23"/>
      <c r="J72" s="23"/>
      <c r="K72" s="23"/>
    </row>
    <row r="73" spans="3:11" x14ac:dyDescent="0.25">
      <c r="C73" s="114"/>
      <c r="D73" s="114"/>
      <c r="I73" s="23"/>
      <c r="J73" s="23"/>
      <c r="K73" s="23"/>
    </row>
    <row r="74" spans="3:11" x14ac:dyDescent="0.25">
      <c r="C74" s="114"/>
      <c r="D74" s="114"/>
      <c r="I74" s="23"/>
      <c r="J74" s="23"/>
      <c r="K74" s="23"/>
    </row>
    <row r="75" spans="3:11" x14ac:dyDescent="0.25">
      <c r="C75" s="114"/>
      <c r="D75" s="114"/>
      <c r="I75" s="23"/>
      <c r="J75" s="23"/>
      <c r="K75" s="23"/>
    </row>
    <row r="76" spans="3:11" x14ac:dyDescent="0.25">
      <c r="I76" s="23"/>
      <c r="J76" s="23"/>
      <c r="K76" s="23"/>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topLeftCell="A97" workbookViewId="0">
      <selection activeCell="A116" sqref="A116"/>
    </sheetView>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3" bestFit="1" customWidth="1"/>
    <col min="7" max="7" width="18.28515625" style="8" bestFit="1" customWidth="1"/>
  </cols>
  <sheetData>
    <row r="1" spans="1:7" s="23" customFormat="1" x14ac:dyDescent="0.25">
      <c r="A1" s="8">
        <v>42612.038136574076</v>
      </c>
      <c r="B1" s="23" t="s">
        <v>92</v>
      </c>
      <c r="C1" s="23" t="s">
        <v>308</v>
      </c>
      <c r="D1" s="23">
        <v>1800000</v>
      </c>
      <c r="E1" s="23" t="s">
        <v>170</v>
      </c>
      <c r="F1" s="23" t="str">
        <f>B1</f>
        <v>rtdc.l.rtdc.4030:itc</v>
      </c>
      <c r="G1" s="8">
        <f>A1</f>
        <v>42612.038136574076</v>
      </c>
    </row>
    <row r="2" spans="1:7" x14ac:dyDescent="0.25">
      <c r="A2" s="8">
        <v>42612.048298611109</v>
      </c>
      <c r="B2" s="23" t="s">
        <v>179</v>
      </c>
      <c r="C2" s="23" t="s">
        <v>309</v>
      </c>
      <c r="D2" s="23">
        <v>1810000</v>
      </c>
      <c r="E2" s="23" t="s">
        <v>279</v>
      </c>
      <c r="F2" s="23" t="str">
        <f t="shared" ref="F2:F65" si="0">B2</f>
        <v>rtdc.l.rtdc.4003:itc</v>
      </c>
      <c r="G2" s="8">
        <f t="shared" ref="G2:G65" si="1">A2</f>
        <v>42612.048298611109</v>
      </c>
    </row>
    <row r="3" spans="1:7" x14ac:dyDescent="0.25">
      <c r="A3" s="8">
        <v>42612.04991898148</v>
      </c>
      <c r="B3" s="23" t="s">
        <v>179</v>
      </c>
      <c r="C3" s="23" t="s">
        <v>309</v>
      </c>
      <c r="D3" s="23">
        <v>1810000</v>
      </c>
      <c r="E3" s="23" t="s">
        <v>279</v>
      </c>
      <c r="F3" s="23" t="str">
        <f t="shared" si="0"/>
        <v>rtdc.l.rtdc.4003:itc</v>
      </c>
      <c r="G3" s="8">
        <f t="shared" si="1"/>
        <v>42612.04991898148</v>
      </c>
    </row>
    <row r="4" spans="1:7" x14ac:dyDescent="0.25">
      <c r="A4" s="8">
        <v>42612.051435185182</v>
      </c>
      <c r="B4" s="23" t="s">
        <v>169</v>
      </c>
      <c r="C4" s="23" t="s">
        <v>310</v>
      </c>
      <c r="D4" s="23">
        <v>1230000</v>
      </c>
      <c r="E4" s="23" t="s">
        <v>165</v>
      </c>
      <c r="F4" s="23" t="str">
        <f t="shared" si="0"/>
        <v>rtdc.l.rtdc.4010:itc</v>
      </c>
      <c r="G4" s="8">
        <f t="shared" si="1"/>
        <v>42612.051435185182</v>
      </c>
    </row>
    <row r="5" spans="1:7" x14ac:dyDescent="0.25">
      <c r="A5" s="8">
        <v>42612.072754629633</v>
      </c>
      <c r="B5" s="23" t="s">
        <v>91</v>
      </c>
      <c r="C5" s="23" t="s">
        <v>311</v>
      </c>
      <c r="D5" s="23">
        <v>1800000</v>
      </c>
      <c r="E5" s="23" t="s">
        <v>170</v>
      </c>
      <c r="F5" s="23" t="str">
        <f t="shared" si="0"/>
        <v>rtdc.l.rtdc.4029:itc</v>
      </c>
      <c r="G5" s="8">
        <f t="shared" si="1"/>
        <v>42612.072754629633</v>
      </c>
    </row>
    <row r="6" spans="1:7" x14ac:dyDescent="0.25">
      <c r="A6" s="8">
        <v>42612.085856481484</v>
      </c>
      <c r="B6" s="23" t="s">
        <v>91</v>
      </c>
      <c r="C6" s="23" t="s">
        <v>311</v>
      </c>
      <c r="D6" s="23">
        <v>1800000</v>
      </c>
      <c r="E6" s="23" t="s">
        <v>170</v>
      </c>
      <c r="F6" s="23" t="str">
        <f t="shared" si="0"/>
        <v>rtdc.l.rtdc.4029:itc</v>
      </c>
      <c r="G6" s="8">
        <f t="shared" si="1"/>
        <v>42612.085856481484</v>
      </c>
    </row>
    <row r="7" spans="1:7" x14ac:dyDescent="0.25">
      <c r="A7" s="8">
        <v>42612.089189814818</v>
      </c>
      <c r="B7" s="23" t="s">
        <v>168</v>
      </c>
      <c r="C7" s="23" t="s">
        <v>312</v>
      </c>
      <c r="D7" s="23">
        <v>1230000</v>
      </c>
      <c r="E7" s="23" t="s">
        <v>165</v>
      </c>
      <c r="F7" s="23" t="str">
        <f t="shared" si="0"/>
        <v>rtdc.l.rtdc.4009:itc</v>
      </c>
      <c r="G7" s="8">
        <f t="shared" si="1"/>
        <v>42612.089189814818</v>
      </c>
    </row>
    <row r="8" spans="1:7" x14ac:dyDescent="0.25">
      <c r="A8" s="8">
        <v>42612.117777777778</v>
      </c>
      <c r="B8" s="23" t="s">
        <v>176</v>
      </c>
      <c r="C8" s="23" t="s">
        <v>388</v>
      </c>
      <c r="D8" s="23">
        <v>2030000</v>
      </c>
      <c r="E8" s="23" t="s">
        <v>272</v>
      </c>
      <c r="F8" s="23" t="str">
        <f t="shared" si="0"/>
        <v>rtdc.l.rtdc.4041:itc</v>
      </c>
      <c r="G8" s="8">
        <f t="shared" si="1"/>
        <v>42612.117777777778</v>
      </c>
    </row>
    <row r="9" spans="1:7" ht="15.75" thickBot="1" x14ac:dyDescent="0.3">
      <c r="A9" s="27">
        <v>42612.130509259259</v>
      </c>
      <c r="B9" s="23" t="s">
        <v>306</v>
      </c>
      <c r="C9" s="23" t="s">
        <v>389</v>
      </c>
      <c r="D9" s="23">
        <v>2030000</v>
      </c>
      <c r="E9" s="23" t="s">
        <v>272</v>
      </c>
      <c r="F9" s="23" t="str">
        <f t="shared" si="0"/>
        <v>rtdc.l.rtdc.4011:itc</v>
      </c>
      <c r="G9" s="8">
        <f t="shared" si="1"/>
        <v>42612.130509259259</v>
      </c>
    </row>
    <row r="10" spans="1:7" x14ac:dyDescent="0.25">
      <c r="A10" s="8">
        <v>42612.164421296293</v>
      </c>
      <c r="B10" s="23" t="s">
        <v>236</v>
      </c>
      <c r="C10" s="23" t="s">
        <v>390</v>
      </c>
      <c r="D10" s="23">
        <v>2230000</v>
      </c>
      <c r="E10" s="23" t="s">
        <v>391</v>
      </c>
      <c r="F10" s="23" t="str">
        <f t="shared" si="0"/>
        <v>rtdc.l.rtdc.4020:itc</v>
      </c>
      <c r="G10" s="8">
        <f t="shared" si="1"/>
        <v>42612.164421296293</v>
      </c>
    </row>
    <row r="11" spans="1:7" x14ac:dyDescent="0.25">
      <c r="A11" s="8">
        <v>42612.168206018519</v>
      </c>
      <c r="B11" s="23" t="s">
        <v>176</v>
      </c>
      <c r="C11" s="23" t="s">
        <v>392</v>
      </c>
      <c r="D11" s="23">
        <v>2030000</v>
      </c>
      <c r="E11" s="23" t="s">
        <v>272</v>
      </c>
      <c r="F11" s="23" t="str">
        <f t="shared" si="0"/>
        <v>rtdc.l.rtdc.4041:itc</v>
      </c>
      <c r="G11" s="8">
        <f t="shared" si="1"/>
        <v>42612.168206018519</v>
      </c>
    </row>
    <row r="12" spans="1:7" x14ac:dyDescent="0.25">
      <c r="A12" s="8">
        <v>42612.179456018515</v>
      </c>
      <c r="B12" s="23" t="s">
        <v>302</v>
      </c>
      <c r="C12" s="23" t="s">
        <v>393</v>
      </c>
      <c r="D12" s="23">
        <v>1090000</v>
      </c>
      <c r="E12" s="23" t="s">
        <v>301</v>
      </c>
      <c r="F12" s="23" t="str">
        <f t="shared" si="0"/>
        <v>rtdc.l.rtdc.4018:itc</v>
      </c>
      <c r="G12" s="8">
        <f t="shared" si="1"/>
        <v>42612.179456018515</v>
      </c>
    </row>
    <row r="13" spans="1:7" x14ac:dyDescent="0.25">
      <c r="A13" s="8">
        <v>42612.18072916667</v>
      </c>
      <c r="B13" s="23" t="s">
        <v>302</v>
      </c>
      <c r="C13" s="23" t="s">
        <v>393</v>
      </c>
      <c r="D13" s="23">
        <v>1090000</v>
      </c>
      <c r="E13" s="23" t="s">
        <v>301</v>
      </c>
      <c r="F13" s="23" t="str">
        <f t="shared" si="0"/>
        <v>rtdc.l.rtdc.4018:itc</v>
      </c>
      <c r="G13" s="8">
        <f t="shared" si="1"/>
        <v>42612.18072916667</v>
      </c>
    </row>
    <row r="14" spans="1:7" x14ac:dyDescent="0.25">
      <c r="A14" s="8">
        <v>42612.190937500003</v>
      </c>
      <c r="B14" s="23" t="s">
        <v>302</v>
      </c>
      <c r="C14" s="23" t="s">
        <v>393</v>
      </c>
      <c r="D14" s="23">
        <v>1090000</v>
      </c>
      <c r="E14" s="23" t="s">
        <v>301</v>
      </c>
      <c r="F14" s="23" t="str">
        <f t="shared" si="0"/>
        <v>rtdc.l.rtdc.4018:itc</v>
      </c>
      <c r="G14" s="8">
        <f t="shared" si="1"/>
        <v>42612.190937500003</v>
      </c>
    </row>
    <row r="15" spans="1:7" x14ac:dyDescent="0.25">
      <c r="A15" s="8">
        <v>42612.193055555559</v>
      </c>
      <c r="B15" s="23" t="s">
        <v>142</v>
      </c>
      <c r="C15" s="23" t="s">
        <v>394</v>
      </c>
      <c r="D15" s="23">
        <v>2260000</v>
      </c>
      <c r="E15" s="23" t="s">
        <v>193</v>
      </c>
      <c r="F15" s="23" t="str">
        <f t="shared" si="0"/>
        <v>rtdc.l.rtdc.4037:itc</v>
      </c>
      <c r="G15" s="8">
        <f t="shared" si="1"/>
        <v>42612.193055555559</v>
      </c>
    </row>
    <row r="16" spans="1:7" x14ac:dyDescent="0.25">
      <c r="A16" s="8">
        <v>42612.194293981483</v>
      </c>
      <c r="B16" s="23" t="s">
        <v>91</v>
      </c>
      <c r="C16" s="23" t="s">
        <v>395</v>
      </c>
      <c r="D16" s="23">
        <v>1990000</v>
      </c>
      <c r="E16" s="23" t="s">
        <v>240</v>
      </c>
      <c r="F16" s="23" t="str">
        <f t="shared" si="0"/>
        <v>rtdc.l.rtdc.4029:itc</v>
      </c>
      <c r="G16" s="8">
        <f t="shared" si="1"/>
        <v>42612.194293981483</v>
      </c>
    </row>
    <row r="17" spans="1:7" x14ac:dyDescent="0.25">
      <c r="A17" s="8">
        <v>42612.20417824074</v>
      </c>
      <c r="B17" s="23" t="s">
        <v>306</v>
      </c>
      <c r="C17" s="23" t="s">
        <v>396</v>
      </c>
      <c r="D17" s="23">
        <v>1100000</v>
      </c>
      <c r="E17" s="23" t="s">
        <v>397</v>
      </c>
      <c r="F17" s="23" t="str">
        <f t="shared" si="0"/>
        <v>rtdc.l.rtdc.4011:itc</v>
      </c>
      <c r="G17" s="8">
        <f t="shared" si="1"/>
        <v>42612.20417824074</v>
      </c>
    </row>
    <row r="18" spans="1:7" x14ac:dyDescent="0.25">
      <c r="A18" s="8">
        <v>42612.205081018517</v>
      </c>
      <c r="B18" s="23" t="s">
        <v>306</v>
      </c>
      <c r="C18" s="23" t="s">
        <v>396</v>
      </c>
      <c r="D18" s="23">
        <v>1100000</v>
      </c>
      <c r="E18" s="23" t="s">
        <v>397</v>
      </c>
      <c r="F18" s="23" t="str">
        <f t="shared" si="0"/>
        <v>rtdc.l.rtdc.4011:itc</v>
      </c>
      <c r="G18" s="8">
        <f t="shared" si="1"/>
        <v>42612.205081018517</v>
      </c>
    </row>
    <row r="19" spans="1:7" x14ac:dyDescent="0.25">
      <c r="A19" s="8">
        <v>42612.205231481479</v>
      </c>
      <c r="B19" s="23" t="s">
        <v>147</v>
      </c>
      <c r="C19" s="23" t="s">
        <v>398</v>
      </c>
      <c r="D19" s="23">
        <v>2030000</v>
      </c>
      <c r="E19" s="23" t="s">
        <v>272</v>
      </c>
      <c r="F19" s="23" t="str">
        <f t="shared" si="0"/>
        <v>rtdc.l.rtdc.4042:itc</v>
      </c>
      <c r="G19" s="8">
        <f t="shared" si="1"/>
        <v>42612.205231481479</v>
      </c>
    </row>
    <row r="20" spans="1:7" x14ac:dyDescent="0.25">
      <c r="A20" s="8">
        <v>42612.207349537035</v>
      </c>
      <c r="B20" s="23" t="s">
        <v>147</v>
      </c>
      <c r="C20" s="23" t="s">
        <v>398</v>
      </c>
      <c r="D20" s="23">
        <v>2030000</v>
      </c>
      <c r="E20" s="23" t="s">
        <v>272</v>
      </c>
      <c r="F20" s="23" t="str">
        <f t="shared" si="0"/>
        <v>rtdc.l.rtdc.4042:itc</v>
      </c>
      <c r="G20" s="8">
        <f t="shared" si="1"/>
        <v>42612.207349537035</v>
      </c>
    </row>
    <row r="21" spans="1:7" x14ac:dyDescent="0.25">
      <c r="A21" s="8">
        <v>42612.208148148151</v>
      </c>
      <c r="B21" s="23" t="s">
        <v>354</v>
      </c>
      <c r="C21" s="23" t="s">
        <v>355</v>
      </c>
      <c r="D21" s="23">
        <v>2230000</v>
      </c>
      <c r="E21" s="23" t="s">
        <v>391</v>
      </c>
      <c r="F21" s="23" t="str">
        <f t="shared" si="0"/>
        <v>rtdc.l.rtdc.4015:itc</v>
      </c>
      <c r="G21" s="8">
        <f t="shared" si="1"/>
        <v>42612.208148148151</v>
      </c>
    </row>
    <row r="22" spans="1:7" x14ac:dyDescent="0.25">
      <c r="A22" s="29">
        <v>42612.211840277778</v>
      </c>
      <c r="B22" s="23" t="s">
        <v>242</v>
      </c>
      <c r="C22" s="23" t="s">
        <v>353</v>
      </c>
      <c r="D22" s="23">
        <v>1110000</v>
      </c>
      <c r="E22" s="23" t="s">
        <v>275</v>
      </c>
      <c r="F22" s="23" t="str">
        <f t="shared" si="0"/>
        <v>rtdc.l.rtdc.4028:itc</v>
      </c>
      <c r="G22" s="8">
        <f t="shared" si="1"/>
        <v>42612.211840277778</v>
      </c>
    </row>
    <row r="23" spans="1:7" x14ac:dyDescent="0.25">
      <c r="A23" s="8">
        <v>42612.223020833335</v>
      </c>
      <c r="B23" s="23" t="s">
        <v>304</v>
      </c>
      <c r="C23" s="23" t="s">
        <v>399</v>
      </c>
      <c r="D23" s="23">
        <v>1090000</v>
      </c>
      <c r="E23" s="23" t="s">
        <v>301</v>
      </c>
      <c r="F23" s="23" t="str">
        <f t="shared" si="0"/>
        <v>rtdc.l.rtdc.4017:itc</v>
      </c>
      <c r="G23" s="8">
        <f t="shared" si="1"/>
        <v>42612.223020833335</v>
      </c>
    </row>
    <row r="24" spans="1:7" x14ac:dyDescent="0.25">
      <c r="A24" s="8">
        <v>42612.228402777779</v>
      </c>
      <c r="B24" s="23" t="s">
        <v>239</v>
      </c>
      <c r="C24" s="23" t="s">
        <v>400</v>
      </c>
      <c r="D24" s="23">
        <v>900000</v>
      </c>
      <c r="E24" s="23" t="s">
        <v>401</v>
      </c>
      <c r="F24" s="23" t="str">
        <f t="shared" si="0"/>
        <v>rtdc.l.rtdc.4040:itc</v>
      </c>
      <c r="G24" s="8">
        <f t="shared" si="1"/>
        <v>42612.228402777779</v>
      </c>
    </row>
    <row r="25" spans="1:7" x14ac:dyDescent="0.25">
      <c r="A25" s="8">
        <v>42612.229317129626</v>
      </c>
      <c r="B25" s="23" t="s">
        <v>239</v>
      </c>
      <c r="C25" s="23" t="s">
        <v>400</v>
      </c>
      <c r="D25" s="23">
        <v>900000</v>
      </c>
      <c r="E25" s="23" t="s">
        <v>401</v>
      </c>
      <c r="F25" s="23" t="str">
        <f t="shared" si="0"/>
        <v>rtdc.l.rtdc.4040:itc</v>
      </c>
      <c r="G25" s="8">
        <f t="shared" si="1"/>
        <v>42612.229317129626</v>
      </c>
    </row>
    <row r="26" spans="1:7" x14ac:dyDescent="0.25">
      <c r="A26" s="8">
        <v>42612.229814814818</v>
      </c>
      <c r="B26" s="23" t="s">
        <v>239</v>
      </c>
      <c r="C26" s="23" t="s">
        <v>400</v>
      </c>
      <c r="D26" s="23">
        <v>900000</v>
      </c>
      <c r="E26" s="23" t="s">
        <v>401</v>
      </c>
      <c r="F26" s="23" t="str">
        <f t="shared" si="0"/>
        <v>rtdc.l.rtdc.4040:itc</v>
      </c>
      <c r="G26" s="8">
        <f t="shared" si="1"/>
        <v>42612.229814814818</v>
      </c>
    </row>
    <row r="27" spans="1:7" x14ac:dyDescent="0.25">
      <c r="A27" s="8">
        <v>42612.233113425929</v>
      </c>
      <c r="B27" s="23" t="s">
        <v>92</v>
      </c>
      <c r="C27" s="23" t="s">
        <v>402</v>
      </c>
      <c r="D27" s="23">
        <v>1990000</v>
      </c>
      <c r="E27" s="23" t="s">
        <v>240</v>
      </c>
      <c r="F27" s="23" t="str">
        <f t="shared" si="0"/>
        <v>rtdc.l.rtdc.4030:itc</v>
      </c>
      <c r="G27" s="8">
        <f t="shared" si="1"/>
        <v>42612.233113425929</v>
      </c>
    </row>
    <row r="28" spans="1:7" x14ac:dyDescent="0.25">
      <c r="A28" s="8">
        <v>42612.234560185185</v>
      </c>
      <c r="B28" s="23" t="s">
        <v>148</v>
      </c>
      <c r="C28" s="23" t="s">
        <v>403</v>
      </c>
      <c r="D28" s="23">
        <v>2260000</v>
      </c>
      <c r="E28" s="23" t="s">
        <v>193</v>
      </c>
      <c r="F28" s="23" t="str">
        <f t="shared" si="0"/>
        <v>rtdc.l.rtdc.4038:itc</v>
      </c>
      <c r="G28" s="8">
        <f t="shared" si="1"/>
        <v>42612.234560185185</v>
      </c>
    </row>
    <row r="29" spans="1:7" x14ac:dyDescent="0.25">
      <c r="A29" s="8">
        <v>42612.241354166668</v>
      </c>
      <c r="B29" s="23" t="s">
        <v>93</v>
      </c>
      <c r="C29" s="23" t="s">
        <v>404</v>
      </c>
      <c r="D29" s="23">
        <v>1110000</v>
      </c>
      <c r="E29" s="23" t="s">
        <v>275</v>
      </c>
      <c r="F29" s="23" t="str">
        <f t="shared" si="0"/>
        <v>rtdc.l.rtdc.4027:itc</v>
      </c>
      <c r="G29" s="8">
        <f t="shared" si="1"/>
        <v>42612.241354166668</v>
      </c>
    </row>
    <row r="30" spans="1:7" x14ac:dyDescent="0.25">
      <c r="A30" s="8">
        <v>42612.244490740741</v>
      </c>
      <c r="B30" s="23" t="s">
        <v>365</v>
      </c>
      <c r="C30" s="23" t="s">
        <v>405</v>
      </c>
      <c r="D30" s="23">
        <v>1100000</v>
      </c>
      <c r="E30" s="23" t="s">
        <v>397</v>
      </c>
      <c r="F30" s="23" t="str">
        <f t="shared" si="0"/>
        <v>rtdc.l.rtdc.4012:itc</v>
      </c>
      <c r="G30" s="8">
        <f t="shared" si="1"/>
        <v>42612.244490740741</v>
      </c>
    </row>
    <row r="31" spans="1:7" x14ac:dyDescent="0.25">
      <c r="A31" s="8">
        <v>42612.24931712963</v>
      </c>
      <c r="B31" s="23" t="s">
        <v>236</v>
      </c>
      <c r="C31" s="23" t="s">
        <v>357</v>
      </c>
      <c r="D31" s="23">
        <v>2230000</v>
      </c>
      <c r="E31" s="23" t="s">
        <v>391</v>
      </c>
      <c r="F31" s="23" t="str">
        <f t="shared" si="0"/>
        <v>rtdc.l.rtdc.4020:itc</v>
      </c>
      <c r="G31" s="8">
        <f t="shared" si="1"/>
        <v>42612.24931712963</v>
      </c>
    </row>
    <row r="32" spans="1:7" x14ac:dyDescent="0.25">
      <c r="A32" s="8">
        <v>42612.252187500002</v>
      </c>
      <c r="B32" s="23" t="s">
        <v>176</v>
      </c>
      <c r="C32" s="23" t="s">
        <v>406</v>
      </c>
      <c r="D32" s="23">
        <v>2030000</v>
      </c>
      <c r="E32" s="23" t="s">
        <v>272</v>
      </c>
      <c r="F32" s="23" t="str">
        <f t="shared" si="0"/>
        <v>rtdc.l.rtdc.4041:itc</v>
      </c>
      <c r="G32" s="8">
        <f t="shared" si="1"/>
        <v>42612.252187500002</v>
      </c>
    </row>
    <row r="33" spans="1:7" x14ac:dyDescent="0.25">
      <c r="A33" s="8">
        <v>42612.255486111113</v>
      </c>
      <c r="B33" s="23" t="s">
        <v>242</v>
      </c>
      <c r="C33" s="23" t="s">
        <v>407</v>
      </c>
      <c r="D33" s="23">
        <v>1110000</v>
      </c>
      <c r="E33" s="23" t="s">
        <v>275</v>
      </c>
      <c r="F33" s="23" t="str">
        <f t="shared" si="0"/>
        <v>rtdc.l.rtdc.4028:itc</v>
      </c>
      <c r="G33" s="8">
        <f t="shared" si="1"/>
        <v>42612.255486111113</v>
      </c>
    </row>
    <row r="34" spans="1:7" x14ac:dyDescent="0.25">
      <c r="A34" s="8">
        <v>42612.255798611113</v>
      </c>
      <c r="B34" s="23" t="s">
        <v>302</v>
      </c>
      <c r="C34" s="23" t="s">
        <v>408</v>
      </c>
      <c r="D34" s="23">
        <v>1090000</v>
      </c>
      <c r="E34" s="23" t="s">
        <v>301</v>
      </c>
      <c r="F34" s="23" t="str">
        <f t="shared" si="0"/>
        <v>rtdc.l.rtdc.4018:itc</v>
      </c>
      <c r="G34" s="8">
        <f t="shared" si="1"/>
        <v>42612.255798611113</v>
      </c>
    </row>
    <row r="35" spans="1:7" x14ac:dyDescent="0.25">
      <c r="A35" s="8">
        <v>42612.256516203706</v>
      </c>
      <c r="B35" s="23" t="s">
        <v>112</v>
      </c>
      <c r="C35" s="23" t="s">
        <v>356</v>
      </c>
      <c r="D35" s="23">
        <v>1360000</v>
      </c>
      <c r="E35" s="23" t="s">
        <v>303</v>
      </c>
      <c r="F35" s="23" t="str">
        <f t="shared" si="0"/>
        <v>rtdc.l.rtdc.4014:itc</v>
      </c>
      <c r="G35" s="8">
        <f t="shared" si="1"/>
        <v>42612.256516203706</v>
      </c>
    </row>
    <row r="36" spans="1:7" x14ac:dyDescent="0.25">
      <c r="A36" s="8">
        <v>42612.266296296293</v>
      </c>
      <c r="B36" s="23" t="s">
        <v>91</v>
      </c>
      <c r="C36" s="23" t="s">
        <v>409</v>
      </c>
      <c r="D36" s="23">
        <v>1990000</v>
      </c>
      <c r="E36" s="23" t="s">
        <v>240</v>
      </c>
      <c r="F36" s="23" t="str">
        <f t="shared" si="0"/>
        <v>rtdc.l.rtdc.4029:itc</v>
      </c>
      <c r="G36" s="8">
        <f t="shared" si="1"/>
        <v>42612.266296296293</v>
      </c>
    </row>
    <row r="37" spans="1:7" x14ac:dyDescent="0.25">
      <c r="A37" s="8">
        <v>42612.267291666663</v>
      </c>
      <c r="B37" s="23" t="s">
        <v>241</v>
      </c>
      <c r="C37" s="23" t="s">
        <v>410</v>
      </c>
      <c r="D37" s="23">
        <v>900000</v>
      </c>
      <c r="E37" s="23" t="s">
        <v>401</v>
      </c>
      <c r="F37" s="23" t="str">
        <f t="shared" si="0"/>
        <v>rtdc.l.rtdc.4039:itc</v>
      </c>
      <c r="G37" s="8">
        <f t="shared" si="1"/>
        <v>42612.267291666663</v>
      </c>
    </row>
    <row r="38" spans="1:7" x14ac:dyDescent="0.25">
      <c r="A38" s="8">
        <v>42612.268564814818</v>
      </c>
      <c r="B38" s="23" t="s">
        <v>241</v>
      </c>
      <c r="C38" s="23" t="s">
        <v>410</v>
      </c>
      <c r="D38" s="23">
        <v>900000</v>
      </c>
      <c r="E38" s="23" t="s">
        <v>401</v>
      </c>
      <c r="F38" s="23" t="str">
        <f t="shared" si="0"/>
        <v>rtdc.l.rtdc.4039:itc</v>
      </c>
      <c r="G38" s="8">
        <f t="shared" si="1"/>
        <v>42612.268564814818</v>
      </c>
    </row>
    <row r="39" spans="1:7" x14ac:dyDescent="0.25">
      <c r="A39" s="8">
        <v>42612.273125</v>
      </c>
      <c r="B39" s="23" t="s">
        <v>142</v>
      </c>
      <c r="C39" s="23" t="s">
        <v>411</v>
      </c>
      <c r="D39" s="23">
        <v>2260000</v>
      </c>
      <c r="E39" s="23" t="s">
        <v>193</v>
      </c>
      <c r="F39" s="23" t="str">
        <f t="shared" si="0"/>
        <v>rtdc.l.rtdc.4037:itc</v>
      </c>
      <c r="G39" s="8">
        <f t="shared" si="1"/>
        <v>42612.273125</v>
      </c>
    </row>
    <row r="40" spans="1:7" x14ac:dyDescent="0.25">
      <c r="A40" s="8">
        <v>42612.276203703703</v>
      </c>
      <c r="B40" s="28" t="s">
        <v>90</v>
      </c>
      <c r="C40" s="23" t="s">
        <v>359</v>
      </c>
      <c r="D40" s="23">
        <v>1360000</v>
      </c>
      <c r="E40" s="23" t="s">
        <v>303</v>
      </c>
      <c r="F40" s="23" t="str">
        <f t="shared" si="0"/>
        <v>rtdc.l.rtdc.4013:itc</v>
      </c>
      <c r="G40" s="8">
        <f t="shared" si="1"/>
        <v>42612.276203703703</v>
      </c>
    </row>
    <row r="41" spans="1:7" x14ac:dyDescent="0.25">
      <c r="A41" s="8">
        <v>42612.277314814812</v>
      </c>
      <c r="B41" s="23" t="s">
        <v>306</v>
      </c>
      <c r="C41" s="23" t="s">
        <v>358</v>
      </c>
      <c r="D41" s="23">
        <v>1100000</v>
      </c>
      <c r="E41" s="23" t="s">
        <v>397</v>
      </c>
      <c r="F41" s="23" t="str">
        <f t="shared" si="0"/>
        <v>rtdc.l.rtdc.4011:itc</v>
      </c>
      <c r="G41" s="8">
        <f t="shared" si="1"/>
        <v>42612.277314814812</v>
      </c>
    </row>
    <row r="42" spans="1:7" x14ac:dyDescent="0.25">
      <c r="A42" s="8">
        <v>42612.282453703701</v>
      </c>
      <c r="B42" s="23" t="s">
        <v>93</v>
      </c>
      <c r="C42" s="23" t="s">
        <v>360</v>
      </c>
      <c r="D42" s="23">
        <v>1110000</v>
      </c>
      <c r="E42" s="23" t="s">
        <v>275</v>
      </c>
      <c r="F42" s="23" t="str">
        <f t="shared" si="0"/>
        <v>rtdc.l.rtdc.4027:itc</v>
      </c>
      <c r="G42" s="8">
        <f t="shared" si="1"/>
        <v>42612.282453703701</v>
      </c>
    </row>
    <row r="43" spans="1:7" x14ac:dyDescent="0.25">
      <c r="A43" s="8">
        <v>42612.284849537034</v>
      </c>
      <c r="B43" s="23" t="s">
        <v>235</v>
      </c>
      <c r="C43" s="23" t="s">
        <v>412</v>
      </c>
      <c r="D43" s="23">
        <v>2230000</v>
      </c>
      <c r="E43" s="23" t="s">
        <v>391</v>
      </c>
      <c r="F43" s="23" t="str">
        <f t="shared" si="0"/>
        <v>rtdc.l.rtdc.4019:itc</v>
      </c>
      <c r="G43" s="8">
        <f t="shared" si="1"/>
        <v>42612.284849537034</v>
      </c>
    </row>
    <row r="44" spans="1:7" x14ac:dyDescent="0.25">
      <c r="A44" s="8">
        <v>42612.285868055558</v>
      </c>
      <c r="B44" s="23" t="s">
        <v>306</v>
      </c>
      <c r="C44" s="23" t="s">
        <v>358</v>
      </c>
      <c r="D44" s="23">
        <v>1100000</v>
      </c>
      <c r="E44" s="23" t="s">
        <v>397</v>
      </c>
      <c r="F44" s="23" t="str">
        <f t="shared" si="0"/>
        <v>rtdc.l.rtdc.4011:itc</v>
      </c>
      <c r="G44" s="8">
        <f t="shared" si="1"/>
        <v>42612.285868055558</v>
      </c>
    </row>
    <row r="45" spans="1:7" x14ac:dyDescent="0.25">
      <c r="A45" s="8">
        <v>42612.288946759261</v>
      </c>
      <c r="B45" s="23" t="s">
        <v>147</v>
      </c>
      <c r="C45" s="23" t="s">
        <v>413</v>
      </c>
      <c r="D45" s="23">
        <v>2030000</v>
      </c>
      <c r="E45" s="23" t="s">
        <v>272</v>
      </c>
      <c r="F45" s="23" t="str">
        <f t="shared" si="0"/>
        <v>rtdc.l.rtdc.4042:itc</v>
      </c>
      <c r="G45" s="8">
        <f t="shared" si="1"/>
        <v>42612.288946759261</v>
      </c>
    </row>
    <row r="46" spans="1:7" x14ac:dyDescent="0.25">
      <c r="A46" s="8">
        <v>42612.290983796294</v>
      </c>
      <c r="B46" s="23" t="s">
        <v>112</v>
      </c>
      <c r="C46" s="23" t="s">
        <v>414</v>
      </c>
      <c r="D46" s="23">
        <v>1360000</v>
      </c>
      <c r="E46" s="23" t="s">
        <v>303</v>
      </c>
      <c r="F46" s="23" t="str">
        <f t="shared" si="0"/>
        <v>rtdc.l.rtdc.4014:itc</v>
      </c>
      <c r="G46" s="8">
        <f t="shared" si="1"/>
        <v>42612.290983796294</v>
      </c>
    </row>
    <row r="47" spans="1:7" x14ac:dyDescent="0.25">
      <c r="A47" s="8">
        <v>42612.294849537036</v>
      </c>
      <c r="B47" s="23" t="s">
        <v>304</v>
      </c>
      <c r="C47" s="23" t="s">
        <v>415</v>
      </c>
      <c r="D47" s="23">
        <v>1090000</v>
      </c>
      <c r="E47" s="23" t="s">
        <v>301</v>
      </c>
      <c r="F47" s="23" t="str">
        <f t="shared" si="0"/>
        <v>rtdc.l.rtdc.4017:itc</v>
      </c>
      <c r="G47" s="8">
        <f t="shared" si="1"/>
        <v>42612.294849537036</v>
      </c>
    </row>
    <row r="48" spans="1:7" x14ac:dyDescent="0.25">
      <c r="A48" s="8">
        <v>42612.296678240738</v>
      </c>
      <c r="B48" s="23" t="s">
        <v>242</v>
      </c>
      <c r="C48" s="23" t="s">
        <v>416</v>
      </c>
      <c r="D48" s="23">
        <v>1110000</v>
      </c>
      <c r="E48" s="23" t="s">
        <v>275</v>
      </c>
      <c r="F48" s="23" t="str">
        <f t="shared" si="0"/>
        <v>rtdc.l.rtdc.4028:itc</v>
      </c>
      <c r="G48" s="8">
        <f t="shared" si="1"/>
        <v>42612.296678240738</v>
      </c>
    </row>
    <row r="49" spans="1:7" x14ac:dyDescent="0.25">
      <c r="A49" s="8">
        <v>42612.301736111112</v>
      </c>
      <c r="B49" s="23" t="s">
        <v>239</v>
      </c>
      <c r="C49" s="23" t="s">
        <v>417</v>
      </c>
      <c r="D49" s="23">
        <v>900000</v>
      </c>
      <c r="E49" s="23" t="s">
        <v>401</v>
      </c>
      <c r="F49" s="23" t="str">
        <f t="shared" si="0"/>
        <v>rtdc.l.rtdc.4040:itc</v>
      </c>
      <c r="G49" s="8">
        <f t="shared" si="1"/>
        <v>42612.301736111112</v>
      </c>
    </row>
    <row r="50" spans="1:7" x14ac:dyDescent="0.25">
      <c r="A50" s="8">
        <v>42612.303067129629</v>
      </c>
      <c r="B50" s="23" t="s">
        <v>92</v>
      </c>
      <c r="C50" s="23" t="s">
        <v>418</v>
      </c>
      <c r="D50" s="23">
        <v>1990000</v>
      </c>
      <c r="E50" s="23" t="s">
        <v>240</v>
      </c>
      <c r="F50" s="23" t="str">
        <f t="shared" si="0"/>
        <v>rtdc.l.rtdc.4030:itc</v>
      </c>
      <c r="G50" s="8">
        <f t="shared" si="1"/>
        <v>42612.303067129629</v>
      </c>
    </row>
    <row r="51" spans="1:7" x14ac:dyDescent="0.25">
      <c r="A51" s="8">
        <v>42612.309398148151</v>
      </c>
      <c r="B51" s="23" t="s">
        <v>148</v>
      </c>
      <c r="C51" s="23" t="s">
        <v>419</v>
      </c>
      <c r="D51" s="23">
        <v>2260000</v>
      </c>
      <c r="E51" s="23" t="s">
        <v>193</v>
      </c>
      <c r="F51" s="23" t="str">
        <f t="shared" si="0"/>
        <v>rtdc.l.rtdc.4038:itc</v>
      </c>
      <c r="G51" s="8">
        <f t="shared" si="1"/>
        <v>42612.309398148151</v>
      </c>
    </row>
    <row r="52" spans="1:7" x14ac:dyDescent="0.25">
      <c r="A52" s="8">
        <v>42612.317303240743</v>
      </c>
      <c r="B52" s="23" t="s">
        <v>90</v>
      </c>
      <c r="C52" s="23" t="s">
        <v>420</v>
      </c>
      <c r="D52" s="23">
        <v>1360000</v>
      </c>
      <c r="E52" s="23" t="s">
        <v>303</v>
      </c>
      <c r="F52" s="23" t="str">
        <f t="shared" si="0"/>
        <v>rtdc.l.rtdc.4013:itc</v>
      </c>
      <c r="G52" s="8">
        <f t="shared" si="1"/>
        <v>42612.317303240743</v>
      </c>
    </row>
    <row r="53" spans="1:7" x14ac:dyDescent="0.25">
      <c r="A53" s="8">
        <v>42612.317708333336</v>
      </c>
      <c r="B53" s="23" t="s">
        <v>365</v>
      </c>
      <c r="C53" s="23" t="s">
        <v>421</v>
      </c>
      <c r="D53" s="23">
        <v>1100000</v>
      </c>
      <c r="E53" s="23" t="s">
        <v>397</v>
      </c>
      <c r="F53" s="23" t="str">
        <f t="shared" si="0"/>
        <v>rtdc.l.rtdc.4012:itc</v>
      </c>
      <c r="G53" s="8">
        <f t="shared" si="1"/>
        <v>42612.317708333336</v>
      </c>
    </row>
    <row r="54" spans="1:7" x14ac:dyDescent="0.25">
      <c r="A54" s="8">
        <v>42612.320798611108</v>
      </c>
      <c r="B54" s="23" t="s">
        <v>236</v>
      </c>
      <c r="C54" s="23" t="s">
        <v>422</v>
      </c>
      <c r="D54" s="23">
        <v>2230000</v>
      </c>
      <c r="E54" s="23" t="s">
        <v>391</v>
      </c>
      <c r="F54" s="23" t="str">
        <f t="shared" si="0"/>
        <v>rtdc.l.rtdc.4020:itc</v>
      </c>
      <c r="G54" s="8">
        <f t="shared" si="1"/>
        <v>42612.320798611108</v>
      </c>
    </row>
    <row r="55" spans="1:7" x14ac:dyDescent="0.25">
      <c r="A55" s="8">
        <v>42612.322071759256</v>
      </c>
      <c r="B55" s="23" t="s">
        <v>176</v>
      </c>
      <c r="C55" s="23" t="s">
        <v>361</v>
      </c>
      <c r="D55" s="23">
        <v>2030000</v>
      </c>
      <c r="E55" s="23" t="s">
        <v>272</v>
      </c>
      <c r="F55" s="23" t="str">
        <f t="shared" si="0"/>
        <v>rtdc.l.rtdc.4041:itc</v>
      </c>
      <c r="G55" s="8">
        <f t="shared" si="1"/>
        <v>42612.322071759256</v>
      </c>
    </row>
    <row r="56" spans="1:7" x14ac:dyDescent="0.25">
      <c r="A56" s="8">
        <v>42612.322928240741</v>
      </c>
      <c r="B56" s="23" t="s">
        <v>93</v>
      </c>
      <c r="C56" s="23" t="s">
        <v>423</v>
      </c>
      <c r="D56" s="23">
        <v>1110000</v>
      </c>
      <c r="E56" s="23" t="s">
        <v>275</v>
      </c>
      <c r="F56" s="23" t="str">
        <f t="shared" si="0"/>
        <v>rtdc.l.rtdc.4027:itc</v>
      </c>
      <c r="G56" s="8">
        <f t="shared" si="1"/>
        <v>42612.322928240741</v>
      </c>
    </row>
    <row r="57" spans="1:7" x14ac:dyDescent="0.25">
      <c r="A57" s="8">
        <v>42612.331597222219</v>
      </c>
      <c r="B57" s="23" t="s">
        <v>112</v>
      </c>
      <c r="C57" s="23" t="s">
        <v>424</v>
      </c>
      <c r="D57" s="23">
        <v>1360000</v>
      </c>
      <c r="E57" s="23" t="s">
        <v>303</v>
      </c>
      <c r="F57" s="23" t="str">
        <f t="shared" si="0"/>
        <v>rtdc.l.rtdc.4014:itc</v>
      </c>
      <c r="G57" s="8">
        <f t="shared" si="1"/>
        <v>42612.331597222219</v>
      </c>
    </row>
    <row r="58" spans="1:7" x14ac:dyDescent="0.25">
      <c r="A58" s="8">
        <v>42612.332291666666</v>
      </c>
      <c r="B58" s="23" t="s">
        <v>302</v>
      </c>
      <c r="C58" s="23" t="s">
        <v>425</v>
      </c>
      <c r="D58" s="23">
        <v>1090000</v>
      </c>
      <c r="E58" s="23" t="s">
        <v>301</v>
      </c>
      <c r="F58" s="23" t="str">
        <f t="shared" si="0"/>
        <v>rtdc.l.rtdc.4018:itc</v>
      </c>
      <c r="G58" s="8">
        <f t="shared" si="1"/>
        <v>42612.332291666666</v>
      </c>
    </row>
    <row r="59" spans="1:7" x14ac:dyDescent="0.25">
      <c r="A59" s="8">
        <v>42612.338449074072</v>
      </c>
      <c r="B59" s="23" t="s">
        <v>241</v>
      </c>
      <c r="C59" s="23" t="s">
        <v>362</v>
      </c>
      <c r="D59" s="23">
        <v>900000</v>
      </c>
      <c r="E59" s="23" t="s">
        <v>401</v>
      </c>
      <c r="F59" s="23" t="str">
        <f t="shared" si="0"/>
        <v>rtdc.l.rtdc.4039:itc</v>
      </c>
      <c r="G59" s="8">
        <f t="shared" si="1"/>
        <v>42612.338449074072</v>
      </c>
    </row>
    <row r="60" spans="1:7" x14ac:dyDescent="0.25">
      <c r="A60" s="8">
        <v>42612.338541666664</v>
      </c>
      <c r="B60" s="23" t="s">
        <v>242</v>
      </c>
      <c r="C60" s="23" t="s">
        <v>426</v>
      </c>
      <c r="D60" s="23">
        <v>1110000</v>
      </c>
      <c r="E60" s="23" t="s">
        <v>275</v>
      </c>
      <c r="F60" s="23" t="str">
        <f t="shared" si="0"/>
        <v>rtdc.l.rtdc.4028:itc</v>
      </c>
      <c r="G60" s="8">
        <f t="shared" si="1"/>
        <v>42612.338541666664</v>
      </c>
    </row>
    <row r="61" spans="1:7" x14ac:dyDescent="0.25">
      <c r="A61" s="8">
        <v>42612.340358796297</v>
      </c>
      <c r="B61" s="23" t="s">
        <v>91</v>
      </c>
      <c r="C61" s="23" t="s">
        <v>427</v>
      </c>
      <c r="D61" s="23">
        <v>1990000</v>
      </c>
      <c r="E61" s="23" t="s">
        <v>240</v>
      </c>
      <c r="F61" s="23" t="str">
        <f t="shared" si="0"/>
        <v>rtdc.l.rtdc.4029:itc</v>
      </c>
      <c r="G61" s="8">
        <f t="shared" si="1"/>
        <v>42612.340358796297</v>
      </c>
    </row>
    <row r="62" spans="1:7" x14ac:dyDescent="0.25">
      <c r="A62" s="8">
        <v>42612.346550925926</v>
      </c>
      <c r="B62" s="23" t="s">
        <v>142</v>
      </c>
      <c r="C62" s="23" t="s">
        <v>428</v>
      </c>
      <c r="D62" s="23">
        <v>2260000</v>
      </c>
      <c r="E62" s="23" t="s">
        <v>193</v>
      </c>
      <c r="F62" s="23" t="str">
        <f t="shared" si="0"/>
        <v>rtdc.l.rtdc.4037:itc</v>
      </c>
      <c r="G62" s="8">
        <f t="shared" si="1"/>
        <v>42612.346550925926</v>
      </c>
    </row>
    <row r="63" spans="1:7" x14ac:dyDescent="0.25">
      <c r="A63" s="8">
        <v>42612.350428240738</v>
      </c>
      <c r="B63" s="23" t="s">
        <v>306</v>
      </c>
      <c r="C63" s="23" t="s">
        <v>429</v>
      </c>
      <c r="D63" s="23">
        <v>1100000</v>
      </c>
      <c r="E63" s="23" t="s">
        <v>397</v>
      </c>
      <c r="F63" s="23" t="str">
        <f t="shared" si="0"/>
        <v>rtdc.l.rtdc.4011:itc</v>
      </c>
      <c r="G63" s="8">
        <f t="shared" si="1"/>
        <v>42612.350428240738</v>
      </c>
    </row>
    <row r="64" spans="1:7" x14ac:dyDescent="0.25">
      <c r="A64" s="29">
        <v>42612.352800925924</v>
      </c>
      <c r="B64" s="23" t="s">
        <v>235</v>
      </c>
      <c r="C64" s="23" t="s">
        <v>430</v>
      </c>
      <c r="D64" s="23">
        <v>2230000</v>
      </c>
      <c r="E64" s="23" t="s">
        <v>391</v>
      </c>
      <c r="F64" s="23" t="str">
        <f t="shared" si="0"/>
        <v>rtdc.l.rtdc.4019:itc</v>
      </c>
      <c r="G64" s="8">
        <f t="shared" si="1"/>
        <v>42612.352800925924</v>
      </c>
    </row>
    <row r="65" spans="1:7" x14ac:dyDescent="0.25">
      <c r="A65" s="8">
        <v>42612.355173611111</v>
      </c>
      <c r="B65" s="23" t="s">
        <v>93</v>
      </c>
      <c r="C65" s="23" t="s">
        <v>431</v>
      </c>
      <c r="D65" s="23">
        <v>1110000</v>
      </c>
      <c r="E65" s="23" t="s">
        <v>275</v>
      </c>
      <c r="F65" s="23" t="str">
        <f t="shared" si="0"/>
        <v>rtdc.l.rtdc.4027:itc</v>
      </c>
      <c r="G65" s="8">
        <f t="shared" si="1"/>
        <v>42612.355173611111</v>
      </c>
    </row>
    <row r="66" spans="1:7" x14ac:dyDescent="0.25">
      <c r="A66" s="8">
        <v>42612.358599537038</v>
      </c>
      <c r="B66" s="23" t="s">
        <v>90</v>
      </c>
      <c r="C66" s="23" t="s">
        <v>432</v>
      </c>
      <c r="D66" s="23">
        <v>1360000</v>
      </c>
      <c r="E66" s="23" t="s">
        <v>303</v>
      </c>
      <c r="F66" s="23" t="str">
        <f t="shared" ref="F66:F129" si="2">B66</f>
        <v>rtdc.l.rtdc.4013:itc</v>
      </c>
      <c r="G66" s="8">
        <f t="shared" ref="G66:G129" si="3">A66</f>
        <v>42612.358599537038</v>
      </c>
    </row>
    <row r="67" spans="1:7" x14ac:dyDescent="0.25">
      <c r="A67" s="8">
        <v>42612.362581018519</v>
      </c>
      <c r="B67" s="23" t="s">
        <v>147</v>
      </c>
      <c r="C67" s="23" t="s">
        <v>433</v>
      </c>
      <c r="D67" s="23">
        <v>2030000</v>
      </c>
      <c r="E67" s="23" t="s">
        <v>272</v>
      </c>
      <c r="F67" s="23" t="str">
        <f t="shared" si="2"/>
        <v>rtdc.l.rtdc.4042:itc</v>
      </c>
      <c r="G67" s="8">
        <f t="shared" si="3"/>
        <v>42612.362581018519</v>
      </c>
    </row>
    <row r="68" spans="1:7" x14ac:dyDescent="0.25">
      <c r="A68" s="8">
        <v>42612.366087962961</v>
      </c>
      <c r="B68" s="23" t="s">
        <v>304</v>
      </c>
      <c r="C68" s="23" t="s">
        <v>434</v>
      </c>
      <c r="D68" s="23">
        <v>1090000</v>
      </c>
      <c r="E68" s="23" t="s">
        <v>301</v>
      </c>
      <c r="F68" s="23" t="str">
        <f t="shared" si="2"/>
        <v>rtdc.l.rtdc.4017:itc</v>
      </c>
      <c r="G68" s="8">
        <f t="shared" si="3"/>
        <v>42612.366087962961</v>
      </c>
    </row>
    <row r="69" spans="1:7" x14ac:dyDescent="0.25">
      <c r="A69" s="8">
        <v>42612.374212962961</v>
      </c>
      <c r="B69" s="23" t="s">
        <v>239</v>
      </c>
      <c r="C69" s="23" t="s">
        <v>363</v>
      </c>
      <c r="D69" s="23">
        <v>900000</v>
      </c>
      <c r="E69" s="23" t="s">
        <v>401</v>
      </c>
      <c r="F69" s="23" t="str">
        <f t="shared" si="2"/>
        <v>rtdc.l.rtdc.4040:itc</v>
      </c>
      <c r="G69" s="8">
        <f t="shared" si="3"/>
        <v>42612.374212962961</v>
      </c>
    </row>
    <row r="70" spans="1:7" x14ac:dyDescent="0.25">
      <c r="A70" s="8">
        <v>42612.380104166667</v>
      </c>
      <c r="B70" s="23" t="s">
        <v>92</v>
      </c>
      <c r="C70" s="23" t="s">
        <v>435</v>
      </c>
      <c r="D70" s="23">
        <v>1990000</v>
      </c>
      <c r="E70" s="23" t="s">
        <v>240</v>
      </c>
      <c r="F70" s="23" t="str">
        <f t="shared" si="2"/>
        <v>rtdc.l.rtdc.4030:itc</v>
      </c>
      <c r="G70" s="8">
        <f t="shared" si="3"/>
        <v>42612.380104166667</v>
      </c>
    </row>
    <row r="71" spans="1:7" x14ac:dyDescent="0.25">
      <c r="A71" s="8">
        <v>42612.382719907408</v>
      </c>
      <c r="B71" s="23" t="s">
        <v>112</v>
      </c>
      <c r="C71" s="23" t="s">
        <v>436</v>
      </c>
      <c r="D71" s="23">
        <v>1340000</v>
      </c>
      <c r="E71" s="23" t="s">
        <v>437</v>
      </c>
      <c r="F71" s="23" t="str">
        <f t="shared" si="2"/>
        <v>rtdc.l.rtdc.4014:itc</v>
      </c>
      <c r="G71" s="8">
        <f t="shared" si="3"/>
        <v>42612.382719907408</v>
      </c>
    </row>
    <row r="72" spans="1:7" x14ac:dyDescent="0.25">
      <c r="A72" s="8">
        <v>42612.382974537039</v>
      </c>
      <c r="B72" s="23" t="s">
        <v>148</v>
      </c>
      <c r="C72" s="23" t="s">
        <v>438</v>
      </c>
      <c r="D72" s="23">
        <v>2260000</v>
      </c>
      <c r="E72" s="23" t="s">
        <v>193</v>
      </c>
      <c r="F72" s="23" t="str">
        <f t="shared" si="2"/>
        <v>rtdc.l.rtdc.4038:itc</v>
      </c>
      <c r="G72" s="8">
        <f t="shared" si="3"/>
        <v>42612.382974537039</v>
      </c>
    </row>
    <row r="73" spans="1:7" x14ac:dyDescent="0.25">
      <c r="A73" s="8">
        <v>42612.391388888886</v>
      </c>
      <c r="B73" s="23" t="s">
        <v>365</v>
      </c>
      <c r="C73" s="23" t="s">
        <v>439</v>
      </c>
      <c r="D73" s="23">
        <v>1100000</v>
      </c>
      <c r="E73" s="23" t="s">
        <v>397</v>
      </c>
      <c r="F73" s="23" t="str">
        <f t="shared" si="2"/>
        <v>rtdc.l.rtdc.4012:itc</v>
      </c>
      <c r="G73" s="8">
        <f t="shared" si="3"/>
        <v>42612.391388888886</v>
      </c>
    </row>
    <row r="74" spans="1:7" x14ac:dyDescent="0.25">
      <c r="A74" s="8">
        <v>42612.392835648148</v>
      </c>
      <c r="B74" s="23" t="s">
        <v>236</v>
      </c>
      <c r="C74" s="23" t="s">
        <v>440</v>
      </c>
      <c r="D74" s="23">
        <v>2230000</v>
      </c>
      <c r="E74" s="23" t="s">
        <v>391</v>
      </c>
      <c r="F74" s="23" t="str">
        <f t="shared" si="2"/>
        <v>rtdc.l.rtdc.4020:itc</v>
      </c>
      <c r="G74" s="8">
        <f t="shared" si="3"/>
        <v>42612.392835648148</v>
      </c>
    </row>
    <row r="75" spans="1:7" x14ac:dyDescent="0.25">
      <c r="A75" s="8">
        <v>42612.39739583333</v>
      </c>
      <c r="B75" s="23" t="s">
        <v>176</v>
      </c>
      <c r="C75" s="23" t="s">
        <v>441</v>
      </c>
      <c r="D75" s="23">
        <v>2030000</v>
      </c>
      <c r="E75" s="23" t="s">
        <v>272</v>
      </c>
      <c r="F75" s="23" t="str">
        <f t="shared" si="2"/>
        <v>rtdc.l.rtdc.4041:itc</v>
      </c>
      <c r="G75" s="8">
        <f t="shared" si="3"/>
        <v>42612.39739583333</v>
      </c>
    </row>
    <row r="76" spans="1:7" x14ac:dyDescent="0.25">
      <c r="A76" s="8">
        <v>42612.401296296295</v>
      </c>
      <c r="B76" s="23" t="s">
        <v>90</v>
      </c>
      <c r="C76" s="23" t="s">
        <v>442</v>
      </c>
      <c r="D76" s="23">
        <v>1340000</v>
      </c>
      <c r="E76" s="23" t="s">
        <v>437</v>
      </c>
      <c r="F76" s="23" t="str">
        <f t="shared" si="2"/>
        <v>rtdc.l.rtdc.4013:itc</v>
      </c>
      <c r="G76" s="8">
        <f t="shared" si="3"/>
        <v>42612.401296296295</v>
      </c>
    </row>
    <row r="77" spans="1:7" x14ac:dyDescent="0.25">
      <c r="A77" s="8">
        <v>42612.401319444441</v>
      </c>
      <c r="B77" s="23" t="s">
        <v>302</v>
      </c>
      <c r="C77" s="23" t="s">
        <v>443</v>
      </c>
      <c r="D77" s="23">
        <v>1090000</v>
      </c>
      <c r="E77" s="23" t="s">
        <v>301</v>
      </c>
      <c r="F77" s="23" t="str">
        <f t="shared" si="2"/>
        <v>rtdc.l.rtdc.4018:itc</v>
      </c>
      <c r="G77" s="8">
        <f t="shared" si="3"/>
        <v>42612.401319444441</v>
      </c>
    </row>
    <row r="78" spans="1:7" x14ac:dyDescent="0.25">
      <c r="A78" s="8">
        <v>42612.411192129628</v>
      </c>
      <c r="B78" s="23" t="s">
        <v>241</v>
      </c>
      <c r="C78" s="23" t="s">
        <v>444</v>
      </c>
      <c r="D78" s="23">
        <v>900000</v>
      </c>
      <c r="E78" s="23" t="s">
        <v>401</v>
      </c>
      <c r="F78" s="23" t="str">
        <f t="shared" si="2"/>
        <v>rtdc.l.rtdc.4039:itc</v>
      </c>
      <c r="G78" s="8">
        <f t="shared" si="3"/>
        <v>42612.411192129628</v>
      </c>
    </row>
    <row r="79" spans="1:7" x14ac:dyDescent="0.25">
      <c r="A79" s="8">
        <v>42612.41165509259</v>
      </c>
      <c r="B79" s="23" t="s">
        <v>91</v>
      </c>
      <c r="C79" s="23" t="s">
        <v>445</v>
      </c>
      <c r="D79" s="23">
        <v>1990000</v>
      </c>
      <c r="E79" s="23" t="s">
        <v>240</v>
      </c>
      <c r="F79" s="23" t="str">
        <f t="shared" si="2"/>
        <v>rtdc.l.rtdc.4029:itc</v>
      </c>
      <c r="G79" s="8">
        <f t="shared" si="3"/>
        <v>42612.41165509259</v>
      </c>
    </row>
    <row r="80" spans="1:7" x14ac:dyDescent="0.25">
      <c r="A80" s="8">
        <v>42612.419259259259</v>
      </c>
      <c r="B80" s="23" t="s">
        <v>142</v>
      </c>
      <c r="C80" s="23" t="s">
        <v>446</v>
      </c>
      <c r="D80" s="23">
        <v>2260000</v>
      </c>
      <c r="E80" s="23" t="s">
        <v>193</v>
      </c>
      <c r="F80" s="23" t="str">
        <f t="shared" si="2"/>
        <v>rtdc.l.rtdc.4037:itc</v>
      </c>
      <c r="G80" s="8">
        <f t="shared" si="3"/>
        <v>42612.419259259259</v>
      </c>
    </row>
    <row r="81" spans="1:7" x14ac:dyDescent="0.25">
      <c r="A81" s="8">
        <v>42612.422083333331</v>
      </c>
      <c r="B81" s="23" t="s">
        <v>306</v>
      </c>
      <c r="C81" s="23" t="s">
        <v>447</v>
      </c>
      <c r="D81" s="23">
        <v>1100000</v>
      </c>
      <c r="E81" s="23" t="s">
        <v>397</v>
      </c>
      <c r="F81" s="23" t="str">
        <f t="shared" si="2"/>
        <v>rtdc.l.rtdc.4011:itc</v>
      </c>
      <c r="G81" s="8">
        <f t="shared" si="3"/>
        <v>42612.422083333331</v>
      </c>
    </row>
    <row r="82" spans="1:7" x14ac:dyDescent="0.25">
      <c r="A82" s="8">
        <v>42612.426550925928</v>
      </c>
      <c r="B82" s="23" t="s">
        <v>235</v>
      </c>
      <c r="C82" s="23" t="s">
        <v>364</v>
      </c>
      <c r="D82" s="23">
        <v>2230000</v>
      </c>
      <c r="E82" s="23" t="s">
        <v>391</v>
      </c>
      <c r="F82" s="23" t="str">
        <f t="shared" si="2"/>
        <v>rtdc.l.rtdc.4019:itc</v>
      </c>
      <c r="G82" s="8">
        <f t="shared" si="3"/>
        <v>42612.426550925928</v>
      </c>
    </row>
    <row r="83" spans="1:7" x14ac:dyDescent="0.25">
      <c r="A83" s="8">
        <v>42612.428622685184</v>
      </c>
      <c r="B83" s="23" t="s">
        <v>112</v>
      </c>
      <c r="C83" s="23" t="s">
        <v>448</v>
      </c>
      <c r="D83" s="23">
        <v>1340000</v>
      </c>
      <c r="E83" s="23" t="s">
        <v>437</v>
      </c>
      <c r="F83" s="23" t="str">
        <f t="shared" si="2"/>
        <v>rtdc.l.rtdc.4014:itc</v>
      </c>
      <c r="G83" s="8">
        <f t="shared" si="3"/>
        <v>42612.428622685184</v>
      </c>
    </row>
    <row r="84" spans="1:7" x14ac:dyDescent="0.25">
      <c r="A84" s="8">
        <v>42612.432962962965</v>
      </c>
      <c r="B84" s="23" t="s">
        <v>147</v>
      </c>
      <c r="C84" s="23" t="s">
        <v>449</v>
      </c>
      <c r="D84" s="23">
        <v>1110000</v>
      </c>
      <c r="E84" s="23" t="s">
        <v>275</v>
      </c>
      <c r="F84" s="23" t="str">
        <f t="shared" si="2"/>
        <v>rtdc.l.rtdc.4042:itc</v>
      </c>
      <c r="G84" s="8">
        <f t="shared" si="3"/>
        <v>42612.432962962965</v>
      </c>
    </row>
    <row r="85" spans="1:7" x14ac:dyDescent="0.25">
      <c r="A85" s="8">
        <v>42612.438206018516</v>
      </c>
      <c r="B85" s="23" t="s">
        <v>304</v>
      </c>
      <c r="C85" s="23" t="s">
        <v>450</v>
      </c>
      <c r="D85" s="23">
        <v>1090000</v>
      </c>
      <c r="E85" s="23" t="s">
        <v>301</v>
      </c>
      <c r="F85" s="23" t="str">
        <f t="shared" si="2"/>
        <v>rtdc.l.rtdc.4017:itc</v>
      </c>
      <c r="G85" s="8">
        <f t="shared" si="3"/>
        <v>42612.438206018516</v>
      </c>
    </row>
    <row r="86" spans="1:7" x14ac:dyDescent="0.25">
      <c r="A86" s="8">
        <v>42612.442326388889</v>
      </c>
      <c r="B86" s="23" t="s">
        <v>90</v>
      </c>
      <c r="C86" s="23" t="s">
        <v>451</v>
      </c>
      <c r="D86" s="23">
        <v>1340000</v>
      </c>
      <c r="E86" s="23" t="s">
        <v>437</v>
      </c>
      <c r="F86" s="23" t="str">
        <f t="shared" si="2"/>
        <v>rtdc.l.rtdc.4013:itc</v>
      </c>
      <c r="G86" s="8">
        <f t="shared" si="3"/>
        <v>42612.442326388889</v>
      </c>
    </row>
    <row r="87" spans="1:7" x14ac:dyDescent="0.25">
      <c r="A87" s="8">
        <v>42612.444872685184</v>
      </c>
      <c r="B87" s="23" t="s">
        <v>239</v>
      </c>
      <c r="C87" s="23" t="s">
        <v>452</v>
      </c>
      <c r="D87" s="23">
        <v>900000</v>
      </c>
      <c r="E87" s="23" t="s">
        <v>401</v>
      </c>
      <c r="F87" s="23" t="str">
        <f t="shared" si="2"/>
        <v>rtdc.l.rtdc.4040:itc</v>
      </c>
      <c r="G87" s="8">
        <f t="shared" si="3"/>
        <v>42612.444872685184</v>
      </c>
    </row>
    <row r="88" spans="1:7" x14ac:dyDescent="0.25">
      <c r="A88" s="8">
        <v>42612.452974537038</v>
      </c>
      <c r="B88" s="23" t="s">
        <v>92</v>
      </c>
      <c r="C88" s="23" t="s">
        <v>453</v>
      </c>
      <c r="D88" s="23">
        <v>1990000</v>
      </c>
      <c r="E88" s="23" t="s">
        <v>240</v>
      </c>
      <c r="F88" s="23" t="str">
        <f t="shared" si="2"/>
        <v>rtdc.l.rtdc.4030:itc</v>
      </c>
      <c r="G88" s="8">
        <f t="shared" si="3"/>
        <v>42612.452974537038</v>
      </c>
    </row>
    <row r="89" spans="1:7" x14ac:dyDescent="0.25">
      <c r="A89" s="8">
        <v>42612.456261574072</v>
      </c>
      <c r="B89" s="23" t="s">
        <v>148</v>
      </c>
      <c r="C89" s="23" t="s">
        <v>367</v>
      </c>
      <c r="D89" s="23">
        <v>1280000</v>
      </c>
      <c r="E89" s="23" t="s">
        <v>273</v>
      </c>
      <c r="F89" s="23" t="str">
        <f t="shared" si="2"/>
        <v>rtdc.l.rtdc.4038:itc</v>
      </c>
      <c r="G89" s="8">
        <f t="shared" si="3"/>
        <v>42612.456261574072</v>
      </c>
    </row>
    <row r="90" spans="1:7" x14ac:dyDescent="0.25">
      <c r="A90" s="8">
        <v>42612.463368055556</v>
      </c>
      <c r="B90" s="23" t="s">
        <v>365</v>
      </c>
      <c r="C90" s="23" t="s">
        <v>366</v>
      </c>
      <c r="D90" s="23">
        <v>1100000</v>
      </c>
      <c r="E90" s="23" t="s">
        <v>397</v>
      </c>
      <c r="F90" s="23" t="str">
        <f t="shared" si="2"/>
        <v>rtdc.l.rtdc.4012:itc</v>
      </c>
      <c r="G90" s="8">
        <f t="shared" si="3"/>
        <v>42612.463368055556</v>
      </c>
    </row>
    <row r="91" spans="1:7" x14ac:dyDescent="0.25">
      <c r="A91" s="8">
        <v>42612.464930555558</v>
      </c>
      <c r="B91" s="23" t="s">
        <v>236</v>
      </c>
      <c r="C91" s="23" t="s">
        <v>454</v>
      </c>
      <c r="D91" s="23">
        <v>2230000</v>
      </c>
      <c r="E91" s="23" t="s">
        <v>391</v>
      </c>
      <c r="F91" s="23" t="str">
        <f t="shared" si="2"/>
        <v>rtdc.l.rtdc.4020:itc</v>
      </c>
      <c r="G91" s="8">
        <f t="shared" si="3"/>
        <v>42612.464930555558</v>
      </c>
    </row>
    <row r="92" spans="1:7" x14ac:dyDescent="0.25">
      <c r="A92" s="8">
        <v>42612.472268518519</v>
      </c>
      <c r="B92" s="23" t="s">
        <v>112</v>
      </c>
      <c r="C92" s="23" t="s">
        <v>455</v>
      </c>
      <c r="D92" s="23">
        <v>1340000</v>
      </c>
      <c r="E92" s="23" t="s">
        <v>437</v>
      </c>
      <c r="F92" s="23" t="str">
        <f t="shared" si="2"/>
        <v>rtdc.l.rtdc.4014:itc</v>
      </c>
      <c r="G92" s="8">
        <f t="shared" si="3"/>
        <v>42612.472268518519</v>
      </c>
    </row>
    <row r="93" spans="1:7" x14ac:dyDescent="0.25">
      <c r="A93" s="8">
        <v>42612.474745370368</v>
      </c>
      <c r="B93" s="23" t="s">
        <v>176</v>
      </c>
      <c r="C93" s="23" t="s">
        <v>456</v>
      </c>
      <c r="D93" s="23">
        <v>1110000</v>
      </c>
      <c r="E93" s="23" t="s">
        <v>275</v>
      </c>
      <c r="F93" s="23" t="str">
        <f t="shared" si="2"/>
        <v>rtdc.l.rtdc.4041:itc</v>
      </c>
      <c r="G93" s="8">
        <f t="shared" si="3"/>
        <v>42612.474745370368</v>
      </c>
    </row>
    <row r="94" spans="1:7" x14ac:dyDescent="0.25">
      <c r="A94" s="8">
        <v>42612.475497685184</v>
      </c>
      <c r="B94" s="23" t="s">
        <v>302</v>
      </c>
      <c r="C94" s="23" t="s">
        <v>457</v>
      </c>
      <c r="D94" s="23">
        <v>2280000</v>
      </c>
      <c r="E94" s="23" t="s">
        <v>458</v>
      </c>
      <c r="F94" s="23" t="str">
        <f t="shared" si="2"/>
        <v>rtdc.l.rtdc.4018:itc</v>
      </c>
      <c r="G94" s="8">
        <f t="shared" si="3"/>
        <v>42612.475497685184</v>
      </c>
    </row>
    <row r="95" spans="1:7" x14ac:dyDescent="0.25">
      <c r="A95" s="8">
        <v>42612.475543981483</v>
      </c>
      <c r="B95" s="23" t="s">
        <v>241</v>
      </c>
      <c r="C95" s="23" t="s">
        <v>368</v>
      </c>
      <c r="D95" s="23">
        <v>900000</v>
      </c>
      <c r="E95" s="23" t="s">
        <v>401</v>
      </c>
      <c r="F95" s="23" t="str">
        <f t="shared" si="2"/>
        <v>rtdc.l.rtdc.4039:itc</v>
      </c>
      <c r="G95" s="8">
        <f t="shared" si="3"/>
        <v>42612.475543981483</v>
      </c>
    </row>
    <row r="96" spans="1:7" x14ac:dyDescent="0.25">
      <c r="A96" s="8">
        <v>42612.477743055555</v>
      </c>
      <c r="B96" s="23" t="s">
        <v>365</v>
      </c>
      <c r="C96" s="23" t="s">
        <v>366</v>
      </c>
      <c r="D96" s="23">
        <v>1100000</v>
      </c>
      <c r="E96" s="23" t="s">
        <v>397</v>
      </c>
      <c r="F96" s="23" t="str">
        <f t="shared" si="2"/>
        <v>rtdc.l.rtdc.4012:itc</v>
      </c>
      <c r="G96" s="8">
        <f t="shared" si="3"/>
        <v>42612.477743055555</v>
      </c>
    </row>
    <row r="97" spans="1:7" x14ac:dyDescent="0.25">
      <c r="A97" s="8">
        <v>42612.483611111114</v>
      </c>
      <c r="B97" s="23" t="s">
        <v>90</v>
      </c>
      <c r="C97" s="23" t="s">
        <v>459</v>
      </c>
      <c r="D97" s="23">
        <v>1340000</v>
      </c>
      <c r="E97" s="23" t="s">
        <v>437</v>
      </c>
      <c r="F97" s="23" t="str">
        <f t="shared" si="2"/>
        <v>rtdc.l.rtdc.4013:itc</v>
      </c>
      <c r="G97" s="8">
        <f t="shared" si="3"/>
        <v>42612.483611111114</v>
      </c>
    </row>
    <row r="98" spans="1:7" x14ac:dyDescent="0.25">
      <c r="A98" s="8">
        <v>42612.48847222222</v>
      </c>
      <c r="B98" s="23" t="s">
        <v>91</v>
      </c>
      <c r="C98" s="23" t="s">
        <v>460</v>
      </c>
      <c r="D98" s="23">
        <v>2270000</v>
      </c>
      <c r="E98" s="23" t="s">
        <v>461</v>
      </c>
      <c r="F98" s="23" t="str">
        <f t="shared" si="2"/>
        <v>rtdc.l.rtdc.4029:itc</v>
      </c>
      <c r="G98" s="8">
        <f t="shared" si="3"/>
        <v>42612.48847222222</v>
      </c>
    </row>
    <row r="99" spans="1:7" x14ac:dyDescent="0.25">
      <c r="A99" s="8">
        <v>42612.493715277778</v>
      </c>
      <c r="B99" s="23" t="s">
        <v>142</v>
      </c>
      <c r="C99" s="23" t="s">
        <v>462</v>
      </c>
      <c r="D99" s="23">
        <v>1280000</v>
      </c>
      <c r="E99" s="23" t="s">
        <v>273</v>
      </c>
      <c r="F99" s="23" t="str">
        <f t="shared" si="2"/>
        <v>rtdc.l.rtdc.4037:itc</v>
      </c>
      <c r="G99" s="8">
        <f t="shared" si="3"/>
        <v>42612.493715277778</v>
      </c>
    </row>
    <row r="100" spans="1:7" x14ac:dyDescent="0.25">
      <c r="A100" s="8">
        <v>42612.497812499998</v>
      </c>
      <c r="B100" s="23" t="s">
        <v>235</v>
      </c>
      <c r="C100" s="23" t="s">
        <v>371</v>
      </c>
      <c r="D100" s="23">
        <v>2230000</v>
      </c>
      <c r="E100" s="23" t="s">
        <v>391</v>
      </c>
      <c r="F100" s="23" t="str">
        <f t="shared" si="2"/>
        <v>rtdc.l.rtdc.4019:itc</v>
      </c>
      <c r="G100" s="8">
        <f t="shared" si="3"/>
        <v>42612.497812499998</v>
      </c>
    </row>
    <row r="101" spans="1:7" x14ac:dyDescent="0.25">
      <c r="A101" s="8">
        <v>42612.499108796299</v>
      </c>
      <c r="B101" s="23" t="s">
        <v>306</v>
      </c>
      <c r="C101" s="23" t="s">
        <v>463</v>
      </c>
      <c r="D101" s="23">
        <v>1140000</v>
      </c>
      <c r="E101" s="23" t="s">
        <v>277</v>
      </c>
      <c r="F101" s="23" t="str">
        <f t="shared" si="2"/>
        <v>rtdc.l.rtdc.4011:itc</v>
      </c>
      <c r="G101" s="8">
        <f t="shared" si="3"/>
        <v>42612.499108796299</v>
      </c>
    </row>
    <row r="102" spans="1:7" x14ac:dyDescent="0.25">
      <c r="A102" s="8">
        <v>42612.501307870371</v>
      </c>
      <c r="B102" s="23" t="s">
        <v>112</v>
      </c>
      <c r="C102" s="23" t="s">
        <v>369</v>
      </c>
      <c r="D102" s="23">
        <v>1360000</v>
      </c>
      <c r="E102" s="23" t="s">
        <v>303</v>
      </c>
      <c r="F102" s="23" t="str">
        <f t="shared" si="2"/>
        <v>rtdc.l.rtdc.4014:itc</v>
      </c>
      <c r="G102" s="8">
        <f t="shared" si="3"/>
        <v>42612.501307870371</v>
      </c>
    </row>
    <row r="103" spans="1:7" x14ac:dyDescent="0.25">
      <c r="A103" s="8">
        <v>42612.506111111114</v>
      </c>
      <c r="B103" s="23" t="s">
        <v>307</v>
      </c>
      <c r="C103" s="23" t="s">
        <v>464</v>
      </c>
      <c r="D103" s="23">
        <v>950000</v>
      </c>
      <c r="E103" s="23" t="s">
        <v>465</v>
      </c>
      <c r="F103" s="23" t="str">
        <f t="shared" si="2"/>
        <v>rtdc.l.rtdc.4006:itc</v>
      </c>
      <c r="G103" s="8">
        <f t="shared" si="3"/>
        <v>42612.506111111114</v>
      </c>
    </row>
    <row r="104" spans="1:7" x14ac:dyDescent="0.25">
      <c r="A104" s="8">
        <v>42612.509976851848</v>
      </c>
      <c r="B104" s="23" t="s">
        <v>147</v>
      </c>
      <c r="C104" s="23" t="s">
        <v>466</v>
      </c>
      <c r="D104" s="23">
        <v>930000</v>
      </c>
      <c r="E104" s="23" t="s">
        <v>276</v>
      </c>
      <c r="F104" s="23" t="str">
        <f t="shared" si="2"/>
        <v>rtdc.l.rtdc.4042:itc</v>
      </c>
      <c r="G104" s="8">
        <f t="shared" si="3"/>
        <v>42612.509976851848</v>
      </c>
    </row>
    <row r="105" spans="1:7" x14ac:dyDescent="0.25">
      <c r="A105" s="8">
        <v>42612.510983796295</v>
      </c>
      <c r="B105" s="23" t="s">
        <v>305</v>
      </c>
      <c r="C105" s="23" t="s">
        <v>464</v>
      </c>
      <c r="D105" s="23">
        <v>950000</v>
      </c>
      <c r="E105" s="23" t="s">
        <v>465</v>
      </c>
      <c r="F105" s="23" t="str">
        <f t="shared" si="2"/>
        <v>rtdc.l.rtdc.4005:itc</v>
      </c>
      <c r="G105" s="8">
        <f t="shared" si="3"/>
        <v>42612.510983796295</v>
      </c>
    </row>
    <row r="106" spans="1:7" x14ac:dyDescent="0.25">
      <c r="A106" s="8">
        <v>42612.516226851854</v>
      </c>
      <c r="B106" s="23" t="s">
        <v>304</v>
      </c>
      <c r="C106" s="23" t="s">
        <v>467</v>
      </c>
      <c r="D106" s="23">
        <v>2280000</v>
      </c>
      <c r="E106" s="23" t="s">
        <v>458</v>
      </c>
      <c r="F106" s="23" t="str">
        <f t="shared" si="2"/>
        <v>rtdc.l.rtdc.4017:itc</v>
      </c>
      <c r="G106" s="8">
        <f t="shared" si="3"/>
        <v>42612.516226851854</v>
      </c>
    </row>
    <row r="107" spans="1:7" x14ac:dyDescent="0.25">
      <c r="A107" s="8">
        <v>42612.517789351848</v>
      </c>
      <c r="B107" s="23" t="s">
        <v>239</v>
      </c>
      <c r="C107" s="23" t="s">
        <v>464</v>
      </c>
      <c r="D107" s="23">
        <v>1780000</v>
      </c>
      <c r="E107" s="23" t="s">
        <v>274</v>
      </c>
      <c r="F107" s="23" t="str">
        <f t="shared" si="2"/>
        <v>rtdc.l.rtdc.4040:itc</v>
      </c>
      <c r="G107" s="8">
        <f t="shared" si="3"/>
        <v>42612.517789351848</v>
      </c>
    </row>
    <row r="108" spans="1:7" x14ac:dyDescent="0.25">
      <c r="A108" s="8">
        <v>42612.523310185185</v>
      </c>
      <c r="B108" s="23" t="s">
        <v>92</v>
      </c>
      <c r="C108" s="23" t="s">
        <v>370</v>
      </c>
      <c r="D108" s="23">
        <v>2270000</v>
      </c>
      <c r="E108" s="23" t="s">
        <v>461</v>
      </c>
      <c r="F108" s="23" t="str">
        <f t="shared" si="2"/>
        <v>rtdc.l.rtdc.4030:itc</v>
      </c>
      <c r="G108" s="8">
        <f t="shared" si="3"/>
        <v>42612.523310185185</v>
      </c>
    </row>
    <row r="109" spans="1:7" x14ac:dyDescent="0.25">
      <c r="A109" s="8">
        <v>42612.526087962964</v>
      </c>
      <c r="B109" s="23" t="s">
        <v>90</v>
      </c>
      <c r="C109" s="23" t="s">
        <v>372</v>
      </c>
      <c r="D109" s="23">
        <v>1360000</v>
      </c>
      <c r="E109" s="23" t="s">
        <v>303</v>
      </c>
      <c r="F109" s="23" t="str">
        <f t="shared" si="2"/>
        <v>rtdc.l.rtdc.4013:itc</v>
      </c>
      <c r="G109" s="8">
        <f t="shared" si="3"/>
        <v>42612.526087962964</v>
      </c>
    </row>
    <row r="110" spans="1:7" x14ac:dyDescent="0.25">
      <c r="A110" s="8">
        <v>42612.528807870367</v>
      </c>
      <c r="B110" s="23" t="s">
        <v>468</v>
      </c>
      <c r="C110" s="23" t="s">
        <v>469</v>
      </c>
      <c r="D110" s="23">
        <v>1280000</v>
      </c>
      <c r="E110" s="23" t="s">
        <v>273</v>
      </c>
      <c r="F110" s="23" t="str">
        <f t="shared" si="2"/>
        <v>rtdc.l.rtdc.4016:itc</v>
      </c>
      <c r="G110" s="8">
        <f t="shared" si="3"/>
        <v>42612.528807870367</v>
      </c>
    </row>
    <row r="111" spans="1:7" x14ac:dyDescent="0.25">
      <c r="A111" s="8">
        <v>42612.535104166665</v>
      </c>
      <c r="B111" s="23" t="s">
        <v>365</v>
      </c>
      <c r="C111" s="23" t="s">
        <v>470</v>
      </c>
      <c r="D111" s="23">
        <v>1140000</v>
      </c>
      <c r="E111" s="23" t="s">
        <v>277</v>
      </c>
      <c r="F111" s="23" t="str">
        <f t="shared" si="2"/>
        <v>rtdc.l.rtdc.4012:itc</v>
      </c>
      <c r="G111" s="8">
        <f t="shared" si="3"/>
        <v>42612.535104166665</v>
      </c>
    </row>
    <row r="112" spans="1:7" x14ac:dyDescent="0.25">
      <c r="A112" s="8">
        <v>42612.538553240738</v>
      </c>
      <c r="B112" s="23" t="s">
        <v>236</v>
      </c>
      <c r="C112" s="23" t="s">
        <v>471</v>
      </c>
      <c r="D112" s="23">
        <v>2230000</v>
      </c>
      <c r="E112" s="23" t="s">
        <v>391</v>
      </c>
      <c r="F112" s="23" t="str">
        <f t="shared" si="2"/>
        <v>rtdc.l.rtdc.4020:itc</v>
      </c>
      <c r="G112" s="8">
        <f t="shared" si="3"/>
        <v>42612.538553240738</v>
      </c>
    </row>
    <row r="113" spans="1:7" x14ac:dyDescent="0.25">
      <c r="A113" s="8">
        <v>42612.544930555552</v>
      </c>
      <c r="B113" s="23" t="s">
        <v>176</v>
      </c>
      <c r="C113" s="23" t="s">
        <v>373</v>
      </c>
      <c r="D113" s="23">
        <v>930000</v>
      </c>
      <c r="E113" s="23" t="s">
        <v>276</v>
      </c>
      <c r="F113" s="23" t="str">
        <f t="shared" si="2"/>
        <v>rtdc.l.rtdc.4041:itc</v>
      </c>
      <c r="G113" s="8">
        <f t="shared" si="3"/>
        <v>42612.544930555552</v>
      </c>
    </row>
    <row r="114" spans="1:7" x14ac:dyDescent="0.25">
      <c r="A114" s="8">
        <v>42612.547013888892</v>
      </c>
      <c r="B114" s="23" t="s">
        <v>112</v>
      </c>
      <c r="C114" s="23" t="s">
        <v>472</v>
      </c>
      <c r="D114" s="23">
        <v>1770000</v>
      </c>
      <c r="E114" s="23" t="s">
        <v>473</v>
      </c>
      <c r="F114" s="23" t="str">
        <f t="shared" si="2"/>
        <v>rtdc.l.rtdc.4014:itc</v>
      </c>
      <c r="G114" s="8">
        <f t="shared" si="3"/>
        <v>42612.547013888892</v>
      </c>
    </row>
    <row r="115" spans="1:7" x14ac:dyDescent="0.25">
      <c r="A115" s="8">
        <v>42612.552569444444</v>
      </c>
      <c r="B115" s="23" t="s">
        <v>302</v>
      </c>
      <c r="C115" s="23" t="s">
        <v>474</v>
      </c>
      <c r="D115" s="23">
        <v>2280000</v>
      </c>
      <c r="E115" s="23" t="s">
        <v>458</v>
      </c>
      <c r="F115" s="23" t="str">
        <f t="shared" si="2"/>
        <v>rtdc.l.rtdc.4018:itc</v>
      </c>
      <c r="G115" s="8">
        <f t="shared" si="3"/>
        <v>42612.552569444444</v>
      </c>
    </row>
    <row r="116" spans="1:7" x14ac:dyDescent="0.25">
      <c r="A116" s="8">
        <v>42612.557488425926</v>
      </c>
      <c r="B116" s="23" t="s">
        <v>241</v>
      </c>
      <c r="C116" s="23" t="s">
        <v>475</v>
      </c>
      <c r="D116" s="23">
        <v>1780000</v>
      </c>
      <c r="E116" s="23" t="s">
        <v>274</v>
      </c>
      <c r="F116" s="23" t="str">
        <f t="shared" si="2"/>
        <v>rtdc.l.rtdc.4039:itc</v>
      </c>
      <c r="G116" s="8">
        <f t="shared" si="3"/>
        <v>42612.557488425926</v>
      </c>
    </row>
    <row r="117" spans="1:7" x14ac:dyDescent="0.25">
      <c r="A117" s="8">
        <v>42612.559212962966</v>
      </c>
      <c r="B117" s="23" t="s">
        <v>91</v>
      </c>
      <c r="C117" s="23" t="s">
        <v>476</v>
      </c>
      <c r="D117" s="23">
        <v>2270000</v>
      </c>
      <c r="E117" s="23" t="s">
        <v>461</v>
      </c>
      <c r="F117" s="23" t="str">
        <f t="shared" si="2"/>
        <v>rtdc.l.rtdc.4029:itc</v>
      </c>
      <c r="G117" s="8">
        <f t="shared" si="3"/>
        <v>42612.559212962966</v>
      </c>
    </row>
    <row r="118" spans="1:7" x14ac:dyDescent="0.25">
      <c r="A118" s="8">
        <v>42612.56627314815</v>
      </c>
      <c r="B118" s="23" t="s">
        <v>354</v>
      </c>
      <c r="C118" s="23" t="s">
        <v>477</v>
      </c>
      <c r="D118" s="23">
        <v>1280000</v>
      </c>
      <c r="E118" s="23" t="s">
        <v>273</v>
      </c>
      <c r="F118" s="23" t="str">
        <f t="shared" si="2"/>
        <v>rtdc.l.rtdc.4015:itc</v>
      </c>
      <c r="G118" s="8">
        <f t="shared" si="3"/>
        <v>42612.56627314815</v>
      </c>
    </row>
    <row r="119" spans="1:7" x14ac:dyDescent="0.25">
      <c r="A119" s="8">
        <v>42612.568020833336</v>
      </c>
      <c r="B119" s="23" t="s">
        <v>90</v>
      </c>
      <c r="C119" s="23" t="s">
        <v>478</v>
      </c>
      <c r="D119" s="23">
        <v>1770000</v>
      </c>
      <c r="E119" s="23" t="s">
        <v>473</v>
      </c>
      <c r="F119" s="23" t="str">
        <f t="shared" si="2"/>
        <v>rtdc.l.rtdc.4013:itc</v>
      </c>
      <c r="G119" s="8">
        <f t="shared" si="3"/>
        <v>42612.568020833336</v>
      </c>
    </row>
    <row r="120" spans="1:7" x14ac:dyDescent="0.25">
      <c r="A120" s="8">
        <v>42612.571956018517</v>
      </c>
      <c r="B120" s="23" t="s">
        <v>306</v>
      </c>
      <c r="C120" s="23" t="s">
        <v>479</v>
      </c>
      <c r="D120" s="23">
        <v>1140000</v>
      </c>
      <c r="E120" s="23" t="s">
        <v>277</v>
      </c>
      <c r="F120" s="23" t="str">
        <f t="shared" si="2"/>
        <v>rtdc.l.rtdc.4011:itc</v>
      </c>
      <c r="G120" s="8">
        <f t="shared" si="3"/>
        <v>42612.571956018517</v>
      </c>
    </row>
    <row r="121" spans="1:7" x14ac:dyDescent="0.25">
      <c r="A121" s="8">
        <v>42612.572997685187</v>
      </c>
      <c r="B121" s="23" t="s">
        <v>235</v>
      </c>
      <c r="C121" s="23" t="s">
        <v>480</v>
      </c>
      <c r="D121" s="23">
        <v>2230000</v>
      </c>
      <c r="E121" s="23" t="s">
        <v>391</v>
      </c>
      <c r="F121" s="23" t="str">
        <f t="shared" si="2"/>
        <v>rtdc.l.rtdc.4019:itc</v>
      </c>
      <c r="G121" s="8">
        <f t="shared" si="3"/>
        <v>42612.572997685187</v>
      </c>
    </row>
    <row r="122" spans="1:7" x14ac:dyDescent="0.25">
      <c r="A122" s="8">
        <v>42612.582997685182</v>
      </c>
      <c r="B122" s="28" t="s">
        <v>147</v>
      </c>
      <c r="C122" s="23" t="s">
        <v>481</v>
      </c>
      <c r="D122" s="23">
        <v>930000</v>
      </c>
      <c r="E122" s="23" t="s">
        <v>276</v>
      </c>
      <c r="F122" s="23" t="str">
        <f t="shared" si="2"/>
        <v>rtdc.l.rtdc.4042:itc</v>
      </c>
      <c r="G122" s="8">
        <f t="shared" si="3"/>
        <v>42612.582997685182</v>
      </c>
    </row>
    <row r="123" spans="1:7" x14ac:dyDescent="0.25">
      <c r="A123" s="8">
        <v>42612.584143518521</v>
      </c>
      <c r="B123" s="23" t="s">
        <v>148</v>
      </c>
      <c r="C123" s="23" t="s">
        <v>482</v>
      </c>
      <c r="D123" s="23">
        <v>950000</v>
      </c>
      <c r="E123" s="23" t="s">
        <v>465</v>
      </c>
      <c r="F123" s="23" t="str">
        <f t="shared" si="2"/>
        <v>rtdc.l.rtdc.4038:itc</v>
      </c>
      <c r="G123" s="8">
        <f t="shared" si="3"/>
        <v>42612.584143518521</v>
      </c>
    </row>
    <row r="124" spans="1:7" x14ac:dyDescent="0.25">
      <c r="A124" s="8">
        <v>42612.587777777779</v>
      </c>
      <c r="B124" s="23" t="s">
        <v>304</v>
      </c>
      <c r="C124" s="23" t="s">
        <v>483</v>
      </c>
      <c r="D124" s="23">
        <v>2280000</v>
      </c>
      <c r="E124" s="23" t="s">
        <v>458</v>
      </c>
      <c r="F124" s="23" t="str">
        <f t="shared" si="2"/>
        <v>rtdc.l.rtdc.4017:itc</v>
      </c>
      <c r="G124" s="8">
        <f t="shared" si="3"/>
        <v>42612.587777777779</v>
      </c>
    </row>
    <row r="125" spans="1:7" x14ac:dyDescent="0.25">
      <c r="A125" s="8">
        <v>42612.592060185183</v>
      </c>
      <c r="B125" s="23" t="s">
        <v>112</v>
      </c>
      <c r="C125" s="23" t="s">
        <v>484</v>
      </c>
      <c r="D125" s="23">
        <v>1770000</v>
      </c>
      <c r="E125" s="23" t="s">
        <v>473</v>
      </c>
      <c r="F125" s="23" t="str">
        <f t="shared" si="2"/>
        <v>rtdc.l.rtdc.4014:itc</v>
      </c>
      <c r="G125" s="8">
        <f t="shared" si="3"/>
        <v>42612.592060185183</v>
      </c>
    </row>
    <row r="126" spans="1:7" x14ac:dyDescent="0.25">
      <c r="A126" s="8">
        <v>42612.594074074077</v>
      </c>
      <c r="B126" s="23" t="s">
        <v>92</v>
      </c>
      <c r="C126" s="23" t="s">
        <v>485</v>
      </c>
      <c r="D126" s="23">
        <v>2270000</v>
      </c>
      <c r="E126" s="23" t="s">
        <v>461</v>
      </c>
      <c r="F126" s="23" t="str">
        <f t="shared" si="2"/>
        <v>rtdc.l.rtdc.4030:itc</v>
      </c>
      <c r="G126" s="8">
        <f t="shared" si="3"/>
        <v>42612.594074074077</v>
      </c>
    </row>
    <row r="127" spans="1:7" x14ac:dyDescent="0.25">
      <c r="A127" s="8">
        <v>42612.602361111109</v>
      </c>
      <c r="B127" s="23" t="s">
        <v>468</v>
      </c>
      <c r="C127" s="23" t="s">
        <v>486</v>
      </c>
      <c r="D127" s="23">
        <v>1280000</v>
      </c>
      <c r="E127" s="23" t="s">
        <v>273</v>
      </c>
      <c r="F127" s="23" t="str">
        <f t="shared" si="2"/>
        <v>rtdc.l.rtdc.4016:itc</v>
      </c>
      <c r="G127" s="8">
        <f t="shared" si="3"/>
        <v>42612.602361111109</v>
      </c>
    </row>
    <row r="128" spans="1:7" x14ac:dyDescent="0.25">
      <c r="A128" s="8">
        <v>42612.605231481481</v>
      </c>
      <c r="B128" s="23" t="s">
        <v>365</v>
      </c>
      <c r="C128" s="23" t="s">
        <v>487</v>
      </c>
      <c r="D128" s="23">
        <v>1140000</v>
      </c>
      <c r="E128" s="23" t="s">
        <v>277</v>
      </c>
      <c r="F128" s="23" t="str">
        <f t="shared" si="2"/>
        <v>rtdc.l.rtdc.4012:itc</v>
      </c>
      <c r="G128" s="8">
        <f t="shared" si="3"/>
        <v>42612.605231481481</v>
      </c>
    </row>
    <row r="129" spans="1:7" x14ac:dyDescent="0.25">
      <c r="A129" s="8">
        <v>42612.609756944446</v>
      </c>
      <c r="B129" s="23" t="s">
        <v>90</v>
      </c>
      <c r="C129" s="23" t="s">
        <v>488</v>
      </c>
      <c r="D129" s="23">
        <v>1770000</v>
      </c>
      <c r="E129" s="23" t="s">
        <v>473</v>
      </c>
      <c r="F129" s="23" t="str">
        <f t="shared" si="2"/>
        <v>rtdc.l.rtdc.4013:itc</v>
      </c>
      <c r="G129" s="8">
        <f t="shared" si="3"/>
        <v>42612.609756944446</v>
      </c>
    </row>
    <row r="130" spans="1:7" x14ac:dyDescent="0.25">
      <c r="A130" s="8">
        <v>42612.611770833333</v>
      </c>
      <c r="B130" s="23" t="s">
        <v>236</v>
      </c>
      <c r="C130" s="23" t="s">
        <v>489</v>
      </c>
      <c r="D130" s="23">
        <v>2230000</v>
      </c>
      <c r="E130" s="23" t="s">
        <v>391</v>
      </c>
      <c r="F130" s="23" t="str">
        <f t="shared" ref="F130:F193" si="4">B130</f>
        <v>rtdc.l.rtdc.4020:itc</v>
      </c>
      <c r="G130" s="8">
        <f t="shared" ref="G130:G193" si="5">A130</f>
        <v>42612.611770833333</v>
      </c>
    </row>
    <row r="131" spans="1:7" x14ac:dyDescent="0.25">
      <c r="A131" s="8">
        <v>42612.617708333331</v>
      </c>
      <c r="B131" s="23" t="s">
        <v>176</v>
      </c>
      <c r="C131" s="23" t="s">
        <v>490</v>
      </c>
      <c r="D131" s="23">
        <v>930000</v>
      </c>
      <c r="E131" s="23" t="s">
        <v>276</v>
      </c>
      <c r="F131" s="23" t="str">
        <f t="shared" si="4"/>
        <v>rtdc.l.rtdc.4041:itc</v>
      </c>
      <c r="G131" s="8">
        <f t="shared" si="5"/>
        <v>42612.617708333331</v>
      </c>
    </row>
    <row r="132" spans="1:7" x14ac:dyDescent="0.25">
      <c r="A132" s="8">
        <v>42612.621944444443</v>
      </c>
      <c r="B132" s="23" t="s">
        <v>302</v>
      </c>
      <c r="C132" s="23" t="s">
        <v>491</v>
      </c>
      <c r="D132" s="23">
        <v>2280000</v>
      </c>
      <c r="E132" s="23" t="s">
        <v>458</v>
      </c>
      <c r="F132" s="23" t="str">
        <f t="shared" si="4"/>
        <v>rtdc.l.rtdc.4018:itc</v>
      </c>
      <c r="G132" s="8">
        <f t="shared" si="5"/>
        <v>42612.621944444443</v>
      </c>
    </row>
    <row r="133" spans="1:7" x14ac:dyDescent="0.25">
      <c r="A133" s="8">
        <v>42612.630995370368</v>
      </c>
      <c r="B133" s="23" t="s">
        <v>142</v>
      </c>
      <c r="C133" s="23" t="s">
        <v>492</v>
      </c>
      <c r="D133" s="23">
        <v>950000</v>
      </c>
      <c r="E133" s="23" t="s">
        <v>465</v>
      </c>
      <c r="F133" s="23" t="str">
        <f t="shared" si="4"/>
        <v>rtdc.l.rtdc.4037:itc</v>
      </c>
      <c r="G133" s="8">
        <f t="shared" si="5"/>
        <v>42612.630995370368</v>
      </c>
    </row>
    <row r="134" spans="1:7" x14ac:dyDescent="0.25">
      <c r="A134" s="8">
        <v>42612.633101851854</v>
      </c>
      <c r="B134" s="23" t="s">
        <v>91</v>
      </c>
      <c r="C134" s="23" t="s">
        <v>493</v>
      </c>
      <c r="D134" s="23">
        <v>2270000</v>
      </c>
      <c r="E134" s="23" t="s">
        <v>461</v>
      </c>
      <c r="F134" s="23" t="str">
        <f t="shared" si="4"/>
        <v>rtdc.l.rtdc.4029:itc</v>
      </c>
      <c r="G134" s="8">
        <f t="shared" si="5"/>
        <v>42612.633101851854</v>
      </c>
    </row>
    <row r="135" spans="1:7" x14ac:dyDescent="0.25">
      <c r="A135" s="8">
        <v>42612.635775462964</v>
      </c>
      <c r="B135" s="23" t="s">
        <v>112</v>
      </c>
      <c r="C135" s="23" t="s">
        <v>494</v>
      </c>
      <c r="D135" s="23">
        <v>1770000</v>
      </c>
      <c r="E135" s="23" t="s">
        <v>473</v>
      </c>
      <c r="F135" s="23" t="str">
        <f t="shared" si="4"/>
        <v>rtdc.l.rtdc.4014:itc</v>
      </c>
      <c r="G135" s="8">
        <f t="shared" si="5"/>
        <v>42612.635775462964</v>
      </c>
    </row>
    <row r="136" spans="1:7" x14ac:dyDescent="0.25">
      <c r="A136" s="8">
        <v>42612.640486111108</v>
      </c>
      <c r="B136" s="23" t="s">
        <v>354</v>
      </c>
      <c r="C136" s="23" t="s">
        <v>495</v>
      </c>
      <c r="D136" s="23">
        <v>1280000</v>
      </c>
      <c r="E136" s="23" t="s">
        <v>273</v>
      </c>
      <c r="F136" s="23" t="str">
        <f t="shared" si="4"/>
        <v>rtdc.l.rtdc.4015:itc</v>
      </c>
      <c r="G136" s="8">
        <f t="shared" si="5"/>
        <v>42612.640486111108</v>
      </c>
    </row>
    <row r="137" spans="1:7" x14ac:dyDescent="0.25">
      <c r="A137" s="8">
        <v>42612.640798611108</v>
      </c>
      <c r="B137" s="23" t="s">
        <v>242</v>
      </c>
      <c r="C137" s="23" t="s">
        <v>496</v>
      </c>
      <c r="D137" s="23">
        <v>2250000</v>
      </c>
      <c r="E137" s="23" t="s">
        <v>497</v>
      </c>
      <c r="F137" s="23" t="str">
        <f t="shared" si="4"/>
        <v>rtdc.l.rtdc.4028:itc</v>
      </c>
      <c r="G137" s="8">
        <f t="shared" si="5"/>
        <v>42612.640798611108</v>
      </c>
    </row>
    <row r="138" spans="1:7" x14ac:dyDescent="0.25">
      <c r="A138" s="8">
        <v>42612.643368055556</v>
      </c>
      <c r="B138" s="23" t="s">
        <v>242</v>
      </c>
      <c r="C138" s="23" t="s">
        <v>496</v>
      </c>
      <c r="D138" s="23">
        <v>2250000</v>
      </c>
      <c r="E138" s="23" t="s">
        <v>497</v>
      </c>
      <c r="F138" s="23" t="str">
        <f t="shared" si="4"/>
        <v>rtdc.l.rtdc.4028:itc</v>
      </c>
      <c r="G138" s="8">
        <f t="shared" si="5"/>
        <v>42612.643368055556</v>
      </c>
    </row>
    <row r="139" spans="1:7" x14ac:dyDescent="0.25">
      <c r="A139" s="8">
        <v>42612.644444444442</v>
      </c>
      <c r="B139" s="23" t="s">
        <v>242</v>
      </c>
      <c r="C139" s="23" t="s">
        <v>496</v>
      </c>
      <c r="D139" s="23">
        <v>2250000</v>
      </c>
      <c r="E139" s="23" t="s">
        <v>497</v>
      </c>
      <c r="F139" s="23" t="str">
        <f t="shared" si="4"/>
        <v>rtdc.l.rtdc.4028:itc</v>
      </c>
      <c r="G139" s="8">
        <f t="shared" si="5"/>
        <v>42612.644444444442</v>
      </c>
    </row>
    <row r="140" spans="1:7" x14ac:dyDescent="0.25">
      <c r="A140" s="8">
        <v>42612.645914351851</v>
      </c>
      <c r="B140" s="23" t="s">
        <v>235</v>
      </c>
      <c r="C140" s="23" t="s">
        <v>498</v>
      </c>
      <c r="D140" s="23">
        <v>2230000</v>
      </c>
      <c r="E140" s="23" t="s">
        <v>391</v>
      </c>
      <c r="F140" s="23" t="str">
        <f t="shared" si="4"/>
        <v>rtdc.l.rtdc.4019:itc</v>
      </c>
      <c r="G140" s="8">
        <f t="shared" si="5"/>
        <v>42612.645914351851</v>
      </c>
    </row>
    <row r="141" spans="1:7" x14ac:dyDescent="0.25">
      <c r="A141" s="8">
        <v>42612.646296296298</v>
      </c>
      <c r="B141" s="23" t="s">
        <v>306</v>
      </c>
      <c r="C141" s="23" t="s">
        <v>499</v>
      </c>
      <c r="D141" s="23">
        <v>1140000</v>
      </c>
      <c r="E141" s="23" t="s">
        <v>277</v>
      </c>
      <c r="F141" s="23" t="str">
        <f t="shared" si="4"/>
        <v>rtdc.l.rtdc.4011:itc</v>
      </c>
      <c r="G141" s="8">
        <f t="shared" si="5"/>
        <v>42612.646296296298</v>
      </c>
    </row>
    <row r="142" spans="1:7" x14ac:dyDescent="0.25">
      <c r="A142" s="8">
        <v>42612.651145833333</v>
      </c>
      <c r="B142" s="23" t="s">
        <v>90</v>
      </c>
      <c r="C142" s="23" t="s">
        <v>500</v>
      </c>
      <c r="D142" s="23">
        <v>1770000</v>
      </c>
      <c r="E142" s="23" t="s">
        <v>473</v>
      </c>
      <c r="F142" s="23" t="str">
        <f t="shared" si="4"/>
        <v>rtdc.l.rtdc.4013:itc</v>
      </c>
      <c r="G142" s="8">
        <f t="shared" si="5"/>
        <v>42612.651145833333</v>
      </c>
    </row>
    <row r="143" spans="1:7" x14ac:dyDescent="0.25">
      <c r="A143" s="8">
        <v>42612.653645833336</v>
      </c>
      <c r="B143" s="23" t="s">
        <v>147</v>
      </c>
      <c r="C143" s="23" t="s">
        <v>501</v>
      </c>
      <c r="D143" s="23">
        <v>930000</v>
      </c>
      <c r="E143" s="23" t="s">
        <v>276</v>
      </c>
      <c r="F143" s="23" t="str">
        <f t="shared" si="4"/>
        <v>rtdc.l.rtdc.4042:itc</v>
      </c>
      <c r="G143" s="8">
        <f t="shared" si="5"/>
        <v>42612.653645833336</v>
      </c>
    </row>
    <row r="144" spans="1:7" x14ac:dyDescent="0.25">
      <c r="A144" s="8">
        <v>42612.656666666669</v>
      </c>
      <c r="B144" s="23" t="s">
        <v>93</v>
      </c>
      <c r="C144" s="23" t="s">
        <v>502</v>
      </c>
      <c r="D144" s="23">
        <v>2250000</v>
      </c>
      <c r="E144" s="23" t="s">
        <v>497</v>
      </c>
      <c r="F144" s="23" t="str">
        <f t="shared" si="4"/>
        <v>rtdc.l.rtdc.4027:itc</v>
      </c>
      <c r="G144" s="8">
        <f t="shared" si="5"/>
        <v>42612.656666666669</v>
      </c>
    </row>
    <row r="145" spans="1:7" x14ac:dyDescent="0.25">
      <c r="A145" s="8">
        <v>42612.658530092594</v>
      </c>
      <c r="B145" s="23" t="s">
        <v>93</v>
      </c>
      <c r="C145" s="23" t="s">
        <v>502</v>
      </c>
      <c r="D145" s="23">
        <v>2250000</v>
      </c>
      <c r="E145" s="23" t="s">
        <v>497</v>
      </c>
      <c r="F145" s="23" t="str">
        <f t="shared" si="4"/>
        <v>rtdc.l.rtdc.4027:itc</v>
      </c>
      <c r="G145" s="8">
        <f t="shared" si="5"/>
        <v>42612.658530092594</v>
      </c>
    </row>
    <row r="146" spans="1:7" x14ac:dyDescent="0.25">
      <c r="A146" s="8">
        <v>42612.660983796297</v>
      </c>
      <c r="B146" s="23" t="s">
        <v>304</v>
      </c>
      <c r="C146" s="23" t="s">
        <v>375</v>
      </c>
      <c r="D146" s="23">
        <v>2280000</v>
      </c>
      <c r="E146" s="23" t="s">
        <v>458</v>
      </c>
      <c r="F146" s="23" t="str">
        <f t="shared" si="4"/>
        <v>rtdc.l.rtdc.4017:itc</v>
      </c>
      <c r="G146" s="8">
        <f t="shared" si="5"/>
        <v>42612.660983796297</v>
      </c>
    </row>
    <row r="147" spans="1:7" x14ac:dyDescent="0.25">
      <c r="A147" s="8">
        <v>42612.665254629632</v>
      </c>
      <c r="B147" s="23" t="s">
        <v>92</v>
      </c>
      <c r="C147" s="23" t="s">
        <v>503</v>
      </c>
      <c r="D147" s="23">
        <v>2270000</v>
      </c>
      <c r="E147" s="23" t="s">
        <v>461</v>
      </c>
      <c r="F147" s="23" t="str">
        <f t="shared" si="4"/>
        <v>rtdc.l.rtdc.4030:itc</v>
      </c>
      <c r="G147" s="8">
        <f t="shared" si="5"/>
        <v>42612.665254629632</v>
      </c>
    </row>
    <row r="148" spans="1:7" x14ac:dyDescent="0.25">
      <c r="A148" s="8">
        <v>42612.667581018519</v>
      </c>
      <c r="B148" s="23" t="s">
        <v>148</v>
      </c>
      <c r="C148" s="23" t="s">
        <v>504</v>
      </c>
      <c r="D148" s="23">
        <v>950000</v>
      </c>
      <c r="E148" s="23" t="s">
        <v>465</v>
      </c>
      <c r="F148" s="23" t="str">
        <f t="shared" si="4"/>
        <v>rtdc.l.rtdc.4038:itc</v>
      </c>
      <c r="G148" s="8">
        <f t="shared" si="5"/>
        <v>42612.667581018519</v>
      </c>
    </row>
    <row r="149" spans="1:7" x14ac:dyDescent="0.25">
      <c r="A149" s="8">
        <v>42612.672905092593</v>
      </c>
      <c r="B149" s="23" t="s">
        <v>242</v>
      </c>
      <c r="C149" s="23" t="s">
        <v>505</v>
      </c>
      <c r="D149" s="23">
        <v>2250000</v>
      </c>
      <c r="E149" s="23" t="s">
        <v>497</v>
      </c>
      <c r="F149" s="23" t="str">
        <f t="shared" si="4"/>
        <v>rtdc.l.rtdc.4028:itc</v>
      </c>
      <c r="G149" s="8">
        <f t="shared" si="5"/>
        <v>42612.672905092593</v>
      </c>
    </row>
    <row r="150" spans="1:7" x14ac:dyDescent="0.25">
      <c r="A150" s="8">
        <v>42612.674733796295</v>
      </c>
      <c r="B150" s="23" t="s">
        <v>468</v>
      </c>
      <c r="C150" s="23" t="s">
        <v>506</v>
      </c>
      <c r="D150" s="23">
        <v>1280000</v>
      </c>
      <c r="E150" s="23" t="s">
        <v>273</v>
      </c>
      <c r="F150" s="23" t="str">
        <f t="shared" si="4"/>
        <v>rtdc.l.rtdc.4016:itc</v>
      </c>
      <c r="G150" s="8">
        <f t="shared" si="5"/>
        <v>42612.674733796295</v>
      </c>
    </row>
    <row r="151" spans="1:7" x14ac:dyDescent="0.25">
      <c r="A151" s="8">
        <v>42612.674895833334</v>
      </c>
      <c r="B151" s="23" t="s">
        <v>112</v>
      </c>
      <c r="C151" s="23" t="s">
        <v>374</v>
      </c>
      <c r="D151" s="23">
        <v>1770000</v>
      </c>
      <c r="E151" s="23" t="s">
        <v>473</v>
      </c>
      <c r="F151" s="23" t="str">
        <f t="shared" si="4"/>
        <v>rtdc.l.rtdc.4014:itc</v>
      </c>
      <c r="G151" s="8">
        <f t="shared" si="5"/>
        <v>42612.674895833334</v>
      </c>
    </row>
    <row r="152" spans="1:7" x14ac:dyDescent="0.25">
      <c r="A152" s="8">
        <v>42612.678773148145</v>
      </c>
      <c r="B152" s="23" t="s">
        <v>365</v>
      </c>
      <c r="C152" s="23" t="s">
        <v>507</v>
      </c>
      <c r="D152" s="23">
        <v>1140000</v>
      </c>
      <c r="E152" s="23" t="s">
        <v>277</v>
      </c>
      <c r="F152" s="23" t="str">
        <f t="shared" si="4"/>
        <v>rtdc.l.rtdc.4012:itc</v>
      </c>
      <c r="G152" s="8">
        <f t="shared" si="5"/>
        <v>42612.678773148145</v>
      </c>
    </row>
    <row r="153" spans="1:7" x14ac:dyDescent="0.25">
      <c r="A153" s="8">
        <v>42612.684386574074</v>
      </c>
      <c r="B153" s="23" t="s">
        <v>236</v>
      </c>
      <c r="C153" s="23" t="s">
        <v>508</v>
      </c>
      <c r="D153" s="23">
        <v>2230000</v>
      </c>
      <c r="E153" s="23" t="s">
        <v>391</v>
      </c>
      <c r="F153" s="23" t="str">
        <f t="shared" si="4"/>
        <v>rtdc.l.rtdc.4020:itc</v>
      </c>
      <c r="G153" s="8">
        <f t="shared" si="5"/>
        <v>42612.684386574074</v>
      </c>
    </row>
    <row r="154" spans="1:7" x14ac:dyDescent="0.25">
      <c r="A154" s="8">
        <v>42612.691412037035</v>
      </c>
      <c r="B154" s="23" t="s">
        <v>176</v>
      </c>
      <c r="C154" s="23" t="s">
        <v>376</v>
      </c>
      <c r="D154" s="23">
        <v>930000</v>
      </c>
      <c r="E154" s="23" t="s">
        <v>276</v>
      </c>
      <c r="F154" s="23" t="str">
        <f t="shared" si="4"/>
        <v>rtdc.l.rtdc.4041:itc</v>
      </c>
      <c r="G154" s="8">
        <f t="shared" si="5"/>
        <v>42612.691412037035</v>
      </c>
    </row>
    <row r="155" spans="1:7" x14ac:dyDescent="0.25">
      <c r="A155" s="8">
        <v>42612.693287037036</v>
      </c>
      <c r="B155" s="23" t="s">
        <v>90</v>
      </c>
      <c r="C155" s="23" t="s">
        <v>509</v>
      </c>
      <c r="D155" s="23">
        <v>1770000</v>
      </c>
      <c r="E155" s="23" t="s">
        <v>473</v>
      </c>
      <c r="F155" s="23" t="str">
        <f t="shared" si="4"/>
        <v>rtdc.l.rtdc.4013:itc</v>
      </c>
      <c r="G155" s="8">
        <f t="shared" si="5"/>
        <v>42612.693287037036</v>
      </c>
    </row>
    <row r="156" spans="1:7" x14ac:dyDescent="0.25">
      <c r="A156" s="8">
        <v>42612.696701388886</v>
      </c>
      <c r="B156" s="23" t="s">
        <v>93</v>
      </c>
      <c r="C156" s="23" t="s">
        <v>510</v>
      </c>
      <c r="D156" s="23">
        <v>2250000</v>
      </c>
      <c r="E156" s="23" t="s">
        <v>497</v>
      </c>
      <c r="F156" s="23" t="str">
        <f t="shared" si="4"/>
        <v>rtdc.l.rtdc.4027:itc</v>
      </c>
      <c r="G156" s="8">
        <f t="shared" si="5"/>
        <v>42612.696701388886</v>
      </c>
    </row>
    <row r="157" spans="1:7" x14ac:dyDescent="0.25">
      <c r="A157" s="8">
        <v>42612.698009259257</v>
      </c>
      <c r="B157" s="23" t="s">
        <v>302</v>
      </c>
      <c r="C157" s="23" t="s">
        <v>511</v>
      </c>
      <c r="D157" s="23">
        <v>2280000</v>
      </c>
      <c r="E157" s="23" t="s">
        <v>458</v>
      </c>
      <c r="F157" s="23" t="str">
        <f t="shared" si="4"/>
        <v>rtdc.l.rtdc.4018:itc</v>
      </c>
      <c r="G157" s="8">
        <f t="shared" si="5"/>
        <v>42612.698009259257</v>
      </c>
    </row>
    <row r="158" spans="1:7" x14ac:dyDescent="0.25">
      <c r="A158" s="8">
        <v>42612.706157407411</v>
      </c>
      <c r="B158" s="23" t="s">
        <v>91</v>
      </c>
      <c r="C158" s="23" t="s">
        <v>512</v>
      </c>
      <c r="D158" s="23">
        <v>2270000</v>
      </c>
      <c r="E158" s="23" t="s">
        <v>461</v>
      </c>
      <c r="F158" s="23" t="str">
        <f t="shared" si="4"/>
        <v>rtdc.l.rtdc.4029:itc</v>
      </c>
      <c r="G158" s="8">
        <f t="shared" si="5"/>
        <v>42612.706157407411</v>
      </c>
    </row>
    <row r="159" spans="1:7" x14ac:dyDescent="0.25">
      <c r="A159" s="8">
        <v>42612.707777777781</v>
      </c>
      <c r="B159" s="23" t="s">
        <v>354</v>
      </c>
      <c r="C159" s="23" t="s">
        <v>379</v>
      </c>
      <c r="D159" s="23">
        <v>1280000</v>
      </c>
      <c r="E159" s="23" t="s">
        <v>273</v>
      </c>
      <c r="F159" s="23" t="str">
        <f t="shared" si="4"/>
        <v>rtdc.l.rtdc.4015:itc</v>
      </c>
      <c r="G159" s="8">
        <f t="shared" si="5"/>
        <v>42612.707777777781</v>
      </c>
    </row>
    <row r="160" spans="1:7" x14ac:dyDescent="0.25">
      <c r="A160" s="8">
        <v>42612.714236111111</v>
      </c>
      <c r="B160" s="23" t="s">
        <v>242</v>
      </c>
      <c r="C160" s="23" t="s">
        <v>513</v>
      </c>
      <c r="D160" s="23">
        <v>2250000</v>
      </c>
      <c r="E160" s="23" t="s">
        <v>497</v>
      </c>
      <c r="F160" s="23" t="str">
        <f t="shared" si="4"/>
        <v>rtdc.l.rtdc.4028:itc</v>
      </c>
      <c r="G160" s="8">
        <f t="shared" si="5"/>
        <v>42612.714236111111</v>
      </c>
    </row>
    <row r="161" spans="1:7" x14ac:dyDescent="0.25">
      <c r="A161" s="8">
        <v>42612.71675925926</v>
      </c>
      <c r="B161" s="23" t="s">
        <v>306</v>
      </c>
      <c r="C161" s="23" t="s">
        <v>514</v>
      </c>
      <c r="D161" s="23">
        <v>2220000</v>
      </c>
      <c r="E161" s="23" t="s">
        <v>515</v>
      </c>
      <c r="F161" s="23" t="str">
        <f t="shared" si="4"/>
        <v>rtdc.l.rtdc.4011:itc</v>
      </c>
      <c r="G161" s="8">
        <f t="shared" si="5"/>
        <v>42612.71675925926</v>
      </c>
    </row>
    <row r="162" spans="1:7" x14ac:dyDescent="0.25">
      <c r="A162" s="8">
        <v>42612.716886574075</v>
      </c>
      <c r="B162" s="23" t="s">
        <v>377</v>
      </c>
      <c r="C162" s="23" t="s">
        <v>378</v>
      </c>
      <c r="D162" s="23">
        <v>1290000</v>
      </c>
      <c r="E162" s="23" t="s">
        <v>278</v>
      </c>
      <c r="F162" s="23" t="str">
        <f t="shared" si="4"/>
        <v>rtdc.l.rtdc.4021:itc</v>
      </c>
      <c r="G162" s="8">
        <f t="shared" si="5"/>
        <v>42612.716886574075</v>
      </c>
    </row>
    <row r="163" spans="1:7" x14ac:dyDescent="0.25">
      <c r="A163" s="8">
        <v>42612.719907407409</v>
      </c>
      <c r="B163" s="23" t="s">
        <v>112</v>
      </c>
      <c r="C163" s="23" t="s">
        <v>516</v>
      </c>
      <c r="D163" s="23">
        <v>1770000</v>
      </c>
      <c r="E163" s="23" t="s">
        <v>473</v>
      </c>
      <c r="F163" s="23" t="str">
        <f t="shared" si="4"/>
        <v>rtdc.l.rtdc.4014:itc</v>
      </c>
      <c r="G163" s="8">
        <f t="shared" si="5"/>
        <v>42612.719907407409</v>
      </c>
    </row>
    <row r="164" spans="1:7" x14ac:dyDescent="0.25">
      <c r="A164" s="8">
        <v>42612.720520833333</v>
      </c>
      <c r="B164" s="23" t="s">
        <v>235</v>
      </c>
      <c r="C164" s="23" t="s">
        <v>517</v>
      </c>
      <c r="D164" s="23">
        <v>2230000</v>
      </c>
      <c r="E164" s="23" t="s">
        <v>391</v>
      </c>
      <c r="F164" s="23" t="str">
        <f t="shared" si="4"/>
        <v>rtdc.l.rtdc.4019:itc</v>
      </c>
      <c r="G164" s="8">
        <f t="shared" si="5"/>
        <v>42612.720520833333</v>
      </c>
    </row>
    <row r="165" spans="1:7" x14ac:dyDescent="0.25">
      <c r="A165" s="8">
        <v>42612.72861111111</v>
      </c>
      <c r="B165" s="23" t="s">
        <v>147</v>
      </c>
      <c r="C165" s="23" t="s">
        <v>518</v>
      </c>
      <c r="D165" s="23">
        <v>1140000</v>
      </c>
      <c r="E165" s="23" t="s">
        <v>277</v>
      </c>
      <c r="F165" s="23" t="str">
        <f t="shared" si="4"/>
        <v>rtdc.l.rtdc.4042:itc</v>
      </c>
      <c r="G165" s="8">
        <f t="shared" si="5"/>
        <v>42612.72861111111</v>
      </c>
    </row>
    <row r="166" spans="1:7" x14ac:dyDescent="0.25">
      <c r="A166" s="8">
        <v>42612.730196759258</v>
      </c>
      <c r="B166" s="23" t="s">
        <v>93</v>
      </c>
      <c r="C166" s="23" t="s">
        <v>380</v>
      </c>
      <c r="D166" s="23">
        <v>2250000</v>
      </c>
      <c r="E166" s="23" t="s">
        <v>497</v>
      </c>
      <c r="F166" s="23" t="str">
        <f t="shared" si="4"/>
        <v>rtdc.l.rtdc.4027:itc</v>
      </c>
      <c r="G166" s="8">
        <f t="shared" si="5"/>
        <v>42612.730196759258</v>
      </c>
    </row>
    <row r="167" spans="1:7" x14ac:dyDescent="0.25">
      <c r="A167" s="8">
        <v>42612.732916666668</v>
      </c>
      <c r="B167" s="23" t="s">
        <v>239</v>
      </c>
      <c r="C167" s="23" t="s">
        <v>382</v>
      </c>
      <c r="D167" s="23">
        <v>1290000</v>
      </c>
      <c r="E167" s="23" t="s">
        <v>278</v>
      </c>
      <c r="F167" s="23" t="str">
        <f t="shared" si="4"/>
        <v>rtdc.l.rtdc.4040:itc</v>
      </c>
      <c r="G167" s="8">
        <f t="shared" si="5"/>
        <v>42612.732916666668</v>
      </c>
    </row>
    <row r="168" spans="1:7" x14ac:dyDescent="0.25">
      <c r="A168" s="8">
        <v>42612.73400462963</v>
      </c>
      <c r="B168" s="23" t="s">
        <v>304</v>
      </c>
      <c r="C168" s="23" t="s">
        <v>519</v>
      </c>
      <c r="D168" s="23">
        <v>2280000</v>
      </c>
      <c r="E168" s="23" t="s">
        <v>458</v>
      </c>
      <c r="F168" s="23" t="str">
        <f t="shared" si="4"/>
        <v>rtdc.l.rtdc.4017:itc</v>
      </c>
      <c r="G168" s="8">
        <f t="shared" si="5"/>
        <v>42612.73400462963</v>
      </c>
    </row>
    <row r="169" spans="1:7" x14ac:dyDescent="0.25">
      <c r="A169" s="8">
        <v>42612.734178240738</v>
      </c>
      <c r="B169" s="23" t="s">
        <v>90</v>
      </c>
      <c r="C169" s="23" t="s">
        <v>520</v>
      </c>
      <c r="D169" s="23">
        <v>1770000</v>
      </c>
      <c r="E169" s="23" t="s">
        <v>473</v>
      </c>
      <c r="F169" s="23" t="str">
        <f t="shared" si="4"/>
        <v>rtdc.l.rtdc.4013:itc</v>
      </c>
      <c r="G169" s="8">
        <f t="shared" si="5"/>
        <v>42612.734178240738</v>
      </c>
    </row>
    <row r="170" spans="1:7" x14ac:dyDescent="0.25">
      <c r="A170" s="8">
        <v>42612.734652777777</v>
      </c>
      <c r="B170" s="23" t="s">
        <v>169</v>
      </c>
      <c r="C170" s="23" t="s">
        <v>521</v>
      </c>
      <c r="D170" s="23">
        <v>2090000</v>
      </c>
      <c r="E170" s="23" t="s">
        <v>187</v>
      </c>
      <c r="F170" s="23" t="str">
        <f t="shared" si="4"/>
        <v>rtdc.l.rtdc.4010:itc</v>
      </c>
      <c r="G170" s="8">
        <f t="shared" si="5"/>
        <v>42612.734652777777</v>
      </c>
    </row>
    <row r="171" spans="1:7" x14ac:dyDescent="0.25">
      <c r="A171" s="8">
        <v>42612.741759259261</v>
      </c>
      <c r="B171" s="23" t="s">
        <v>92</v>
      </c>
      <c r="C171" s="23" t="s">
        <v>383</v>
      </c>
      <c r="D171" s="23">
        <v>2270000</v>
      </c>
      <c r="E171" s="23" t="s">
        <v>461</v>
      </c>
      <c r="F171" s="23" t="str">
        <f t="shared" si="4"/>
        <v>rtdc.l.rtdc.4030:itc</v>
      </c>
      <c r="G171" s="8">
        <f t="shared" si="5"/>
        <v>42612.741759259261</v>
      </c>
    </row>
    <row r="172" spans="1:7" x14ac:dyDescent="0.25">
      <c r="A172" s="8">
        <v>42612.747928240744</v>
      </c>
      <c r="B172" s="23" t="s">
        <v>468</v>
      </c>
      <c r="C172" s="23" t="s">
        <v>522</v>
      </c>
      <c r="D172" s="23">
        <v>950000</v>
      </c>
      <c r="E172" s="23" t="s">
        <v>465</v>
      </c>
      <c r="F172" s="23" t="str">
        <f t="shared" si="4"/>
        <v>rtdc.l.rtdc.4016:itc</v>
      </c>
      <c r="G172" s="8">
        <f t="shared" si="5"/>
        <v>42612.747928240744</v>
      </c>
    </row>
    <row r="173" spans="1:7" x14ac:dyDescent="0.25">
      <c r="A173" s="8">
        <v>42612.750150462962</v>
      </c>
      <c r="B173" s="23" t="s">
        <v>365</v>
      </c>
      <c r="C173" s="23" t="s">
        <v>381</v>
      </c>
      <c r="D173" s="23">
        <v>2220000</v>
      </c>
      <c r="E173" s="23" t="s">
        <v>515</v>
      </c>
      <c r="F173" s="23" t="str">
        <f t="shared" si="4"/>
        <v>rtdc.l.rtdc.4012:itc</v>
      </c>
      <c r="G173" s="8">
        <f t="shared" si="5"/>
        <v>42612.750150462962</v>
      </c>
    </row>
    <row r="174" spans="1:7" x14ac:dyDescent="0.25">
      <c r="A174" s="8">
        <v>42612.755983796298</v>
      </c>
      <c r="B174" s="23" t="s">
        <v>242</v>
      </c>
      <c r="C174" s="23" t="s">
        <v>523</v>
      </c>
      <c r="D174" s="23">
        <v>2250000</v>
      </c>
      <c r="E174" s="23" t="s">
        <v>497</v>
      </c>
      <c r="F174" s="23" t="str">
        <f t="shared" si="4"/>
        <v>rtdc.l.rtdc.4028:itc</v>
      </c>
      <c r="G174" s="8">
        <f t="shared" si="5"/>
        <v>42612.755983796298</v>
      </c>
    </row>
    <row r="175" spans="1:7" x14ac:dyDescent="0.25">
      <c r="A175" s="8">
        <v>42612.75640046296</v>
      </c>
      <c r="B175" s="23" t="s">
        <v>524</v>
      </c>
      <c r="C175" s="23" t="s">
        <v>525</v>
      </c>
      <c r="D175" s="23">
        <v>1280000</v>
      </c>
      <c r="E175" s="23" t="s">
        <v>273</v>
      </c>
      <c r="F175" s="23" t="str">
        <f t="shared" si="4"/>
        <v>rtdc.l.rtdc.4022:itc</v>
      </c>
      <c r="G175" s="8">
        <f t="shared" si="5"/>
        <v>42612.75640046296</v>
      </c>
    </row>
    <row r="176" spans="1:7" x14ac:dyDescent="0.25">
      <c r="A176" s="8">
        <v>42612.759074074071</v>
      </c>
      <c r="B176" s="23" t="s">
        <v>236</v>
      </c>
      <c r="C176" s="23" t="s">
        <v>526</v>
      </c>
      <c r="D176" s="23">
        <v>1230000</v>
      </c>
      <c r="E176" s="23" t="s">
        <v>165</v>
      </c>
      <c r="F176" s="23" t="str">
        <f t="shared" si="4"/>
        <v>rtdc.l.rtdc.4020:itc</v>
      </c>
      <c r="G176" s="8">
        <f t="shared" si="5"/>
        <v>42612.759074074071</v>
      </c>
    </row>
    <row r="177" spans="1:7" x14ac:dyDescent="0.25">
      <c r="A177" s="8">
        <v>42612.760196759256</v>
      </c>
      <c r="B177" s="23" t="s">
        <v>112</v>
      </c>
      <c r="C177" s="23" t="s">
        <v>527</v>
      </c>
      <c r="D177" s="23">
        <v>1770000</v>
      </c>
      <c r="E177" s="23" t="s">
        <v>473</v>
      </c>
      <c r="F177" s="23" t="str">
        <f t="shared" si="4"/>
        <v>rtdc.l.rtdc.4014:itc</v>
      </c>
      <c r="G177" s="8">
        <f t="shared" si="5"/>
        <v>42612.760196759256</v>
      </c>
    </row>
    <row r="178" spans="1:7" x14ac:dyDescent="0.25">
      <c r="A178" s="8">
        <v>42612.763969907406</v>
      </c>
      <c r="B178" s="23" t="s">
        <v>176</v>
      </c>
      <c r="C178" s="23" t="s">
        <v>528</v>
      </c>
      <c r="D178" s="23">
        <v>1140000</v>
      </c>
      <c r="E178" s="23" t="s">
        <v>277</v>
      </c>
      <c r="F178" s="23" t="str">
        <f t="shared" si="4"/>
        <v>rtdc.l.rtdc.4041:itc</v>
      </c>
      <c r="G178" s="8">
        <f t="shared" si="5"/>
        <v>42612.763969907406</v>
      </c>
    </row>
    <row r="179" spans="1:7" x14ac:dyDescent="0.25">
      <c r="A179" s="8">
        <v>42612.764513888891</v>
      </c>
      <c r="B179" s="23" t="s">
        <v>172</v>
      </c>
      <c r="C179" s="23" t="s">
        <v>529</v>
      </c>
      <c r="D179" s="23">
        <v>1780000</v>
      </c>
      <c r="E179" s="23" t="s">
        <v>274</v>
      </c>
      <c r="F179" s="23" t="str">
        <f t="shared" si="4"/>
        <v>rtdc.l.rtdc.4002:itc</v>
      </c>
      <c r="G179" s="8">
        <f t="shared" si="5"/>
        <v>42612.764513888891</v>
      </c>
    </row>
    <row r="180" spans="1:7" x14ac:dyDescent="0.25">
      <c r="A180" s="8">
        <v>42612.769236111111</v>
      </c>
      <c r="B180" s="23" t="s">
        <v>302</v>
      </c>
      <c r="C180" s="23" t="s">
        <v>530</v>
      </c>
      <c r="D180" s="23">
        <v>1800000</v>
      </c>
      <c r="E180" s="23" t="s">
        <v>170</v>
      </c>
      <c r="F180" s="23" t="str">
        <f t="shared" si="4"/>
        <v>rtdc.l.rtdc.4018:itc</v>
      </c>
      <c r="G180" s="8">
        <f t="shared" si="5"/>
        <v>42612.769236111111</v>
      </c>
    </row>
    <row r="181" spans="1:7" x14ac:dyDescent="0.25">
      <c r="A181" s="8">
        <v>42612.774687500001</v>
      </c>
      <c r="B181" s="23" t="s">
        <v>93</v>
      </c>
      <c r="C181" s="23" t="s">
        <v>531</v>
      </c>
      <c r="D181" s="23">
        <v>2250000</v>
      </c>
      <c r="E181" s="23" t="s">
        <v>497</v>
      </c>
      <c r="F181" s="23" t="str">
        <f t="shared" si="4"/>
        <v>rtdc.l.rtdc.4027:itc</v>
      </c>
      <c r="G181" s="8">
        <f t="shared" si="5"/>
        <v>42612.774687500001</v>
      </c>
    </row>
    <row r="182" spans="1:7" x14ac:dyDescent="0.25">
      <c r="A182" s="8">
        <v>42612.775497685187</v>
      </c>
      <c r="B182" s="23" t="s">
        <v>241</v>
      </c>
      <c r="C182" s="23" t="s">
        <v>384</v>
      </c>
      <c r="D182" s="23">
        <v>1290000</v>
      </c>
      <c r="E182" s="23" t="s">
        <v>278</v>
      </c>
      <c r="F182" s="23" t="str">
        <f t="shared" si="4"/>
        <v>rtdc.l.rtdc.4039:itc</v>
      </c>
      <c r="G182" s="8">
        <f t="shared" si="5"/>
        <v>42612.775497685187</v>
      </c>
    </row>
    <row r="183" spans="1:7" x14ac:dyDescent="0.25">
      <c r="A183" s="8">
        <v>42612.77611111111</v>
      </c>
      <c r="B183" s="23" t="s">
        <v>90</v>
      </c>
      <c r="C183" s="23" t="s">
        <v>532</v>
      </c>
      <c r="D183" s="23">
        <v>1770000</v>
      </c>
      <c r="E183" s="23" t="s">
        <v>473</v>
      </c>
      <c r="F183" s="23" t="str">
        <f t="shared" si="4"/>
        <v>rtdc.l.rtdc.4013:itc</v>
      </c>
      <c r="G183" s="8">
        <f t="shared" si="5"/>
        <v>42612.77611111111</v>
      </c>
    </row>
    <row r="184" spans="1:7" x14ac:dyDescent="0.25">
      <c r="A184" s="8">
        <v>42612.781215277777</v>
      </c>
      <c r="B184" s="23" t="s">
        <v>91</v>
      </c>
      <c r="C184" s="23" t="s">
        <v>533</v>
      </c>
      <c r="D184" s="23">
        <v>2270000</v>
      </c>
      <c r="E184" s="23" t="s">
        <v>461</v>
      </c>
      <c r="F184" s="23" t="str">
        <f t="shared" si="4"/>
        <v>rtdc.l.rtdc.4029:itc</v>
      </c>
      <c r="G184" s="8">
        <f t="shared" si="5"/>
        <v>42612.781215277777</v>
      </c>
    </row>
    <row r="185" spans="1:7" x14ac:dyDescent="0.25">
      <c r="A185" s="8">
        <v>42612.786030092589</v>
      </c>
      <c r="B185" s="23" t="s">
        <v>354</v>
      </c>
      <c r="C185" s="23" t="s">
        <v>534</v>
      </c>
      <c r="D185" s="23">
        <v>950000</v>
      </c>
      <c r="E185" s="23" t="s">
        <v>465</v>
      </c>
      <c r="F185" s="23" t="str">
        <f t="shared" si="4"/>
        <v>rtdc.l.rtdc.4015:itc</v>
      </c>
      <c r="G185" s="8">
        <f t="shared" si="5"/>
        <v>42612.786030092589</v>
      </c>
    </row>
    <row r="186" spans="1:7" x14ac:dyDescent="0.25">
      <c r="A186" s="8">
        <v>42612.788368055553</v>
      </c>
      <c r="B186" s="23" t="s">
        <v>306</v>
      </c>
      <c r="C186" s="23" t="s">
        <v>535</v>
      </c>
      <c r="D186" s="23">
        <v>2220000</v>
      </c>
      <c r="E186" s="23" t="s">
        <v>515</v>
      </c>
      <c r="F186" s="23" t="str">
        <f t="shared" si="4"/>
        <v>rtdc.l.rtdc.4011:itc</v>
      </c>
      <c r="G186" s="8">
        <f t="shared" si="5"/>
        <v>42612.788368055553</v>
      </c>
    </row>
    <row r="187" spans="1:7" x14ac:dyDescent="0.25">
      <c r="A187" s="8">
        <v>42612.796238425923</v>
      </c>
      <c r="B187" s="23" t="s">
        <v>235</v>
      </c>
      <c r="C187" s="23" t="s">
        <v>536</v>
      </c>
      <c r="D187" s="23">
        <v>1230000</v>
      </c>
      <c r="E187" s="23" t="s">
        <v>165</v>
      </c>
      <c r="F187" s="23" t="str">
        <f t="shared" si="4"/>
        <v>rtdc.l.rtdc.4019:itc</v>
      </c>
      <c r="G187" s="8">
        <f t="shared" si="5"/>
        <v>42612.796238425923</v>
      </c>
    </row>
    <row r="188" spans="1:7" x14ac:dyDescent="0.25">
      <c r="A188" s="8">
        <v>42612.797812500001</v>
      </c>
      <c r="B188" s="23" t="s">
        <v>242</v>
      </c>
      <c r="C188" s="23" t="s">
        <v>537</v>
      </c>
      <c r="D188" s="23">
        <v>2250000</v>
      </c>
      <c r="E188" s="23" t="s">
        <v>497</v>
      </c>
      <c r="F188" s="23" t="str">
        <f t="shared" si="4"/>
        <v>rtdc.l.rtdc.4028:itc</v>
      </c>
      <c r="G188" s="8">
        <f t="shared" si="5"/>
        <v>42612.797812500001</v>
      </c>
    </row>
    <row r="189" spans="1:7" x14ac:dyDescent="0.25">
      <c r="A189" s="8">
        <v>42612.802557870367</v>
      </c>
      <c r="B189" s="23" t="s">
        <v>112</v>
      </c>
      <c r="C189" s="23" t="s">
        <v>538</v>
      </c>
      <c r="D189" s="23">
        <v>1770000</v>
      </c>
      <c r="E189" s="23" t="s">
        <v>473</v>
      </c>
      <c r="F189" s="23" t="str">
        <f t="shared" si="4"/>
        <v>rtdc.l.rtdc.4014:itc</v>
      </c>
      <c r="G189" s="8">
        <f t="shared" si="5"/>
        <v>42612.802557870367</v>
      </c>
    </row>
    <row r="190" spans="1:7" x14ac:dyDescent="0.25">
      <c r="A190" s="8">
        <v>42612.807939814818</v>
      </c>
      <c r="B190" s="23" t="s">
        <v>304</v>
      </c>
      <c r="C190" s="23" t="s">
        <v>539</v>
      </c>
      <c r="D190" s="23">
        <v>1800000</v>
      </c>
      <c r="E190" s="23" t="s">
        <v>170</v>
      </c>
      <c r="F190" s="23" t="str">
        <f t="shared" si="4"/>
        <v>rtdc.l.rtdc.4017:itc</v>
      </c>
      <c r="G190" s="8">
        <f t="shared" si="5"/>
        <v>42612.807939814818</v>
      </c>
    </row>
    <row r="191" spans="1:7" x14ac:dyDescent="0.25">
      <c r="A191" s="8">
        <v>42612.808715277781</v>
      </c>
      <c r="B191" s="23" t="s">
        <v>239</v>
      </c>
      <c r="C191" s="23" t="s">
        <v>540</v>
      </c>
      <c r="D191" s="23">
        <v>1290000</v>
      </c>
      <c r="E191" s="23" t="s">
        <v>278</v>
      </c>
      <c r="F191" s="23" t="str">
        <f t="shared" si="4"/>
        <v>rtdc.l.rtdc.4040:itc</v>
      </c>
      <c r="G191" s="8">
        <f t="shared" si="5"/>
        <v>42612.808715277781</v>
      </c>
    </row>
    <row r="192" spans="1:7" x14ac:dyDescent="0.25">
      <c r="A192" s="8">
        <v>42612.818402777775</v>
      </c>
      <c r="B192" s="23" t="s">
        <v>90</v>
      </c>
      <c r="C192" s="23" t="s">
        <v>541</v>
      </c>
      <c r="D192" s="23">
        <v>1770000</v>
      </c>
      <c r="E192" s="23" t="s">
        <v>473</v>
      </c>
      <c r="F192" s="23" t="str">
        <f t="shared" si="4"/>
        <v>rtdc.l.rtdc.4013:itc</v>
      </c>
      <c r="G192" s="8">
        <f t="shared" si="5"/>
        <v>42612.818402777775</v>
      </c>
    </row>
    <row r="193" spans="1:7" x14ac:dyDescent="0.25">
      <c r="A193" s="8">
        <v>42612.821134259262</v>
      </c>
      <c r="B193" s="23" t="s">
        <v>468</v>
      </c>
      <c r="C193" s="23" t="s">
        <v>542</v>
      </c>
      <c r="D193" s="23">
        <v>950000</v>
      </c>
      <c r="E193" s="23" t="s">
        <v>465</v>
      </c>
      <c r="F193" s="23" t="str">
        <f t="shared" si="4"/>
        <v>rtdc.l.rtdc.4016:itc</v>
      </c>
      <c r="G193" s="8">
        <f t="shared" si="5"/>
        <v>42612.821134259262</v>
      </c>
    </row>
    <row r="194" spans="1:7" x14ac:dyDescent="0.25">
      <c r="A194" s="8">
        <v>42612.824212962965</v>
      </c>
      <c r="B194" s="23" t="s">
        <v>365</v>
      </c>
      <c r="C194" s="23" t="s">
        <v>385</v>
      </c>
      <c r="D194" s="23">
        <v>2220000</v>
      </c>
      <c r="E194" s="23" t="s">
        <v>515</v>
      </c>
      <c r="F194" s="23" t="str">
        <f t="shared" ref="F194:F235" si="6">B194</f>
        <v>rtdc.l.rtdc.4012:itc</v>
      </c>
      <c r="G194" s="8">
        <f t="shared" ref="G194:G235" si="7">A194</f>
        <v>42612.824212962965</v>
      </c>
    </row>
    <row r="195" spans="1:7" x14ac:dyDescent="0.25">
      <c r="A195" s="8">
        <v>42612.828877314816</v>
      </c>
      <c r="B195" s="23" t="s">
        <v>236</v>
      </c>
      <c r="C195" s="23" t="s">
        <v>543</v>
      </c>
      <c r="D195" s="23">
        <v>1230000</v>
      </c>
      <c r="E195" s="23" t="s">
        <v>165</v>
      </c>
      <c r="F195" s="23" t="str">
        <f t="shared" si="6"/>
        <v>rtdc.l.rtdc.4020:itc</v>
      </c>
      <c r="G195" s="8">
        <f t="shared" si="7"/>
        <v>42612.828877314816</v>
      </c>
    </row>
    <row r="196" spans="1:7" x14ac:dyDescent="0.25">
      <c r="A196" s="8">
        <v>42612.843969907408</v>
      </c>
      <c r="B196" s="23" t="s">
        <v>112</v>
      </c>
      <c r="C196" s="23" t="s">
        <v>544</v>
      </c>
      <c r="D196" s="23">
        <v>1770000</v>
      </c>
      <c r="E196" s="23" t="s">
        <v>473</v>
      </c>
      <c r="F196" s="23" t="str">
        <f t="shared" si="6"/>
        <v>rtdc.l.rtdc.4014:itc</v>
      </c>
      <c r="G196" s="8">
        <f t="shared" si="7"/>
        <v>42612.843969907408</v>
      </c>
    </row>
    <row r="197" spans="1:7" x14ac:dyDescent="0.25">
      <c r="A197" s="8">
        <v>42612.848182870373</v>
      </c>
      <c r="B197" s="23" t="s">
        <v>241</v>
      </c>
      <c r="C197" s="23" t="s">
        <v>545</v>
      </c>
      <c r="D197" s="23">
        <v>1290000</v>
      </c>
      <c r="E197" s="23" t="s">
        <v>278</v>
      </c>
      <c r="F197" s="23" t="str">
        <f t="shared" si="6"/>
        <v>rtdc.l.rtdc.4039:itc</v>
      </c>
      <c r="G197" s="8">
        <f t="shared" si="7"/>
        <v>42612.848182870373</v>
      </c>
    </row>
    <row r="198" spans="1:7" x14ac:dyDescent="0.25">
      <c r="A198" s="8">
        <v>42612.853333333333</v>
      </c>
      <c r="B198" s="23" t="s">
        <v>302</v>
      </c>
      <c r="C198" s="23" t="s">
        <v>546</v>
      </c>
      <c r="D198" s="23">
        <v>1800000</v>
      </c>
      <c r="E198" s="23" t="s">
        <v>170</v>
      </c>
      <c r="F198" s="23" t="str">
        <f t="shared" si="6"/>
        <v>rtdc.l.rtdc.4018:itc</v>
      </c>
      <c r="G198" s="8">
        <f t="shared" si="7"/>
        <v>42612.853333333333</v>
      </c>
    </row>
    <row r="199" spans="1:7" x14ac:dyDescent="0.25">
      <c r="A199" s="8">
        <v>42612.859155092592</v>
      </c>
      <c r="B199" s="23" t="s">
        <v>90</v>
      </c>
      <c r="C199" s="23" t="s">
        <v>547</v>
      </c>
      <c r="D199" s="23">
        <v>1770000</v>
      </c>
      <c r="E199" s="23" t="s">
        <v>473</v>
      </c>
      <c r="F199" s="23" t="str">
        <f t="shared" si="6"/>
        <v>rtdc.l.rtdc.4013:itc</v>
      </c>
      <c r="G199" s="8">
        <f t="shared" si="7"/>
        <v>42612.859155092592</v>
      </c>
    </row>
    <row r="200" spans="1:7" x14ac:dyDescent="0.25">
      <c r="A200" s="8">
        <v>42612.864004629628</v>
      </c>
      <c r="B200" s="23" t="s">
        <v>306</v>
      </c>
      <c r="C200" s="23" t="s">
        <v>548</v>
      </c>
      <c r="D200" s="23">
        <v>2090000</v>
      </c>
      <c r="E200" s="23" t="s">
        <v>187</v>
      </c>
      <c r="F200" s="23" t="str">
        <f t="shared" si="6"/>
        <v>rtdc.l.rtdc.4011:itc</v>
      </c>
      <c r="G200" s="8">
        <f t="shared" si="7"/>
        <v>42612.864004629628</v>
      </c>
    </row>
    <row r="201" spans="1:7" x14ac:dyDescent="0.25">
      <c r="A201" s="8">
        <v>42612.868078703701</v>
      </c>
      <c r="B201" s="23" t="s">
        <v>235</v>
      </c>
      <c r="C201" s="23" t="s">
        <v>549</v>
      </c>
      <c r="D201" s="23">
        <v>1230000</v>
      </c>
      <c r="E201" s="23" t="s">
        <v>165</v>
      </c>
      <c r="F201" s="23" t="str">
        <f t="shared" si="6"/>
        <v>rtdc.l.rtdc.4019:itc</v>
      </c>
      <c r="G201" s="8">
        <f t="shared" si="7"/>
        <v>42612.868078703701</v>
      </c>
    </row>
    <row r="202" spans="1:7" x14ac:dyDescent="0.25">
      <c r="A202" s="29">
        <v>42612.877372685187</v>
      </c>
      <c r="B202" s="23" t="s">
        <v>112</v>
      </c>
      <c r="C202" s="23" t="s">
        <v>550</v>
      </c>
      <c r="D202" s="23">
        <v>2250000</v>
      </c>
      <c r="E202" s="23" t="s">
        <v>497</v>
      </c>
      <c r="F202" s="23" t="str">
        <f t="shared" si="6"/>
        <v>rtdc.l.rtdc.4014:itc</v>
      </c>
      <c r="G202" s="8">
        <f t="shared" si="7"/>
        <v>42612.877372685187</v>
      </c>
    </row>
    <row r="203" spans="1:7" x14ac:dyDescent="0.25">
      <c r="A203" s="8">
        <v>42612.891597222224</v>
      </c>
      <c r="B203" s="23" t="s">
        <v>304</v>
      </c>
      <c r="C203" s="23" t="s">
        <v>551</v>
      </c>
      <c r="D203" s="23">
        <v>1800000</v>
      </c>
      <c r="E203" s="23" t="s">
        <v>170</v>
      </c>
      <c r="F203" s="23" t="str">
        <f t="shared" si="6"/>
        <v>rtdc.l.rtdc.4017:itc</v>
      </c>
      <c r="G203" s="8">
        <f t="shared" si="7"/>
        <v>42612.891597222224</v>
      </c>
    </row>
    <row r="204" spans="1:7" x14ac:dyDescent="0.25">
      <c r="A204" s="8">
        <v>42612.893611111111</v>
      </c>
      <c r="B204" s="23" t="s">
        <v>239</v>
      </c>
      <c r="C204" s="23" t="s">
        <v>552</v>
      </c>
      <c r="D204" s="23">
        <v>1290000</v>
      </c>
      <c r="E204" s="23" t="s">
        <v>278</v>
      </c>
      <c r="F204" s="23" t="str">
        <f t="shared" si="6"/>
        <v>rtdc.l.rtdc.4040:itc</v>
      </c>
      <c r="G204" s="8">
        <f t="shared" si="7"/>
        <v>42612.893611111111</v>
      </c>
    </row>
    <row r="205" spans="1:7" x14ac:dyDescent="0.25">
      <c r="A205" s="8">
        <v>42612.901597222219</v>
      </c>
      <c r="B205" s="23" t="s">
        <v>236</v>
      </c>
      <c r="C205" s="23" t="s">
        <v>553</v>
      </c>
      <c r="D205" s="23">
        <v>1230000</v>
      </c>
      <c r="E205" s="23" t="s">
        <v>165</v>
      </c>
      <c r="F205" s="23" t="str">
        <f t="shared" si="6"/>
        <v>rtdc.l.rtdc.4020:itc</v>
      </c>
      <c r="G205" s="8">
        <f t="shared" si="7"/>
        <v>42612.901597222219</v>
      </c>
    </row>
    <row r="206" spans="1:7" x14ac:dyDescent="0.25">
      <c r="A206" s="8">
        <v>42612.90216435185</v>
      </c>
      <c r="B206" s="23" t="s">
        <v>90</v>
      </c>
      <c r="C206" s="23" t="s">
        <v>554</v>
      </c>
      <c r="D206" s="23">
        <v>2250000</v>
      </c>
      <c r="E206" s="23" t="s">
        <v>497</v>
      </c>
      <c r="F206" s="23" t="str">
        <f t="shared" si="6"/>
        <v>rtdc.l.rtdc.4013:itc</v>
      </c>
      <c r="G206" s="8">
        <f t="shared" si="7"/>
        <v>42612.90216435185</v>
      </c>
    </row>
    <row r="207" spans="1:7" x14ac:dyDescent="0.25">
      <c r="A207" s="8">
        <v>42612.911979166667</v>
      </c>
      <c r="B207" s="23" t="s">
        <v>365</v>
      </c>
      <c r="C207" s="23" t="s">
        <v>386</v>
      </c>
      <c r="D207" s="23">
        <v>2090000</v>
      </c>
      <c r="E207" s="23" t="s">
        <v>187</v>
      </c>
      <c r="F207" s="23" t="str">
        <f t="shared" si="6"/>
        <v>rtdc.l.rtdc.4012:itc</v>
      </c>
      <c r="G207" s="8">
        <f t="shared" si="7"/>
        <v>42612.911979166667</v>
      </c>
    </row>
    <row r="208" spans="1:7" x14ac:dyDescent="0.25">
      <c r="A208" s="8">
        <v>42612.916412037041</v>
      </c>
      <c r="B208" s="23" t="s">
        <v>112</v>
      </c>
      <c r="C208" s="23" t="s">
        <v>555</v>
      </c>
      <c r="D208" s="23">
        <v>2250000</v>
      </c>
      <c r="E208" s="23" t="s">
        <v>497</v>
      </c>
      <c r="F208" s="23" t="str">
        <f t="shared" si="6"/>
        <v>rtdc.l.rtdc.4014:itc</v>
      </c>
      <c r="G208" s="8">
        <f t="shared" si="7"/>
        <v>42612.916412037041</v>
      </c>
    </row>
    <row r="209" spans="1:7" x14ac:dyDescent="0.25">
      <c r="A209" s="8">
        <v>42612.930462962962</v>
      </c>
      <c r="B209" s="23" t="s">
        <v>241</v>
      </c>
      <c r="C209" s="23" t="s">
        <v>387</v>
      </c>
      <c r="D209" s="23">
        <v>1290000</v>
      </c>
      <c r="E209" s="23" t="s">
        <v>278</v>
      </c>
      <c r="F209" s="23" t="str">
        <f t="shared" si="6"/>
        <v>rtdc.l.rtdc.4039:itc</v>
      </c>
      <c r="G209" s="8">
        <f t="shared" si="7"/>
        <v>42612.930462962962</v>
      </c>
    </row>
    <row r="210" spans="1:7" x14ac:dyDescent="0.25">
      <c r="A210" s="8">
        <v>42612.938113425924</v>
      </c>
      <c r="B210" s="23" t="s">
        <v>302</v>
      </c>
      <c r="C210" s="23" t="s">
        <v>556</v>
      </c>
      <c r="D210" s="23">
        <v>1800000</v>
      </c>
      <c r="E210" s="23" t="s">
        <v>170</v>
      </c>
      <c r="F210" s="23" t="str">
        <f t="shared" si="6"/>
        <v>rtdc.l.rtdc.4018:itc</v>
      </c>
      <c r="G210" s="8">
        <f t="shared" si="7"/>
        <v>42612.938113425924</v>
      </c>
    </row>
    <row r="211" spans="1:7" x14ac:dyDescent="0.25">
      <c r="A211" s="8">
        <v>42612.943194444444</v>
      </c>
      <c r="B211" s="23" t="s">
        <v>90</v>
      </c>
      <c r="C211" s="23" t="s">
        <v>557</v>
      </c>
      <c r="D211" s="23">
        <v>2250000</v>
      </c>
      <c r="E211" s="23" t="s">
        <v>497</v>
      </c>
      <c r="F211" s="23" t="str">
        <f t="shared" si="6"/>
        <v>rtdc.l.rtdc.4013:itc</v>
      </c>
      <c r="G211" s="8">
        <f t="shared" si="7"/>
        <v>42612.943194444444</v>
      </c>
    </row>
    <row r="212" spans="1:7" x14ac:dyDescent="0.25">
      <c r="A212" s="8">
        <v>42612.951666666668</v>
      </c>
      <c r="B212" s="23" t="s">
        <v>235</v>
      </c>
      <c r="C212" s="23" t="s">
        <v>558</v>
      </c>
      <c r="D212" s="23">
        <v>1230000</v>
      </c>
      <c r="E212" s="23" t="s">
        <v>165</v>
      </c>
      <c r="F212" s="23" t="str">
        <f t="shared" si="6"/>
        <v>rtdc.l.rtdc.4019:itc</v>
      </c>
      <c r="G212" s="8">
        <f t="shared" si="7"/>
        <v>42612.951666666668</v>
      </c>
    </row>
    <row r="213" spans="1:7" x14ac:dyDescent="0.25">
      <c r="A213" s="8">
        <v>42612.955474537041</v>
      </c>
      <c r="B213" s="23" t="s">
        <v>306</v>
      </c>
      <c r="C213" s="23" t="s">
        <v>559</v>
      </c>
      <c r="D213" s="23">
        <v>2220000</v>
      </c>
      <c r="E213" s="23" t="s">
        <v>515</v>
      </c>
      <c r="F213" s="23" t="str">
        <f t="shared" si="6"/>
        <v>rtdc.l.rtdc.4011:itc</v>
      </c>
      <c r="G213" s="8">
        <f t="shared" si="7"/>
        <v>42612.955474537041</v>
      </c>
    </row>
    <row r="214" spans="1:7" x14ac:dyDescent="0.25">
      <c r="A214" s="8">
        <v>42612.974965277775</v>
      </c>
      <c r="B214" s="23" t="s">
        <v>304</v>
      </c>
      <c r="C214" s="23" t="s">
        <v>560</v>
      </c>
      <c r="D214" s="23">
        <v>1800000</v>
      </c>
      <c r="E214" s="23" t="s">
        <v>170</v>
      </c>
      <c r="F214" s="23" t="str">
        <f t="shared" si="6"/>
        <v>rtdc.l.rtdc.4017:itc</v>
      </c>
      <c r="G214" s="8">
        <f t="shared" si="7"/>
        <v>42612.974965277775</v>
      </c>
    </row>
    <row r="215" spans="1:7" x14ac:dyDescent="0.25">
      <c r="A215" s="8">
        <v>42612.976527777777</v>
      </c>
      <c r="B215" s="23" t="s">
        <v>239</v>
      </c>
      <c r="C215" s="23" t="s">
        <v>561</v>
      </c>
      <c r="D215" s="23">
        <v>1290000</v>
      </c>
      <c r="E215" s="23" t="s">
        <v>278</v>
      </c>
      <c r="F215" s="23" t="str">
        <f t="shared" si="6"/>
        <v>rtdc.l.rtdc.4040:itc</v>
      </c>
      <c r="G215" s="8">
        <f t="shared" si="7"/>
        <v>42612.976527777777</v>
      </c>
    </row>
    <row r="216" spans="1:7" x14ac:dyDescent="0.25">
      <c r="A216" s="8">
        <v>42612.984722222223</v>
      </c>
      <c r="B216" s="23" t="s">
        <v>236</v>
      </c>
      <c r="C216" s="23" t="s">
        <v>562</v>
      </c>
      <c r="D216" s="23">
        <v>1230000</v>
      </c>
      <c r="E216" s="23" t="s">
        <v>165</v>
      </c>
      <c r="F216" s="23" t="str">
        <f t="shared" si="6"/>
        <v>rtdc.l.rtdc.4020:itc</v>
      </c>
      <c r="G216" s="8">
        <f t="shared" si="7"/>
        <v>42612.984722222223</v>
      </c>
    </row>
    <row r="217" spans="1:7" x14ac:dyDescent="0.25">
      <c r="A217" s="8">
        <v>42612.99417824074</v>
      </c>
      <c r="B217" s="23" t="s">
        <v>365</v>
      </c>
      <c r="C217" s="23" t="s">
        <v>563</v>
      </c>
      <c r="D217" s="23">
        <v>2220000</v>
      </c>
      <c r="E217" s="23" t="s">
        <v>515</v>
      </c>
      <c r="F217" s="23" t="str">
        <f t="shared" si="6"/>
        <v>rtdc.l.rtdc.4012:itc</v>
      </c>
      <c r="G217" s="8">
        <f t="shared" si="7"/>
        <v>42612.99417824074</v>
      </c>
    </row>
    <row r="218" spans="1:7" x14ac:dyDescent="0.25">
      <c r="A218" s="8">
        <v>42613.012685185182</v>
      </c>
      <c r="B218" s="23" t="s">
        <v>241</v>
      </c>
      <c r="C218" s="23" t="s">
        <v>564</v>
      </c>
      <c r="D218" s="23">
        <v>1290000</v>
      </c>
      <c r="E218" s="23" t="s">
        <v>278</v>
      </c>
      <c r="F218" s="23" t="str">
        <f t="shared" si="6"/>
        <v>rtdc.l.rtdc.4039:itc</v>
      </c>
      <c r="G218" s="8">
        <f t="shared" si="7"/>
        <v>42613.012685185182</v>
      </c>
    </row>
    <row r="219" spans="1:7" x14ac:dyDescent="0.25">
      <c r="A219" s="8">
        <v>42613.020300925928</v>
      </c>
      <c r="B219" s="23" t="s">
        <v>302</v>
      </c>
      <c r="C219" s="23" t="s">
        <v>565</v>
      </c>
      <c r="D219" s="23">
        <v>1800000</v>
      </c>
      <c r="E219" s="23" t="s">
        <v>170</v>
      </c>
      <c r="F219" s="23" t="str">
        <f t="shared" si="6"/>
        <v>rtdc.l.rtdc.4018:itc</v>
      </c>
      <c r="G219" s="8">
        <f t="shared" si="7"/>
        <v>42613.020300925928</v>
      </c>
    </row>
    <row r="220" spans="1:7" x14ac:dyDescent="0.25">
      <c r="A220" s="8">
        <v>42613.029004629629</v>
      </c>
      <c r="B220" s="23" t="s">
        <v>306</v>
      </c>
      <c r="C220" s="23" t="s">
        <v>566</v>
      </c>
      <c r="D220" s="23">
        <v>2220000</v>
      </c>
      <c r="E220" s="23" t="s">
        <v>515</v>
      </c>
      <c r="F220" s="23" t="str">
        <f t="shared" si="6"/>
        <v>rtdc.l.rtdc.4011:itc</v>
      </c>
      <c r="G220" s="8">
        <f t="shared" si="7"/>
        <v>42613.029004629629</v>
      </c>
    </row>
    <row r="221" spans="1:7" x14ac:dyDescent="0.25">
      <c r="A221" s="8">
        <v>42613.034502314818</v>
      </c>
      <c r="B221" s="23" t="s">
        <v>235</v>
      </c>
      <c r="C221" s="23" t="s">
        <v>567</v>
      </c>
      <c r="D221" s="23">
        <v>1230000</v>
      </c>
      <c r="E221" s="23" t="s">
        <v>165</v>
      </c>
      <c r="F221" s="23" t="str">
        <f t="shared" si="6"/>
        <v>rtdc.l.rtdc.4019:itc</v>
      </c>
      <c r="G221" s="8">
        <f t="shared" si="7"/>
        <v>42613.034502314818</v>
      </c>
    </row>
    <row r="222" spans="1:7" x14ac:dyDescent="0.25">
      <c r="A222" s="8">
        <v>42613.048738425925</v>
      </c>
      <c r="B222" s="23" t="s">
        <v>239</v>
      </c>
      <c r="C222" s="23" t="s">
        <v>568</v>
      </c>
      <c r="D222" s="23">
        <v>1290000</v>
      </c>
      <c r="E222" s="23" t="s">
        <v>278</v>
      </c>
      <c r="F222" s="23" t="str">
        <f t="shared" si="6"/>
        <v>rtdc.l.rtdc.4040:itc</v>
      </c>
      <c r="G222" s="8">
        <f t="shared" si="7"/>
        <v>42613.048738425925</v>
      </c>
    </row>
    <row r="223" spans="1:7" x14ac:dyDescent="0.25">
      <c r="A223" s="8">
        <v>42613.058692129627</v>
      </c>
      <c r="B223" s="23" t="s">
        <v>304</v>
      </c>
      <c r="C223" s="23" t="s">
        <v>569</v>
      </c>
      <c r="D223" s="23">
        <v>1800000</v>
      </c>
      <c r="E223" s="23" t="s">
        <v>170</v>
      </c>
      <c r="F223" s="23" t="str">
        <f t="shared" si="6"/>
        <v>rtdc.l.rtdc.4017:itc</v>
      </c>
      <c r="G223" s="8">
        <f t="shared" si="7"/>
        <v>42613.058692129627</v>
      </c>
    </row>
    <row r="224" spans="1:7" x14ac:dyDescent="0.25">
      <c r="A224" s="8">
        <v>42613.068182870367</v>
      </c>
      <c r="B224" t="s">
        <v>236</v>
      </c>
      <c r="C224" t="s">
        <v>570</v>
      </c>
      <c r="D224">
        <v>1230000</v>
      </c>
      <c r="E224" t="s">
        <v>165</v>
      </c>
      <c r="F224" s="23" t="str">
        <f t="shared" si="6"/>
        <v>rtdc.l.rtdc.4020:itc</v>
      </c>
      <c r="G224" s="8">
        <f t="shared" si="7"/>
        <v>42613.068182870367</v>
      </c>
    </row>
    <row r="225" spans="1:7" x14ac:dyDescent="0.25">
      <c r="A225" s="8">
        <v>42613.078055555554</v>
      </c>
      <c r="B225" t="s">
        <v>168</v>
      </c>
      <c r="C225" t="s">
        <v>571</v>
      </c>
      <c r="D225">
        <v>780000</v>
      </c>
      <c r="E225" t="s">
        <v>572</v>
      </c>
      <c r="F225" s="23" t="str">
        <f t="shared" si="6"/>
        <v>rtdc.l.rtdc.4009:itc</v>
      </c>
      <c r="G225" s="8">
        <f t="shared" si="7"/>
        <v>42613.078055555554</v>
      </c>
    </row>
    <row r="226" spans="1:7" x14ac:dyDescent="0.25">
      <c r="A226" s="8">
        <v>42613.090324074074</v>
      </c>
      <c r="B226" t="s">
        <v>302</v>
      </c>
      <c r="C226" t="s">
        <v>573</v>
      </c>
      <c r="D226">
        <v>1800000</v>
      </c>
      <c r="E226" t="s">
        <v>170</v>
      </c>
      <c r="F226" s="23" t="str">
        <f t="shared" si="6"/>
        <v>rtdc.l.rtdc.4018:itc</v>
      </c>
      <c r="G226" s="8">
        <f t="shared" si="7"/>
        <v>42613.090324074074</v>
      </c>
    </row>
    <row r="227" spans="1:7" x14ac:dyDescent="0.25">
      <c r="A227" s="8">
        <v>42613.094849537039</v>
      </c>
      <c r="B227" t="s">
        <v>169</v>
      </c>
      <c r="C227" t="s">
        <v>574</v>
      </c>
      <c r="D227">
        <v>780000</v>
      </c>
      <c r="E227" t="s">
        <v>572</v>
      </c>
      <c r="F227" s="23" t="str">
        <f t="shared" si="6"/>
        <v>rtdc.l.rtdc.4010:itc</v>
      </c>
      <c r="G227" s="8">
        <f t="shared" si="7"/>
        <v>42613.094849537039</v>
      </c>
    </row>
    <row r="228" spans="1:7" x14ac:dyDescent="0.25">
      <c r="A228" s="8">
        <v>42613.105983796297</v>
      </c>
      <c r="B228" t="s">
        <v>168</v>
      </c>
      <c r="C228" t="s">
        <v>571</v>
      </c>
      <c r="D228">
        <v>780000</v>
      </c>
      <c r="E228" t="s">
        <v>572</v>
      </c>
      <c r="F228" s="23" t="str">
        <f t="shared" si="6"/>
        <v>rtdc.l.rtdc.4009:itc</v>
      </c>
      <c r="G228" s="8">
        <f t="shared" si="7"/>
        <v>42613.105983796297</v>
      </c>
    </row>
    <row r="229" spans="1:7" x14ac:dyDescent="0.25">
      <c r="F229" s="23">
        <f t="shared" si="6"/>
        <v>0</v>
      </c>
      <c r="G229" s="8">
        <f t="shared" si="7"/>
        <v>0</v>
      </c>
    </row>
    <row r="230" spans="1:7" x14ac:dyDescent="0.25">
      <c r="A230" s="8">
        <v>42609.025173611109</v>
      </c>
      <c r="B230" t="s">
        <v>179</v>
      </c>
      <c r="C230" t="s">
        <v>243</v>
      </c>
      <c r="D230">
        <v>2090000</v>
      </c>
      <c r="E230" t="s">
        <v>187</v>
      </c>
      <c r="F230" s="23" t="str">
        <f t="shared" si="6"/>
        <v>rtdc.l.rtdc.4003:itc</v>
      </c>
      <c r="G230" s="8">
        <f t="shared" si="7"/>
        <v>42609.025173611109</v>
      </c>
    </row>
    <row r="231" spans="1:7" x14ac:dyDescent="0.25">
      <c r="A231" s="8">
        <v>42609.036296296297</v>
      </c>
      <c r="B231" t="s">
        <v>241</v>
      </c>
      <c r="C231" t="s">
        <v>244</v>
      </c>
      <c r="D231">
        <v>1800000</v>
      </c>
      <c r="E231" t="s">
        <v>170</v>
      </c>
      <c r="F231" s="23" t="str">
        <f t="shared" si="6"/>
        <v>rtdc.l.rtdc.4039:itc</v>
      </c>
      <c r="G231" s="8">
        <f t="shared" si="7"/>
        <v>42609.036296296297</v>
      </c>
    </row>
    <row r="232" spans="1:7" x14ac:dyDescent="0.25">
      <c r="A232" s="8">
        <v>42609.039699074077</v>
      </c>
      <c r="B232" t="s">
        <v>179</v>
      </c>
      <c r="C232" t="s">
        <v>243</v>
      </c>
      <c r="D232">
        <v>2090000</v>
      </c>
      <c r="E232" t="s">
        <v>187</v>
      </c>
      <c r="F232" s="23" t="str">
        <f t="shared" si="6"/>
        <v>rtdc.l.rtdc.4003:itc</v>
      </c>
      <c r="G232" s="8">
        <f t="shared" si="7"/>
        <v>42609.039699074077</v>
      </c>
    </row>
    <row r="233" spans="1:7" x14ac:dyDescent="0.25">
      <c r="A233" s="8">
        <v>42609.050162037034</v>
      </c>
      <c r="B233" t="s">
        <v>172</v>
      </c>
      <c r="C233" t="s">
        <v>245</v>
      </c>
      <c r="D233">
        <v>1230000</v>
      </c>
      <c r="E233" t="s">
        <v>165</v>
      </c>
      <c r="F233" s="23" t="str">
        <f t="shared" si="6"/>
        <v>rtdc.l.rtdc.4002:itc</v>
      </c>
      <c r="G233" s="8">
        <f t="shared" si="7"/>
        <v>42609.050162037034</v>
      </c>
    </row>
    <row r="234" spans="1:7" x14ac:dyDescent="0.25">
      <c r="A234" s="8">
        <v>42609.068136574075</v>
      </c>
      <c r="B234" t="s">
        <v>242</v>
      </c>
      <c r="C234" t="s">
        <v>246</v>
      </c>
      <c r="D234">
        <v>2260000</v>
      </c>
      <c r="E234" t="s">
        <v>193</v>
      </c>
      <c r="F234" s="23" t="str">
        <f t="shared" si="6"/>
        <v>rtdc.l.rtdc.4028:itc</v>
      </c>
      <c r="G234" s="8">
        <f t="shared" si="7"/>
        <v>42609.068136574075</v>
      </c>
    </row>
    <row r="235" spans="1:7" x14ac:dyDescent="0.25">
      <c r="A235" s="8">
        <v>42609.071516203701</v>
      </c>
      <c r="B235" t="s">
        <v>239</v>
      </c>
      <c r="C235" t="s">
        <v>247</v>
      </c>
      <c r="D235">
        <v>1800000</v>
      </c>
      <c r="E235" t="s">
        <v>170</v>
      </c>
      <c r="F235" s="23" t="str">
        <f t="shared" si="6"/>
        <v>rtdc.l.rtdc.4040:itc</v>
      </c>
      <c r="G235" s="8">
        <f t="shared" si="7"/>
        <v>42609.071516203701</v>
      </c>
    </row>
    <row r="236" spans="1:7" x14ac:dyDescent="0.25">
      <c r="A236" s="8">
        <v>42609.076782407406</v>
      </c>
      <c r="B236" t="s">
        <v>192</v>
      </c>
      <c r="C236" t="s">
        <v>248</v>
      </c>
      <c r="D236">
        <v>2090000</v>
      </c>
      <c r="E236" t="s">
        <v>187</v>
      </c>
      <c r="F236" s="23" t="str">
        <f t="shared" ref="F236:F265" si="8">B236</f>
        <v>rtdc.l.rtdc.4004:itc</v>
      </c>
      <c r="G236" s="8">
        <f t="shared" ref="G236:G265" si="9">A236</f>
        <v>42609.076782407406</v>
      </c>
    </row>
    <row r="237" spans="1:7" x14ac:dyDescent="0.25">
      <c r="A237" s="8">
        <v>42609.10533564815</v>
      </c>
      <c r="B237" t="s">
        <v>93</v>
      </c>
      <c r="C237" t="s">
        <v>249</v>
      </c>
      <c r="D237">
        <v>2260000</v>
      </c>
      <c r="E237" t="s">
        <v>193</v>
      </c>
      <c r="F237" s="23" t="str">
        <f t="shared" si="8"/>
        <v>rtdc.l.rtdc.4027:itc</v>
      </c>
      <c r="G237" s="8">
        <f t="shared" si="9"/>
        <v>42609.10533564815</v>
      </c>
    </row>
    <row r="238" spans="1:7" x14ac:dyDescent="0.25">
      <c r="F238" s="23">
        <f t="shared" si="8"/>
        <v>0</v>
      </c>
      <c r="G238" s="8">
        <f t="shared" si="9"/>
        <v>0</v>
      </c>
    </row>
    <row r="239" spans="1:7" x14ac:dyDescent="0.25">
      <c r="A239" s="8">
        <v>42594.971458333333</v>
      </c>
      <c r="B239" t="s">
        <v>90</v>
      </c>
      <c r="C239" t="s">
        <v>153</v>
      </c>
      <c r="D239">
        <v>2100000</v>
      </c>
      <c r="E239" t="s">
        <v>137</v>
      </c>
      <c r="F239" s="23" t="str">
        <f t="shared" si="8"/>
        <v>rtdc.l.rtdc.4013:itc</v>
      </c>
      <c r="G239" s="8">
        <f t="shared" si="9"/>
        <v>42594.971458333333</v>
      </c>
    </row>
    <row r="240" spans="1:7" x14ac:dyDescent="0.25">
      <c r="A240" s="8">
        <v>42594.992303240739</v>
      </c>
      <c r="B240" t="s">
        <v>142</v>
      </c>
      <c r="C240" t="s">
        <v>154</v>
      </c>
      <c r="D240">
        <v>1300000</v>
      </c>
      <c r="E240" t="s">
        <v>139</v>
      </c>
      <c r="F240" s="23" t="str">
        <f t="shared" si="8"/>
        <v>rtdc.l.rtdc.4037:itc</v>
      </c>
      <c r="G240" s="8">
        <f t="shared" si="9"/>
        <v>42594.992303240739</v>
      </c>
    </row>
    <row r="241" spans="1:7" x14ac:dyDescent="0.25">
      <c r="A241" s="8">
        <v>42594.99628472222</v>
      </c>
      <c r="B241" t="s">
        <v>114</v>
      </c>
      <c r="C241" t="s">
        <v>156</v>
      </c>
      <c r="D241">
        <v>2000000</v>
      </c>
      <c r="E241" t="s">
        <v>141</v>
      </c>
      <c r="F241" s="23" t="str">
        <f t="shared" si="8"/>
        <v>rtdc.l.rtdc.4031:itc</v>
      </c>
      <c r="G241" s="8">
        <f t="shared" si="9"/>
        <v>42594.99628472222</v>
      </c>
    </row>
    <row r="242" spans="1:7" x14ac:dyDescent="0.25">
      <c r="A242" s="8">
        <v>42595.014097222222</v>
      </c>
      <c r="B242" t="s">
        <v>92</v>
      </c>
      <c r="C242" t="s">
        <v>155</v>
      </c>
      <c r="D242">
        <v>1230000</v>
      </c>
      <c r="E242" t="s">
        <v>165</v>
      </c>
      <c r="F242" s="23" t="str">
        <f t="shared" si="8"/>
        <v>rtdc.l.rtdc.4030:itc</v>
      </c>
      <c r="G242" s="8">
        <f t="shared" si="9"/>
        <v>42595.014097222222</v>
      </c>
    </row>
    <row r="243" spans="1:7" x14ac:dyDescent="0.25">
      <c r="A243" s="8">
        <v>42595.015775462962</v>
      </c>
      <c r="B243" t="s">
        <v>112</v>
      </c>
      <c r="C243" t="s">
        <v>158</v>
      </c>
      <c r="D243">
        <v>2100000</v>
      </c>
      <c r="E243" t="s">
        <v>137</v>
      </c>
      <c r="F243" s="23" t="str">
        <f t="shared" si="8"/>
        <v>rtdc.l.rtdc.4014:itc</v>
      </c>
      <c r="G243" s="8">
        <f t="shared" si="9"/>
        <v>42595.015775462962</v>
      </c>
    </row>
    <row r="244" spans="1:7" x14ac:dyDescent="0.25">
      <c r="A244" s="8">
        <v>42595.034780092596</v>
      </c>
      <c r="B244" t="s">
        <v>148</v>
      </c>
      <c r="C244" t="s">
        <v>160</v>
      </c>
      <c r="D244">
        <v>1300000</v>
      </c>
      <c r="E244" t="s">
        <v>139</v>
      </c>
      <c r="F244" s="23" t="str">
        <f t="shared" si="8"/>
        <v>rtdc.l.rtdc.4038:itc</v>
      </c>
      <c r="G244" s="8">
        <f t="shared" si="9"/>
        <v>42595.034780092596</v>
      </c>
    </row>
    <row r="245" spans="1:7" x14ac:dyDescent="0.25">
      <c r="A245" s="8">
        <v>42595.036539351851</v>
      </c>
      <c r="B245" t="s">
        <v>115</v>
      </c>
      <c r="C245" t="s">
        <v>157</v>
      </c>
      <c r="D245">
        <v>2000000</v>
      </c>
      <c r="E245" t="s">
        <v>141</v>
      </c>
      <c r="F245" s="23" t="str">
        <f t="shared" si="8"/>
        <v>rtdc.l.rtdc.4032:itc</v>
      </c>
      <c r="G245" s="8">
        <f t="shared" si="9"/>
        <v>42595.036539351851</v>
      </c>
    </row>
    <row r="246" spans="1:7" x14ac:dyDescent="0.25">
      <c r="A246" s="8">
        <v>42595.046134259261</v>
      </c>
      <c r="B246" t="s">
        <v>91</v>
      </c>
      <c r="C246" t="s">
        <v>162</v>
      </c>
      <c r="D246">
        <v>1230000</v>
      </c>
      <c r="E246" t="s">
        <v>165</v>
      </c>
      <c r="F246" s="23" t="str">
        <f t="shared" si="8"/>
        <v>rtdc.l.rtdc.4029:itc</v>
      </c>
      <c r="G246" s="8">
        <f t="shared" si="9"/>
        <v>42595.046134259261</v>
      </c>
    </row>
    <row r="247" spans="1:7" x14ac:dyDescent="0.25">
      <c r="A247" s="8">
        <v>42595.053819444445</v>
      </c>
      <c r="B247" t="s">
        <v>90</v>
      </c>
      <c r="C247" t="s">
        <v>159</v>
      </c>
      <c r="D247">
        <v>2100000</v>
      </c>
      <c r="E247" t="s">
        <v>137</v>
      </c>
      <c r="F247" s="23" t="str">
        <f t="shared" si="8"/>
        <v>rtdc.l.rtdc.4013:itc</v>
      </c>
      <c r="G247" s="8">
        <f t="shared" si="9"/>
        <v>42595.053819444445</v>
      </c>
    </row>
    <row r="248" spans="1:7" x14ac:dyDescent="0.25">
      <c r="A248" s="8">
        <v>42595.068229166667</v>
      </c>
      <c r="B248" t="s">
        <v>114</v>
      </c>
      <c r="C248" t="s">
        <v>163</v>
      </c>
      <c r="D248">
        <v>2000000</v>
      </c>
      <c r="E248" t="s">
        <v>141</v>
      </c>
      <c r="F248" s="23" t="str">
        <f t="shared" si="8"/>
        <v>rtdc.l.rtdc.4031:itc</v>
      </c>
      <c r="G248" s="8">
        <f t="shared" si="9"/>
        <v>42595.068229166667</v>
      </c>
    </row>
    <row r="249" spans="1:7" x14ac:dyDescent="0.25">
      <c r="A249" s="8">
        <v>42595.072916666664</v>
      </c>
      <c r="B249" t="s">
        <v>142</v>
      </c>
      <c r="C249" t="s">
        <v>161</v>
      </c>
      <c r="D249">
        <v>1300000</v>
      </c>
      <c r="E249" t="s">
        <v>139</v>
      </c>
      <c r="F249" s="23" t="str">
        <f t="shared" si="8"/>
        <v>rtdc.l.rtdc.4037:itc</v>
      </c>
      <c r="G249" s="8">
        <f t="shared" si="9"/>
        <v>42595.072916666664</v>
      </c>
    </row>
    <row r="250" spans="1:7" x14ac:dyDescent="0.25">
      <c r="A250" s="8">
        <v>42595.09070601852</v>
      </c>
      <c r="B250" t="s">
        <v>112</v>
      </c>
      <c r="C250" t="s">
        <v>166</v>
      </c>
      <c r="D250">
        <v>2100000</v>
      </c>
      <c r="E250" t="s">
        <v>137</v>
      </c>
      <c r="F250" s="23" t="str">
        <f t="shared" si="8"/>
        <v>rtdc.l.rtdc.4014:itc</v>
      </c>
      <c r="G250" s="8">
        <f t="shared" si="9"/>
        <v>42595.09070601852</v>
      </c>
    </row>
    <row r="251" spans="1:7" x14ac:dyDescent="0.25">
      <c r="A251" s="8">
        <v>42595.110555555555</v>
      </c>
      <c r="B251" t="s">
        <v>148</v>
      </c>
      <c r="C251" t="s">
        <v>164</v>
      </c>
      <c r="D251">
        <v>1300000</v>
      </c>
      <c r="E251" t="s">
        <v>139</v>
      </c>
      <c r="F251" s="23" t="str">
        <f t="shared" si="8"/>
        <v>rtdc.l.rtdc.4038:itc</v>
      </c>
      <c r="G251" s="8">
        <f t="shared" si="9"/>
        <v>42595.110555555555</v>
      </c>
    </row>
    <row r="252" spans="1:7" x14ac:dyDescent="0.25">
      <c r="F252" s="23">
        <f t="shared" si="8"/>
        <v>0</v>
      </c>
      <c r="G252" s="8">
        <f t="shared" si="9"/>
        <v>0</v>
      </c>
    </row>
    <row r="253" spans="1:7" x14ac:dyDescent="0.25">
      <c r="F253" s="23">
        <f t="shared" si="8"/>
        <v>0</v>
      </c>
      <c r="G253" s="8">
        <f t="shared" si="9"/>
        <v>0</v>
      </c>
    </row>
    <row r="254" spans="1:7" x14ac:dyDescent="0.25">
      <c r="F254" s="23">
        <f t="shared" si="8"/>
        <v>0</v>
      </c>
      <c r="G254" s="8">
        <f t="shared" si="9"/>
        <v>0</v>
      </c>
    </row>
    <row r="255" spans="1:7" x14ac:dyDescent="0.25">
      <c r="F255" s="23">
        <f t="shared" si="8"/>
        <v>0</v>
      </c>
      <c r="G255" s="8">
        <f t="shared" si="9"/>
        <v>0</v>
      </c>
    </row>
    <row r="256" spans="1:7" x14ac:dyDescent="0.25">
      <c r="F256" s="23">
        <f t="shared" si="8"/>
        <v>0</v>
      </c>
      <c r="G256" s="8">
        <f t="shared" si="9"/>
        <v>0</v>
      </c>
    </row>
    <row r="257" spans="6:7" x14ac:dyDescent="0.25">
      <c r="F257" s="23">
        <f t="shared" si="8"/>
        <v>0</v>
      </c>
      <c r="G257" s="8">
        <f t="shared" si="9"/>
        <v>0</v>
      </c>
    </row>
    <row r="258" spans="6:7" x14ac:dyDescent="0.25">
      <c r="F258" s="23">
        <f t="shared" si="8"/>
        <v>0</v>
      </c>
      <c r="G258" s="8">
        <f t="shared" si="9"/>
        <v>0</v>
      </c>
    </row>
    <row r="259" spans="6:7" x14ac:dyDescent="0.25">
      <c r="F259" s="23">
        <f t="shared" si="8"/>
        <v>0</v>
      </c>
      <c r="G259" s="8">
        <f t="shared" si="9"/>
        <v>0</v>
      </c>
    </row>
    <row r="260" spans="6:7" x14ac:dyDescent="0.25">
      <c r="F260" s="23">
        <f t="shared" si="8"/>
        <v>0</v>
      </c>
      <c r="G260" s="8">
        <f t="shared" si="9"/>
        <v>0</v>
      </c>
    </row>
    <row r="261" spans="6:7" x14ac:dyDescent="0.25">
      <c r="F261" s="23">
        <f t="shared" si="8"/>
        <v>0</v>
      </c>
      <c r="G261" s="8">
        <f t="shared" si="9"/>
        <v>0</v>
      </c>
    </row>
    <row r="262" spans="6:7" x14ac:dyDescent="0.25">
      <c r="F262" s="23">
        <f t="shared" si="8"/>
        <v>0</v>
      </c>
      <c r="G262" s="8">
        <f t="shared" si="9"/>
        <v>0</v>
      </c>
    </row>
    <row r="263" spans="6:7" x14ac:dyDescent="0.25">
      <c r="F263" s="23">
        <f t="shared" si="8"/>
        <v>0</v>
      </c>
      <c r="G263" s="8">
        <f t="shared" si="9"/>
        <v>0</v>
      </c>
    </row>
    <row r="264" spans="6:7" x14ac:dyDescent="0.25">
      <c r="F264" s="23">
        <f t="shared" si="8"/>
        <v>0</v>
      </c>
      <c r="G264" s="8">
        <f t="shared" si="9"/>
        <v>0</v>
      </c>
    </row>
    <row r="265" spans="6:7" x14ac:dyDescent="0.25">
      <c r="F265" s="23">
        <f t="shared" si="8"/>
        <v>0</v>
      </c>
      <c r="G265" s="8">
        <f t="shared" si="9"/>
        <v>0</v>
      </c>
    </row>
    <row r="266" spans="6:7" x14ac:dyDescent="0.25">
      <c r="F266" s="23">
        <f t="shared" ref="F266:F281" si="10">B266</f>
        <v>0</v>
      </c>
      <c r="G266" s="8">
        <f t="shared" ref="G266:G281" si="11">A266</f>
        <v>0</v>
      </c>
    </row>
    <row r="267" spans="6:7" x14ac:dyDescent="0.25">
      <c r="F267" s="23">
        <f t="shared" si="10"/>
        <v>0</v>
      </c>
      <c r="G267" s="8">
        <f t="shared" si="11"/>
        <v>0</v>
      </c>
    </row>
    <row r="268" spans="6:7" x14ac:dyDescent="0.25">
      <c r="F268" s="23">
        <f t="shared" si="10"/>
        <v>0</v>
      </c>
      <c r="G268" s="8">
        <f t="shared" si="11"/>
        <v>0</v>
      </c>
    </row>
    <row r="269" spans="6:7" x14ac:dyDescent="0.25">
      <c r="F269" s="23">
        <f t="shared" si="10"/>
        <v>0</v>
      </c>
      <c r="G269" s="8">
        <f t="shared" si="11"/>
        <v>0</v>
      </c>
    </row>
    <row r="270" spans="6:7" x14ac:dyDescent="0.25">
      <c r="F270" s="23">
        <f t="shared" si="10"/>
        <v>0</v>
      </c>
      <c r="G270" s="8">
        <f t="shared" si="11"/>
        <v>0</v>
      </c>
    </row>
    <row r="271" spans="6:7" x14ac:dyDescent="0.25">
      <c r="F271" s="23">
        <f t="shared" si="10"/>
        <v>0</v>
      </c>
      <c r="G271" s="8">
        <f t="shared" si="11"/>
        <v>0</v>
      </c>
    </row>
    <row r="272" spans="6:7" x14ac:dyDescent="0.25">
      <c r="F272" s="23">
        <f t="shared" si="10"/>
        <v>0</v>
      </c>
      <c r="G272" s="8">
        <f t="shared" si="11"/>
        <v>0</v>
      </c>
    </row>
    <row r="273" spans="6:7" x14ac:dyDescent="0.25">
      <c r="F273" s="23">
        <f t="shared" si="10"/>
        <v>0</v>
      </c>
      <c r="G273" s="8">
        <f t="shared" si="11"/>
        <v>0</v>
      </c>
    </row>
    <row r="274" spans="6:7" x14ac:dyDescent="0.25">
      <c r="F274" s="23">
        <f t="shared" si="10"/>
        <v>0</v>
      </c>
      <c r="G274" s="8">
        <f t="shared" si="11"/>
        <v>0</v>
      </c>
    </row>
    <row r="275" spans="6:7" x14ac:dyDescent="0.25">
      <c r="F275" s="23">
        <f t="shared" si="10"/>
        <v>0</v>
      </c>
      <c r="G275" s="8">
        <f t="shared" si="11"/>
        <v>0</v>
      </c>
    </row>
    <row r="276" spans="6:7" x14ac:dyDescent="0.25">
      <c r="F276" s="23">
        <f t="shared" si="10"/>
        <v>0</v>
      </c>
      <c r="G276" s="8">
        <f t="shared" si="11"/>
        <v>0</v>
      </c>
    </row>
    <row r="277" spans="6:7" x14ac:dyDescent="0.25">
      <c r="F277" s="23">
        <f t="shared" si="10"/>
        <v>0</v>
      </c>
      <c r="G277" s="8">
        <f t="shared" si="11"/>
        <v>0</v>
      </c>
    </row>
    <row r="278" spans="6:7" x14ac:dyDescent="0.25">
      <c r="F278" s="23">
        <f t="shared" si="10"/>
        <v>0</v>
      </c>
      <c r="G278" s="8">
        <f t="shared" si="11"/>
        <v>0</v>
      </c>
    </row>
    <row r="279" spans="6:7" x14ac:dyDescent="0.25">
      <c r="F279" s="23">
        <f t="shared" si="10"/>
        <v>0</v>
      </c>
      <c r="G279" s="8">
        <f t="shared" si="11"/>
        <v>0</v>
      </c>
    </row>
    <row r="280" spans="6:7" x14ac:dyDescent="0.25">
      <c r="F280" s="23">
        <f t="shared" si="10"/>
        <v>0</v>
      </c>
      <c r="G280" s="8">
        <f t="shared" si="11"/>
        <v>0</v>
      </c>
    </row>
    <row r="281" spans="6:7" x14ac:dyDescent="0.25">
      <c r="F281" s="23">
        <f t="shared" si="10"/>
        <v>0</v>
      </c>
      <c r="G281" s="8">
        <f t="shared" si="11"/>
        <v>0</v>
      </c>
    </row>
    <row r="282" spans="6:7" x14ac:dyDescent="0.25">
      <c r="F282" s="23">
        <f t="shared" ref="F282:F345" si="12">B282</f>
        <v>0</v>
      </c>
      <c r="G282" s="8">
        <f t="shared" ref="G282:G345" si="13">A282</f>
        <v>0</v>
      </c>
    </row>
    <row r="283" spans="6:7" x14ac:dyDescent="0.25">
      <c r="F283" s="23">
        <f t="shared" si="12"/>
        <v>0</v>
      </c>
      <c r="G283" s="8">
        <f t="shared" si="13"/>
        <v>0</v>
      </c>
    </row>
    <row r="284" spans="6:7" x14ac:dyDescent="0.25">
      <c r="F284" s="23">
        <f t="shared" si="12"/>
        <v>0</v>
      </c>
      <c r="G284" s="8">
        <f t="shared" si="13"/>
        <v>0</v>
      </c>
    </row>
    <row r="285" spans="6:7" x14ac:dyDescent="0.25">
      <c r="F285" s="23">
        <f t="shared" si="12"/>
        <v>0</v>
      </c>
      <c r="G285" s="8">
        <f t="shared" si="13"/>
        <v>0</v>
      </c>
    </row>
    <row r="286" spans="6:7" x14ac:dyDescent="0.25">
      <c r="F286" s="23">
        <f t="shared" si="12"/>
        <v>0</v>
      </c>
      <c r="G286" s="8">
        <f t="shared" si="13"/>
        <v>0</v>
      </c>
    </row>
    <row r="287" spans="6:7" x14ac:dyDescent="0.25">
      <c r="F287" s="23">
        <f t="shared" si="12"/>
        <v>0</v>
      </c>
      <c r="G287" s="8">
        <f t="shared" si="13"/>
        <v>0</v>
      </c>
    </row>
    <row r="288" spans="6:7" x14ac:dyDescent="0.25">
      <c r="F288" s="23">
        <f t="shared" si="12"/>
        <v>0</v>
      </c>
      <c r="G288" s="8">
        <f t="shared" si="13"/>
        <v>0</v>
      </c>
    </row>
    <row r="289" spans="6:7" x14ac:dyDescent="0.25">
      <c r="F289" s="23">
        <f t="shared" si="12"/>
        <v>0</v>
      </c>
      <c r="G289" s="8">
        <f t="shared" si="13"/>
        <v>0</v>
      </c>
    </row>
    <row r="290" spans="6:7" x14ac:dyDescent="0.25">
      <c r="F290" s="23">
        <f t="shared" si="12"/>
        <v>0</v>
      </c>
      <c r="G290" s="8">
        <f t="shared" si="13"/>
        <v>0</v>
      </c>
    </row>
    <row r="291" spans="6:7" x14ac:dyDescent="0.25">
      <c r="F291" s="23">
        <f t="shared" si="12"/>
        <v>0</v>
      </c>
      <c r="G291" s="8">
        <f t="shared" si="13"/>
        <v>0</v>
      </c>
    </row>
    <row r="292" spans="6:7" x14ac:dyDescent="0.25">
      <c r="F292" s="23">
        <f t="shared" si="12"/>
        <v>0</v>
      </c>
      <c r="G292" s="8">
        <f t="shared" si="13"/>
        <v>0</v>
      </c>
    </row>
    <row r="293" spans="6:7" x14ac:dyDescent="0.25">
      <c r="F293" s="23">
        <f t="shared" si="12"/>
        <v>0</v>
      </c>
      <c r="G293" s="8">
        <f t="shared" si="13"/>
        <v>0</v>
      </c>
    </row>
    <row r="294" spans="6:7" x14ac:dyDescent="0.25">
      <c r="F294" s="23">
        <f t="shared" si="12"/>
        <v>0</v>
      </c>
      <c r="G294" s="8">
        <f t="shared" si="13"/>
        <v>0</v>
      </c>
    </row>
    <row r="295" spans="6:7" x14ac:dyDescent="0.25">
      <c r="F295" s="23">
        <f t="shared" si="12"/>
        <v>0</v>
      </c>
      <c r="G295" s="8">
        <f t="shared" si="13"/>
        <v>0</v>
      </c>
    </row>
    <row r="296" spans="6:7" x14ac:dyDescent="0.25">
      <c r="F296" s="23">
        <f t="shared" si="12"/>
        <v>0</v>
      </c>
      <c r="G296" s="8">
        <f t="shared" si="13"/>
        <v>0</v>
      </c>
    </row>
    <row r="297" spans="6:7" x14ac:dyDescent="0.25">
      <c r="F297" s="23">
        <f t="shared" si="12"/>
        <v>0</v>
      </c>
      <c r="G297" s="8">
        <f t="shared" si="13"/>
        <v>0</v>
      </c>
    </row>
    <row r="298" spans="6:7" x14ac:dyDescent="0.25">
      <c r="F298" s="23">
        <f t="shared" si="12"/>
        <v>0</v>
      </c>
      <c r="G298" s="8">
        <f t="shared" si="13"/>
        <v>0</v>
      </c>
    </row>
    <row r="299" spans="6:7" x14ac:dyDescent="0.25">
      <c r="F299" s="23">
        <f t="shared" si="12"/>
        <v>0</v>
      </c>
      <c r="G299" s="8">
        <f t="shared" si="13"/>
        <v>0</v>
      </c>
    </row>
    <row r="300" spans="6:7" x14ac:dyDescent="0.25">
      <c r="F300" s="23">
        <f t="shared" si="12"/>
        <v>0</v>
      </c>
      <c r="G300" s="8">
        <f t="shared" si="13"/>
        <v>0</v>
      </c>
    </row>
    <row r="301" spans="6:7" x14ac:dyDescent="0.25">
      <c r="F301" s="23">
        <f t="shared" si="12"/>
        <v>0</v>
      </c>
      <c r="G301" s="8">
        <f t="shared" si="13"/>
        <v>0</v>
      </c>
    </row>
    <row r="302" spans="6:7" x14ac:dyDescent="0.25">
      <c r="F302" s="23">
        <f t="shared" si="12"/>
        <v>0</v>
      </c>
      <c r="G302" s="8">
        <f t="shared" si="13"/>
        <v>0</v>
      </c>
    </row>
    <row r="303" spans="6:7" x14ac:dyDescent="0.25">
      <c r="F303" s="23">
        <f t="shared" si="12"/>
        <v>0</v>
      </c>
      <c r="G303" s="8">
        <f t="shared" si="13"/>
        <v>0</v>
      </c>
    </row>
    <row r="304" spans="6:7" x14ac:dyDescent="0.25">
      <c r="F304" s="23">
        <f t="shared" si="12"/>
        <v>0</v>
      </c>
      <c r="G304" s="8">
        <f t="shared" si="13"/>
        <v>0</v>
      </c>
    </row>
    <row r="305" spans="6:7" x14ac:dyDescent="0.25">
      <c r="F305" s="23">
        <f t="shared" si="12"/>
        <v>0</v>
      </c>
      <c r="G305" s="8">
        <f t="shared" si="13"/>
        <v>0</v>
      </c>
    </row>
    <row r="306" spans="6:7" x14ac:dyDescent="0.25">
      <c r="F306" s="23">
        <f t="shared" si="12"/>
        <v>0</v>
      </c>
      <c r="G306" s="8">
        <f t="shared" si="13"/>
        <v>0</v>
      </c>
    </row>
    <row r="307" spans="6:7" x14ac:dyDescent="0.25">
      <c r="F307" s="23">
        <f t="shared" si="12"/>
        <v>0</v>
      </c>
      <c r="G307" s="8">
        <f t="shared" si="13"/>
        <v>0</v>
      </c>
    </row>
    <row r="308" spans="6:7" x14ac:dyDescent="0.25">
      <c r="F308" s="23">
        <f t="shared" si="12"/>
        <v>0</v>
      </c>
      <c r="G308" s="8">
        <f t="shared" si="13"/>
        <v>0</v>
      </c>
    </row>
    <row r="309" spans="6:7" x14ac:dyDescent="0.25">
      <c r="F309" s="23">
        <f t="shared" si="12"/>
        <v>0</v>
      </c>
      <c r="G309" s="8">
        <f t="shared" si="13"/>
        <v>0</v>
      </c>
    </row>
    <row r="310" spans="6:7" x14ac:dyDescent="0.25">
      <c r="F310" s="23">
        <f t="shared" si="12"/>
        <v>0</v>
      </c>
      <c r="G310" s="8">
        <f t="shared" si="13"/>
        <v>0</v>
      </c>
    </row>
    <row r="311" spans="6:7" x14ac:dyDescent="0.25">
      <c r="F311" s="23">
        <f t="shared" si="12"/>
        <v>0</v>
      </c>
      <c r="G311" s="8">
        <f t="shared" si="13"/>
        <v>0</v>
      </c>
    </row>
    <row r="312" spans="6:7" x14ac:dyDescent="0.25">
      <c r="F312" s="23">
        <f t="shared" si="12"/>
        <v>0</v>
      </c>
      <c r="G312" s="8">
        <f t="shared" si="13"/>
        <v>0</v>
      </c>
    </row>
    <row r="313" spans="6:7" x14ac:dyDescent="0.25">
      <c r="F313" s="23">
        <f t="shared" si="12"/>
        <v>0</v>
      </c>
      <c r="G313" s="8">
        <f t="shared" si="13"/>
        <v>0</v>
      </c>
    </row>
    <row r="314" spans="6:7" x14ac:dyDescent="0.25">
      <c r="F314" s="23">
        <f t="shared" si="12"/>
        <v>0</v>
      </c>
      <c r="G314" s="8">
        <f t="shared" si="13"/>
        <v>0</v>
      </c>
    </row>
    <row r="315" spans="6:7" x14ac:dyDescent="0.25">
      <c r="F315" s="23">
        <f t="shared" si="12"/>
        <v>0</v>
      </c>
      <c r="G315" s="8">
        <f t="shared" si="13"/>
        <v>0</v>
      </c>
    </row>
    <row r="316" spans="6:7" x14ac:dyDescent="0.25">
      <c r="F316" s="23">
        <f t="shared" si="12"/>
        <v>0</v>
      </c>
      <c r="G316" s="8">
        <f t="shared" si="13"/>
        <v>0</v>
      </c>
    </row>
    <row r="317" spans="6:7" x14ac:dyDescent="0.25">
      <c r="F317" s="23">
        <f t="shared" si="12"/>
        <v>0</v>
      </c>
      <c r="G317" s="8">
        <f t="shared" si="13"/>
        <v>0</v>
      </c>
    </row>
    <row r="318" spans="6:7" x14ac:dyDescent="0.25">
      <c r="F318" s="23">
        <f t="shared" si="12"/>
        <v>0</v>
      </c>
      <c r="G318" s="8">
        <f t="shared" si="13"/>
        <v>0</v>
      </c>
    </row>
    <row r="319" spans="6:7" x14ac:dyDescent="0.25">
      <c r="F319" s="23">
        <f t="shared" si="12"/>
        <v>0</v>
      </c>
      <c r="G319" s="8">
        <f t="shared" si="13"/>
        <v>0</v>
      </c>
    </row>
    <row r="320" spans="6:7" x14ac:dyDescent="0.25">
      <c r="F320" s="23">
        <f t="shared" si="12"/>
        <v>0</v>
      </c>
      <c r="G320" s="8">
        <f t="shared" si="13"/>
        <v>0</v>
      </c>
    </row>
    <row r="321" spans="6:7" x14ac:dyDescent="0.25">
      <c r="F321" s="23">
        <f t="shared" si="12"/>
        <v>0</v>
      </c>
      <c r="G321" s="8">
        <f t="shared" si="13"/>
        <v>0</v>
      </c>
    </row>
    <row r="322" spans="6:7" x14ac:dyDescent="0.25">
      <c r="F322" s="23">
        <f t="shared" si="12"/>
        <v>0</v>
      </c>
      <c r="G322" s="8">
        <f t="shared" si="13"/>
        <v>0</v>
      </c>
    </row>
    <row r="323" spans="6:7" x14ac:dyDescent="0.25">
      <c r="F323" s="23">
        <f t="shared" si="12"/>
        <v>0</v>
      </c>
      <c r="G323" s="8">
        <f t="shared" si="13"/>
        <v>0</v>
      </c>
    </row>
    <row r="324" spans="6:7" x14ac:dyDescent="0.25">
      <c r="F324" s="23">
        <f t="shared" si="12"/>
        <v>0</v>
      </c>
      <c r="G324" s="8">
        <f t="shared" si="13"/>
        <v>0</v>
      </c>
    </row>
    <row r="325" spans="6:7" x14ac:dyDescent="0.25">
      <c r="F325" s="23">
        <f t="shared" si="12"/>
        <v>0</v>
      </c>
      <c r="G325" s="8">
        <f t="shared" si="13"/>
        <v>0</v>
      </c>
    </row>
    <row r="326" spans="6:7" x14ac:dyDescent="0.25">
      <c r="F326" s="23">
        <f t="shared" si="12"/>
        <v>0</v>
      </c>
      <c r="G326" s="8">
        <f t="shared" si="13"/>
        <v>0</v>
      </c>
    </row>
    <row r="327" spans="6:7" x14ac:dyDescent="0.25">
      <c r="F327" s="23">
        <f t="shared" si="12"/>
        <v>0</v>
      </c>
      <c r="G327" s="8">
        <f t="shared" si="13"/>
        <v>0</v>
      </c>
    </row>
    <row r="328" spans="6:7" x14ac:dyDescent="0.25">
      <c r="F328" s="23">
        <f t="shared" si="12"/>
        <v>0</v>
      </c>
      <c r="G328" s="8">
        <f t="shared" si="13"/>
        <v>0</v>
      </c>
    </row>
    <row r="329" spans="6:7" x14ac:dyDescent="0.25">
      <c r="F329" s="23">
        <f t="shared" si="12"/>
        <v>0</v>
      </c>
      <c r="G329" s="8">
        <f t="shared" si="13"/>
        <v>0</v>
      </c>
    </row>
    <row r="330" spans="6:7" x14ac:dyDescent="0.25">
      <c r="F330" s="23">
        <f t="shared" si="12"/>
        <v>0</v>
      </c>
      <c r="G330" s="8">
        <f t="shared" si="13"/>
        <v>0</v>
      </c>
    </row>
    <row r="331" spans="6:7" x14ac:dyDescent="0.25">
      <c r="F331" s="23">
        <f t="shared" si="12"/>
        <v>0</v>
      </c>
      <c r="G331" s="8">
        <f t="shared" si="13"/>
        <v>0</v>
      </c>
    </row>
    <row r="332" spans="6:7" x14ac:dyDescent="0.25">
      <c r="F332" s="23">
        <f t="shared" si="12"/>
        <v>0</v>
      </c>
      <c r="G332" s="8">
        <f t="shared" si="13"/>
        <v>0</v>
      </c>
    </row>
    <row r="333" spans="6:7" x14ac:dyDescent="0.25">
      <c r="F333" s="23">
        <f t="shared" si="12"/>
        <v>0</v>
      </c>
      <c r="G333" s="8">
        <f t="shared" si="13"/>
        <v>0</v>
      </c>
    </row>
    <row r="334" spans="6:7" x14ac:dyDescent="0.25">
      <c r="F334" s="23">
        <f t="shared" si="12"/>
        <v>0</v>
      </c>
      <c r="G334" s="8">
        <f t="shared" si="13"/>
        <v>0</v>
      </c>
    </row>
    <row r="335" spans="6:7" x14ac:dyDescent="0.25">
      <c r="F335" s="23">
        <f t="shared" si="12"/>
        <v>0</v>
      </c>
      <c r="G335" s="8">
        <f t="shared" si="13"/>
        <v>0</v>
      </c>
    </row>
    <row r="336" spans="6:7" x14ac:dyDescent="0.25">
      <c r="F336" s="23">
        <f t="shared" si="12"/>
        <v>0</v>
      </c>
      <c r="G336" s="8">
        <f t="shared" si="13"/>
        <v>0</v>
      </c>
    </row>
    <row r="337" spans="6:7" x14ac:dyDescent="0.25">
      <c r="F337" s="23">
        <f t="shared" si="12"/>
        <v>0</v>
      </c>
      <c r="G337" s="8">
        <f t="shared" si="13"/>
        <v>0</v>
      </c>
    </row>
    <row r="338" spans="6:7" x14ac:dyDescent="0.25">
      <c r="F338" s="23">
        <f t="shared" si="12"/>
        <v>0</v>
      </c>
      <c r="G338" s="8">
        <f t="shared" si="13"/>
        <v>0</v>
      </c>
    </row>
    <row r="339" spans="6:7" x14ac:dyDescent="0.25">
      <c r="F339" s="23">
        <f t="shared" si="12"/>
        <v>0</v>
      </c>
      <c r="G339" s="8">
        <f t="shared" si="13"/>
        <v>0</v>
      </c>
    </row>
    <row r="340" spans="6:7" x14ac:dyDescent="0.25">
      <c r="F340" s="23">
        <f t="shared" si="12"/>
        <v>0</v>
      </c>
      <c r="G340" s="8">
        <f t="shared" si="13"/>
        <v>0</v>
      </c>
    </row>
    <row r="341" spans="6:7" x14ac:dyDescent="0.25">
      <c r="F341" s="23">
        <f t="shared" si="12"/>
        <v>0</v>
      </c>
      <c r="G341" s="8">
        <f t="shared" si="13"/>
        <v>0</v>
      </c>
    </row>
    <row r="342" spans="6:7" x14ac:dyDescent="0.25">
      <c r="F342" s="23">
        <f t="shared" si="12"/>
        <v>0</v>
      </c>
      <c r="G342" s="8">
        <f t="shared" si="13"/>
        <v>0</v>
      </c>
    </row>
    <row r="343" spans="6:7" x14ac:dyDescent="0.25">
      <c r="F343" s="23">
        <f t="shared" si="12"/>
        <v>0</v>
      </c>
      <c r="G343" s="8">
        <f t="shared" si="13"/>
        <v>0</v>
      </c>
    </row>
    <row r="344" spans="6:7" x14ac:dyDescent="0.25">
      <c r="F344" s="23">
        <f t="shared" si="12"/>
        <v>0</v>
      </c>
      <c r="G344" s="8">
        <f t="shared" si="13"/>
        <v>0</v>
      </c>
    </row>
    <row r="345" spans="6:7" x14ac:dyDescent="0.25">
      <c r="F345" s="23">
        <f t="shared" si="12"/>
        <v>0</v>
      </c>
      <c r="G345" s="8">
        <f t="shared" si="13"/>
        <v>0</v>
      </c>
    </row>
    <row r="346" spans="6:7" x14ac:dyDescent="0.25">
      <c r="F346" s="23">
        <f t="shared" ref="F346:F409" si="14">B346</f>
        <v>0</v>
      </c>
      <c r="G346" s="8">
        <f t="shared" ref="G346:G409" si="15">A346</f>
        <v>0</v>
      </c>
    </row>
    <row r="347" spans="6:7" x14ac:dyDescent="0.25">
      <c r="F347" s="23">
        <f t="shared" si="14"/>
        <v>0</v>
      </c>
      <c r="G347" s="8">
        <f t="shared" si="15"/>
        <v>0</v>
      </c>
    </row>
    <row r="348" spans="6:7" x14ac:dyDescent="0.25">
      <c r="F348" s="23">
        <f t="shared" si="14"/>
        <v>0</v>
      </c>
      <c r="G348" s="8">
        <f t="shared" si="15"/>
        <v>0</v>
      </c>
    </row>
    <row r="349" spans="6:7" x14ac:dyDescent="0.25">
      <c r="F349" s="23">
        <f t="shared" si="14"/>
        <v>0</v>
      </c>
      <c r="G349" s="8">
        <f t="shared" si="15"/>
        <v>0</v>
      </c>
    </row>
    <row r="350" spans="6:7" x14ac:dyDescent="0.25">
      <c r="F350" s="23">
        <f t="shared" si="14"/>
        <v>0</v>
      </c>
      <c r="G350" s="8">
        <f t="shared" si="15"/>
        <v>0</v>
      </c>
    </row>
    <row r="351" spans="6:7" x14ac:dyDescent="0.25">
      <c r="F351" s="23">
        <f t="shared" si="14"/>
        <v>0</v>
      </c>
      <c r="G351" s="8">
        <f t="shared" si="15"/>
        <v>0</v>
      </c>
    </row>
    <row r="352" spans="6:7" x14ac:dyDescent="0.25">
      <c r="F352" s="23">
        <f t="shared" si="14"/>
        <v>0</v>
      </c>
      <c r="G352" s="8">
        <f t="shared" si="15"/>
        <v>0</v>
      </c>
    </row>
    <row r="353" spans="6:7" x14ac:dyDescent="0.25">
      <c r="F353" s="23">
        <f t="shared" si="14"/>
        <v>0</v>
      </c>
      <c r="G353" s="8">
        <f t="shared" si="15"/>
        <v>0</v>
      </c>
    </row>
    <row r="354" spans="6:7" x14ac:dyDescent="0.25">
      <c r="F354" s="23">
        <f t="shared" si="14"/>
        <v>0</v>
      </c>
      <c r="G354" s="8">
        <f t="shared" si="15"/>
        <v>0</v>
      </c>
    </row>
    <row r="355" spans="6:7" x14ac:dyDescent="0.25">
      <c r="F355" s="23">
        <f t="shared" si="14"/>
        <v>0</v>
      </c>
      <c r="G355" s="8">
        <f t="shared" si="15"/>
        <v>0</v>
      </c>
    </row>
    <row r="356" spans="6:7" x14ac:dyDescent="0.25">
      <c r="F356" s="23">
        <f t="shared" si="14"/>
        <v>0</v>
      </c>
      <c r="G356" s="8">
        <f t="shared" si="15"/>
        <v>0</v>
      </c>
    </row>
    <row r="357" spans="6:7" x14ac:dyDescent="0.25">
      <c r="F357" s="23">
        <f t="shared" si="14"/>
        <v>0</v>
      </c>
      <c r="G357" s="8">
        <f t="shared" si="15"/>
        <v>0</v>
      </c>
    </row>
    <row r="358" spans="6:7" x14ac:dyDescent="0.25">
      <c r="F358" s="23">
        <f t="shared" si="14"/>
        <v>0</v>
      </c>
      <c r="G358" s="8">
        <f t="shared" si="15"/>
        <v>0</v>
      </c>
    </row>
    <row r="359" spans="6:7" x14ac:dyDescent="0.25">
      <c r="F359" s="23">
        <f t="shared" si="14"/>
        <v>0</v>
      </c>
      <c r="G359" s="8">
        <f t="shared" si="15"/>
        <v>0</v>
      </c>
    </row>
    <row r="360" spans="6:7" x14ac:dyDescent="0.25">
      <c r="F360" s="23">
        <f t="shared" si="14"/>
        <v>0</v>
      </c>
      <c r="G360" s="8">
        <f t="shared" si="15"/>
        <v>0</v>
      </c>
    </row>
    <row r="361" spans="6:7" x14ac:dyDescent="0.25">
      <c r="F361" s="23">
        <f t="shared" si="14"/>
        <v>0</v>
      </c>
      <c r="G361" s="8">
        <f t="shared" si="15"/>
        <v>0</v>
      </c>
    </row>
    <row r="362" spans="6:7" x14ac:dyDescent="0.25">
      <c r="F362" s="23">
        <f t="shared" si="14"/>
        <v>0</v>
      </c>
      <c r="G362" s="8">
        <f t="shared" si="15"/>
        <v>0</v>
      </c>
    </row>
    <row r="363" spans="6:7" x14ac:dyDescent="0.25">
      <c r="F363" s="23">
        <f t="shared" si="14"/>
        <v>0</v>
      </c>
      <c r="G363" s="8">
        <f t="shared" si="15"/>
        <v>0</v>
      </c>
    </row>
    <row r="364" spans="6:7" x14ac:dyDescent="0.25">
      <c r="F364" s="23">
        <f t="shared" si="14"/>
        <v>0</v>
      </c>
      <c r="G364" s="8">
        <f t="shared" si="15"/>
        <v>0</v>
      </c>
    </row>
    <row r="365" spans="6:7" x14ac:dyDescent="0.25">
      <c r="F365" s="23">
        <f t="shared" si="14"/>
        <v>0</v>
      </c>
      <c r="G365" s="8">
        <f t="shared" si="15"/>
        <v>0</v>
      </c>
    </row>
    <row r="366" spans="6:7" x14ac:dyDescent="0.25">
      <c r="F366" s="23">
        <f t="shared" si="14"/>
        <v>0</v>
      </c>
      <c r="G366" s="8">
        <f t="shared" si="15"/>
        <v>0</v>
      </c>
    </row>
    <row r="367" spans="6:7" x14ac:dyDescent="0.25">
      <c r="F367" s="23">
        <f t="shared" si="14"/>
        <v>0</v>
      </c>
      <c r="G367" s="8">
        <f t="shared" si="15"/>
        <v>0</v>
      </c>
    </row>
    <row r="368" spans="6:7" x14ac:dyDescent="0.25">
      <c r="F368" s="23">
        <f t="shared" si="14"/>
        <v>0</v>
      </c>
      <c r="G368" s="8">
        <f t="shared" si="15"/>
        <v>0</v>
      </c>
    </row>
    <row r="369" spans="6:7" x14ac:dyDescent="0.25">
      <c r="F369" s="23">
        <f t="shared" si="14"/>
        <v>0</v>
      </c>
      <c r="G369" s="8">
        <f t="shared" si="15"/>
        <v>0</v>
      </c>
    </row>
    <row r="370" spans="6:7" x14ac:dyDescent="0.25">
      <c r="F370" s="23">
        <f t="shared" si="14"/>
        <v>0</v>
      </c>
      <c r="G370" s="8">
        <f t="shared" si="15"/>
        <v>0</v>
      </c>
    </row>
    <row r="371" spans="6:7" x14ac:dyDescent="0.25">
      <c r="F371" s="23">
        <f t="shared" si="14"/>
        <v>0</v>
      </c>
      <c r="G371" s="8">
        <f t="shared" si="15"/>
        <v>0</v>
      </c>
    </row>
    <row r="372" spans="6:7" x14ac:dyDescent="0.25">
      <c r="F372" s="23">
        <f t="shared" si="14"/>
        <v>0</v>
      </c>
      <c r="G372" s="8">
        <f t="shared" si="15"/>
        <v>0</v>
      </c>
    </row>
    <row r="373" spans="6:7" x14ac:dyDescent="0.25">
      <c r="F373" s="23">
        <f t="shared" si="14"/>
        <v>0</v>
      </c>
      <c r="G373" s="8">
        <f t="shared" si="15"/>
        <v>0</v>
      </c>
    </row>
    <row r="374" spans="6:7" x14ac:dyDescent="0.25">
      <c r="F374" s="23">
        <f t="shared" si="14"/>
        <v>0</v>
      </c>
      <c r="G374" s="8">
        <f t="shared" si="15"/>
        <v>0</v>
      </c>
    </row>
    <row r="375" spans="6:7" x14ac:dyDescent="0.25">
      <c r="F375" s="23">
        <f t="shared" si="14"/>
        <v>0</v>
      </c>
      <c r="G375" s="8">
        <f t="shared" si="15"/>
        <v>0</v>
      </c>
    </row>
    <row r="376" spans="6:7" x14ac:dyDescent="0.25">
      <c r="F376" s="23">
        <f t="shared" si="14"/>
        <v>0</v>
      </c>
      <c r="G376" s="8">
        <f t="shared" si="15"/>
        <v>0</v>
      </c>
    </row>
    <row r="377" spans="6:7" x14ac:dyDescent="0.25">
      <c r="F377" s="23">
        <f t="shared" si="14"/>
        <v>0</v>
      </c>
      <c r="G377" s="8">
        <f t="shared" si="15"/>
        <v>0</v>
      </c>
    </row>
    <row r="378" spans="6:7" x14ac:dyDescent="0.25">
      <c r="F378" s="23">
        <f t="shared" si="14"/>
        <v>0</v>
      </c>
      <c r="G378" s="8">
        <f t="shared" si="15"/>
        <v>0</v>
      </c>
    </row>
    <row r="379" spans="6:7" x14ac:dyDescent="0.25">
      <c r="F379" s="23">
        <f t="shared" si="14"/>
        <v>0</v>
      </c>
      <c r="G379" s="8">
        <f t="shared" si="15"/>
        <v>0</v>
      </c>
    </row>
    <row r="380" spans="6:7" x14ac:dyDescent="0.25">
      <c r="F380" s="23">
        <f t="shared" si="14"/>
        <v>0</v>
      </c>
      <c r="G380" s="8">
        <f t="shared" si="15"/>
        <v>0</v>
      </c>
    </row>
    <row r="381" spans="6:7" x14ac:dyDescent="0.25">
      <c r="F381" s="23">
        <f t="shared" si="14"/>
        <v>0</v>
      </c>
      <c r="G381" s="8">
        <f t="shared" si="15"/>
        <v>0</v>
      </c>
    </row>
    <row r="382" spans="6:7" x14ac:dyDescent="0.25">
      <c r="F382" s="23">
        <f t="shared" si="14"/>
        <v>0</v>
      </c>
      <c r="G382" s="8">
        <f t="shared" si="15"/>
        <v>0</v>
      </c>
    </row>
    <row r="383" spans="6:7" x14ac:dyDescent="0.25">
      <c r="F383" s="23">
        <f t="shared" si="14"/>
        <v>0</v>
      </c>
      <c r="G383" s="8">
        <f t="shared" si="15"/>
        <v>0</v>
      </c>
    </row>
    <row r="384" spans="6:7" x14ac:dyDescent="0.25">
      <c r="F384" s="23">
        <f t="shared" si="14"/>
        <v>0</v>
      </c>
      <c r="G384" s="8">
        <f t="shared" si="15"/>
        <v>0</v>
      </c>
    </row>
    <row r="385" spans="6:7" x14ac:dyDescent="0.25">
      <c r="F385" s="23">
        <f t="shared" si="14"/>
        <v>0</v>
      </c>
      <c r="G385" s="8">
        <f t="shared" si="15"/>
        <v>0</v>
      </c>
    </row>
    <row r="386" spans="6:7" x14ac:dyDescent="0.25">
      <c r="F386" s="23">
        <f t="shared" si="14"/>
        <v>0</v>
      </c>
      <c r="G386" s="8">
        <f t="shared" si="15"/>
        <v>0</v>
      </c>
    </row>
    <row r="387" spans="6:7" x14ac:dyDescent="0.25">
      <c r="F387" s="23">
        <f t="shared" si="14"/>
        <v>0</v>
      </c>
      <c r="G387" s="8">
        <f t="shared" si="15"/>
        <v>0</v>
      </c>
    </row>
    <row r="388" spans="6:7" x14ac:dyDescent="0.25">
      <c r="F388" s="23">
        <f t="shared" si="14"/>
        <v>0</v>
      </c>
      <c r="G388" s="8">
        <f t="shared" si="15"/>
        <v>0</v>
      </c>
    </row>
    <row r="389" spans="6:7" x14ac:dyDescent="0.25">
      <c r="F389" s="23">
        <f t="shared" si="14"/>
        <v>0</v>
      </c>
      <c r="G389" s="8">
        <f t="shared" si="15"/>
        <v>0</v>
      </c>
    </row>
    <row r="390" spans="6:7" x14ac:dyDescent="0.25">
      <c r="F390" s="23">
        <f t="shared" si="14"/>
        <v>0</v>
      </c>
      <c r="G390" s="8">
        <f t="shared" si="15"/>
        <v>0</v>
      </c>
    </row>
    <row r="391" spans="6:7" x14ac:dyDescent="0.25">
      <c r="F391" s="23">
        <f t="shared" si="14"/>
        <v>0</v>
      </c>
      <c r="G391" s="8">
        <f t="shared" si="15"/>
        <v>0</v>
      </c>
    </row>
    <row r="392" spans="6:7" x14ac:dyDescent="0.25">
      <c r="F392" s="23">
        <f t="shared" si="14"/>
        <v>0</v>
      </c>
      <c r="G392" s="8">
        <f t="shared" si="15"/>
        <v>0</v>
      </c>
    </row>
    <row r="393" spans="6:7" x14ac:dyDescent="0.25">
      <c r="F393" s="23">
        <f t="shared" si="14"/>
        <v>0</v>
      </c>
      <c r="G393" s="8">
        <f t="shared" si="15"/>
        <v>0</v>
      </c>
    </row>
    <row r="394" spans="6:7" x14ac:dyDescent="0.25">
      <c r="F394" s="23">
        <f t="shared" si="14"/>
        <v>0</v>
      </c>
      <c r="G394" s="8">
        <f t="shared" si="15"/>
        <v>0</v>
      </c>
    </row>
    <row r="395" spans="6:7" x14ac:dyDescent="0.25">
      <c r="F395" s="23">
        <f t="shared" si="14"/>
        <v>0</v>
      </c>
      <c r="G395" s="8">
        <f t="shared" si="15"/>
        <v>0</v>
      </c>
    </row>
    <row r="396" spans="6:7" x14ac:dyDescent="0.25">
      <c r="F396" s="23">
        <f t="shared" si="14"/>
        <v>0</v>
      </c>
      <c r="G396" s="8">
        <f t="shared" si="15"/>
        <v>0</v>
      </c>
    </row>
    <row r="397" spans="6:7" x14ac:dyDescent="0.25">
      <c r="F397" s="23">
        <f t="shared" si="14"/>
        <v>0</v>
      </c>
      <c r="G397" s="8">
        <f t="shared" si="15"/>
        <v>0</v>
      </c>
    </row>
    <row r="398" spans="6:7" x14ac:dyDescent="0.25">
      <c r="F398" s="23">
        <f t="shared" si="14"/>
        <v>0</v>
      </c>
      <c r="G398" s="8">
        <f t="shared" si="15"/>
        <v>0</v>
      </c>
    </row>
    <row r="399" spans="6:7" x14ac:dyDescent="0.25">
      <c r="F399" s="23">
        <f t="shared" si="14"/>
        <v>0</v>
      </c>
      <c r="G399" s="8">
        <f t="shared" si="15"/>
        <v>0</v>
      </c>
    </row>
    <row r="400" spans="6:7" x14ac:dyDescent="0.25">
      <c r="F400" s="23">
        <f t="shared" si="14"/>
        <v>0</v>
      </c>
      <c r="G400" s="8">
        <f t="shared" si="15"/>
        <v>0</v>
      </c>
    </row>
    <row r="401" spans="6:7" x14ac:dyDescent="0.25">
      <c r="F401" s="23">
        <f t="shared" si="14"/>
        <v>0</v>
      </c>
      <c r="G401" s="8">
        <f t="shared" si="15"/>
        <v>0</v>
      </c>
    </row>
    <row r="402" spans="6:7" x14ac:dyDescent="0.25">
      <c r="F402" s="23">
        <f t="shared" si="14"/>
        <v>0</v>
      </c>
      <c r="G402" s="8">
        <f t="shared" si="15"/>
        <v>0</v>
      </c>
    </row>
    <row r="403" spans="6:7" x14ac:dyDescent="0.25">
      <c r="F403" s="23">
        <f t="shared" si="14"/>
        <v>0</v>
      </c>
      <c r="G403" s="8">
        <f t="shared" si="15"/>
        <v>0</v>
      </c>
    </row>
    <row r="404" spans="6:7" x14ac:dyDescent="0.25">
      <c r="F404" s="23">
        <f t="shared" si="14"/>
        <v>0</v>
      </c>
      <c r="G404" s="8">
        <f t="shared" si="15"/>
        <v>0</v>
      </c>
    </row>
    <row r="405" spans="6:7" x14ac:dyDescent="0.25">
      <c r="F405" s="23">
        <f t="shared" si="14"/>
        <v>0</v>
      </c>
      <c r="G405" s="8">
        <f t="shared" si="15"/>
        <v>0</v>
      </c>
    </row>
    <row r="406" spans="6:7" x14ac:dyDescent="0.25">
      <c r="F406" s="23">
        <f t="shared" si="14"/>
        <v>0</v>
      </c>
      <c r="G406" s="8">
        <f t="shared" si="15"/>
        <v>0</v>
      </c>
    </row>
    <row r="407" spans="6:7" x14ac:dyDescent="0.25">
      <c r="F407" s="23">
        <f t="shared" si="14"/>
        <v>0</v>
      </c>
      <c r="G407" s="8">
        <f t="shared" si="15"/>
        <v>0</v>
      </c>
    </row>
    <row r="408" spans="6:7" x14ac:dyDescent="0.25">
      <c r="F408" s="23">
        <f t="shared" si="14"/>
        <v>0</v>
      </c>
      <c r="G408" s="8">
        <f t="shared" si="15"/>
        <v>0</v>
      </c>
    </row>
    <row r="409" spans="6:7" x14ac:dyDescent="0.25">
      <c r="F409" s="23">
        <f t="shared" si="14"/>
        <v>0</v>
      </c>
      <c r="G409" s="8">
        <f t="shared" si="15"/>
        <v>0</v>
      </c>
    </row>
    <row r="410" spans="6:7" x14ac:dyDescent="0.25">
      <c r="F410" s="23">
        <f t="shared" ref="F410:F473" si="16">B410</f>
        <v>0</v>
      </c>
      <c r="G410" s="8">
        <f t="shared" ref="G410:G473" si="17">A410</f>
        <v>0</v>
      </c>
    </row>
    <row r="411" spans="6:7" x14ac:dyDescent="0.25">
      <c r="F411" s="23">
        <f t="shared" si="16"/>
        <v>0</v>
      </c>
      <c r="G411" s="8">
        <f t="shared" si="17"/>
        <v>0</v>
      </c>
    </row>
    <row r="412" spans="6:7" x14ac:dyDescent="0.25">
      <c r="F412" s="23">
        <f t="shared" si="16"/>
        <v>0</v>
      </c>
      <c r="G412" s="8">
        <f t="shared" si="17"/>
        <v>0</v>
      </c>
    </row>
    <row r="413" spans="6:7" x14ac:dyDescent="0.25">
      <c r="F413" s="23">
        <f t="shared" si="16"/>
        <v>0</v>
      </c>
      <c r="G413" s="8">
        <f t="shared" si="17"/>
        <v>0</v>
      </c>
    </row>
    <row r="414" spans="6:7" x14ac:dyDescent="0.25">
      <c r="F414" s="23">
        <f t="shared" si="16"/>
        <v>0</v>
      </c>
      <c r="G414" s="8">
        <f t="shared" si="17"/>
        <v>0</v>
      </c>
    </row>
    <row r="415" spans="6:7" x14ac:dyDescent="0.25">
      <c r="F415" s="23">
        <f t="shared" si="16"/>
        <v>0</v>
      </c>
      <c r="G415" s="8">
        <f t="shared" si="17"/>
        <v>0</v>
      </c>
    </row>
    <row r="416" spans="6:7" x14ac:dyDescent="0.25">
      <c r="F416" s="23">
        <f t="shared" si="16"/>
        <v>0</v>
      </c>
      <c r="G416" s="8">
        <f t="shared" si="17"/>
        <v>0</v>
      </c>
    </row>
    <row r="417" spans="6:7" x14ac:dyDescent="0.25">
      <c r="F417" s="23">
        <f t="shared" si="16"/>
        <v>0</v>
      </c>
      <c r="G417" s="8">
        <f t="shared" si="17"/>
        <v>0</v>
      </c>
    </row>
    <row r="418" spans="6:7" x14ac:dyDescent="0.25">
      <c r="F418" s="23">
        <f t="shared" si="16"/>
        <v>0</v>
      </c>
      <c r="G418" s="8">
        <f t="shared" si="17"/>
        <v>0</v>
      </c>
    </row>
    <row r="419" spans="6:7" x14ac:dyDescent="0.25">
      <c r="F419" s="23">
        <f t="shared" si="16"/>
        <v>0</v>
      </c>
      <c r="G419" s="8">
        <f t="shared" si="17"/>
        <v>0</v>
      </c>
    </row>
    <row r="420" spans="6:7" x14ac:dyDescent="0.25">
      <c r="F420" s="23">
        <f t="shared" si="16"/>
        <v>0</v>
      </c>
      <c r="G420" s="8">
        <f t="shared" si="17"/>
        <v>0</v>
      </c>
    </row>
    <row r="421" spans="6:7" x14ac:dyDescent="0.25">
      <c r="F421" s="23">
        <f t="shared" si="16"/>
        <v>0</v>
      </c>
      <c r="G421" s="8">
        <f t="shared" si="17"/>
        <v>0</v>
      </c>
    </row>
    <row r="422" spans="6:7" x14ac:dyDescent="0.25">
      <c r="F422" s="23">
        <f t="shared" si="16"/>
        <v>0</v>
      </c>
      <c r="G422" s="8">
        <f t="shared" si="17"/>
        <v>0</v>
      </c>
    </row>
    <row r="423" spans="6:7" x14ac:dyDescent="0.25">
      <c r="F423" s="23">
        <f t="shared" si="16"/>
        <v>0</v>
      </c>
      <c r="G423" s="8">
        <f t="shared" si="17"/>
        <v>0</v>
      </c>
    </row>
    <row r="424" spans="6:7" x14ac:dyDescent="0.25">
      <c r="F424" s="23">
        <f t="shared" si="16"/>
        <v>0</v>
      </c>
      <c r="G424" s="8">
        <f t="shared" si="17"/>
        <v>0</v>
      </c>
    </row>
    <row r="425" spans="6:7" x14ac:dyDescent="0.25">
      <c r="F425" s="23">
        <f t="shared" si="16"/>
        <v>0</v>
      </c>
      <c r="G425" s="8">
        <f t="shared" si="17"/>
        <v>0</v>
      </c>
    </row>
    <row r="426" spans="6:7" x14ac:dyDescent="0.25">
      <c r="F426" s="23">
        <f t="shared" si="16"/>
        <v>0</v>
      </c>
      <c r="G426" s="8">
        <f t="shared" si="17"/>
        <v>0</v>
      </c>
    </row>
    <row r="427" spans="6:7" x14ac:dyDescent="0.25">
      <c r="F427" s="23">
        <f t="shared" si="16"/>
        <v>0</v>
      </c>
      <c r="G427" s="8">
        <f t="shared" si="17"/>
        <v>0</v>
      </c>
    </row>
    <row r="428" spans="6:7" x14ac:dyDescent="0.25">
      <c r="F428" s="23">
        <f t="shared" si="16"/>
        <v>0</v>
      </c>
      <c r="G428" s="8">
        <f t="shared" si="17"/>
        <v>0</v>
      </c>
    </row>
    <row r="429" spans="6:7" x14ac:dyDescent="0.25">
      <c r="F429" s="23">
        <f t="shared" si="16"/>
        <v>0</v>
      </c>
      <c r="G429" s="8">
        <f t="shared" si="17"/>
        <v>0</v>
      </c>
    </row>
    <row r="430" spans="6:7" x14ac:dyDescent="0.25">
      <c r="F430" s="23">
        <f t="shared" si="16"/>
        <v>0</v>
      </c>
      <c r="G430" s="8">
        <f t="shared" si="17"/>
        <v>0</v>
      </c>
    </row>
    <row r="431" spans="6:7" x14ac:dyDescent="0.25">
      <c r="F431" s="23">
        <f t="shared" si="16"/>
        <v>0</v>
      </c>
      <c r="G431" s="8">
        <f t="shared" si="17"/>
        <v>0</v>
      </c>
    </row>
    <row r="432" spans="6:7" x14ac:dyDescent="0.25">
      <c r="F432" s="23">
        <f t="shared" si="16"/>
        <v>0</v>
      </c>
      <c r="G432" s="8">
        <f t="shared" si="17"/>
        <v>0</v>
      </c>
    </row>
    <row r="433" spans="6:7" x14ac:dyDescent="0.25">
      <c r="F433" s="23">
        <f t="shared" si="16"/>
        <v>0</v>
      </c>
      <c r="G433" s="8">
        <f t="shared" si="17"/>
        <v>0</v>
      </c>
    </row>
    <row r="434" spans="6:7" x14ac:dyDescent="0.25">
      <c r="F434" s="23">
        <f t="shared" si="16"/>
        <v>0</v>
      </c>
      <c r="G434" s="8">
        <f t="shared" si="17"/>
        <v>0</v>
      </c>
    </row>
    <row r="435" spans="6:7" x14ac:dyDescent="0.25">
      <c r="F435" s="23">
        <f t="shared" si="16"/>
        <v>0</v>
      </c>
      <c r="G435" s="8">
        <f t="shared" si="17"/>
        <v>0</v>
      </c>
    </row>
    <row r="436" spans="6:7" x14ac:dyDescent="0.25">
      <c r="F436" s="23">
        <f t="shared" si="16"/>
        <v>0</v>
      </c>
      <c r="G436" s="8">
        <f t="shared" si="17"/>
        <v>0</v>
      </c>
    </row>
    <row r="437" spans="6:7" x14ac:dyDescent="0.25">
      <c r="F437" s="23">
        <f t="shared" si="16"/>
        <v>0</v>
      </c>
      <c r="G437" s="8">
        <f t="shared" si="17"/>
        <v>0</v>
      </c>
    </row>
    <row r="438" spans="6:7" x14ac:dyDescent="0.25">
      <c r="F438" s="23">
        <f t="shared" si="16"/>
        <v>0</v>
      </c>
      <c r="G438" s="8">
        <f t="shared" si="17"/>
        <v>0</v>
      </c>
    </row>
    <row r="439" spans="6:7" x14ac:dyDescent="0.25">
      <c r="F439" s="23">
        <f t="shared" si="16"/>
        <v>0</v>
      </c>
      <c r="G439" s="8">
        <f t="shared" si="17"/>
        <v>0</v>
      </c>
    </row>
    <row r="440" spans="6:7" x14ac:dyDescent="0.25">
      <c r="F440" s="23">
        <f t="shared" si="16"/>
        <v>0</v>
      </c>
      <c r="G440" s="8">
        <f t="shared" si="17"/>
        <v>0</v>
      </c>
    </row>
    <row r="441" spans="6:7" x14ac:dyDescent="0.25">
      <c r="F441" s="23">
        <f t="shared" si="16"/>
        <v>0</v>
      </c>
      <c r="G441" s="8">
        <f t="shared" si="17"/>
        <v>0</v>
      </c>
    </row>
    <row r="442" spans="6:7" x14ac:dyDescent="0.25">
      <c r="F442" s="23">
        <f t="shared" si="16"/>
        <v>0</v>
      </c>
      <c r="G442" s="8">
        <f t="shared" si="17"/>
        <v>0</v>
      </c>
    </row>
    <row r="443" spans="6:7" x14ac:dyDescent="0.25">
      <c r="F443" s="23">
        <f t="shared" si="16"/>
        <v>0</v>
      </c>
      <c r="G443" s="8">
        <f t="shared" si="17"/>
        <v>0</v>
      </c>
    </row>
    <row r="444" spans="6:7" x14ac:dyDescent="0.25">
      <c r="F444" s="23">
        <f t="shared" si="16"/>
        <v>0</v>
      </c>
      <c r="G444" s="8">
        <f t="shared" si="17"/>
        <v>0</v>
      </c>
    </row>
    <row r="445" spans="6:7" x14ac:dyDescent="0.25">
      <c r="F445" s="23">
        <f t="shared" si="16"/>
        <v>0</v>
      </c>
      <c r="G445" s="8">
        <f t="shared" si="17"/>
        <v>0</v>
      </c>
    </row>
    <row r="446" spans="6:7" x14ac:dyDescent="0.25">
      <c r="F446" s="23">
        <f t="shared" si="16"/>
        <v>0</v>
      </c>
      <c r="G446" s="8">
        <f t="shared" si="17"/>
        <v>0</v>
      </c>
    </row>
    <row r="447" spans="6:7" x14ac:dyDescent="0.25">
      <c r="F447" s="23">
        <f t="shared" si="16"/>
        <v>0</v>
      </c>
      <c r="G447" s="8">
        <f t="shared" si="17"/>
        <v>0</v>
      </c>
    </row>
    <row r="448" spans="6:7" x14ac:dyDescent="0.25">
      <c r="F448" s="23">
        <f t="shared" si="16"/>
        <v>0</v>
      </c>
      <c r="G448" s="8">
        <f t="shared" si="17"/>
        <v>0</v>
      </c>
    </row>
    <row r="449" spans="6:7" x14ac:dyDescent="0.25">
      <c r="F449" s="23">
        <f t="shared" si="16"/>
        <v>0</v>
      </c>
      <c r="G449" s="8">
        <f t="shared" si="17"/>
        <v>0</v>
      </c>
    </row>
    <row r="450" spans="6:7" x14ac:dyDescent="0.25">
      <c r="F450" s="23">
        <f t="shared" si="16"/>
        <v>0</v>
      </c>
      <c r="G450" s="8">
        <f t="shared" si="17"/>
        <v>0</v>
      </c>
    </row>
    <row r="451" spans="6:7" x14ac:dyDescent="0.25">
      <c r="F451" s="23">
        <f t="shared" si="16"/>
        <v>0</v>
      </c>
      <c r="G451" s="8">
        <f t="shared" si="17"/>
        <v>0</v>
      </c>
    </row>
    <row r="452" spans="6:7" x14ac:dyDescent="0.25">
      <c r="F452" s="23">
        <f t="shared" si="16"/>
        <v>0</v>
      </c>
      <c r="G452" s="8">
        <f t="shared" si="17"/>
        <v>0</v>
      </c>
    </row>
    <row r="453" spans="6:7" x14ac:dyDescent="0.25">
      <c r="F453" s="23">
        <f t="shared" si="16"/>
        <v>0</v>
      </c>
      <c r="G453" s="8">
        <f t="shared" si="17"/>
        <v>0</v>
      </c>
    </row>
    <row r="454" spans="6:7" x14ac:dyDescent="0.25">
      <c r="F454" s="23">
        <f t="shared" si="16"/>
        <v>0</v>
      </c>
      <c r="G454" s="8">
        <f t="shared" si="17"/>
        <v>0</v>
      </c>
    </row>
    <row r="455" spans="6:7" x14ac:dyDescent="0.25">
      <c r="F455" s="23">
        <f t="shared" si="16"/>
        <v>0</v>
      </c>
      <c r="G455" s="8">
        <f t="shared" si="17"/>
        <v>0</v>
      </c>
    </row>
    <row r="456" spans="6:7" x14ac:dyDescent="0.25">
      <c r="F456" s="23">
        <f t="shared" si="16"/>
        <v>0</v>
      </c>
      <c r="G456" s="8">
        <f t="shared" si="17"/>
        <v>0</v>
      </c>
    </row>
    <row r="457" spans="6:7" x14ac:dyDescent="0.25">
      <c r="F457" s="23">
        <f t="shared" si="16"/>
        <v>0</v>
      </c>
      <c r="G457" s="8">
        <f t="shared" si="17"/>
        <v>0</v>
      </c>
    </row>
    <row r="458" spans="6:7" x14ac:dyDescent="0.25">
      <c r="F458" s="23">
        <f t="shared" si="16"/>
        <v>0</v>
      </c>
      <c r="G458" s="8">
        <f t="shared" si="17"/>
        <v>0</v>
      </c>
    </row>
    <row r="459" spans="6:7" x14ac:dyDescent="0.25">
      <c r="F459" s="23">
        <f t="shared" si="16"/>
        <v>0</v>
      </c>
      <c r="G459" s="8">
        <f t="shared" si="17"/>
        <v>0</v>
      </c>
    </row>
    <row r="460" spans="6:7" x14ac:dyDescent="0.25">
      <c r="F460" s="23">
        <f t="shared" si="16"/>
        <v>0</v>
      </c>
      <c r="G460" s="8">
        <f t="shared" si="17"/>
        <v>0</v>
      </c>
    </row>
    <row r="461" spans="6:7" x14ac:dyDescent="0.25">
      <c r="F461" s="23">
        <f t="shared" si="16"/>
        <v>0</v>
      </c>
      <c r="G461" s="8">
        <f t="shared" si="17"/>
        <v>0</v>
      </c>
    </row>
    <row r="462" spans="6:7" x14ac:dyDescent="0.25">
      <c r="F462" s="23">
        <f t="shared" si="16"/>
        <v>0</v>
      </c>
      <c r="G462" s="8">
        <f t="shared" si="17"/>
        <v>0</v>
      </c>
    </row>
    <row r="463" spans="6:7" x14ac:dyDescent="0.25">
      <c r="F463" s="23">
        <f t="shared" si="16"/>
        <v>0</v>
      </c>
      <c r="G463" s="8">
        <f t="shared" si="17"/>
        <v>0</v>
      </c>
    </row>
    <row r="464" spans="6:7" x14ac:dyDescent="0.25">
      <c r="F464" s="23">
        <f t="shared" si="16"/>
        <v>0</v>
      </c>
      <c r="G464" s="8">
        <f t="shared" si="17"/>
        <v>0</v>
      </c>
    </row>
    <row r="465" spans="6:7" x14ac:dyDescent="0.25">
      <c r="F465" s="23">
        <f t="shared" si="16"/>
        <v>0</v>
      </c>
      <c r="G465" s="8">
        <f t="shared" si="17"/>
        <v>0</v>
      </c>
    </row>
    <row r="466" spans="6:7" x14ac:dyDescent="0.25">
      <c r="F466" s="23">
        <f t="shared" si="16"/>
        <v>0</v>
      </c>
      <c r="G466" s="8">
        <f t="shared" si="17"/>
        <v>0</v>
      </c>
    </row>
    <row r="467" spans="6:7" x14ac:dyDescent="0.25">
      <c r="F467" s="23">
        <f t="shared" si="16"/>
        <v>0</v>
      </c>
      <c r="G467" s="8">
        <f t="shared" si="17"/>
        <v>0</v>
      </c>
    </row>
    <row r="468" spans="6:7" x14ac:dyDescent="0.25">
      <c r="F468" s="23">
        <f t="shared" si="16"/>
        <v>0</v>
      </c>
      <c r="G468" s="8">
        <f t="shared" si="17"/>
        <v>0</v>
      </c>
    </row>
    <row r="469" spans="6:7" x14ac:dyDescent="0.25">
      <c r="F469" s="23">
        <f t="shared" si="16"/>
        <v>0</v>
      </c>
      <c r="G469" s="8">
        <f t="shared" si="17"/>
        <v>0</v>
      </c>
    </row>
    <row r="470" spans="6:7" x14ac:dyDescent="0.25">
      <c r="F470" s="23">
        <f t="shared" si="16"/>
        <v>0</v>
      </c>
      <c r="G470" s="8">
        <f t="shared" si="17"/>
        <v>0</v>
      </c>
    </row>
    <row r="471" spans="6:7" x14ac:dyDescent="0.25">
      <c r="F471" s="23">
        <f t="shared" si="16"/>
        <v>0</v>
      </c>
      <c r="G471" s="8">
        <f t="shared" si="17"/>
        <v>0</v>
      </c>
    </row>
    <row r="472" spans="6:7" x14ac:dyDescent="0.25">
      <c r="F472" s="23">
        <f t="shared" si="16"/>
        <v>0</v>
      </c>
      <c r="G472" s="8">
        <f t="shared" si="17"/>
        <v>0</v>
      </c>
    </row>
    <row r="473" spans="6:7" x14ac:dyDescent="0.25">
      <c r="F473" s="23">
        <f t="shared" si="16"/>
        <v>0</v>
      </c>
      <c r="G473" s="8">
        <f t="shared" si="17"/>
        <v>0</v>
      </c>
    </row>
    <row r="474" spans="6:7" x14ac:dyDescent="0.25">
      <c r="F474" s="23">
        <f t="shared" ref="F474:F537" si="18">B474</f>
        <v>0</v>
      </c>
      <c r="G474" s="8">
        <f t="shared" ref="G474:G537" si="19">A474</f>
        <v>0</v>
      </c>
    </row>
    <row r="475" spans="6:7" x14ac:dyDescent="0.25">
      <c r="F475" s="23">
        <f t="shared" si="18"/>
        <v>0</v>
      </c>
      <c r="G475" s="8">
        <f t="shared" si="19"/>
        <v>0</v>
      </c>
    </row>
    <row r="476" spans="6:7" x14ac:dyDescent="0.25">
      <c r="F476" s="23">
        <f t="shared" si="18"/>
        <v>0</v>
      </c>
      <c r="G476" s="8">
        <f t="shared" si="19"/>
        <v>0</v>
      </c>
    </row>
    <row r="477" spans="6:7" x14ac:dyDescent="0.25">
      <c r="F477" s="23">
        <f t="shared" si="18"/>
        <v>0</v>
      </c>
      <c r="G477" s="8">
        <f t="shared" si="19"/>
        <v>0</v>
      </c>
    </row>
    <row r="478" spans="6:7" x14ac:dyDescent="0.25">
      <c r="F478" s="23">
        <f t="shared" si="18"/>
        <v>0</v>
      </c>
      <c r="G478" s="8">
        <f t="shared" si="19"/>
        <v>0</v>
      </c>
    </row>
    <row r="479" spans="6:7" x14ac:dyDescent="0.25">
      <c r="F479" s="23">
        <f t="shared" si="18"/>
        <v>0</v>
      </c>
      <c r="G479" s="8">
        <f t="shared" si="19"/>
        <v>0</v>
      </c>
    </row>
    <row r="480" spans="6:7" x14ac:dyDescent="0.25">
      <c r="F480" s="23">
        <f t="shared" si="18"/>
        <v>0</v>
      </c>
      <c r="G480" s="8">
        <f t="shared" si="19"/>
        <v>0</v>
      </c>
    </row>
    <row r="481" spans="6:7" x14ac:dyDescent="0.25">
      <c r="F481" s="23">
        <f t="shared" si="18"/>
        <v>0</v>
      </c>
      <c r="G481" s="8">
        <f t="shared" si="19"/>
        <v>0</v>
      </c>
    </row>
    <row r="482" spans="6:7" x14ac:dyDescent="0.25">
      <c r="F482" s="23">
        <f t="shared" si="18"/>
        <v>0</v>
      </c>
      <c r="G482" s="8">
        <f t="shared" si="19"/>
        <v>0</v>
      </c>
    </row>
    <row r="483" spans="6:7" x14ac:dyDescent="0.25">
      <c r="F483" s="23">
        <f t="shared" si="18"/>
        <v>0</v>
      </c>
      <c r="G483" s="8">
        <f t="shared" si="19"/>
        <v>0</v>
      </c>
    </row>
    <row r="484" spans="6:7" x14ac:dyDescent="0.25">
      <c r="F484" s="23">
        <f t="shared" si="18"/>
        <v>0</v>
      </c>
      <c r="G484" s="8">
        <f t="shared" si="19"/>
        <v>0</v>
      </c>
    </row>
    <row r="485" spans="6:7" x14ac:dyDescent="0.25">
      <c r="F485" s="23">
        <f t="shared" si="18"/>
        <v>0</v>
      </c>
      <c r="G485" s="8">
        <f t="shared" si="19"/>
        <v>0</v>
      </c>
    </row>
    <row r="486" spans="6:7" x14ac:dyDescent="0.25">
      <c r="F486" s="23">
        <f t="shared" si="18"/>
        <v>0</v>
      </c>
      <c r="G486" s="8">
        <f t="shared" si="19"/>
        <v>0</v>
      </c>
    </row>
    <row r="487" spans="6:7" x14ac:dyDescent="0.25">
      <c r="F487" s="23">
        <f t="shared" si="18"/>
        <v>0</v>
      </c>
      <c r="G487" s="8">
        <f t="shared" si="19"/>
        <v>0</v>
      </c>
    </row>
    <row r="488" spans="6:7" x14ac:dyDescent="0.25">
      <c r="F488" s="23">
        <f t="shared" si="18"/>
        <v>0</v>
      </c>
      <c r="G488" s="8">
        <f t="shared" si="19"/>
        <v>0</v>
      </c>
    </row>
    <row r="489" spans="6:7" x14ac:dyDescent="0.25">
      <c r="F489" s="23">
        <f t="shared" si="18"/>
        <v>0</v>
      </c>
      <c r="G489" s="8">
        <f t="shared" si="19"/>
        <v>0</v>
      </c>
    </row>
    <row r="490" spans="6:7" x14ac:dyDescent="0.25">
      <c r="F490" s="23">
        <f t="shared" si="18"/>
        <v>0</v>
      </c>
      <c r="G490" s="8">
        <f t="shared" si="19"/>
        <v>0</v>
      </c>
    </row>
    <row r="491" spans="6:7" x14ac:dyDescent="0.25">
      <c r="F491" s="23">
        <f t="shared" si="18"/>
        <v>0</v>
      </c>
      <c r="G491" s="8">
        <f t="shared" si="19"/>
        <v>0</v>
      </c>
    </row>
    <row r="492" spans="6:7" x14ac:dyDescent="0.25">
      <c r="F492" s="23">
        <f t="shared" si="18"/>
        <v>0</v>
      </c>
      <c r="G492" s="8">
        <f t="shared" si="19"/>
        <v>0</v>
      </c>
    </row>
    <row r="493" spans="6:7" x14ac:dyDescent="0.25">
      <c r="F493" s="23">
        <f t="shared" si="18"/>
        <v>0</v>
      </c>
      <c r="G493" s="8">
        <f t="shared" si="19"/>
        <v>0</v>
      </c>
    </row>
    <row r="494" spans="6:7" x14ac:dyDescent="0.25">
      <c r="F494" s="23">
        <f t="shared" si="18"/>
        <v>0</v>
      </c>
      <c r="G494" s="8">
        <f t="shared" si="19"/>
        <v>0</v>
      </c>
    </row>
    <row r="495" spans="6:7" x14ac:dyDescent="0.25">
      <c r="F495" s="23">
        <f t="shared" si="18"/>
        <v>0</v>
      </c>
      <c r="G495" s="8">
        <f t="shared" si="19"/>
        <v>0</v>
      </c>
    </row>
    <row r="496" spans="6:7" x14ac:dyDescent="0.25">
      <c r="F496" s="23">
        <f t="shared" si="18"/>
        <v>0</v>
      </c>
      <c r="G496" s="8">
        <f t="shared" si="19"/>
        <v>0</v>
      </c>
    </row>
    <row r="497" spans="6:7" x14ac:dyDescent="0.25">
      <c r="F497" s="23">
        <f t="shared" si="18"/>
        <v>0</v>
      </c>
      <c r="G497" s="8">
        <f t="shared" si="19"/>
        <v>0</v>
      </c>
    </row>
    <row r="498" spans="6:7" x14ac:dyDescent="0.25">
      <c r="F498" s="23">
        <f t="shared" si="18"/>
        <v>0</v>
      </c>
      <c r="G498" s="8">
        <f t="shared" si="19"/>
        <v>0</v>
      </c>
    </row>
    <row r="499" spans="6:7" x14ac:dyDescent="0.25">
      <c r="F499" s="23">
        <f t="shared" si="18"/>
        <v>0</v>
      </c>
      <c r="G499" s="8">
        <f t="shared" si="19"/>
        <v>0</v>
      </c>
    </row>
    <row r="500" spans="6:7" x14ac:dyDescent="0.25">
      <c r="F500" s="23">
        <f t="shared" si="18"/>
        <v>0</v>
      </c>
      <c r="G500" s="8">
        <f t="shared" si="19"/>
        <v>0</v>
      </c>
    </row>
    <row r="501" spans="6:7" x14ac:dyDescent="0.25">
      <c r="F501" s="23">
        <f t="shared" si="18"/>
        <v>0</v>
      </c>
      <c r="G501" s="8">
        <f t="shared" si="19"/>
        <v>0</v>
      </c>
    </row>
    <row r="502" spans="6:7" x14ac:dyDescent="0.25">
      <c r="F502" s="23">
        <f t="shared" si="18"/>
        <v>0</v>
      </c>
      <c r="G502" s="8">
        <f t="shared" si="19"/>
        <v>0</v>
      </c>
    </row>
    <row r="503" spans="6:7" x14ac:dyDescent="0.25">
      <c r="F503" s="23">
        <f t="shared" si="18"/>
        <v>0</v>
      </c>
      <c r="G503" s="8">
        <f t="shared" si="19"/>
        <v>0</v>
      </c>
    </row>
    <row r="504" spans="6:7" x14ac:dyDescent="0.25">
      <c r="F504" s="23">
        <f t="shared" si="18"/>
        <v>0</v>
      </c>
      <c r="G504" s="8">
        <f t="shared" si="19"/>
        <v>0</v>
      </c>
    </row>
    <row r="505" spans="6:7" x14ac:dyDescent="0.25">
      <c r="F505" s="23">
        <f t="shared" si="18"/>
        <v>0</v>
      </c>
      <c r="G505" s="8">
        <f t="shared" si="19"/>
        <v>0</v>
      </c>
    </row>
    <row r="506" spans="6:7" x14ac:dyDescent="0.25">
      <c r="F506" s="23">
        <f t="shared" si="18"/>
        <v>0</v>
      </c>
      <c r="G506" s="8">
        <f t="shared" si="19"/>
        <v>0</v>
      </c>
    </row>
    <row r="507" spans="6:7" x14ac:dyDescent="0.25">
      <c r="F507" s="23">
        <f t="shared" si="18"/>
        <v>0</v>
      </c>
      <c r="G507" s="8">
        <f t="shared" si="19"/>
        <v>0</v>
      </c>
    </row>
    <row r="508" spans="6:7" x14ac:dyDescent="0.25">
      <c r="F508" s="23">
        <f t="shared" si="18"/>
        <v>0</v>
      </c>
      <c r="G508" s="8">
        <f t="shared" si="19"/>
        <v>0</v>
      </c>
    </row>
    <row r="509" spans="6:7" x14ac:dyDescent="0.25">
      <c r="F509" s="23">
        <f t="shared" si="18"/>
        <v>0</v>
      </c>
      <c r="G509" s="8">
        <f t="shared" si="19"/>
        <v>0</v>
      </c>
    </row>
    <row r="510" spans="6:7" x14ac:dyDescent="0.25">
      <c r="F510" s="23">
        <f t="shared" si="18"/>
        <v>0</v>
      </c>
      <c r="G510" s="8">
        <f t="shared" si="19"/>
        <v>0</v>
      </c>
    </row>
    <row r="511" spans="6:7" x14ac:dyDescent="0.25">
      <c r="F511" s="23">
        <f t="shared" si="18"/>
        <v>0</v>
      </c>
      <c r="G511" s="8">
        <f t="shared" si="19"/>
        <v>0</v>
      </c>
    </row>
    <row r="512" spans="6:7" x14ac:dyDescent="0.25">
      <c r="F512" s="23">
        <f t="shared" si="18"/>
        <v>0</v>
      </c>
      <c r="G512" s="8">
        <f t="shared" si="19"/>
        <v>0</v>
      </c>
    </row>
    <row r="513" spans="6:7" x14ac:dyDescent="0.25">
      <c r="F513" s="23">
        <f t="shared" si="18"/>
        <v>0</v>
      </c>
      <c r="G513" s="8">
        <f t="shared" si="19"/>
        <v>0</v>
      </c>
    </row>
    <row r="514" spans="6:7" x14ac:dyDescent="0.25">
      <c r="F514" s="23">
        <f t="shared" si="18"/>
        <v>0</v>
      </c>
      <c r="G514" s="8">
        <f t="shared" si="19"/>
        <v>0</v>
      </c>
    </row>
    <row r="515" spans="6:7" x14ac:dyDescent="0.25">
      <c r="F515" s="23">
        <f t="shared" si="18"/>
        <v>0</v>
      </c>
      <c r="G515" s="8">
        <f t="shared" si="19"/>
        <v>0</v>
      </c>
    </row>
    <row r="516" spans="6:7" x14ac:dyDescent="0.25">
      <c r="F516" s="23">
        <f t="shared" si="18"/>
        <v>0</v>
      </c>
      <c r="G516" s="8">
        <f t="shared" si="19"/>
        <v>0</v>
      </c>
    </row>
    <row r="517" spans="6:7" x14ac:dyDescent="0.25">
      <c r="F517" s="23">
        <f t="shared" si="18"/>
        <v>0</v>
      </c>
      <c r="G517" s="8">
        <f t="shared" si="19"/>
        <v>0</v>
      </c>
    </row>
    <row r="518" spans="6:7" x14ac:dyDescent="0.25">
      <c r="F518" s="23">
        <f t="shared" si="18"/>
        <v>0</v>
      </c>
      <c r="G518" s="8">
        <f t="shared" si="19"/>
        <v>0</v>
      </c>
    </row>
    <row r="519" spans="6:7" x14ac:dyDescent="0.25">
      <c r="F519" s="23">
        <f t="shared" si="18"/>
        <v>0</v>
      </c>
      <c r="G519" s="8">
        <f t="shared" si="19"/>
        <v>0</v>
      </c>
    </row>
    <row r="520" spans="6:7" x14ac:dyDescent="0.25">
      <c r="F520" s="23">
        <f t="shared" si="18"/>
        <v>0</v>
      </c>
      <c r="G520" s="8">
        <f t="shared" si="19"/>
        <v>0</v>
      </c>
    </row>
    <row r="521" spans="6:7" x14ac:dyDescent="0.25">
      <c r="F521" s="23">
        <f t="shared" si="18"/>
        <v>0</v>
      </c>
      <c r="G521" s="8">
        <f t="shared" si="19"/>
        <v>0</v>
      </c>
    </row>
    <row r="522" spans="6:7" x14ac:dyDescent="0.25">
      <c r="F522" s="23">
        <f t="shared" si="18"/>
        <v>0</v>
      </c>
      <c r="G522" s="8">
        <f t="shared" si="19"/>
        <v>0</v>
      </c>
    </row>
    <row r="523" spans="6:7" x14ac:dyDescent="0.25">
      <c r="F523" s="23">
        <f t="shared" si="18"/>
        <v>0</v>
      </c>
      <c r="G523" s="8">
        <f t="shared" si="19"/>
        <v>0</v>
      </c>
    </row>
    <row r="524" spans="6:7" x14ac:dyDescent="0.25">
      <c r="F524" s="23">
        <f t="shared" si="18"/>
        <v>0</v>
      </c>
      <c r="G524" s="8">
        <f t="shared" si="19"/>
        <v>0</v>
      </c>
    </row>
    <row r="525" spans="6:7" x14ac:dyDescent="0.25">
      <c r="F525" s="23">
        <f t="shared" si="18"/>
        <v>0</v>
      </c>
      <c r="G525" s="8">
        <f t="shared" si="19"/>
        <v>0</v>
      </c>
    </row>
    <row r="526" spans="6:7" x14ac:dyDescent="0.25">
      <c r="F526" s="23">
        <f t="shared" si="18"/>
        <v>0</v>
      </c>
      <c r="G526" s="8">
        <f t="shared" si="19"/>
        <v>0</v>
      </c>
    </row>
    <row r="527" spans="6:7" x14ac:dyDescent="0.25">
      <c r="F527" s="23">
        <f t="shared" si="18"/>
        <v>0</v>
      </c>
      <c r="G527" s="8">
        <f t="shared" si="19"/>
        <v>0</v>
      </c>
    </row>
    <row r="528" spans="6:7" x14ac:dyDescent="0.25">
      <c r="F528" s="23">
        <f t="shared" si="18"/>
        <v>0</v>
      </c>
      <c r="G528" s="8">
        <f t="shared" si="19"/>
        <v>0</v>
      </c>
    </row>
    <row r="529" spans="6:7" x14ac:dyDescent="0.25">
      <c r="F529" s="23">
        <f t="shared" si="18"/>
        <v>0</v>
      </c>
      <c r="G529" s="8">
        <f t="shared" si="19"/>
        <v>0</v>
      </c>
    </row>
    <row r="530" spans="6:7" x14ac:dyDescent="0.25">
      <c r="F530" s="23">
        <f t="shared" si="18"/>
        <v>0</v>
      </c>
      <c r="G530" s="8">
        <f t="shared" si="19"/>
        <v>0</v>
      </c>
    </row>
    <row r="531" spans="6:7" x14ac:dyDescent="0.25">
      <c r="F531" s="23">
        <f t="shared" si="18"/>
        <v>0</v>
      </c>
      <c r="G531" s="8">
        <f t="shared" si="19"/>
        <v>0</v>
      </c>
    </row>
    <row r="532" spans="6:7" x14ac:dyDescent="0.25">
      <c r="F532" s="23">
        <f t="shared" si="18"/>
        <v>0</v>
      </c>
      <c r="G532" s="8">
        <f t="shared" si="19"/>
        <v>0</v>
      </c>
    </row>
    <row r="533" spans="6:7" x14ac:dyDescent="0.25">
      <c r="F533" s="23">
        <f t="shared" si="18"/>
        <v>0</v>
      </c>
      <c r="G533" s="8">
        <f t="shared" si="19"/>
        <v>0</v>
      </c>
    </row>
    <row r="534" spans="6:7" x14ac:dyDescent="0.25">
      <c r="F534" s="23">
        <f t="shared" si="18"/>
        <v>0</v>
      </c>
      <c r="G534" s="8">
        <f t="shared" si="19"/>
        <v>0</v>
      </c>
    </row>
    <row r="535" spans="6:7" x14ac:dyDescent="0.25">
      <c r="F535" s="23">
        <f t="shared" si="18"/>
        <v>0</v>
      </c>
      <c r="G535" s="8">
        <f t="shared" si="19"/>
        <v>0</v>
      </c>
    </row>
    <row r="536" spans="6:7" x14ac:dyDescent="0.25">
      <c r="F536" s="23">
        <f t="shared" si="18"/>
        <v>0</v>
      </c>
      <c r="G536" s="8">
        <f t="shared" si="19"/>
        <v>0</v>
      </c>
    </row>
    <row r="537" spans="6:7" x14ac:dyDescent="0.25">
      <c r="F537" s="23">
        <f t="shared" si="18"/>
        <v>0</v>
      </c>
      <c r="G537" s="8">
        <f t="shared" si="19"/>
        <v>0</v>
      </c>
    </row>
    <row r="538" spans="6:7" x14ac:dyDescent="0.25">
      <c r="F538" s="23">
        <f t="shared" ref="F538:F543" si="20">B538</f>
        <v>0</v>
      </c>
      <c r="G538" s="8">
        <f t="shared" ref="G538:G543" si="21">A538</f>
        <v>0</v>
      </c>
    </row>
    <row r="539" spans="6:7" x14ac:dyDescent="0.25">
      <c r="F539" s="23">
        <f t="shared" si="20"/>
        <v>0</v>
      </c>
      <c r="G539" s="8">
        <f t="shared" si="21"/>
        <v>0</v>
      </c>
    </row>
    <row r="540" spans="6:7" x14ac:dyDescent="0.25">
      <c r="F540" s="23">
        <f t="shared" si="20"/>
        <v>0</v>
      </c>
      <c r="G540" s="8">
        <f t="shared" si="21"/>
        <v>0</v>
      </c>
    </row>
    <row r="541" spans="6:7" x14ac:dyDescent="0.25">
      <c r="F541" s="23">
        <f t="shared" si="20"/>
        <v>0</v>
      </c>
      <c r="G541" s="8">
        <f t="shared" si="21"/>
        <v>0</v>
      </c>
    </row>
    <row r="542" spans="6:7" x14ac:dyDescent="0.25">
      <c r="F542" s="23">
        <f t="shared" si="20"/>
        <v>0</v>
      </c>
      <c r="G542" s="8">
        <f t="shared" si="21"/>
        <v>0</v>
      </c>
    </row>
    <row r="543" spans="6:7" x14ac:dyDescent="0.25">
      <c r="F543" s="23">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P26"/>
  <sheetViews>
    <sheetView workbookViewId="0"/>
  </sheetViews>
  <sheetFormatPr defaultRowHeight="15" x14ac:dyDescent="0.25"/>
  <cols>
    <col min="1" max="1" width="32.140625" customWidth="1"/>
    <col min="3" max="3" width="24" customWidth="1"/>
    <col min="4" max="4" width="19.140625" customWidth="1"/>
    <col min="10" max="10" width="24.28515625" bestFit="1" customWidth="1"/>
    <col min="11" max="11" width="15.28515625" hidden="1" customWidth="1"/>
    <col min="12" max="12" width="13.5703125" hidden="1" customWidth="1"/>
    <col min="13" max="13" width="9" style="70" bestFit="1" customWidth="1"/>
  </cols>
  <sheetData>
    <row r="1" spans="1:16" ht="45.75" x14ac:dyDescent="0.3">
      <c r="A1" s="13" t="s">
        <v>25</v>
      </c>
      <c r="C1" s="73" t="s">
        <v>116</v>
      </c>
      <c r="D1" s="74" t="s">
        <v>117</v>
      </c>
      <c r="J1" s="34" t="s">
        <v>118</v>
      </c>
      <c r="K1" s="34" t="s">
        <v>72</v>
      </c>
      <c r="L1" s="34" t="s">
        <v>73</v>
      </c>
      <c r="O1" s="77" t="s">
        <v>119</v>
      </c>
    </row>
    <row r="2" spans="1:16" ht="15.75" thickBot="1" x14ac:dyDescent="0.3">
      <c r="A2" s="14">
        <v>42612</v>
      </c>
      <c r="B2" s="4"/>
      <c r="C2" s="75">
        <v>50</v>
      </c>
      <c r="D2" s="76">
        <v>25</v>
      </c>
      <c r="F2" t="s">
        <v>143</v>
      </c>
      <c r="J2" s="34"/>
      <c r="K2" s="34" t="s">
        <v>72</v>
      </c>
      <c r="L2" s="34" t="s">
        <v>73</v>
      </c>
    </row>
    <row r="3" spans="1:16" x14ac:dyDescent="0.25">
      <c r="F3" t="s">
        <v>58</v>
      </c>
      <c r="J3" s="35" t="s">
        <v>74</v>
      </c>
      <c r="K3" s="36">
        <v>2.7052</v>
      </c>
      <c r="L3" s="36">
        <v>2.7349999999999999</v>
      </c>
      <c r="M3" s="70">
        <f t="shared" ref="M3:M14" si="0">AVERAGE(K3:L3)</f>
        <v>2.7201</v>
      </c>
      <c r="O3" t="s">
        <v>120</v>
      </c>
      <c r="P3" s="70">
        <f>AVERAGE(1.0714,1.1016)</f>
        <v>1.0865</v>
      </c>
    </row>
    <row r="4" spans="1:16" x14ac:dyDescent="0.25">
      <c r="F4" t="s">
        <v>59</v>
      </c>
      <c r="J4" s="35" t="s">
        <v>75</v>
      </c>
      <c r="K4" s="36">
        <v>3.0830000000000002</v>
      </c>
      <c r="L4" s="36">
        <v>3.097</v>
      </c>
      <c r="M4" s="70">
        <f t="shared" si="0"/>
        <v>3.09</v>
      </c>
    </row>
    <row r="5" spans="1:16" x14ac:dyDescent="0.25">
      <c r="J5" s="35" t="s">
        <v>76</v>
      </c>
      <c r="K5" s="36">
        <v>3.3136000000000001</v>
      </c>
      <c r="L5" s="36">
        <v>3.3256999999999999</v>
      </c>
      <c r="M5" s="70">
        <f t="shared" si="0"/>
        <v>3.3196500000000002</v>
      </c>
    </row>
    <row r="6" spans="1:16" x14ac:dyDescent="0.25">
      <c r="F6" t="s">
        <v>144</v>
      </c>
      <c r="J6" s="35" t="s">
        <v>77</v>
      </c>
      <c r="K6" s="36">
        <v>4.2778999999999998</v>
      </c>
      <c r="L6" s="36">
        <v>4.2961</v>
      </c>
      <c r="M6" s="70">
        <f t="shared" si="0"/>
        <v>4.2869999999999999</v>
      </c>
    </row>
    <row r="7" spans="1:16" x14ac:dyDescent="0.25">
      <c r="F7" t="s">
        <v>145</v>
      </c>
      <c r="J7" s="35" t="s">
        <v>78</v>
      </c>
      <c r="K7" s="36">
        <v>4.7865000000000002</v>
      </c>
      <c r="L7" s="36">
        <v>4.8048000000000002</v>
      </c>
      <c r="M7" s="70">
        <f t="shared" si="0"/>
        <v>4.7956500000000002</v>
      </c>
    </row>
    <row r="8" spans="1:16" x14ac:dyDescent="0.25">
      <c r="F8" t="s">
        <v>146</v>
      </c>
      <c r="J8" s="35" t="s">
        <v>79</v>
      </c>
      <c r="K8" s="36">
        <v>5.3155000000000001</v>
      </c>
      <c r="L8" s="36">
        <v>5.3277000000000001</v>
      </c>
      <c r="M8" s="70">
        <f t="shared" si="0"/>
        <v>5.3216000000000001</v>
      </c>
    </row>
    <row r="9" spans="1:16" x14ac:dyDescent="0.25">
      <c r="J9" s="35" t="s">
        <v>80</v>
      </c>
      <c r="K9" s="36">
        <v>5.8117000000000001</v>
      </c>
      <c r="L9" s="36">
        <v>5.8300999999999998</v>
      </c>
      <c r="M9" s="70">
        <f t="shared" si="0"/>
        <v>5.8209</v>
      </c>
    </row>
    <row r="10" spans="1:16" x14ac:dyDescent="0.25">
      <c r="J10" s="35" t="s">
        <v>81</v>
      </c>
      <c r="K10" s="36">
        <v>5.8783000000000003</v>
      </c>
      <c r="L10" s="36">
        <v>5.8903999999999996</v>
      </c>
      <c r="M10" s="70">
        <f t="shared" si="0"/>
        <v>5.8843499999999995</v>
      </c>
    </row>
    <row r="11" spans="1:16" x14ac:dyDescent="0.25">
      <c r="J11" s="35" t="s">
        <v>82</v>
      </c>
      <c r="K11" s="36">
        <v>6.3068</v>
      </c>
      <c r="L11" s="36">
        <v>6.3308999999999997</v>
      </c>
      <c r="M11" s="70">
        <f t="shared" si="0"/>
        <v>6.3188499999999994</v>
      </c>
    </row>
    <row r="12" spans="1:16" x14ac:dyDescent="0.25">
      <c r="J12" s="35" t="s">
        <v>83</v>
      </c>
      <c r="K12" s="36">
        <v>7.8349000000000002</v>
      </c>
      <c r="L12" s="36">
        <v>7.8468999999999998</v>
      </c>
      <c r="M12" s="70">
        <f t="shared" si="0"/>
        <v>7.8408999999999995</v>
      </c>
    </row>
    <row r="13" spans="1:16" x14ac:dyDescent="0.25">
      <c r="J13" s="35" t="s">
        <v>84</v>
      </c>
      <c r="K13" s="36">
        <v>10.373799999999999</v>
      </c>
      <c r="L13" s="36">
        <v>10.38</v>
      </c>
      <c r="M13" s="70">
        <f t="shared" si="0"/>
        <v>10.376899999999999</v>
      </c>
    </row>
    <row r="14" spans="1:16" x14ac:dyDescent="0.25">
      <c r="J14" s="35" t="s">
        <v>85</v>
      </c>
      <c r="K14" s="36">
        <v>10.8954</v>
      </c>
      <c r="L14" s="36">
        <v>10.913500000000001</v>
      </c>
      <c r="M14" s="70">
        <f t="shared" si="0"/>
        <v>10.904450000000001</v>
      </c>
    </row>
    <row r="15" spans="1:16" x14ac:dyDescent="0.25">
      <c r="J15" s="35"/>
      <c r="K15" s="36"/>
      <c r="L15" s="36"/>
    </row>
    <row r="16" spans="1:16" x14ac:dyDescent="0.25">
      <c r="J16" s="35"/>
      <c r="K16" s="36"/>
      <c r="L16" s="36"/>
    </row>
    <row r="17" spans="10:13" x14ac:dyDescent="0.25">
      <c r="J17" s="35"/>
      <c r="K17" s="36"/>
      <c r="L17" s="36"/>
    </row>
    <row r="18" spans="10:13" x14ac:dyDescent="0.25">
      <c r="J18" s="35" t="s">
        <v>97</v>
      </c>
      <c r="K18" s="36"/>
      <c r="L18" s="36"/>
      <c r="M18" s="70" t="str">
        <f>"""C:\Program Files (x86)\AstroGrep\AstroGrep.exe"""</f>
        <v>"C:\Program Files (x86)\AstroGrep\AstroGrep.exe"</v>
      </c>
    </row>
    <row r="19" spans="10:13" x14ac:dyDescent="0.25">
      <c r="J19" s="35" t="s">
        <v>98</v>
      </c>
      <c r="K19" s="36"/>
      <c r="L19" s="36"/>
      <c r="M19" s="70" t="s">
        <v>130</v>
      </c>
    </row>
    <row r="20" spans="10:13" x14ac:dyDescent="0.25">
      <c r="J20" t="s">
        <v>99</v>
      </c>
      <c r="M20" s="70" t="s">
        <v>173</v>
      </c>
    </row>
    <row r="21" spans="10:13" x14ac:dyDescent="0.25">
      <c r="J21" s="23" t="s">
        <v>102</v>
      </c>
      <c r="K21" s="23" t="s">
        <v>103</v>
      </c>
      <c r="M21" s="70" t="s">
        <v>103</v>
      </c>
    </row>
    <row r="22" spans="10:13" x14ac:dyDescent="0.25">
      <c r="J22" s="23" t="s">
        <v>104</v>
      </c>
      <c r="K22" s="23" t="s">
        <v>105</v>
      </c>
      <c r="M22" s="70" t="s">
        <v>129</v>
      </c>
    </row>
    <row r="23" spans="10:13" x14ac:dyDescent="0.25">
      <c r="J23" s="31" t="s">
        <v>107</v>
      </c>
      <c r="K23" s="23"/>
      <c r="M23" s="114">
        <v>-6</v>
      </c>
    </row>
    <row r="24" spans="10:13" x14ac:dyDescent="0.25">
      <c r="J24" s="23" t="s">
        <v>126</v>
      </c>
      <c r="K24" s="23"/>
      <c r="M24" s="70" t="s">
        <v>128</v>
      </c>
    </row>
    <row r="25" spans="10:13" x14ac:dyDescent="0.25">
      <c r="J25" t="s">
        <v>237</v>
      </c>
      <c r="M25" s="70" t="b">
        <v>1</v>
      </c>
    </row>
    <row r="26" spans="10:13" x14ac:dyDescent="0.25">
      <c r="J26" t="s">
        <v>238</v>
      </c>
      <c r="M26" s="70" t="str">
        <f>"C:\Users\stu\Documents\GitHub\eaglep3-reporting\EC\"&amp;TEXT(A2,"yyyy-mm-dd")&amp;"-refined-times.txt"</f>
        <v>C:\Users\stu\Documents\GitHub\eaglep3-reporting\EC\2016-08-30-refined-times.txt</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3"/>
  <sheetViews>
    <sheetView workbookViewId="0"/>
  </sheetViews>
  <sheetFormatPr defaultRowHeight="15" x14ac:dyDescent="0.25"/>
  <cols>
    <col min="1" max="1" width="32.85546875" style="143" bestFit="1" customWidth="1"/>
    <col min="2" max="7" width="9.140625" style="143"/>
    <col min="8" max="8" width="17.7109375" style="143" bestFit="1" customWidth="1"/>
    <col min="9" max="9" width="9.140625" style="145"/>
    <col min="10" max="16384" width="9.140625" style="143"/>
  </cols>
  <sheetData>
    <row r="1" spans="1:11" x14ac:dyDescent="0.25">
      <c r="A1" s="142" t="s">
        <v>198</v>
      </c>
      <c r="B1" s="142" t="s">
        <v>199</v>
      </c>
      <c r="C1" s="143" t="s">
        <v>200</v>
      </c>
      <c r="H1" t="s">
        <v>194</v>
      </c>
      <c r="I1" s="144" t="s">
        <v>196</v>
      </c>
      <c r="J1"/>
    </row>
    <row r="2" spans="1:11" x14ac:dyDescent="0.25">
      <c r="A2" s="143" t="s">
        <v>201</v>
      </c>
      <c r="B2" s="143" t="s">
        <v>202</v>
      </c>
      <c r="C2" s="143" t="s">
        <v>203</v>
      </c>
      <c r="H2" t="s">
        <v>195</v>
      </c>
      <c r="I2" s="114" t="s">
        <v>197</v>
      </c>
      <c r="J2"/>
    </row>
    <row r="3" spans="1:11" x14ac:dyDescent="0.25">
      <c r="A3" s="143" t="s">
        <v>204</v>
      </c>
      <c r="B3" s="143" t="s">
        <v>205</v>
      </c>
      <c r="C3" s="143" t="s">
        <v>206</v>
      </c>
      <c r="H3" t="s">
        <v>221</v>
      </c>
      <c r="I3" s="114">
        <v>1</v>
      </c>
      <c r="J3"/>
      <c r="K3" s="70"/>
    </row>
    <row r="4" spans="1:11" x14ac:dyDescent="0.25">
      <c r="A4" s="143" t="s">
        <v>207</v>
      </c>
      <c r="C4" s="143" t="s">
        <v>208</v>
      </c>
      <c r="H4" t="s">
        <v>222</v>
      </c>
      <c r="I4" s="114">
        <v>2</v>
      </c>
      <c r="J4"/>
      <c r="K4" s="70"/>
    </row>
    <row r="5" spans="1:11" x14ac:dyDescent="0.25">
      <c r="A5" s="143" t="s">
        <v>209</v>
      </c>
      <c r="C5" s="143" t="s">
        <v>210</v>
      </c>
      <c r="H5" t="s">
        <v>223</v>
      </c>
      <c r="I5" s="114">
        <v>23</v>
      </c>
      <c r="J5"/>
      <c r="K5" s="70"/>
    </row>
    <row r="6" spans="1:11" x14ac:dyDescent="0.25">
      <c r="A6" s="143" t="s">
        <v>211</v>
      </c>
      <c r="C6" s="143" t="s">
        <v>212</v>
      </c>
      <c r="H6" s="146" t="s">
        <v>224</v>
      </c>
      <c r="I6" s="147" t="s">
        <v>202</v>
      </c>
    </row>
    <row r="7" spans="1:11" x14ac:dyDescent="0.25">
      <c r="A7" s="143" t="s">
        <v>213</v>
      </c>
      <c r="C7" s="143" t="s">
        <v>214</v>
      </c>
    </row>
    <row r="8" spans="1:11" x14ac:dyDescent="0.25">
      <c r="C8" s="143" t="s">
        <v>215</v>
      </c>
    </row>
    <row r="9" spans="1:11" x14ac:dyDescent="0.25">
      <c r="C9" s="143" t="s">
        <v>216</v>
      </c>
    </row>
    <row r="10" spans="1:11" x14ac:dyDescent="0.25">
      <c r="C10" s="143" t="s">
        <v>217</v>
      </c>
    </row>
    <row r="11" spans="1:11" x14ac:dyDescent="0.25">
      <c r="C11" s="143" t="s">
        <v>218</v>
      </c>
    </row>
    <row r="12" spans="1:11" x14ac:dyDescent="0.25">
      <c r="C12" s="143" t="s">
        <v>219</v>
      </c>
    </row>
    <row r="13" spans="1:11" x14ac:dyDescent="0.25">
      <c r="C13" s="143" t="s">
        <v>220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vt:i4>
      </vt:variant>
    </vt:vector>
  </HeadingPairs>
  <TitlesOfParts>
    <vt:vector size="22" baseType="lpstr">
      <vt:lpstr>Train Runs</vt:lpstr>
      <vt:lpstr>Enforcements</vt:lpstr>
      <vt:lpstr>Missing Trips</vt:lpstr>
      <vt:lpstr>Trips&amp;Operators</vt:lpstr>
      <vt:lpstr>Variables</vt:lpstr>
      <vt:lpstr>Redmine List Values</vt:lpstr>
      <vt:lpstr>astrogrep_path</vt:lpstr>
      <vt:lpstr>'Train Runs'!Denver_Train_Runs_04122016</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s3_bucket</vt:lpstr>
      <vt:lpstr>search_path</vt:lpstr>
      <vt:lpstr>search_regexp</vt:lpstr>
      <vt:lpstr>utc_offset</vt:lpstr>
      <vt:lpstr>walkandungz</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2016-08-31T18:31:36Z</dcterms:modified>
</cp:coreProperties>
</file>