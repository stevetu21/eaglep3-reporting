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Runs'!$A$12:$AG$247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50" i="1" l="1"/>
  <c r="AJ48" i="1"/>
  <c r="AJ46" i="1"/>
  <c r="K202" i="1" l="1"/>
  <c r="L202" i="1"/>
  <c r="V202" i="1"/>
  <c r="AA202" i="1"/>
  <c r="AB202" i="1"/>
  <c r="AC202" i="1"/>
  <c r="AD202" i="1"/>
  <c r="AG202" i="1" s="1"/>
  <c r="AE202" i="1"/>
  <c r="AF202" i="1"/>
  <c r="AH202" i="1"/>
  <c r="K201" i="1"/>
  <c r="L201" i="1"/>
  <c r="V201" i="1"/>
  <c r="AA201" i="1"/>
  <c r="AB201" i="1"/>
  <c r="AC201" i="1"/>
  <c r="AD201" i="1"/>
  <c r="T201" i="1" s="1"/>
  <c r="AE201" i="1"/>
  <c r="AF201" i="1"/>
  <c r="AH20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P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V55" i="1"/>
  <c r="Y55" i="1"/>
  <c r="Z55" i="1"/>
  <c r="AB55" i="1"/>
  <c r="AC55" i="1"/>
  <c r="AD55" i="1"/>
  <c r="AG55" i="1" s="1"/>
  <c r="AE55" i="1"/>
  <c r="AF55" i="1"/>
  <c r="K56" i="1"/>
  <c r="L56" i="1"/>
  <c r="M56" i="1"/>
  <c r="V56" i="1"/>
  <c r="Y56" i="1"/>
  <c r="Z56" i="1"/>
  <c r="AA56" i="1" s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P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M23" i="3"/>
  <c r="N23" i="3"/>
  <c r="U23" i="3"/>
  <c r="T23" i="3" s="1"/>
  <c r="V23" i="3"/>
  <c r="W23" i="3"/>
  <c r="X23" i="3"/>
  <c r="M13" i="3"/>
  <c r="N13" i="3"/>
  <c r="U13" i="3"/>
  <c r="T13" i="3" s="1"/>
  <c r="V13" i="3"/>
  <c r="W13" i="3"/>
  <c r="X13" i="3"/>
  <c r="M21" i="3"/>
  <c r="N21" i="3"/>
  <c r="U21" i="3"/>
  <c r="T21" i="3" s="1"/>
  <c r="V21" i="3"/>
  <c r="W21" i="3"/>
  <c r="X21" i="3"/>
  <c r="M22" i="3"/>
  <c r="N22" i="3"/>
  <c r="U22" i="3"/>
  <c r="AC22" i="3" s="1"/>
  <c r="V22" i="3"/>
  <c r="W22" i="3"/>
  <c r="X22" i="3"/>
  <c r="M36" i="3"/>
  <c r="N36" i="3"/>
  <c r="U36" i="3"/>
  <c r="T36" i="3" s="1"/>
  <c r="V36" i="3"/>
  <c r="W36" i="3"/>
  <c r="X36" i="3"/>
  <c r="M24" i="3"/>
  <c r="N24" i="3"/>
  <c r="U24" i="3"/>
  <c r="T24" i="3" s="1"/>
  <c r="V24" i="3"/>
  <c r="W24" i="3"/>
  <c r="X24" i="3"/>
  <c r="M45" i="3"/>
  <c r="N45" i="3"/>
  <c r="U45" i="3"/>
  <c r="T45" i="3" s="1"/>
  <c r="V45" i="3"/>
  <c r="W45" i="3"/>
  <c r="X45" i="3"/>
  <c r="M39" i="3"/>
  <c r="N39" i="3"/>
  <c r="U39" i="3"/>
  <c r="T39" i="3" s="1"/>
  <c r="V39" i="3"/>
  <c r="W39" i="3"/>
  <c r="X39" i="3"/>
  <c r="M40" i="3"/>
  <c r="N40" i="3"/>
  <c r="U40" i="3"/>
  <c r="T40" i="3" s="1"/>
  <c r="V40" i="3"/>
  <c r="W40" i="3"/>
  <c r="X40" i="3"/>
  <c r="M14" i="3"/>
  <c r="N14" i="3"/>
  <c r="U14" i="3"/>
  <c r="T14" i="3" s="1"/>
  <c r="V14" i="3"/>
  <c r="W14" i="3"/>
  <c r="X14" i="3"/>
  <c r="M15" i="3"/>
  <c r="N15" i="3"/>
  <c r="U15" i="3"/>
  <c r="T15" i="3" s="1"/>
  <c r="V15" i="3"/>
  <c r="W15" i="3"/>
  <c r="X15" i="3"/>
  <c r="M25" i="3"/>
  <c r="N25" i="3"/>
  <c r="U25" i="3"/>
  <c r="T25" i="3" s="1"/>
  <c r="V25" i="3"/>
  <c r="W25" i="3"/>
  <c r="X25" i="3"/>
  <c r="M27" i="3"/>
  <c r="N27" i="3"/>
  <c r="U27" i="3"/>
  <c r="T27" i="3" s="1"/>
  <c r="V27" i="3"/>
  <c r="W27" i="3"/>
  <c r="X27" i="3"/>
  <c r="M8" i="3"/>
  <c r="N8" i="3"/>
  <c r="U8" i="3"/>
  <c r="T8" i="3" s="1"/>
  <c r="V8" i="3"/>
  <c r="W8" i="3"/>
  <c r="X8" i="3"/>
  <c r="M9" i="3"/>
  <c r="N9" i="3"/>
  <c r="U9" i="3"/>
  <c r="T9" i="3" s="1"/>
  <c r="V9" i="3"/>
  <c r="W9" i="3"/>
  <c r="X9" i="3"/>
  <c r="M41" i="3"/>
  <c r="N41" i="3"/>
  <c r="U41" i="3"/>
  <c r="AC41" i="3" s="1"/>
  <c r="V41" i="3"/>
  <c r="W41" i="3"/>
  <c r="X41" i="3"/>
  <c r="M12" i="3"/>
  <c r="N12" i="3"/>
  <c r="U12" i="3"/>
  <c r="T12" i="3" s="1"/>
  <c r="V12" i="3"/>
  <c r="W12" i="3"/>
  <c r="X12" i="3"/>
  <c r="M10" i="3"/>
  <c r="N10" i="3"/>
  <c r="U10" i="3"/>
  <c r="T10" i="3" s="1"/>
  <c r="V10" i="3"/>
  <c r="W10" i="3"/>
  <c r="X10" i="3"/>
  <c r="M47" i="3"/>
  <c r="N47" i="3"/>
  <c r="U47" i="3"/>
  <c r="T47" i="3" s="1"/>
  <c r="V47" i="3"/>
  <c r="W47" i="3"/>
  <c r="X47" i="3"/>
  <c r="M49" i="3"/>
  <c r="N49" i="3"/>
  <c r="U49" i="3"/>
  <c r="T49" i="3" s="1"/>
  <c r="V49" i="3"/>
  <c r="W49" i="3"/>
  <c r="X49" i="3"/>
  <c r="M16" i="3"/>
  <c r="N16" i="3"/>
  <c r="U16" i="3"/>
  <c r="T16" i="3" s="1"/>
  <c r="V16" i="3"/>
  <c r="W16" i="3"/>
  <c r="X16" i="3"/>
  <c r="M37" i="3"/>
  <c r="N37" i="3"/>
  <c r="U37" i="3"/>
  <c r="T37" i="3" s="1"/>
  <c r="V37" i="3"/>
  <c r="W37" i="3"/>
  <c r="X37" i="3"/>
  <c r="M32" i="3"/>
  <c r="N32" i="3"/>
  <c r="U32" i="3"/>
  <c r="T32" i="3" s="1"/>
  <c r="V32" i="3"/>
  <c r="W32" i="3"/>
  <c r="X32" i="3"/>
  <c r="M28" i="3"/>
  <c r="N28" i="3"/>
  <c r="U28" i="3"/>
  <c r="T28" i="3" s="1"/>
  <c r="V28" i="3"/>
  <c r="W28" i="3"/>
  <c r="X28" i="3"/>
  <c r="M20" i="3"/>
  <c r="N20" i="3"/>
  <c r="U20" i="3"/>
  <c r="T20" i="3" s="1"/>
  <c r="V20" i="3"/>
  <c r="W20" i="3"/>
  <c r="X20" i="3"/>
  <c r="M38" i="3"/>
  <c r="N38" i="3"/>
  <c r="U38" i="3"/>
  <c r="T38" i="3" s="1"/>
  <c r="V38" i="3"/>
  <c r="W38" i="3"/>
  <c r="X38" i="3"/>
  <c r="M7" i="3"/>
  <c r="N7" i="3"/>
  <c r="U7" i="3"/>
  <c r="T7" i="3" s="1"/>
  <c r="V7" i="3"/>
  <c r="W7" i="3"/>
  <c r="X7" i="3"/>
  <c r="M31" i="3"/>
  <c r="N31" i="3"/>
  <c r="U31" i="3"/>
  <c r="T31" i="3" s="1"/>
  <c r="V31" i="3"/>
  <c r="W31" i="3"/>
  <c r="X31" i="3"/>
  <c r="M29" i="3"/>
  <c r="N29" i="3"/>
  <c r="U29" i="3"/>
  <c r="T29" i="3" s="1"/>
  <c r="V29" i="3"/>
  <c r="W29" i="3"/>
  <c r="X29" i="3"/>
  <c r="M42" i="3"/>
  <c r="N42" i="3"/>
  <c r="U42" i="3"/>
  <c r="T42" i="3" s="1"/>
  <c r="V42" i="3"/>
  <c r="W42" i="3"/>
  <c r="X42" i="3"/>
  <c r="M17" i="3"/>
  <c r="N17" i="3"/>
  <c r="U17" i="3"/>
  <c r="T17" i="3" s="1"/>
  <c r="V17" i="3"/>
  <c r="W17" i="3"/>
  <c r="X17" i="3"/>
  <c r="M48" i="3"/>
  <c r="N48" i="3"/>
  <c r="U48" i="3"/>
  <c r="T48" i="3" s="1"/>
  <c r="V48" i="3"/>
  <c r="W48" i="3"/>
  <c r="X48" i="3"/>
  <c r="M18" i="3"/>
  <c r="N18" i="3"/>
  <c r="U18" i="3"/>
  <c r="T18" i="3" s="1"/>
  <c r="V18" i="3"/>
  <c r="W18" i="3"/>
  <c r="X18" i="3"/>
  <c r="M46" i="3"/>
  <c r="N46" i="3"/>
  <c r="U46" i="3"/>
  <c r="T46" i="3" s="1"/>
  <c r="V46" i="3"/>
  <c r="W46" i="3"/>
  <c r="X46" i="3"/>
  <c r="M43" i="3"/>
  <c r="N43" i="3"/>
  <c r="U43" i="3"/>
  <c r="T43" i="3" s="1"/>
  <c r="V43" i="3"/>
  <c r="W43" i="3"/>
  <c r="X43" i="3"/>
  <c r="M19" i="3"/>
  <c r="N19" i="3"/>
  <c r="U19" i="3"/>
  <c r="T19" i="3" s="1"/>
  <c r="V19" i="3"/>
  <c r="W19" i="3"/>
  <c r="X19" i="3"/>
  <c r="M30" i="3"/>
  <c r="N30" i="3"/>
  <c r="U30" i="3"/>
  <c r="T30" i="3" s="1"/>
  <c r="V30" i="3"/>
  <c r="W30" i="3"/>
  <c r="X30" i="3"/>
  <c r="M11" i="3"/>
  <c r="N11" i="3"/>
  <c r="U11" i="3"/>
  <c r="T11" i="3" s="1"/>
  <c r="V11" i="3"/>
  <c r="W11" i="3"/>
  <c r="X11" i="3"/>
  <c r="M35" i="3"/>
  <c r="N35" i="3"/>
  <c r="U35" i="3"/>
  <c r="T35" i="3" s="1"/>
  <c r="V35" i="3"/>
  <c r="W35" i="3"/>
  <c r="X35" i="3"/>
  <c r="M50" i="3"/>
  <c r="N50" i="3"/>
  <c r="U50" i="3"/>
  <c r="T50" i="3" s="1"/>
  <c r="V50" i="3"/>
  <c r="W50" i="3"/>
  <c r="X50" i="3"/>
  <c r="M44" i="3"/>
  <c r="N44" i="3"/>
  <c r="U44" i="3"/>
  <c r="V44" i="3"/>
  <c r="W44" i="3"/>
  <c r="X44" i="3"/>
  <c r="M26" i="3"/>
  <c r="N26" i="3"/>
  <c r="U26" i="3"/>
  <c r="T26" i="3" s="1"/>
  <c r="V26" i="3"/>
  <c r="W26" i="3"/>
  <c r="X26" i="3"/>
  <c r="M34" i="3"/>
  <c r="N34" i="3"/>
  <c r="U34" i="3"/>
  <c r="T34" i="3" s="1"/>
  <c r="V34" i="3"/>
  <c r="W34" i="3"/>
  <c r="X34" i="3"/>
  <c r="X196" i="1" l="1"/>
  <c r="X204" i="1"/>
  <c r="X63" i="1"/>
  <c r="X141" i="1"/>
  <c r="AA105" i="1"/>
  <c r="X198" i="1"/>
  <c r="W202" i="1"/>
  <c r="T202" i="1"/>
  <c r="X202" i="1"/>
  <c r="U202" i="1"/>
  <c r="S202" i="1" s="1"/>
  <c r="AI202" i="1"/>
  <c r="AG201" i="1"/>
  <c r="X201" i="1"/>
  <c r="X203" i="1"/>
  <c r="X139" i="1"/>
  <c r="X112" i="1"/>
  <c r="X72" i="1"/>
  <c r="X64" i="1"/>
  <c r="AA137" i="1"/>
  <c r="AA132" i="1"/>
  <c r="W132" i="1" s="1"/>
  <c r="X197" i="1"/>
  <c r="P165" i="1"/>
  <c r="X62" i="1"/>
  <c r="X140" i="1"/>
  <c r="X73" i="1"/>
  <c r="AA161" i="1"/>
  <c r="AA157" i="1"/>
  <c r="AA204" i="1"/>
  <c r="AA151" i="1"/>
  <c r="AA147" i="1"/>
  <c r="W147" i="1" s="1"/>
  <c r="AA75" i="1"/>
  <c r="P56" i="1"/>
  <c r="X138" i="1"/>
  <c r="X71" i="1"/>
  <c r="AI76" i="1"/>
  <c r="T69" i="1"/>
  <c r="AG51" i="1"/>
  <c r="U51" i="1" s="1"/>
  <c r="S51" i="1" s="1"/>
  <c r="X74" i="1"/>
  <c r="X70" i="1"/>
  <c r="Y26" i="3"/>
  <c r="Y44" i="3"/>
  <c r="Y50" i="3"/>
  <c r="Y46" i="3"/>
  <c r="Y31" i="3"/>
  <c r="Y25" i="3"/>
  <c r="Y39" i="3"/>
  <c r="X103" i="1"/>
  <c r="T96" i="1"/>
  <c r="U96" i="1" s="1"/>
  <c r="S96" i="1" s="1"/>
  <c r="AI69" i="1"/>
  <c r="AA55" i="1"/>
  <c r="W55" i="1" s="1"/>
  <c r="AA45" i="1"/>
  <c r="X69" i="1"/>
  <c r="T112" i="1"/>
  <c r="AA26" i="1"/>
  <c r="AG23" i="1"/>
  <c r="X108" i="1"/>
  <c r="AG95" i="1"/>
  <c r="U95" i="1" s="1"/>
  <c r="S95" i="1" s="1"/>
  <c r="AG178" i="1"/>
  <c r="U178" i="1" s="1"/>
  <c r="S178" i="1" s="1"/>
  <c r="AA176" i="1"/>
  <c r="AA172" i="1"/>
  <c r="AA167" i="1"/>
  <c r="AG156" i="1"/>
  <c r="U156" i="1" s="1"/>
  <c r="S156" i="1" s="1"/>
  <c r="AI121" i="1"/>
  <c r="AA121" i="1"/>
  <c r="W121" i="1" s="1"/>
  <c r="AA120" i="1"/>
  <c r="W120" i="1" s="1"/>
  <c r="AA107" i="1"/>
  <c r="AA98" i="1"/>
  <c r="AG88" i="1"/>
  <c r="AI88" i="1" s="1"/>
  <c r="X88" i="1"/>
  <c r="AG78" i="1"/>
  <c r="U78" i="1" s="1"/>
  <c r="S78" i="1" s="1"/>
  <c r="Y17" i="3"/>
  <c r="Y29" i="3"/>
  <c r="Y32" i="3"/>
  <c r="Y16" i="3"/>
  <c r="Y12" i="3"/>
  <c r="Y9" i="3"/>
  <c r="Y27" i="3"/>
  <c r="Y15" i="3"/>
  <c r="Y45" i="3"/>
  <c r="Y21" i="3"/>
  <c r="Y23" i="3"/>
  <c r="AC8" i="3"/>
  <c r="AC30" i="3"/>
  <c r="AC26" i="3"/>
  <c r="AC20" i="3"/>
  <c r="AC14" i="3"/>
  <c r="T22" i="3"/>
  <c r="Y28" i="3"/>
  <c r="Y37" i="3"/>
  <c r="Y49" i="3"/>
  <c r="Y10" i="3"/>
  <c r="Y41" i="3"/>
  <c r="Y8" i="3"/>
  <c r="Y14" i="3"/>
  <c r="Y24" i="3"/>
  <c r="Y22" i="3"/>
  <c r="AC18" i="3"/>
  <c r="AC10" i="3"/>
  <c r="Y35" i="3"/>
  <c r="Y30" i="3"/>
  <c r="Y43" i="3"/>
  <c r="Y18" i="3"/>
  <c r="Y20" i="3"/>
  <c r="AC28" i="3"/>
  <c r="AC24" i="3"/>
  <c r="Y47" i="3"/>
  <c r="Y19" i="3"/>
  <c r="Y13" i="3"/>
  <c r="Y11" i="3"/>
  <c r="AC50" i="3"/>
  <c r="AC48" i="3"/>
  <c r="AC46" i="3"/>
  <c r="AC44" i="3"/>
  <c r="AC42" i="3"/>
  <c r="AC40" i="3"/>
  <c r="AC38" i="3"/>
  <c r="AC36" i="3"/>
  <c r="AC34" i="3"/>
  <c r="AC32" i="3"/>
  <c r="AC16" i="3"/>
  <c r="AC12" i="3"/>
  <c r="T44" i="3"/>
  <c r="Y48" i="3"/>
  <c r="Y42" i="3"/>
  <c r="Y40" i="3"/>
  <c r="Y38" i="3"/>
  <c r="Y36" i="3"/>
  <c r="Y34" i="3"/>
  <c r="T41" i="3"/>
  <c r="AC49" i="3"/>
  <c r="AC47" i="3"/>
  <c r="AC45" i="3"/>
  <c r="AC43" i="3"/>
  <c r="AC39" i="3"/>
  <c r="AC37" i="3"/>
  <c r="AC35" i="3"/>
  <c r="AC31" i="3"/>
  <c r="AC29" i="3"/>
  <c r="AC27" i="3"/>
  <c r="AC25" i="3"/>
  <c r="AC23" i="3"/>
  <c r="AC21" i="3"/>
  <c r="AC19" i="3"/>
  <c r="AC17" i="3"/>
  <c r="AC15" i="3"/>
  <c r="AC13" i="3"/>
  <c r="AC11" i="3"/>
  <c r="AC9" i="3"/>
  <c r="AG219" i="1"/>
  <c r="AI219" i="1" s="1"/>
  <c r="X219" i="1"/>
  <c r="X207" i="1"/>
  <c r="AA141" i="1"/>
  <c r="AI117" i="1"/>
  <c r="AA79" i="1"/>
  <c r="AG70" i="1"/>
  <c r="AG47" i="1"/>
  <c r="U47" i="1" s="1"/>
  <c r="S47" i="1" s="1"/>
  <c r="AG27" i="1"/>
  <c r="AI27" i="1" s="1"/>
  <c r="X17" i="1"/>
  <c r="AA186" i="1"/>
  <c r="W186" i="1" s="1"/>
  <c r="T29" i="1"/>
  <c r="U29" i="1" s="1"/>
  <c r="S29" i="1" s="1"/>
  <c r="AA195" i="1"/>
  <c r="AI183" i="1"/>
  <c r="AA206" i="1"/>
  <c r="AA205" i="1"/>
  <c r="W205" i="1" s="1"/>
  <c r="AA145" i="1"/>
  <c r="AA125" i="1"/>
  <c r="X124" i="1"/>
  <c r="AG112" i="1"/>
  <c r="AI112" i="1" s="1"/>
  <c r="AA70" i="1"/>
  <c r="AG68" i="1"/>
  <c r="U68" i="1" s="1"/>
  <c r="S68" i="1" s="1"/>
  <c r="AG39" i="1"/>
  <c r="AI39" i="1" s="1"/>
  <c r="AG19" i="1"/>
  <c r="AI19" i="1" s="1"/>
  <c r="U23" i="1"/>
  <c r="S23" i="1" s="1"/>
  <c r="AA196" i="1"/>
  <c r="AG182" i="1"/>
  <c r="AI182" i="1" s="1"/>
  <c r="AA179" i="1"/>
  <c r="W179" i="1" s="1"/>
  <c r="AA174" i="1"/>
  <c r="T167" i="1"/>
  <c r="U167" i="1" s="1"/>
  <c r="S167" i="1" s="1"/>
  <c r="AA164" i="1"/>
  <c r="AA218" i="1"/>
  <c r="T207" i="1"/>
  <c r="AA136" i="1"/>
  <c r="AA130" i="1"/>
  <c r="X123" i="1"/>
  <c r="X120" i="1"/>
  <c r="AA110" i="1"/>
  <c r="T108" i="1"/>
  <c r="AA106" i="1"/>
  <c r="AA92" i="1"/>
  <c r="AG87" i="1"/>
  <c r="U87" i="1" s="1"/>
  <c r="S87" i="1" s="1"/>
  <c r="X87" i="1"/>
  <c r="AG84" i="1"/>
  <c r="AI84" i="1" s="1"/>
  <c r="X67" i="1"/>
  <c r="T59" i="1"/>
  <c r="U59" i="1" s="1"/>
  <c r="S59" i="1" s="1"/>
  <c r="AG45" i="1"/>
  <c r="AI45" i="1" s="1"/>
  <c r="AA33" i="1"/>
  <c r="W33" i="1" s="1"/>
  <c r="AG31" i="1"/>
  <c r="AI31" i="1" s="1"/>
  <c r="AA29" i="1"/>
  <c r="W29" i="1" s="1"/>
  <c r="AI140" i="1"/>
  <c r="T139" i="1"/>
  <c r="AG86" i="1"/>
  <c r="AI86" i="1" s="1"/>
  <c r="AA78" i="1"/>
  <c r="AA77" i="1"/>
  <c r="AA76" i="1"/>
  <c r="W76" i="1" s="1"/>
  <c r="AA71" i="1"/>
  <c r="T61" i="1"/>
  <c r="U61" i="1" s="1"/>
  <c r="S61" i="1" s="1"/>
  <c r="AA57" i="1"/>
  <c r="T43" i="1"/>
  <c r="U43" i="1" s="1"/>
  <c r="S43" i="1" s="1"/>
  <c r="AA30" i="1"/>
  <c r="AA17" i="1"/>
  <c r="W17" i="1" s="1"/>
  <c r="T17" i="1"/>
  <c r="U17" i="1" s="1"/>
  <c r="S17" i="1" s="1"/>
  <c r="T190" i="1"/>
  <c r="U190" i="1" s="1"/>
  <c r="S190" i="1" s="1"/>
  <c r="AA213" i="1"/>
  <c r="AA199" i="1"/>
  <c r="AA192" i="1"/>
  <c r="AA188" i="1"/>
  <c r="AA183" i="1"/>
  <c r="W183" i="1" s="1"/>
  <c r="X179" i="1"/>
  <c r="AA168" i="1"/>
  <c r="X167" i="1"/>
  <c r="AG164" i="1"/>
  <c r="U164" i="1" s="1"/>
  <c r="AA162" i="1"/>
  <c r="AI157" i="1"/>
  <c r="X222" i="1"/>
  <c r="AG218" i="1"/>
  <c r="AI218" i="1" s="1"/>
  <c r="X218" i="1"/>
  <c r="AG207" i="1"/>
  <c r="AI207" i="1" s="1"/>
  <c r="X154" i="1"/>
  <c r="AA138" i="1"/>
  <c r="AA133" i="1"/>
  <c r="W133" i="1" s="1"/>
  <c r="AA126" i="1"/>
  <c r="AA122" i="1"/>
  <c r="AA119" i="1"/>
  <c r="AA117" i="1"/>
  <c r="W117" i="1" s="1"/>
  <c r="X107" i="1"/>
  <c r="AA87" i="1"/>
  <c r="AA60" i="1"/>
  <c r="AA37" i="1"/>
  <c r="AA25" i="1"/>
  <c r="W25" i="1" s="1"/>
  <c r="AA18" i="1"/>
  <c r="AG109" i="1"/>
  <c r="AI109" i="1" s="1"/>
  <c r="T109" i="1"/>
  <c r="AI179" i="1"/>
  <c r="T174" i="1"/>
  <c r="AG174" i="1"/>
  <c r="AI174" i="1" s="1"/>
  <c r="X157" i="1"/>
  <c r="AG166" i="1"/>
  <c r="T166" i="1"/>
  <c r="X100" i="1"/>
  <c r="T100" i="1"/>
  <c r="X183" i="1"/>
  <c r="W157" i="1"/>
  <c r="AG220" i="1"/>
  <c r="X220" i="1"/>
  <c r="W215" i="1"/>
  <c r="T148" i="1"/>
  <c r="U148" i="1" s="1"/>
  <c r="S148" i="1" s="1"/>
  <c r="T124" i="1"/>
  <c r="T64" i="1"/>
  <c r="U64" i="1" s="1"/>
  <c r="S64" i="1" s="1"/>
  <c r="AA211" i="1"/>
  <c r="AA210" i="1"/>
  <c r="T203" i="1"/>
  <c r="U203" i="1" s="1"/>
  <c r="S203" i="1" s="1"/>
  <c r="AA198" i="1"/>
  <c r="W198" i="1" s="1"/>
  <c r="AA189" i="1"/>
  <c r="AA180" i="1"/>
  <c r="AA171" i="1"/>
  <c r="AA158" i="1"/>
  <c r="W158" i="1" s="1"/>
  <c r="AA221" i="1"/>
  <c r="AA220" i="1"/>
  <c r="AA219" i="1"/>
  <c r="AA216" i="1"/>
  <c r="W216" i="1" s="1"/>
  <c r="AA148" i="1"/>
  <c r="W148" i="1" s="1"/>
  <c r="AA144" i="1"/>
  <c r="X135" i="1"/>
  <c r="T132" i="1"/>
  <c r="U132" i="1" s="1"/>
  <c r="S132" i="1" s="1"/>
  <c r="AA114" i="1"/>
  <c r="AA113" i="1"/>
  <c r="AA101" i="1"/>
  <c r="AA100" i="1"/>
  <c r="AA88" i="1"/>
  <c r="X80" i="1"/>
  <c r="AA69" i="1"/>
  <c r="W69" i="1" s="1"/>
  <c r="T55" i="1"/>
  <c r="U55" i="1" s="1"/>
  <c r="AA49" i="1"/>
  <c r="AA43" i="1"/>
  <c r="W43" i="1" s="1"/>
  <c r="AA42" i="1"/>
  <c r="AA41" i="1"/>
  <c r="AA40" i="1"/>
  <c r="W40" i="1" s="1"/>
  <c r="T40" i="1"/>
  <c r="U40" i="1" s="1"/>
  <c r="S40" i="1" s="1"/>
  <c r="AG37" i="1"/>
  <c r="AI37" i="1" s="1"/>
  <c r="T25" i="1"/>
  <c r="U25" i="1" s="1"/>
  <c r="S25" i="1" s="1"/>
  <c r="AA22" i="1"/>
  <c r="AA21" i="1"/>
  <c r="AA15" i="1"/>
  <c r="AI203" i="1"/>
  <c r="AA197" i="1"/>
  <c r="AA191" i="1"/>
  <c r="AA187" i="1"/>
  <c r="W187" i="1" s="1"/>
  <c r="AA185" i="1"/>
  <c r="AA175" i="1"/>
  <c r="W175" i="1" s="1"/>
  <c r="AA173" i="1"/>
  <c r="AA169" i="1"/>
  <c r="AA208" i="1"/>
  <c r="AA153" i="1"/>
  <c r="AA129" i="1"/>
  <c r="W129" i="1" s="1"/>
  <c r="X119" i="1"/>
  <c r="AA116" i="1"/>
  <c r="AA104" i="1"/>
  <c r="AA103" i="1"/>
  <c r="AA97" i="1"/>
  <c r="AG92" i="1"/>
  <c r="AA89" i="1"/>
  <c r="AA84" i="1"/>
  <c r="AA81" i="1"/>
  <c r="X76" i="1"/>
  <c r="AG75" i="1"/>
  <c r="AI75" i="1" s="1"/>
  <c r="AA73" i="1"/>
  <c r="AG71" i="1"/>
  <c r="AI71" i="1" s="1"/>
  <c r="AA61" i="1"/>
  <c r="W61" i="1" s="1"/>
  <c r="AA53" i="1"/>
  <c r="W53" i="1" s="1"/>
  <c r="AG50" i="1"/>
  <c r="U50" i="1" s="1"/>
  <c r="S50" i="1" s="1"/>
  <c r="X40" i="1"/>
  <c r="AG35" i="1"/>
  <c r="U35" i="1" s="1"/>
  <c r="S35" i="1" s="1"/>
  <c r="AG15" i="1"/>
  <c r="U15" i="1" s="1"/>
  <c r="S15" i="1" s="1"/>
  <c r="AI164" i="1"/>
  <c r="AG204" i="1"/>
  <c r="AG152" i="1"/>
  <c r="AI152" i="1" s="1"/>
  <c r="X152" i="1"/>
  <c r="X151" i="1"/>
  <c r="AG151" i="1"/>
  <c r="AI151" i="1" s="1"/>
  <c r="AG125" i="1"/>
  <c r="AI125" i="1" s="1"/>
  <c r="X125" i="1"/>
  <c r="AA109" i="1"/>
  <c r="AG104" i="1"/>
  <c r="AI104" i="1" s="1"/>
  <c r="X104" i="1"/>
  <c r="AG210" i="1"/>
  <c r="AI210" i="1" s="1"/>
  <c r="X210" i="1"/>
  <c r="AG195" i="1"/>
  <c r="X195" i="1"/>
  <c r="AG191" i="1"/>
  <c r="X191" i="1"/>
  <c r="AA170" i="1"/>
  <c r="W170" i="1" s="1"/>
  <c r="AA165" i="1"/>
  <c r="X160" i="1"/>
  <c r="AG160" i="1"/>
  <c r="T150" i="1"/>
  <c r="X150" i="1"/>
  <c r="AG150" i="1"/>
  <c r="AI150" i="1" s="1"/>
  <c r="AI147" i="1"/>
  <c r="T137" i="1"/>
  <c r="X137" i="1"/>
  <c r="X128" i="1"/>
  <c r="AA96" i="1"/>
  <c r="W96" i="1" s="1"/>
  <c r="AI96" i="1"/>
  <c r="T63" i="1"/>
  <c r="AG63" i="1"/>
  <c r="AI33" i="1"/>
  <c r="X187" i="1"/>
  <c r="T186" i="1"/>
  <c r="U186" i="1" s="1"/>
  <c r="S186" i="1" s="1"/>
  <c r="T159" i="1"/>
  <c r="X159" i="1"/>
  <c r="AG159" i="1"/>
  <c r="AI159" i="1" s="1"/>
  <c r="T204" i="1"/>
  <c r="T151" i="1"/>
  <c r="T127" i="1"/>
  <c r="X127" i="1"/>
  <c r="AG127" i="1"/>
  <c r="AI127" i="1" s="1"/>
  <c r="T125" i="1"/>
  <c r="T104" i="1"/>
  <c r="AG77" i="1"/>
  <c r="AI77" i="1" s="1"/>
  <c r="X78" i="1"/>
  <c r="AG48" i="1"/>
  <c r="AI48" i="1" s="1"/>
  <c r="X48" i="1"/>
  <c r="T41" i="1"/>
  <c r="AG41" i="1"/>
  <c r="AI41" i="1" s="1"/>
  <c r="T28" i="1"/>
  <c r="X28" i="1"/>
  <c r="AG28" i="1"/>
  <c r="X213" i="1"/>
  <c r="AG213" i="1"/>
  <c r="U213" i="1" s="1"/>
  <c r="S213" i="1" s="1"/>
  <c r="T210" i="1"/>
  <c r="AG197" i="1"/>
  <c r="AI197" i="1" s="1"/>
  <c r="T195" i="1"/>
  <c r="X194" i="1"/>
  <c r="AG194" i="1"/>
  <c r="U194" i="1" s="1"/>
  <c r="S194" i="1" s="1"/>
  <c r="AA194" i="1"/>
  <c r="T191" i="1"/>
  <c r="AA190" i="1"/>
  <c r="W190" i="1" s="1"/>
  <c r="X175" i="1"/>
  <c r="AG171" i="1"/>
  <c r="X171" i="1"/>
  <c r="T170" i="1"/>
  <c r="U170" i="1" s="1"/>
  <c r="S170" i="1" s="1"/>
  <c r="T160" i="1"/>
  <c r="U160" i="1" s="1"/>
  <c r="S160" i="1" s="1"/>
  <c r="AI215" i="1"/>
  <c r="AI148" i="1"/>
  <c r="X136" i="1"/>
  <c r="AI133" i="1"/>
  <c r="AI132" i="1"/>
  <c r="AI120" i="1"/>
  <c r="AG116" i="1"/>
  <c r="T116" i="1"/>
  <c r="W104" i="1"/>
  <c r="AG60" i="1"/>
  <c r="T60" i="1"/>
  <c r="X60" i="1"/>
  <c r="AG52" i="1"/>
  <c r="AI52" i="1" s="1"/>
  <c r="T52" i="1"/>
  <c r="AA160" i="1"/>
  <c r="T215" i="1"/>
  <c r="U215" i="1" s="1"/>
  <c r="S215" i="1" s="1"/>
  <c r="AA155" i="1"/>
  <c r="T140" i="1"/>
  <c r="U140" i="1" s="1"/>
  <c r="S140" i="1" s="1"/>
  <c r="AA128" i="1"/>
  <c r="AA124" i="1"/>
  <c r="AA108" i="1"/>
  <c r="AG105" i="1"/>
  <c r="AI105" i="1" s="1"/>
  <c r="X105" i="1"/>
  <c r="AG83" i="1"/>
  <c r="AI83" i="1" s="1"/>
  <c r="X83" i="1"/>
  <c r="T83" i="1"/>
  <c r="T79" i="1"/>
  <c r="X79" i="1"/>
  <c r="AG79" i="1"/>
  <c r="W79" i="1" s="1"/>
  <c r="AG65" i="1"/>
  <c r="AI65" i="1" s="1"/>
  <c r="X65" i="1"/>
  <c r="AI55" i="1"/>
  <c r="X32" i="1"/>
  <c r="AG32" i="1"/>
  <c r="AI32" i="1" s="1"/>
  <c r="T32" i="1"/>
  <c r="AI25" i="1"/>
  <c r="AA203" i="1"/>
  <c r="W203" i="1" s="1"/>
  <c r="T157" i="1"/>
  <c r="U157" i="1" s="1"/>
  <c r="S157" i="1" s="1"/>
  <c r="AI167" i="1"/>
  <c r="AA217" i="1"/>
  <c r="W217" i="1" s="1"/>
  <c r="AG155" i="1"/>
  <c r="U155" i="1" s="1"/>
  <c r="S155" i="1" s="1"/>
  <c r="T147" i="1"/>
  <c r="U147" i="1" s="1"/>
  <c r="S147" i="1" s="1"/>
  <c r="AG143" i="1"/>
  <c r="U143" i="1" s="1"/>
  <c r="S143" i="1" s="1"/>
  <c r="AA139" i="1"/>
  <c r="AG136" i="1"/>
  <c r="AI136" i="1" s="1"/>
  <c r="AA134" i="1"/>
  <c r="W134" i="1" s="1"/>
  <c r="AG128" i="1"/>
  <c r="U128" i="1" s="1"/>
  <c r="S128" i="1" s="1"/>
  <c r="AG124" i="1"/>
  <c r="AI124" i="1" s="1"/>
  <c r="T120" i="1"/>
  <c r="U120" i="1" s="1"/>
  <c r="S120" i="1" s="1"/>
  <c r="X109" i="1"/>
  <c r="AG108" i="1"/>
  <c r="AI108" i="1" s="1"/>
  <c r="AG99" i="1"/>
  <c r="U99" i="1" s="1"/>
  <c r="X96" i="1"/>
  <c r="T91" i="1"/>
  <c r="X91" i="1"/>
  <c r="AG91" i="1"/>
  <c r="AI91" i="1" s="1"/>
  <c r="X92" i="1"/>
  <c r="T82" i="1"/>
  <c r="AG82" i="1"/>
  <c r="AA80" i="1"/>
  <c r="W80" i="1" s="1"/>
  <c r="AI80" i="1"/>
  <c r="AI61" i="1"/>
  <c r="X55" i="1"/>
  <c r="AG44" i="1"/>
  <c r="AI44" i="1" s="1"/>
  <c r="T44" i="1"/>
  <c r="X44" i="1"/>
  <c r="AI29" i="1"/>
  <c r="X25" i="1"/>
  <c r="AG20" i="1"/>
  <c r="AI20" i="1" s="1"/>
  <c r="T20" i="1"/>
  <c r="X20" i="1"/>
  <c r="AA143" i="1"/>
  <c r="T136" i="1"/>
  <c r="T21" i="1"/>
  <c r="AG21" i="1"/>
  <c r="X16" i="1"/>
  <c r="AG16" i="1"/>
  <c r="AI16" i="1" s="1"/>
  <c r="T16" i="1"/>
  <c r="T183" i="1"/>
  <c r="U183" i="1" s="1"/>
  <c r="S183" i="1" s="1"/>
  <c r="T179" i="1"/>
  <c r="U179" i="1" s="1"/>
  <c r="S179" i="1" s="1"/>
  <c r="AA212" i="1"/>
  <c r="AA200" i="1"/>
  <c r="T198" i="1"/>
  <c r="U198" i="1" s="1"/>
  <c r="S198" i="1" s="1"/>
  <c r="AA193" i="1"/>
  <c r="W193" i="1" s="1"/>
  <c r="T187" i="1"/>
  <c r="U187" i="1" s="1"/>
  <c r="S187" i="1" s="1"/>
  <c r="AA184" i="1"/>
  <c r="AA182" i="1"/>
  <c r="AA178" i="1"/>
  <c r="AA177" i="1"/>
  <c r="T175" i="1"/>
  <c r="U175" i="1" s="1"/>
  <c r="S175" i="1" s="1"/>
  <c r="AG168" i="1"/>
  <c r="AA166" i="1"/>
  <c r="W166" i="1" s="1"/>
  <c r="AA159" i="1"/>
  <c r="W159" i="1" s="1"/>
  <c r="AA156" i="1"/>
  <c r="U218" i="1"/>
  <c r="S218" i="1" s="1"/>
  <c r="T216" i="1"/>
  <c r="U216" i="1" s="1"/>
  <c r="S216" i="1" s="1"/>
  <c r="AA209" i="1"/>
  <c r="AA207" i="1"/>
  <c r="AG206" i="1"/>
  <c r="X206" i="1"/>
  <c r="AA152" i="1"/>
  <c r="AA150" i="1"/>
  <c r="AA149" i="1"/>
  <c r="W149" i="1" s="1"/>
  <c r="AG139" i="1"/>
  <c r="AI139" i="1" s="1"/>
  <c r="AA135" i="1"/>
  <c r="AA127" i="1"/>
  <c r="X121" i="1"/>
  <c r="AA112" i="1"/>
  <c r="AG111" i="1"/>
  <c r="AI111" i="1" s="1"/>
  <c r="X111" i="1"/>
  <c r="AG100" i="1"/>
  <c r="AI100" i="1" s="1"/>
  <c r="X61" i="1"/>
  <c r="T54" i="1"/>
  <c r="X54" i="1"/>
  <c r="AG54" i="1"/>
  <c r="AI54" i="1" s="1"/>
  <c r="AI53" i="1"/>
  <c r="AG36" i="1"/>
  <c r="AI36" i="1" s="1"/>
  <c r="X36" i="1"/>
  <c r="T36" i="1"/>
  <c r="X33" i="1"/>
  <c r="X29" i="1"/>
  <c r="X24" i="1"/>
  <c r="AG24" i="1"/>
  <c r="T24" i="1"/>
  <c r="AI17" i="1"/>
  <c r="AA83" i="1"/>
  <c r="AA82" i="1"/>
  <c r="AA72" i="1"/>
  <c r="T71" i="1"/>
  <c r="AA65" i="1"/>
  <c r="W65" i="1" s="1"/>
  <c r="AA64" i="1"/>
  <c r="W64" i="1" s="1"/>
  <c r="AA52" i="1"/>
  <c r="AA51" i="1"/>
  <c r="AA39" i="1"/>
  <c r="W39" i="1" s="1"/>
  <c r="AA38" i="1"/>
  <c r="AA36" i="1"/>
  <c r="AA34" i="1"/>
  <c r="T33" i="1"/>
  <c r="U33" i="1" s="1"/>
  <c r="S33" i="1" s="1"/>
  <c r="AA32" i="1"/>
  <c r="AA24" i="1"/>
  <c r="AA23" i="1"/>
  <c r="W23" i="1" s="1"/>
  <c r="AA16" i="1"/>
  <c r="AA14" i="1"/>
  <c r="AA118" i="1"/>
  <c r="W118" i="1" s="1"/>
  <c r="AA111" i="1"/>
  <c r="AA102" i="1"/>
  <c r="W102" i="1" s="1"/>
  <c r="AA99" i="1"/>
  <c r="AA93" i="1"/>
  <c r="AA86" i="1"/>
  <c r="AA85" i="1"/>
  <c r="T76" i="1"/>
  <c r="U76" i="1" s="1"/>
  <c r="S76" i="1" s="1"/>
  <c r="AA68" i="1"/>
  <c r="AA66" i="1"/>
  <c r="AA63" i="1"/>
  <c r="AA62" i="1"/>
  <c r="W62" i="1" s="1"/>
  <c r="AA54" i="1"/>
  <c r="AA48" i="1"/>
  <c r="AA47" i="1"/>
  <c r="AA46" i="1"/>
  <c r="AA44" i="1"/>
  <c r="AA28" i="1"/>
  <c r="AA20" i="1"/>
  <c r="T184" i="1"/>
  <c r="X184" i="1"/>
  <c r="AG184" i="1"/>
  <c r="T169" i="1"/>
  <c r="X169" i="1"/>
  <c r="AG169" i="1"/>
  <c r="X170" i="1"/>
  <c r="T165" i="1"/>
  <c r="X165" i="1"/>
  <c r="AG165" i="1"/>
  <c r="AI165" i="1" s="1"/>
  <c r="X166" i="1"/>
  <c r="X215" i="1"/>
  <c r="X214" i="1"/>
  <c r="AG214" i="1"/>
  <c r="AI214" i="1" s="1"/>
  <c r="AG208" i="1"/>
  <c r="X208" i="1"/>
  <c r="T208" i="1"/>
  <c r="T200" i="1"/>
  <c r="T185" i="1"/>
  <c r="X185" i="1"/>
  <c r="X182" i="1"/>
  <c r="AI193" i="1"/>
  <c r="AI186" i="1"/>
  <c r="W167" i="1"/>
  <c r="T142" i="1"/>
  <c r="AG142" i="1"/>
  <c r="X143" i="1"/>
  <c r="AG129" i="1"/>
  <c r="X129" i="1"/>
  <c r="T129" i="1"/>
  <c r="T181" i="1"/>
  <c r="U181" i="1" s="1"/>
  <c r="S181" i="1" s="1"/>
  <c r="X181" i="1"/>
  <c r="AI190" i="1"/>
  <c r="T188" i="1"/>
  <c r="X188" i="1"/>
  <c r="AG188" i="1"/>
  <c r="AG212" i="1"/>
  <c r="X212" i="1"/>
  <c r="T192" i="1"/>
  <c r="X192" i="1"/>
  <c r="AG192" i="1"/>
  <c r="T177" i="1"/>
  <c r="X177" i="1"/>
  <c r="AG177" i="1"/>
  <c r="X178" i="1"/>
  <c r="X163" i="1"/>
  <c r="AG163" i="1"/>
  <c r="AI163" i="1" s="1"/>
  <c r="AG161" i="1"/>
  <c r="X161" i="1"/>
  <c r="T161" i="1"/>
  <c r="T214" i="1"/>
  <c r="AI158" i="1"/>
  <c r="T153" i="1"/>
  <c r="X153" i="1"/>
  <c r="AG153" i="1"/>
  <c r="W153" i="1" s="1"/>
  <c r="X147" i="1"/>
  <c r="X146" i="1"/>
  <c r="AG146" i="1"/>
  <c r="AG144" i="1"/>
  <c r="X144" i="1"/>
  <c r="T144" i="1"/>
  <c r="T199" i="1"/>
  <c r="X199" i="1"/>
  <c r="AG199" i="1"/>
  <c r="T221" i="1"/>
  <c r="X221" i="1"/>
  <c r="AG221" i="1"/>
  <c r="W221" i="1" s="1"/>
  <c r="T211" i="1"/>
  <c r="X211" i="1"/>
  <c r="AG211" i="1"/>
  <c r="AI211" i="1" s="1"/>
  <c r="AG200" i="1"/>
  <c r="AI200" i="1" s="1"/>
  <c r="T189" i="1"/>
  <c r="X189" i="1"/>
  <c r="X186" i="1"/>
  <c r="AG185" i="1"/>
  <c r="AI185" i="1" s="1"/>
  <c r="T196" i="1"/>
  <c r="AG196" i="1"/>
  <c r="AI196" i="1" s="1"/>
  <c r="T193" i="1"/>
  <c r="U193" i="1" s="1"/>
  <c r="S193" i="1" s="1"/>
  <c r="X193" i="1"/>
  <c r="X190" i="1"/>
  <c r="AG189" i="1"/>
  <c r="AI189" i="1" s="1"/>
  <c r="AA181" i="1"/>
  <c r="W181" i="1" s="1"/>
  <c r="T173" i="1"/>
  <c r="X173" i="1"/>
  <c r="AG173" i="1"/>
  <c r="AI173" i="1" s="1"/>
  <c r="X174" i="1"/>
  <c r="AI181" i="1"/>
  <c r="AI149" i="1"/>
  <c r="W140" i="1"/>
  <c r="T94" i="1"/>
  <c r="X94" i="1"/>
  <c r="AG94" i="1"/>
  <c r="X95" i="1"/>
  <c r="T158" i="1"/>
  <c r="U158" i="1" s="1"/>
  <c r="S158" i="1" s="1"/>
  <c r="X158" i="1"/>
  <c r="X156" i="1"/>
  <c r="AA222" i="1"/>
  <c r="T205" i="1"/>
  <c r="U205" i="1" s="1"/>
  <c r="S205" i="1" s="1"/>
  <c r="X205" i="1"/>
  <c r="X155" i="1"/>
  <c r="AA154" i="1"/>
  <c r="X116" i="1"/>
  <c r="X115" i="1"/>
  <c r="AG115" i="1"/>
  <c r="T106" i="1"/>
  <c r="X106" i="1"/>
  <c r="AG106" i="1"/>
  <c r="AI102" i="1"/>
  <c r="AI90" i="1"/>
  <c r="AG176" i="1"/>
  <c r="T162" i="1"/>
  <c r="X162" i="1"/>
  <c r="T222" i="1"/>
  <c r="AI166" i="1"/>
  <c r="T209" i="1"/>
  <c r="X209" i="1"/>
  <c r="T154" i="1"/>
  <c r="T145" i="1"/>
  <c r="X145" i="1"/>
  <c r="X132" i="1"/>
  <c r="X131" i="1"/>
  <c r="AG131" i="1"/>
  <c r="T122" i="1"/>
  <c r="X122" i="1"/>
  <c r="AG122" i="1"/>
  <c r="AI118" i="1"/>
  <c r="T97" i="1"/>
  <c r="X97" i="1"/>
  <c r="AG97" i="1"/>
  <c r="AG180" i="1"/>
  <c r="AG172" i="1"/>
  <c r="AI172" i="1" s="1"/>
  <c r="X180" i="1"/>
  <c r="X176" i="1"/>
  <c r="X172" i="1"/>
  <c r="X168" i="1"/>
  <c r="X164" i="1"/>
  <c r="AA163" i="1"/>
  <c r="AG162" i="1"/>
  <c r="AI175" i="1"/>
  <c r="AG222" i="1"/>
  <c r="AI222" i="1" s="1"/>
  <c r="T220" i="1"/>
  <c r="T217" i="1"/>
  <c r="U217" i="1" s="1"/>
  <c r="S217" i="1" s="1"/>
  <c r="X217" i="1"/>
  <c r="X216" i="1"/>
  <c r="AA214" i="1"/>
  <c r="AG209" i="1"/>
  <c r="AG154" i="1"/>
  <c r="T152" i="1"/>
  <c r="T149" i="1"/>
  <c r="U149" i="1" s="1"/>
  <c r="S149" i="1" s="1"/>
  <c r="X149" i="1"/>
  <c r="X148" i="1"/>
  <c r="AA146" i="1"/>
  <c r="AG145" i="1"/>
  <c r="AA142" i="1"/>
  <c r="T141" i="1"/>
  <c r="AG141" i="1"/>
  <c r="AI134" i="1"/>
  <c r="T115" i="1"/>
  <c r="AG113" i="1"/>
  <c r="X113" i="1"/>
  <c r="T113" i="1"/>
  <c r="T135" i="1"/>
  <c r="T126" i="1"/>
  <c r="X126" i="1"/>
  <c r="T119" i="1"/>
  <c r="T110" i="1"/>
  <c r="X110" i="1"/>
  <c r="T103" i="1"/>
  <c r="T101" i="1"/>
  <c r="X101" i="1"/>
  <c r="AG101" i="1"/>
  <c r="W101" i="1" s="1"/>
  <c r="T98" i="1"/>
  <c r="X98" i="1"/>
  <c r="AG138" i="1"/>
  <c r="AG135" i="1"/>
  <c r="T133" i="1"/>
  <c r="U133" i="1" s="1"/>
  <c r="S133" i="1" s="1"/>
  <c r="T130" i="1"/>
  <c r="X130" i="1"/>
  <c r="AG126" i="1"/>
  <c r="T123" i="1"/>
  <c r="AG119" i="1"/>
  <c r="T117" i="1"/>
  <c r="U117" i="1" s="1"/>
  <c r="S117" i="1" s="1"/>
  <c r="T114" i="1"/>
  <c r="X114" i="1"/>
  <c r="AG110" i="1"/>
  <c r="T107" i="1"/>
  <c r="AG103" i="1"/>
  <c r="X99" i="1"/>
  <c r="AG98" i="1"/>
  <c r="AA91" i="1"/>
  <c r="AA90" i="1"/>
  <c r="W90" i="1" s="1"/>
  <c r="T89" i="1"/>
  <c r="X89" i="1"/>
  <c r="AG89" i="1"/>
  <c r="X75" i="1"/>
  <c r="AG74" i="1"/>
  <c r="AG72" i="1"/>
  <c r="T72" i="1"/>
  <c r="AI70" i="1"/>
  <c r="U70" i="1"/>
  <c r="S70" i="1" s="1"/>
  <c r="AG137" i="1"/>
  <c r="T134" i="1"/>
  <c r="U134" i="1" s="1"/>
  <c r="S134" i="1" s="1"/>
  <c r="X134" i="1"/>
  <c r="X133" i="1"/>
  <c r="AA131" i="1"/>
  <c r="AG130" i="1"/>
  <c r="AG123" i="1"/>
  <c r="W123" i="1" s="1"/>
  <c r="T121" i="1"/>
  <c r="U121" i="1" s="1"/>
  <c r="S121" i="1" s="1"/>
  <c r="T118" i="1"/>
  <c r="U118" i="1" s="1"/>
  <c r="S118" i="1" s="1"/>
  <c r="X118" i="1"/>
  <c r="X117" i="1"/>
  <c r="AA115" i="1"/>
  <c r="AG114" i="1"/>
  <c r="AG107" i="1"/>
  <c r="T105" i="1"/>
  <c r="T102" i="1"/>
  <c r="U102" i="1" s="1"/>
  <c r="S102" i="1" s="1"/>
  <c r="X102" i="1"/>
  <c r="AA95" i="1"/>
  <c r="W95" i="1" s="1"/>
  <c r="AA94" i="1"/>
  <c r="T93" i="1"/>
  <c r="X93" i="1"/>
  <c r="AG93" i="1"/>
  <c r="T90" i="1"/>
  <c r="U90" i="1" s="1"/>
  <c r="S90" i="1" s="1"/>
  <c r="X90" i="1"/>
  <c r="T85" i="1"/>
  <c r="X85" i="1"/>
  <c r="AG85" i="1"/>
  <c r="T81" i="1"/>
  <c r="X81" i="1"/>
  <c r="AG81" i="1"/>
  <c r="T66" i="1"/>
  <c r="X66" i="1"/>
  <c r="T58" i="1"/>
  <c r="X58" i="1"/>
  <c r="AG56" i="1"/>
  <c r="X56" i="1"/>
  <c r="T56" i="1"/>
  <c r="X86" i="1"/>
  <c r="X82" i="1"/>
  <c r="X68" i="1"/>
  <c r="AA67" i="1"/>
  <c r="AG66" i="1"/>
  <c r="W66" i="1" s="1"/>
  <c r="AI64" i="1"/>
  <c r="AI59" i="1"/>
  <c r="X59" i="1"/>
  <c r="AG58" i="1"/>
  <c r="AI47" i="1"/>
  <c r="T30" i="1"/>
  <c r="X30" i="1"/>
  <c r="AG30" i="1"/>
  <c r="T73" i="1"/>
  <c r="T67" i="1"/>
  <c r="AI62" i="1"/>
  <c r="X84" i="1"/>
  <c r="T80" i="1"/>
  <c r="U80" i="1" s="1"/>
  <c r="S80" i="1" s="1"/>
  <c r="T77" i="1"/>
  <c r="X77" i="1"/>
  <c r="AA74" i="1"/>
  <c r="AG73" i="1"/>
  <c r="U69" i="1"/>
  <c r="S69" i="1" s="1"/>
  <c r="AG67" i="1"/>
  <c r="T65" i="1"/>
  <c r="T62" i="1"/>
  <c r="U62" i="1" s="1"/>
  <c r="S62" i="1" s="1"/>
  <c r="AA59" i="1"/>
  <c r="W59" i="1" s="1"/>
  <c r="AA58" i="1"/>
  <c r="T57" i="1"/>
  <c r="X57" i="1"/>
  <c r="AG57" i="1"/>
  <c r="T49" i="1"/>
  <c r="X49" i="1"/>
  <c r="X50" i="1"/>
  <c r="AG49" i="1"/>
  <c r="AI43" i="1"/>
  <c r="T53" i="1"/>
  <c r="U53" i="1" s="1"/>
  <c r="S53" i="1" s="1"/>
  <c r="X53" i="1"/>
  <c r="X52" i="1"/>
  <c r="X51" i="1"/>
  <c r="AA50" i="1"/>
  <c r="T48" i="1"/>
  <c r="T46" i="1"/>
  <c r="X46" i="1"/>
  <c r="AG46" i="1"/>
  <c r="X47" i="1"/>
  <c r="T42" i="1"/>
  <c r="X42" i="1"/>
  <c r="AG42" i="1"/>
  <c r="X43" i="1"/>
  <c r="T38" i="1"/>
  <c r="X38" i="1"/>
  <c r="AG38" i="1"/>
  <c r="X39" i="1"/>
  <c r="AA35" i="1"/>
  <c r="T26" i="1"/>
  <c r="X26" i="1"/>
  <c r="AG26" i="1"/>
  <c r="T18" i="1"/>
  <c r="X18" i="1"/>
  <c r="AG18" i="1"/>
  <c r="AA31" i="1"/>
  <c r="AI23" i="1"/>
  <c r="T14" i="1"/>
  <c r="AG14" i="1"/>
  <c r="AI40" i="1"/>
  <c r="T34" i="1"/>
  <c r="X34" i="1"/>
  <c r="AG34" i="1"/>
  <c r="AA27" i="1"/>
  <c r="T22" i="1"/>
  <c r="X22" i="1"/>
  <c r="AG22" i="1"/>
  <c r="X23" i="1"/>
  <c r="AA19" i="1"/>
  <c r="X35" i="1"/>
  <c r="X31" i="1"/>
  <c r="X27" i="1"/>
  <c r="AI24" i="1"/>
  <c r="X19" i="1"/>
  <c r="X15" i="1"/>
  <c r="X45" i="1"/>
  <c r="X41" i="1"/>
  <c r="X37" i="1"/>
  <c r="X21" i="1"/>
  <c r="S23" i="3"/>
  <c r="R23" i="3"/>
  <c r="S21" i="3"/>
  <c r="R21" i="3"/>
  <c r="S13" i="3"/>
  <c r="R13" i="3"/>
  <c r="S22" i="3"/>
  <c r="R22" i="3"/>
  <c r="S24" i="3"/>
  <c r="R24" i="3"/>
  <c r="S14" i="3"/>
  <c r="R14" i="3"/>
  <c r="S15" i="3"/>
  <c r="R15" i="3"/>
  <c r="S9" i="3"/>
  <c r="R9" i="3"/>
  <c r="S27" i="3"/>
  <c r="R27" i="3"/>
  <c r="S16" i="3"/>
  <c r="R16" i="3"/>
  <c r="S32" i="3"/>
  <c r="R32" i="3"/>
  <c r="S28" i="3"/>
  <c r="R28" i="3"/>
  <c r="S20" i="3"/>
  <c r="R20" i="3"/>
  <c r="S7" i="3"/>
  <c r="R7" i="3"/>
  <c r="S17" i="3"/>
  <c r="R17" i="3"/>
  <c r="S18" i="3"/>
  <c r="R18" i="3"/>
  <c r="S19" i="3"/>
  <c r="R19" i="3"/>
  <c r="S30" i="3"/>
  <c r="R30" i="3"/>
  <c r="S11" i="3"/>
  <c r="R11" i="3"/>
  <c r="S26" i="3"/>
  <c r="R26" i="3"/>
  <c r="S34" i="3"/>
  <c r="R34" i="3"/>
  <c r="S35" i="3"/>
  <c r="R35" i="3"/>
  <c r="S47" i="3"/>
  <c r="R47" i="3"/>
  <c r="S49" i="3"/>
  <c r="R49" i="3"/>
  <c r="S50" i="3"/>
  <c r="R50" i="3"/>
  <c r="S36" i="3"/>
  <c r="R36" i="3"/>
  <c r="S41" i="3"/>
  <c r="R41" i="3"/>
  <c r="S37" i="3"/>
  <c r="R37" i="3"/>
  <c r="S38" i="3"/>
  <c r="R38" i="3"/>
  <c r="S42" i="3"/>
  <c r="R42" i="3"/>
  <c r="S46" i="3"/>
  <c r="R46" i="3"/>
  <c r="S43" i="3"/>
  <c r="R43" i="3"/>
  <c r="S44" i="3"/>
  <c r="R44" i="3"/>
  <c r="S48" i="3"/>
  <c r="R48" i="3"/>
  <c r="M33" i="3"/>
  <c r="N33" i="3"/>
  <c r="U33" i="3"/>
  <c r="V33" i="3"/>
  <c r="W33" i="3"/>
  <c r="X33" i="3"/>
  <c r="U111" i="1" l="1"/>
  <c r="S111" i="1" s="1"/>
  <c r="AI78" i="1"/>
  <c r="W161" i="1"/>
  <c r="W47" i="1"/>
  <c r="W127" i="1"/>
  <c r="W110" i="1"/>
  <c r="W68" i="1"/>
  <c r="W151" i="1"/>
  <c r="AI201" i="1"/>
  <c r="U201" i="1"/>
  <c r="S201" i="1" s="1"/>
  <c r="W201" i="1"/>
  <c r="AI95" i="1"/>
  <c r="W218" i="1"/>
  <c r="W18" i="1"/>
  <c r="AI143" i="1"/>
  <c r="W48" i="1"/>
  <c r="W51" i="1"/>
  <c r="W164" i="1"/>
  <c r="AI51" i="1"/>
  <c r="U219" i="1"/>
  <c r="S219" i="1" s="1"/>
  <c r="W36" i="1"/>
  <c r="U88" i="1"/>
  <c r="S88" i="1" s="1"/>
  <c r="U104" i="1"/>
  <c r="S104" i="1" s="1"/>
  <c r="W204" i="1"/>
  <c r="W44" i="1"/>
  <c r="W52" i="1"/>
  <c r="W92" i="1"/>
  <c r="W26" i="1"/>
  <c r="U45" i="1"/>
  <c r="S45" i="1" s="1"/>
  <c r="W57" i="1"/>
  <c r="U31" i="1"/>
  <c r="S31" i="1" s="1"/>
  <c r="U108" i="1"/>
  <c r="S108" i="1" s="1"/>
  <c r="W206" i="1"/>
  <c r="W182" i="1"/>
  <c r="U86" i="1"/>
  <c r="S86" i="1" s="1"/>
  <c r="U52" i="1"/>
  <c r="S52" i="1" s="1"/>
  <c r="W219" i="1"/>
  <c r="AI128" i="1"/>
  <c r="W122" i="1"/>
  <c r="W144" i="1"/>
  <c r="W184" i="1"/>
  <c r="U71" i="1"/>
  <c r="S71" i="1" s="1"/>
  <c r="W34" i="1"/>
  <c r="U39" i="1"/>
  <c r="S39" i="1" s="1"/>
  <c r="W54" i="1"/>
  <c r="W24" i="1"/>
  <c r="W150" i="1"/>
  <c r="W88" i="1"/>
  <c r="AI50" i="1"/>
  <c r="W146" i="1"/>
  <c r="U182" i="1"/>
  <c r="S182" i="1" s="1"/>
  <c r="U206" i="1"/>
  <c r="S206" i="1" s="1"/>
  <c r="U19" i="1"/>
  <c r="S19" i="1" s="1"/>
  <c r="W41" i="1"/>
  <c r="W70" i="1"/>
  <c r="W19" i="1"/>
  <c r="U112" i="1"/>
  <c r="S112" i="1" s="1"/>
  <c r="U27" i="1"/>
  <c r="S27" i="1" s="1"/>
  <c r="AI92" i="1"/>
  <c r="W112" i="1"/>
  <c r="U92" i="1"/>
  <c r="S92" i="1" s="1"/>
  <c r="U79" i="1"/>
  <c r="S79" i="1" s="1"/>
  <c r="U84" i="1"/>
  <c r="S84" i="1" s="1"/>
  <c r="W124" i="1"/>
  <c r="AI156" i="1"/>
  <c r="W78" i="1"/>
  <c r="W125" i="1"/>
  <c r="W27" i="1"/>
  <c r="U36" i="1"/>
  <c r="S36" i="1" s="1"/>
  <c r="AI79" i="1"/>
  <c r="W178" i="1"/>
  <c r="W174" i="1"/>
  <c r="W56" i="1"/>
  <c r="AI56" i="1"/>
  <c r="W156" i="1"/>
  <c r="U20" i="1"/>
  <c r="S20" i="1" s="1"/>
  <c r="W155" i="1"/>
  <c r="W60" i="1"/>
  <c r="T33" i="3"/>
  <c r="AC33" i="3"/>
  <c r="Y33" i="3"/>
  <c r="W35" i="1"/>
  <c r="AI68" i="1"/>
  <c r="W139" i="1"/>
  <c r="U159" i="1"/>
  <c r="S159" i="1" s="1"/>
  <c r="U174" i="1"/>
  <c r="S174" i="1" s="1"/>
  <c r="W14" i="1"/>
  <c r="W31" i="1"/>
  <c r="W141" i="1"/>
  <c r="U136" i="1"/>
  <c r="S136" i="1" s="1"/>
  <c r="W169" i="1"/>
  <c r="W63" i="1"/>
  <c r="W16" i="1"/>
  <c r="W83" i="1"/>
  <c r="W168" i="1"/>
  <c r="W213" i="1"/>
  <c r="W195" i="1"/>
  <c r="W84" i="1"/>
  <c r="U77" i="1"/>
  <c r="S77" i="1" s="1"/>
  <c r="W222" i="1"/>
  <c r="W30" i="1"/>
  <c r="U125" i="1"/>
  <c r="S125" i="1" s="1"/>
  <c r="U207" i="1"/>
  <c r="S207" i="1" s="1"/>
  <c r="W86" i="1"/>
  <c r="W207" i="1"/>
  <c r="W171" i="1"/>
  <c r="U191" i="1"/>
  <c r="S191" i="1" s="1"/>
  <c r="U127" i="1"/>
  <c r="S127" i="1" s="1"/>
  <c r="U100" i="1"/>
  <c r="S100" i="1" s="1"/>
  <c r="W136" i="1"/>
  <c r="W212" i="1"/>
  <c r="AI15" i="1"/>
  <c r="U65" i="1"/>
  <c r="S65" i="1" s="1"/>
  <c r="AI87" i="1"/>
  <c r="W115" i="1"/>
  <c r="W163" i="1"/>
  <c r="U151" i="1"/>
  <c r="S151" i="1" s="1"/>
  <c r="AI206" i="1"/>
  <c r="U139" i="1"/>
  <c r="S139" i="1" s="1"/>
  <c r="AI155" i="1"/>
  <c r="W208" i="1"/>
  <c r="W20" i="1"/>
  <c r="U82" i="1"/>
  <c r="W160" i="1"/>
  <c r="U150" i="1"/>
  <c r="S150" i="1" s="1"/>
  <c r="W191" i="1"/>
  <c r="W109" i="1"/>
  <c r="W15" i="1"/>
  <c r="U109" i="1"/>
  <c r="S109" i="1" s="1"/>
  <c r="W165" i="1"/>
  <c r="W209" i="1"/>
  <c r="W143" i="1"/>
  <c r="U44" i="1"/>
  <c r="S44" i="1" s="1"/>
  <c r="W116" i="1"/>
  <c r="W22" i="1"/>
  <c r="W87" i="1"/>
  <c r="W45" i="1"/>
  <c r="W105" i="1"/>
  <c r="AI35" i="1"/>
  <c r="U37" i="1"/>
  <c r="S37" i="1" s="1"/>
  <c r="W50" i="1"/>
  <c r="W49" i="1"/>
  <c r="AI63" i="1"/>
  <c r="AI82" i="1"/>
  <c r="U83" i="1"/>
  <c r="S83" i="1" s="1"/>
  <c r="AI99" i="1"/>
  <c r="W214" i="1"/>
  <c r="U220" i="1"/>
  <c r="S220" i="1" s="1"/>
  <c r="AI171" i="1"/>
  <c r="AI194" i="1"/>
  <c r="U75" i="1"/>
  <c r="S75" i="1" s="1"/>
  <c r="W108" i="1"/>
  <c r="W220" i="1"/>
  <c r="W37" i="1"/>
  <c r="W77" i="1"/>
  <c r="U63" i="1"/>
  <c r="S63" i="1" s="1"/>
  <c r="U204" i="1"/>
  <c r="S204" i="1" s="1"/>
  <c r="W71" i="1"/>
  <c r="U32" i="1"/>
  <c r="S32" i="1" s="1"/>
  <c r="W42" i="1"/>
  <c r="U105" i="1"/>
  <c r="S105" i="1" s="1"/>
  <c r="U124" i="1"/>
  <c r="S124" i="1" s="1"/>
  <c r="U171" i="1"/>
  <c r="S171" i="1" s="1"/>
  <c r="W128" i="1"/>
  <c r="W194" i="1"/>
  <c r="U28" i="1"/>
  <c r="S28" i="1" s="1"/>
  <c r="U41" i="1"/>
  <c r="S41" i="1" s="1"/>
  <c r="W75" i="1"/>
  <c r="U166" i="1"/>
  <c r="S166" i="1" s="1"/>
  <c r="U197" i="1"/>
  <c r="S197" i="1" s="1"/>
  <c r="W197" i="1"/>
  <c r="AI28" i="1"/>
  <c r="U48" i="1"/>
  <c r="S48" i="1" s="1"/>
  <c r="U54" i="1"/>
  <c r="S54" i="1" s="1"/>
  <c r="S82" i="1"/>
  <c r="U91" i="1"/>
  <c r="S91" i="1" s="1"/>
  <c r="AI209" i="1"/>
  <c r="W185" i="1"/>
  <c r="AI213" i="1"/>
  <c r="W28" i="1"/>
  <c r="U24" i="1"/>
  <c r="S24" i="1" s="1"/>
  <c r="U168" i="1"/>
  <c r="S168" i="1" s="1"/>
  <c r="AI168" i="1"/>
  <c r="U16" i="1"/>
  <c r="S16" i="1" s="1"/>
  <c r="U195" i="1"/>
  <c r="S195" i="1" s="1"/>
  <c r="U60" i="1"/>
  <c r="S60" i="1" s="1"/>
  <c r="AI60" i="1"/>
  <c r="W74" i="1"/>
  <c r="W91" i="1"/>
  <c r="S99" i="1"/>
  <c r="W111" i="1"/>
  <c r="U152" i="1"/>
  <c r="S152" i="1" s="1"/>
  <c r="W99" i="1"/>
  <c r="W32" i="1"/>
  <c r="W82" i="1"/>
  <c r="W152" i="1"/>
  <c r="U21" i="1"/>
  <c r="S21" i="1" s="1"/>
  <c r="AI21" i="1"/>
  <c r="W100" i="1"/>
  <c r="U116" i="1"/>
  <c r="S116" i="1" s="1"/>
  <c r="AI116" i="1"/>
  <c r="W21" i="1"/>
  <c r="U210" i="1"/>
  <c r="S210" i="1" s="1"/>
  <c r="W210" i="1"/>
  <c r="AI46" i="1"/>
  <c r="U46" i="1"/>
  <c r="S46" i="1" s="1"/>
  <c r="AI107" i="1"/>
  <c r="U107" i="1"/>
  <c r="S107" i="1" s="1"/>
  <c r="AI98" i="1"/>
  <c r="U98" i="1"/>
  <c r="S98" i="1" s="1"/>
  <c r="AI103" i="1"/>
  <c r="U103" i="1"/>
  <c r="S103" i="1" s="1"/>
  <c r="AI119" i="1"/>
  <c r="U119" i="1"/>
  <c r="S119" i="1" s="1"/>
  <c r="AI135" i="1"/>
  <c r="U135" i="1"/>
  <c r="S135" i="1" s="1"/>
  <c r="W98" i="1"/>
  <c r="AI154" i="1"/>
  <c r="U154" i="1"/>
  <c r="S154" i="1" s="1"/>
  <c r="U172" i="1"/>
  <c r="S172" i="1" s="1"/>
  <c r="AI187" i="1"/>
  <c r="AI131" i="1"/>
  <c r="U131" i="1"/>
  <c r="S131" i="1" s="1"/>
  <c r="AI115" i="1"/>
  <c r="U115" i="1"/>
  <c r="S115" i="1" s="1"/>
  <c r="W119" i="1"/>
  <c r="AI94" i="1"/>
  <c r="U94" i="1"/>
  <c r="S94" i="1" s="1"/>
  <c r="AI188" i="1"/>
  <c r="U173" i="1"/>
  <c r="S173" i="1" s="1"/>
  <c r="U199" i="1"/>
  <c r="S199" i="1" s="1"/>
  <c r="AI216" i="1"/>
  <c r="W103" i="1"/>
  <c r="W173" i="1"/>
  <c r="AI192" i="1"/>
  <c r="U177" i="1"/>
  <c r="S177" i="1" s="1"/>
  <c r="U192" i="1"/>
  <c r="S192" i="1" s="1"/>
  <c r="AI208" i="1"/>
  <c r="W192" i="1"/>
  <c r="U188" i="1"/>
  <c r="S188" i="1" s="1"/>
  <c r="AI204" i="1"/>
  <c r="AI142" i="1"/>
  <c r="U142" i="1"/>
  <c r="S142" i="1" s="1"/>
  <c r="AI18" i="1"/>
  <c r="U18" i="1"/>
  <c r="S18" i="1" s="1"/>
  <c r="AI26" i="1"/>
  <c r="U26" i="1"/>
  <c r="S26" i="1" s="1"/>
  <c r="U73" i="1"/>
  <c r="S73" i="1" s="1"/>
  <c r="AI73" i="1"/>
  <c r="W73" i="1"/>
  <c r="AI81" i="1"/>
  <c r="U81" i="1"/>
  <c r="S81" i="1" s="1"/>
  <c r="U130" i="1"/>
  <c r="S130" i="1" s="1"/>
  <c r="AI130" i="1"/>
  <c r="W130" i="1"/>
  <c r="AI74" i="1"/>
  <c r="U74" i="1"/>
  <c r="S74" i="1" s="1"/>
  <c r="U138" i="1"/>
  <c r="S138" i="1" s="1"/>
  <c r="AI138" i="1"/>
  <c r="W138" i="1"/>
  <c r="U145" i="1"/>
  <c r="S145" i="1" s="1"/>
  <c r="AI145" i="1"/>
  <c r="W145" i="1"/>
  <c r="U162" i="1"/>
  <c r="S162" i="1" s="1"/>
  <c r="AI177" i="1"/>
  <c r="W162" i="1"/>
  <c r="U180" i="1"/>
  <c r="S180" i="1" s="1"/>
  <c r="AI195" i="1"/>
  <c r="U97" i="1"/>
  <c r="S97" i="1" s="1"/>
  <c r="AI97" i="1"/>
  <c r="U176" i="1"/>
  <c r="S176" i="1" s="1"/>
  <c r="W176" i="1"/>
  <c r="AI191" i="1"/>
  <c r="W97" i="1"/>
  <c r="AI106" i="1"/>
  <c r="U106" i="1"/>
  <c r="S106" i="1" s="1"/>
  <c r="AI199" i="1"/>
  <c r="U185" i="1"/>
  <c r="S185" i="1" s="1"/>
  <c r="W177" i="1"/>
  <c r="U208" i="1"/>
  <c r="S208" i="1" s="1"/>
  <c r="AI160" i="1"/>
  <c r="U184" i="1"/>
  <c r="S184" i="1" s="1"/>
  <c r="AI198" i="1"/>
  <c r="W188" i="1"/>
  <c r="U72" i="1"/>
  <c r="S72" i="1" s="1"/>
  <c r="AI72" i="1"/>
  <c r="AI22" i="1"/>
  <c r="U22" i="1"/>
  <c r="S22" i="1" s="1"/>
  <c r="AI38" i="1"/>
  <c r="U38" i="1"/>
  <c r="S38" i="1" s="1"/>
  <c r="AI49" i="1"/>
  <c r="U49" i="1"/>
  <c r="S49" i="1" s="1"/>
  <c r="W58" i="1"/>
  <c r="AI66" i="1"/>
  <c r="U66" i="1"/>
  <c r="S66" i="1" s="1"/>
  <c r="W38" i="1"/>
  <c r="U56" i="1"/>
  <c r="S56" i="1" s="1"/>
  <c r="AI85" i="1"/>
  <c r="U85" i="1"/>
  <c r="S85" i="1" s="1"/>
  <c r="W94" i="1"/>
  <c r="AI123" i="1"/>
  <c r="U123" i="1"/>
  <c r="S123" i="1" s="1"/>
  <c r="W131" i="1"/>
  <c r="W81" i="1"/>
  <c r="W85" i="1"/>
  <c r="W72" i="1"/>
  <c r="W142" i="1"/>
  <c r="AI170" i="1"/>
  <c r="U222" i="1"/>
  <c r="S222" i="1" s="1"/>
  <c r="AI122" i="1"/>
  <c r="U122" i="1"/>
  <c r="S122" i="1" s="1"/>
  <c r="W154" i="1"/>
  <c r="U144" i="1"/>
  <c r="S144" i="1" s="1"/>
  <c r="AI144" i="1"/>
  <c r="AI153" i="1"/>
  <c r="U153" i="1"/>
  <c r="S153" i="1" s="1"/>
  <c r="U161" i="1"/>
  <c r="S161" i="1" s="1"/>
  <c r="AI176" i="1"/>
  <c r="AI162" i="1"/>
  <c r="U214" i="1"/>
  <c r="S214" i="1" s="1"/>
  <c r="AI180" i="1"/>
  <c r="U165" i="1"/>
  <c r="S165" i="1" s="1"/>
  <c r="AI184" i="1"/>
  <c r="U169" i="1"/>
  <c r="S169" i="1" s="1"/>
  <c r="W172" i="1"/>
  <c r="AI34" i="1"/>
  <c r="U34" i="1"/>
  <c r="S34" i="1" s="1"/>
  <c r="AI14" i="1"/>
  <c r="U14" i="1"/>
  <c r="S14" i="1" s="1"/>
  <c r="AI42" i="1"/>
  <c r="U42" i="1"/>
  <c r="S42" i="1" s="1"/>
  <c r="U57" i="1"/>
  <c r="S57" i="1" s="1"/>
  <c r="AI57" i="1"/>
  <c r="AI67" i="1"/>
  <c r="U67" i="1"/>
  <c r="S67" i="1" s="1"/>
  <c r="AI30" i="1"/>
  <c r="U30" i="1"/>
  <c r="S30" i="1" s="1"/>
  <c r="AI58" i="1"/>
  <c r="U58" i="1"/>
  <c r="S58" i="1" s="1"/>
  <c r="W67" i="1"/>
  <c r="W46" i="1"/>
  <c r="U93" i="1"/>
  <c r="S93" i="1" s="1"/>
  <c r="AI93" i="1"/>
  <c r="U114" i="1"/>
  <c r="S114" i="1" s="1"/>
  <c r="AI114" i="1"/>
  <c r="W114" i="1"/>
  <c r="U137" i="1"/>
  <c r="S137" i="1" s="1"/>
  <c r="AI137" i="1"/>
  <c r="U89" i="1"/>
  <c r="S89" i="1" s="1"/>
  <c r="AI89" i="1"/>
  <c r="W89" i="1"/>
  <c r="U110" i="1"/>
  <c r="S110" i="1" s="1"/>
  <c r="AI110" i="1"/>
  <c r="U126" i="1"/>
  <c r="S126" i="1" s="1"/>
  <c r="AI126" i="1"/>
  <c r="U101" i="1"/>
  <c r="S101" i="1" s="1"/>
  <c r="AI101" i="1"/>
  <c r="W107" i="1"/>
  <c r="W93" i="1"/>
  <c r="U113" i="1"/>
  <c r="S113" i="1" s="1"/>
  <c r="AI113" i="1"/>
  <c r="W126" i="1"/>
  <c r="U141" i="1"/>
  <c r="S141" i="1" s="1"/>
  <c r="AI141" i="1"/>
  <c r="U209" i="1"/>
  <c r="S209" i="1" s="1"/>
  <c r="AI161" i="1"/>
  <c r="W113" i="1"/>
  <c r="W135" i="1"/>
  <c r="W137" i="1"/>
  <c r="W106" i="1"/>
  <c r="AI205" i="1"/>
  <c r="U189" i="1"/>
  <c r="S189" i="1" s="1"/>
  <c r="U196" i="1"/>
  <c r="S196" i="1" s="1"/>
  <c r="AI212" i="1"/>
  <c r="W196" i="1"/>
  <c r="AI217" i="1"/>
  <c r="U200" i="1"/>
  <c r="S200" i="1" s="1"/>
  <c r="U211" i="1"/>
  <c r="S211" i="1" s="1"/>
  <c r="AI220" i="1"/>
  <c r="AI169" i="1"/>
  <c r="U221" i="1"/>
  <c r="S221" i="1" s="1"/>
  <c r="W200" i="1"/>
  <c r="AI146" i="1"/>
  <c r="U146" i="1"/>
  <c r="S146" i="1" s="1"/>
  <c r="AI178" i="1"/>
  <c r="U163" i="1"/>
  <c r="S163" i="1" s="1"/>
  <c r="AI221" i="1"/>
  <c r="U212" i="1"/>
  <c r="S212" i="1" s="1"/>
  <c r="W189" i="1"/>
  <c r="U129" i="1"/>
  <c r="S129" i="1" s="1"/>
  <c r="AI129" i="1"/>
  <c r="W180" i="1"/>
  <c r="W211" i="1"/>
  <c r="W199" i="1"/>
  <c r="R45" i="3"/>
  <c r="R39" i="3"/>
  <c r="R40" i="3"/>
  <c r="S31" i="3"/>
  <c r="S29" i="3"/>
  <c r="R12" i="3"/>
  <c r="R10" i="3"/>
  <c r="R25" i="3"/>
  <c r="R8" i="3"/>
  <c r="S45" i="3"/>
  <c r="S39" i="3"/>
  <c r="S40" i="3"/>
  <c r="R31" i="3"/>
  <c r="R29" i="3"/>
  <c r="S12" i="3"/>
  <c r="S10" i="3"/>
  <c r="S25" i="3"/>
  <c r="S8" i="3"/>
  <c r="Y7" i="3"/>
  <c r="AC7" i="3"/>
  <c r="S33" i="3"/>
  <c r="R33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6" i="1"/>
  <c r="AH31" i="1"/>
  <c r="AH32" i="1"/>
  <c r="AH33" i="1"/>
  <c r="AH44" i="1"/>
  <c r="AH46" i="1"/>
  <c r="AH59" i="1"/>
  <c r="AH60" i="1"/>
  <c r="AH69" i="1"/>
  <c r="AH77" i="1"/>
  <c r="AH90" i="1"/>
  <c r="AH91" i="1"/>
  <c r="AH92" i="1"/>
  <c r="AH97" i="1"/>
  <c r="AH98" i="1"/>
  <c r="AH99" i="1"/>
  <c r="AH100" i="1"/>
  <c r="AH101" i="1"/>
  <c r="AH118" i="1"/>
  <c r="AH119" i="1"/>
  <c r="AH128" i="1"/>
  <c r="AH138" i="1"/>
  <c r="AH144" i="1"/>
  <c r="AH145" i="1"/>
  <c r="AH146" i="1"/>
  <c r="AH147" i="1"/>
  <c r="AH148" i="1"/>
  <c r="AH149" i="1"/>
  <c r="AH150" i="1"/>
  <c r="AH151" i="1"/>
  <c r="AH152" i="1"/>
  <c r="AH159" i="1"/>
  <c r="AH160" i="1"/>
  <c r="AH161" i="1"/>
  <c r="AH162" i="1"/>
  <c r="AH163" i="1"/>
  <c r="AH164" i="1"/>
  <c r="AH165" i="1"/>
  <c r="AH179" i="1"/>
  <c r="AH180" i="1"/>
  <c r="AH23" i="1"/>
  <c r="AH24" i="1"/>
  <c r="AH25" i="1"/>
  <c r="AH26" i="1"/>
  <c r="AH34" i="1"/>
  <c r="AH35" i="1"/>
  <c r="AH36" i="1"/>
  <c r="AH37" i="1"/>
  <c r="AH38" i="1"/>
  <c r="AH47" i="1"/>
  <c r="AH48" i="1"/>
  <c r="AH49" i="1"/>
  <c r="AH50" i="1"/>
  <c r="AH61" i="1"/>
  <c r="AH62" i="1"/>
  <c r="AH63" i="1"/>
  <c r="AH64" i="1"/>
  <c r="AH65" i="1"/>
  <c r="AH78" i="1"/>
  <c r="AH79" i="1"/>
  <c r="AH80" i="1"/>
  <c r="AH81" i="1"/>
  <c r="AH82" i="1"/>
  <c r="AH83" i="1"/>
  <c r="AH87" i="1"/>
  <c r="AH93" i="1"/>
  <c r="AH94" i="1"/>
  <c r="AH102" i="1"/>
  <c r="AH103" i="1"/>
  <c r="AH104" i="1"/>
  <c r="AH105" i="1"/>
  <c r="AH106" i="1"/>
  <c r="AH107" i="1"/>
  <c r="AH112" i="1"/>
  <c r="AH113" i="1"/>
  <c r="AH114" i="1"/>
  <c r="AH120" i="1"/>
  <c r="AH129" i="1"/>
  <c r="AH130" i="1"/>
  <c r="AH139" i="1"/>
  <c r="AH140" i="1"/>
  <c r="AH153" i="1"/>
  <c r="AH154" i="1"/>
  <c r="AH17" i="1"/>
  <c r="AH18" i="1"/>
  <c r="AH27" i="1"/>
  <c r="AH28" i="1"/>
  <c r="AH39" i="1"/>
  <c r="AH40" i="1"/>
  <c r="AH41" i="1"/>
  <c r="AH42" i="1"/>
  <c r="AH45" i="1"/>
  <c r="AH51" i="1"/>
  <c r="AH52" i="1"/>
  <c r="AH53" i="1"/>
  <c r="AH54" i="1"/>
  <c r="AH55" i="1"/>
  <c r="AH56" i="1"/>
  <c r="AH66" i="1"/>
  <c r="AH67" i="1"/>
  <c r="AH70" i="1"/>
  <c r="AH71" i="1"/>
  <c r="AH84" i="1"/>
  <c r="AH85" i="1"/>
  <c r="AH95" i="1"/>
  <c r="AH108" i="1"/>
  <c r="AH109" i="1"/>
  <c r="AH110" i="1"/>
  <c r="AH111" i="1"/>
  <c r="AH115" i="1"/>
  <c r="AH116" i="1"/>
  <c r="AH117" i="1"/>
  <c r="AH121" i="1"/>
  <c r="AH131" i="1"/>
  <c r="AH132" i="1"/>
  <c r="AH133" i="1"/>
  <c r="AH184" i="1"/>
  <c r="AH185" i="1"/>
  <c r="AH186" i="1"/>
  <c r="AH187" i="1"/>
  <c r="AH188" i="1"/>
  <c r="AH189" i="1"/>
  <c r="AH190" i="1"/>
  <c r="AH191" i="1"/>
  <c r="AH194" i="1"/>
  <c r="AH195" i="1"/>
  <c r="AH196" i="1"/>
  <c r="AH205" i="1"/>
  <c r="AH209" i="1"/>
  <c r="AH217" i="1"/>
  <c r="AH218" i="1"/>
  <c r="AH19" i="1"/>
  <c r="AH20" i="1"/>
  <c r="AH21" i="1"/>
  <c r="AH22" i="1"/>
  <c r="AH29" i="1"/>
  <c r="AH30" i="1"/>
  <c r="AH43" i="1"/>
  <c r="AH57" i="1"/>
  <c r="AH58" i="1"/>
  <c r="AH68" i="1"/>
  <c r="AH72" i="1"/>
  <c r="AH73" i="1"/>
  <c r="AH74" i="1"/>
  <c r="AH75" i="1"/>
  <c r="AH76" i="1"/>
  <c r="AH86" i="1"/>
  <c r="AH88" i="1"/>
  <c r="AH89" i="1"/>
  <c r="AH96" i="1"/>
  <c r="AH122" i="1"/>
  <c r="AH123" i="1"/>
  <c r="AH124" i="1"/>
  <c r="AH125" i="1"/>
  <c r="AH126" i="1"/>
  <c r="AH127" i="1"/>
  <c r="AH134" i="1"/>
  <c r="AH135" i="1"/>
  <c r="AH136" i="1"/>
  <c r="AH137" i="1"/>
  <c r="AH141" i="1"/>
  <c r="AH142" i="1"/>
  <c r="AH143" i="1"/>
  <c r="AH166" i="1"/>
  <c r="AH171" i="1"/>
  <c r="AH172" i="1"/>
  <c r="AH173" i="1"/>
  <c r="AH181" i="1"/>
  <c r="AH207" i="1"/>
  <c r="AH215" i="1"/>
  <c r="AH216" i="1"/>
  <c r="AH219" i="1"/>
  <c r="AH220" i="1"/>
  <c r="AH221" i="1"/>
  <c r="AH198" i="1"/>
  <c r="AH222" i="1"/>
  <c r="AH174" i="1"/>
  <c r="AH175" i="1"/>
  <c r="AH176" i="1"/>
  <c r="AH177" i="1"/>
  <c r="AH178" i="1"/>
  <c r="AH182" i="1"/>
  <c r="AH183" i="1"/>
  <c r="AH193" i="1"/>
  <c r="AH197" i="1"/>
  <c r="AH208" i="1"/>
  <c r="AH155" i="1"/>
  <c r="AH156" i="1"/>
  <c r="AH157" i="1"/>
  <c r="AH158" i="1"/>
  <c r="AH167" i="1"/>
  <c r="AH168" i="1"/>
  <c r="AH169" i="1"/>
  <c r="AH170" i="1"/>
  <c r="AH199" i="1"/>
  <c r="AH200" i="1"/>
  <c r="AH203" i="1"/>
  <c r="AH204" i="1"/>
  <c r="AH210" i="1"/>
  <c r="AH211" i="1"/>
  <c r="AH212" i="1"/>
  <c r="AH213" i="1"/>
  <c r="AH214" i="1"/>
  <c r="AH192" i="1"/>
  <c r="AH206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<sst xmlns="http://schemas.openxmlformats.org/spreadsheetml/2006/main" count="2221" uniqueCount="770">
  <si>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</si>
  <si>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</si>
  <si>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</si>
  <si>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</si>
  <si>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</si>
  <si>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</si>
  <si>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</si>
  <si>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</si>
  <si>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</si>
  <si>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</si>
  <si>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</si>
  <si>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</si>
  <si>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</si>
  <si>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</si>
  <si>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</si>
  <si>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</si>
  <si>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</si>
  <si>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</si>
  <si>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</si>
  <si>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</si>
  <si>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</si>
  <si>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</si>
  <si>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</si>
  <si>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</si>
  <si>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</si>
  <si>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</si>
  <si>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</si>
  <si>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</si>
  <si>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</si>
  <si>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</si>
  <si>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</si>
  <si>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</si>
  <si>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</si>
  <si>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</si>
  <si>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</si>
  <si>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</si>
  <si>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</si>
  <si>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</si>
  <si>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</si>
  <si>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</si>
  <si>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</si>
  <si>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</si>
  <si>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</si>
  <si>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</si>
  <si>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</si>
  <si>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</si>
  <si>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</si>
  <si>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</si>
  <si>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</si>
  <si>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</si>
  <si>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</si>
  <si>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</si>
  <si>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</si>
  <si>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</si>
  <si>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</si>
  <si>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</si>
  <si>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</si>
  <si>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</si>
  <si>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</si>
  <si>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</si>
  <si>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</si>
  <si>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</si>
  <si>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</si>
  <si>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</si>
  <si>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</si>
  <si>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</si>
  <si>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</si>
  <si>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</si>
  <si>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</si>
  <si>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</si>
  <si>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</si>
  <si>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</si>
  <si>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</si>
  <si>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</si>
  <si>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</si>
  <si>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</si>
  <si>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</si>
  <si>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</si>
  <si>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</si>
  <si>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</si>
  <si>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</si>
  <si>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</si>
  <si>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</si>
  <si>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</si>
  <si>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</si>
  <si>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</si>
  <si>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</si>
  <si>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</si>
  <si>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</si>
  <si>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</si>
  <si>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</si>
  <si>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</si>
  <si>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</si>
  <si>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</si>
  <si>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</si>
  <si>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</si>
  <si>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</si>
  <si>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</si>
  <si>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</si>
  <si>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</si>
  <si>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</si>
  <si>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</si>
  <si>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</si>
  <si>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</si>
  <si>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</si>
  <si>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</si>
  <si>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</si>
  <si>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</si>
  <si>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</si>
  <si>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</si>
  <si>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</si>
  <si>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</si>
  <si>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</si>
  <si>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</si>
  <si>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</si>
  <si>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</si>
  <si>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</si>
  <si>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</si>
  <si>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</si>
  <si>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</si>
  <si>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</si>
  <si>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</si>
  <si>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</si>
  <si>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</si>
  <si>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</si>
  <si>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</si>
  <si>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</si>
  <si>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</si>
  <si>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</si>
  <si>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</si>
  <si>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</si>
  <si>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</si>
  <si>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</si>
  <si>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</si>
  <si>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</si>
  <si>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</si>
  <si>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</si>
  <si>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</si>
  <si>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</si>
  <si>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</si>
  <si>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</si>
  <si>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</si>
  <si>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</si>
  <si>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</si>
  <si>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</si>
  <si>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</si>
  <si>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</si>
  <si>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</si>
  <si>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</si>
  <si>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</si>
  <si>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</si>
  <si>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</si>
  <si>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</si>
  <si>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</si>
  <si>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</si>
  <si>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</si>
  <si>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</si>
  <si>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</si>
  <si>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</si>
  <si>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</si>
  <si>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</si>
  <si>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</si>
  <si>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</si>
  <si>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</si>
  <si>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</si>
  <si>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</si>
  <si>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</si>
  <si>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</si>
  <si>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</si>
  <si>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</si>
  <si>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</si>
  <si>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</si>
  <si>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</si>
  <si>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</si>
  <si>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</si>
  <si>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</si>
  <si>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</si>
  <si>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</si>
  <si>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</si>
  <si>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</si>
  <si>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</si>
  <si>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</si>
  <si>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</si>
  <si>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</si>
  <si>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</si>
  <si>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</si>
  <si>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</si>
  <si>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</si>
  <si>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</si>
  <si>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</si>
  <si>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</si>
  <si>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</si>
  <si>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</si>
  <si>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</si>
  <si>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</si>
  <si>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</si>
  <si>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</si>
  <si>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</si>
  <si>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</si>
  <si>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</si>
  <si>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</si>
  <si>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</si>
  <si>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</si>
  <si>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</si>
  <si>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</si>
  <si>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</si>
  <si>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</si>
  <si>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</si>
  <si>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</si>
  <si>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</si>
  <si>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</si>
  <si>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</si>
  <si>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</si>
  <si>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</si>
  <si>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</si>
  <si>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</si>
  <si>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</si>
  <si>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</si>
  <si>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</si>
  <si>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</si>
  <si>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</si>
  <si>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</si>
  <si>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</si>
  <si>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</si>
  <si>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</si>
  <si>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</si>
  <si>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</si>
  <si>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</si>
  <si>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</si>
  <si>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</si>
  <si>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</si>
  <si>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</si>
  <si>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</si>
  <si>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</si>
  <si>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</si>
  <si>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204:232994</t>
  </si>
  <si>
    <t>204:469</t>
  </si>
  <si>
    <t>204:449</t>
  </si>
  <si>
    <t>Reactive Warning (1)</t>
  </si>
  <si>
    <t>204:462</t>
  </si>
  <si>
    <t>rtdc.l.rtdc.4044:itc</t>
  </si>
  <si>
    <t>rtdc.l.rtdc.4043:itc</t>
  </si>
  <si>
    <t>STURGEON</t>
  </si>
  <si>
    <t>204:437</t>
  </si>
  <si>
    <t>204:232971</t>
  </si>
  <si>
    <t>Loco - PTC</t>
  </si>
  <si>
    <t>Power</t>
  </si>
  <si>
    <t>204:233297</t>
  </si>
  <si>
    <t>204:161</t>
  </si>
  <si>
    <t>rtdc.l.rtdc.4045:itc</t>
  </si>
  <si>
    <t>rtdc.l.rtdc.4003:itc</t>
  </si>
  <si>
    <t>rtdc.l.rtdc.4004:itc</t>
  </si>
  <si>
    <t>YANAI</t>
  </si>
  <si>
    <t>CHANDLER</t>
  </si>
  <si>
    <t>246-16</t>
  </si>
  <si>
    <t>311-16</t>
  </si>
  <si>
    <t>313-16</t>
  </si>
  <si>
    <t>315-16</t>
  </si>
  <si>
    <t>204:156</t>
  </si>
  <si>
    <t>204:440</t>
  </si>
  <si>
    <t>rtdc.l.rtdc.4011:itc</t>
  </si>
  <si>
    <t>rtdc.l.rtdc.4012:itc</t>
  </si>
  <si>
    <t>204:482</t>
  </si>
  <si>
    <t>204:233293</t>
  </si>
  <si>
    <t>300:58619</t>
  </si>
  <si>
    <t>204:233314</t>
  </si>
  <si>
    <t>CLI Grep</t>
  </si>
  <si>
    <t>STARKS</t>
  </si>
  <si>
    <t>LEVERE</t>
  </si>
  <si>
    <t>204:233295</t>
  </si>
  <si>
    <t>204:145</t>
  </si>
  <si>
    <t>204:232982</t>
  </si>
  <si>
    <t>204:473</t>
  </si>
  <si>
    <t>204:233000</t>
  </si>
  <si>
    <t>204:136</t>
  </si>
  <si>
    <t>rtdc.l.rtdc.4007:itc</t>
  </si>
  <si>
    <t>rtdc.l.rtdc.4002:itc</t>
  </si>
  <si>
    <t>SPECTOR</t>
  </si>
  <si>
    <t>rtdc.l.rtdc.4001:itc</t>
  </si>
  <si>
    <t>rtdc.l.rtdc.4008:itc</t>
  </si>
  <si>
    <t>YOUNG</t>
  </si>
  <si>
    <t>204:233334</t>
  </si>
  <si>
    <t>204:444</t>
  </si>
  <si>
    <t>204:232981</t>
  </si>
  <si>
    <t>204:141</t>
  </si>
  <si>
    <t>204:233308</t>
  </si>
  <si>
    <t>204:232959</t>
  </si>
  <si>
    <t>204:442</t>
  </si>
  <si>
    <t>204:232963</t>
  </si>
  <si>
    <t>204:484</t>
  </si>
  <si>
    <t>204:233287</t>
  </si>
  <si>
    <t>204:233312</t>
  </si>
  <si>
    <t>204:981</t>
  </si>
  <si>
    <t>204:985</t>
  </si>
  <si>
    <t>precipType</t>
  </si>
  <si>
    <t>partly-cloudy-day</t>
  </si>
  <si>
    <t>rain</t>
  </si>
  <si>
    <t>partly-cloudy-night</t>
  </si>
  <si>
    <t>Mostly Cloudy</t>
  </si>
  <si>
    <t>Early arrival</t>
  </si>
  <si>
    <t>rtdc.l.rtdc.4014:itc</t>
  </si>
  <si>
    <t>GEBRETEKLE</t>
  </si>
  <si>
    <t>ROCHA</t>
  </si>
  <si>
    <t>rtdc.l.rtdc.4013:itc</t>
  </si>
  <si>
    <t>HELVIE</t>
  </si>
  <si>
    <t>rtdc.l.rtdc.4006:itc</t>
  </si>
  <si>
    <t>STORY</t>
  </si>
  <si>
    <t>rtdc.l.rtdc.4005:itc</t>
  </si>
  <si>
    <t>204:232996</t>
  </si>
  <si>
    <t>204:233315</t>
  </si>
  <si>
    <t>204:232983</t>
  </si>
  <si>
    <t>204:232998</t>
  </si>
  <si>
    <t>204:233288</t>
  </si>
  <si>
    <t>204:232993</t>
  </si>
  <si>
    <t>204:232984</t>
  </si>
  <si>
    <t>204:232991</t>
  </si>
  <si>
    <t>204:233318</t>
  </si>
  <si>
    <t>204:233004</t>
  </si>
  <si>
    <t>204:232985</t>
  </si>
  <si>
    <t>204:446</t>
  </si>
  <si>
    <t>204:233278</t>
  </si>
  <si>
    <t>204:233289</t>
  </si>
  <si>
    <t>204:233300</t>
  </si>
  <si>
    <t>300:58933</t>
  </si>
  <si>
    <t>300:58939</t>
  </si>
  <si>
    <t>300:58621</t>
  </si>
  <si>
    <t>204:682</t>
  </si>
  <si>
    <t>300:58634</t>
  </si>
  <si>
    <t>40th 4S STOP, cleared afterward</t>
  </si>
  <si>
    <t>fog</t>
  </si>
  <si>
    <t>Foggy</t>
  </si>
  <si>
    <t>Partly Cloudy</t>
  </si>
  <si>
    <t>Time (US/Mountain)</t>
  </si>
  <si>
    <t>Source</t>
  </si>
  <si>
    <t>Employee Identifier</t>
  </si>
  <si>
    <t>Employee Last Name</t>
  </si>
  <si>
    <t>MAELZER</t>
  </si>
  <si>
    <t>rtdc.l.rtdc.4016:itc</t>
  </si>
  <si>
    <t>rtdc.l.rtdc.4027:itc</t>
  </si>
  <si>
    <t>STRICKLAND</t>
  </si>
  <si>
    <t>rtdc.l.rtdc.4032:itc</t>
  </si>
  <si>
    <t>rtdc.l.rtdc.4031:itc</t>
  </si>
  <si>
    <t>rtdc.l.rtdc.4028:itc</t>
  </si>
  <si>
    <t>SANTIZO</t>
  </si>
  <si>
    <t>HILLS</t>
  </si>
  <si>
    <t>MOSES</t>
  </si>
  <si>
    <t>242-21</t>
  </si>
  <si>
    <t>311-21</t>
  </si>
  <si>
    <t>244-21</t>
  </si>
  <si>
    <t>313-21</t>
  </si>
  <si>
    <t>315-21</t>
  </si>
  <si>
    <t>204:755</t>
  </si>
  <si>
    <t>204:233304</t>
  </si>
  <si>
    <t>204:232969</t>
  </si>
  <si>
    <t>204:232976</t>
  </si>
  <si>
    <t>204:167</t>
  </si>
  <si>
    <t>204:233284</t>
  </si>
  <si>
    <t>204:233317</t>
  </si>
  <si>
    <t>204:233002</t>
  </si>
  <si>
    <t>204:169</t>
  </si>
  <si>
    <t>204:480</t>
  </si>
  <si>
    <t>204:232957</t>
  </si>
  <si>
    <t>204:233010</t>
  </si>
  <si>
    <t>204:464</t>
  </si>
  <si>
    <t>204:233307</t>
  </si>
  <si>
    <t>204:233331</t>
  </si>
  <si>
    <t>204:233305</t>
  </si>
  <si>
    <t>204:433</t>
  </si>
  <si>
    <t>204:232992</t>
  </si>
  <si>
    <t>204:233298</t>
  </si>
  <si>
    <t>204:233015</t>
  </si>
  <si>
    <t>204:232973</t>
  </si>
  <si>
    <t>204:233008</t>
  </si>
  <si>
    <t>204:189</t>
  </si>
  <si>
    <t>204:1490</t>
  </si>
  <si>
    <t>300:58602</t>
  </si>
  <si>
    <t>204:1090</t>
  </si>
  <si>
    <t>300:58681</t>
  </si>
  <si>
    <t>204:673</t>
  </si>
  <si>
    <t>300:58986</t>
  </si>
  <si>
    <t>300:58673</t>
  </si>
  <si>
    <t>300:58988</t>
  </si>
  <si>
    <t>300:58993</t>
  </si>
  <si>
    <t>300:58604</t>
  </si>
  <si>
    <t>300:58672</t>
  </si>
  <si>
    <t>Form C</t>
  </si>
  <si>
    <t>61st 2N STOP, cleared afterward</t>
  </si>
  <si>
    <t>Pena 4S STOP, cleared afterward</t>
  </si>
  <si>
    <t>101-22</t>
  </si>
  <si>
    <t>103-22</t>
  </si>
  <si>
    <t>102-22</t>
  </si>
  <si>
    <t>rtdc.l.rtdc.4029:itc</t>
  </si>
  <si>
    <t>105-22</t>
  </si>
  <si>
    <t>MALAVE</t>
  </si>
  <si>
    <t>107-22</t>
  </si>
  <si>
    <t>109-22</t>
  </si>
  <si>
    <t>rtdc.l.rtdc.4054:itc</t>
  </si>
  <si>
    <t>104-22</t>
  </si>
  <si>
    <t>111-22</t>
  </si>
  <si>
    <t>800-22</t>
  </si>
  <si>
    <t>YORK</t>
  </si>
  <si>
    <t>113-22</t>
  </si>
  <si>
    <t>106-22</t>
  </si>
  <si>
    <t>108-22</t>
  </si>
  <si>
    <t>801-22</t>
  </si>
  <si>
    <t>115-22</t>
  </si>
  <si>
    <t>BEAM</t>
  </si>
  <si>
    <t>rtdc.l.rtdc.4053:itc</t>
  </si>
  <si>
    <t>117-22</t>
  </si>
  <si>
    <t>110-22</t>
  </si>
  <si>
    <t>112-22</t>
  </si>
  <si>
    <t>119-22</t>
  </si>
  <si>
    <t>114-22</t>
  </si>
  <si>
    <t>802-22</t>
  </si>
  <si>
    <t>121-22</t>
  </si>
  <si>
    <t>803-22</t>
  </si>
  <si>
    <t>116-22</t>
  </si>
  <si>
    <t>123-22</t>
  </si>
  <si>
    <t>805-22</t>
  </si>
  <si>
    <t>118-22</t>
  </si>
  <si>
    <t>804-22</t>
  </si>
  <si>
    <t>125-22</t>
  </si>
  <si>
    <t>rtdc.l.rtdc.4030:itc</t>
  </si>
  <si>
    <t>120-22</t>
  </si>
  <si>
    <t>127-22</t>
  </si>
  <si>
    <t>122-22</t>
  </si>
  <si>
    <t>806-22</t>
  </si>
  <si>
    <t>129-22</t>
  </si>
  <si>
    <t>124-22</t>
  </si>
  <si>
    <t>807-22</t>
  </si>
  <si>
    <t>126-22</t>
  </si>
  <si>
    <t>809-22</t>
  </si>
  <si>
    <t>131-22</t>
  </si>
  <si>
    <t>808-22</t>
  </si>
  <si>
    <t>133-22</t>
  </si>
  <si>
    <t>128-22</t>
  </si>
  <si>
    <t>130-22</t>
  </si>
  <si>
    <t>135-22</t>
  </si>
  <si>
    <t>810-22</t>
  </si>
  <si>
    <t>137-22</t>
  </si>
  <si>
    <t>811-22</t>
  </si>
  <si>
    <t>132-22</t>
  </si>
  <si>
    <t>139-22</t>
  </si>
  <si>
    <t>903-22</t>
  </si>
  <si>
    <t>812-22</t>
  </si>
  <si>
    <t>141-22</t>
  </si>
  <si>
    <t>134-22</t>
  </si>
  <si>
    <t>136-22</t>
  </si>
  <si>
    <t>143-22</t>
  </si>
  <si>
    <t>138-22</t>
  </si>
  <si>
    <t>140-22</t>
  </si>
  <si>
    <t>145-22</t>
  </si>
  <si>
    <t>GRASTON</t>
  </si>
  <si>
    <t>813-22</t>
  </si>
  <si>
    <t>142-22</t>
  </si>
  <si>
    <t>814-22</t>
  </si>
  <si>
    <t>147-22</t>
  </si>
  <si>
    <t>144-22</t>
  </si>
  <si>
    <t>151-22</t>
  </si>
  <si>
    <t>153-22</t>
  </si>
  <si>
    <t>146-22</t>
  </si>
  <si>
    <t>155-22</t>
  </si>
  <si>
    <t>815-22</t>
  </si>
  <si>
    <t>148-22</t>
  </si>
  <si>
    <t>157-22</t>
  </si>
  <si>
    <t>50-22</t>
  </si>
  <si>
    <t>816-22</t>
  </si>
  <si>
    <t>159-22</t>
  </si>
  <si>
    <t>152-22</t>
  </si>
  <si>
    <t>52-22</t>
  </si>
  <si>
    <t>NEWELL</t>
  </si>
  <si>
    <t>154-22</t>
  </si>
  <si>
    <t>161-22</t>
  </si>
  <si>
    <t>156-22</t>
  </si>
  <si>
    <t>817-22</t>
  </si>
  <si>
    <t>163-22</t>
  </si>
  <si>
    <t>158-22</t>
  </si>
  <si>
    <t>55-22</t>
  </si>
  <si>
    <t>818-22</t>
  </si>
  <si>
    <t>165-22</t>
  </si>
  <si>
    <t>160-22</t>
  </si>
  <si>
    <t>162-22</t>
  </si>
  <si>
    <t>167-22</t>
  </si>
  <si>
    <t>57-22</t>
  </si>
  <si>
    <t>169-22</t>
  </si>
  <si>
    <t>819-22</t>
  </si>
  <si>
    <t>164-22</t>
  </si>
  <si>
    <t>171-22</t>
  </si>
  <si>
    <t>RIVERA</t>
  </si>
  <si>
    <t>166-22</t>
  </si>
  <si>
    <t>820-22</t>
  </si>
  <si>
    <t>173-22</t>
  </si>
  <si>
    <t>168-22</t>
  </si>
  <si>
    <t>170-22</t>
  </si>
  <si>
    <t>175-22</t>
  </si>
  <si>
    <t>ISHMAEL</t>
  </si>
  <si>
    <t>177-22</t>
  </si>
  <si>
    <t>821-22</t>
  </si>
  <si>
    <t>172-22</t>
  </si>
  <si>
    <t>179-22</t>
  </si>
  <si>
    <t>174-22</t>
  </si>
  <si>
    <t>822-22</t>
  </si>
  <si>
    <t>181-22</t>
  </si>
  <si>
    <t>176-22</t>
  </si>
  <si>
    <t>183-22</t>
  </si>
  <si>
    <t>178-22</t>
  </si>
  <si>
    <t>180-22</t>
  </si>
  <si>
    <t>185-22</t>
  </si>
  <si>
    <t>823-22</t>
  </si>
  <si>
    <t>187-22</t>
  </si>
  <si>
    <t>182-22</t>
  </si>
  <si>
    <t>824-22</t>
  </si>
  <si>
    <t>184-22</t>
  </si>
  <si>
    <t>189-22</t>
  </si>
  <si>
    <t>SHOOK</t>
  </si>
  <si>
    <t>191-22</t>
  </si>
  <si>
    <t>186-22</t>
  </si>
  <si>
    <t>193-22</t>
  </si>
  <si>
    <t>904-22</t>
  </si>
  <si>
    <t>825-22</t>
  </si>
  <si>
    <t>188-22</t>
  </si>
  <si>
    <t>195-22</t>
  </si>
  <si>
    <t>190-22</t>
  </si>
  <si>
    <t>826-22</t>
  </si>
  <si>
    <t>197-22</t>
  </si>
  <si>
    <t>827-22</t>
  </si>
  <si>
    <t>192-22</t>
  </si>
  <si>
    <t>199-22</t>
  </si>
  <si>
    <t>194-22</t>
  </si>
  <si>
    <t>828-22</t>
  </si>
  <si>
    <t>201-22</t>
  </si>
  <si>
    <t>196-22</t>
  </si>
  <si>
    <t>829-22</t>
  </si>
  <si>
    <t>203-22</t>
  </si>
  <si>
    <t>198-22</t>
  </si>
  <si>
    <t>830-22</t>
  </si>
  <si>
    <t>205-22</t>
  </si>
  <si>
    <t>200-22</t>
  </si>
  <si>
    <t>831-22</t>
  </si>
  <si>
    <t>207-22</t>
  </si>
  <si>
    <t>202-22</t>
  </si>
  <si>
    <t>832-22</t>
  </si>
  <si>
    <t>209-22</t>
  </si>
  <si>
    <t>833-22</t>
  </si>
  <si>
    <t>65-22</t>
  </si>
  <si>
    <t>204-22</t>
  </si>
  <si>
    <t>211-22</t>
  </si>
  <si>
    <t>54-22</t>
  </si>
  <si>
    <t>206-22</t>
  </si>
  <si>
    <t>834-22</t>
  </si>
  <si>
    <t>213-22</t>
  </si>
  <si>
    <t>208-22</t>
  </si>
  <si>
    <t>835-22</t>
  </si>
  <si>
    <t>56-22</t>
  </si>
  <si>
    <t>215-22</t>
  </si>
  <si>
    <t>58-22</t>
  </si>
  <si>
    <t>210-22</t>
  </si>
  <si>
    <t>836-22</t>
  </si>
  <si>
    <t>217-22</t>
  </si>
  <si>
    <t>60-22</t>
  </si>
  <si>
    <t>837-22</t>
  </si>
  <si>
    <t>212-22</t>
  </si>
  <si>
    <t>219-22</t>
  </si>
  <si>
    <t>214-22</t>
  </si>
  <si>
    <t>62-22</t>
  </si>
  <si>
    <t>838-22</t>
  </si>
  <si>
    <t>303-22</t>
  </si>
  <si>
    <t>839-22</t>
  </si>
  <si>
    <t>216-22</t>
  </si>
  <si>
    <t>221-22</t>
  </si>
  <si>
    <t>218-22</t>
  </si>
  <si>
    <t>906-22</t>
  </si>
  <si>
    <t>220-22</t>
  </si>
  <si>
    <t>841-22</t>
  </si>
  <si>
    <t>223-22</t>
  </si>
  <si>
    <t>840-22</t>
  </si>
  <si>
    <t>307-22</t>
  </si>
  <si>
    <t>222-22</t>
  </si>
  <si>
    <t>225-22</t>
  </si>
  <si>
    <t>843-22</t>
  </si>
  <si>
    <t>227-22</t>
  </si>
  <si>
    <t>224-22</t>
  </si>
  <si>
    <t>842-22</t>
  </si>
  <si>
    <t>229-22</t>
  </si>
  <si>
    <t>226-22</t>
  </si>
  <si>
    <t>228-22</t>
  </si>
  <si>
    <t>231-22</t>
  </si>
  <si>
    <t>230-22</t>
  </si>
  <si>
    <t>233-22</t>
  </si>
  <si>
    <t>232-22</t>
  </si>
  <si>
    <t>235-22</t>
  </si>
  <si>
    <t>847-22</t>
  </si>
  <si>
    <t>908-22</t>
  </si>
  <si>
    <t>234-22</t>
  </si>
  <si>
    <t>237-22</t>
  </si>
  <si>
    <t>236-22</t>
  </si>
  <si>
    <t>239-22</t>
  </si>
  <si>
    <t>238-22</t>
  </si>
  <si>
    <t>241-22</t>
  </si>
  <si>
    <t>243-22</t>
  </si>
  <si>
    <t>240-22</t>
  </si>
  <si>
    <t>309-22</t>
  </si>
  <si>
    <t>242-22</t>
  </si>
  <si>
    <t>311-22</t>
  </si>
  <si>
    <t>244-22</t>
  </si>
  <si>
    <t>313-22</t>
  </si>
  <si>
    <t>204:726</t>
  </si>
  <si>
    <t>204:232670</t>
  </si>
  <si>
    <t>204:783</t>
  </si>
  <si>
    <t>204:232677</t>
  </si>
  <si>
    <t>204:761</t>
  </si>
  <si>
    <t>204:232658</t>
  </si>
  <si>
    <t>204:233282</t>
  </si>
  <si>
    <t>204:130</t>
  </si>
  <si>
    <t>204:143</t>
  </si>
  <si>
    <t>204:785</t>
  </si>
  <si>
    <t>204:233330</t>
  </si>
  <si>
    <t>204:232977</t>
  </si>
  <si>
    <t>204:766</t>
  </si>
  <si>
    <t>204:233270</t>
  </si>
  <si>
    <t>204:233380</t>
  </si>
  <si>
    <t>204:233074</t>
  </si>
  <si>
    <t>204:233316</t>
  </si>
  <si>
    <t>204:74686</t>
  </si>
  <si>
    <t>204:232974</t>
  </si>
  <si>
    <t>204:1181</t>
  </si>
  <si>
    <t>204:233280</t>
  </si>
  <si>
    <t>204:233353</t>
  </si>
  <si>
    <t>204:233013</t>
  </si>
  <si>
    <t>204:47790</t>
  </si>
  <si>
    <t>204:86375</t>
  </si>
  <si>
    <t>204:233310</t>
  </si>
  <si>
    <t>204:475</t>
  </si>
  <si>
    <t>204:478</t>
  </si>
  <si>
    <t>204:232966</t>
  </si>
  <si>
    <t>204:181</t>
  </si>
  <si>
    <t>204:416</t>
  </si>
  <si>
    <t>204:232968</t>
  </si>
  <si>
    <t>204:233342</t>
  </si>
  <si>
    <t>204:233053</t>
  </si>
  <si>
    <t>204:180</t>
  </si>
  <si>
    <t>204:233003</t>
  </si>
  <si>
    <t>204:232975</t>
  </si>
  <si>
    <t>204:233336</t>
  </si>
  <si>
    <t>204:233011</t>
  </si>
  <si>
    <t>204:493</t>
  </si>
  <si>
    <t>204:118</t>
  </si>
  <si>
    <t>204:233339</t>
  </si>
  <si>
    <t>204:233042</t>
  </si>
  <si>
    <t>204:233306</t>
  </si>
  <si>
    <t>204:233332</t>
  </si>
  <si>
    <t>204:129</t>
  </si>
  <si>
    <t>204:233362</t>
  </si>
  <si>
    <t>204:233040</t>
  </si>
  <si>
    <t>204:491</t>
  </si>
  <si>
    <t>204:233322</t>
  </si>
  <si>
    <t>204:233329</t>
  </si>
  <si>
    <t>204:233299</t>
  </si>
  <si>
    <t>204:233363</t>
  </si>
  <si>
    <t>204:233320</t>
  </si>
  <si>
    <t>204:232990</t>
  </si>
  <si>
    <t>204:495</t>
  </si>
  <si>
    <t>204:233302</t>
  </si>
  <si>
    <t>204:438</t>
  </si>
  <si>
    <t>204:233309</t>
  </si>
  <si>
    <t>204:431</t>
  </si>
  <si>
    <t>204:233007</t>
  </si>
  <si>
    <t>204:233017</t>
  </si>
  <si>
    <t>204:233009</t>
  </si>
  <si>
    <t>204:218</t>
  </si>
  <si>
    <t>300:23293</t>
  </si>
  <si>
    <t>300:23302</t>
  </si>
  <si>
    <t>300:31257</t>
  </si>
  <si>
    <t>300:22221</t>
  </si>
  <si>
    <t>204:113</t>
  </si>
  <si>
    <t>300:23243</t>
  </si>
  <si>
    <t>204:887</t>
  </si>
  <si>
    <t>204:403</t>
  </si>
  <si>
    <t>300:24260</t>
  </si>
  <si>
    <t>300:22026</t>
  </si>
  <si>
    <t>204:1247</t>
  </si>
  <si>
    <t>204:1203</t>
  </si>
  <si>
    <t>300:24212</t>
  </si>
  <si>
    <t>300:23417</t>
  </si>
  <si>
    <t>204:973</t>
  </si>
  <si>
    <t>204:363</t>
  </si>
  <si>
    <t>300:24229</t>
  </si>
  <si>
    <t>204:1290</t>
  </si>
  <si>
    <t>300:23346</t>
  </si>
  <si>
    <t>204:810</t>
  </si>
  <si>
    <t>204:1107</t>
  </si>
  <si>
    <t>300:58071</t>
  </si>
  <si>
    <t>300:58589</t>
  </si>
  <si>
    <t>204:775</t>
  </si>
  <si>
    <t>204:983</t>
  </si>
  <si>
    <t>300:58685</t>
  </si>
  <si>
    <t>204:1062</t>
  </si>
  <si>
    <t>300:58082</t>
  </si>
  <si>
    <t>300:58611</t>
  </si>
  <si>
    <t>204:986</t>
  </si>
  <si>
    <t>300:57339</t>
  </si>
  <si>
    <t>204:703</t>
  </si>
  <si>
    <t>300:58670</t>
  </si>
  <si>
    <t>300:57796</t>
  </si>
  <si>
    <t>204:1081</t>
  </si>
  <si>
    <t>300:58924</t>
  </si>
  <si>
    <t>204:771</t>
  </si>
  <si>
    <t>300:58992</t>
  </si>
  <si>
    <t>300:58995</t>
  </si>
  <si>
    <t>204:754</t>
  </si>
  <si>
    <t>204:1053</t>
  </si>
  <si>
    <t>204:699</t>
  </si>
  <si>
    <t>300:58662</t>
  </si>
  <si>
    <t>204:993</t>
  </si>
  <si>
    <t>300:58668</t>
  </si>
  <si>
    <t>204:995</t>
  </si>
  <si>
    <t>300:58929</t>
  </si>
  <si>
    <t>204:1037</t>
  </si>
  <si>
    <t>300:58926</t>
  </si>
  <si>
    <t>300:58613</t>
  </si>
  <si>
    <t>204:817</t>
  </si>
  <si>
    <t>204:1118</t>
  </si>
  <si>
    <t>204:741</t>
  </si>
  <si>
    <t>204:957</t>
  </si>
  <si>
    <t>300:58307</t>
  </si>
  <si>
    <t>204:666</t>
  </si>
  <si>
    <t>204:1020</t>
  </si>
  <si>
    <t>300:58922</t>
  </si>
  <si>
    <t>204:757</t>
  </si>
  <si>
    <t>204:951</t>
  </si>
  <si>
    <t>300:57610</t>
  </si>
  <si>
    <t>300:4913</t>
  </si>
  <si>
    <t>300:58935</t>
  </si>
  <si>
    <t>300:58624</t>
  </si>
  <si>
    <t>204:762</t>
  </si>
  <si>
    <t>204:899</t>
  </si>
  <si>
    <t>300:58950</t>
  </si>
  <si>
    <t>204:803</t>
  </si>
  <si>
    <t>204:1041</t>
  </si>
  <si>
    <t>204:750</t>
  </si>
  <si>
    <t>300:57631</t>
  </si>
  <si>
    <t>300:58606</t>
  </si>
  <si>
    <t>204:1034</t>
  </si>
  <si>
    <t>300:58931</t>
  </si>
  <si>
    <t>204:1035</t>
  </si>
  <si>
    <t>204:902</t>
  </si>
  <si>
    <t>204:1079</t>
  </si>
  <si>
    <t>300:24908</t>
  </si>
  <si>
    <t>300:23383</t>
  </si>
  <si>
    <t>204:652</t>
  </si>
  <si>
    <t>300:28789</t>
  </si>
  <si>
    <t>300:58609</t>
  </si>
  <si>
    <t>300:21680</t>
  </si>
  <si>
    <t>Drizzle</t>
  </si>
  <si>
    <t>Summary for DUS 2016-09-22: Foggy until afternoon.</t>
  </si>
  <si>
    <t>Ulster XWIU offline from 09/22/2016 08:52:43 - 08:56:41</t>
  </si>
  <si>
    <t>Ulster XWIU offline from 09/22/2016 08:52:43 - 08:56:41. Any network outages or other issues during this time?</t>
  </si>
  <si>
    <t>25 PSS 1051's were sent to RTDC 4046 during trip 143-22, seems like a data issue probably?</t>
  </si>
  <si>
    <t>Enforcements for END OF AUTHORITY… seems like the reverser handle was in neutral, causing this issue. Reverser handle needs to be in Forward</t>
  </si>
  <si>
    <t>DUS 28S was STOP, known issue?</t>
  </si>
  <si>
    <t>844-22</t>
  </si>
  <si>
    <t>845-22</t>
  </si>
  <si>
    <t>DIA 4S STOP, cleared afterward</t>
  </si>
  <si>
    <t>Reverser handle was neutral - caused enforcement</t>
  </si>
  <si>
    <t>Annulled</t>
  </si>
  <si>
    <t>Dispatcher error - accidental CCROC deletion</t>
  </si>
  <si>
    <t>Sand Creek 4S: train was approaching signal at 09:08:40, no clear control sent until 09:18:52</t>
  </si>
  <si>
    <t>40th 4S: train was approaching signal at 09:09:14, no clear control sent until 09:18:50</t>
  </si>
  <si>
    <t>Pena 4S: train was approaching signal at 09:15:57, no clear control sent until 09:23:24</t>
  </si>
  <si>
    <t>No clear controls sent from TMDS to Bright 4N. PSS attempted, but track limit CRCs prevented run from starting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</si>
</sst>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7"/>
  <sheetViews>
    <sheetView tabSelected="1" topLeftCell="A28" workbookViewId="0">
      <selection activeCell="R45" sqref="R4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42635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142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COUNTIFS($N$13:$N$9390,"&gt;0",$AG$13:$AG$9390,I1)</f>
        <v>140</v>
      </c>
      <c r="K5" s="46"/>
      <c r="L5" s="46"/>
      <c r="M5" s="47">
        <f>AVERAGEIFS($N$13:$N$9390,$AG$13:$AG$9390,I1)</f>
        <v>38.777619047847111</v>
      </c>
      <c r="N5" s="45">
        <f t="array" ref="N5">MIN(IF($AG$13:$AG$9390=I1,IF(ISNUMBER($N$13:$N$9390),IF($N$13:$N$9390&gt;0,$N$13:$N$9390))))</f>
        <v>34.516666667768732</v>
      </c>
      <c r="O5" s="3">
        <f t="array" ref="O5">MAX(IF($AG$13:$AG$9390=I1,IF(ISNUMBER($N$13:$N$9390),IF($N$13:$N$9390&gt;0,$N$13:$N$9390))))</f>
        <v>61.283333336468786</v>
      </c>
      <c r="P5" s="2"/>
      <c r="R5" s="87" t="s">
        <v>17</v>
      </c>
      <c r="S5" s="57">
        <f>COUNTIFS($N$13:$N$9390,"&gt;0",$AG$13:$AG$9390,R1)</f>
        <v>42</v>
      </c>
      <c r="T5" s="46"/>
      <c r="U5" s="160"/>
      <c r="V5" s="47">
        <f>AVERAGEIFS($N$13:$N$9390,$AG$13:$AG$9390,R1)</f>
        <v>14.563178294473653</v>
      </c>
      <c r="W5" s="45">
        <f t="array" ref="W5">MIN(IF($AG$13:$AG$9390=R1,IF(ISNUMBER($N$13:$N$9390),IF($N$13:$N$9390&gt;0,$N$13:$N$9390))))</f>
        <v>10.466666661668569</v>
      </c>
      <c r="X5" s="165">
        <f t="array" ref="X5">MAX(IF($AG$13:$AG$9390=R1,IF(ISNUMBER($N$13:$N$9390),IF($N$13:$N$9390&gt;0,$N$13:$N$9390))))</f>
        <v>20.883333332603797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8" t="s">
        <v>43</v>
      </c>
      <c r="S6" s="57">
        <f>COUNT($O$13:$O$167)</f>
        <v>0</v>
      </c>
      <c r="T6" s="46"/>
      <c r="U6" s="160"/>
      <c r="V6" s="47">
        <f>IFERROR(AVERAGE($O$13:$O$167),0)</f>
        <v>0</v>
      </c>
      <c r="W6" s="45">
        <f>MIN($O$13:$O$167)</f>
        <v>0</v>
      </c>
      <c r="X6" s="165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COUNTIFS($P$13:$P$9390,"&gt;0",$AG$13:$AG$9390,I1)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COUNTIFS($P$13:$P$9390,"&gt;0",$AG$13:$AG$9390,R1)</f>
        <v>4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140</v>
      </c>
      <c r="K8" s="46"/>
      <c r="L8" s="46"/>
      <c r="M8" s="47">
        <f>M5</f>
        <v>38.777619047847111</v>
      </c>
      <c r="N8" s="45">
        <f>N5</f>
        <v>34.516666667768732</v>
      </c>
      <c r="O8" s="3">
        <f>O5</f>
        <v>61.283333336468786</v>
      </c>
      <c r="P8" s="2"/>
      <c r="R8" s="87" t="s">
        <v>16</v>
      </c>
      <c r="S8" s="57">
        <f>S5</f>
        <v>42</v>
      </c>
      <c r="T8" s="46"/>
      <c r="U8" s="160"/>
      <c r="V8" s="47">
        <f>V5</f>
        <v>14.563178294473653</v>
      </c>
      <c r="W8" s="45">
        <f>W5</f>
        <v>10.466666661668569</v>
      </c>
      <c r="X8" s="165">
        <f>X5</f>
        <v>20.883333332603797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0.9859154929577465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0.91304347826086951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- 2016-09-22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AVERAGE(S13:S109)</f>
        <v>0.98697916666666663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388</v>
      </c>
      <c r="B13" s="7">
        <v>4003</v>
      </c>
      <c r="C13" s="24" t="s">
        <v>106</v>
      </c>
      <c r="D13" s="24" t="s">
        <v>606</v>
      </c>
      <c r="E13" s="15">
        <v>42635.131481481483</v>
      </c>
      <c r="F13" s="15">
        <v>42635.136030092595</v>
      </c>
      <c r="G13" s="7">
        <v>1</v>
      </c>
      <c r="H13" s="15" t="s">
        <v>265</v>
      </c>
      <c r="I13" s="15">
        <v>42635.161678240744</v>
      </c>
      <c r="J13" s="7">
        <v>0</v>
      </c>
      <c r="K13" s="121" t="str">
        <f t="shared" ref="K13:K76" si="0">IF(ISEVEN(B13),(B13-1)&amp;"/"&amp;B13,B13&amp;"/"&amp;(B13+1))</f>
        <v>4003/4004</v>
      </c>
      <c r="L13" s="24" t="str">
        <f>VLOOKUP(A13,'Trips&amp;Operators'!$C$1:$E$10000,3,FALSE)</f>
        <v>MAELZER</v>
      </c>
      <c r="M13" s="6">
        <f t="shared" ref="M13:M44" si="1">I13-F13</f>
        <v>2.5648148148320615E-2</v>
      </c>
      <c r="N13" s="7">
        <f t="shared" ref="N13:N43" si="2">24*60*SUM($M13:$M13)</f>
        <v>36.933333333581686</v>
      </c>
      <c r="O13" s="7"/>
      <c r="P13" s="7"/>
      <c r="Q13" s="25"/>
      <c r="R13" s="25"/>
      <c r="S13" s="37">
        <f t="shared" ref="S13:S5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https://search-rtdc-monitor-bjffxe2xuh6vdkpspy63sjmuny.us-east-1.es.amazonaws.com/_plugin/kibana/#/discover/Steve-Slow-Train-Analysis-(2080s-and-2083s)?_g=(refreshInterval:(display:Off,section:0,value:0),time:(from:'2016-09-22 02:09:20-0600',mode:absolute,to:'2016-09-22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 t="shared" ref="W13:W44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44" si="8">RIGHT(D13,LEN(D13)-4)/10000</f>
        <v>7.2599999999999998E-2</v>
      </c>
      <c r="Z13" s="69">
        <f t="shared" ref="Z13:Z44" si="9">RIGHT(H13,LEN(H13)-4)/10000</f>
        <v>23.331399999999999</v>
      </c>
      <c r="AA13" s="69">
        <f t="shared" ref="AA13:AA76" si="10">ABS(Z13-Y13)</f>
        <v>23.258799999999997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1">IF(LEN(A13)=6,"0"&amp;A13,A13)</f>
        <v>0101-22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/stypes="app*4003*20160922*"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4003 --swversion DE.1.0.7.0 --startMP 204:726 --initTime 2016-09-22T03:09:20 --startdatetime 2016-09-22T03:15:53 --delay 1 --endMP 204:233314 --enddatetime 2016-09-22T03:52:49 --enforcementcount 0 &gt;&gt;C:\Users\stu\Documents\GitHub\eaglep3-reporting\EC\2016-09-22-refined-times.txt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ID","value":"101-22"},{"id":16,"name":"Locomotive ID","value":"4003"},{"id":130,"name":"Impact","value":""},{"id":150,"name":"Time of Event (Mountain Time)","value":"03:52:49"},{"id":151,"name":"Denver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390</v>
      </c>
      <c r="B14" s="7">
        <v>4032</v>
      </c>
      <c r="C14" s="24" t="s">
        <v>106</v>
      </c>
      <c r="D14" s="24" t="s">
        <v>607</v>
      </c>
      <c r="E14" s="15">
        <v>42635.170057870368</v>
      </c>
      <c r="F14" s="15">
        <v>42635.174560185187</v>
      </c>
      <c r="G14" s="7">
        <v>1</v>
      </c>
      <c r="H14" s="15" t="s">
        <v>213</v>
      </c>
      <c r="I14" s="15">
        <v>42635.20385416667</v>
      </c>
      <c r="J14" s="7">
        <v>0</v>
      </c>
      <c r="K14" s="121" t="str">
        <f t="shared" si="0"/>
        <v>4031/4032</v>
      </c>
      <c r="L14" s="24" t="str">
        <f>VLOOKUP(A14,'Trips&amp;Operators'!$C$1:$E$10000,3,FALSE)</f>
        <v>MAELZER</v>
      </c>
      <c r="M14" s="6">
        <f t="shared" si="1"/>
        <v>2.9293981482624076E-2</v>
      </c>
      <c r="N14" s="7">
        <f t="shared" si="2"/>
        <v>42.18333333497867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03:04:53-0600',mode:absolute,to:'2016-09-22 05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23.266999999999999</v>
      </c>
      <c r="Z14" s="69">
        <f t="shared" si="9"/>
        <v>1.49E-2</v>
      </c>
      <c r="AA14" s="69">
        <f t="shared" si="10"/>
        <v>23.252099999999999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0102-22</v>
      </c>
      <c r="AE14" s="99" t="str">
        <f t="shared" si="12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14" s="96" t="str">
        <f t="shared" si="13"/>
        <v>"C:\Program Files (x86)\AstroGrep\AstroGrep.exe" /spath="%USERPROFILE%\AppData\Local\Temp\OnboardLogs" /stypes="app*4032*20160922*"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4032 --swversion DE.1.0.7.0 --startMP 204:232670 --initTime 2016-09-22T04:04:53 --startdatetime 2016-09-22T04:11:22 --delay 1 --endMP 204:149 --enddatetime 2016-09-22T04:53:33 --enforcementcount 0 &gt;&gt;C:\Users\stu\Documents\GitHub\eaglep3-reporting\EC\2016-09-22-refined-times.txt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ID","value":"102-22"},{"id":16,"name":"Locomotive ID","value":"4032"},{"id":130,"name":"Impact","value":""},{"id":150,"name":"Time of Event (Mountain Time)","value":"04:53:33"},{"id":151,"name":"Denver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389</v>
      </c>
      <c r="B15" s="7">
        <v>4046</v>
      </c>
      <c r="C15" s="24" t="s">
        <v>106</v>
      </c>
      <c r="D15" s="24" t="s">
        <v>608</v>
      </c>
      <c r="E15" s="15">
        <v>42635.150451388887</v>
      </c>
      <c r="F15" s="15">
        <v>42635.159733796296</v>
      </c>
      <c r="G15" s="7">
        <v>1</v>
      </c>
      <c r="H15" s="15" t="s">
        <v>265</v>
      </c>
      <c r="I15" s="15">
        <v>42635.189328703702</v>
      </c>
      <c r="J15" s="7">
        <v>0</v>
      </c>
      <c r="K15" s="121" t="str">
        <f t="shared" si="0"/>
        <v>4045/4046</v>
      </c>
      <c r="L15" s="24" t="str">
        <f>VLOOKUP(A15,'Trips&amp;Operators'!$C$1:$E$10000,3,FALSE)</f>
        <v>SPECTOR</v>
      </c>
      <c r="M15" s="6">
        <f t="shared" si="1"/>
        <v>2.9594907406135462E-2</v>
      </c>
      <c r="N15" s="7">
        <f t="shared" si="2"/>
        <v>42.616666664835066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02:36:39-0600',mode:absolute,to:'2016-09-22 05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7.8299999999999995E-2</v>
      </c>
      <c r="Z15" s="69">
        <f t="shared" si="9"/>
        <v>23.331399999999999</v>
      </c>
      <c r="AA15" s="69">
        <f t="shared" si="10"/>
        <v>23.2531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0103-22</v>
      </c>
      <c r="AE15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15" s="96" t="str">
        <f t="shared" si="13"/>
        <v>"C:\Program Files (x86)\AstroGrep\AstroGrep.exe" /spath="%USERPROFILE%\AppData\Local\Temp\OnboardLogs" /stypes="app*4046*20160922*"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103-22 --locoid 4046 --swversion DE.1.0.7.0 --startMP 204:783 --initTime 2016-09-22T03:36:39 --startdatetime 2016-09-22T03:50:01 --delay 1 --endMP 204:233314 --enddatetime 2016-09-22T04:32:38 --enforcementcount 0 &gt;&gt;C:\Users\stu\Documents\GitHub\eaglep3-reporting\EC\2016-09-22-refined-times.txt</v>
      </c>
      <c r="AI1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ID","value":"103-22"},{"id":16,"name":"Locomotive ID","value":"4046"},{"id":130,"name":"Impact","value":""},{"id":150,"name":"Time of Event (Mountain Time)","value":"04:32:38"},{"id":151,"name":"Denver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397</v>
      </c>
      <c r="B16" s="7">
        <v>4054</v>
      </c>
      <c r="C16" s="24" t="s">
        <v>106</v>
      </c>
      <c r="D16" s="24" t="s">
        <v>609</v>
      </c>
      <c r="E16" s="15">
        <v>42635.195162037038</v>
      </c>
      <c r="F16" s="15">
        <v>42635.196712962963</v>
      </c>
      <c r="G16" s="7">
        <v>1</v>
      </c>
      <c r="H16" s="15" t="s">
        <v>258</v>
      </c>
      <c r="I16" s="15">
        <v>42635.223576388889</v>
      </c>
      <c r="J16" s="7">
        <v>0</v>
      </c>
      <c r="K16" s="121" t="str">
        <f t="shared" si="0"/>
        <v>4053/4054</v>
      </c>
      <c r="L16" s="24" t="str">
        <f>VLOOKUP(A16,'Trips&amp;Operators'!$C$1:$E$10000,3,FALSE)</f>
        <v>SPECTOR</v>
      </c>
      <c r="M16" s="6">
        <f t="shared" si="1"/>
        <v>2.6863425926421769E-2</v>
      </c>
      <c r="N16" s="7">
        <f t="shared" si="2"/>
        <v>38.683333334047347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03:41:02-0600',mode:absolute,to:'2016-09-22 06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23.267700000000001</v>
      </c>
      <c r="Z16" s="69">
        <f t="shared" si="9"/>
        <v>1.5599999999999999E-2</v>
      </c>
      <c r="AA16" s="69">
        <f t="shared" si="10"/>
        <v>23.252100000000002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0104-22</v>
      </c>
      <c r="AE16" s="99" t="str">
        <f t="shared" si="12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6" s="96" t="str">
        <f t="shared" si="13"/>
        <v>"C:\Program Files (x86)\AstroGrep\AstroGrep.exe" /spath="%USERPROFILE%\AppData\Local\Temp\OnboardLogs" /stypes="app*4054*20160922*"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104-22 --locoid 4054 --swversion DE.1.0.7.0 --startMP 204:232677 --initTime 2016-09-22T04:41:02 --startdatetime 2016-09-22T04:43:16 --delay 1 --endMP 204:156 --enddatetime 2016-09-22T05:21:57 --enforcementcount 0 &gt;&gt;C:\Users\stu\Documents\GitHub\eaglep3-reporting\EC\2016-09-22-refined-times.txt</v>
      </c>
      <c r="AI16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ID","value":"104-22"},{"id":16,"name":"Locomotive ID","value":"4054"},{"id":130,"name":"Impact","value":""},{"id":150,"name":"Time of Event (Mountain Time)","value":"05:21:57"},{"id":151,"name":"Denver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392</v>
      </c>
      <c r="B17" s="7">
        <v>4029</v>
      </c>
      <c r="C17" s="24" t="s">
        <v>106</v>
      </c>
      <c r="D17" s="24" t="s">
        <v>610</v>
      </c>
      <c r="E17" s="15">
        <v>42635.176377314812</v>
      </c>
      <c r="F17" s="15">
        <v>42635.177395833336</v>
      </c>
      <c r="G17" s="7">
        <v>1</v>
      </c>
      <c r="H17" s="15" t="s">
        <v>322</v>
      </c>
      <c r="I17" s="15">
        <v>42635.2034375</v>
      </c>
      <c r="J17" s="7">
        <v>0</v>
      </c>
      <c r="K17" s="121" t="str">
        <f t="shared" si="0"/>
        <v>4029/4030</v>
      </c>
      <c r="L17" s="24" t="str">
        <f>VLOOKUP(A17,'Trips&amp;Operators'!$C$1:$E$10000,3,FALSE)</f>
        <v>MALAVE</v>
      </c>
      <c r="M17" s="6">
        <f t="shared" si="1"/>
        <v>2.6041666664241347E-2</v>
      </c>
      <c r="N17" s="7">
        <f t="shared" si="2"/>
        <v>37.49999999650754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03:13:59-0600',mode:absolute,to:'2016-09-22 05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7.6100000000000001E-2</v>
      </c>
      <c r="Z17" s="69">
        <f t="shared" si="9"/>
        <v>23.33</v>
      </c>
      <c r="AA17" s="69">
        <f t="shared" si="10"/>
        <v>23.253899999999998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0105-22</v>
      </c>
      <c r="AE17" s="99" t="str">
        <f t="shared" si="12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17" s="96" t="str">
        <f t="shared" si="13"/>
        <v>"C:\Program Files (x86)\AstroGrep\AstroGrep.exe" /spath="%USERPROFILE%\AppData\Local\Temp\OnboardLogs" /stypes="app*4029*20160922*"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105-22 --locoid 4029 --swversion DE.1.0.7.0 --startMP 204:761 --initTime 2016-09-22T04:13:59 --startdatetime 2016-09-22T04:15:27 --delay 1 --endMP 204:233300 --enddatetime 2016-09-22T04:52:57 --enforcementcount 0 &gt;&gt;C:\Users\stu\Documents\GitHub\eaglep3-reporting\EC\2016-09-22-refined-times.txt</v>
      </c>
      <c r="AI1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{"issue":{"subject":"","project_id":79,"tracker_id":40,"status_id":1,"priority_id":2,"assigned_to_id":23,"start_date":"2016-09-22","description":"","custom_fields":[{"id":1,"name":"Subdivision","value":"EC"},{"id":4,"name":"Milepost","value":"23.33"},{"id":17,"name":"Train ID","value":"105-22"},{"id":16,"name":"Locomotive ID","value":"4029"},{"id":130,"name":"Impact","value":""},{"id":150,"name":"Time of Event (Mountain Time)","value":"04:52:57"},{"id":151,"name":"Denver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402</v>
      </c>
      <c r="B18" s="7">
        <v>4013</v>
      </c>
      <c r="C18" s="24" t="s">
        <v>106</v>
      </c>
      <c r="D18" s="24" t="s">
        <v>611</v>
      </c>
      <c r="E18" s="15">
        <v>42635.215474537035</v>
      </c>
      <c r="F18" s="15">
        <v>42635.216770833336</v>
      </c>
      <c r="G18" s="7">
        <v>1</v>
      </c>
      <c r="H18" s="15" t="s">
        <v>222</v>
      </c>
      <c r="I18" s="15">
        <v>42635.245370370372</v>
      </c>
      <c r="J18" s="7">
        <v>0</v>
      </c>
      <c r="K18" s="121" t="str">
        <f t="shared" si="0"/>
        <v>4013/4014</v>
      </c>
      <c r="L18" s="24" t="str">
        <f>VLOOKUP(A18,'Trips&amp;Operators'!$C$1:$E$10000,3,FALSE)</f>
        <v>MALAVE</v>
      </c>
      <c r="M18" s="6">
        <f t="shared" si="1"/>
        <v>2.8599537035916001E-2</v>
      </c>
      <c r="N18" s="7">
        <f t="shared" si="2"/>
        <v>41.183333331719041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04:10:17-0600',mode:absolute,to:'2016-09-22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23.265799999999999</v>
      </c>
      <c r="Z18" s="69">
        <f t="shared" si="9"/>
        <v>1.52E-2</v>
      </c>
      <c r="AA18" s="69">
        <f t="shared" si="10"/>
        <v>23.250599999999999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0106-22</v>
      </c>
      <c r="AE18" s="99" t="str">
        <f t="shared" si="12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8" s="96" t="str">
        <f t="shared" si="13"/>
        <v>"C:\Program Files (x86)\AstroGrep\AstroGrep.exe" /spath="%USERPROFILE%\AppData\Local\Temp\OnboardLogs" /stypes="app*4013*20160922*"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106-22 --locoid 4013 --swversion DE.1.0.7.0 --startMP 204:232658 --initTime 2016-09-22T05:10:17 --startdatetime 2016-09-22T05:12:09 --delay 1 --endMP 204:152 --enddatetime 2016-09-22T05:53:20 --enforcementcount 0 &gt;&gt;C:\Users\stu\Documents\GitHub\eaglep3-reporting\EC\2016-09-22-refined-times.txt</v>
      </c>
      <c r="AI18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{"issue":{"subject":"","project_id":79,"tracker_id":40,"status_id":1,"priority_id":2,"assigned_to_id":23,"start_date":"2016-09-22","description":"","custom_fields":[{"id":1,"name":"Subdivision","value":"EC"},{"id":4,"name":"Milepost","value":"0.0152"},{"id":17,"name":"Train ID","value":"106-22"},{"id":16,"name":"Locomotive ID","value":"4013"},{"id":130,"name":"Impact","value":""},{"id":150,"name":"Time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394</v>
      </c>
      <c r="B19" s="7">
        <v>4044</v>
      </c>
      <c r="C19" s="24" t="s">
        <v>106</v>
      </c>
      <c r="D19" s="24" t="s">
        <v>226</v>
      </c>
      <c r="E19" s="15">
        <v>42635.179965277777</v>
      </c>
      <c r="F19" s="15">
        <v>42635.187951388885</v>
      </c>
      <c r="G19" s="7">
        <v>2</v>
      </c>
      <c r="H19" s="15" t="s">
        <v>612</v>
      </c>
      <c r="I19" s="15">
        <v>42635.21434027778</v>
      </c>
      <c r="J19" s="7">
        <v>0</v>
      </c>
      <c r="K19" s="121" t="str">
        <f t="shared" si="0"/>
        <v>4043/4044</v>
      </c>
      <c r="L19" s="24" t="str">
        <f>VLOOKUP(A19,'Trips&amp;Operators'!$C$1:$E$10000,3,FALSE)</f>
        <v>STRICKLAND</v>
      </c>
      <c r="M19" s="6">
        <f t="shared" si="1"/>
        <v>2.6388888894871343E-2</v>
      </c>
      <c r="N19" s="7">
        <f t="shared" si="2"/>
        <v>38.000000008614734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03:19:09-0600',mode:absolute,to:'2016-09-22 06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4.5100000000000001E-2</v>
      </c>
      <c r="Z19" s="69">
        <f t="shared" si="9"/>
        <v>23.328199999999999</v>
      </c>
      <c r="AA19" s="69">
        <f t="shared" si="10"/>
        <v>23.283099999999997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0107-22</v>
      </c>
      <c r="AE19" s="99" t="str">
        <f t="shared" si="12"/>
        <v>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 &amp; 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</v>
      </c>
      <c r="AF19" s="96" t="str">
        <f t="shared" si="13"/>
        <v>"C:\Program Files (x86)\AstroGrep\AstroGrep.exe" /spath="%USERPROFILE%\AppData\Local\Temp\OnboardLogs" /stypes="app*4044*20160922*"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107-22 --locoid 4044 --swversion DE.1.0.7.0 --startMP 204:451 --initTime 2016-09-22T04:19:09 --startdatetime 2016-09-22T04:30:39 --delay 2 --endMP 204:233282 --enddatetime 2016-09-22T05:08:39 --enforcementcount 0 &gt;&gt;C:\Users\stu\Documents\GitHub\eaglep3-reporting\EC\2016-09-22-refined-times.txt</v>
      </c>
      <c r="AI1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{"issue":{"subject":"","project_id":79,"tracker_id":40,"status_id":1,"priority_id":2,"assigned_to_id":23,"start_date":"2016-09-22","description":"","custom_fields":[{"id":1,"name":"Subdivision","value":"EC"},{"id":4,"name":"Milepost","value":"23.3282"},{"id":17,"name":"Train ID","value":"107-22"},{"id":16,"name":"Locomotive ID","value":"4044"},{"id":130,"name":"Impact","value":""},{"id":150,"name":"Time of Event (Mountain Time)","value":"05:08:39"},{"id":151,"name":"Denver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403</v>
      </c>
      <c r="B20" s="7">
        <v>4043</v>
      </c>
      <c r="C20" s="24" t="s">
        <v>106</v>
      </c>
      <c r="D20" s="24" t="s">
        <v>368</v>
      </c>
      <c r="E20" s="15">
        <v>42635.222407407404</v>
      </c>
      <c r="F20" s="15">
        <v>42635.227997685186</v>
      </c>
      <c r="G20" s="7">
        <v>2</v>
      </c>
      <c r="H20" s="15" t="s">
        <v>248</v>
      </c>
      <c r="I20" s="15">
        <v>42635.255555555559</v>
      </c>
      <c r="J20" s="7">
        <v>0</v>
      </c>
      <c r="K20" s="121" t="str">
        <f t="shared" si="0"/>
        <v>4043/4044</v>
      </c>
      <c r="L20" s="24" t="str">
        <f>VLOOKUP(A20,'Trips&amp;Operators'!$C$1:$E$10000,3,FALSE)</f>
        <v>STRICKLAND</v>
      </c>
      <c r="M20" s="6">
        <f t="shared" si="1"/>
        <v>2.7557870373129845E-2</v>
      </c>
      <c r="N20" s="7">
        <f t="shared" si="2"/>
        <v>39.683333337306976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04:20:16-0600',mode:absolute,to:'2016-09-22 07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23.299199999999999</v>
      </c>
      <c r="Z20" s="69">
        <f t="shared" si="9"/>
        <v>1.61E-2</v>
      </c>
      <c r="AA20" s="69">
        <f t="shared" si="10"/>
        <v>23.283099999999997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0108-22</v>
      </c>
      <c r="AE20" s="99" t="str">
        <f t="shared" si="12"/>
        <v>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 &amp; 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</v>
      </c>
      <c r="AF20" s="96" t="str">
        <f t="shared" si="13"/>
        <v>"C:\Program Files (x86)\AstroGrep\AstroGrep.exe" /spath="%USERPROFILE%\AppData\Local\Temp\OnboardLogs" /stypes="app*4043*20160922*"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108-22 --locoid 4043 --swversion DE.1.0.7.0 --startMP 204:232992 --initTime 2016-09-22T05:20:16 --startdatetime 2016-09-22T05:28:19 --delay 2 --endMP 204:161 --enddatetime 2016-09-22T06:08:00 --enforcementcount 0 &gt;&gt;C:\Users\stu\Documents\GitHub\eaglep3-reporting\EC\2016-09-22-refined-times.txt</v>
      </c>
      <c r="AI20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{"issue":{"subject":"","project_id":79,"tracker_id":40,"status_id":1,"priority_id":2,"assigned_to_id":23,"start_date":"2016-09-22","description":"","custom_fields":[{"id":1,"name":"Subdivision","value":"EC"},{"id":4,"name":"Milepost","value":"0.0161"},{"id":17,"name":"Train ID","value":"108-22"},{"id":16,"name":"Locomotive ID","value":"4043"},{"id":130,"name":"Impact","value":""},{"id":150,"name":"Time of Event (Mountain Time)","value":"06:08:00"},{"id":151,"name":"Denver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395</v>
      </c>
      <c r="B21" s="7">
        <v>4002</v>
      </c>
      <c r="C21" s="24" t="s">
        <v>106</v>
      </c>
      <c r="D21" s="24" t="s">
        <v>272</v>
      </c>
      <c r="E21" s="15">
        <v>42635.196979166663</v>
      </c>
      <c r="F21" s="15">
        <v>42635.198148148149</v>
      </c>
      <c r="G21" s="7">
        <v>0</v>
      </c>
      <c r="H21" s="15" t="s">
        <v>369</v>
      </c>
      <c r="I21" s="15">
        <v>42635.224456018521</v>
      </c>
      <c r="J21" s="7">
        <v>0</v>
      </c>
      <c r="K21" s="121" t="str">
        <f t="shared" si="0"/>
        <v>4001/4002</v>
      </c>
      <c r="L21" s="24" t="str">
        <f>VLOOKUP(A21,'Trips&amp;Operators'!$C$1:$E$10000,3,FALSE)</f>
        <v>ROCHA</v>
      </c>
      <c r="M21" s="6">
        <f t="shared" si="1"/>
        <v>2.6307870371965691E-2</v>
      </c>
      <c r="N21" s="7">
        <f t="shared" si="2"/>
        <v>37.883333335630596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03:43:39-0600',mode:absolute,to:'2016-09-22 06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4.7300000000000002E-2</v>
      </c>
      <c r="Z21" s="69">
        <f t="shared" si="9"/>
        <v>23.329799999999999</v>
      </c>
      <c r="AA21" s="69">
        <f t="shared" si="10"/>
        <v>23.282499999999999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0109-22</v>
      </c>
      <c r="AE21" s="99" t="str">
        <f t="shared" si="12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21" s="96" t="str">
        <f t="shared" si="13"/>
        <v>"C:\Program Files (x86)\AstroGrep\AstroGrep.exe" /spath="%USERPROFILE%\AppData\Local\Temp\OnboardLogs" /stypes="app*4002*20160922*"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109-22 --locoid 4002 --swversion DE.1.0.7.0 --startMP 204:473 --initTime 2016-09-22T04:43:39 --startdatetime 2016-09-22T04:45:20 --delay 0 --endMP 204:233298 --enddatetime 2016-09-22T05:23:13 --enforcementcount 0 &gt;&gt;C:\Users\stu\Documents\GitHub\eaglep3-reporting\EC\2016-09-22-refined-times.txt</v>
      </c>
      <c r="AI2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{"issue":{"subject":"","project_id":79,"tracker_id":40,"status_id":1,"priority_id":2,"assigned_to_id":23,"start_date":"2016-09-22","description":"","custom_fields":[{"id":1,"name":"Subdivision","value":"EC"},{"id":4,"name":"Milepost","value":"23.3298"},{"id":17,"name":"Train ID","value":"109-22"},{"id":16,"name":"Locomotive ID","value":"4002"},{"id":130,"name":"Impact","value":""},{"id":150,"name":"Time of Event (Mountain Time)","value":"05:23:13"},{"id":151,"name":"Denver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409</v>
      </c>
      <c r="B22" s="7">
        <v>4001</v>
      </c>
      <c r="C22" s="24" t="s">
        <v>106</v>
      </c>
      <c r="D22" s="24" t="s">
        <v>315</v>
      </c>
      <c r="E22" s="15">
        <v>42635.233449074076</v>
      </c>
      <c r="F22" s="15">
        <v>42635.237233796295</v>
      </c>
      <c r="G22" s="7">
        <v>1</v>
      </c>
      <c r="H22" s="15" t="s">
        <v>214</v>
      </c>
      <c r="I22" s="15">
        <v>42635.265648148146</v>
      </c>
      <c r="J22" s="7">
        <v>0</v>
      </c>
      <c r="K22" s="121" t="str">
        <f t="shared" si="0"/>
        <v>4001/4002</v>
      </c>
      <c r="L22" s="24" t="str">
        <f>VLOOKUP(A22,'Trips&amp;Operators'!$C$1:$E$10000,3,FALSE)</f>
        <v>ROCHA</v>
      </c>
      <c r="M22" s="6">
        <f t="shared" si="1"/>
        <v>2.8414351851097308E-2</v>
      </c>
      <c r="N22" s="7">
        <f t="shared" si="2"/>
        <v>40.916666665580124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04:36:10-0600',mode:absolute,to:'2016-09-22 07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23.299099999999999</v>
      </c>
      <c r="Z22" s="69">
        <f t="shared" si="9"/>
        <v>1.6E-2</v>
      </c>
      <c r="AA22" s="69">
        <f t="shared" si="10"/>
        <v>23.283100000000001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0110-22</v>
      </c>
      <c r="AE22" s="99" t="str">
        <f t="shared" si="12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22" s="96" t="str">
        <f t="shared" si="13"/>
        <v>"C:\Program Files (x86)\AstroGrep\AstroGrep.exe" /spath="%USERPROFILE%\AppData\Local\Temp\OnboardLogs" /stypes="app*4001*20160922*"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110-22 --locoid 4001 --swversion DE.1.0.7.0 --startMP 204:232991 --initTime 2016-09-22T05:36:10 --startdatetime 2016-09-22T05:41:37 --delay 1 --endMP 204:160 --enddatetime 2016-09-22T06:22:32 --enforcementcount 0 &gt;&gt;C:\Users\stu\Documents\GitHub\eaglep3-reporting\EC\2016-09-22-refined-times.txt</v>
      </c>
      <c r="AI2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{"issue":{"subject":"","project_id":79,"tracker_id":40,"status_id":1,"priority_id":2,"assigned_to_id":23,"start_date":"2016-09-22","description":"","custom_fields":[{"id":1,"name":"Subdivision","value":"EC"},{"id":4,"name":"Milepost","value":"0.016"},{"id":17,"name":"Train ID","value":"110-22"},{"id":16,"name":"Locomotive ID","value":"4001"},{"id":130,"name":"Impact","value":""},{"id":150,"name":"Time of Event (Mountain Time)","value":"06:22:32"},{"id":151,"name":"Denver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398</v>
      </c>
      <c r="B23" s="7">
        <v>4003</v>
      </c>
      <c r="C23" s="24" t="s">
        <v>106</v>
      </c>
      <c r="D23" s="24" t="s">
        <v>610</v>
      </c>
      <c r="E23" s="15">
        <v>42635.206400462965</v>
      </c>
      <c r="F23" s="15">
        <v>42635.208506944444</v>
      </c>
      <c r="G23" s="7">
        <v>1</v>
      </c>
      <c r="H23" s="15" t="s">
        <v>312</v>
      </c>
      <c r="I23" s="15">
        <v>42635.235474537039</v>
      </c>
      <c r="J23" s="7">
        <v>0</v>
      </c>
      <c r="K23" s="121" t="str">
        <f t="shared" si="0"/>
        <v>4003/4004</v>
      </c>
      <c r="L23" s="24" t="str">
        <f>VLOOKUP(A23,'Trips&amp;Operators'!$C$1:$E$10000,3,FALSE)</f>
        <v>STARKS</v>
      </c>
      <c r="M23" s="6">
        <f t="shared" si="1"/>
        <v>2.6967592595610768E-2</v>
      </c>
      <c r="N23" s="7">
        <f t="shared" si="2"/>
        <v>38.833333337679505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03:57:13-0600',mode:absolute,to:'2016-09-22 06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7.6100000000000001E-2</v>
      </c>
      <c r="Z23" s="69">
        <f t="shared" si="9"/>
        <v>23.328800000000001</v>
      </c>
      <c r="AA23" s="69">
        <f t="shared" si="10"/>
        <v>23.252700000000001</v>
      </c>
      <c r="AB23" s="66" t="str">
        <f>VLOOKUP(A23,Enforcements!$C$7:$K$20,8,0)</f>
        <v>Speed (6)</v>
      </c>
      <c r="AC23" s="62" t="str">
        <f>VLOOKUP(A23,Enforcements!$C$7:$E$20,3,0)</f>
        <v>PERMANENT SPEED RESTRICTION</v>
      </c>
      <c r="AD23" s="63" t="str">
        <f t="shared" si="11"/>
        <v>0111-22</v>
      </c>
      <c r="AE23" s="99" t="str">
        <f t="shared" si="12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23" s="96" t="str">
        <f t="shared" si="13"/>
        <v>"C:\Program Files (x86)\AstroGrep\AstroGrep.exe" /spath="%USERPROFILE%\AppData\Local\Temp\OnboardLogs" /stypes="app*4003*20160922*"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111-22 --locoid 4003 --swversion DE.1.0.7.0 --startMP 204:761 --initTime 2016-09-22T04:57:13 --startdatetime 2016-09-22T05:00:15 --delay 1 --endMP 204:233288 --enddatetime 2016-09-22T05:39:05 --enforcementcount 0 &gt;&gt;C:\Users\stu\Documents\GitHub\eaglep3-reporting\EC\2016-09-22-refined-times.txt</v>
      </c>
      <c r="AI2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{"issue":{"subject":"","project_id":79,"tracker_id":40,"status_id":1,"priority_id":2,"assigned_to_id":23,"start_date":"2016-09-22","description":"","custom_fields":[{"id":1,"name":"Subdivision","value":"EC"},{"id":4,"name":"Milepost","value":"23.3288"},{"id":17,"name":"Train ID","value":"111-22"},{"id":16,"name":"Locomotive ID","value":"4003"},{"id":130,"name":"Impact","value":""},{"id":150,"name":"Time of Event (Mountain Time)","value":"05:39:05"},{"id":151,"name":"Denver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410</v>
      </c>
      <c r="B24" s="7">
        <v>4004</v>
      </c>
      <c r="C24" s="24" t="s">
        <v>106</v>
      </c>
      <c r="D24" s="24" t="s">
        <v>244</v>
      </c>
      <c r="E24" s="15">
        <v>42635.245081018518</v>
      </c>
      <c r="F24" s="15">
        <v>42635.247395833336</v>
      </c>
      <c r="G24" s="7">
        <v>1</v>
      </c>
      <c r="H24" s="15" t="s">
        <v>613</v>
      </c>
      <c r="I24" s="15">
        <v>42635.275682870371</v>
      </c>
      <c r="J24" s="7">
        <v>0</v>
      </c>
      <c r="K24" s="121" t="str">
        <f t="shared" si="0"/>
        <v>4003/4004</v>
      </c>
      <c r="L24" s="24" t="str">
        <f>VLOOKUP(A24,'Trips&amp;Operators'!$C$1:$E$10000,3,FALSE)</f>
        <v>STARKS</v>
      </c>
      <c r="M24" s="6">
        <f t="shared" si="1"/>
        <v>2.8287037035624962E-2</v>
      </c>
      <c r="N24" s="7">
        <f t="shared" si="2"/>
        <v>40.733333331299946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04:52:55-0600',mode:absolute,to:'2016-09-22 07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23.2971</v>
      </c>
      <c r="Z24" s="69">
        <f t="shared" si="9"/>
        <v>1.2999999999999999E-2</v>
      </c>
      <c r="AA24" s="69">
        <f t="shared" si="10"/>
        <v>23.284099999999999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0112-22</v>
      </c>
      <c r="AE24" s="99" t="str">
        <f t="shared" si="12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24" s="96" t="str">
        <f t="shared" si="13"/>
        <v>"C:\Program Files (x86)\AstroGrep\AstroGrep.exe" /spath="%USERPROFILE%\AppData\Local\Temp\OnboardLogs" /stypes="app*4004*20160922*"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112-22 --locoid 4004 --swversion DE.1.0.7.0 --startMP 204:232971 --initTime 2016-09-22T05:52:55 --startdatetime 2016-09-22T05:56:15 --delay 1 --endMP 204:130 --enddatetime 2016-09-22T06:36:59 --enforcementcount 0 &gt;&gt;C:\Users\stu\Documents\GitHub\eaglep3-reporting\EC\2016-09-22-refined-times.txt</v>
      </c>
      <c r="AI24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{"issue":{"subject":"","project_id":79,"tracker_id":40,"status_id":1,"priority_id":2,"assigned_to_id":23,"start_date":"2016-09-22","description":"","custom_fields":[{"id":1,"name":"Subdivision","value":"EC"},{"id":4,"name":"Milepost","value":"0.013"},{"id":17,"name":"Train ID","value":"112-22"},{"id":16,"name":"Locomotive ID","value":"4004"},{"id":130,"name":"Impact","value":""},{"id":150,"name":"Time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401</v>
      </c>
      <c r="B25" s="7">
        <v>4031</v>
      </c>
      <c r="C25" s="24" t="s">
        <v>106</v>
      </c>
      <c r="D25" s="24" t="s">
        <v>367</v>
      </c>
      <c r="E25" s="15">
        <v>42635.213391203702</v>
      </c>
      <c r="F25" s="15">
        <v>42635.219131944446</v>
      </c>
      <c r="G25" s="7">
        <v>1</v>
      </c>
      <c r="H25" s="15" t="s">
        <v>285</v>
      </c>
      <c r="I25" s="15">
        <v>42635.245532407411</v>
      </c>
      <c r="J25" s="7">
        <v>0</v>
      </c>
      <c r="K25" s="121" t="str">
        <f t="shared" si="0"/>
        <v>4031/4032</v>
      </c>
      <c r="L25" s="24" t="str">
        <f>VLOOKUP(A25,'Trips&amp;Operators'!$C$1:$E$10000,3,FALSE)</f>
        <v>MAELZER</v>
      </c>
      <c r="M25" s="6">
        <f t="shared" si="1"/>
        <v>2.6400462964375038E-2</v>
      </c>
      <c r="N25" s="7">
        <f t="shared" si="2"/>
        <v>38.016666668700054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04:07:17-0600',mode:absolute,to:'2016-09-22 06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4.3299999999999998E-2</v>
      </c>
      <c r="Z25" s="69">
        <f t="shared" si="9"/>
        <v>23.3308</v>
      </c>
      <c r="AA25" s="69">
        <f t="shared" si="10"/>
        <v>23.287500000000001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0113-22</v>
      </c>
      <c r="AE25" s="99" t="str">
        <f t="shared" si="12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25" s="96" t="str">
        <f t="shared" si="13"/>
        <v>"C:\Program Files (x86)\AstroGrep\AstroGrep.exe" /spath="%USERPROFILE%\AppData\Local\Temp\OnboardLogs" /stypes="app*4031*20160922*"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113-22 --locoid 4031 --swversion DE.1.0.7.0 --startMP 204:433 --initTime 2016-09-22T05:07:17 --startdatetime 2016-09-22T05:15:33 --delay 1 --endMP 204:233308 --enddatetime 2016-09-22T05:53:34 --enforcementcount 0 &gt;&gt;C:\Users\stu\Documents\GitHub\eaglep3-reporting\EC\2016-09-22-refined-times.txt</v>
      </c>
      <c r="AI2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ID","value":"113-22"},{"id":16,"name":"Locomotive ID","value":"4031"},{"id":130,"name":"Impact","value":""},{"id":150,"name":"Time of Event (Mountain Time)","value":"05:53:34"},{"id":151,"name":"Denver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412</v>
      </c>
      <c r="B26" s="7">
        <v>4032</v>
      </c>
      <c r="C26" s="24" t="s">
        <v>106</v>
      </c>
      <c r="D26" s="24" t="s">
        <v>311</v>
      </c>
      <c r="E26" s="15">
        <v>42635.251215277778</v>
      </c>
      <c r="F26" s="15">
        <v>42635.257997685185</v>
      </c>
      <c r="G26" s="7">
        <v>1</v>
      </c>
      <c r="H26" s="15" t="s">
        <v>614</v>
      </c>
      <c r="I26" s="15">
        <v>42635.286759259259</v>
      </c>
      <c r="J26" s="7">
        <v>0</v>
      </c>
      <c r="K26" s="121" t="str">
        <f t="shared" si="0"/>
        <v>4031/4032</v>
      </c>
      <c r="L26" s="24" t="str">
        <f>VLOOKUP(A26,'Trips&amp;Operators'!$C$1:$E$10000,3,FALSE)</f>
        <v>MAELZER</v>
      </c>
      <c r="M26" s="6">
        <f t="shared" si="1"/>
        <v>2.8761574074451346E-2</v>
      </c>
      <c r="N26" s="7">
        <f t="shared" si="2"/>
        <v>41.416666667209938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05:01:45-0600',mode:absolute,to:'2016-09-22 07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23.299800000000001</v>
      </c>
      <c r="Z26" s="69">
        <f t="shared" si="9"/>
        <v>1.43E-2</v>
      </c>
      <c r="AA26" s="69">
        <f t="shared" si="10"/>
        <v>23.285500000000003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0114-22</v>
      </c>
      <c r="AE26" s="99" t="str">
        <f t="shared" si="12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26" s="96" t="str">
        <f t="shared" si="13"/>
        <v>"C:\Program Files (x86)\AstroGrep\AstroGrep.exe" /spath="%USERPROFILE%\AppData\Local\Temp\OnboardLogs" /stypes="app*4032*20160922*"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114-22 --locoid 4032 --swversion DE.1.0.7.0 --startMP 204:232998 --initTime 2016-09-22T06:01:45 --startdatetime 2016-09-22T06:11:31 --delay 1 --endMP 204:143 --enddatetime 2016-09-22T06:52:56 --enforcementcount 0 &gt;&gt;C:\Users\stu\Documents\GitHub\eaglep3-reporting\EC\2016-09-22-refined-times.txt</v>
      </c>
      <c r="AI26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ID","value":"114-22"},{"id":16,"name":"Locomotive ID","value":"4032"},{"id":130,"name":"Impact","value":""},{"id":150,"name":"Time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405</v>
      </c>
      <c r="B27" s="7">
        <v>4046</v>
      </c>
      <c r="C27" s="24" t="s">
        <v>106</v>
      </c>
      <c r="D27" s="24" t="s">
        <v>615</v>
      </c>
      <c r="E27" s="15">
        <v>42635.227662037039</v>
      </c>
      <c r="F27" s="15">
        <v>42635.230127314811</v>
      </c>
      <c r="G27" s="7">
        <v>3</v>
      </c>
      <c r="H27" s="15" t="s">
        <v>616</v>
      </c>
      <c r="I27" s="15">
        <v>42635.255601851852</v>
      </c>
      <c r="J27" s="7">
        <v>0</v>
      </c>
      <c r="K27" s="121" t="str">
        <f t="shared" si="0"/>
        <v>4045/4046</v>
      </c>
      <c r="L27" s="24" t="str">
        <f>VLOOKUP(A27,'Trips&amp;Operators'!$C$1:$E$10000,3,FALSE)</f>
        <v>BEAM</v>
      </c>
      <c r="M27" s="6">
        <f t="shared" si="1"/>
        <v>2.5474537040281575E-2</v>
      </c>
      <c r="N27" s="7">
        <f t="shared" si="2"/>
        <v>36.683333338005468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04:27:50-0600',mode:absolute,to:'2016-09-22 07:08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7.85E-2</v>
      </c>
      <c r="Z27" s="69">
        <f t="shared" si="9"/>
        <v>23.332999999999998</v>
      </c>
      <c r="AA27" s="69">
        <f t="shared" si="10"/>
        <v>23.2545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0115-22</v>
      </c>
      <c r="AE27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27" s="96" t="str">
        <f t="shared" si="13"/>
        <v>"C:\Program Files (x86)\AstroGrep\AstroGrep.exe" /spath="%USERPROFILE%\AppData\Local\Temp\OnboardLogs" /stypes="app*4046*20160922*"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115-22 --locoid 4046 --swversion DE.1.0.7.0 --startMP 204:785 --initTime 2016-09-22T05:27:50 --startdatetime 2016-09-22T05:31:23 --delay 3 --endMP 204:233330 --enddatetime 2016-09-22T06:08:04 --enforcementcount 0 &gt;&gt;C:\Users\stu\Documents\GitHub\eaglep3-reporting\EC\2016-09-22-refined-times.txt</v>
      </c>
      <c r="AI2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{"issue":{"subject":"","project_id":79,"tracker_id":40,"status_id":1,"priority_id":2,"assigned_to_id":23,"start_date":"2016-09-22","description":"","custom_fields":[{"id":1,"name":"Subdivision","value":"EC"},{"id":4,"name":"Milepost","value":"23.333"},{"id":17,"name":"Train ID","value":"115-22"},{"id":16,"name":"Locomotive ID","value":"4046"},{"id":130,"name":"Impact","value":""},{"id":150,"name":"Time of Event (Mountain Time)","value":"06:08:04"},{"id":151,"name":"Denver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416</v>
      </c>
      <c r="B28" s="7">
        <v>4045</v>
      </c>
      <c r="C28" s="24" t="s">
        <v>106</v>
      </c>
      <c r="D28" s="24" t="s">
        <v>617</v>
      </c>
      <c r="E28" s="15">
        <v>42635.26462962963</v>
      </c>
      <c r="F28" s="15">
        <v>42635.268333333333</v>
      </c>
      <c r="G28" s="7">
        <v>0</v>
      </c>
      <c r="H28" s="15" t="s">
        <v>270</v>
      </c>
      <c r="I28" s="15">
        <v>42635.295972222222</v>
      </c>
      <c r="J28" s="7">
        <v>0</v>
      </c>
      <c r="K28" s="121" t="str">
        <f t="shared" si="0"/>
        <v>4045/4046</v>
      </c>
      <c r="L28" s="24" t="str">
        <f>VLOOKUP(A28,'Trips&amp;Operators'!$C$1:$E$10000,3,FALSE)</f>
        <v>BEAM</v>
      </c>
      <c r="M28" s="6">
        <f t="shared" si="1"/>
        <v>2.7638888888759539E-2</v>
      </c>
      <c r="N28" s="7">
        <f t="shared" si="2"/>
        <v>39.799999999813735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05:21:04-0600',mode:absolute,to:'2016-09-22 08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23.297699999999999</v>
      </c>
      <c r="Z28" s="69">
        <f t="shared" si="9"/>
        <v>1.4500000000000001E-2</v>
      </c>
      <c r="AA28" s="69">
        <f t="shared" si="10"/>
        <v>23.283199999999997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0116-22</v>
      </c>
      <c r="AE28" s="99" t="str">
        <f t="shared" si="12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28" s="96" t="str">
        <f t="shared" si="13"/>
        <v>"C:\Program Files (x86)\AstroGrep\AstroGrep.exe" /spath="%USERPROFILE%\AppData\Local\Temp\OnboardLogs" /stypes="app*4045*20160922*"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116-22 --locoid 4045 --swversion DE.1.0.7.0 --startMP 204:232977 --initTime 2016-09-22T06:21:04 --startdatetime 2016-09-22T06:26:24 --delay 0 --endMP 204:145 --enddatetime 2016-09-22T07:06:12 --enforcementcount 0 &gt;&gt;C:\Users\stu\Documents\GitHub\eaglep3-reporting\EC\2016-09-22-refined-times.txt</v>
      </c>
      <c r="AI28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ID","value":"116-22"},{"id":16,"name":"Locomotive ID","value":"4045"},{"id":130,"name":"Impact","value":""},{"id":150,"name":"Time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408</v>
      </c>
      <c r="B29" s="7">
        <v>4053</v>
      </c>
      <c r="C29" s="24" t="s">
        <v>106</v>
      </c>
      <c r="D29" s="24" t="s">
        <v>231</v>
      </c>
      <c r="E29" s="15">
        <v>42635.231851851851</v>
      </c>
      <c r="F29" s="15">
        <v>42635.239930555559</v>
      </c>
      <c r="G29" s="7">
        <v>2</v>
      </c>
      <c r="H29" s="15" t="s">
        <v>285</v>
      </c>
      <c r="I29" s="15">
        <v>42635.267326388886</v>
      </c>
      <c r="J29" s="7">
        <v>0</v>
      </c>
      <c r="K29" s="121" t="str">
        <f t="shared" si="0"/>
        <v>4053/4054</v>
      </c>
      <c r="L29" s="24" t="str">
        <f>VLOOKUP(A29,'Trips&amp;Operators'!$C$1:$E$10000,3,FALSE)</f>
        <v>SPECTOR</v>
      </c>
      <c r="M29" s="6">
        <f t="shared" si="1"/>
        <v>2.7395833327318542E-2</v>
      </c>
      <c r="N29" s="7">
        <f t="shared" si="2"/>
        <v>39.4499999913387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04:33:52-0600',mode:absolute,to:'2016-09-22 07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4.5999999999999999E-2</v>
      </c>
      <c r="Z29" s="69">
        <f t="shared" si="9"/>
        <v>23.3308</v>
      </c>
      <c r="AA29" s="69">
        <f t="shared" si="10"/>
        <v>23.284800000000001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0117-22</v>
      </c>
      <c r="AE29" s="99" t="str">
        <f t="shared" si="12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29" s="96" t="str">
        <f t="shared" si="13"/>
        <v>"C:\Program Files (x86)\AstroGrep\AstroGrep.exe" /spath="%USERPROFILE%\AppData\Local\Temp\OnboardLogs" /stypes="app*4053*20160922*"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117-22 --locoid 4053 --swversion DE.1.0.7.0 --startMP 204:460 --initTime 2016-09-22T05:33:52 --startdatetime 2016-09-22T05:45:30 --delay 2 --endMP 204:233308 --enddatetime 2016-09-22T06:24:57 --enforcementcount 0 &gt;&gt;C:\Users\stu\Documents\GitHub\eaglep3-reporting\EC\2016-09-22-refined-times.txt</v>
      </c>
      <c r="AI2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ID","value":"117-22"},{"id":16,"name":"Locomotive ID","value":"4053"},{"id":130,"name":"Impact","value":""},{"id":150,"name":"Time of Event (Mountain Time)","value":"06:24:57"},{"id":151,"name":"Denver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419</v>
      </c>
      <c r="B30" s="7">
        <v>4054</v>
      </c>
      <c r="C30" s="24" t="s">
        <v>106</v>
      </c>
      <c r="D30" s="24" t="s">
        <v>273</v>
      </c>
      <c r="E30" s="15">
        <v>42635.275046296294</v>
      </c>
      <c r="F30" s="15">
        <v>42635.278692129628</v>
      </c>
      <c r="G30" s="7">
        <v>1</v>
      </c>
      <c r="H30" s="15" t="s">
        <v>220</v>
      </c>
      <c r="I30" s="15">
        <v>42635.306655092594</v>
      </c>
      <c r="J30" s="7">
        <v>0</v>
      </c>
      <c r="K30" s="121" t="str">
        <f t="shared" si="0"/>
        <v>4053/4054</v>
      </c>
      <c r="L30" s="24" t="str">
        <f>VLOOKUP(A30,'Trips&amp;Operators'!$C$1:$E$10000,3,FALSE)</f>
        <v>SPECTOR</v>
      </c>
      <c r="M30" s="6">
        <f t="shared" si="1"/>
        <v>2.7962962965830229E-2</v>
      </c>
      <c r="N30" s="7">
        <f t="shared" si="2"/>
        <v>40.26666667079553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05:36:04-0600',mode:absolute,to:'2016-09-22 08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23.3</v>
      </c>
      <c r="Z30" s="69">
        <f t="shared" si="9"/>
        <v>1.4999999999999999E-2</v>
      </c>
      <c r="AA30" s="69">
        <f t="shared" si="10"/>
        <v>23.285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0118-22</v>
      </c>
      <c r="AE30" s="99" t="str">
        <f t="shared" si="12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30" s="96" t="str">
        <f t="shared" si="13"/>
        <v>"C:\Program Files (x86)\AstroGrep\AstroGrep.exe" /spath="%USERPROFILE%\AppData\Local\Temp\OnboardLogs" /stypes="app*4054*20160922*"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118-22 --locoid 4054 --swversion DE.1.0.7.0 --startMP 204:233000 --initTime 2016-09-22T06:36:04 --startdatetime 2016-09-22T06:41:19 --delay 1 --endMP 204:150 --enddatetime 2016-09-22T07:21:35 --enforcementcount 0 &gt;&gt;C:\Users\stu\Documents\GitHub\eaglep3-reporting\EC\2016-09-22-refined-times.txt</v>
      </c>
      <c r="AI30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{"issue":{"subject":"","project_id":79,"tracker_id":40,"status_id":1,"priority_id":2,"assigned_to_id":23,"start_date":"2016-09-22","description":"","custom_fields":[{"id":1,"name":"Subdivision","value":"EC"},{"id":4,"name":"Milepost","value":"0.015"},{"id":17,"name":"Train ID","value":"118-22"},{"id":16,"name":"Locomotive ID","value":"4054"},{"id":130,"name":"Impact","value":""},{"id":150,"name":"Time of Event (Mountain Time)","value":"07:21:35"},{"id":151,"name":"Denver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411</v>
      </c>
      <c r="B31" s="7">
        <v>4029</v>
      </c>
      <c r="C31" s="24" t="s">
        <v>106</v>
      </c>
      <c r="D31" s="24" t="s">
        <v>618</v>
      </c>
      <c r="E31" s="15">
        <v>42635.249525462961</v>
      </c>
      <c r="F31" s="15">
        <v>42635.250636574077</v>
      </c>
      <c r="G31" s="7">
        <v>1</v>
      </c>
      <c r="H31" s="15" t="s">
        <v>321</v>
      </c>
      <c r="I31" s="15">
        <v>42635.275347222225</v>
      </c>
      <c r="J31" s="7">
        <v>0</v>
      </c>
      <c r="K31" s="121" t="str">
        <f t="shared" si="0"/>
        <v>4029/4030</v>
      </c>
      <c r="L31" s="24" t="str">
        <f>VLOOKUP(A31,'Trips&amp;Operators'!$C$1:$E$10000,3,FALSE)</f>
        <v>MALAVE</v>
      </c>
      <c r="M31" s="6">
        <f t="shared" si="1"/>
        <v>2.47106481474475E-2</v>
      </c>
      <c r="N31" s="7">
        <f t="shared" si="2"/>
        <v>35.583333332324401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04:59:19-0600',mode:absolute,to:'2016-09-22 07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7.6600000000000001E-2</v>
      </c>
      <c r="Z31" s="69">
        <f t="shared" si="9"/>
        <v>23.328900000000001</v>
      </c>
      <c r="AA31" s="69">
        <f t="shared" si="10"/>
        <v>23.252300000000002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0119-22</v>
      </c>
      <c r="AE31" s="99" t="str">
        <f t="shared" si="12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31" s="96" t="str">
        <f t="shared" si="13"/>
        <v>"C:\Program Files (x86)\AstroGrep\AstroGrep.exe" /spath="%USERPROFILE%\AppData\Local\Temp\OnboardLogs" /stypes="app*4029*20160922*"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119-22 --locoid 4029 --swversion DE.1.0.7.0 --startMP 204:766 --initTime 2016-09-22T05:59:19 --startdatetime 2016-09-22T06:00:55 --delay 1 --endMP 204:233289 --enddatetime 2016-09-22T06:36:30 --enforcementcount 0 &gt;&gt;C:\Users\stu\Documents\GitHub\eaglep3-reporting\EC\2016-09-22-refined-times.txt</v>
      </c>
      <c r="AI3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{"issue":{"subject":"","project_id":79,"tracker_id":40,"status_id":1,"priority_id":2,"assigned_to_id":23,"start_date":"2016-09-22","description":"","custom_fields":[{"id":1,"name":"Subdivision","value":"EC"},{"id":4,"name":"Milepost","value":"23.3289"},{"id":17,"name":"Train ID","value":"119-22"},{"id":16,"name":"Locomotive ID","value":"4029"},{"id":130,"name":"Impact","value":""},{"id":150,"name":"Time of Event (Mountain Time)","value":"06:36:30"},{"id":151,"name":"Denver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423</v>
      </c>
      <c r="B32" s="7">
        <v>4030</v>
      </c>
      <c r="C32" s="24" t="s">
        <v>106</v>
      </c>
      <c r="D32" s="24" t="s">
        <v>353</v>
      </c>
      <c r="E32" s="15">
        <v>42635.287928240738</v>
      </c>
      <c r="F32" s="15">
        <v>42635.2891087963</v>
      </c>
      <c r="G32" s="7">
        <v>1</v>
      </c>
      <c r="H32" s="15" t="s">
        <v>258</v>
      </c>
      <c r="I32" s="15">
        <v>42635.317384259259</v>
      </c>
      <c r="J32" s="7">
        <v>0</v>
      </c>
      <c r="K32" s="121" t="str">
        <f t="shared" si="0"/>
        <v>4029/4030</v>
      </c>
      <c r="L32" s="24" t="str">
        <f>VLOOKUP(A32,'Trips&amp;Operators'!$C$1:$E$10000,3,FALSE)</f>
        <v>MALAVE</v>
      </c>
      <c r="M32" s="6">
        <f t="shared" si="1"/>
        <v>2.827546295884531E-2</v>
      </c>
      <c r="N32" s="7">
        <f t="shared" si="2"/>
        <v>40.716666660737246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05:54:37-0600',mode:absolute,to:'2016-09-22 08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23.296900000000001</v>
      </c>
      <c r="Z32" s="69">
        <f t="shared" si="9"/>
        <v>1.5599999999999999E-2</v>
      </c>
      <c r="AA32" s="69">
        <f t="shared" si="10"/>
        <v>23.281300000000002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0120-22</v>
      </c>
      <c r="AE32" s="99" t="str">
        <f t="shared" si="12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32" s="96" t="str">
        <f t="shared" si="13"/>
        <v>"C:\Program Files (x86)\AstroGrep\AstroGrep.exe" /spath="%USERPROFILE%\AppData\Local\Temp\OnboardLogs" /stypes="app*4030*20160922*"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120-22 --locoid 4030 --swversion DE.1.0.7.0 --startMP 204:232969 --initTime 2016-09-22T06:54:37 --startdatetime 2016-09-22T06:56:19 --delay 1 --endMP 204:156 --enddatetime 2016-09-22T07:37:02 --enforcementcount 0 &gt;&gt;C:\Users\stu\Documents\GitHub\eaglep3-reporting\EC\2016-09-22-refined-times.txt</v>
      </c>
      <c r="AI3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ID","value":"120-22"},{"id":16,"name":"Locomotive ID","value":"4030"},{"id":130,"name":"Impact","value":""},{"id":150,"name":"Time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414</v>
      </c>
      <c r="B33" s="7">
        <v>4044</v>
      </c>
      <c r="C33" s="24" t="s">
        <v>106</v>
      </c>
      <c r="D33" s="24" t="s">
        <v>225</v>
      </c>
      <c r="E33" s="15">
        <v>42635.257025462961</v>
      </c>
      <c r="F33" s="15">
        <v>42635.26085648148</v>
      </c>
      <c r="G33" s="7">
        <v>5</v>
      </c>
      <c r="H33" s="15" t="s">
        <v>322</v>
      </c>
      <c r="I33" s="15">
        <v>42635.28802083333</v>
      </c>
      <c r="J33" s="7">
        <v>0</v>
      </c>
      <c r="K33" s="121" t="str">
        <f t="shared" si="0"/>
        <v>4043/4044</v>
      </c>
      <c r="L33" s="24" t="str">
        <f>VLOOKUP(A33,'Trips&amp;Operators'!$C$1:$E$10000,3,FALSE)</f>
        <v>STRICKLAND</v>
      </c>
      <c r="M33" s="6">
        <f t="shared" si="1"/>
        <v>2.7164351849933155E-2</v>
      </c>
      <c r="N33" s="7">
        <f t="shared" si="2"/>
        <v>39.116666663903743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05:10:07-0600',mode:absolute,to:'2016-09-22 07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4.6600000000000003E-2</v>
      </c>
      <c r="Z33" s="69">
        <f t="shared" si="9"/>
        <v>23.33</v>
      </c>
      <c r="AA33" s="69">
        <f t="shared" si="10"/>
        <v>23.283399999999997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0121-22</v>
      </c>
      <c r="AE33" s="99" t="str">
        <f t="shared" si="12"/>
        <v>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 &amp; 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</v>
      </c>
      <c r="AF33" s="96" t="str">
        <f t="shared" si="13"/>
        <v>"C:\Program Files (x86)\AstroGrep\AstroGrep.exe" /spath="%USERPROFILE%\AppData\Local\Temp\OnboardLogs" /stypes="app*4044*20160922*"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121-22 --locoid 4044 --swversion DE.1.0.7.0 --startMP 204:466 --initTime 2016-09-22T06:10:07 --startdatetime 2016-09-22T06:15:38 --delay 5 --endMP 204:233300 --enddatetime 2016-09-22T06:54:45 --enforcementcount 0 &gt;&gt;C:\Users\stu\Documents\GitHub\eaglep3-reporting\EC\2016-09-22-refined-times.txt</v>
      </c>
      <c r="AI3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{"issue":{"subject":"","project_id":79,"tracker_id":40,"status_id":1,"priority_id":2,"assigned_to_id":23,"start_date":"2016-09-22","description":"","custom_fields":[{"id":1,"name":"Subdivision","value":"EC"},{"id":4,"name":"Milepost","value":"23.33"},{"id":17,"name":"Train ID","value":"121-22"},{"id":16,"name":"Locomotive ID","value":"4044"},{"id":130,"name":"Impact","value":""},{"id":150,"name":"Time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425</v>
      </c>
      <c r="B34" s="7">
        <v>4043</v>
      </c>
      <c r="C34" s="24" t="s">
        <v>106</v>
      </c>
      <c r="D34" s="24" t="s">
        <v>310</v>
      </c>
      <c r="E34" s="15">
        <v>42635.295740740738</v>
      </c>
      <c r="F34" s="15">
        <v>42635.29954861111</v>
      </c>
      <c r="G34" s="7">
        <v>1</v>
      </c>
      <c r="H34" s="15" t="s">
        <v>213</v>
      </c>
      <c r="I34" s="15">
        <v>42635.328287037039</v>
      </c>
      <c r="J34" s="7">
        <v>0</v>
      </c>
      <c r="K34" s="121" t="str">
        <f t="shared" si="0"/>
        <v>4043/4044</v>
      </c>
      <c r="L34" s="24" t="str">
        <f>VLOOKUP(A34,'Trips&amp;Operators'!$C$1:$E$10000,3,FALSE)</f>
        <v>STRICKLAND</v>
      </c>
      <c r="M34" s="6">
        <f t="shared" si="1"/>
        <v>2.8738425928167999E-2</v>
      </c>
      <c r="N34" s="7">
        <f t="shared" si="2"/>
        <v>41.383333336561918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06:05:52-0600',mode:absolute,to:'2016-09-22 08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23.298300000000001</v>
      </c>
      <c r="Z34" s="69">
        <f t="shared" si="9"/>
        <v>1.49E-2</v>
      </c>
      <c r="AA34" s="69">
        <f t="shared" si="10"/>
        <v>23.2834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0122-22</v>
      </c>
      <c r="AE34" s="99" t="str">
        <f t="shared" si="12"/>
        <v>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 &amp; 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</v>
      </c>
      <c r="AF34" s="96" t="str">
        <f t="shared" si="13"/>
        <v>"C:\Program Files (x86)\AstroGrep\AstroGrep.exe" /spath="%USERPROFILE%\AppData\Local\Temp\OnboardLogs" /stypes="app*4043*20160922*"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122-22 --locoid 4043 --swversion DE.1.0.7.0 --startMP 204:232983 --initTime 2016-09-22T07:05:52 --startdatetime 2016-09-22T07:11:21 --delay 1 --endMP 204:149 --enddatetime 2016-09-22T07:52:44 --enforcementcount 0 &gt;&gt;C:\Users\stu\Documents\GitHub\eaglep3-reporting\EC\2016-09-22-refined-times.txt</v>
      </c>
      <c r="AI34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ID","value":"122-22"},{"id":16,"name":"Locomotive ID","value":"4043"},{"id":130,"name":"Impact","value":""},{"id":150,"name":"Time of Event (Mountain Time)","value":"07:52:44"},{"id":151,"name":"Denver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417</v>
      </c>
      <c r="B35" s="7">
        <v>4002</v>
      </c>
      <c r="C35" s="24" t="s">
        <v>106</v>
      </c>
      <c r="D35" s="24" t="s">
        <v>219</v>
      </c>
      <c r="E35" s="15">
        <v>42635.270057870373</v>
      </c>
      <c r="F35" s="15">
        <v>42635.271608796298</v>
      </c>
      <c r="G35" s="7">
        <v>1</v>
      </c>
      <c r="H35" s="15" t="s">
        <v>619</v>
      </c>
      <c r="I35" s="15">
        <v>42635.296678240738</v>
      </c>
      <c r="J35" s="7">
        <v>0</v>
      </c>
      <c r="K35" s="121" t="str">
        <f t="shared" si="0"/>
        <v>4001/4002</v>
      </c>
      <c r="L35" s="24" t="str">
        <f>VLOOKUP(A35,'Trips&amp;Operators'!$C$1:$E$10000,3,FALSE)</f>
        <v>ROCHA</v>
      </c>
      <c r="M35" s="6">
        <f t="shared" si="1"/>
        <v>2.5069444440305233E-2</v>
      </c>
      <c r="N35" s="7">
        <f t="shared" si="2"/>
        <v>36.099999994039536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05:28:53-0600',mode:absolute,to:'2016-09-22 08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4.53E-2</v>
      </c>
      <c r="Z35" s="69">
        <f t="shared" si="9"/>
        <v>23.327000000000002</v>
      </c>
      <c r="AA35" s="69">
        <f t="shared" si="10"/>
        <v>23.281700000000001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0123-22</v>
      </c>
      <c r="AE35" s="99" t="str">
        <f t="shared" si="12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35" s="96" t="str">
        <f t="shared" si="13"/>
        <v>"C:\Program Files (x86)\AstroGrep\AstroGrep.exe" /spath="%USERPROFILE%\AppData\Local\Temp\OnboardLogs" /stypes="app*4002*20160922*"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123-22 --locoid 4002 --swversion DE.1.0.7.0 --startMP 204:453 --initTime 2016-09-22T06:28:53 --startdatetime 2016-09-22T06:31:07 --delay 1 --endMP 204:233270 --enddatetime 2016-09-22T07:07:13 --enforcementcount 0 &gt;&gt;C:\Users\stu\Documents\GitHub\eaglep3-reporting\EC\2016-09-22-refined-times.txt</v>
      </c>
      <c r="AI3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{"issue":{"subject":"","project_id":79,"tracker_id":40,"status_id":1,"priority_id":2,"assigned_to_id":23,"start_date":"2016-09-22","description":"","custom_fields":[{"id":1,"name":"Subdivision","value":"EC"},{"id":4,"name":"Milepost","value":"23.327"},{"id":17,"name":"Train ID","value":"123-22"},{"id":16,"name":"Locomotive ID","value":"4002"},{"id":130,"name":"Impact","value":""},{"id":150,"name":"Time of Event (Mountain Time)","value":"07:07:13"},{"id":151,"name":"Denver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428</v>
      </c>
      <c r="B36" s="7">
        <v>4001</v>
      </c>
      <c r="C36" s="24" t="s">
        <v>106</v>
      </c>
      <c r="D36" s="24" t="s">
        <v>288</v>
      </c>
      <c r="E36" s="15">
        <v>42635.299583333333</v>
      </c>
      <c r="F36" s="15">
        <v>42635.310034722221</v>
      </c>
      <c r="G36" s="7">
        <v>1</v>
      </c>
      <c r="H36" s="15" t="s">
        <v>270</v>
      </c>
      <c r="I36" s="15">
        <v>42635.336585648147</v>
      </c>
      <c r="J36" s="7">
        <v>0</v>
      </c>
      <c r="K36" s="121" t="str">
        <f t="shared" si="0"/>
        <v>4001/4002</v>
      </c>
      <c r="L36" s="24" t="str">
        <f>VLOOKUP(A36,'Trips&amp;Operators'!$C$1:$E$10000,3,FALSE)</f>
        <v>ROCHA</v>
      </c>
      <c r="M36" s="6">
        <f t="shared" si="1"/>
        <v>2.6550925926130731E-2</v>
      </c>
      <c r="N36" s="7">
        <f t="shared" si="2"/>
        <v>38.233333333628252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06:11:24-0600',mode:absolute,to:'2016-09-22 09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23.296299999999999</v>
      </c>
      <c r="Z36" s="69">
        <f t="shared" si="9"/>
        <v>1.4500000000000001E-2</v>
      </c>
      <c r="AA36" s="69">
        <f t="shared" si="10"/>
        <v>23.281799999999997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0124-22</v>
      </c>
      <c r="AE36" s="99" t="str">
        <f t="shared" si="12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36" s="96" t="str">
        <f t="shared" si="13"/>
        <v>"C:\Program Files (x86)\AstroGrep\AstroGrep.exe" /spath="%USERPROFILE%\AppData\Local\Temp\OnboardLogs" /stypes="app*4001*20160922*"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124-22 --locoid 4001 --swversion DE.1.0.7.0 --startMP 204:232963 --initTime 2016-09-22T07:11:24 --startdatetime 2016-09-22T07:26:27 --delay 1 --endMP 204:145 --enddatetime 2016-09-22T08:04:41 --enforcementcount 0 &gt;&gt;C:\Users\stu\Documents\GitHub\eaglep3-reporting\EC\2016-09-22-refined-times.txt</v>
      </c>
      <c r="AI36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ID","value":"124-22"},{"id":16,"name":"Locomotive ID","value":"4001"},{"id":130,"name":"Impact","value":""},{"id":150,"name":"Time of Event (Mountain Time)","value":"08:04:41"},{"id":151,"name":"Denver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421</v>
      </c>
      <c r="B37" s="7">
        <v>4003</v>
      </c>
      <c r="C37" s="24" t="s">
        <v>106</v>
      </c>
      <c r="D37" s="24" t="s">
        <v>219</v>
      </c>
      <c r="E37" s="15">
        <v>42635.277685185189</v>
      </c>
      <c r="F37" s="15">
        <v>42635.281898148147</v>
      </c>
      <c r="G37" s="7">
        <v>1</v>
      </c>
      <c r="H37" s="15" t="s">
        <v>620</v>
      </c>
      <c r="I37" s="15">
        <v>42635.30678240741</v>
      </c>
      <c r="J37" s="7">
        <v>0</v>
      </c>
      <c r="K37" s="121" t="str">
        <f t="shared" si="0"/>
        <v>4003/4004</v>
      </c>
      <c r="L37" s="24" t="str">
        <f>VLOOKUP(A37,'Trips&amp;Operators'!$C$1:$E$10000,3,FALSE)</f>
        <v>STARKS</v>
      </c>
      <c r="M37" s="6">
        <f t="shared" si="1"/>
        <v>2.4884259262762498E-2</v>
      </c>
      <c r="N37" s="7">
        <f t="shared" si="2"/>
        <v>35.833333338377997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05:39:52-0600',mode:absolute,to:'2016-09-22 08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4.53E-2</v>
      </c>
      <c r="Z37" s="69">
        <f t="shared" si="9"/>
        <v>23.338000000000001</v>
      </c>
      <c r="AA37" s="69">
        <f t="shared" si="10"/>
        <v>23.2927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0125-22</v>
      </c>
      <c r="AE37" s="99" t="str">
        <f t="shared" si="12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37" s="96" t="str">
        <f t="shared" si="13"/>
        <v>"C:\Program Files (x86)\AstroGrep\AstroGrep.exe" /spath="%USERPROFILE%\AppData\Local\Temp\OnboardLogs" /stypes="app*4003*20160922*"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125-22 --locoid 4003 --swversion DE.1.0.7.0 --startMP 204:453 --initTime 2016-09-22T06:39:52 --startdatetime 2016-09-22T06:45:56 --delay 1 --endMP 204:233380 --enddatetime 2016-09-22T07:21:46 --enforcementcount 0 &gt;&gt;C:\Users\stu\Documents\GitHub\eaglep3-reporting\EC\2016-09-22-refined-times.txt</v>
      </c>
      <c r="AI3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{"issue":{"subject":"","project_id":79,"tracker_id":40,"status_id":1,"priority_id":2,"assigned_to_id":23,"start_date":"2016-09-22","description":"","custom_fields":[{"id":1,"name":"Subdivision","value":"EC"},{"id":4,"name":"Milepost","value":"23.338"},{"id":17,"name":"Train ID","value":"125-22"},{"id":16,"name":"Locomotive ID","value":"4003"},{"id":130,"name":"Impact","value":""},{"id":150,"name":"Time of Event (Mountain Time)","value":"07:21:46"},{"id":151,"name":"Denver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430</v>
      </c>
      <c r="B38" s="7">
        <v>4004</v>
      </c>
      <c r="C38" s="24" t="s">
        <v>106</v>
      </c>
      <c r="D38" s="24" t="s">
        <v>621</v>
      </c>
      <c r="E38" s="15">
        <v>42635.308275462965</v>
      </c>
      <c r="F38" s="15">
        <v>42635.321481481478</v>
      </c>
      <c r="G38" s="7">
        <v>1</v>
      </c>
      <c r="H38" s="15" t="s">
        <v>127</v>
      </c>
      <c r="I38" s="15">
        <v>42635.34888888889</v>
      </c>
      <c r="J38" s="7">
        <v>0</v>
      </c>
      <c r="K38" s="121" t="str">
        <f t="shared" si="0"/>
        <v>4003/4004</v>
      </c>
      <c r="L38" s="24" t="str">
        <f>VLOOKUP(A38,'Trips&amp;Operators'!$C$1:$E$10000,3,FALSE)</f>
        <v>STARKS</v>
      </c>
      <c r="M38" s="6">
        <f t="shared" si="1"/>
        <v>2.7407407411374152E-2</v>
      </c>
      <c r="N38" s="7">
        <f t="shared" si="2"/>
        <v>39.466666672378778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06:23:55-0600',mode:absolute,to:'2016-09-22 09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23.307400000000001</v>
      </c>
      <c r="Z38" s="69">
        <f t="shared" si="9"/>
        <v>1.54E-2</v>
      </c>
      <c r="AA38" s="69">
        <f t="shared" si="10"/>
        <v>23.292000000000002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0126-22</v>
      </c>
      <c r="AE38" s="99" t="str">
        <f t="shared" si="12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38" s="96" t="str">
        <f t="shared" si="13"/>
        <v>"C:\Program Files (x86)\AstroGrep\AstroGrep.exe" /spath="%USERPROFILE%\AppData\Local\Temp\OnboardLogs" /stypes="app*4004*20160922*"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126-22 --locoid 4004 --swversion DE.1.0.7.0 --startMP 204:233074 --initTime 2016-09-22T07:23:55 --startdatetime 2016-09-22T07:42:56 --delay 1 --endMP 204:154 --enddatetime 2016-09-22T08:22:24 --enforcementcount 0 &gt;&gt;C:\Users\stu\Documents\GitHub\eaglep3-reporting\EC\2016-09-22-refined-times.txt</v>
      </c>
      <c r="AI38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{"issue":{"subject":"","project_id":79,"tracker_id":40,"status_id":1,"priority_id":2,"assigned_to_id":23,"start_date":"2016-09-22","description":"","custom_fields":[{"id":1,"name":"Subdivision","value":"EC"},{"id":4,"name":"Milepost","value":"0.0154"},{"id":17,"name":"Train ID","value":"126-22"},{"id":16,"name":"Locomotive ID","value":"4004"},{"id":130,"name":"Impact","value":""},{"id":150,"name":"Time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424</v>
      </c>
      <c r="B39" s="7">
        <v>4031</v>
      </c>
      <c r="C39" s="24" t="s">
        <v>106</v>
      </c>
      <c r="D39" s="24" t="s">
        <v>231</v>
      </c>
      <c r="E39" s="15">
        <v>42635.289340277777</v>
      </c>
      <c r="F39" s="15">
        <v>42635.292083333334</v>
      </c>
      <c r="G39" s="7">
        <v>1</v>
      </c>
      <c r="H39" s="15" t="s">
        <v>622</v>
      </c>
      <c r="I39" s="15">
        <v>42635.317928240744</v>
      </c>
      <c r="J39" s="7">
        <v>0</v>
      </c>
      <c r="K39" s="121" t="str">
        <f t="shared" si="0"/>
        <v>4031/4032</v>
      </c>
      <c r="L39" s="24" t="str">
        <f>VLOOKUP(A39,'Trips&amp;Operators'!$C$1:$E$10000,3,FALSE)</f>
        <v>MAELZER</v>
      </c>
      <c r="M39" s="6">
        <f t="shared" si="1"/>
        <v>2.584490740991896E-2</v>
      </c>
      <c r="N39" s="7">
        <f t="shared" si="2"/>
        <v>37.216666670283303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05:56:39-0600',mode:absolute,to:'2016-09-22 08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4.5999999999999999E-2</v>
      </c>
      <c r="Z39" s="69">
        <f t="shared" si="9"/>
        <v>23.331600000000002</v>
      </c>
      <c r="AA39" s="69">
        <f t="shared" si="10"/>
        <v>23.285600000000002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0127-22</v>
      </c>
      <c r="AE39" s="99" t="str">
        <f t="shared" si="12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39" s="96" t="str">
        <f t="shared" si="13"/>
        <v>"C:\Program Files (x86)\AstroGrep\AstroGrep.exe" /spath="%USERPROFILE%\AppData\Local\Temp\OnboardLogs" /stypes="app*4031*20160922*"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127-22 --locoid 4031 --swversion DE.1.0.7.0 --startMP 204:460 --initTime 2016-09-22T06:56:39 --startdatetime 2016-09-22T07:00:36 --delay 1 --endMP 204:233316 --enddatetime 2016-09-22T07:37:49 --enforcementcount 0 &gt;&gt;C:\Users\stu\Documents\GitHub\eaglep3-reporting\EC\2016-09-22-refined-times.txt</v>
      </c>
      <c r="AI3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{"issue":{"subject":"","project_id":79,"tracker_id":40,"status_id":1,"priority_id":2,"assigned_to_id":23,"start_date":"2016-09-22","description":"","custom_fields":[{"id":1,"name":"Subdivision","value":"EC"},{"id":4,"name":"Milepost","value":"23.3316"},{"id":17,"name":"Train ID","value":"127-22"},{"id":16,"name":"Locomotive ID","value":"4031"},{"id":130,"name":"Impact","value":""},{"id":150,"name":"Time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435</v>
      </c>
      <c r="B40" s="7">
        <v>4032</v>
      </c>
      <c r="C40" s="24" t="s">
        <v>106</v>
      </c>
      <c r="D40" s="24" t="s">
        <v>233</v>
      </c>
      <c r="E40" s="15">
        <v>42635.326388888891</v>
      </c>
      <c r="F40" s="15">
        <v>42635.330983796295</v>
      </c>
      <c r="G40" s="7">
        <v>1</v>
      </c>
      <c r="H40" s="15" t="s">
        <v>258</v>
      </c>
      <c r="I40" s="15">
        <v>42635.358842592592</v>
      </c>
      <c r="J40" s="7">
        <v>0</v>
      </c>
      <c r="K40" s="121" t="str">
        <f t="shared" si="0"/>
        <v>4031/4032</v>
      </c>
      <c r="L40" s="24" t="str">
        <f>VLOOKUP(A40,'Trips&amp;Operators'!$C$1:$E$10000,3,FALSE)</f>
        <v>MAELZER</v>
      </c>
      <c r="M40" s="6">
        <f t="shared" si="1"/>
        <v>2.7858796296641231E-2</v>
      </c>
      <c r="N40" s="7">
        <f t="shared" si="2"/>
        <v>40.116666667163372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06:50:00-0600',mode:absolute,to:'2016-09-22 09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23.297799999999999</v>
      </c>
      <c r="Z40" s="69">
        <f t="shared" si="9"/>
        <v>1.5599999999999999E-2</v>
      </c>
      <c r="AA40" s="69">
        <f t="shared" si="10"/>
        <v>23.2822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0128-22</v>
      </c>
      <c r="AE40" s="99" t="str">
        <f t="shared" si="12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40" s="96" t="str">
        <f t="shared" si="13"/>
        <v>"C:\Program Files (x86)\AstroGrep\AstroGrep.exe" /spath="%USERPROFILE%\AppData\Local\Temp\OnboardLogs" /stypes="app*4032*20160922*"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128-22 --locoid 4032 --swversion DE.1.0.7.0 --startMP 204:232978 --initTime 2016-09-22T07:50:00 --startdatetime 2016-09-22T07:56:37 --delay 1 --endMP 204:156 --enddatetime 2016-09-22T08:36:44 --enforcementcount 0 &gt;&gt;C:\Users\stu\Documents\GitHub\eaglep3-reporting\EC\2016-09-22-refined-times.txt</v>
      </c>
      <c r="AI40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ID","value":"128-22"},{"id":16,"name":"Locomotive ID","value":"4032"},{"id":130,"name":"Impact","value":""},{"id":150,"name":"Time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427</v>
      </c>
      <c r="B41" s="7">
        <v>4046</v>
      </c>
      <c r="C41" s="24" t="s">
        <v>106</v>
      </c>
      <c r="D41" s="24" t="s">
        <v>223</v>
      </c>
      <c r="E41" s="15">
        <v>42635.29828703704</v>
      </c>
      <c r="F41" s="15">
        <v>42635.302499999998</v>
      </c>
      <c r="G41" s="7">
        <v>5</v>
      </c>
      <c r="H41" s="15" t="s">
        <v>352</v>
      </c>
      <c r="I41" s="15">
        <v>42635.32775462963</v>
      </c>
      <c r="J41" s="7">
        <v>0</v>
      </c>
      <c r="K41" s="121" t="str">
        <f t="shared" si="0"/>
        <v>4045/4046</v>
      </c>
      <c r="L41" s="24" t="str">
        <f>VLOOKUP(A41,'Trips&amp;Operators'!$C$1:$E$10000,3,FALSE)</f>
        <v>SANTIZO</v>
      </c>
      <c r="M41" s="6">
        <f t="shared" si="1"/>
        <v>2.5254629632399883E-2</v>
      </c>
      <c r="N41" s="7">
        <f t="shared" si="2"/>
        <v>36.366666670655832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06:09:32-0600',mode:absolute,to:'2016-09-22 08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4.5699999999999998E-2</v>
      </c>
      <c r="Z41" s="69">
        <f t="shared" si="9"/>
        <v>23.330400000000001</v>
      </c>
      <c r="AA41" s="69">
        <f t="shared" si="10"/>
        <v>23.284700000000001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0129-22</v>
      </c>
      <c r="AE41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41" s="96" t="str">
        <f t="shared" si="13"/>
        <v>"C:\Program Files (x86)\AstroGrep\AstroGrep.exe" /spath="%USERPROFILE%\AppData\Local\Temp\OnboardLogs" /stypes="app*4046*20160922*"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129-22 --locoid 4046 --swversion DE.1.0.7.0 --startMP 204:457 --initTime 2016-09-22T07:09:32 --startdatetime 2016-09-22T07:15:36 --delay 5 --endMP 204:233304 --enddatetime 2016-09-22T07:51:58 --enforcementcount 0 &gt;&gt;C:\Users\stu\Documents\GitHub\eaglep3-reporting\EC\2016-09-22-refined-times.txt</v>
      </c>
      <c r="AI4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{"issue":{"subject":"","project_id":79,"tracker_id":40,"status_id":1,"priority_id":2,"assigned_to_id":23,"start_date":"2016-09-22","description":"","custom_fields":[{"id":1,"name":"Subdivision","value":"EC"},{"id":4,"name":"Milepost","value":"23.3304"},{"id":17,"name":"Train ID","value":"129-22"},{"id":16,"name":"Locomotive ID","value":"4046"},{"id":130,"name":"Impact","value":""},{"id":150,"name":"Time of Event (Mountain Time)","value":"07:51:58"},{"id":151,"name":"Denver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436</v>
      </c>
      <c r="B42" s="7">
        <v>4045</v>
      </c>
      <c r="C42" s="24" t="s">
        <v>106</v>
      </c>
      <c r="D42" s="24" t="s">
        <v>362</v>
      </c>
      <c r="E42" s="15">
        <v>42635.329548611109</v>
      </c>
      <c r="F42" s="15">
        <v>42635.341400462959</v>
      </c>
      <c r="G42" s="7">
        <v>1</v>
      </c>
      <c r="H42" s="15" t="s">
        <v>355</v>
      </c>
      <c r="I42" s="15">
        <v>42635.370798611111</v>
      </c>
      <c r="J42" s="7">
        <v>0</v>
      </c>
      <c r="K42" s="121" t="str">
        <f t="shared" si="0"/>
        <v>4045/4046</v>
      </c>
      <c r="L42" s="24" t="str">
        <f>VLOOKUP(A42,'Trips&amp;Operators'!$C$1:$E$10000,3,FALSE)</f>
        <v>SANTIZO</v>
      </c>
      <c r="M42" s="6">
        <f t="shared" si="1"/>
        <v>2.9398148151813075E-2</v>
      </c>
      <c r="N42" s="7">
        <f t="shared" si="2"/>
        <v>42.333333338610828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06:54:33-0600',mode:absolute,to:'2016-09-22 09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23.300999999999998</v>
      </c>
      <c r="Z42" s="69">
        <f t="shared" si="9"/>
        <v>1.67E-2</v>
      </c>
      <c r="AA42" s="69">
        <f t="shared" si="10"/>
        <v>23.284299999999998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0130-22</v>
      </c>
      <c r="AE42" s="99" t="str">
        <f t="shared" si="12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42" s="96" t="str">
        <f t="shared" si="13"/>
        <v>"C:\Program Files (x86)\AstroGrep\AstroGrep.exe" /spath="%USERPROFILE%\AppData\Local\Temp\OnboardLogs" /stypes="app*4045*20160922*"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130-22 --locoid 4045 --swversion DE.1.0.7.0 --startMP 204:233010 --initTime 2016-09-22T07:54:33 --startdatetime 2016-09-22T08:11:37 --delay 1 --endMP 204:167 --enddatetime 2016-09-22T08:53:57 --enforcementcount 0 &gt;&gt;C:\Users\stu\Documents\GitHub\eaglep3-reporting\EC\2016-09-22-refined-times.txt</v>
      </c>
      <c r="AI4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{"issue":{"subject":"","project_id":79,"tracker_id":40,"status_id":1,"priority_id":2,"assigned_to_id":23,"start_date":"2016-09-22","description":"","custom_fields":[{"id":1,"name":"Subdivision","value":"EC"},{"id":4,"name":"Milepost","value":"0.0167"},{"id":17,"name":"Train ID","value":"130-22"},{"id":16,"name":"Locomotive ID","value":"4045"},{"id":130,"name":"Impact","value":""},{"id":150,"name":"Time of Event (Mountain Time)","value":"08:53:57"},{"id":151,"name":"Denver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432</v>
      </c>
      <c r="B43" s="7">
        <v>4053</v>
      </c>
      <c r="C43" s="24" t="s">
        <v>106</v>
      </c>
      <c r="D43" s="24" t="s">
        <v>219</v>
      </c>
      <c r="E43" s="15">
        <v>42635.310949074075</v>
      </c>
      <c r="F43" s="15">
        <v>42635.313414351855</v>
      </c>
      <c r="G43" s="7">
        <v>1</v>
      </c>
      <c r="H43" s="15" t="s">
        <v>366</v>
      </c>
      <c r="I43" s="15">
        <v>42635.338368055556</v>
      </c>
      <c r="J43" s="7">
        <v>0</v>
      </c>
      <c r="K43" s="121" t="str">
        <f t="shared" si="0"/>
        <v>4053/4054</v>
      </c>
      <c r="L43" s="24" t="str">
        <f>VLOOKUP(A43,'Trips&amp;Operators'!$C$1:$E$10000,3,FALSE)</f>
        <v>SPECTOR</v>
      </c>
      <c r="M43" s="6">
        <f t="shared" si="1"/>
        <v>2.495370370161254E-2</v>
      </c>
      <c r="N43" s="7">
        <f t="shared" si="2"/>
        <v>35.933333330322057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06:27:46-0600',mode:absolute,to:'2016-09-22 09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4.53E-2</v>
      </c>
      <c r="Z43" s="69">
        <f t="shared" si="9"/>
        <v>23.330500000000001</v>
      </c>
      <c r="AA43" s="69">
        <f t="shared" si="10"/>
        <v>23.2852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0131-22</v>
      </c>
      <c r="AE43" s="99" t="str">
        <f t="shared" si="12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43" s="96" t="str">
        <f t="shared" si="13"/>
        <v>"C:\Program Files (x86)\AstroGrep\AstroGrep.exe" /spath="%USERPROFILE%\AppData\Local\Temp\OnboardLogs" /stypes="app*4053*20160922*"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131-22 --locoid 4053 --swversion DE.1.0.7.0 --startMP 204:453 --initTime 2016-09-22T07:27:46 --startdatetime 2016-09-22T07:31:19 --delay 1 --endMP 204:233305 --enddatetime 2016-09-22T08:07:15 --enforcementcount 0 &gt;&gt;C:\Users\stu\Documents\GitHub\eaglep3-reporting\EC\2016-09-22-refined-times.txt</v>
      </c>
      <c r="AI4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{"issue":{"subject":"","project_id":79,"tracker_id":40,"status_id":1,"priority_id":2,"assigned_to_id":23,"start_date":"2016-09-22","description":"","custom_fields":[{"id":1,"name":"Subdivision","value":"EC"},{"id":4,"name":"Milepost","value":"23.3305"},{"id":17,"name":"Train ID","value":"131-22"},{"id":16,"name":"Locomotive ID","value":"4053"},{"id":130,"name":"Impact","value":""},{"id":150,"name":"Time of Event (Mountain Time)","value":"08:07:15"},{"id":151,"name":"Denver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441</v>
      </c>
      <c r="B44" s="7">
        <v>4054</v>
      </c>
      <c r="C44" s="24" t="s">
        <v>106</v>
      </c>
      <c r="D44" s="24" t="s">
        <v>368</v>
      </c>
      <c r="E44" s="15">
        <v>42635.349710648145</v>
      </c>
      <c r="F44" s="15">
        <v>42635.3515625</v>
      </c>
      <c r="G44" s="7">
        <v>1</v>
      </c>
      <c r="H44" s="15" t="s">
        <v>623</v>
      </c>
      <c r="I44" s="15">
        <v>42635.374456018515</v>
      </c>
      <c r="J44" s="7">
        <v>0</v>
      </c>
      <c r="K44" s="121" t="str">
        <f t="shared" si="0"/>
        <v>4053/4054</v>
      </c>
      <c r="L44" s="24" t="str">
        <f>VLOOKUP(A44,'Trips&amp;Operators'!$C$1:$E$10000,3,FALSE)</f>
        <v>SPECTOR</v>
      </c>
      <c r="M44" s="6">
        <f t="shared" si="1"/>
        <v>2.2893518515047617E-2</v>
      </c>
      <c r="N44" s="7"/>
      <c r="O44" s="7"/>
      <c r="P44" s="7">
        <f>24*60*SUM($M44:$M44)</f>
        <v>32.966666661668569</v>
      </c>
      <c r="Q44" s="25"/>
      <c r="R44" s="25" t="s">
        <v>755</v>
      </c>
      <c r="S44" s="37">
        <f t="shared" si="3"/>
        <v>0.25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3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07:23:35-0600',mode:absolute,to:'2016-09-22 09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4" s="54" t="str">
        <f t="shared" si="6"/>
        <v>Y</v>
      </c>
      <c r="X44" s="168">
        <f t="shared" si="7"/>
        <v>1</v>
      </c>
      <c r="Y44" s="69">
        <f t="shared" si="8"/>
        <v>23.299199999999999</v>
      </c>
      <c r="Z44" s="69">
        <f t="shared" si="9"/>
        <v>7.4686000000000003</v>
      </c>
      <c r="AA44" s="69">
        <f t="shared" si="10"/>
        <v>15.830599999999999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0132-22</v>
      </c>
      <c r="AE44" s="99" t="str">
        <f t="shared" si="12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44" s="96" t="str">
        <f t="shared" si="13"/>
        <v>"C:\Program Files (x86)\AstroGrep\AstroGrep.exe" /spath="%USERPROFILE%\AppData\Local\Temp\OnboardLogs" /stypes="app*4054*20160922*"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132-22 --locoid 4054 --swversion DE.1.0.7.0 --startMP 204:232992 --initTime 2016-09-22T08:23:35 --startdatetime 2016-09-22T08:26:15 --delay 1 --endMP 204:74686 --enddatetime 2016-09-22T08:59:13 --enforcementcount 0 &gt;&gt;C:\Users\stu\Documents\GitHub\eaglep3-reporting\EC\2016-09-22-refined-times.txt</v>
      </c>
      <c r="AI44" s="134" t="str">
        <f t="shared" si="18"/>
        <v>echo {"issue":{"subject":"Ulster XWIU offline from 09/22/2016 08:52:43 - 08:56:41","project_id":79,"tracker_id":40,"status_id":1,"priority_id":2,"assigned_to_id":23,"start_date":"2016-09-22","description":"Ulster XWIU offline from 09/22/2016 08:52:43 - 08:56:41. Any network outages or other issues during this time?","custom_fields":[{"id":1,"name":"Subdivision","value":"EC"},{"id":4,"name":"Milepost","value":"7.4686"},{"id":17,"name":"Train ID","value":"132-22"},{"id":16,"name":"Locomotive ID","value":"4054"},{"id":130,"name":"Impact","value":"Unexpected Cut-Out or Disengaged"},{"id":150,"name":"Time of Event (Mountain Time)","value":"08:59:13"},{"id":151,"name":"Denver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4" s="25" t="s">
        <v>756</v>
      </c>
      <c r="AK44" s="55" t="s">
        <v>144</v>
      </c>
      <c r="AL44" s="55" t="s">
        <v>143</v>
      </c>
    </row>
    <row r="45" spans="1:38" s="1" customFormat="1" x14ac:dyDescent="0.25">
      <c r="A45" s="39" t="s">
        <v>434</v>
      </c>
      <c r="B45" s="7">
        <v>4029</v>
      </c>
      <c r="C45" s="24" t="s">
        <v>106</v>
      </c>
      <c r="D45" s="24" t="s">
        <v>219</v>
      </c>
      <c r="E45" s="15">
        <v>42635.32135416667</v>
      </c>
      <c r="F45" s="15">
        <v>42635.323125000003</v>
      </c>
      <c r="G45" s="7">
        <v>1</v>
      </c>
      <c r="H45" s="15" t="s">
        <v>269</v>
      </c>
      <c r="I45" s="15">
        <v>42635.348703703705</v>
      </c>
      <c r="J45" s="7">
        <v>0</v>
      </c>
      <c r="K45" s="121" t="str">
        <f t="shared" si="0"/>
        <v>4029/4030</v>
      </c>
      <c r="L45" s="24" t="str">
        <f>VLOOKUP(A45,'Trips&amp;Operators'!$C$1:$E$10000,3,FALSE)</f>
        <v>MALAVE</v>
      </c>
      <c r="M45" s="6">
        <f t="shared" ref="M45:M76" si="19">I45-F45</f>
        <v>2.5578703702194616E-2</v>
      </c>
      <c r="N45" s="7">
        <f t="shared" ref="N45:N54" si="20">24*60*SUM($M45:$M45)</f>
        <v>36.833333331160247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06:42:45-0600',mode:absolute,to:'2016-09-22 09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45" s="54" t="str">
        <f t="shared" ref="W45:W76" si="21">IF(AA45&lt;IF(AG45="EC",23,5.65),"Y","N")</f>
        <v>N</v>
      </c>
      <c r="X45" s="168">
        <f t="shared" ref="X45:X61" si="22">VALUE(LEFT(AD45,4))-VALUE(LEFT(AD44,4))</f>
        <v>1</v>
      </c>
      <c r="Y45" s="69">
        <f t="shared" ref="Y45:Y76" si="23">RIGHT(D45,LEN(D45)-4)/10000</f>
        <v>4.53E-2</v>
      </c>
      <c r="Z45" s="69">
        <f t="shared" ref="Z45:Z76" si="24">RIGHT(H45,LEN(H45)-4)/10000</f>
        <v>23.329499999999999</v>
      </c>
      <c r="AA45" s="69">
        <f t="shared" si="10"/>
        <v>23.284199999999998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1"/>
        <v>0133-22</v>
      </c>
      <c r="AE45" s="99" t="str">
        <f t="shared" si="12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45" s="96" t="str">
        <f t="shared" si="13"/>
        <v>"C:\Program Files (x86)\AstroGrep\AstroGrep.exe" /spath="%USERPROFILE%\AppData\Local\Temp\OnboardLogs" /stypes="app*4029*20160922*"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133-22 --locoid 4029 --swversion DE.1.0.7.0 --startMP 204:453 --initTime 2016-09-22T07:42:45 --startdatetime 2016-09-22T07:45:18 --delay 1 --endMP 204:233295 --enddatetime 2016-09-22T08:22:08 --enforcementcount 0 &gt;&gt;C:\Users\stu\Documents\GitHub\eaglep3-reporting\EC\2016-09-22-refined-times.txt</v>
      </c>
      <c r="AI4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{"issue":{"subject":"","project_id":79,"tracker_id":40,"status_id":1,"priority_id":2,"assigned_to_id":23,"start_date":"2016-09-22","description":"","custom_fields":[{"id":1,"name":"Subdivision","value":"EC"},{"id":4,"name":"Milepost","value":"23.3295"},{"id":17,"name":"Train ID","value":"133-22"},{"id":16,"name":"Locomotive ID","value":"4029"},{"id":130,"name":"Impact","value":""},{"id":150,"name":"Time of Event (Mountain Time)","value":"08:22:08"},{"id":151,"name":"Denver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446</v>
      </c>
      <c r="B46" s="7">
        <v>4030</v>
      </c>
      <c r="C46" s="24" t="s">
        <v>106</v>
      </c>
      <c r="D46" s="24" t="s">
        <v>624</v>
      </c>
      <c r="E46" s="15">
        <v>42635.360763888886</v>
      </c>
      <c r="F46" s="15">
        <v>42635.362025462964</v>
      </c>
      <c r="G46" s="7">
        <v>1</v>
      </c>
      <c r="H46" s="15" t="s">
        <v>127</v>
      </c>
      <c r="I46" s="15">
        <v>42635.404583333337</v>
      </c>
      <c r="J46" s="7">
        <v>0</v>
      </c>
      <c r="K46" s="121" t="str">
        <f t="shared" si="0"/>
        <v>4029/4030</v>
      </c>
      <c r="L46" s="24" t="str">
        <f>VLOOKUP(A46,'Trips&amp;Operators'!$C$1:$E$10000,3,FALSE)</f>
        <v>MALAVE</v>
      </c>
      <c r="M46" s="6">
        <f t="shared" si="19"/>
        <v>4.2557870372547768E-2</v>
      </c>
      <c r="N46" s="7">
        <f t="shared" si="20"/>
        <v>61.283333336468786</v>
      </c>
      <c r="O46" s="7"/>
      <c r="P46" s="7"/>
      <c r="Q46" s="7"/>
      <c r="R46" s="7" t="s">
        <v>766</v>
      </c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07:39:30-0600',mode:absolute,to:'2016-09-22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46" s="54" t="str">
        <f t="shared" si="21"/>
        <v>N</v>
      </c>
      <c r="X46" s="168">
        <f t="shared" si="22"/>
        <v>1</v>
      </c>
      <c r="Y46" s="69">
        <f t="shared" si="23"/>
        <v>23.2974</v>
      </c>
      <c r="Z46" s="69">
        <f t="shared" si="24"/>
        <v>1.54E-2</v>
      </c>
      <c r="AA46" s="69">
        <f t="shared" si="10"/>
        <v>23.282</v>
      </c>
      <c r="AB46" s="66" t="str">
        <f>VLOOKUP(A46,Enforcements!$C$7:$K$20,8,0)</f>
        <v>Bulletin (2)</v>
      </c>
      <c r="AC46" s="62" t="str">
        <f>VLOOKUP(A46,Enforcements!$C$7:$E$20,3,0)</f>
        <v>GRADE CROSSING</v>
      </c>
      <c r="AD46" s="63" t="str">
        <f t="shared" si="11"/>
        <v>0134-22</v>
      </c>
      <c r="AE46" s="99" t="str">
        <f t="shared" si="12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46" s="96" t="str">
        <f t="shared" si="13"/>
        <v>"C:\Program Files (x86)\AstroGrep\AstroGrep.exe" /spath="%USERPROFILE%\AppData\Local\Temp\OnboardLogs" /stypes="app*4030*20160922*"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134-22 --locoid 4030 --swversion DE.1.0.7.0 --startMP 204:232974 --initTime 2016-09-22T08:39:30 --startdatetime 2016-09-22T08:41:19 --delay 1 --endMP 204:154 --enddatetime 2016-09-22T09:42:36 --enforcementcount 0 &gt;&gt;C:\Users\stu\Documents\GitHub\eaglep3-reporting\EC\2016-09-22-refined-times.txt</v>
      </c>
      <c r="AI46" s="134" t="str">
        <f t="shared" si="18"/>
        <v>echo {"issue":{"subject":"Sand Creek 4S: train was approaching signal at 09:08:40, no clear control sent until 09:18:52","project_id":79,"tracker_id":40,"status_id":1,"priority_id":2,"assigned_to_id":23,"start_date":"2016-09-22","description":"Sand Creek 4S: train was approaching signal at 09:08:40, no clear control sent until 09:18:52, was there a code failure, or something else funny going on with TMDS at the time? Was this in any way related to the code failure at ML0629 that happened around 08:53?","custom_fields":[{"id":1,"name":"Subdivision","value":"EC"},{"id":4,"name":"Milepost","value":"0.0154"},{"id":17,"name":"Train ID","value":"134-22"},{"id":16,"name":"Locomotive ID","value":"4030"},{"id":130,"name":"Impact","value":"Others"},{"id":150,"name":"Time of Event (Mountain Time)","value":"09:42:36"},{"id":151,"name":"Denver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46" s="55" t="str">
        <f>R46&amp;", was there a code failure, or something else funny going on with TMDS at the time? Was this in any way related to the code failure at ML0629 that happened around 08:53?"</f>
        <v>Sand Creek 4S: train was approaching signal at 09:08:40, no clear control sent until 09:18:52, was there a code failure, or something else funny going on with TMDS at the time? Was this in any way related to the code failure at ML0629 that happened around 08:53?</v>
      </c>
      <c r="AK46" s="55" t="s">
        <v>150</v>
      </c>
      <c r="AL46" s="55" t="s">
        <v>147</v>
      </c>
    </row>
    <row r="47" spans="1:38" s="1" customFormat="1" x14ac:dyDescent="0.25">
      <c r="A47" s="39" t="s">
        <v>437</v>
      </c>
      <c r="B47" s="7">
        <v>4044</v>
      </c>
      <c r="C47" s="24" t="s">
        <v>106</v>
      </c>
      <c r="D47" s="24" t="s">
        <v>236</v>
      </c>
      <c r="E47" s="15">
        <v>42635.330347222225</v>
      </c>
      <c r="F47" s="15">
        <v>42635.333854166667</v>
      </c>
      <c r="G47" s="7">
        <v>1</v>
      </c>
      <c r="H47" s="15" t="s">
        <v>316</v>
      </c>
      <c r="I47" s="15">
        <v>42635.363055555557</v>
      </c>
      <c r="J47" s="7">
        <v>0</v>
      </c>
      <c r="K47" s="121" t="str">
        <f t="shared" si="0"/>
        <v>4043/4044</v>
      </c>
      <c r="L47" s="24" t="str">
        <f>VLOOKUP(A47,'Trips&amp;Operators'!$C$1:$E$10000,3,FALSE)</f>
        <v>STRICKLAND</v>
      </c>
      <c r="M47" s="6">
        <f t="shared" si="19"/>
        <v>2.920138889021473E-2</v>
      </c>
      <c r="N47" s="7">
        <f t="shared" si="20"/>
        <v>42.050000001909211</v>
      </c>
      <c r="O47" s="7"/>
      <c r="P47" s="7"/>
      <c r="Q47" s="7"/>
      <c r="R47" s="7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06:55:42-0600',mode:absolute,to:'2016-09-22 09:42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7" s="54" t="str">
        <f t="shared" si="21"/>
        <v>N</v>
      </c>
      <c r="X47" s="168">
        <f t="shared" si="22"/>
        <v>1</v>
      </c>
      <c r="Y47" s="69">
        <f t="shared" si="23"/>
        <v>4.6899999999999997E-2</v>
      </c>
      <c r="Z47" s="69">
        <f t="shared" si="24"/>
        <v>23.331800000000001</v>
      </c>
      <c r="AA47" s="69">
        <f t="shared" si="10"/>
        <v>23.2849</v>
      </c>
      <c r="AB47" s="66" t="str">
        <f>VLOOKUP(A47,Enforcements!$C$7:$K$20,8,0)</f>
        <v>Speed (6)</v>
      </c>
      <c r="AC47" s="62" t="str">
        <f>VLOOKUP(A47,Enforcements!$C$7:$E$20,3,0)</f>
        <v>PERMANENT SPEED RESTRICTION</v>
      </c>
      <c r="AD47" s="63" t="str">
        <f t="shared" si="11"/>
        <v>0135-22</v>
      </c>
      <c r="AE47" s="99" t="str">
        <f t="shared" si="12"/>
        <v>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 &amp; 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</v>
      </c>
      <c r="AF47" s="96" t="str">
        <f t="shared" si="13"/>
        <v>"C:\Program Files (x86)\AstroGrep\AstroGrep.exe" /spath="%USERPROFILE%\AppData\Local\Temp\OnboardLogs" /stypes="app*4044*20160922*"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135-22 --locoid 4044 --swversion DE.1.0.7.0 --startMP 204:469 --initTime 2016-09-22T07:55:42 --startdatetime 2016-09-22T08:00:45 --delay 1 --endMP 204:233318 --enddatetime 2016-09-22T08:42:48 --enforcementcount 0 &gt;&gt;C:\Users\stu\Documents\GitHub\eaglep3-reporting\EC\2016-09-22-refined-times.txt</v>
      </c>
      <c r="AI4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{"issue":{"subject":"","project_id":79,"tracker_id":40,"status_id":1,"priority_id":2,"assigned_to_id":23,"start_date":"2016-09-22","description":"","custom_fields":[{"id":1,"name":"Subdivision","value":"EC"},{"id":4,"name":"Milepost","value":"23.3318"},{"id":17,"name":"Train ID","value":"135-22"},{"id":16,"name":"Locomotive ID","value":"4044"},{"id":130,"name":"Impact","value":""},{"id":150,"name":"Time of Event (Mountain Time)","value":"08:42:48"},{"id":151,"name":"Denver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447</v>
      </c>
      <c r="B48" s="7">
        <v>4043</v>
      </c>
      <c r="C48" s="24" t="s">
        <v>106</v>
      </c>
      <c r="D48" s="24" t="s">
        <v>244</v>
      </c>
      <c r="E48" s="15">
        <v>42635.368125000001</v>
      </c>
      <c r="F48" s="15">
        <v>42635.37295138889</v>
      </c>
      <c r="G48" s="7">
        <v>2</v>
      </c>
      <c r="H48" s="15" t="s">
        <v>625</v>
      </c>
      <c r="I48" s="15">
        <v>42635.410081018519</v>
      </c>
      <c r="J48" s="7">
        <v>0</v>
      </c>
      <c r="K48" s="121" t="str">
        <f t="shared" si="0"/>
        <v>4043/4044</v>
      </c>
      <c r="L48" s="24" t="str">
        <f>VLOOKUP(A48,'Trips&amp;Operators'!$C$1:$E$10000,3,FALSE)</f>
        <v>STRICKLAND</v>
      </c>
      <c r="M48" s="6">
        <f t="shared" si="19"/>
        <v>3.7129629628907423E-2</v>
      </c>
      <c r="N48" s="7">
        <f t="shared" si="20"/>
        <v>53.46666666562669</v>
      </c>
      <c r="O48" s="7"/>
      <c r="P48" s="7"/>
      <c r="Q48" s="7"/>
      <c r="R48" s="7" t="s">
        <v>767</v>
      </c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07:50:06-0600',mode:absolute,to:'2016-09-22 10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8" s="54" t="str">
        <f t="shared" si="21"/>
        <v>N</v>
      </c>
      <c r="X48" s="168">
        <f t="shared" si="22"/>
        <v>1</v>
      </c>
      <c r="Y48" s="69">
        <f t="shared" si="23"/>
        <v>23.2971</v>
      </c>
      <c r="Z48" s="69">
        <f t="shared" si="24"/>
        <v>0.1181</v>
      </c>
      <c r="AA48" s="69">
        <f t="shared" si="10"/>
        <v>23.179000000000002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0136-22</v>
      </c>
      <c r="AE48" s="99" t="str">
        <f t="shared" si="12"/>
        <v>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 &amp; 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</v>
      </c>
      <c r="AF48" s="96" t="str">
        <f t="shared" si="13"/>
        <v>"C:\Program Files (x86)\AstroGrep\AstroGrep.exe" /spath="%USERPROFILE%\AppData\Local\Temp\OnboardLogs" /stypes="app*4043*20160922*"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136-22 --locoid 4043 --swversion DE.1.0.7.0 --startMP 204:232971 --initTime 2016-09-22T08:50:06 --startdatetime 2016-09-22T08:57:03 --delay 2 --endMP 204:1181 --enddatetime 2016-09-22T09:50:31 --enforcementcount 0 &gt;&gt;C:\Users\stu\Documents\GitHub\eaglep3-reporting\EC\2016-09-22-refined-times.txt</v>
      </c>
      <c r="AI48" s="134" t="str">
        <f t="shared" si="18"/>
        <v>echo {"issue":{"subject":"40th 4S: train was approaching signal at 09:09:14, no clear control sent until 09:18:50","project_id":79,"tracker_id":40,"status_id":1,"priority_id":2,"assigned_to_id":23,"start_date":"2016-09-22","description":"40th 4S: train was approaching signal at 09:09:14, no clear control sent until 09:18:50, was there a code failure, or something else funny going on with TMDS at the time? Was this in any way related to the code failure at ML0629 that happened around 08:53?","custom_fields":[{"id":1,"name":"Subdivision","value":"EC"},{"id":4,"name":"Milepost","value":"0.1181"},{"id":17,"name":"Train ID","value":"136-22"},{"id":16,"name":"Locomotive ID","value":"4043"},{"id":130,"name":"Impact","value":"Others"},{"id":150,"name":"Time of Event (Mountain Time)","value":"09:50:31"},{"id":151,"name":"Denver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48" s="55" t="str">
        <f>R48&amp;", was there a code failure, or something else funny going on with TMDS at the time? Was this in any way related to the code failure at ML0629 that happened around 08:53?"</f>
        <v>40th 4S: train was approaching signal at 09:09:14, no clear control sent until 09:18:50, was there a code failure, or something else funny going on with TMDS at the time? Was this in any way related to the code failure at ML0629 that happened around 08:53?</v>
      </c>
      <c r="AK48" s="55" t="s">
        <v>150</v>
      </c>
      <c r="AL48" s="55" t="s">
        <v>147</v>
      </c>
    </row>
    <row r="49" spans="1:38" s="1" customFormat="1" x14ac:dyDescent="0.25">
      <c r="A49" s="39" t="s">
        <v>439</v>
      </c>
      <c r="B49" s="7">
        <v>4002</v>
      </c>
      <c r="C49" s="24" t="s">
        <v>106</v>
      </c>
      <c r="D49" s="24" t="s">
        <v>219</v>
      </c>
      <c r="E49" s="15">
        <v>42635.340370370373</v>
      </c>
      <c r="F49" s="15">
        <v>42635.344305555554</v>
      </c>
      <c r="G49" s="7">
        <v>1</v>
      </c>
      <c r="H49" s="15" t="s">
        <v>626</v>
      </c>
      <c r="I49" s="15">
        <v>42635.370439814818</v>
      </c>
      <c r="J49" s="7">
        <v>0</v>
      </c>
      <c r="K49" s="121" t="str">
        <f t="shared" si="0"/>
        <v>4001/4002</v>
      </c>
      <c r="L49" s="24" t="str">
        <f>VLOOKUP(A49,'Trips&amp;Operators'!$C$1:$E$10000,3,FALSE)</f>
        <v>ROCHA</v>
      </c>
      <c r="M49" s="6">
        <f t="shared" si="19"/>
        <v>2.6134259263926651E-2</v>
      </c>
      <c r="N49" s="7">
        <f t="shared" si="20"/>
        <v>37.633333340054378</v>
      </c>
      <c r="O49" s="7"/>
      <c r="P49" s="7"/>
      <c r="Q49" s="7"/>
      <c r="R49" s="7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07:10:08-0600',mode:absolute,to:'2016-09-22 09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9" s="54" t="str">
        <f t="shared" si="21"/>
        <v>N</v>
      </c>
      <c r="X49" s="168">
        <f t="shared" si="22"/>
        <v>1</v>
      </c>
      <c r="Y49" s="69">
        <f t="shared" si="23"/>
        <v>4.53E-2</v>
      </c>
      <c r="Z49" s="69">
        <f t="shared" si="24"/>
        <v>23.327999999999999</v>
      </c>
      <c r="AA49" s="69">
        <f t="shared" si="10"/>
        <v>23.282699999999998</v>
      </c>
      <c r="AB49" s="66" t="str">
        <f>VLOOKUP(A49,Enforcements!$C$7:$K$20,8,0)</f>
        <v>Speed (6)</v>
      </c>
      <c r="AC49" s="62" t="str">
        <f>VLOOKUP(A49,Enforcements!$C$7:$E$20,3,0)</f>
        <v>PERMANENT SPEED RESTRICTION</v>
      </c>
      <c r="AD49" s="63" t="str">
        <f t="shared" si="11"/>
        <v>0137-22</v>
      </c>
      <c r="AE49" s="99" t="str">
        <f t="shared" si="12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49" s="96" t="str">
        <f t="shared" si="13"/>
        <v>"C:\Program Files (x86)\AstroGrep\AstroGrep.exe" /spath="%USERPROFILE%\AppData\Local\Temp\OnboardLogs" /stypes="app*4002*20160922*"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137-22 --locoid 4002 --swversion DE.1.0.7.0 --startMP 204:453 --initTime 2016-09-22T08:10:08 --startdatetime 2016-09-22T08:15:48 --delay 1 --endMP 204:233280 --enddatetime 2016-09-22T08:53:26 --enforcementcount 0 &gt;&gt;C:\Users\stu\Documents\GitHub\eaglep3-reporting\EC\2016-09-22-refined-times.txt</v>
      </c>
      <c r="AI4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{"issue":{"subject":"","project_id":79,"tracker_id":40,"status_id":1,"priority_id":2,"assigned_to_id":23,"start_date":"2016-09-22","description":"","custom_fields":[{"id":1,"name":"Subdivision","value":"EC"},{"id":4,"name":"Milepost","value":"23.328"},{"id":17,"name":"Train ID","value":"137-22"},{"id":16,"name":"Locomotive ID","value":"4002"},{"id":130,"name":"Impact","value":""},{"id":150,"name":"Time of Event (Mountain Time)","value":"08:53:26"},{"id":151,"name":"Denver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449</v>
      </c>
      <c r="B50" s="7">
        <v>4001</v>
      </c>
      <c r="C50" s="24" t="s">
        <v>106</v>
      </c>
      <c r="D50" s="24" t="s">
        <v>354</v>
      </c>
      <c r="E50" s="15">
        <v>42635.373993055553</v>
      </c>
      <c r="F50" s="15">
        <v>42635.383020833331</v>
      </c>
      <c r="G50" s="7">
        <v>1</v>
      </c>
      <c r="H50" s="15" t="s">
        <v>284</v>
      </c>
      <c r="I50" s="15">
        <v>42635.417962962965</v>
      </c>
      <c r="J50" s="7">
        <v>0</v>
      </c>
      <c r="K50" s="121" t="str">
        <f t="shared" si="0"/>
        <v>4001/4002</v>
      </c>
      <c r="L50" s="24" t="str">
        <f>VLOOKUP(A50,'Trips&amp;Operators'!$C$1:$E$10000,3,FALSE)</f>
        <v>ROCHA</v>
      </c>
      <c r="M50" s="6">
        <f t="shared" si="19"/>
        <v>3.4942129634146113E-2</v>
      </c>
      <c r="N50" s="7">
        <f t="shared" si="20"/>
        <v>50.316666673170403</v>
      </c>
      <c r="O50" s="7"/>
      <c r="P50" s="7"/>
      <c r="Q50" s="7"/>
      <c r="R50" s="7" t="s">
        <v>768</v>
      </c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07:58:33-0600',mode:absolute,to:'2016-09-22 11:01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0" s="54" t="str">
        <f t="shared" si="21"/>
        <v>N</v>
      </c>
      <c r="X50" s="168">
        <f t="shared" si="22"/>
        <v>1</v>
      </c>
      <c r="Y50" s="69">
        <f t="shared" si="23"/>
        <v>23.297599999999999</v>
      </c>
      <c r="Z50" s="69">
        <f t="shared" si="24"/>
        <v>1.41E-2</v>
      </c>
      <c r="AA50" s="69">
        <f t="shared" si="10"/>
        <v>23.2835</v>
      </c>
      <c r="AB50" s="66" t="str">
        <f>VLOOKUP(A50,Enforcements!$C$7:$K$20,8,0)</f>
        <v>Bulletin (2)</v>
      </c>
      <c r="AC50" s="62" t="str">
        <f>VLOOKUP(A50,Enforcements!$C$7:$E$20,3,0)</f>
        <v>GRADE CROSSING</v>
      </c>
      <c r="AD50" s="63" t="str">
        <f t="shared" si="11"/>
        <v>0138-22</v>
      </c>
      <c r="AE50" s="99" t="str">
        <f t="shared" si="12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50" s="96" t="str">
        <f t="shared" si="13"/>
        <v>"C:\Program Files (x86)\AstroGrep\AstroGrep.exe" /spath="%USERPROFILE%\AppData\Local\Temp\OnboardLogs" /stypes="app*4001*20160922*" /stext=" 16:.+((SYSTEM_STATE.+slice.+state.+changed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138-22 --locoid 4001 --swversion DE.1.0.7.0 --startMP 204:232976 --initTime 2016-09-22T08:58:33 --startdatetime 2016-09-22T09:11:33 --delay 1 --endMP 204:141 --enddatetime 2016-09-22T10:01:52 --enforcementcount 0 &gt;&gt;C:\Users\stu\Documents\GitHub\eaglep3-reporting\EC\2016-09-22-refined-times.txt</v>
      </c>
      <c r="AI50" s="134" t="str">
        <f t="shared" si="18"/>
        <v>echo {"issue":{"subject":"Pena 4S: train was approaching signal at 09:15:57, no clear control sent until 09:23:24","project_id":79,"tracker_id":40,"status_id":1,"priority_id":2,"assigned_to_id":23,"start_date":"2016-09-22","description":"Pena 4S: train was approaching signal at 09:15:57, no clear control sent until 09:23:24, was there a code failure, or something else funny going on with TMDS at the time? Was this in any way related to the code failure at ML0629 that happened around 08:53?","custom_fields":[{"id":1,"name":"Subdivision","value":"EC"},{"id":4,"name":"Milepost","value":"0.0141"},{"id":17,"name":"Train ID","value":"138-22"},{"id":16,"name":"Locomotive ID","value":"4001"},{"id":130,"name":"Impact","value":"Others"},{"id":150,"name":"Time of Event (Mountain Time)","value":"10:01:52"},{"id":151,"name":"Denver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50" s="55" t="str">
        <f>R50&amp;", was there a code failure, or something else funny going on with TMDS at the time? Was this in any way related to the code failure at ML0629 that happened around 08:53?"</f>
        <v>Pena 4S: train was approaching signal at 09:15:57, no clear control sent until 09:23:24, was there a code failure, or something else funny going on with TMDS at the time? Was this in any way related to the code failure at ML0629 that happened around 08:53?</v>
      </c>
      <c r="AK50" s="55" t="s">
        <v>150</v>
      </c>
      <c r="AL50" s="55" t="s">
        <v>147</v>
      </c>
    </row>
    <row r="51" spans="1:38" s="1" customFormat="1" x14ac:dyDescent="0.25">
      <c r="A51" s="39" t="s">
        <v>442</v>
      </c>
      <c r="B51" s="7">
        <v>4003</v>
      </c>
      <c r="C51" s="24" t="s">
        <v>106</v>
      </c>
      <c r="D51" s="24" t="s">
        <v>319</v>
      </c>
      <c r="E51" s="15">
        <v>42635.350706018522</v>
      </c>
      <c r="F51" s="15">
        <v>42635.354629629626</v>
      </c>
      <c r="G51" s="7">
        <v>1</v>
      </c>
      <c r="H51" s="15" t="s">
        <v>312</v>
      </c>
      <c r="I51" s="15">
        <v>42635.380254629628</v>
      </c>
      <c r="J51" s="7">
        <v>0</v>
      </c>
      <c r="K51" s="121" t="str">
        <f t="shared" si="0"/>
        <v>4003/4004</v>
      </c>
      <c r="L51" s="24" t="str">
        <f>VLOOKUP(A51,'Trips&amp;Operators'!$C$1:$E$10000,3,FALSE)</f>
        <v>STARKS</v>
      </c>
      <c r="M51" s="6">
        <f t="shared" si="19"/>
        <v>2.5625000002037268E-2</v>
      </c>
      <c r="N51" s="7">
        <f t="shared" si="20"/>
        <v>36.900000002933666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07:25:01-0600',mode:absolute,to:'2016-09-22 10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 t="shared" si="21"/>
        <v>N</v>
      </c>
      <c r="X51" s="168">
        <f t="shared" si="22"/>
        <v>1</v>
      </c>
      <c r="Y51" s="69">
        <f t="shared" si="23"/>
        <v>4.4600000000000001E-2</v>
      </c>
      <c r="Z51" s="69">
        <f t="shared" si="24"/>
        <v>23.328800000000001</v>
      </c>
      <c r="AA51" s="69">
        <f t="shared" si="10"/>
        <v>23.284200000000002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0139-22</v>
      </c>
      <c r="AE51" s="99" t="str">
        <f t="shared" si="12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51" s="96" t="str">
        <f t="shared" si="13"/>
        <v>"C:\Program Files (x86)\AstroGrep\AstroGrep.exe" /spath="%USERPROFILE%\AppData\Local\Temp\OnboardLogs" /stypes="app*4003*20160922*"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139-22 --locoid 4003 --swversion DE.1.0.7.0 --startMP 204:446 --initTime 2016-09-22T08:25:01 --startdatetime 2016-09-22T08:30:40 --delay 1 --endMP 204:233288 --enddatetime 2016-09-22T09:07:34 --enforcementcount 0 &gt;&gt;C:\Users\stu\Documents\GitHub\eaglep3-reporting\EC\2016-09-22-refined-times.txt</v>
      </c>
      <c r="AI5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{"issue":{"subject":"","project_id":79,"tracker_id":40,"status_id":1,"priority_id":2,"assigned_to_id":23,"start_date":"2016-09-22","description":"","custom_fields":[{"id":1,"name":"Subdivision","value":"EC"},{"id":4,"name":"Milepost","value":"23.3288"},{"id":17,"name":"Train ID","value":"139-22"},{"id":16,"name":"Locomotive ID","value":"4003"},{"id":130,"name":"Impact","value":""},{"id":150,"name":"Time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450</v>
      </c>
      <c r="B52" s="7">
        <v>4004</v>
      </c>
      <c r="C52" s="24" t="s">
        <v>106</v>
      </c>
      <c r="D52" s="24" t="s">
        <v>353</v>
      </c>
      <c r="E52" s="15">
        <v>42635.381793981483</v>
      </c>
      <c r="F52" s="15">
        <v>42635.393287037034</v>
      </c>
      <c r="G52" s="7">
        <v>1</v>
      </c>
      <c r="H52" s="15" t="s">
        <v>614</v>
      </c>
      <c r="I52" s="15">
        <v>42635.421168981484</v>
      </c>
      <c r="J52" s="7">
        <v>0</v>
      </c>
      <c r="K52" s="121" t="str">
        <f t="shared" si="0"/>
        <v>4003/4004</v>
      </c>
      <c r="L52" s="24" t="str">
        <f>VLOOKUP(A52,'Trips&amp;Operators'!$C$1:$E$10000,3,FALSE)</f>
        <v>STARKS</v>
      </c>
      <c r="M52" s="6">
        <f t="shared" si="19"/>
        <v>2.7881944450200535E-2</v>
      </c>
      <c r="N52" s="7">
        <f t="shared" si="20"/>
        <v>40.150000008288771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08:09:47-0600',mode:absolute,to:'2016-09-22 11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 t="shared" si="21"/>
        <v>N</v>
      </c>
      <c r="X52" s="168">
        <f t="shared" si="22"/>
        <v>1</v>
      </c>
      <c r="Y52" s="69">
        <f t="shared" si="23"/>
        <v>23.296900000000001</v>
      </c>
      <c r="Z52" s="69">
        <f t="shared" si="24"/>
        <v>1.43E-2</v>
      </c>
      <c r="AA52" s="69">
        <f t="shared" si="10"/>
        <v>23.282600000000002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1"/>
        <v>0140-22</v>
      </c>
      <c r="AE52" s="99" t="str">
        <f t="shared" si="12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52" s="96" t="str">
        <f t="shared" si="13"/>
        <v>"C:\Program Files (x86)\AstroGrep\AstroGrep.exe" /spath="%USERPROFILE%\AppData\Local\Temp\OnboardLogs" /stypes="app*4004*20160922*"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140-22 --locoid 4004 --swversion DE.1.0.7.0 --startMP 204:232969 --initTime 2016-09-22T09:09:47 --startdatetime 2016-09-22T09:26:20 --delay 1 --endMP 204:143 --enddatetime 2016-09-22T10:06:29 --enforcementcount 0 &gt;&gt;C:\Users\stu\Documents\GitHub\eaglep3-reporting\EC\2016-09-22-refined-times.txt</v>
      </c>
      <c r="AI5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ID","value":"140-22"},{"id":16,"name":"Locomotive ID","value":"4004"},{"id":130,"name":"Impact","value":""},{"id":150,"name":"Time of Event (Mountain Time)","value":"10:06:29"},{"id":151,"name":"Denver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445</v>
      </c>
      <c r="B53" s="7">
        <v>4031</v>
      </c>
      <c r="C53" s="24" t="s">
        <v>106</v>
      </c>
      <c r="D53" s="24" t="s">
        <v>229</v>
      </c>
      <c r="E53" s="15">
        <v>42635.36074074074</v>
      </c>
      <c r="F53" s="15">
        <v>42635.364861111113</v>
      </c>
      <c r="G53" s="7">
        <v>1</v>
      </c>
      <c r="H53" s="15" t="s">
        <v>627</v>
      </c>
      <c r="I53" s="15">
        <v>42635.396967592591</v>
      </c>
      <c r="J53" s="7">
        <v>0</v>
      </c>
      <c r="K53" s="121" t="str">
        <f t="shared" si="0"/>
        <v>4031/4032</v>
      </c>
      <c r="L53" s="24" t="str">
        <f>VLOOKUP(A53,'Trips&amp;Operators'!$C$1:$E$10000,3,FALSE)</f>
        <v>MAELZER</v>
      </c>
      <c r="M53" s="6">
        <f t="shared" si="19"/>
        <v>3.2106481477967463E-2</v>
      </c>
      <c r="N53" s="7">
        <f t="shared" si="20"/>
        <v>46.233333328273147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07:39:28-0600',mode:absolute,to:'2016-09-22 10:31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3" s="54" t="str">
        <f t="shared" si="21"/>
        <v>N</v>
      </c>
      <c r="X53" s="168">
        <f t="shared" si="22"/>
        <v>1</v>
      </c>
      <c r="Y53" s="69">
        <f t="shared" si="23"/>
        <v>4.58E-2</v>
      </c>
      <c r="Z53" s="69">
        <f t="shared" si="24"/>
        <v>23.3353</v>
      </c>
      <c r="AA53" s="69">
        <f t="shared" si="10"/>
        <v>23.2895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0141-22</v>
      </c>
      <c r="AE53" s="99" t="str">
        <f t="shared" si="12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53" s="96" t="str">
        <f t="shared" si="13"/>
        <v>"C:\Program Files (x86)\AstroGrep\AstroGrep.exe" /spath="%USERPROFILE%\AppData\Local\Temp\OnboardLogs" /stypes="app*4031*20160922*"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141-22 --locoid 4031 --swversion DE.1.0.7.0 --startMP 204:458 --initTime 2016-09-22T08:39:28 --startdatetime 2016-09-22T08:45:24 --delay 1 --endMP 204:233353 --enddatetime 2016-09-22T09:31:38 --enforcementcount 0 &gt;&gt;C:\Users\stu\Documents\GitHub\eaglep3-reporting\EC\2016-09-22-refined-times.txt</v>
      </c>
      <c r="AI5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{"issue":{"subject":"","project_id":79,"tracker_id":40,"status_id":1,"priority_id":2,"assigned_to_id":23,"start_date":"2016-09-22","description":"","custom_fields":[{"id":1,"name":"Subdivision","value":"EC"},{"id":4,"name":"Milepost","value":"23.3353"},{"id":17,"name":"Train ID","value":"141-22"},{"id":16,"name":"Locomotive ID","value":"4031"},{"id":130,"name":"Impact","value":""},{"id":150,"name":"Time of Event (Mountain Time)","value":"09:31:38"},{"id":151,"name":"Denver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454</v>
      </c>
      <c r="B54" s="7">
        <v>4032</v>
      </c>
      <c r="C54" s="24" t="s">
        <v>106</v>
      </c>
      <c r="D54" s="24" t="s">
        <v>628</v>
      </c>
      <c r="E54" s="15">
        <v>42635.400381944448</v>
      </c>
      <c r="F54" s="15">
        <v>42635.403819444444</v>
      </c>
      <c r="G54" s="7">
        <v>1</v>
      </c>
      <c r="H54" s="15" t="s">
        <v>270</v>
      </c>
      <c r="I54" s="15">
        <v>42635.431203703702</v>
      </c>
      <c r="J54" s="7">
        <v>0</v>
      </c>
      <c r="K54" s="121" t="str">
        <f t="shared" si="0"/>
        <v>4031/4032</v>
      </c>
      <c r="L54" s="24" t="str">
        <f>VLOOKUP(A54,'Trips&amp;Operators'!$C$1:$E$10000,3,FALSE)</f>
        <v>MAELZER</v>
      </c>
      <c r="M54" s="6">
        <f t="shared" si="19"/>
        <v>2.7384259257814847E-2</v>
      </c>
      <c r="N54" s="7">
        <f t="shared" si="20"/>
        <v>39.43333333125338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08:36:33-0600',mode:absolute,to:'2016-09-22 11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4" s="54" t="str">
        <f t="shared" si="21"/>
        <v>N</v>
      </c>
      <c r="X54" s="168">
        <f t="shared" si="22"/>
        <v>1</v>
      </c>
      <c r="Y54" s="69">
        <f t="shared" si="23"/>
        <v>23.301300000000001</v>
      </c>
      <c r="Z54" s="69">
        <f t="shared" si="24"/>
        <v>1.4500000000000001E-2</v>
      </c>
      <c r="AA54" s="69">
        <f t="shared" si="10"/>
        <v>23.286799999999999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0142-22</v>
      </c>
      <c r="AE54" s="99" t="str">
        <f t="shared" si="12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54" s="96" t="str">
        <f t="shared" si="13"/>
        <v>"C:\Program Files (x86)\AstroGrep\AstroGrep.exe" /spath="%USERPROFILE%\AppData\Local\Temp\OnboardLogs" /stypes="app*4032*20160922*"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142-22 --locoid 4032 --swversion DE.1.0.7.0 --startMP 204:233013 --initTime 2016-09-22T09:36:33 --startdatetime 2016-09-22T09:41:30 --delay 1 --endMP 204:145 --enddatetime 2016-09-22T10:20:56 --enforcementcount 0 &gt;&gt;C:\Users\stu\Documents\GitHub\eaglep3-reporting\EC\2016-09-22-refined-times.txt</v>
      </c>
      <c r="AI54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ID","value":"142-22"},{"id":16,"name":"Locomotive ID","value":"4032"},{"id":130,"name":"Impact","value":""},{"id":150,"name":"Time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448</v>
      </c>
      <c r="B55" s="7">
        <v>4046</v>
      </c>
      <c r="C55" s="24" t="s">
        <v>106</v>
      </c>
      <c r="D55" s="24" t="s">
        <v>236</v>
      </c>
      <c r="E55" s="15">
        <v>42635.372152777774</v>
      </c>
      <c r="F55" s="15">
        <v>42635.375578703701</v>
      </c>
      <c r="G55" s="7">
        <v>1</v>
      </c>
      <c r="H55" s="15" t="s">
        <v>629</v>
      </c>
      <c r="I55" s="15">
        <v>42635.392280092594</v>
      </c>
      <c r="J55" s="7">
        <v>0</v>
      </c>
      <c r="K55" s="121" t="str">
        <f t="shared" si="0"/>
        <v>4045/4046</v>
      </c>
      <c r="L55" s="24" t="str">
        <f>VLOOKUP(A55,'Trips&amp;Operators'!$C$1:$E$10000,3,FALSE)</f>
        <v>SANTIZO</v>
      </c>
      <c r="M55" s="6">
        <f t="shared" si="19"/>
        <v>1.6701388893125113E-2</v>
      </c>
      <c r="N55" s="7"/>
      <c r="O55" s="7"/>
      <c r="P55" s="7"/>
      <c r="Q55" s="25"/>
      <c r="R55" s="25"/>
      <c r="S55" s="37"/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07:55:54-0600',mode:absolute,to:'2016-09-22 10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5" s="54" t="str">
        <f t="shared" si="21"/>
        <v>Y</v>
      </c>
      <c r="X55" s="168">
        <f t="shared" si="22"/>
        <v>1</v>
      </c>
      <c r="Y55" s="69">
        <f t="shared" si="23"/>
        <v>4.6899999999999997E-2</v>
      </c>
      <c r="Z55" s="69">
        <f t="shared" si="24"/>
        <v>4.7789999999999999</v>
      </c>
      <c r="AA55" s="69">
        <f t="shared" si="10"/>
        <v>4.7321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0143-22</v>
      </c>
      <c r="AE55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55" s="96" t="str">
        <f t="shared" si="13"/>
        <v>"C:\Program Files (x86)\AstroGrep\AstroGrep.exe" /spath="%USERPROFILE%\AppData\Local\Temp\OnboardLogs" /stypes="app*4046*20160922*"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143-22 --locoid 4046 --swversion DE.1.0.7.0 --startMP 204:469 --initTime 2016-09-22T08:55:54 --startdatetime 2016-09-22T09:00:50 --delay 1 --endMP 204:47790 --enddatetime 2016-09-22T09:24:53 --enforcementcount 0 &gt;&gt;C:\Users\stu\Documents\GitHub\eaglep3-reporting\EC\2016-09-22-refined-times.txt</v>
      </c>
      <c r="AI5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{"issue":{"subject":"","project_id":79,"tracker_id":40,"status_id":1,"priority_id":2,"assigned_to_id":23,"start_date":"2016-09-22","description":"","custom_fields":[{"id":1,"name":"Subdivision","value":"EC"},{"id":4,"name":"Milepost","value":"4.779"},{"id":17,"name":"Train ID","value":"143-22"},{"id":16,"name":"Locomotive ID","value":"4046"},{"id":130,"name":"Impact","value":""},{"id":150,"name":"Time of Event (Mountain Time)","value":"09:24:53"},{"id":151,"name":"Denver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448</v>
      </c>
      <c r="B56" s="7">
        <v>4046</v>
      </c>
      <c r="C56" s="24" t="s">
        <v>106</v>
      </c>
      <c r="D56" s="24" t="s">
        <v>630</v>
      </c>
      <c r="E56" s="15">
        <v>42635.396354166667</v>
      </c>
      <c r="F56" s="15">
        <v>42635.397453703707</v>
      </c>
      <c r="G56" s="7">
        <v>0</v>
      </c>
      <c r="H56" s="15" t="s">
        <v>631</v>
      </c>
      <c r="I56" s="15">
        <v>42635.41201388889</v>
      </c>
      <c r="J56" s="7">
        <v>0</v>
      </c>
      <c r="K56" s="121" t="str">
        <f t="shared" si="0"/>
        <v>4045/4046</v>
      </c>
      <c r="L56" s="24" t="str">
        <f>VLOOKUP(A56,'Trips&amp;Operators'!$C$1:$E$10000,3,FALSE)</f>
        <v>SANTIZO</v>
      </c>
      <c r="M56" s="6">
        <f t="shared" si="19"/>
        <v>1.4560185183654539E-2</v>
      </c>
      <c r="N56" s="7"/>
      <c r="O56" s="7"/>
      <c r="P56" s="7">
        <f>24*60*SUM($M55:$M56)</f>
        <v>45.016666670562699</v>
      </c>
      <c r="Q56" s="25"/>
      <c r="R56" s="25" t="s">
        <v>769</v>
      </c>
      <c r="S56" s="37">
        <f>SUM(U55:U56)/IF(AG56="EC",12,1)</f>
        <v>0.5</v>
      </c>
      <c r="T56" s="52" t="str">
        <f t="shared" si="4"/>
        <v>NorthBound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08:30:45-0600',mode:absolute,to:'2016-09-22 10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6" s="54" t="str">
        <f t="shared" si="21"/>
        <v>Y</v>
      </c>
      <c r="X56" s="168">
        <f t="shared" si="22"/>
        <v>0</v>
      </c>
      <c r="Y56" s="69">
        <f t="shared" si="23"/>
        <v>8.6374999999999993</v>
      </c>
      <c r="Z56" s="69">
        <f t="shared" si="24"/>
        <v>23.331</v>
      </c>
      <c r="AA56" s="69">
        <f t="shared" si="10"/>
        <v>14.6935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1"/>
        <v>0143-22</v>
      </c>
      <c r="AE56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56" s="96" t="str">
        <f t="shared" si="13"/>
        <v>"C:\Program Files (x86)\AstroGrep\AstroGrep.exe" /spath="%USERPROFILE%\AppData\Local\Temp\OnboardLogs" /stypes="app*4046*20160922*" /stext=" 15:.+((SYSTEM_STATE.+slice.+state.+changed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143-22 --locoid 4046 --swversion DE.1.0.7.0 --startMP 204:86375 --initTime 2016-09-22T09:30:45 --startdatetime 2016-09-22T09:32:20 --delay 0 --endMP 204:233310 --enddatetime 2016-09-22T09:53:18 --enforcementcount 0 &gt;&gt;C:\Users\stu\Documents\GitHub\eaglep3-reporting\EC\2016-09-22-refined-times.txt</v>
      </c>
      <c r="AI56" s="134" t="str">
        <f t="shared" si="18"/>
        <v>echo {"issue":{"subject":"No clear controls sent from TMDS to Bright 4N. PSS attempted, but track limit CRCs prevented run from starting","project_id":79,"tracker_id":40,"status_id":1,"priority_id":2,"assigned_to_id":23,"start_date":"2016-09-22","description":"25 PSS 1051's were sent to RTDC 4046 during trip 143-22, seems like a data issue probably?","custom_fields":[{"id":1,"name":"Subdivision","value":"EC"},{"id":4,"name":"Milepost","value":"23.331"},{"id":17,"name":"Train ID","value":"143-22"},{"id":16,"name":"Locomotive ID","value":"4046"},{"id":130,"name":"Impact","value":"Unexpected Cut-Out or Disengaged"},{"id":150,"name":"Time of Event (Mountain Time)","value":"09:53:18"},{"id":151,"name":"Denver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56" s="134" t="s">
        <v>757</v>
      </c>
      <c r="AK56" s="55" t="s">
        <v>144</v>
      </c>
      <c r="AL56" s="55" t="s">
        <v>147</v>
      </c>
    </row>
    <row r="57" spans="1:38" s="1" customFormat="1" x14ac:dyDescent="0.25">
      <c r="A57" s="39" t="s">
        <v>457</v>
      </c>
      <c r="B57" s="7">
        <v>4045</v>
      </c>
      <c r="C57" s="24" t="s">
        <v>106</v>
      </c>
      <c r="D57" s="24" t="s">
        <v>318</v>
      </c>
      <c r="E57" s="15">
        <v>42635.413148148145</v>
      </c>
      <c r="F57" s="15">
        <v>42635.414490740739</v>
      </c>
      <c r="G57" s="7">
        <v>1</v>
      </c>
      <c r="H57" s="15" t="s">
        <v>220</v>
      </c>
      <c r="I57" s="15">
        <v>42635.441724537035</v>
      </c>
      <c r="J57" s="7">
        <v>0</v>
      </c>
      <c r="K57" s="121" t="str">
        <f t="shared" si="0"/>
        <v>4045/4046</v>
      </c>
      <c r="L57" s="24" t="str">
        <f>VLOOKUP(A57,'Trips&amp;Operators'!$C$1:$E$10000,3,FALSE)</f>
        <v>SANTIZO</v>
      </c>
      <c r="M57" s="6">
        <f t="shared" si="19"/>
        <v>2.7233796296059154E-2</v>
      </c>
      <c r="N57" s="7">
        <f t="shared" ref="N57:N88" si="25">24*60*SUM($M57:$M57)</f>
        <v>39.216666666325182</v>
      </c>
      <c r="O57" s="7"/>
      <c r="P57" s="7"/>
      <c r="Q57" s="25"/>
      <c r="R57" s="25"/>
      <c r="S57" s="37">
        <f t="shared" ref="S57:S88" si="26">SUM(U57:U57)/IF(AG57="EC",12,1)</f>
        <v>1</v>
      </c>
      <c r="T57" s="52" t="str">
        <f t="shared" si="4"/>
        <v>Southbound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08:54:56-0600',mode:absolute,to:'2016-09-22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7" s="54" t="str">
        <f t="shared" si="21"/>
        <v>N</v>
      </c>
      <c r="X57" s="168">
        <f t="shared" si="22"/>
        <v>1</v>
      </c>
      <c r="Y57" s="69">
        <f t="shared" si="23"/>
        <v>23.298500000000001</v>
      </c>
      <c r="Z57" s="69">
        <f t="shared" si="24"/>
        <v>1.4999999999999999E-2</v>
      </c>
      <c r="AA57" s="69">
        <f t="shared" si="10"/>
        <v>23.2835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0144-22</v>
      </c>
      <c r="AE57" s="99" t="str">
        <f t="shared" si="12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57" s="96" t="str">
        <f t="shared" si="13"/>
        <v>"C:\Program Files (x86)\AstroGrep\AstroGrep.exe" /spath="%USERPROFILE%\AppData\Local\Temp\OnboardLogs" /stypes="app*4045*20160922*" /stext=" 16:.+((SYSTEM_STATE.+slice.+state.+changed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144-22 --locoid 4045 --swversion DE.1.0.7.0 --startMP 204:232985 --initTime 2016-09-22T09:54:56 --startdatetime 2016-09-22T09:56:52 --delay 1 --endMP 204:150 --enddatetime 2016-09-22T10:36:05 --enforcementcount 0 &gt;&gt;C:\Users\stu\Documents\GitHub\eaglep3-reporting\EC\2016-09-22-refined-times.txt</v>
      </c>
      <c r="AI5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{"issue":{"subject":"","project_id":79,"tracker_id":40,"status_id":1,"priority_id":2,"assigned_to_id":23,"start_date":"2016-09-22","description":"","custom_fields":[{"id":1,"name":"Subdivision","value":"EC"},{"id":4,"name":"Milepost","value":"0.015"},{"id":17,"name":"Train ID","value":"144-22"},{"id":16,"name":"Locomotive ID","value":"4045"},{"id":130,"name":"Impact","value":""},{"id":150,"name":"Time of Event (Mountain Time)","value":"10:36:05"},{"id":151,"name":"Denver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451</v>
      </c>
      <c r="B58" s="7">
        <v>4014</v>
      </c>
      <c r="C58" s="24" t="s">
        <v>106</v>
      </c>
      <c r="D58" s="24" t="s">
        <v>632</v>
      </c>
      <c r="E58" s="15">
        <v>42635.385324074072</v>
      </c>
      <c r="F58" s="15">
        <v>42635.394247685188</v>
      </c>
      <c r="G58" s="7">
        <v>3</v>
      </c>
      <c r="H58" s="15" t="s">
        <v>369</v>
      </c>
      <c r="I58" s="15">
        <v>42635.420775462961</v>
      </c>
      <c r="J58" s="7">
        <v>0</v>
      </c>
      <c r="K58" s="121" t="str">
        <f t="shared" si="0"/>
        <v>4013/4014</v>
      </c>
      <c r="L58" s="24" t="str">
        <f>VLOOKUP(A58,'Trips&amp;Operators'!$C$1:$E$10000,3,FALSE)</f>
        <v>GRASTON</v>
      </c>
      <c r="M58" s="6">
        <f t="shared" si="19"/>
        <v>2.6527777772571426E-2</v>
      </c>
      <c r="N58" s="7">
        <f t="shared" si="25"/>
        <v>38.199999992502853</v>
      </c>
      <c r="O58" s="7"/>
      <c r="P58" s="7"/>
      <c r="Q58" s="25"/>
      <c r="R58" s="25"/>
      <c r="S58" s="37">
        <f t="shared" si="26"/>
        <v>1</v>
      </c>
      <c r="T58" s="52" t="str">
        <f t="shared" si="4"/>
        <v>NorthBound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08:14:52-0600',mode:absolute,to:'2016-09-22 11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8" s="54" t="str">
        <f t="shared" si="21"/>
        <v>N</v>
      </c>
      <c r="X58" s="168">
        <f t="shared" si="22"/>
        <v>1</v>
      </c>
      <c r="Y58" s="69">
        <f t="shared" si="23"/>
        <v>4.7500000000000001E-2</v>
      </c>
      <c r="Z58" s="69">
        <f t="shared" si="24"/>
        <v>23.329799999999999</v>
      </c>
      <c r="AA58" s="69">
        <f t="shared" si="10"/>
        <v>23.282299999999999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0145-22</v>
      </c>
      <c r="AE58" s="99" t="str">
        <f t="shared" si="12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58" s="96" t="str">
        <f t="shared" si="13"/>
        <v>"C:\Program Files (x86)\AstroGrep\AstroGrep.exe" /spath="%USERPROFILE%\AppData\Local\Temp\OnboardLogs" /stypes="app*4014*20160922*"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145-22 --locoid 4014 --swversion DE.1.0.7.0 --startMP 204:475 --initTime 2016-09-22T09:14:52 --startdatetime 2016-09-22T09:27:43 --delay 3 --endMP 204:233298 --enddatetime 2016-09-22T10:05:55 --enforcementcount 0 &gt;&gt;C:\Users\stu\Documents\GitHub\eaglep3-reporting\EC\2016-09-22-refined-times.txt</v>
      </c>
      <c r="AI58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{"issue":{"subject":"","project_id":79,"tracker_id":40,"status_id":1,"priority_id":2,"assigned_to_id":23,"start_date":"2016-09-22","description":"","custom_fields":[{"id":1,"name":"Subdivision","value":"EC"},{"id":4,"name":"Milepost","value":"23.3298"},{"id":17,"name":"Train ID","value":"145-22"},{"id":16,"name":"Locomotive ID","value":"4014"},{"id":130,"name":"Impact","value":""},{"id":150,"name":"Time of Event (Mountain Time)","value":"10:05:55"},{"id":151,"name":"Denver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460</v>
      </c>
      <c r="B59" s="7">
        <v>4013</v>
      </c>
      <c r="C59" s="24" t="s">
        <v>106</v>
      </c>
      <c r="D59" s="24" t="s">
        <v>318</v>
      </c>
      <c r="E59" s="15">
        <v>42635.423692129632</v>
      </c>
      <c r="F59" s="15">
        <v>42635.425324074073</v>
      </c>
      <c r="G59" s="7">
        <v>1</v>
      </c>
      <c r="H59" s="15" t="s">
        <v>215</v>
      </c>
      <c r="I59" s="15">
        <v>42635.452106481483</v>
      </c>
      <c r="J59" s="7">
        <v>0</v>
      </c>
      <c r="K59" s="121" t="str">
        <f t="shared" si="0"/>
        <v>4013/4014</v>
      </c>
      <c r="L59" s="24" t="str">
        <f>VLOOKUP(A59,'Trips&amp;Operators'!$C$1:$E$10000,3,FALSE)</f>
        <v>GRASTON</v>
      </c>
      <c r="M59" s="6">
        <f t="shared" si="19"/>
        <v>2.6782407410792075E-2</v>
      </c>
      <c r="N59" s="7">
        <f t="shared" si="25"/>
        <v>38.566666671540588</v>
      </c>
      <c r="O59" s="7"/>
      <c r="P59" s="7"/>
      <c r="Q59" s="25"/>
      <c r="R59" s="25"/>
      <c r="S59" s="37">
        <f t="shared" si="26"/>
        <v>1</v>
      </c>
      <c r="T59" s="52" t="str">
        <f t="shared" si="4"/>
        <v>Southbound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09:10:07-0600',mode:absolute,to:'2016-09-22 11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9" s="54" t="str">
        <f t="shared" si="21"/>
        <v>N</v>
      </c>
      <c r="X59" s="168">
        <f t="shared" si="22"/>
        <v>1</v>
      </c>
      <c r="Y59" s="69">
        <f t="shared" si="23"/>
        <v>23.298500000000001</v>
      </c>
      <c r="Z59" s="69">
        <f t="shared" si="24"/>
        <v>1.6299999999999999E-2</v>
      </c>
      <c r="AA59" s="69">
        <f t="shared" si="10"/>
        <v>23.2822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1"/>
        <v>0146-22</v>
      </c>
      <c r="AE59" s="99" t="str">
        <f t="shared" si="12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59" s="96" t="str">
        <f t="shared" si="13"/>
        <v>"C:\Program Files (x86)\AstroGrep\AstroGrep.exe" /spath="%USERPROFILE%\AppData\Local\Temp\OnboardLogs" /stypes="app*4013*20160922*"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146-22 --locoid 4013 --swversion DE.1.0.7.0 --startMP 204:232985 --initTime 2016-09-22T10:10:07 --startdatetime 2016-09-22T10:12:28 --delay 1 --endMP 204:163 --enddatetime 2016-09-22T10:51:02 --enforcementcount 0 &gt;&gt;C:\Users\stu\Documents\GitHub\eaglep3-reporting\EC\2016-09-22-refined-times.txt</v>
      </c>
      <c r="AI5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{"issue":{"subject":"","project_id":79,"tracker_id":40,"status_id":1,"priority_id":2,"assigned_to_id":23,"start_date":"2016-09-22","description":"","custom_fields":[{"id":1,"name":"Subdivision","value":"EC"},{"id":4,"name":"Milepost","value":"0.0163"},{"id":17,"name":"Train ID","value":"146-22"},{"id":16,"name":"Locomotive ID","value":"4013"},{"id":130,"name":"Impact","value":""},{"id":150,"name":"Time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456</v>
      </c>
      <c r="B60" s="7">
        <v>4053</v>
      </c>
      <c r="C60" s="24" t="s">
        <v>106</v>
      </c>
      <c r="D60" s="24" t="s">
        <v>223</v>
      </c>
      <c r="E60" s="15">
        <v>42635.402881944443</v>
      </c>
      <c r="F60" s="15">
        <v>42635.405011574076</v>
      </c>
      <c r="G60" s="7">
        <v>1</v>
      </c>
      <c r="H60" s="15" t="s">
        <v>309</v>
      </c>
      <c r="I60" s="15">
        <v>42635.430266203701</v>
      </c>
      <c r="J60" s="7">
        <v>0</v>
      </c>
      <c r="K60" s="121" t="str">
        <f t="shared" si="0"/>
        <v>4053/4054</v>
      </c>
      <c r="L60" s="24" t="str">
        <f>VLOOKUP(A60,'Trips&amp;Operators'!$C$1:$E$10000,3,FALSE)</f>
        <v>SPECTOR</v>
      </c>
      <c r="M60" s="6">
        <f t="shared" si="19"/>
        <v>2.5254629625123926E-2</v>
      </c>
      <c r="N60" s="7">
        <f t="shared" si="25"/>
        <v>36.366666660178453</v>
      </c>
      <c r="O60" s="7"/>
      <c r="P60" s="7"/>
      <c r="Q60" s="25"/>
      <c r="R60" s="25"/>
      <c r="S60" s="37">
        <f t="shared" si="26"/>
        <v>1</v>
      </c>
      <c r="T60" s="52" t="str">
        <f t="shared" si="4"/>
        <v>NorthBound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08:40:09-0600',mode:absolute,to:'2016-09-22 11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0" s="54" t="str">
        <f t="shared" si="21"/>
        <v>N</v>
      </c>
      <c r="X60" s="168">
        <f t="shared" si="22"/>
        <v>1</v>
      </c>
      <c r="Y60" s="69">
        <f t="shared" si="23"/>
        <v>4.5699999999999998E-2</v>
      </c>
      <c r="Z60" s="69">
        <f t="shared" si="24"/>
        <v>23.331499999999998</v>
      </c>
      <c r="AA60" s="69">
        <f t="shared" si="10"/>
        <v>23.285799999999998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0147-22</v>
      </c>
      <c r="AE60" s="99" t="str">
        <f t="shared" si="12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60" s="96" t="str">
        <f t="shared" si="13"/>
        <v>"C:\Program Files (x86)\AstroGrep\AstroGrep.exe" /spath="%USERPROFILE%\AppData\Local\Temp\OnboardLogs" /stypes="app*4053*20160922*"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147-22 --locoid 4053 --swversion DE.1.0.7.0 --startMP 204:457 --initTime 2016-09-22T09:40:09 --startdatetime 2016-09-22T09:43:13 --delay 1 --endMP 204:233315 --enddatetime 2016-09-22T10:19:35 --enforcementcount 0 &gt;&gt;C:\Users\stu\Documents\GitHub\eaglep3-reporting\EC\2016-09-22-refined-times.txt</v>
      </c>
      <c r="AI60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{"issue":{"subject":"","project_id":79,"tracker_id":40,"status_id":1,"priority_id":2,"assigned_to_id":23,"start_date":"2016-09-22","description":"","custom_fields":[{"id":1,"name":"Subdivision","value":"EC"},{"id":4,"name":"Milepost","value":"23.3315"},{"id":17,"name":"Train ID","value":"147-22"},{"id":16,"name":"Locomotive ID","value":"4053"},{"id":130,"name":"Impact","value":""},{"id":150,"name":"Time of Event (Mountain Time)","value":"10:19:35"},{"id":151,"name":"Denver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463</v>
      </c>
      <c r="B61" s="7">
        <v>4054</v>
      </c>
      <c r="C61" s="24" t="s">
        <v>106</v>
      </c>
      <c r="D61" s="24" t="s">
        <v>318</v>
      </c>
      <c r="E61" s="15">
        <v>42635.434756944444</v>
      </c>
      <c r="F61" s="15">
        <v>42635.436157407406</v>
      </c>
      <c r="G61" s="7">
        <v>1</v>
      </c>
      <c r="H61" s="15" t="s">
        <v>215</v>
      </c>
      <c r="I61" s="15">
        <v>42635.463263888887</v>
      </c>
      <c r="J61" s="7">
        <v>0</v>
      </c>
      <c r="K61" s="121" t="str">
        <f t="shared" si="0"/>
        <v>4053/4054</v>
      </c>
      <c r="L61" s="24" t="str">
        <f>VLOOKUP(A61,'Trips&amp;Operators'!$C$1:$E$10000,3,FALSE)</f>
        <v>SPECTOR</v>
      </c>
      <c r="M61" s="6">
        <f t="shared" si="19"/>
        <v>2.7106481480586808E-2</v>
      </c>
      <c r="N61" s="7">
        <f t="shared" si="25"/>
        <v>39.033333332045004</v>
      </c>
      <c r="O61" s="7"/>
      <c r="P61" s="7"/>
      <c r="Q61" s="25"/>
      <c r="R61" s="25"/>
      <c r="S61" s="37">
        <f t="shared" si="26"/>
        <v>1</v>
      </c>
      <c r="T61" s="52" t="str">
        <f t="shared" si="4"/>
        <v>Southbound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09:26:03-0600',mode:absolute,to:'2016-09-22 12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1" s="54" t="str">
        <f t="shared" si="21"/>
        <v>N</v>
      </c>
      <c r="X61" s="168">
        <f t="shared" si="22"/>
        <v>1</v>
      </c>
      <c r="Y61" s="69">
        <f t="shared" si="23"/>
        <v>23.298500000000001</v>
      </c>
      <c r="Z61" s="69">
        <f t="shared" si="24"/>
        <v>1.6299999999999999E-2</v>
      </c>
      <c r="AA61" s="69">
        <f t="shared" si="10"/>
        <v>23.2822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1"/>
        <v>0148-22</v>
      </c>
      <c r="AE61" s="99" t="str">
        <f t="shared" si="12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61" s="96" t="str">
        <f t="shared" si="13"/>
        <v>"C:\Program Files (x86)\AstroGrep\AstroGrep.exe" /spath="%USERPROFILE%\AppData\Local\Temp\OnboardLogs" /stypes="app*4054*20160922*" /stext=" 17:.+((SYSTEM_STATE.+slice.+state.+changed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148-22 --locoid 4054 --swversion DE.1.0.7.0 --startMP 204:232985 --initTime 2016-09-22T10:26:03 --startdatetime 2016-09-22T10:28:04 --delay 1 --endMP 204:163 --enddatetime 2016-09-22T11:07:06 --enforcementcount 0 &gt;&gt;C:\Users\stu\Documents\GitHub\eaglep3-reporting\EC\2016-09-22-refined-times.txt</v>
      </c>
      <c r="AI6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{"issue":{"subject":"","project_id":79,"tracker_id":40,"status_id":1,"priority_id":2,"assigned_to_id":23,"start_date":"2016-09-22","description":"","custom_fields":[{"id":1,"name":"Subdivision","value":"EC"},{"id":4,"name":"Milepost","value":"0.0163"},{"id":17,"name":"Train ID","value":"148-22"},{"id":16,"name":"Locomotive ID","value":"4054"},{"id":130,"name":"Impact","value":""},{"id":150,"name":"Time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458</v>
      </c>
      <c r="B62" s="7">
        <v>4029</v>
      </c>
      <c r="C62" s="24" t="s">
        <v>106</v>
      </c>
      <c r="D62" s="24" t="s">
        <v>633</v>
      </c>
      <c r="E62" s="15">
        <v>42635.41333333333</v>
      </c>
      <c r="F62" s="15">
        <v>42635.416944444441</v>
      </c>
      <c r="G62" s="7">
        <v>1</v>
      </c>
      <c r="H62" s="15" t="s">
        <v>263</v>
      </c>
      <c r="I62" s="15">
        <v>42635.442442129628</v>
      </c>
      <c r="J62" s="7">
        <v>0</v>
      </c>
      <c r="K62" s="121" t="str">
        <f t="shared" si="0"/>
        <v>4029/4030</v>
      </c>
      <c r="L62" s="24" t="str">
        <f>VLOOKUP(A62,'Trips&amp;Operators'!$C$1:$E$10000,3,FALSE)</f>
        <v>MALAVE</v>
      </c>
      <c r="M62" s="6">
        <f t="shared" si="19"/>
        <v>2.5497685186564922E-2</v>
      </c>
      <c r="N62" s="7">
        <f t="shared" si="25"/>
        <v>36.716666668653488</v>
      </c>
      <c r="O62" s="7"/>
      <c r="P62" s="7"/>
      <c r="Q62" s="25"/>
      <c r="R62" s="25"/>
      <c r="S62" s="37">
        <f t="shared" si="26"/>
        <v>1</v>
      </c>
      <c r="T62" s="52" t="str">
        <f t="shared" si="4"/>
        <v>NorthBound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08:55:12-0600',mode:absolute,to:'2016-09-22 11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62" s="54" t="str">
        <f t="shared" si="21"/>
        <v>N</v>
      </c>
      <c r="X62" s="168" t="e">
        <f>VALUE(LEFT(AD62,4))-VALUE(LEFT(#REF!,4))</f>
        <v>#REF!</v>
      </c>
      <c r="Y62" s="69">
        <f t="shared" si="23"/>
        <v>4.7800000000000002E-2</v>
      </c>
      <c r="Z62" s="69">
        <f t="shared" si="24"/>
        <v>23.3293</v>
      </c>
      <c r="AA62" s="69">
        <f t="shared" si="10"/>
        <v>23.281500000000001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 t="shared" si="11"/>
        <v>0151-22</v>
      </c>
      <c r="AE62" s="99" t="str">
        <f t="shared" si="12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62" s="96" t="str">
        <f t="shared" si="13"/>
        <v>"C:\Program Files (x86)\AstroGrep\AstroGrep.exe" /spath="%USERPROFILE%\AppData\Local\Temp\OnboardLogs" /stypes="app*4029*20160922*" /stext=" 16:.+((SYSTEM_STATE.+slice.+state.+changed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151-22 --locoid 4029 --swversion DE.1.0.7.0 --startMP 204:478 --initTime 2016-09-22T09:55:12 --startdatetime 2016-09-22T10:00:24 --delay 1 --endMP 204:233293 --enddatetime 2016-09-22T10:37:07 --enforcementcount 0 &gt;&gt;C:\Users\stu\Documents\GitHub\eaglep3-reporting\EC\2016-09-22-refined-times.txt</v>
      </c>
      <c r="AI6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{"issue":{"subject":"","project_id":79,"tracker_id":40,"status_id":1,"priority_id":2,"assigned_to_id":23,"start_date":"2016-09-22","description":"","custom_fields":[{"id":1,"name":"Subdivision","value":"EC"},{"id":4,"name":"Milepost","value":"23.3293"},{"id":17,"name":"Train ID","value":"151-22"},{"id":16,"name":"Locomotive ID","value":"4029"},{"id":130,"name":"Impact","value":""},{"id":150,"name":"Time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468</v>
      </c>
      <c r="B63" s="7">
        <v>4030</v>
      </c>
      <c r="C63" s="24" t="s">
        <v>106</v>
      </c>
      <c r="D63" s="24" t="s">
        <v>634</v>
      </c>
      <c r="E63" s="15">
        <v>42635.452939814815</v>
      </c>
      <c r="F63" s="15">
        <v>42635.45584490741</v>
      </c>
      <c r="G63" s="7">
        <v>4</v>
      </c>
      <c r="H63" s="15" t="s">
        <v>217</v>
      </c>
      <c r="I63" s="15">
        <v>42635.481886574074</v>
      </c>
      <c r="J63" s="7">
        <v>0</v>
      </c>
      <c r="K63" s="121" t="str">
        <f t="shared" si="0"/>
        <v>4029/4030</v>
      </c>
      <c r="L63" s="24" t="str">
        <f>VLOOKUP(A63,'Trips&amp;Operators'!$C$1:$E$10000,3,FALSE)</f>
        <v>MALAVE</v>
      </c>
      <c r="M63" s="6">
        <f t="shared" si="19"/>
        <v>2.6041666664241347E-2</v>
      </c>
      <c r="N63" s="7">
        <f t="shared" si="25"/>
        <v>37.49999999650754</v>
      </c>
      <c r="O63" s="7"/>
      <c r="P63" s="7"/>
      <c r="Q63" s="25"/>
      <c r="R63" s="25"/>
      <c r="S63" s="37">
        <f t="shared" si="26"/>
        <v>1</v>
      </c>
      <c r="T63" s="52" t="str">
        <f t="shared" si="4"/>
        <v>Southbound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09:52:14-0600',mode:absolute,to:'2016-09-22 12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63" s="54" t="str">
        <f t="shared" si="21"/>
        <v>N</v>
      </c>
      <c r="X63" s="168">
        <f t="shared" ref="X63:X64" si="27">VALUE(LEFT(AD63,4))-VALUE(LEFT(AD62,4))</f>
        <v>1</v>
      </c>
      <c r="Y63" s="69">
        <f t="shared" si="23"/>
        <v>23.296600000000002</v>
      </c>
      <c r="Z63" s="69">
        <f t="shared" si="24"/>
        <v>1.5800000000000002E-2</v>
      </c>
      <c r="AA63" s="69">
        <f t="shared" si="10"/>
        <v>23.280800000000003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0152-22</v>
      </c>
      <c r="AE63" s="99" t="str">
        <f t="shared" si="12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63" s="96" t="str">
        <f t="shared" si="13"/>
        <v>"C:\Program Files (x86)\AstroGrep\AstroGrep.exe" /spath="%USERPROFILE%\AppData\Local\Temp\OnboardLogs" /stypes="app*4030*20160922*" /stext=" 17:.+((SYSTEM_STATE.+slice.+state.+changed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152-22 --locoid 4030 --swversion DE.1.0.7.0 --startMP 204:232966 --initTime 2016-09-22T10:52:14 --startdatetime 2016-09-22T10:56:25 --delay 4 --endMP 204:158 --enddatetime 2016-09-22T11:33:55 --enforcementcount 0 &gt;&gt;C:\Users\stu\Documents\GitHub\eaglep3-reporting\EC\2016-09-22-refined-times.txt</v>
      </c>
      <c r="AI6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{"issue":{"subject":"","project_id":79,"tracker_id":40,"status_id":1,"priority_id":2,"assigned_to_id":23,"start_date":"2016-09-22","description":"","custom_fields":[{"id":1,"name":"Subdivision","value":"EC"},{"id":4,"name":"Milepost","value":"0.0158"},{"id":17,"name":"Train ID","value":"152-22"},{"id":16,"name":"Locomotive ID","value":"4030"},{"id":130,"name":"Impact","value":""},{"id":150,"name":"Time of Event (Mountain Time)","value":"11:33:55"},{"id":151,"name":"Denver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459</v>
      </c>
      <c r="B64" s="7">
        <v>4002</v>
      </c>
      <c r="C64" s="24" t="s">
        <v>106</v>
      </c>
      <c r="D64" s="24" t="s">
        <v>231</v>
      </c>
      <c r="E64" s="15">
        <v>42635.421226851853</v>
      </c>
      <c r="F64" s="15">
        <v>42635.42728009259</v>
      </c>
      <c r="G64" s="7">
        <v>1</v>
      </c>
      <c r="H64" s="15" t="s">
        <v>356</v>
      </c>
      <c r="I64" s="15">
        <v>42635.451249999998</v>
      </c>
      <c r="J64" s="7">
        <v>0</v>
      </c>
      <c r="K64" s="121" t="str">
        <f t="shared" si="0"/>
        <v>4001/4002</v>
      </c>
      <c r="L64" s="24" t="str">
        <f>VLOOKUP(A64,'Trips&amp;Operators'!$C$1:$E$10000,3,FALSE)</f>
        <v>ROCHA</v>
      </c>
      <c r="M64" s="6">
        <f t="shared" si="19"/>
        <v>2.396990740817273E-2</v>
      </c>
      <c r="N64" s="7">
        <f t="shared" si="25"/>
        <v>34.516666667768732</v>
      </c>
      <c r="O64" s="7"/>
      <c r="P64" s="7"/>
      <c r="Q64" s="25"/>
      <c r="R64" s="25"/>
      <c r="S64" s="37">
        <f t="shared" si="26"/>
        <v>1</v>
      </c>
      <c r="T64" s="52" t="str">
        <f t="shared" si="4"/>
        <v>NorthBound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09:06:34-0600',mode:absolute,to:'2016-09-22 11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4" s="54" t="str">
        <f t="shared" si="21"/>
        <v>N</v>
      </c>
      <c r="X64" s="168">
        <f t="shared" si="27"/>
        <v>1</v>
      </c>
      <c r="Y64" s="69">
        <f t="shared" si="23"/>
        <v>4.5999999999999999E-2</v>
      </c>
      <c r="Z64" s="69">
        <f t="shared" si="24"/>
        <v>23.328399999999998</v>
      </c>
      <c r="AA64" s="69">
        <f t="shared" si="10"/>
        <v>23.282399999999999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1"/>
        <v>0153-22</v>
      </c>
      <c r="AE64" s="99" t="str">
        <f t="shared" si="12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64" s="96" t="str">
        <f t="shared" si="13"/>
        <v>"C:\Program Files (x86)\AstroGrep\AstroGrep.exe" /spath="%USERPROFILE%\AppData\Local\Temp\OnboardLogs" /stypes="app*4002*20160922*" /stext=" 16:.+((SYSTEM_STATE.+slice.+state.+changed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153-22 --locoid 4002 --swversion DE.1.0.7.0 --startMP 204:460 --initTime 2016-09-22T10:06:34 --startdatetime 2016-09-22T10:15:17 --delay 1 --endMP 204:233284 --enddatetime 2016-09-22T10:49:48 --enforcementcount 0 &gt;&gt;C:\Users\stu\Documents\GitHub\eaglep3-reporting\EC\2016-09-22-refined-times.txt</v>
      </c>
      <c r="AI64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{"issue":{"subject":"","project_id":79,"tracker_id":40,"status_id":1,"priority_id":2,"assigned_to_id":23,"start_date":"2016-09-22","description":"","custom_fields":[{"id":1,"name":"Subdivision","value":"EC"},{"id":4,"name":"Milepost","value":"23.3284"},{"id":17,"name":"Train ID","value":"153-22"},{"id":16,"name":"Locomotive ID","value":"4002"},{"id":130,"name":"Impact","value":""},{"id":150,"name":"Time of Event (Mountain Time)","value":"10:49:48"},{"id":151,"name":"Denver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471</v>
      </c>
      <c r="B65" s="7">
        <v>4001</v>
      </c>
      <c r="C65" s="24" t="s">
        <v>106</v>
      </c>
      <c r="D65" s="24" t="s">
        <v>371</v>
      </c>
      <c r="E65" s="15">
        <v>42635.457233796296</v>
      </c>
      <c r="F65" s="15">
        <v>42635.466458333336</v>
      </c>
      <c r="G65" s="7">
        <v>2</v>
      </c>
      <c r="H65" s="15" t="s">
        <v>635</v>
      </c>
      <c r="I65" s="15">
        <v>42635.494537037041</v>
      </c>
      <c r="J65" s="7">
        <v>0</v>
      </c>
      <c r="K65" s="121" t="str">
        <f t="shared" si="0"/>
        <v>4001/4002</v>
      </c>
      <c r="L65" s="24" t="str">
        <f>VLOOKUP(A65,'Trips&amp;Operators'!$C$1:$E$10000,3,FALSE)</f>
        <v>ROCHA</v>
      </c>
      <c r="M65" s="6">
        <f t="shared" si="19"/>
        <v>2.8078703704522923E-2</v>
      </c>
      <c r="N65" s="7">
        <f t="shared" si="25"/>
        <v>40.433333334513009</v>
      </c>
      <c r="O65" s="7"/>
      <c r="P65" s="7"/>
      <c r="Q65" s="25"/>
      <c r="R65" s="25"/>
      <c r="S65" s="37">
        <f t="shared" si="26"/>
        <v>1</v>
      </c>
      <c r="T65" s="52" t="str">
        <f t="shared" si="4"/>
        <v>Southbound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09:58:25-0600',mode:absolute,to:'2016-09-22 12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5" s="54" t="str">
        <f t="shared" si="21"/>
        <v>N</v>
      </c>
      <c r="X65" s="168">
        <f>VALUE(LEFT(AD65,4))-VALUE(LEFT(AD64,4))</f>
        <v>1</v>
      </c>
      <c r="Y65" s="69">
        <f t="shared" si="23"/>
        <v>23.2973</v>
      </c>
      <c r="Z65" s="69">
        <f t="shared" si="24"/>
        <v>1.8100000000000002E-2</v>
      </c>
      <c r="AA65" s="69">
        <f t="shared" si="10"/>
        <v>23.279199999999999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1"/>
        <v>0154-22</v>
      </c>
      <c r="AE65" s="99" t="str">
        <f t="shared" si="12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65" s="96" t="str">
        <f t="shared" si="13"/>
        <v>"C:\Program Files (x86)\AstroGrep\AstroGrep.exe" /spath="%USERPROFILE%\AppData\Local\Temp\OnboardLogs" /stypes="app*4001*20160922*" /stext=" 17:.+((SYSTEM_STATE.+slice.+state.+changed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154-22 --locoid 4001 --swversion DE.1.0.7.0 --startMP 204:232973 --initTime 2016-09-22T10:58:25 --startdatetime 2016-09-22T11:11:42 --delay 2 --endMP 204:181 --enddatetime 2016-09-22T11:52:08 --enforcementcount 0 &gt;&gt;C:\Users\stu\Documents\GitHub\eaglep3-reporting\EC\2016-09-22-refined-times.txt</v>
      </c>
      <c r="AI6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{"issue":{"subject":"","project_id":79,"tracker_id":40,"status_id":1,"priority_id":2,"assigned_to_id":23,"start_date":"2016-09-22","description":"","custom_fields":[{"id":1,"name":"Subdivision","value":"EC"},{"id":4,"name":"Milepost","value":"0.0181"},{"id":17,"name":"Train ID","value":"154-22"},{"id":16,"name":"Locomotive ID","value":"4001"},{"id":130,"name":"Impact","value":""},{"id":150,"name":"Time of Event (Mountain Time)","value":"11:52:08"},{"id":151,"name":"Denver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461</v>
      </c>
      <c r="B66" s="7">
        <v>4003</v>
      </c>
      <c r="C66" s="24" t="s">
        <v>106</v>
      </c>
      <c r="D66" s="24" t="s">
        <v>636</v>
      </c>
      <c r="E66" s="15">
        <v>42635.425567129627</v>
      </c>
      <c r="F66" s="15">
        <v>42635.437696759262</v>
      </c>
      <c r="G66" s="7">
        <v>1</v>
      </c>
      <c r="H66" s="15" t="s">
        <v>321</v>
      </c>
      <c r="I66" s="15">
        <v>42635.461898148147</v>
      </c>
      <c r="J66" s="7">
        <v>0</v>
      </c>
      <c r="K66" s="121" t="str">
        <f t="shared" si="0"/>
        <v>4003/4004</v>
      </c>
      <c r="L66" s="24" t="str">
        <f>VLOOKUP(A66,'Trips&amp;Operators'!$C$1:$E$10000,3,FALSE)</f>
        <v>YORK</v>
      </c>
      <c r="M66" s="6">
        <f t="shared" si="19"/>
        <v>2.4201388885558117E-2</v>
      </c>
      <c r="N66" s="7">
        <f t="shared" si="25"/>
        <v>34.849999995203689</v>
      </c>
      <c r="O66" s="7"/>
      <c r="P66" s="7"/>
      <c r="Q66" s="25"/>
      <c r="R66" s="25"/>
      <c r="S66" s="37">
        <f t="shared" si="26"/>
        <v>1</v>
      </c>
      <c r="T66" s="52" t="str">
        <f t="shared" si="4"/>
        <v>NorthBound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09:12:49-0600',mode:absolute,to:'2016-09-22 12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6" s="54" t="str">
        <f t="shared" si="21"/>
        <v>N</v>
      </c>
      <c r="X66" s="168">
        <f>VALUE(LEFT(AD66,4))-VALUE(LEFT(AD65,4))</f>
        <v>1</v>
      </c>
      <c r="Y66" s="69">
        <f t="shared" si="23"/>
        <v>4.1599999999999998E-2</v>
      </c>
      <c r="Z66" s="69">
        <f t="shared" si="24"/>
        <v>23.328900000000001</v>
      </c>
      <c r="AA66" s="69">
        <f t="shared" si="10"/>
        <v>23.287300000000002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1"/>
        <v>0155-22</v>
      </c>
      <c r="AE66" s="99" t="str">
        <f t="shared" si="12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66" s="96" t="str">
        <f t="shared" si="13"/>
        <v>"C:\Program Files (x86)\AstroGrep\AstroGrep.exe" /spath="%USERPROFILE%\AppData\Local\Temp\OnboardLogs" /stypes="app*4003*20160922*"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155-22 --locoid 4003 --swversion DE.1.0.7.0 --startMP 204:416 --initTime 2016-09-22T10:12:49 --startdatetime 2016-09-22T10:30:17 --delay 1 --endMP 204:233289 --enddatetime 2016-09-22T11:05:08 --enforcementcount 0 &gt;&gt;C:\Users\stu\Documents\GitHub\eaglep3-reporting\EC\2016-09-22-refined-times.txt</v>
      </c>
      <c r="AI66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{"issue":{"subject":"","project_id":79,"tracker_id":40,"status_id":1,"priority_id":2,"assigned_to_id":23,"start_date":"2016-09-22","description":"","custom_fields":[{"id":1,"name":"Subdivision","value":"EC"},{"id":4,"name":"Milepost","value":"23.3289"},{"id":17,"name":"Train ID","value":"155-22"},{"id":16,"name":"Locomotive ID","value":"4003"},{"id":130,"name":"Impact","value":""},{"id":150,"name":"Time of Event (Mountain Time)","value":"11:05:08"},{"id":151,"name":"Denver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473</v>
      </c>
      <c r="B67" s="7">
        <v>4004</v>
      </c>
      <c r="C67" s="24" t="s">
        <v>106</v>
      </c>
      <c r="D67" s="24" t="s">
        <v>637</v>
      </c>
      <c r="E67" s="15">
        <v>42635.462939814817</v>
      </c>
      <c r="F67" s="15">
        <v>42635.476643518516</v>
      </c>
      <c r="G67" s="7">
        <v>1</v>
      </c>
      <c r="H67" s="15" t="s">
        <v>218</v>
      </c>
      <c r="I67" s="15">
        <v>42635.502337962964</v>
      </c>
      <c r="J67" s="7">
        <v>0</v>
      </c>
      <c r="K67" s="121" t="str">
        <f t="shared" si="0"/>
        <v>4003/4004</v>
      </c>
      <c r="L67" s="24" t="str">
        <f>VLOOKUP(A67,'Trips&amp;Operators'!$C$1:$E$10000,3,FALSE)</f>
        <v>YORK</v>
      </c>
      <c r="M67" s="6">
        <f t="shared" si="19"/>
        <v>2.5694444448163267E-2</v>
      </c>
      <c r="N67" s="7">
        <f t="shared" si="25"/>
        <v>37.000000005355105</v>
      </c>
      <c r="O67" s="7"/>
      <c r="P67" s="7"/>
      <c r="Q67" s="25"/>
      <c r="R67" s="25"/>
      <c r="S67" s="37">
        <f t="shared" si="26"/>
        <v>1</v>
      </c>
      <c r="T67" s="52" t="str">
        <f t="shared" si="4"/>
        <v>Southbound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10:06:38-0600',mode:absolute,to:'2016-09-22 13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7" s="54" t="str">
        <f t="shared" si="21"/>
        <v>N</v>
      </c>
      <c r="X67" s="168">
        <f>VALUE(LEFT(AD67,4))-VALUE(LEFT(AD66,4))</f>
        <v>1</v>
      </c>
      <c r="Y67" s="69">
        <f t="shared" si="23"/>
        <v>23.296800000000001</v>
      </c>
      <c r="Z67" s="69">
        <f t="shared" si="24"/>
        <v>1.47E-2</v>
      </c>
      <c r="AA67" s="69">
        <f t="shared" si="10"/>
        <v>23.2821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0156-22</v>
      </c>
      <c r="AE67" s="99" t="str">
        <f t="shared" si="12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67" s="96" t="str">
        <f t="shared" si="13"/>
        <v>"C:\Program Files (x86)\AstroGrep\AstroGrep.exe" /spath="%USERPROFILE%\AppData\Local\Temp\OnboardLogs" /stypes="app*4004*20160922*" /stext=" 18:.+((SYSTEM_STATE.+slice.+state.+changed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156-22 --locoid 4004 --swversion DE.1.0.7.0 --startMP 204:232968 --initTime 2016-09-22T11:06:38 --startdatetime 2016-09-22T11:26:22 --delay 1 --endMP 204:147 --enddatetime 2016-09-22T12:03:22 --enforcementcount 0 &gt;&gt;C:\Users\stu\Documents\GitHub\eaglep3-reporting\EC\2016-09-22-refined-times.txt</v>
      </c>
      <c r="AI67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{"issue":{"subject":"","project_id":79,"tracker_id":40,"status_id":1,"priority_id":2,"assigned_to_id":23,"start_date":"2016-09-22","description":"","custom_fields":[{"id":1,"name":"Subdivision","value":"EC"},{"id":4,"name":"Milepost","value":"0.0147"},{"id":17,"name":"Train ID","value":"156-22"},{"id":16,"name":"Locomotive ID","value":"4004"},{"id":130,"name":"Impact","value":""},{"id":150,"name":"Time of Event (Mountain Time)","value":"12:03:22"},{"id":151,"name":"Denver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464</v>
      </c>
      <c r="B68" s="7">
        <v>4031</v>
      </c>
      <c r="C68" s="24" t="s">
        <v>106</v>
      </c>
      <c r="D68" s="24" t="s">
        <v>216</v>
      </c>
      <c r="E68" s="15">
        <v>42635.435740740744</v>
      </c>
      <c r="F68" s="15">
        <v>42635.448148148149</v>
      </c>
      <c r="G68" s="7">
        <v>2</v>
      </c>
      <c r="H68" s="15" t="s">
        <v>221</v>
      </c>
      <c r="I68" s="15">
        <v>42635.474189814813</v>
      </c>
      <c r="J68" s="7">
        <v>0</v>
      </c>
      <c r="K68" s="121" t="str">
        <f t="shared" si="0"/>
        <v>4031/4032</v>
      </c>
      <c r="L68" s="24" t="str">
        <f>VLOOKUP(A68,'Trips&amp;Operators'!$C$1:$E$10000,3,FALSE)</f>
        <v>STARKS</v>
      </c>
      <c r="M68" s="6">
        <f t="shared" si="19"/>
        <v>2.6041666664241347E-2</v>
      </c>
      <c r="N68" s="7">
        <f t="shared" si="25"/>
        <v>37.49999999650754</v>
      </c>
      <c r="O68" s="7"/>
      <c r="P68" s="7"/>
      <c r="Q68" s="25"/>
      <c r="R68" s="25"/>
      <c r="S68" s="37">
        <f t="shared" si="26"/>
        <v>1</v>
      </c>
      <c r="T68" s="52" t="str">
        <f t="shared" si="4"/>
        <v>NorthBound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09:27:28-0600',mode:absolute,to:'2016-09-22 12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8" s="54" t="str">
        <f t="shared" si="21"/>
        <v>N</v>
      </c>
      <c r="X68" s="168">
        <f>VALUE(LEFT(AD68,4))-VALUE(LEFT(AD67,4))</f>
        <v>1</v>
      </c>
      <c r="Y68" s="69">
        <f t="shared" si="23"/>
        <v>4.7100000000000003E-2</v>
      </c>
      <c r="Z68" s="69">
        <f t="shared" si="24"/>
        <v>23.3291</v>
      </c>
      <c r="AA68" s="69">
        <f t="shared" si="10"/>
        <v>23.282</v>
      </c>
      <c r="AB68" s="66" t="str">
        <f>VLOOKUP(A68,Enforcements!$C$7:$K$20,8,0)</f>
        <v>Speed (6)</v>
      </c>
      <c r="AC68" s="62" t="str">
        <f>VLOOKUP(A68,Enforcements!$C$7:$E$20,3,0)</f>
        <v>PERMANENT SPEED RESTRICTION</v>
      </c>
      <c r="AD68" s="63" t="str">
        <f t="shared" si="11"/>
        <v>0157-22</v>
      </c>
      <c r="AE68" s="99" t="str">
        <f t="shared" si="12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68" s="96" t="str">
        <f t="shared" si="13"/>
        <v>"C:\Program Files (x86)\AstroGrep\AstroGrep.exe" /spath="%USERPROFILE%\AppData\Local\Temp\OnboardLogs" /stypes="app*4031*20160922*"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157-22 --locoid 4031 --swversion DE.1.0.7.0 --startMP 204:471 --initTime 2016-09-22T10:27:28 --startdatetime 2016-09-22T10:45:20 --delay 2 --endMP 204:233291 --enddatetime 2016-09-22T11:22:50 --enforcementcount 0 &gt;&gt;C:\Users\stu\Documents\GitHub\eaglep3-reporting\EC\2016-09-22-refined-times.txt</v>
      </c>
      <c r="AI68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{"issue":{"subject":"","project_id":79,"tracker_id":40,"status_id":1,"priority_id":2,"assigned_to_id":23,"start_date":"2016-09-22","description":"","custom_fields":[{"id":1,"name":"Subdivision","value":"EC"},{"id":4,"name":"Milepost","value":"23.3291"},{"id":17,"name":"Train ID","value":"157-22"},{"id":16,"name":"Locomotive ID","value":"4031"},{"id":130,"name":"Impact","value":""},{"id":150,"name":"Time of Event (Mountain Time)","value":"11:22:50"},{"id":151,"name":"Denver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476</v>
      </c>
      <c r="B69" s="7">
        <v>4032</v>
      </c>
      <c r="C69" s="24" t="s">
        <v>106</v>
      </c>
      <c r="D69" s="24" t="s">
        <v>286</v>
      </c>
      <c r="E69" s="15">
        <v>42635.47583333333</v>
      </c>
      <c r="F69" s="15">
        <v>42635.487013888887</v>
      </c>
      <c r="G69" s="7">
        <v>1</v>
      </c>
      <c r="H69" s="15" t="s">
        <v>234</v>
      </c>
      <c r="I69" s="15">
        <v>42635.513483796298</v>
      </c>
      <c r="J69" s="7">
        <v>0</v>
      </c>
      <c r="K69" s="121" t="str">
        <f t="shared" si="0"/>
        <v>4031/4032</v>
      </c>
      <c r="L69" s="24" t="str">
        <f>VLOOKUP(A69,'Trips&amp;Operators'!$C$1:$E$10000,3,FALSE)</f>
        <v>STARKS</v>
      </c>
      <c r="M69" s="6">
        <f t="shared" si="19"/>
        <v>2.6469907410501037E-2</v>
      </c>
      <c r="N69" s="7">
        <f t="shared" si="25"/>
        <v>38.116666671121493</v>
      </c>
      <c r="O69" s="7"/>
      <c r="P69" s="7"/>
      <c r="Q69" s="25"/>
      <c r="R69" s="25"/>
      <c r="S69" s="37">
        <f t="shared" si="26"/>
        <v>1</v>
      </c>
      <c r="T69" s="52" t="str">
        <f t="shared" si="4"/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10:25:12-0600',mode:absolute,to:'2016-09-22 13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9" s="54" t="str">
        <f t="shared" si="21"/>
        <v>N</v>
      </c>
      <c r="X69" s="168">
        <f t="shared" ref="X69:X74" si="28">VALUE(LEFT(AD69,4))-VALUE(LEFT(AD68,4))</f>
        <v>1</v>
      </c>
      <c r="Y69" s="69">
        <f t="shared" si="23"/>
        <v>23.2959</v>
      </c>
      <c r="Z69" s="69">
        <f t="shared" si="24"/>
        <v>1.38E-2</v>
      </c>
      <c r="AA69" s="69">
        <f t="shared" si="10"/>
        <v>23.2821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1"/>
        <v>0158-22</v>
      </c>
      <c r="AE69" s="99" t="str">
        <f t="shared" si="12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69" s="96" t="str">
        <f t="shared" si="13"/>
        <v>"C:\Program Files (x86)\AstroGrep\AstroGrep.exe" /spath="%USERPROFILE%\AppData\Local\Temp\OnboardLogs" /stypes="app*4032*20160922*" /stext=" 18:.+((SYSTEM_STATE.+slice.+state.+changed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158-22 --locoid 4032 --swversion DE.1.0.7.0 --startMP 204:232959 --initTime 2016-09-22T11:25:12 --startdatetime 2016-09-22T11:41:18 --delay 1 --endMP 204:138 --enddatetime 2016-09-22T12:19:25 --enforcementcount 0 &gt;&gt;C:\Users\stu\Documents\GitHub\eaglep3-reporting\EC\2016-09-22-refined-times.txt</v>
      </c>
      <c r="AI69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{"issue":{"subject":"","project_id":79,"tracker_id":40,"status_id":1,"priority_id":2,"assigned_to_id":23,"start_date":"2016-09-22","description":"","custom_fields":[{"id":1,"name":"Subdivision","value":"EC"},{"id":4,"name":"Milepost","value":"0.0138"},{"id":17,"name":"Train ID","value":"158-22"},{"id":16,"name":"Locomotive ID","value":"4032"},{"id":130,"name":"Impact","value":""},{"id":150,"name":"Time of Event (Mountain Time)","value":"12:19:25"},{"id":151,"name":"Denver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467</v>
      </c>
      <c r="B70" s="7">
        <v>4046</v>
      </c>
      <c r="C70" s="24" t="s">
        <v>106</v>
      </c>
      <c r="D70" s="24" t="s">
        <v>262</v>
      </c>
      <c r="E70" s="15">
        <v>42635.456134259257</v>
      </c>
      <c r="F70" s="15">
        <v>42635.459282407406</v>
      </c>
      <c r="G70" s="7">
        <v>1</v>
      </c>
      <c r="H70" s="15" t="s">
        <v>638</v>
      </c>
      <c r="I70" s="15">
        <v>42635.484224537038</v>
      </c>
      <c r="J70" s="7">
        <v>0</v>
      </c>
      <c r="K70" s="121" t="str">
        <f t="shared" si="0"/>
        <v>4045/4046</v>
      </c>
      <c r="L70" s="24" t="str">
        <f>VLOOKUP(A70,'Trips&amp;Operators'!$C$1:$E$10000,3,FALSE)</f>
        <v>BEAM</v>
      </c>
      <c r="M70" s="6">
        <f t="shared" si="19"/>
        <v>2.4942129632108845E-2</v>
      </c>
      <c r="N70" s="7">
        <f t="shared" si="25"/>
        <v>35.916666670236737</v>
      </c>
      <c r="O70" s="7"/>
      <c r="P70" s="7"/>
      <c r="Q70" s="25"/>
      <c r="R70" s="25"/>
      <c r="S70" s="37">
        <f t="shared" si="26"/>
        <v>1</v>
      </c>
      <c r="T70" s="52" t="str">
        <f t="shared" si="4"/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09:56:50-0600',mode:absolute,to:'2016-09-22 12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0" s="54" t="str">
        <f t="shared" si="21"/>
        <v>N</v>
      </c>
      <c r="X70" s="168">
        <f t="shared" si="28"/>
        <v>1</v>
      </c>
      <c r="Y70" s="69">
        <f t="shared" si="23"/>
        <v>4.82E-2</v>
      </c>
      <c r="Z70" s="69">
        <f t="shared" si="24"/>
        <v>23.334199999999999</v>
      </c>
      <c r="AA70" s="69">
        <f t="shared" si="10"/>
        <v>23.285999999999998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0159-22</v>
      </c>
      <c r="AE70" s="99" t="str">
        <f t="shared" si="12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70" s="96" t="str">
        <f t="shared" si="13"/>
        <v>"C:\Program Files (x86)\AstroGrep\AstroGrep.exe" /spath="%USERPROFILE%\AppData\Local\Temp\OnboardLogs" /stypes="app*4046*20160922*" /stext=" 17:.+((SYSTEM_STATE.+slice.+state.+changed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159-22 --locoid 4046 --swversion DE.1.0.7.0 --startMP 204:482 --initTime 2016-09-22T10:56:50 --startdatetime 2016-09-22T11:01:22 --delay 1 --endMP 204:233342 --enddatetime 2016-09-22T11:37:17 --enforcementcount 0 &gt;&gt;C:\Users\stu\Documents\GitHub\eaglep3-reporting\EC\2016-09-22-refined-times.txt</v>
      </c>
      <c r="AI70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{"issue":{"subject":"","project_id":79,"tracker_id":40,"status_id":1,"priority_id":2,"assigned_to_id":23,"start_date":"2016-09-22","description":"","custom_fields":[{"id":1,"name":"Subdivision","value":"EC"},{"id":4,"name":"Milepost","value":"23.3342"},{"id":17,"name":"Train ID","value":"159-22"},{"id":16,"name":"Locomotive ID","value":"4046"},{"id":130,"name":"Impact","value":""},{"id":150,"name":"Time of Event (Mountain Time)","value":"11:37:17"},{"id":151,"name":"Denver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480</v>
      </c>
      <c r="B71" s="7">
        <v>4045</v>
      </c>
      <c r="C71" s="24" t="s">
        <v>106</v>
      </c>
      <c r="D71" s="24" t="s">
        <v>639</v>
      </c>
      <c r="E71" s="15">
        <v>42635.493506944447</v>
      </c>
      <c r="F71" s="15">
        <v>42635.497581018521</v>
      </c>
      <c r="G71" s="7">
        <v>1</v>
      </c>
      <c r="H71" s="15" t="s">
        <v>640</v>
      </c>
      <c r="I71" s="15">
        <v>42635.524224537039</v>
      </c>
      <c r="J71" s="7">
        <v>0</v>
      </c>
      <c r="K71" s="121" t="str">
        <f t="shared" si="0"/>
        <v>4045/4046</v>
      </c>
      <c r="L71" s="24" t="str">
        <f>VLOOKUP(A71,'Trips&amp;Operators'!$C$1:$E$10000,3,FALSE)</f>
        <v>STAMBAUGH</v>
      </c>
      <c r="M71" s="6">
        <f t="shared" si="19"/>
        <v>2.6643518518540077E-2</v>
      </c>
      <c r="N71" s="7">
        <f t="shared" si="25"/>
        <v>38.366666666697711</v>
      </c>
      <c r="O71" s="7"/>
      <c r="P71" s="7"/>
      <c r="Q71" s="25"/>
      <c r="R71" s="25"/>
      <c r="S71" s="37">
        <f t="shared" si="26"/>
        <v>1</v>
      </c>
      <c r="T71" s="52" t="str">
        <f t="shared" si="4"/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10:50:39-0600',mode:absolute,to:'2016-09-22 13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1" s="54" t="str">
        <f t="shared" si="21"/>
        <v>N</v>
      </c>
      <c r="X71" s="168">
        <f t="shared" si="28"/>
        <v>1</v>
      </c>
      <c r="Y71" s="69">
        <f t="shared" si="23"/>
        <v>23.305299999999999</v>
      </c>
      <c r="Z71" s="69">
        <f t="shared" si="24"/>
        <v>1.7999999999999999E-2</v>
      </c>
      <c r="AA71" s="69">
        <f t="shared" si="10"/>
        <v>23.287299999999998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0160-22</v>
      </c>
      <c r="AE71" s="99" t="str">
        <f t="shared" si="12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71" s="96" t="str">
        <f t="shared" si="13"/>
        <v>"C:\Program Files (x86)\AstroGrep\AstroGrep.exe" /spath="%USERPROFILE%\AppData\Local\Temp\OnboardLogs" /stypes="app*4045*20160922*" /stext=" 18:.+((SYSTEM_STATE.+slice.+state.+changed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160-22 --locoid 4045 --swversion DE.1.0.7.0 --startMP 204:233053 --initTime 2016-09-22T11:50:39 --startdatetime 2016-09-22T11:56:31 --delay 1 --endMP 204:180 --enddatetime 2016-09-22T12:34:53 --enforcementcount 0 &gt;&gt;C:\Users\stu\Documents\GitHub\eaglep3-reporting\EC\2016-09-22-refined-times.txt</v>
      </c>
      <c r="AI71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{"issue":{"subject":"","project_id":79,"tracker_id":40,"status_id":1,"priority_id":2,"assigned_to_id":23,"start_date":"2016-09-22","description":"","custom_fields":[{"id":1,"name":"Subdivision","value":"EC"},{"id":4,"name":"Milepost","value":"0.018"},{"id":17,"name":"Train ID","value":"160-22"},{"id":16,"name":"Locomotive ID","value":"4045"},{"id":130,"name":"Impact","value":""},{"id":150,"name":"Time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472</v>
      </c>
      <c r="B72" s="7">
        <v>4014</v>
      </c>
      <c r="C72" s="24" t="s">
        <v>106</v>
      </c>
      <c r="D72" s="24" t="s">
        <v>236</v>
      </c>
      <c r="E72" s="15">
        <v>42635.462488425925</v>
      </c>
      <c r="F72" s="15">
        <v>42635.469085648147</v>
      </c>
      <c r="G72" s="7">
        <v>1</v>
      </c>
      <c r="H72" s="15" t="s">
        <v>622</v>
      </c>
      <c r="I72" s="15">
        <v>42635.494039351855</v>
      </c>
      <c r="J72" s="7">
        <v>0</v>
      </c>
      <c r="K72" s="121" t="str">
        <f t="shared" si="0"/>
        <v>4013/4014</v>
      </c>
      <c r="L72" s="24" t="str">
        <f>VLOOKUP(A72,'Trips&amp;Operators'!$C$1:$E$10000,3,FALSE)</f>
        <v>SANTIZO</v>
      </c>
      <c r="M72" s="6">
        <f t="shared" si="19"/>
        <v>2.4953703708888497E-2</v>
      </c>
      <c r="N72" s="7">
        <f t="shared" si="25"/>
        <v>35.933333340799436</v>
      </c>
      <c r="O72" s="7"/>
      <c r="P72" s="7"/>
      <c r="Q72" s="25"/>
      <c r="R72" s="25"/>
      <c r="S72" s="37">
        <f t="shared" si="26"/>
        <v>1</v>
      </c>
      <c r="T72" s="52" t="str">
        <f t="shared" si="4"/>
        <v>NorthBound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10:05:59-0600',mode:absolute,to:'2016-09-22 12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2" s="54" t="str">
        <f t="shared" si="21"/>
        <v>N</v>
      </c>
      <c r="X72" s="168">
        <f t="shared" si="28"/>
        <v>1</v>
      </c>
      <c r="Y72" s="69">
        <f t="shared" si="23"/>
        <v>4.6899999999999997E-2</v>
      </c>
      <c r="Z72" s="69">
        <f t="shared" si="24"/>
        <v>23.331600000000002</v>
      </c>
      <c r="AA72" s="69">
        <f t="shared" si="10"/>
        <v>23.284700000000001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0161-22</v>
      </c>
      <c r="AE72" s="99" t="str">
        <f t="shared" si="12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72" s="96" t="str">
        <f t="shared" si="13"/>
        <v>"C:\Program Files (x86)\AstroGrep\AstroGrep.exe" /spath="%USERPROFILE%\AppData\Local\Temp\OnboardLogs" /stypes="app*4014*20160922*" /stext=" 17:.+((SYSTEM_STATE.+slice.+state.+changed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161-22 --locoid 4014 --swversion DE.1.0.7.0 --startMP 204:469 --initTime 2016-09-22T11:05:59 --startdatetime 2016-09-22T11:15:29 --delay 1 --endMP 204:233316 --enddatetime 2016-09-22T11:51:25 --enforcementcount 0 &gt;&gt;C:\Users\stu\Documents\GitHub\eaglep3-reporting\EC\2016-09-22-refined-times.txt</v>
      </c>
      <c r="AI72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{"issue":{"subject":"","project_id":79,"tracker_id":40,"status_id":1,"priority_id":2,"assigned_to_id":23,"start_date":"2016-09-22","description":"","custom_fields":[{"id":1,"name":"Subdivision","value":"EC"},{"id":4,"name":"Milepost","value":"23.3316"},{"id":17,"name":"Train ID","value":"161-22"},{"id":16,"name":"Locomotive ID","value":"4014"},{"id":130,"name":"Impact","value":""},{"id":150,"name":"Time of Event (Mountain Time)","value":"11:51:25"},{"id":151,"name":"Denver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481</v>
      </c>
      <c r="B73" s="7">
        <v>4013</v>
      </c>
      <c r="C73" s="24" t="s">
        <v>106</v>
      </c>
      <c r="D73" s="24" t="s">
        <v>641</v>
      </c>
      <c r="E73" s="15">
        <v>42635.495613425926</v>
      </c>
      <c r="F73" s="15">
        <v>42635.507881944446</v>
      </c>
      <c r="G73" s="7">
        <v>1</v>
      </c>
      <c r="H73" s="15" t="s">
        <v>222</v>
      </c>
      <c r="I73" s="15">
        <v>42635.534571759257</v>
      </c>
      <c r="J73" s="7">
        <v>0</v>
      </c>
      <c r="K73" s="121" t="str">
        <f t="shared" si="0"/>
        <v>4013/4014</v>
      </c>
      <c r="L73" s="24" t="str">
        <f>VLOOKUP(A73,'Trips&amp;Operators'!$C$1:$E$10000,3,FALSE)</f>
        <v>SANTIZO</v>
      </c>
      <c r="M73" s="6">
        <f t="shared" si="19"/>
        <v>2.6689814811106771E-2</v>
      </c>
      <c r="N73" s="7">
        <f t="shared" si="25"/>
        <v>38.433333327993751</v>
      </c>
      <c r="O73" s="7"/>
      <c r="P73" s="7"/>
      <c r="Q73" s="25"/>
      <c r="R73" s="25"/>
      <c r="S73" s="37">
        <f t="shared" si="26"/>
        <v>1</v>
      </c>
      <c r="T73" s="52" t="str">
        <f t="shared" si="4"/>
        <v>Southbound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10:53:41-0600',mode:absolute,to:'2016-09-22 13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3" s="54" t="str">
        <f t="shared" si="21"/>
        <v>N</v>
      </c>
      <c r="X73" s="168">
        <f t="shared" si="28"/>
        <v>1</v>
      </c>
      <c r="Y73" s="69">
        <f t="shared" si="23"/>
        <v>23.3003</v>
      </c>
      <c r="Z73" s="69">
        <f t="shared" si="24"/>
        <v>1.52E-2</v>
      </c>
      <c r="AA73" s="69">
        <f t="shared" si="10"/>
        <v>23.2851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0162-22</v>
      </c>
      <c r="AE73" s="99" t="str">
        <f t="shared" si="12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73" s="96" t="str">
        <f t="shared" si="13"/>
        <v>"C:\Program Files (x86)\AstroGrep\AstroGrep.exe" /spath="%USERPROFILE%\AppData\Local\Temp\OnboardLogs" /stypes="app*4013*20160922*" /stext=" 18:.+((SYSTEM_STATE.+slice.+state.+changed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162-22 --locoid 4013 --swversion DE.1.0.7.0 --startMP 204:233003 --initTime 2016-09-22T11:53:41 --startdatetime 2016-09-22T12:11:21 --delay 1 --endMP 204:152 --enddatetime 2016-09-22T12:49:47 --enforcementcount 0 &gt;&gt;C:\Users\stu\Documents\GitHub\eaglep3-reporting\EC\2016-09-22-refined-times.txt</v>
      </c>
      <c r="AI73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{"issue":{"subject":"","project_id":79,"tracker_id":40,"status_id":1,"priority_id":2,"assigned_to_id":23,"start_date":"2016-09-22","description":"","custom_fields":[{"id":1,"name":"Subdivision","value":"EC"},{"id":4,"name":"Milepost","value":"0.0152"},{"id":17,"name":"Train ID","value":"162-22"},{"id":16,"name":"Locomotive ID","value":"4013"},{"id":130,"name":"Impact","value":""},{"id":150,"name":"Time of Event (Mountain Time)","value":"12:49:47"},{"id":151,"name":"Denver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475</v>
      </c>
      <c r="B74" s="7">
        <v>4053</v>
      </c>
      <c r="C74" s="24" t="s">
        <v>106</v>
      </c>
      <c r="D74" s="24" t="s">
        <v>230</v>
      </c>
      <c r="E74" s="15">
        <v>42635.471956018519</v>
      </c>
      <c r="F74" s="15">
        <v>42635.479398148149</v>
      </c>
      <c r="G74" s="7">
        <v>2</v>
      </c>
      <c r="H74" s="15" t="s">
        <v>281</v>
      </c>
      <c r="I74" s="15">
        <v>42635.50503472222</v>
      </c>
      <c r="J74" s="7">
        <v>0</v>
      </c>
      <c r="K74" s="121" t="str">
        <f t="shared" si="0"/>
        <v>4053/4054</v>
      </c>
      <c r="L74" s="24" t="str">
        <f>VLOOKUP(A74,'Trips&amp;Operators'!$C$1:$E$10000,3,FALSE)</f>
        <v>MOSES</v>
      </c>
      <c r="M74" s="6">
        <f t="shared" si="19"/>
        <v>2.5636574071540963E-2</v>
      </c>
      <c r="N74" s="7">
        <f t="shared" si="25"/>
        <v>36.916666663018987</v>
      </c>
      <c r="O74" s="7"/>
      <c r="P74" s="7"/>
      <c r="Q74" s="25"/>
      <c r="R74" s="25"/>
      <c r="S74" s="37">
        <f t="shared" si="26"/>
        <v>1</v>
      </c>
      <c r="T74" s="52" t="str">
        <f t="shared" si="4"/>
        <v>NorthBound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10:19:37-0600',mode:absolute,to:'2016-09-22 13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4" s="54" t="str">
        <f t="shared" si="21"/>
        <v>N</v>
      </c>
      <c r="X74" s="168">
        <f t="shared" si="28"/>
        <v>1</v>
      </c>
      <c r="Y74" s="69">
        <f t="shared" si="23"/>
        <v>4.6699999999999998E-2</v>
      </c>
      <c r="Z74" s="69">
        <f t="shared" si="24"/>
        <v>23.333400000000001</v>
      </c>
      <c r="AA74" s="69">
        <f t="shared" si="10"/>
        <v>23.2867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0163-22</v>
      </c>
      <c r="AE74" s="99" t="str">
        <f t="shared" si="12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74" s="96" t="str">
        <f t="shared" si="13"/>
        <v>"C:\Program Files (x86)\AstroGrep\AstroGrep.exe" /spath="%USERPROFILE%\AppData\Local\Temp\OnboardLogs" /stypes="app*4053*20160922*"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163-22 --locoid 4053 --swversion DE.1.0.7.0 --startMP 204:467 --initTime 2016-09-22T11:19:37 --startdatetime 2016-09-22T11:30:20 --delay 2 --endMP 204:233334 --enddatetime 2016-09-22T12:07:15 --enforcementcount 0 &gt;&gt;C:\Users\stu\Documents\GitHub\eaglep3-reporting\EC\2016-09-22-refined-times.txt</v>
      </c>
      <c r="AI74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{"issue":{"subject":"","project_id":79,"tracker_id":40,"status_id":1,"priority_id":2,"assigned_to_id":23,"start_date":"2016-09-22","description":"","custom_fields":[{"id":1,"name":"Subdivision","value":"EC"},{"id":4,"name":"Milepost","value":"23.3334"},{"id":17,"name":"Train ID","value":"163-22"},{"id":16,"name":"Locomotive ID","value":"4053"},{"id":130,"name":"Impact","value":""},{"id":150,"name":"Time of Event (Mountain Time)","value":"12:07:15"},{"id":151,"name":"Denver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486</v>
      </c>
      <c r="B75" s="7">
        <v>4054</v>
      </c>
      <c r="C75" s="24" t="s">
        <v>106</v>
      </c>
      <c r="D75" s="24" t="s">
        <v>628</v>
      </c>
      <c r="E75" s="15">
        <v>42635.516423611109</v>
      </c>
      <c r="F75" s="15">
        <v>42635.518310185187</v>
      </c>
      <c r="G75" s="7">
        <v>1</v>
      </c>
      <c r="H75" s="15" t="s">
        <v>270</v>
      </c>
      <c r="I75" s="15">
        <v>42635.546122685184</v>
      </c>
      <c r="J75" s="7">
        <v>0</v>
      </c>
      <c r="K75" s="121" t="str">
        <f t="shared" si="0"/>
        <v>4053/4054</v>
      </c>
      <c r="L75" s="24" t="str">
        <f>VLOOKUP(A75,'Trips&amp;Operators'!$C$1:$E$10000,3,FALSE)</f>
        <v>MOSES</v>
      </c>
      <c r="M75" s="6">
        <f t="shared" si="19"/>
        <v>2.7812499996798579E-2</v>
      </c>
      <c r="N75" s="7">
        <f t="shared" si="25"/>
        <v>40.049999995389953</v>
      </c>
      <c r="O75" s="7"/>
      <c r="P75" s="7"/>
      <c r="Q75" s="25"/>
      <c r="R75" s="25"/>
      <c r="S75" s="37">
        <f t="shared" si="26"/>
        <v>1</v>
      </c>
      <c r="T75" s="52" t="str">
        <f t="shared" si="4"/>
        <v>Southbound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11:23:39-0600',mode:absolute,to:'2016-09-22 14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5" s="54" t="str">
        <f t="shared" si="21"/>
        <v>N</v>
      </c>
      <c r="X75" s="168">
        <f t="shared" ref="X75:X106" si="29">VALUE(LEFT(AD75,4))-VALUE(LEFT(AD74,4))</f>
        <v>1</v>
      </c>
      <c r="Y75" s="69">
        <f t="shared" si="23"/>
        <v>23.301300000000001</v>
      </c>
      <c r="Z75" s="69">
        <f t="shared" si="24"/>
        <v>1.4500000000000001E-2</v>
      </c>
      <c r="AA75" s="69">
        <f t="shared" si="10"/>
        <v>23.286799999999999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1"/>
        <v>0164-22</v>
      </c>
      <c r="AE75" s="99" t="str">
        <f t="shared" si="12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75" s="96" t="str">
        <f t="shared" si="13"/>
        <v>"C:\Program Files (x86)\AstroGrep\AstroGrep.exe" /spath="%USERPROFILE%\AppData\Local\Temp\OnboardLogs" /stypes="app*4054*20160922*" /stext=" 19:.+((SYSTEM_STATE.+slice.+state.+changed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164-22 --locoid 4054 --swversion DE.1.0.7.0 --startMP 204:233013 --initTime 2016-09-22T12:23:39 --startdatetime 2016-09-22T12:26:22 --delay 1 --endMP 204:145 --enddatetime 2016-09-22T13:06:25 --enforcementcount 0 &gt;&gt;C:\Users\stu\Documents\GitHub\eaglep3-reporting\EC\2016-09-22-refined-times.txt</v>
      </c>
      <c r="AI75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ID","value":"164-22"},{"id":16,"name":"Locomotive ID","value":"4054"},{"id":130,"name":"Impact","value":""},{"id":150,"name":"Time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479</v>
      </c>
      <c r="B76" s="7">
        <v>4029</v>
      </c>
      <c r="C76" s="24" t="s">
        <v>106</v>
      </c>
      <c r="D76" s="24" t="s">
        <v>239</v>
      </c>
      <c r="E76" s="15">
        <v>42635.485011574077</v>
      </c>
      <c r="F76" s="15">
        <v>42635.489733796298</v>
      </c>
      <c r="G76" s="7">
        <v>1</v>
      </c>
      <c r="H76" s="15" t="s">
        <v>269</v>
      </c>
      <c r="I76" s="15">
        <v>42635.514282407406</v>
      </c>
      <c r="J76" s="7">
        <v>0</v>
      </c>
      <c r="K76" s="121" t="str">
        <f t="shared" si="0"/>
        <v>4029/4030</v>
      </c>
      <c r="L76" s="24" t="str">
        <f>VLOOKUP(A76,'Trips&amp;Operators'!$C$1:$E$10000,3,FALSE)</f>
        <v>NEWELL</v>
      </c>
      <c r="M76" s="6">
        <f t="shared" si="19"/>
        <v>2.4548611108912155E-2</v>
      </c>
      <c r="N76" s="7">
        <f t="shared" si="25"/>
        <v>35.349999996833503</v>
      </c>
      <c r="O76" s="7"/>
      <c r="P76" s="7"/>
      <c r="Q76" s="25"/>
      <c r="R76" s="25"/>
      <c r="S76" s="37">
        <f t="shared" si="26"/>
        <v>1</v>
      </c>
      <c r="T76" s="52" t="str">
        <f t="shared" si="4"/>
        <v>NorthBound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https://search-rtdc-monitor-bjffxe2xuh6vdkpspy63sjmuny.us-east-1.es.amazonaws.com/_plugin/kibana/#/discover/Steve-Slow-Train-Analysis-(2080s-and-2083s)?_g=(refreshInterval:(display:Off,section:0,value:0),time:(from:'2016-09-22 10:38:25-0600',mode:absolute,to:'2016-09-22 13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76" s="54" t="str">
        <f t="shared" si="21"/>
        <v>N</v>
      </c>
      <c r="X76" s="168">
        <f t="shared" si="29"/>
        <v>1</v>
      </c>
      <c r="Y76" s="69">
        <f t="shared" si="23"/>
        <v>4.6199999999999998E-2</v>
      </c>
      <c r="Z76" s="69">
        <f t="shared" si="24"/>
        <v>23.329499999999999</v>
      </c>
      <c r="AA76" s="69">
        <f t="shared" si="10"/>
        <v>23.283300000000001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1"/>
        <v>0165-22</v>
      </c>
      <c r="AE76" s="99" t="str">
        <f t="shared" si="12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76" s="96" t="str">
        <f t="shared" si="13"/>
        <v>"C:\Program Files (x86)\AstroGrep\AstroGrep.exe" /spath="%USERPROFILE%\AppData\Local\Temp\OnboardLogs" /stypes="app*4029*20160922*"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165-22 --locoid 4029 --swversion DE.1.0.7.0 --startMP 204:462 --initTime 2016-09-22T11:38:25 --startdatetime 2016-09-22T11:45:13 --delay 1 --endMP 204:233295 --enddatetime 2016-09-22T12:20:34 --enforcementcount 0 &gt;&gt;C:\Users\stu\Documents\GitHub\eaglep3-reporting\EC\2016-09-22-refined-times.txt</v>
      </c>
      <c r="AI76" s="134" t="str">
        <f t="shared" si="18"/>
        <v>echo {"issue":{"subject":"","project_id":79,"tracker_id":40,"status_id":1,"priority_id":2,"assigned_to_id":23,"start_date":"2016-09-22","description":"","custom_fields":[{"id":1,"name":"Subdivision","value":"EC"},{"id":4,"name":"Milepost","value":"23.3295"},{"id":17,"name":"Train ID","value":"165-22"},{"id":16,"name":"Locomotive ID","value":"4029"},{"id":130,"name":"Impact","value":""},{"id":150,"name":"Time of Event (Mountain Time)","value":"12:20:34"},{"id":151,"name":"Denver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489</v>
      </c>
      <c r="B77" s="7">
        <v>4030</v>
      </c>
      <c r="C77" s="24" t="s">
        <v>106</v>
      </c>
      <c r="D77" s="24" t="s">
        <v>642</v>
      </c>
      <c r="E77" s="15">
        <v>42635.516562500001</v>
      </c>
      <c r="F77" s="15">
        <v>42635.528726851851</v>
      </c>
      <c r="G77" s="7">
        <v>2</v>
      </c>
      <c r="H77" s="15" t="s">
        <v>274</v>
      </c>
      <c r="I77" s="15">
        <v>42635.556296296294</v>
      </c>
      <c r="J77" s="7">
        <v>0</v>
      </c>
      <c r="K77" s="121" t="str">
        <f t="shared" ref="K77:K140" si="30">IF(ISEVEN(B77),(B77-1)&amp;"/"&amp;B77,B77&amp;"/"&amp;(B77+1))</f>
        <v>4029/4030</v>
      </c>
      <c r="L77" s="24" t="str">
        <f>VLOOKUP(A77,'Trips&amp;Operators'!$C$1:$E$10000,3,FALSE)</f>
        <v>NEWELL</v>
      </c>
      <c r="M77" s="6">
        <f t="shared" ref="M77:M108" si="31">I77-F77</f>
        <v>2.7569444442633539E-2</v>
      </c>
      <c r="N77" s="7">
        <f t="shared" si="25"/>
        <v>39.699999997392297</v>
      </c>
      <c r="O77" s="7"/>
      <c r="P77" s="7"/>
      <c r="Q77" s="25"/>
      <c r="R77" s="25"/>
      <c r="S77" s="37">
        <f t="shared" si="26"/>
        <v>1</v>
      </c>
      <c r="T77" s="52" t="str">
        <f t="shared" ref="T77:T140" si="32">IF(ISEVEN(LEFT(AD77,4)),"Southbound","NorthBound")</f>
        <v>Southbound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https://search-rtdc-monitor-bjffxe2xuh6vdkpspy63sjmuny.us-east-1.es.amazonaws.com/_plugin/kibana/#/discover/Steve-Slow-Train-Analysis-(2080s-and-2083s)?_g=(refreshInterval:(display:Off,section:0,value:0),time:(from:'2016-09-22 11:23:51-0600',mode:absolute,to:'2016-09-22 14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77" s="54" t="str">
        <f t="shared" ref="W77:W108" si="34">IF(AA77&lt;IF(AG77="EC",23,5.65),"Y","N")</f>
        <v>N</v>
      </c>
      <c r="X77" s="168">
        <f t="shared" si="29"/>
        <v>1</v>
      </c>
      <c r="Y77" s="69">
        <f t="shared" ref="Y77:Y108" si="35">RIGHT(D77,LEN(D77)-4)/10000</f>
        <v>23.297499999999999</v>
      </c>
      <c r="Z77" s="69">
        <f t="shared" ref="Z77:Z108" si="36">RIGHT(H77,LEN(H77)-4)/10000</f>
        <v>1.3599999999999999E-2</v>
      </c>
      <c r="AA77" s="69">
        <f t="shared" ref="AA77:AA140" si="37">ABS(Z77-Y77)</f>
        <v>23.283899999999999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8">IF(LEN(A77)=6,"0"&amp;A77,A77)</f>
        <v>0166-22</v>
      </c>
      <c r="AE77" s="99" t="str">
        <f t="shared" ref="AE77:AE140" si="39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77" s="96" t="str">
        <f t="shared" ref="AF77:AF140" si="4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/stypes="app*4030*20160922*" /stext=" 19:.+((SYSTEM_STATE.+slice.+state.+changed )|(ment ac)|(system.+state.+changed )|(\|lc)|(penalty)|(\[timeout)|(PRM\|1\|D)|(kpr)|(kdp))" /e /r /s</v>
      </c>
      <c r="AG77" s="1" t="str">
        <f t="shared" ref="AG77:AG140" si="41">IFERROR(IF(VALUE(LEFT(AD77,2))&lt;=2,"EC",IF(OR(VALUE(LEFT(AD77,2))=8,VALUE(LEFT(AD77,2))=18),"NW","Other")),"Other")</f>
        <v>EC</v>
      </c>
      <c r="AH77" s="100" t="str">
        <f t="shared" ref="AH77:AH139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166-22 --locoid 4030 --swversion DE.1.0.7.0 --startMP 204:232975 --initTime 2016-09-22T12:23:51 --startdatetime 2016-09-22T12:41:22 --delay 2 --endMP 204:136 --enddatetime 2016-09-22T13:21:04 --enforcementcount 0 &gt;&gt;C:\Users\stu\Documents\GitHub\eaglep3-reporting\EC\2016-09-22-refined-times.txt</v>
      </c>
      <c r="AI77" s="134" t="str">
        <f t="shared" ref="AI77:AI139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{"issue":{"subject":"","project_id":79,"tracker_id":40,"status_id":1,"priority_id":2,"assigned_to_id":23,"start_date":"2016-09-22","description":"","custom_fields":[{"id":1,"name":"Subdivision","value":"EC"},{"id":4,"name":"Milepost","value":"0.0136"},{"id":17,"name":"Train ID","value":"166-22"},{"id":16,"name":"Locomotive ID","value":"4030"},{"id":130,"name":"Impact","value":""},{"id":150,"name":"Time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482</v>
      </c>
      <c r="B78" s="7">
        <v>4002</v>
      </c>
      <c r="C78" s="24" t="s">
        <v>106</v>
      </c>
      <c r="D78" s="24" t="s">
        <v>224</v>
      </c>
      <c r="E78" s="15">
        <v>42635.497499999998</v>
      </c>
      <c r="F78" s="15">
        <v>42635.500243055554</v>
      </c>
      <c r="G78" s="7">
        <v>1</v>
      </c>
      <c r="H78" s="15" t="s">
        <v>265</v>
      </c>
      <c r="I78" s="15">
        <v>42635.527094907404</v>
      </c>
      <c r="J78" s="7">
        <v>0</v>
      </c>
      <c r="K78" s="121" t="str">
        <f t="shared" si="30"/>
        <v>4001/4002</v>
      </c>
      <c r="L78" s="24" t="str">
        <f>VLOOKUP(A78,'Trips&amp;Operators'!$C$1:$E$10000,3,FALSE)</f>
        <v>YOUNG</v>
      </c>
      <c r="M78" s="6">
        <f t="shared" si="31"/>
        <v>2.6851851849642117E-2</v>
      </c>
      <c r="N78" s="7">
        <f t="shared" si="25"/>
        <v>38.666666663484648</v>
      </c>
      <c r="O78" s="7"/>
      <c r="P78" s="7"/>
      <c r="Q78" s="25"/>
      <c r="R78" s="25"/>
      <c r="S78" s="37">
        <f t="shared" si="26"/>
        <v>1</v>
      </c>
      <c r="T78" s="52" t="str">
        <f t="shared" si="32"/>
        <v>NorthBound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10:56:24-0600',mode:absolute,to:'2016-09-22 13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8" s="54" t="str">
        <f t="shared" si="34"/>
        <v>N</v>
      </c>
      <c r="X78" s="168">
        <f t="shared" si="29"/>
        <v>1</v>
      </c>
      <c r="Y78" s="69">
        <f t="shared" si="35"/>
        <v>4.4699999999999997E-2</v>
      </c>
      <c r="Z78" s="69">
        <f t="shared" si="36"/>
        <v>23.331399999999999</v>
      </c>
      <c r="AA78" s="69">
        <f t="shared" si="37"/>
        <v>23.2867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8"/>
        <v>0167-22</v>
      </c>
      <c r="AE78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78" s="96" t="str">
        <f t="shared" si="40"/>
        <v>"C:\Program Files (x86)\AstroGrep\AstroGrep.exe" /spath="%USERPROFILE%\AppData\Local\Temp\OnboardLogs" /stypes="app*4002*20160922*" /stext=" 18:.+((SYSTEM_STATE.+slice.+state.+changed )|(ment ac)|(system.+state.+changed )|(\|lc)|(penalty)|(\[timeout)|(PRM\|1\|D)|(kpr)|(kdp))" /e /r /s</v>
      </c>
      <c r="AG78" s="1" t="str">
        <f t="shared" si="41"/>
        <v>EC</v>
      </c>
      <c r="AH78" s="100" t="str">
        <f t="shared" si="42"/>
        <v>"%USERPROFILE%\Documents\GitHub\eaglep3\Utilities\RefineRTDCRunTimes.py" --tripid 167-22 --locoid 4002 --swversion DE.1.0.7.0 --startMP 204:447 --initTime 2016-09-22T11:56:24 --startdatetime 2016-09-22T12:00:21 --delay 1 --endMP 204:233314 --enddatetime 2016-09-22T12:39:01 --enforcementcount 0 &gt;&gt;C:\Users\stu\Documents\GitHub\eaglep3-reporting\EC\2016-09-22-refined-times.txt</v>
      </c>
      <c r="AI7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ID","value":"167-22"},{"id":16,"name":"Locomotive ID","value":"4002"},{"id":130,"name":"Impact","value":""},{"id":150,"name":"Time of Event (Mountain Time)","value":"12:39:01"},{"id":151,"name":"Denver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492</v>
      </c>
      <c r="B79" s="7">
        <v>4001</v>
      </c>
      <c r="C79" s="24" t="s">
        <v>106</v>
      </c>
      <c r="D79" s="24" t="s">
        <v>308</v>
      </c>
      <c r="E79" s="15">
        <v>42635.52988425926</v>
      </c>
      <c r="F79" s="15">
        <v>42635.539085648146</v>
      </c>
      <c r="G79" s="7">
        <v>1</v>
      </c>
      <c r="H79" s="15" t="s">
        <v>248</v>
      </c>
      <c r="I79" s="15">
        <v>42635.567118055558</v>
      </c>
      <c r="J79" s="7">
        <v>0</v>
      </c>
      <c r="K79" s="121" t="str">
        <f t="shared" si="30"/>
        <v>4001/4002</v>
      </c>
      <c r="L79" s="24" t="str">
        <f>VLOOKUP(A79,'Trips&amp;Operators'!$C$1:$E$10000,3,FALSE)</f>
        <v>YOUNG</v>
      </c>
      <c r="M79" s="6">
        <f t="shared" si="31"/>
        <v>2.8032407411956228E-2</v>
      </c>
      <c r="N79" s="7">
        <f t="shared" si="25"/>
        <v>40.366666673216969</v>
      </c>
      <c r="O79" s="7"/>
      <c r="P79" s="7"/>
      <c r="Q79" s="25"/>
      <c r="R79" s="25"/>
      <c r="S79" s="37">
        <f t="shared" si="26"/>
        <v>1</v>
      </c>
      <c r="T79" s="52" t="str">
        <f t="shared" si="32"/>
        <v>Southbound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11:43:02-0600',mode:absolute,to:'2016-09-22 14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9" s="54" t="str">
        <f t="shared" si="34"/>
        <v>N</v>
      </c>
      <c r="X79" s="168">
        <f t="shared" si="29"/>
        <v>1</v>
      </c>
      <c r="Y79" s="69">
        <f t="shared" si="35"/>
        <v>23.299600000000002</v>
      </c>
      <c r="Z79" s="69">
        <f t="shared" si="36"/>
        <v>1.61E-2</v>
      </c>
      <c r="AA79" s="69">
        <f t="shared" si="37"/>
        <v>23.2835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8"/>
        <v>0168-22</v>
      </c>
      <c r="AE79" s="99" t="str">
        <f t="shared" si="39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79" s="96" t="str">
        <f t="shared" si="40"/>
        <v>"C:\Program Files (x86)\AstroGrep\AstroGrep.exe" /spath="%USERPROFILE%\AppData\Local\Temp\OnboardLogs" /stypes="app*4001*20160922*" /stext=" 19:.+((SYSTEM_STATE.+slice.+state.+changed )|(ment ac)|(system.+state.+changed )|(\|lc)|(penalty)|(\[timeout)|(PRM\|1\|D)|(kpr)|(kdp))" /e /r /s</v>
      </c>
      <c r="AG79" s="1" t="str">
        <f t="shared" si="41"/>
        <v>EC</v>
      </c>
      <c r="AH79" s="100" t="str">
        <f t="shared" si="42"/>
        <v>"%USERPROFILE%\Documents\GitHub\eaglep3\Utilities\RefineRTDCRunTimes.py" --tripid 168-22 --locoid 4001 --swversion DE.1.0.7.0 --startMP 204:232996 --initTime 2016-09-22T12:43:02 --startdatetime 2016-09-22T12:56:17 --delay 1 --endMP 204:161 --enddatetime 2016-09-22T13:36:39 --enforcementcount 0 &gt;&gt;C:\Users\stu\Documents\GitHub\eaglep3-reporting\EC\2016-09-22-refined-times.txt</v>
      </c>
      <c r="AI7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{"issue":{"subject":"","project_id":79,"tracker_id":40,"status_id":1,"priority_id":2,"assigned_to_id":23,"start_date":"2016-09-22","description":"","custom_fields":[{"id":1,"name":"Subdivision","value":"EC"},{"id":4,"name":"Milepost","value":"0.0161"},{"id":17,"name":"Train ID","value":"168-22"},{"id":16,"name":"Locomotive ID","value":"4001"},{"id":130,"name":"Impact","value":""},{"id":150,"name":"Time of Event (Mountain Time)","value":"13:36:39"},{"id":151,"name":"Denver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484</v>
      </c>
      <c r="B80" s="7">
        <v>4003</v>
      </c>
      <c r="C80" s="24" t="s">
        <v>106</v>
      </c>
      <c r="D80" s="24" t="s">
        <v>287</v>
      </c>
      <c r="E80" s="15">
        <v>42635.504756944443</v>
      </c>
      <c r="F80" s="15">
        <v>42635.510983796295</v>
      </c>
      <c r="G80" s="7">
        <v>2</v>
      </c>
      <c r="H80" s="15" t="s">
        <v>643</v>
      </c>
      <c r="I80" s="15">
        <v>42635.53628472222</v>
      </c>
      <c r="J80" s="7">
        <v>0</v>
      </c>
      <c r="K80" s="121" t="str">
        <f t="shared" si="30"/>
        <v>4003/4004</v>
      </c>
      <c r="L80" s="24" t="str">
        <f>VLOOKUP(A80,'Trips&amp;Operators'!$C$1:$E$10000,3,FALSE)</f>
        <v>HILLS</v>
      </c>
      <c r="M80" s="6">
        <f t="shared" si="31"/>
        <v>2.5300925924966577E-2</v>
      </c>
      <c r="N80" s="7">
        <f t="shared" si="25"/>
        <v>36.433333331951872</v>
      </c>
      <c r="O80" s="7"/>
      <c r="P80" s="7"/>
      <c r="Q80" s="25"/>
      <c r="R80" s="25"/>
      <c r="S80" s="37">
        <f t="shared" si="26"/>
        <v>1</v>
      </c>
      <c r="T80" s="52" t="str">
        <f t="shared" si="32"/>
        <v>NorthBound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11:06:51-0600',mode:absolute,to:'2016-09-22 13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80" s="54" t="str">
        <f t="shared" si="34"/>
        <v>N</v>
      </c>
      <c r="X80" s="168">
        <f t="shared" si="29"/>
        <v>1</v>
      </c>
      <c r="Y80" s="69">
        <f t="shared" si="35"/>
        <v>4.4200000000000003E-2</v>
      </c>
      <c r="Z80" s="69">
        <f t="shared" si="36"/>
        <v>23.333600000000001</v>
      </c>
      <c r="AA80" s="69">
        <f t="shared" si="37"/>
        <v>23.289400000000001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8"/>
        <v>0169-22</v>
      </c>
      <c r="AE80" s="99" t="str">
        <f t="shared" si="39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80" s="96" t="str">
        <f t="shared" si="40"/>
        <v>"C:\Program Files (x86)\AstroGrep\AstroGrep.exe" /spath="%USERPROFILE%\AppData\Local\Temp\OnboardLogs" /stypes="app*4003*20160922*" /stext=" 18:.+((SYSTEM_STATE.+slice.+state.+changed )|(ment ac)|(system.+state.+changed )|(\|lc)|(penalty)|(\[timeout)|(PRM\|1\|D)|(kpr)|(kdp))" /e /r /s</v>
      </c>
      <c r="AG80" s="1" t="str">
        <f t="shared" si="41"/>
        <v>EC</v>
      </c>
      <c r="AH80" s="100" t="str">
        <f t="shared" si="42"/>
        <v>"%USERPROFILE%\Documents\GitHub\eaglep3\Utilities\RefineRTDCRunTimes.py" --tripid 169-22 --locoid 4003 --swversion DE.1.0.7.0 --startMP 204:442 --initTime 2016-09-22T12:06:51 --startdatetime 2016-09-22T12:15:49 --delay 2 --endMP 204:233336 --enddatetime 2016-09-22T12:52:15 --enforcementcount 0 &gt;&gt;C:\Users\stu\Documents\GitHub\eaglep3-reporting\EC\2016-09-22-refined-times.txt</v>
      </c>
      <c r="AI8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{"issue":{"subject":"","project_id":79,"tracker_id":40,"status_id":1,"priority_id":2,"assigned_to_id":23,"start_date":"2016-09-22","description":"","custom_fields":[{"id":1,"name":"Subdivision","value":"EC"},{"id":4,"name":"Milepost","value":"23.3336"},{"id":17,"name":"Train ID","value":"169-22"},{"id":16,"name":"Locomotive ID","value":"4003"},{"id":130,"name":"Impact","value":""},{"id":150,"name":"Time of Event (Mountain Time)","value":"12:52:15"},{"id":151,"name":"Denver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493</v>
      </c>
      <c r="B81" s="7">
        <v>4004</v>
      </c>
      <c r="C81" s="24" t="s">
        <v>106</v>
      </c>
      <c r="D81" s="24" t="s">
        <v>644</v>
      </c>
      <c r="E81" s="15">
        <v>42635.538206018522</v>
      </c>
      <c r="F81" s="15">
        <v>42635.549583333333</v>
      </c>
      <c r="G81" s="7">
        <v>1</v>
      </c>
      <c r="H81" s="15" t="s">
        <v>228</v>
      </c>
      <c r="I81" s="15">
        <v>42635.577025462961</v>
      </c>
      <c r="J81" s="7">
        <v>0</v>
      </c>
      <c r="K81" s="121" t="str">
        <f t="shared" si="30"/>
        <v>4003/4004</v>
      </c>
      <c r="L81" s="24" t="str">
        <f>VLOOKUP(A81,'Trips&amp;Operators'!$C$1:$E$10000,3,FALSE)</f>
        <v>HILLS</v>
      </c>
      <c r="M81" s="6">
        <f t="shared" si="31"/>
        <v>2.7442129627161194E-2</v>
      </c>
      <c r="N81" s="7">
        <f t="shared" si="25"/>
        <v>39.516666663112119</v>
      </c>
      <c r="O81" s="7"/>
      <c r="P81" s="7"/>
      <c r="Q81" s="25"/>
      <c r="R81" s="25"/>
      <c r="S81" s="37">
        <f t="shared" si="26"/>
        <v>1</v>
      </c>
      <c r="T81" s="52" t="str">
        <f t="shared" si="32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11:55:01-0600',mode:absolute,to:'2016-09-22 14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1" s="54" t="str">
        <f t="shared" si="34"/>
        <v>N</v>
      </c>
      <c r="X81" s="168">
        <f t="shared" si="29"/>
        <v>1</v>
      </c>
      <c r="Y81" s="69">
        <f t="shared" si="35"/>
        <v>23.301100000000002</v>
      </c>
      <c r="Z81" s="69">
        <f t="shared" si="36"/>
        <v>1.3899999999999999E-2</v>
      </c>
      <c r="AA81" s="69">
        <f t="shared" si="37"/>
        <v>23.287200000000002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8"/>
        <v>0170-22</v>
      </c>
      <c r="AE81" s="99" t="str">
        <f t="shared" si="39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81" s="96" t="str">
        <f t="shared" si="40"/>
        <v>"C:\Program Files (x86)\AstroGrep\AstroGrep.exe" /spath="%USERPROFILE%\AppData\Local\Temp\OnboardLogs" /stypes="app*4004*20160922*" /stext=" 19:.+((SYSTEM_STATE.+slice.+state.+changed )|(ment ac)|(system.+state.+changed )|(\|lc)|(penalty)|(\[timeout)|(PRM\|1\|D)|(kpr)|(kdp))" /e /r /s</v>
      </c>
      <c r="AG81" s="1" t="str">
        <f t="shared" si="41"/>
        <v>EC</v>
      </c>
      <c r="AH81" s="100" t="str">
        <f t="shared" si="42"/>
        <v>"%USERPROFILE%\Documents\GitHub\eaglep3\Utilities\RefineRTDCRunTimes.py" --tripid 170-22 --locoid 4004 --swversion DE.1.0.7.0 --startMP 204:233011 --initTime 2016-09-22T12:55:01 --startdatetime 2016-09-22T13:11:24 --delay 1 --endMP 204:139 --enddatetime 2016-09-22T13:50:55 --enforcementcount 0 &gt;&gt;C:\Users\stu\Documents\GitHub\eaglep3-reporting\EC\2016-09-22-refined-times.txt</v>
      </c>
      <c r="AI8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{"issue":{"subject":"","project_id":79,"tracker_id":40,"status_id":1,"priority_id":2,"assigned_to_id":23,"start_date":"2016-09-22","description":"","custom_fields":[{"id":1,"name":"Subdivision","value":"EC"},{"id":4,"name":"Milepost","value":"0.0139"},{"id":17,"name":"Train ID","value":"170-22"},{"id":16,"name":"Locomotive ID","value":"4004"},{"id":130,"name":"Impact","value":""},{"id":150,"name":"Time of Event (Mountain Time)","value":"13:50:55"},{"id":151,"name":"Denver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487</v>
      </c>
      <c r="B82" s="7">
        <v>4031</v>
      </c>
      <c r="C82" s="24" t="s">
        <v>106</v>
      </c>
      <c r="D82" s="24" t="s">
        <v>645</v>
      </c>
      <c r="E82" s="15">
        <v>42635.516423611109</v>
      </c>
      <c r="F82" s="15">
        <v>42635.521134259259</v>
      </c>
      <c r="G82" s="7">
        <v>2</v>
      </c>
      <c r="H82" s="15" t="s">
        <v>265</v>
      </c>
      <c r="I82" s="15">
        <v>42635.546805555554</v>
      </c>
      <c r="J82" s="7">
        <v>0</v>
      </c>
      <c r="K82" s="121" t="str">
        <f t="shared" si="30"/>
        <v>4031/4032</v>
      </c>
      <c r="L82" s="24" t="str">
        <f>VLOOKUP(A82,'Trips&amp;Operators'!$C$1:$E$10000,3,FALSE)</f>
        <v>RIVERA</v>
      </c>
      <c r="M82" s="6">
        <f t="shared" si="31"/>
        <v>2.5671296294603962E-2</v>
      </c>
      <c r="N82" s="7">
        <f t="shared" si="25"/>
        <v>36.966666664229706</v>
      </c>
      <c r="O82" s="7"/>
      <c r="P82" s="7"/>
      <c r="Q82" s="25"/>
      <c r="R82" s="25"/>
      <c r="S82" s="37">
        <f t="shared" si="26"/>
        <v>1</v>
      </c>
      <c r="T82" s="52" t="str">
        <f t="shared" si="32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11:23:39-0600',mode:absolute,to:'2016-09-22 14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2" s="54" t="str">
        <f t="shared" si="34"/>
        <v>N</v>
      </c>
      <c r="X82" s="168">
        <f t="shared" si="29"/>
        <v>1</v>
      </c>
      <c r="Y82" s="69">
        <f t="shared" si="35"/>
        <v>4.9299999999999997E-2</v>
      </c>
      <c r="Z82" s="69">
        <f t="shared" si="36"/>
        <v>23.331399999999999</v>
      </c>
      <c r="AA82" s="69">
        <f t="shared" si="37"/>
        <v>23.2821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8"/>
        <v>0171-22</v>
      </c>
      <c r="AE82" s="99" t="str">
        <f t="shared" si="39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82" s="96" t="str">
        <f t="shared" si="40"/>
        <v>"C:\Program Files (x86)\AstroGrep\AstroGrep.exe" /spath="%USERPROFILE%\AppData\Local\Temp\OnboardLogs" /stypes="app*4031*20160922*" /stext=" 19:.+((SYSTEM_STATE.+slice.+state.+changed )|(ment ac)|(system.+state.+changed )|(\|lc)|(penalty)|(\[timeout)|(PRM\|1\|D)|(kpr)|(kdp))" /e /r /s</v>
      </c>
      <c r="AG82" s="1" t="str">
        <f t="shared" si="41"/>
        <v>EC</v>
      </c>
      <c r="AH82" s="100" t="str">
        <f t="shared" si="42"/>
        <v>"%USERPROFILE%\Documents\GitHub\eaglep3\Utilities\RefineRTDCRunTimes.py" --tripid 171-22 --locoid 4031 --swversion DE.1.0.7.0 --startMP 204:493 --initTime 2016-09-22T12:23:39 --startdatetime 2016-09-22T12:30:26 --delay 2 --endMP 204:233314 --enddatetime 2016-09-22T13:07:24 --enforcementcount 0 &gt;&gt;C:\Users\stu\Documents\GitHub\eaglep3-reporting\EC\2016-09-22-refined-times.txt</v>
      </c>
      <c r="AI8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ID","value":"171-22"},{"id":16,"name":"Locomotive ID","value":"4031"},{"id":130,"name":"Impact","value":""},{"id":150,"name":"Time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498</v>
      </c>
      <c r="B83" s="7">
        <v>4032</v>
      </c>
      <c r="C83" s="24" t="s">
        <v>106</v>
      </c>
      <c r="D83" s="24" t="s">
        <v>358</v>
      </c>
      <c r="E83" s="15">
        <v>42635.553460648145</v>
      </c>
      <c r="F83" s="15">
        <v>42635.559988425928</v>
      </c>
      <c r="G83" s="7">
        <v>1</v>
      </c>
      <c r="H83" s="15" t="s">
        <v>646</v>
      </c>
      <c r="I83" s="15">
        <v>42635.587256944447</v>
      </c>
      <c r="J83" s="7">
        <v>0</v>
      </c>
      <c r="K83" s="121" t="str">
        <f t="shared" si="30"/>
        <v>4031/4032</v>
      </c>
      <c r="L83" s="24" t="str">
        <f>VLOOKUP(A83,'Trips&amp;Operators'!$C$1:$E$10000,3,FALSE)</f>
        <v>STORY</v>
      </c>
      <c r="M83" s="6">
        <f t="shared" si="31"/>
        <v>2.7268518519122154E-2</v>
      </c>
      <c r="N83" s="7">
        <f t="shared" si="25"/>
        <v>39.266666667535901</v>
      </c>
      <c r="O83" s="7"/>
      <c r="P83" s="7"/>
      <c r="Q83" s="25"/>
      <c r="R83" s="25"/>
      <c r="S83" s="37">
        <f t="shared" si="26"/>
        <v>1</v>
      </c>
      <c r="T83" s="52" t="str">
        <f t="shared" si="32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12:16:59-0600',mode:absolute,to:'2016-09-22 15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3" s="54" t="str">
        <f t="shared" si="34"/>
        <v>N</v>
      </c>
      <c r="X83" s="168">
        <f t="shared" si="29"/>
        <v>1</v>
      </c>
      <c r="Y83" s="69">
        <f t="shared" si="35"/>
        <v>23.3002</v>
      </c>
      <c r="Z83" s="69">
        <f t="shared" si="36"/>
        <v>1.18E-2</v>
      </c>
      <c r="AA83" s="69">
        <f t="shared" si="37"/>
        <v>23.288399999999999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8"/>
        <v>0172-22</v>
      </c>
      <c r="AE83" s="99" t="str">
        <f t="shared" si="39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83" s="96" t="str">
        <f t="shared" si="40"/>
        <v>"C:\Program Files (x86)\AstroGrep\AstroGrep.exe" /spath="%USERPROFILE%\AppData\Local\Temp\OnboardLogs" /stypes="app*4032*20160922*" /stext=" 20:.+((SYSTEM_STATE.+slice.+state.+changed )|(ment ac)|(system.+state.+changed )|(\|lc)|(penalty)|(\[timeout)|(PRM\|1\|D)|(kpr)|(kdp))" /e /r /s</v>
      </c>
      <c r="AG83" s="1" t="str">
        <f t="shared" si="41"/>
        <v>EC</v>
      </c>
      <c r="AH83" s="100" t="str">
        <f t="shared" si="42"/>
        <v>"%USERPROFILE%\Documents\GitHub\eaglep3\Utilities\RefineRTDCRunTimes.py" --tripid 172-22 --locoid 4032 --swversion DE.1.0.7.0 --startMP 204:233002 --initTime 2016-09-22T13:16:59 --startdatetime 2016-09-22T13:26:23 --delay 1 --endMP 204:118 --enddatetime 2016-09-22T14:05:39 --enforcementcount 0 &gt;&gt;C:\Users\stu\Documents\GitHub\eaglep3-reporting\EC\2016-09-22-refined-times.txt</v>
      </c>
      <c r="AI8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{"issue":{"subject":"","project_id":79,"tracker_id":40,"status_id":1,"priority_id":2,"assigned_to_id":23,"start_date":"2016-09-22","description":"","custom_fields":[{"id":1,"name":"Subdivision","value":"EC"},{"id":4,"name":"Milepost","value":"0.0118"},{"id":17,"name":"Train ID","value":"172-22"},{"id":16,"name":"Locomotive ID","value":"4032"},{"id":130,"name":"Impact","value":""},{"id":150,"name":"Time of Event (Mountain Time)","value":"14:05:39"},{"id":151,"name":"Denver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491</v>
      </c>
      <c r="B84" s="7">
        <v>4046</v>
      </c>
      <c r="C84" s="24" t="s">
        <v>106</v>
      </c>
      <c r="D84" s="24" t="s">
        <v>289</v>
      </c>
      <c r="E84" s="15">
        <v>42635.526307870372</v>
      </c>
      <c r="F84" s="15">
        <v>42635.531828703701</v>
      </c>
      <c r="G84" s="7">
        <v>1</v>
      </c>
      <c r="H84" s="15" t="s">
        <v>647</v>
      </c>
      <c r="I84" s="15">
        <v>42635.557986111111</v>
      </c>
      <c r="J84" s="7">
        <v>0</v>
      </c>
      <c r="K84" s="121" t="str">
        <f t="shared" si="30"/>
        <v>4045/4046</v>
      </c>
      <c r="L84" s="24" t="str">
        <f>VLOOKUP(A84,'Trips&amp;Operators'!$C$1:$E$10000,3,FALSE)</f>
        <v>STAMBAUGH</v>
      </c>
      <c r="M84" s="6">
        <f t="shared" si="31"/>
        <v>2.6157407410209998E-2</v>
      </c>
      <c r="N84" s="7">
        <f t="shared" si="25"/>
        <v>37.666666670702398</v>
      </c>
      <c r="O84" s="7"/>
      <c r="P84" s="7"/>
      <c r="Q84" s="25"/>
      <c r="R84" s="25"/>
      <c r="S84" s="37">
        <f t="shared" si="26"/>
        <v>1</v>
      </c>
      <c r="T84" s="52" t="str">
        <f t="shared" si="32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11:37:53-0600',mode:absolute,to:'2016-09-22 14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4" s="54" t="str">
        <f t="shared" si="34"/>
        <v>N</v>
      </c>
      <c r="X84" s="168">
        <f t="shared" si="29"/>
        <v>1</v>
      </c>
      <c r="Y84" s="69">
        <f t="shared" si="35"/>
        <v>4.8399999999999999E-2</v>
      </c>
      <c r="Z84" s="69">
        <f t="shared" si="36"/>
        <v>23.3339</v>
      </c>
      <c r="AA84" s="69">
        <f t="shared" si="37"/>
        <v>23.285499999999999</v>
      </c>
      <c r="AB84" s="66" t="str">
        <f>VLOOKUP(A84,Enforcements!$C$7:$K$20,8,0)</f>
        <v>Speed (6)</v>
      </c>
      <c r="AC84" s="62" t="str">
        <f>VLOOKUP(A84,Enforcements!$C$7:$E$20,3,0)</f>
        <v>PERMANENT SPEED RESTRICTION</v>
      </c>
      <c r="AD84" s="63" t="str">
        <f t="shared" si="38"/>
        <v>0173-22</v>
      </c>
      <c r="AE84" s="99" t="str">
        <f t="shared" si="39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84" s="96" t="str">
        <f t="shared" si="40"/>
        <v>"C:\Program Files (x86)\AstroGrep\AstroGrep.exe" /spath="%USERPROFILE%\AppData\Local\Temp\OnboardLogs" /stypes="app*4046*20160922*" /stext=" 19:.+((SYSTEM_STATE.+slice.+state.+changed )|(ment ac)|(system.+state.+changed )|(\|lc)|(penalty)|(\[timeout)|(PRM\|1\|D)|(kpr)|(kdp))" /e /r /s</v>
      </c>
      <c r="AG84" s="1" t="str">
        <f t="shared" si="41"/>
        <v>EC</v>
      </c>
      <c r="AH84" s="100" t="str">
        <f t="shared" si="42"/>
        <v>"%USERPROFILE%\Documents\GitHub\eaglep3\Utilities\RefineRTDCRunTimes.py" --tripid 173-22 --locoid 4046 --swversion DE.1.0.7.0 --startMP 204:484 --initTime 2016-09-22T12:37:53 --startdatetime 2016-09-22T12:45:50 --delay 1 --endMP 204:233339 --enddatetime 2016-09-22T13:23:30 --enforcementcount 0 &gt;&gt;C:\Users\stu\Documents\GitHub\eaglep3-reporting\EC\2016-09-22-refined-times.txt</v>
      </c>
      <c r="AI8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{"issue":{"subject":"","project_id":79,"tracker_id":40,"status_id":1,"priority_id":2,"assigned_to_id":23,"start_date":"2016-09-22","description":"","custom_fields":[{"id":1,"name":"Subdivision","value":"EC"},{"id":4,"name":"Milepost","value":"23.3339"},{"id":17,"name":"Train ID","value":"173-22"},{"id":16,"name":"Locomotive ID","value":"4046"},{"id":130,"name":"Impact","value":""},{"id":150,"name":"Time of Event (Mountain Time)","value":"13:23:30"},{"id":151,"name":"Denver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500</v>
      </c>
      <c r="B85" s="7">
        <v>4045</v>
      </c>
      <c r="C85" s="24" t="s">
        <v>106</v>
      </c>
      <c r="D85" s="24" t="s">
        <v>648</v>
      </c>
      <c r="E85" s="15">
        <v>42635.566469907404</v>
      </c>
      <c r="F85" s="15">
        <v>42635.570347222223</v>
      </c>
      <c r="G85" s="7">
        <v>1</v>
      </c>
      <c r="H85" s="15" t="s">
        <v>213</v>
      </c>
      <c r="I85" s="15">
        <v>42635.598541666666</v>
      </c>
      <c r="J85" s="7">
        <v>0</v>
      </c>
      <c r="K85" s="121" t="str">
        <f t="shared" si="30"/>
        <v>4045/4046</v>
      </c>
      <c r="L85" s="24" t="str">
        <f>VLOOKUP(A85,'Trips&amp;Operators'!$C$1:$E$10000,3,FALSE)</f>
        <v>STAMBAUGH</v>
      </c>
      <c r="M85" s="6">
        <f t="shared" si="31"/>
        <v>2.8194444443215616E-2</v>
      </c>
      <c r="N85" s="7">
        <f t="shared" si="25"/>
        <v>40.599999998230487</v>
      </c>
      <c r="O85" s="7"/>
      <c r="P85" s="7"/>
      <c r="Q85" s="25"/>
      <c r="R85" s="25"/>
      <c r="S85" s="37">
        <f t="shared" si="26"/>
        <v>1</v>
      </c>
      <c r="T85" s="52" t="str">
        <f t="shared" si="32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12:35:43-0600',mode:absolute,to:'2016-09-22 15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5" s="54" t="str">
        <f t="shared" si="34"/>
        <v>N</v>
      </c>
      <c r="X85" s="168">
        <f t="shared" si="29"/>
        <v>1</v>
      </c>
      <c r="Y85" s="69">
        <f t="shared" si="35"/>
        <v>23.304200000000002</v>
      </c>
      <c r="Z85" s="69">
        <f t="shared" si="36"/>
        <v>1.49E-2</v>
      </c>
      <c r="AA85" s="69">
        <f t="shared" si="37"/>
        <v>23.289300000000001</v>
      </c>
      <c r="AB85" s="66" t="str">
        <f>VLOOKUP(A85,Enforcements!$C$7:$K$20,8,0)</f>
        <v>Bulletin (2)</v>
      </c>
      <c r="AC85" s="62" t="str">
        <f>VLOOKUP(A85,Enforcements!$C$7:$E$20,3,0)</f>
        <v>GRADE CROSSING</v>
      </c>
      <c r="AD85" s="63" t="str">
        <f t="shared" si="38"/>
        <v>0174-22</v>
      </c>
      <c r="AE85" s="99" t="str">
        <f t="shared" si="39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85" s="96" t="str">
        <f t="shared" si="40"/>
        <v>"C:\Program Files (x86)\AstroGrep\AstroGrep.exe" /spath="%USERPROFILE%\AppData\Local\Temp\OnboardLogs" /stypes="app*4045*20160922*" /stext=" 20:.+((SYSTEM_STATE.+slice.+state.+changed )|(ment ac)|(system.+state.+changed )|(\|lc)|(penalty)|(\[timeout)|(PRM\|1\|D)|(kpr)|(kdp))" /e /r /s</v>
      </c>
      <c r="AG85" s="1" t="str">
        <f t="shared" si="41"/>
        <v>EC</v>
      </c>
      <c r="AH85" s="100" t="str">
        <f t="shared" si="42"/>
        <v>"%USERPROFILE%\Documents\GitHub\eaglep3\Utilities\RefineRTDCRunTimes.py" --tripid 174-22 --locoid 4045 --swversion DE.1.0.7.0 --startMP 204:233042 --initTime 2016-09-22T13:35:43 --startdatetime 2016-09-22T13:41:18 --delay 1 --endMP 204:149 --enddatetime 2016-09-22T14:21:54 --enforcementcount 0 &gt;&gt;C:\Users\stu\Documents\GitHub\eaglep3-reporting\EC\2016-09-22-refined-times.txt</v>
      </c>
      <c r="AI8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ID","value":"174-22"},{"id":16,"name":"Locomotive ID","value":"4045"},{"id":130,"name":"Impact","value":""},{"id":150,"name":"Time of Event (Mountain Time)","value":"14:21:54"},{"id":151,"name":"Denver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494</v>
      </c>
      <c r="B86" s="7">
        <v>4014</v>
      </c>
      <c r="C86" s="24" t="s">
        <v>106</v>
      </c>
      <c r="D86" s="24" t="s">
        <v>226</v>
      </c>
      <c r="E86" s="15">
        <v>42635.539537037039</v>
      </c>
      <c r="F86" s="15">
        <v>42635.54184027778</v>
      </c>
      <c r="G86" s="7">
        <v>1</v>
      </c>
      <c r="H86" s="15" t="s">
        <v>265</v>
      </c>
      <c r="I86" s="15">
        <v>42635.566747685189</v>
      </c>
      <c r="J86" s="7">
        <v>0</v>
      </c>
      <c r="K86" s="121" t="str">
        <f t="shared" si="30"/>
        <v>4013/4014</v>
      </c>
      <c r="L86" s="24" t="str">
        <f>VLOOKUP(A86,'Trips&amp;Operators'!$C$1:$E$10000,3,FALSE)</f>
        <v>ISHMAEL</v>
      </c>
      <c r="M86" s="6">
        <f t="shared" si="31"/>
        <v>2.4907407409045845E-2</v>
      </c>
      <c r="N86" s="7">
        <f t="shared" si="25"/>
        <v>35.866666669026017</v>
      </c>
      <c r="O86" s="7"/>
      <c r="P86" s="7"/>
      <c r="Q86" s="25"/>
      <c r="R86" s="25"/>
      <c r="S86" s="37">
        <f t="shared" si="26"/>
        <v>1</v>
      </c>
      <c r="T86" s="52" t="str">
        <f t="shared" si="32"/>
        <v>NorthBound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11:56:56-0600',mode:absolute,to:'2016-09-22 14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6" s="54" t="str">
        <f t="shared" si="34"/>
        <v>N</v>
      </c>
      <c r="X86" s="168">
        <f t="shared" si="29"/>
        <v>1</v>
      </c>
      <c r="Y86" s="69">
        <f t="shared" si="35"/>
        <v>4.5100000000000001E-2</v>
      </c>
      <c r="Z86" s="69">
        <f t="shared" si="36"/>
        <v>23.331399999999999</v>
      </c>
      <c r="AA86" s="69">
        <f t="shared" si="37"/>
        <v>23.286299999999997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8"/>
        <v>0175-22</v>
      </c>
      <c r="AE86" s="99" t="str">
        <f t="shared" si="39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86" s="96" t="str">
        <f t="shared" si="40"/>
        <v>"C:\Program Files (x86)\AstroGrep\AstroGrep.exe" /spath="%USERPROFILE%\AppData\Local\Temp\OnboardLogs" /stypes="app*4014*20160922*" /stext=" 19:.+((SYSTEM_STATE.+slice.+state.+changed )|(ment ac)|(system.+state.+changed )|(\|lc)|(penalty)|(\[timeout)|(PRM\|1\|D)|(kpr)|(kdp))" /e /r /s</v>
      </c>
      <c r="AG86" s="1" t="str">
        <f t="shared" si="41"/>
        <v>EC</v>
      </c>
      <c r="AH86" s="100" t="str">
        <f t="shared" si="42"/>
        <v>"%USERPROFILE%\Documents\GitHub\eaglep3\Utilities\RefineRTDCRunTimes.py" --tripid 175-22 --locoid 4014 --swversion DE.1.0.7.0 --startMP 204:451 --initTime 2016-09-22T12:56:56 --startdatetime 2016-09-22T13:00:15 --delay 1 --endMP 204:233314 --enddatetime 2016-09-22T13:36:07 --enforcementcount 0 &gt;&gt;C:\Users\stu\Documents\GitHub\eaglep3-reporting\EC\2016-09-22-refined-times.txt</v>
      </c>
      <c r="AI8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ID","value":"175-22"},{"id":16,"name":"Locomotive ID","value":"4014"},{"id":130,"name":"Impact","value":""},{"id":150,"name":"Time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503</v>
      </c>
      <c r="B87" s="7">
        <v>4013</v>
      </c>
      <c r="C87" s="24" t="s">
        <v>106</v>
      </c>
      <c r="D87" s="24" t="s">
        <v>315</v>
      </c>
      <c r="E87" s="15">
        <v>42635.57271990741</v>
      </c>
      <c r="F87" s="15">
        <v>42635.580752314818</v>
      </c>
      <c r="G87" s="7">
        <v>1</v>
      </c>
      <c r="H87" s="15" t="s">
        <v>258</v>
      </c>
      <c r="I87" s="15">
        <v>42635.608599537038</v>
      </c>
      <c r="J87" s="7">
        <v>0</v>
      </c>
      <c r="K87" s="121" t="str">
        <f t="shared" si="30"/>
        <v>4013/4014</v>
      </c>
      <c r="L87" s="24" t="str">
        <f>VLOOKUP(A87,'Trips&amp;Operators'!$C$1:$E$10000,3,FALSE)</f>
        <v>ISHMAEL</v>
      </c>
      <c r="M87" s="6">
        <f t="shared" si="31"/>
        <v>2.7847222219861578E-2</v>
      </c>
      <c r="N87" s="7">
        <f t="shared" si="25"/>
        <v>40.099999996600673</v>
      </c>
      <c r="O87" s="7"/>
      <c r="P87" s="7"/>
      <c r="Q87" s="25"/>
      <c r="R87" s="25"/>
      <c r="S87" s="37">
        <f t="shared" si="26"/>
        <v>1</v>
      </c>
      <c r="T87" s="52" t="str">
        <f t="shared" si="32"/>
        <v>Southbound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12:44:43-0600',mode:absolute,to:'2016-09-22 15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7" s="54" t="str">
        <f t="shared" si="34"/>
        <v>N</v>
      </c>
      <c r="X87" s="168">
        <f t="shared" si="29"/>
        <v>1</v>
      </c>
      <c r="Y87" s="69">
        <f t="shared" si="35"/>
        <v>23.299099999999999</v>
      </c>
      <c r="Z87" s="69">
        <f t="shared" si="36"/>
        <v>1.5599999999999999E-2</v>
      </c>
      <c r="AA87" s="69">
        <f t="shared" si="37"/>
        <v>23.2835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8"/>
        <v>0176-22</v>
      </c>
      <c r="AE87" s="99" t="str">
        <f t="shared" si="39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87" s="96" t="str">
        <f t="shared" si="40"/>
        <v>"C:\Program Files (x86)\AstroGrep\AstroGrep.exe" /spath="%USERPROFILE%\AppData\Local\Temp\OnboardLogs" /stypes="app*4013*20160922*" /stext=" 20:.+((SYSTEM_STATE.+slice.+state.+changed )|(ment ac)|(system.+state.+changed )|(\|lc)|(penalty)|(\[timeout)|(PRM\|1\|D)|(kpr)|(kdp))" /e /r /s</v>
      </c>
      <c r="AG87" s="1" t="str">
        <f t="shared" si="41"/>
        <v>EC</v>
      </c>
      <c r="AH87" s="100" t="str">
        <f t="shared" si="42"/>
        <v>"%USERPROFILE%\Documents\GitHub\eaglep3\Utilities\RefineRTDCRunTimes.py" --tripid 176-22 --locoid 4013 --swversion DE.1.0.7.0 --startMP 204:232991 --initTime 2016-09-22T13:44:43 --startdatetime 2016-09-22T13:56:17 --delay 1 --endMP 204:156 --enddatetime 2016-09-22T14:36:23 --enforcementcount 0 &gt;&gt;C:\Users\stu\Documents\GitHub\eaglep3-reporting\EC\2016-09-22-refined-times.txt</v>
      </c>
      <c r="AI8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ID","value":"176-22"},{"id":16,"name":"Locomotive ID","value":"4013"},{"id":130,"name":"Impact","value":""},{"id":150,"name":"Time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496</v>
      </c>
      <c r="B88" s="7">
        <v>4053</v>
      </c>
      <c r="C88" s="24" t="s">
        <v>106</v>
      </c>
      <c r="D88" s="24" t="s">
        <v>259</v>
      </c>
      <c r="E88" s="15">
        <v>42635.549849537034</v>
      </c>
      <c r="F88" s="15">
        <v>42635.552314814813</v>
      </c>
      <c r="G88" s="7">
        <v>1</v>
      </c>
      <c r="H88" s="15" t="s">
        <v>269</v>
      </c>
      <c r="I88" s="15">
        <v>42635.578344907408</v>
      </c>
      <c r="J88" s="7">
        <v>0</v>
      </c>
      <c r="K88" s="121" t="str">
        <f t="shared" si="30"/>
        <v>4053/4054</v>
      </c>
      <c r="L88" s="24" t="str">
        <f>VLOOKUP(A88,'Trips&amp;Operators'!$C$1:$E$10000,3,FALSE)</f>
        <v>MOSES</v>
      </c>
      <c r="M88" s="6">
        <f t="shared" si="31"/>
        <v>2.6030092594737653E-2</v>
      </c>
      <c r="N88" s="7">
        <f t="shared" si="25"/>
        <v>37.48333333642222</v>
      </c>
      <c r="O88" s="7"/>
      <c r="P88" s="7"/>
      <c r="Q88" s="25"/>
      <c r="R88" s="25"/>
      <c r="S88" s="37">
        <f t="shared" si="26"/>
        <v>1</v>
      </c>
      <c r="T88" s="52" t="str">
        <f t="shared" si="32"/>
        <v>NorthBound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12:11:47-0600',mode:absolute,to:'2016-09-22 14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8" s="54" t="str">
        <f t="shared" si="34"/>
        <v>N</v>
      </c>
      <c r="X88" s="168">
        <f t="shared" si="29"/>
        <v>1</v>
      </c>
      <c r="Y88" s="69">
        <f t="shared" si="35"/>
        <v>4.3999999999999997E-2</v>
      </c>
      <c r="Z88" s="69">
        <f t="shared" si="36"/>
        <v>23.329499999999999</v>
      </c>
      <c r="AA88" s="69">
        <f t="shared" si="37"/>
        <v>23.285499999999999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8"/>
        <v>0177-22</v>
      </c>
      <c r="AE88" s="99" t="str">
        <f t="shared" si="39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88" s="96" t="str">
        <f t="shared" si="40"/>
        <v>"C:\Program Files (x86)\AstroGrep\AstroGrep.exe" /spath="%USERPROFILE%\AppData\Local\Temp\OnboardLogs" /stypes="app*4053*20160922*" /stext=" 19:.+((SYSTEM_STATE.+slice.+state.+changed )|(ment ac)|(system.+state.+changed )|(\|lc)|(penalty)|(\[timeout)|(PRM\|1\|D)|(kpr)|(kdp))" /e /r /s</v>
      </c>
      <c r="AG88" s="1" t="str">
        <f t="shared" si="41"/>
        <v>EC</v>
      </c>
      <c r="AH88" s="100" t="str">
        <f t="shared" si="42"/>
        <v>"%USERPROFILE%\Documents\GitHub\eaglep3\Utilities\RefineRTDCRunTimes.py" --tripid 177-22 --locoid 4053 --swversion DE.1.0.7.0 --startMP 204:440 --initTime 2016-09-22T13:11:47 --startdatetime 2016-09-22T13:15:20 --delay 1 --endMP 204:233295 --enddatetime 2016-09-22T13:52:49 --enforcementcount 0 &gt;&gt;C:\Users\stu\Documents\GitHub\eaglep3-reporting\EC\2016-09-22-refined-times.txt</v>
      </c>
      <c r="AI8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{"issue":{"subject":"","project_id":79,"tracker_id":40,"status_id":1,"priority_id":2,"assigned_to_id":23,"start_date":"2016-09-22","description":"","custom_fields":[{"id":1,"name":"Subdivision","value":"EC"},{"id":4,"name":"Milepost","value":"23.3295"},{"id":17,"name":"Train ID","value":"177-22"},{"id":16,"name":"Locomotive ID","value":"4053"},{"id":130,"name":"Impact","value":""},{"id":150,"name":"Time of Event (Mountain Time)","value":"13:52:49"},{"id":151,"name":"Denver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505</v>
      </c>
      <c r="B89" s="7">
        <v>4054</v>
      </c>
      <c r="C89" s="24" t="s">
        <v>106</v>
      </c>
      <c r="D89" s="24" t="s">
        <v>371</v>
      </c>
      <c r="E89" s="15">
        <v>42635.588391203702</v>
      </c>
      <c r="F89" s="15">
        <v>42635.591180555559</v>
      </c>
      <c r="G89" s="7">
        <v>1</v>
      </c>
      <c r="H89" s="15" t="s">
        <v>258</v>
      </c>
      <c r="I89" s="15">
        <v>42635.61954861111</v>
      </c>
      <c r="J89" s="7">
        <v>0</v>
      </c>
      <c r="K89" s="121" t="str">
        <f t="shared" si="30"/>
        <v>4053/4054</v>
      </c>
      <c r="L89" s="24" t="str">
        <f>VLOOKUP(A89,'Trips&amp;Operators'!$C$1:$E$10000,3,FALSE)</f>
        <v>MOSES</v>
      </c>
      <c r="M89" s="6">
        <f t="shared" si="31"/>
        <v>2.8368055551254656E-2</v>
      </c>
      <c r="N89" s="7">
        <f t="shared" ref="N89:N120" si="44">24*60*SUM($M89:$M89)</f>
        <v>40.849999993806705</v>
      </c>
      <c r="O89" s="7"/>
      <c r="P89" s="7"/>
      <c r="Q89" s="25"/>
      <c r="R89" s="25"/>
      <c r="S89" s="37">
        <f t="shared" ref="S89:S120" si="45">SUM(U89:U89)/IF(AG89="EC",12,1)</f>
        <v>1</v>
      </c>
      <c r="T89" s="52" t="str">
        <f t="shared" si="32"/>
        <v>Southbound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13:07:17-0600',mode:absolute,to:'2016-09-22 15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9" s="54" t="str">
        <f t="shared" si="34"/>
        <v>N</v>
      </c>
      <c r="X89" s="168">
        <f t="shared" si="29"/>
        <v>1</v>
      </c>
      <c r="Y89" s="69">
        <f t="shared" si="35"/>
        <v>23.2973</v>
      </c>
      <c r="Z89" s="69">
        <f t="shared" si="36"/>
        <v>1.5599999999999999E-2</v>
      </c>
      <c r="AA89" s="69">
        <f t="shared" si="37"/>
        <v>23.281700000000001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8"/>
        <v>0178-22</v>
      </c>
      <c r="AE89" s="99" t="str">
        <f t="shared" si="39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89" s="96" t="str">
        <f t="shared" si="40"/>
        <v>"C:\Program Files (x86)\AstroGrep\AstroGrep.exe" /spath="%USERPROFILE%\AppData\Local\Temp\OnboardLogs" /stypes="app*4054*20160922*" /stext=" 20:.+((SYSTEM_STATE.+slice.+state.+changed )|(ment ac)|(system.+state.+changed )|(\|lc)|(penalty)|(\[timeout)|(PRM\|1\|D)|(kpr)|(kdp))" /e /r /s</v>
      </c>
      <c r="AG89" s="1" t="str">
        <f t="shared" si="41"/>
        <v>EC</v>
      </c>
      <c r="AH89" s="100" t="str">
        <f t="shared" si="42"/>
        <v>"%USERPROFILE%\Documents\GitHub\eaglep3\Utilities\RefineRTDCRunTimes.py" --tripid 178-22 --locoid 4054 --swversion DE.1.0.7.0 --startMP 204:232973 --initTime 2016-09-22T14:07:17 --startdatetime 2016-09-22T14:11:18 --delay 1 --endMP 204:156 --enddatetime 2016-09-22T14:52:09 --enforcementcount 0 &gt;&gt;C:\Users\stu\Documents\GitHub\eaglep3-reporting\EC\2016-09-22-refined-times.txt</v>
      </c>
      <c r="AI8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ID","value":"178-22"},{"id":16,"name":"Locomotive ID","value":"4054"},{"id":130,"name":"Impact","value":""},{"id":150,"name":"Time of Event (Mountain Time)","value":"14:52:09"},{"id":151,"name":"Denver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499</v>
      </c>
      <c r="B90" s="7">
        <v>4029</v>
      </c>
      <c r="C90" s="24" t="s">
        <v>106</v>
      </c>
      <c r="D90" s="24" t="s">
        <v>229</v>
      </c>
      <c r="E90" s="15">
        <v>42635.55878472222</v>
      </c>
      <c r="F90" s="15">
        <v>42635.562638888892</v>
      </c>
      <c r="G90" s="7">
        <v>1</v>
      </c>
      <c r="H90" s="15" t="s">
        <v>357</v>
      </c>
      <c r="I90" s="15">
        <v>42635.587581018517</v>
      </c>
      <c r="J90" s="7">
        <v>0</v>
      </c>
      <c r="K90" s="121" t="str">
        <f t="shared" si="30"/>
        <v>4029/4030</v>
      </c>
      <c r="L90" s="24" t="str">
        <f>VLOOKUP(A90,'Trips&amp;Operators'!$C$1:$E$10000,3,FALSE)</f>
        <v>NEWELL</v>
      </c>
      <c r="M90" s="6">
        <f t="shared" si="31"/>
        <v>2.4942129624832887E-2</v>
      </c>
      <c r="N90" s="7">
        <f t="shared" si="44"/>
        <v>35.916666659759358</v>
      </c>
      <c r="O90" s="7"/>
      <c r="P90" s="7"/>
      <c r="Q90" s="25"/>
      <c r="R90" s="25"/>
      <c r="S90" s="37">
        <f t="shared" si="45"/>
        <v>1</v>
      </c>
      <c r="T90" s="52" t="str">
        <f t="shared" si="32"/>
        <v>NorthBound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12:24:39-0600',mode:absolute,to:'2016-09-22 15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90" s="54" t="str">
        <f t="shared" si="34"/>
        <v>N</v>
      </c>
      <c r="X90" s="168">
        <f t="shared" si="29"/>
        <v>1</v>
      </c>
      <c r="Y90" s="69">
        <f t="shared" si="35"/>
        <v>4.58E-2</v>
      </c>
      <c r="Z90" s="69">
        <f t="shared" si="36"/>
        <v>23.331700000000001</v>
      </c>
      <c r="AA90" s="69">
        <f t="shared" si="37"/>
        <v>23.285900000000002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8"/>
        <v>0179-22</v>
      </c>
      <c r="AE90" s="99" t="str">
        <f t="shared" si="39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90" s="96" t="str">
        <f t="shared" si="40"/>
        <v>"C:\Program Files (x86)\AstroGrep\AstroGrep.exe" /spath="%USERPROFILE%\AppData\Local\Temp\OnboardLogs" /stypes="app*4029*20160922*" /stext=" 20:.+((SYSTEM_STATE.+slice.+state.+changed )|(ment ac)|(system.+state.+changed )|(\|lc)|(penalty)|(\[timeout)|(PRM\|1\|D)|(kpr)|(kdp))" /e /r /s</v>
      </c>
      <c r="AG90" s="1" t="str">
        <f t="shared" si="41"/>
        <v>EC</v>
      </c>
      <c r="AH90" s="100" t="str">
        <f t="shared" si="42"/>
        <v>"%USERPROFILE%\Documents\GitHub\eaglep3\Utilities\RefineRTDCRunTimes.py" --tripid 179-22 --locoid 4029 --swversion DE.1.0.7.0 --startMP 204:458 --initTime 2016-09-22T13:24:39 --startdatetime 2016-09-22T13:30:12 --delay 1 --endMP 204:233317 --enddatetime 2016-09-22T14:06:07 --enforcementcount 0 &gt;&gt;C:\Users\stu\Documents\GitHub\eaglep3-reporting\EC\2016-09-22-refined-times.txt</v>
      </c>
      <c r="AI9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{"issue":{"subject":"","project_id":79,"tracker_id":40,"status_id":1,"priority_id":2,"assigned_to_id":23,"start_date":"2016-09-22","description":"","custom_fields":[{"id":1,"name":"Subdivision","value":"EC"},{"id":4,"name":"Milepost","value":"23.3317"},{"id":17,"name":"Train ID","value":"179-22"},{"id":16,"name":"Locomotive ID","value":"4029"},{"id":130,"name":"Impact","value":""},{"id":150,"name":"Time of Event (Mountain Time)","value":"14:06:07"},{"id":151,"name":"Denver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506</v>
      </c>
      <c r="B91" s="7">
        <v>4030</v>
      </c>
      <c r="C91" s="24" t="s">
        <v>106</v>
      </c>
      <c r="D91" s="24" t="s">
        <v>617</v>
      </c>
      <c r="E91" s="15">
        <v>42635.589108796295</v>
      </c>
      <c r="F91" s="15">
        <v>42635.601585648146</v>
      </c>
      <c r="G91" s="7">
        <v>1</v>
      </c>
      <c r="H91" s="15" t="s">
        <v>213</v>
      </c>
      <c r="I91" s="15">
        <v>42635.628622685188</v>
      </c>
      <c r="J91" s="7">
        <v>0</v>
      </c>
      <c r="K91" s="121" t="str">
        <f t="shared" si="30"/>
        <v>4029/4030</v>
      </c>
      <c r="L91" s="24" t="str">
        <f>VLOOKUP(A91,'Trips&amp;Operators'!$C$1:$E$10000,3,FALSE)</f>
        <v>NEWELL</v>
      </c>
      <c r="M91" s="6">
        <f t="shared" si="31"/>
        <v>2.7037037041736767E-2</v>
      </c>
      <c r="N91" s="7">
        <f t="shared" si="44"/>
        <v>38.933333340100944</v>
      </c>
      <c r="O91" s="7"/>
      <c r="P91" s="7"/>
      <c r="Q91" s="25"/>
      <c r="R91" s="25"/>
      <c r="S91" s="37">
        <f t="shared" si="45"/>
        <v>1</v>
      </c>
      <c r="T91" s="52" t="str">
        <f t="shared" si="32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13:08:19-0600',mode:absolute,to:'2016-09-22 16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91" s="54" t="str">
        <f t="shared" si="34"/>
        <v>N</v>
      </c>
      <c r="X91" s="168">
        <f t="shared" si="29"/>
        <v>1</v>
      </c>
      <c r="Y91" s="69">
        <f t="shared" si="35"/>
        <v>23.297699999999999</v>
      </c>
      <c r="Z91" s="69">
        <f t="shared" si="36"/>
        <v>1.49E-2</v>
      </c>
      <c r="AA91" s="69">
        <f t="shared" si="37"/>
        <v>23.282799999999998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8"/>
        <v>0180-22</v>
      </c>
      <c r="AE91" s="99" t="str">
        <f t="shared" si="39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91" s="96" t="str">
        <f t="shared" si="40"/>
        <v>"C:\Program Files (x86)\AstroGrep\AstroGrep.exe" /spath="%USERPROFILE%\AppData\Local\Temp\OnboardLogs" /stypes="app*4030*20160922*" /stext=" 21:.+((SYSTEM_STATE.+slice.+state.+changed )|(ment ac)|(system.+state.+changed )|(\|lc)|(penalty)|(\[timeout)|(PRM\|1\|D)|(kpr)|(kdp))" /e /r /s</v>
      </c>
      <c r="AG91" s="1" t="str">
        <f t="shared" si="41"/>
        <v>EC</v>
      </c>
      <c r="AH91" s="100" t="str">
        <f t="shared" si="42"/>
        <v>"%USERPROFILE%\Documents\GitHub\eaglep3\Utilities\RefineRTDCRunTimes.py" --tripid 180-22 --locoid 4030 --swversion DE.1.0.7.0 --startMP 204:232977 --initTime 2016-09-22T14:08:19 --startdatetime 2016-09-22T14:26:17 --delay 1 --endMP 204:149 --enddatetime 2016-09-22T15:05:13 --enforcementcount 0 &gt;&gt;C:\Users\stu\Documents\GitHub\eaglep3-reporting\EC\2016-09-22-refined-times.txt</v>
      </c>
      <c r="AI9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ID","value":"180-22"},{"id":16,"name":"Locomotive ID","value":"4030"},{"id":130,"name":"Impact","value":""},{"id":150,"name":"Time of Event (Mountain Time)","value":"15:05:13"},{"id":151,"name":"Denver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502</v>
      </c>
      <c r="B92" s="7">
        <v>4002</v>
      </c>
      <c r="C92" s="24" t="s">
        <v>106</v>
      </c>
      <c r="D92" s="24" t="s">
        <v>216</v>
      </c>
      <c r="E92" s="15">
        <v>42635.568495370368</v>
      </c>
      <c r="F92" s="15">
        <v>42635.57335648148</v>
      </c>
      <c r="G92" s="7">
        <v>1</v>
      </c>
      <c r="H92" s="15" t="s">
        <v>221</v>
      </c>
      <c r="I92" s="15">
        <v>42635.600092592591</v>
      </c>
      <c r="J92" s="7">
        <v>0</v>
      </c>
      <c r="K92" s="121" t="str">
        <f t="shared" si="30"/>
        <v>4001/4002</v>
      </c>
      <c r="L92" s="24" t="str">
        <f>VLOOKUP(A92,'Trips&amp;Operators'!$C$1:$E$10000,3,FALSE)</f>
        <v>YOUNG</v>
      </c>
      <c r="M92" s="6">
        <f t="shared" si="31"/>
        <v>2.6736111110949423E-2</v>
      </c>
      <c r="N92" s="7">
        <f t="shared" si="44"/>
        <v>38.499999999767169</v>
      </c>
      <c r="O92" s="7"/>
      <c r="P92" s="7"/>
      <c r="Q92" s="25"/>
      <c r="R92" s="25"/>
      <c r="S92" s="37">
        <f t="shared" si="45"/>
        <v>1</v>
      </c>
      <c r="T92" s="52" t="str">
        <f t="shared" si="32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12:38:38-0600',mode:absolute,to:'2016-09-22 15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2" s="54" t="str">
        <f t="shared" si="34"/>
        <v>N</v>
      </c>
      <c r="X92" s="168">
        <f t="shared" si="29"/>
        <v>1</v>
      </c>
      <c r="Y92" s="69">
        <f t="shared" si="35"/>
        <v>4.7100000000000003E-2</v>
      </c>
      <c r="Z92" s="69">
        <f t="shared" si="36"/>
        <v>23.3291</v>
      </c>
      <c r="AA92" s="69">
        <f t="shared" si="37"/>
        <v>23.282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8"/>
        <v>0181-22</v>
      </c>
      <c r="AE92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92" s="96" t="str">
        <f t="shared" si="40"/>
        <v>"C:\Program Files (x86)\AstroGrep\AstroGrep.exe" /spath="%USERPROFILE%\AppData\Local\Temp\OnboardLogs" /stypes="app*4002*20160922*" /stext=" 20:.+((SYSTEM_STATE.+slice.+state.+changed )|(ment ac)|(system.+state.+changed )|(\|lc)|(penalty)|(\[timeout)|(PRM\|1\|D)|(kpr)|(kdp))" /e /r /s</v>
      </c>
      <c r="AG92" s="1" t="str">
        <f t="shared" si="41"/>
        <v>EC</v>
      </c>
      <c r="AH92" s="100" t="str">
        <f t="shared" si="42"/>
        <v>"%USERPROFILE%\Documents\GitHub\eaglep3\Utilities\RefineRTDCRunTimes.py" --tripid 181-22 --locoid 4002 --swversion DE.1.0.7.0 --startMP 204:471 --initTime 2016-09-22T13:38:38 --startdatetime 2016-09-22T13:45:38 --delay 1 --endMP 204:233291 --enddatetime 2016-09-22T14:24:08 --enforcementcount 0 &gt;&gt;C:\Users\stu\Documents\GitHub\eaglep3-reporting\EC\2016-09-22-refined-times.txt</v>
      </c>
      <c r="AI9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{"issue":{"subject":"","project_id":79,"tracker_id":40,"status_id":1,"priority_id":2,"assigned_to_id":23,"start_date":"2016-09-22","description":"","custom_fields":[{"id":1,"name":"Subdivision","value":"EC"},{"id":4,"name":"Milepost","value":"23.3291"},{"id":17,"name":"Train ID","value":"181-22"},{"id":16,"name":"Locomotive ID","value":"4002"},{"id":130,"name":"Impact","value":""},{"id":150,"name":"Time of Event (Mountain Time)","value":"14:24:08"},{"id":151,"name":"Denver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510</v>
      </c>
      <c r="B93" s="7">
        <v>4001</v>
      </c>
      <c r="C93" s="24" t="s">
        <v>106</v>
      </c>
      <c r="D93" s="24" t="s">
        <v>314</v>
      </c>
      <c r="E93" s="15">
        <v>42635.60728009259</v>
      </c>
      <c r="F93" s="15">
        <v>42635.612581018519</v>
      </c>
      <c r="G93" s="7">
        <v>1</v>
      </c>
      <c r="H93" s="15" t="s">
        <v>373</v>
      </c>
      <c r="I93" s="15">
        <v>42635.641377314816</v>
      </c>
      <c r="J93" s="7">
        <v>0</v>
      </c>
      <c r="K93" s="121" t="str">
        <f t="shared" si="30"/>
        <v>4001/4002</v>
      </c>
      <c r="L93" s="24" t="str">
        <f>VLOOKUP(A93,'Trips&amp;Operators'!$C$1:$E$10000,3,FALSE)</f>
        <v>YOUNG</v>
      </c>
      <c r="M93" s="6">
        <f t="shared" si="31"/>
        <v>2.8796296297514345E-2</v>
      </c>
      <c r="N93" s="7">
        <f t="shared" si="44"/>
        <v>41.466666668420658</v>
      </c>
      <c r="O93" s="7"/>
      <c r="P93" s="7"/>
      <c r="Q93" s="25"/>
      <c r="R93" s="25"/>
      <c r="S93" s="37">
        <f t="shared" si="45"/>
        <v>1</v>
      </c>
      <c r="T93" s="52" t="str">
        <f t="shared" si="32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13:34:29-0600',mode:absolute,to:'2016-09-22 16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3" s="54" t="str">
        <f t="shared" si="34"/>
        <v>N</v>
      </c>
      <c r="X93" s="168">
        <f t="shared" si="29"/>
        <v>1</v>
      </c>
      <c r="Y93" s="69">
        <f t="shared" si="35"/>
        <v>23.298400000000001</v>
      </c>
      <c r="Z93" s="69">
        <f t="shared" si="36"/>
        <v>1.89E-2</v>
      </c>
      <c r="AA93" s="69">
        <f t="shared" si="37"/>
        <v>23.279500000000002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8"/>
        <v>0182-22</v>
      </c>
      <c r="AE93" s="99" t="str">
        <f t="shared" si="39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93" s="96" t="str">
        <f t="shared" si="40"/>
        <v>"C:\Program Files (x86)\AstroGrep\AstroGrep.exe" /spath="%USERPROFILE%\AppData\Local\Temp\OnboardLogs" /stypes="app*4001*20160922*" /stext=" 21:.+((SYSTEM_STATE.+slice.+state.+changed )|(ment ac)|(system.+state.+changed )|(\|lc)|(penalty)|(\[timeout)|(PRM\|1\|D)|(kpr)|(kdp))" /e /r /s</v>
      </c>
      <c r="AG93" s="1" t="str">
        <f t="shared" si="41"/>
        <v>EC</v>
      </c>
      <c r="AH93" s="100" t="str">
        <f t="shared" si="42"/>
        <v>"%USERPROFILE%\Documents\GitHub\eaglep3\Utilities\RefineRTDCRunTimes.py" --tripid 182-22 --locoid 4001 --swversion DE.1.0.7.0 --startMP 204:232984 --initTime 2016-09-22T14:34:29 --startdatetime 2016-09-22T14:42:07 --delay 1 --endMP 204:189 --enddatetime 2016-09-22T15:23:35 --enforcementcount 0 &gt;&gt;C:\Users\stu\Documents\GitHub\eaglep3-reporting\EC\2016-09-22-refined-times.txt</v>
      </c>
      <c r="AI9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{"issue":{"subject":"","project_id":79,"tracker_id":40,"status_id":1,"priority_id":2,"assigned_to_id":23,"start_date":"2016-09-22","description":"","custom_fields":[{"id":1,"name":"Subdivision","value":"EC"},{"id":4,"name":"Milepost","value":"0.0189"},{"id":17,"name":"Train ID","value":"182-22"},{"id":16,"name":"Locomotive ID","value":"4001"},{"id":130,"name":"Impact","value":""},{"id":150,"name":"Time of Event (Mountain Time)","value":"15:23:35"},{"id":151,"name":"Denver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504</v>
      </c>
      <c r="B94" s="7">
        <v>4003</v>
      </c>
      <c r="C94" s="24" t="s">
        <v>106</v>
      </c>
      <c r="D94" s="24" t="s">
        <v>219</v>
      </c>
      <c r="E94" s="15">
        <v>42635.578368055554</v>
      </c>
      <c r="F94" s="15">
        <v>42635.584016203706</v>
      </c>
      <c r="G94" s="7">
        <v>1</v>
      </c>
      <c r="H94" s="15" t="s">
        <v>649</v>
      </c>
      <c r="I94" s="15">
        <v>42635.608993055554</v>
      </c>
      <c r="J94" s="7">
        <v>0</v>
      </c>
      <c r="K94" s="121" t="str">
        <f t="shared" si="30"/>
        <v>4003/4004</v>
      </c>
      <c r="L94" s="24" t="str">
        <f>VLOOKUP(A94,'Trips&amp;Operators'!$C$1:$E$10000,3,FALSE)</f>
        <v>HILLS</v>
      </c>
      <c r="M94" s="6">
        <f t="shared" si="31"/>
        <v>2.4976851847895887E-2</v>
      </c>
      <c r="N94" s="7">
        <f t="shared" si="44"/>
        <v>35.966666660970077</v>
      </c>
      <c r="O94" s="7"/>
      <c r="P94" s="7"/>
      <c r="Q94" s="25"/>
      <c r="R94" s="25"/>
      <c r="S94" s="37">
        <f t="shared" si="45"/>
        <v>1</v>
      </c>
      <c r="T94" s="52" t="str">
        <f t="shared" si="32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12:52:51-0600',mode:absolute,to:'2016-09-22 15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4" s="54" t="str">
        <f t="shared" si="34"/>
        <v>N</v>
      </c>
      <c r="X94" s="168">
        <f t="shared" si="29"/>
        <v>1</v>
      </c>
      <c r="Y94" s="69">
        <f t="shared" si="35"/>
        <v>4.53E-2</v>
      </c>
      <c r="Z94" s="69">
        <f t="shared" si="36"/>
        <v>23.3306</v>
      </c>
      <c r="AA94" s="69">
        <f t="shared" si="37"/>
        <v>23.285299999999999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8"/>
        <v>0183-22</v>
      </c>
      <c r="AE94" s="99" t="str">
        <f t="shared" si="39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94" s="96" t="str">
        <f t="shared" si="40"/>
        <v>"C:\Program Files (x86)\AstroGrep\AstroGrep.exe" /spath="%USERPROFILE%\AppData\Local\Temp\OnboardLogs" /stypes="app*4003*20160922*" /stext=" 20:.+((SYSTEM_STATE.+slice.+state.+changed )|(ment ac)|(system.+state.+changed )|(\|lc)|(penalty)|(\[timeout)|(PRM\|1\|D)|(kpr)|(kdp))" /e /r /s</v>
      </c>
      <c r="AG94" s="1" t="str">
        <f t="shared" si="41"/>
        <v>EC</v>
      </c>
      <c r="AH94" s="100" t="str">
        <f t="shared" si="42"/>
        <v>"%USERPROFILE%\Documents\GitHub\eaglep3\Utilities\RefineRTDCRunTimes.py" --tripid 183-22 --locoid 4003 --swversion DE.1.0.7.0 --startMP 204:453 --initTime 2016-09-22T13:52:51 --startdatetime 2016-09-22T14:00:59 --delay 1 --endMP 204:233306 --enddatetime 2016-09-22T14:36:57 --enforcementcount 0 &gt;&gt;C:\Users\stu\Documents\GitHub\eaglep3-reporting\EC\2016-09-22-refined-times.txt</v>
      </c>
      <c r="AI9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{"issue":{"subject":"","project_id":79,"tracker_id":40,"status_id":1,"priority_id":2,"assigned_to_id":23,"start_date":"2016-09-22","description":"","custom_fields":[{"id":1,"name":"Subdivision","value":"EC"},{"id":4,"name":"Milepost","value":"23.3306"},{"id":17,"name":"Train ID","value":"183-22"},{"id":16,"name":"Locomotive ID","value":"4003"},{"id":130,"name":"Impact","value":""},{"id":150,"name":"Time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512</v>
      </c>
      <c r="B95" s="7">
        <v>4004</v>
      </c>
      <c r="C95" s="24" t="s">
        <v>106</v>
      </c>
      <c r="D95" s="24" t="s">
        <v>317</v>
      </c>
      <c r="E95" s="15">
        <v>42635.610393518517</v>
      </c>
      <c r="F95" s="15">
        <v>42635.622361111113</v>
      </c>
      <c r="G95" s="7">
        <v>1</v>
      </c>
      <c r="H95" s="15" t="s">
        <v>614</v>
      </c>
      <c r="I95" s="15">
        <v>42635.649988425925</v>
      </c>
      <c r="J95" s="7">
        <v>0</v>
      </c>
      <c r="K95" s="121" t="str">
        <f t="shared" si="30"/>
        <v>4003/4004</v>
      </c>
      <c r="L95" s="24" t="str">
        <f>VLOOKUP(A95,'Trips&amp;Operators'!$C$1:$E$10000,3,FALSE)</f>
        <v>HILLS</v>
      </c>
      <c r="M95" s="6">
        <f t="shared" si="31"/>
        <v>2.7627314811979886E-2</v>
      </c>
      <c r="N95" s="7">
        <f t="shared" si="44"/>
        <v>39.783333329251036</v>
      </c>
      <c r="O95" s="7"/>
      <c r="P95" s="7"/>
      <c r="Q95" s="25"/>
      <c r="R95" s="25"/>
      <c r="S95" s="37">
        <f t="shared" si="45"/>
        <v>1</v>
      </c>
      <c r="T95" s="52" t="str">
        <f t="shared" si="32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13:38:58-0600',mode:absolute,to:'2016-09-22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5" s="54" t="str">
        <f t="shared" si="34"/>
        <v>N</v>
      </c>
      <c r="X95" s="168">
        <f t="shared" si="29"/>
        <v>1</v>
      </c>
      <c r="Y95" s="69">
        <f t="shared" si="35"/>
        <v>23.3004</v>
      </c>
      <c r="Z95" s="69">
        <f t="shared" si="36"/>
        <v>1.43E-2</v>
      </c>
      <c r="AA95" s="69">
        <f t="shared" si="37"/>
        <v>23.286100000000001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8"/>
        <v>0184-22</v>
      </c>
      <c r="AE95" s="99" t="str">
        <f t="shared" si="39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95" s="96" t="str">
        <f t="shared" si="40"/>
        <v>"C:\Program Files (x86)\AstroGrep\AstroGrep.exe" /spath="%USERPROFILE%\AppData\Local\Temp\OnboardLogs" /stypes="app*4004*20160922*" /stext=" 21:.+((SYSTEM_STATE.+slice.+state.+changed )|(ment ac)|(system.+state.+changed )|(\|lc)|(penalty)|(\[timeout)|(PRM\|1\|D)|(kpr)|(kdp))" /e /r /s</v>
      </c>
      <c r="AG95" s="1" t="str">
        <f t="shared" si="41"/>
        <v>EC</v>
      </c>
      <c r="AH95" s="100" t="str">
        <f t="shared" si="42"/>
        <v>"%USERPROFILE%\Documents\GitHub\eaglep3\Utilities\RefineRTDCRunTimes.py" --tripid 184-22 --locoid 4004 --swversion DE.1.0.7.0 --startMP 204:233004 --initTime 2016-09-22T14:38:58 --startdatetime 2016-09-22T14:56:12 --delay 1 --endMP 204:143 --enddatetime 2016-09-22T15:35:59 --enforcementcount 0 &gt;&gt;C:\Users\stu\Documents\GitHub\eaglep3-reporting\EC\2016-09-22-refined-times.txt</v>
      </c>
      <c r="AI9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ID","value":"184-22"},{"id":16,"name":"Locomotive ID","value":"4004"},{"id":130,"name":"Impact","value":""},{"id":150,"name":"Time of Event (Mountain Time)","value":"15:35:59"},{"id":151,"name":"Denver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507</v>
      </c>
      <c r="B96" s="7">
        <v>4031</v>
      </c>
      <c r="C96" s="24" t="s">
        <v>106</v>
      </c>
      <c r="D96" s="24" t="s">
        <v>237</v>
      </c>
      <c r="E96" s="15">
        <v>42635.588634259257</v>
      </c>
      <c r="F96" s="15">
        <v>42635.5940625</v>
      </c>
      <c r="G96" s="7">
        <v>2</v>
      </c>
      <c r="H96" s="15" t="s">
        <v>247</v>
      </c>
      <c r="I96" s="15">
        <v>42635.619687500002</v>
      </c>
      <c r="J96" s="7">
        <v>0</v>
      </c>
      <c r="K96" s="121" t="str">
        <f t="shared" si="30"/>
        <v>4031/4032</v>
      </c>
      <c r="L96" s="24" t="str">
        <f>VLOOKUP(A96,'Trips&amp;Operators'!$C$1:$E$10000,3,FALSE)</f>
        <v>STORY</v>
      </c>
      <c r="M96" s="6">
        <f t="shared" si="31"/>
        <v>2.5625000002037268E-2</v>
      </c>
      <c r="N96" s="7">
        <f t="shared" si="44"/>
        <v>36.900000002933666</v>
      </c>
      <c r="O96" s="7"/>
      <c r="P96" s="7"/>
      <c r="Q96" s="25"/>
      <c r="R96" s="25"/>
      <c r="S96" s="37">
        <f t="shared" si="45"/>
        <v>1</v>
      </c>
      <c r="T96" s="52" t="str">
        <f t="shared" si="32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13:07:38-0600',mode:absolute,to:'2016-09-22 15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6" s="54" t="str">
        <f t="shared" si="34"/>
        <v>N</v>
      </c>
      <c r="X96" s="168">
        <f t="shared" si="29"/>
        <v>1</v>
      </c>
      <c r="Y96" s="69">
        <f t="shared" si="35"/>
        <v>4.4900000000000002E-2</v>
      </c>
      <c r="Z96" s="69">
        <f t="shared" si="36"/>
        <v>23.329699999999999</v>
      </c>
      <c r="AA96" s="69">
        <f t="shared" si="37"/>
        <v>23.284800000000001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8"/>
        <v>0185-22</v>
      </c>
      <c r="AE96" s="99" t="str">
        <f t="shared" si="39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96" s="96" t="str">
        <f t="shared" si="40"/>
        <v>"C:\Program Files (x86)\AstroGrep\AstroGrep.exe" /spath="%USERPROFILE%\AppData\Local\Temp\OnboardLogs" /stypes="app*4031*20160922*" /stext=" 20:.+((SYSTEM_STATE.+slice.+state.+changed )|(ment ac)|(system.+state.+changed )|(\|lc)|(penalty)|(\[timeout)|(PRM\|1\|D)|(kpr)|(kdp))" /e /r /s</v>
      </c>
      <c r="AG96" s="1" t="str">
        <f t="shared" si="41"/>
        <v>EC</v>
      </c>
      <c r="AH96" s="100" t="str">
        <f t="shared" si="42"/>
        <v>"%USERPROFILE%\Documents\GitHub\eaglep3\Utilities\RefineRTDCRunTimes.py" --tripid 185-22 --locoid 4031 --swversion DE.1.0.7.0 --startMP 204:449 --initTime 2016-09-22T14:07:38 --startdatetime 2016-09-22T14:15:27 --delay 2 --endMP 204:233297 --enddatetime 2016-09-22T14:52:21 --enforcementcount 0 &gt;&gt;C:\Users\stu\Documents\GitHub\eaglep3-reporting\EC\2016-09-22-refined-times.txt</v>
      </c>
      <c r="AI9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{"issue":{"subject":"","project_id":79,"tracker_id":40,"status_id":1,"priority_id":2,"assigned_to_id":23,"start_date":"2016-09-22","description":"","custom_fields":[{"id":1,"name":"Subdivision","value":"EC"},{"id":4,"name":"Milepost","value":"23.3297"},{"id":17,"name":"Train ID","value":"185-22"},{"id":16,"name":"Locomotive ID","value":"4031"},{"id":130,"name":"Impact","value":""},{"id":150,"name":"Time of Event (Mountain Time)","value":"14:52:21"},{"id":151,"name":"Denver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516</v>
      </c>
      <c r="B97" s="7">
        <v>4032</v>
      </c>
      <c r="C97" s="24" t="s">
        <v>106</v>
      </c>
      <c r="D97" s="24" t="s">
        <v>271</v>
      </c>
      <c r="E97" s="15">
        <v>42635.627245370371</v>
      </c>
      <c r="F97" s="15">
        <v>42635.633298611108</v>
      </c>
      <c r="G97" s="7">
        <v>1</v>
      </c>
      <c r="H97" s="15" t="s">
        <v>258</v>
      </c>
      <c r="I97" s="15">
        <v>42635.660532407404</v>
      </c>
      <c r="J97" s="7">
        <v>0</v>
      </c>
      <c r="K97" s="121" t="str">
        <f t="shared" si="30"/>
        <v>4031/4032</v>
      </c>
      <c r="L97" s="24" t="str">
        <f>VLOOKUP(A97,'Trips&amp;Operators'!$C$1:$E$10000,3,FALSE)</f>
        <v>STORY</v>
      </c>
      <c r="M97" s="6">
        <f t="shared" si="31"/>
        <v>2.7233796296059154E-2</v>
      </c>
      <c r="N97" s="7">
        <f t="shared" si="44"/>
        <v>39.216666666325182</v>
      </c>
      <c r="O97" s="7"/>
      <c r="P97" s="7"/>
      <c r="Q97" s="25"/>
      <c r="R97" s="25"/>
      <c r="S97" s="37">
        <f t="shared" si="45"/>
        <v>1</v>
      </c>
      <c r="T97" s="52" t="str">
        <f t="shared" si="32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14:03:14-0600',mode:absolute,to:'2016-09-22 16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97" s="54" t="str">
        <f t="shared" si="34"/>
        <v>N</v>
      </c>
      <c r="X97" s="168">
        <f t="shared" si="29"/>
        <v>1</v>
      </c>
      <c r="Y97" s="69">
        <f t="shared" si="35"/>
        <v>23.298200000000001</v>
      </c>
      <c r="Z97" s="69">
        <f t="shared" si="36"/>
        <v>1.5599999999999999E-2</v>
      </c>
      <c r="AA97" s="69">
        <f t="shared" si="37"/>
        <v>23.282600000000002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8"/>
        <v>0186-22</v>
      </c>
      <c r="AE97" s="99" t="str">
        <f t="shared" si="39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97" s="96" t="str">
        <f t="shared" si="40"/>
        <v>"C:\Program Files (x86)\AstroGrep\AstroGrep.exe" /spath="%USERPROFILE%\AppData\Local\Temp\OnboardLogs" /stypes="app*4032*20160922*" /stext=" 21:.+((SYSTEM_STATE.+slice.+state.+changed )|(ment ac)|(system.+state.+changed )|(\|lc)|(penalty)|(\[timeout)|(PRM\|1\|D)|(kpr)|(kdp))" /e /r /s</v>
      </c>
      <c r="AG97" s="1" t="str">
        <f t="shared" si="41"/>
        <v>EC</v>
      </c>
      <c r="AH97" s="100" t="str">
        <f t="shared" si="42"/>
        <v>"%USERPROFILE%\Documents\GitHub\eaglep3\Utilities\RefineRTDCRunTimes.py" --tripid 186-22 --locoid 4032 --swversion DE.1.0.7.0 --startMP 204:232982 --initTime 2016-09-22T15:03:14 --startdatetime 2016-09-22T15:11:57 --delay 1 --endMP 204:156 --enddatetime 2016-09-22T15:51:10 --enforcementcount 0 &gt;&gt;C:\Users\stu\Documents\GitHub\eaglep3-reporting\EC\2016-09-22-refined-times.txt</v>
      </c>
      <c r="AI9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ID","value":"186-22"},{"id":16,"name":"Locomotive ID","value":"4032"},{"id":130,"name":"Impact","value":""},{"id":150,"name":"Time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509</v>
      </c>
      <c r="B98" s="7">
        <v>4046</v>
      </c>
      <c r="C98" s="24" t="s">
        <v>106</v>
      </c>
      <c r="D98" s="24" t="s">
        <v>227</v>
      </c>
      <c r="E98" s="15">
        <v>42635.600335648145</v>
      </c>
      <c r="F98" s="15">
        <v>42635.604490740741</v>
      </c>
      <c r="G98" s="7">
        <v>2</v>
      </c>
      <c r="H98" s="15" t="s">
        <v>650</v>
      </c>
      <c r="I98" s="15">
        <v>42635.630543981482</v>
      </c>
      <c r="J98" s="7">
        <v>0</v>
      </c>
      <c r="K98" s="121" t="str">
        <f t="shared" si="30"/>
        <v>4045/4046</v>
      </c>
      <c r="L98" s="24" t="str">
        <f>VLOOKUP(A98,'Trips&amp;Operators'!$C$1:$E$10000,3,FALSE)</f>
        <v>STAMBAUGH</v>
      </c>
      <c r="M98" s="6">
        <f t="shared" si="31"/>
        <v>2.6053240741021E-2</v>
      </c>
      <c r="N98" s="7">
        <f t="shared" si="44"/>
        <v>37.51666666707024</v>
      </c>
      <c r="O98" s="7"/>
      <c r="P98" s="7"/>
      <c r="Q98" s="25"/>
      <c r="R98" s="25"/>
      <c r="S98" s="37">
        <f t="shared" si="45"/>
        <v>1</v>
      </c>
      <c r="T98" s="52" t="str">
        <f t="shared" si="32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13:24:29-0600',mode:absolute,to:'2016-09-22 16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8" s="54" t="str">
        <f t="shared" si="34"/>
        <v>N</v>
      </c>
      <c r="X98" s="168">
        <f t="shared" si="29"/>
        <v>1</v>
      </c>
      <c r="Y98" s="69">
        <f t="shared" si="35"/>
        <v>4.5499999999999999E-2</v>
      </c>
      <c r="Z98" s="69">
        <f t="shared" si="36"/>
        <v>23.333200000000001</v>
      </c>
      <c r="AA98" s="69">
        <f t="shared" si="37"/>
        <v>23.287700000000001</v>
      </c>
      <c r="AB98" s="66" t="str">
        <f>VLOOKUP(A98,Enforcements!$C$7:$K$20,8,0)</f>
        <v>Speed (6)</v>
      </c>
      <c r="AC98" s="62" t="str">
        <f>VLOOKUP(A98,Enforcements!$C$7:$E$20,3,0)</f>
        <v>PERMANENT SPEED RESTRICTION</v>
      </c>
      <c r="AD98" s="63" t="str">
        <f t="shared" si="38"/>
        <v>0187-22</v>
      </c>
      <c r="AE98" s="99" t="str">
        <f t="shared" si="39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98" s="96" t="str">
        <f t="shared" si="40"/>
        <v>"C:\Program Files (x86)\AstroGrep\AstroGrep.exe" /spath="%USERPROFILE%\AppData\Local\Temp\OnboardLogs" /stypes="app*4046*20160922*" /stext=" 21:.+((SYSTEM_STATE.+slice.+state.+changed )|(ment ac)|(system.+state.+changed )|(\|lc)|(penalty)|(\[timeout)|(PRM\|1\|D)|(kpr)|(kdp))" /e /r /s</v>
      </c>
      <c r="AG98" s="1" t="str">
        <f t="shared" si="41"/>
        <v>EC</v>
      </c>
      <c r="AH98" s="100" t="str">
        <f t="shared" si="42"/>
        <v>"%USERPROFILE%\Documents\GitHub\eaglep3\Utilities\RefineRTDCRunTimes.py" --tripid 187-22 --locoid 4046 --swversion DE.1.0.7.0 --startMP 204:455 --initTime 2016-09-22T14:24:29 --startdatetime 2016-09-22T14:30:28 --delay 2 --endMP 204:233332 --enddatetime 2016-09-22T15:07:59 --enforcementcount 0 &gt;&gt;C:\Users\stu\Documents\GitHub\eaglep3-reporting\EC\2016-09-22-refined-times.txt</v>
      </c>
      <c r="AI9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{"issue":{"subject":"","project_id":79,"tracker_id":40,"status_id":1,"priority_id":2,"assigned_to_id":23,"start_date":"2016-09-22","description":"","custom_fields":[{"id":1,"name":"Subdivision","value":"EC"},{"id":4,"name":"Milepost","value":"23.3332"},{"id":17,"name":"Train ID","value":"187-22"},{"id":16,"name":"Locomotive ID","value":"4046"},{"id":130,"name":"Impact","value":""},{"id":150,"name":"Time of Event (Mountain Time)","value":"15:07:59"},{"id":151,"name":"Denver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520</v>
      </c>
      <c r="B99" s="7">
        <v>4045</v>
      </c>
      <c r="C99" s="24" t="s">
        <v>106</v>
      </c>
      <c r="D99" s="24" t="s">
        <v>644</v>
      </c>
      <c r="E99" s="15">
        <v>42635.639953703707</v>
      </c>
      <c r="F99" s="15">
        <v>42635.643287037034</v>
      </c>
      <c r="G99" s="7">
        <v>1</v>
      </c>
      <c r="H99" s="15" t="s">
        <v>651</v>
      </c>
      <c r="I99" s="15">
        <v>42635.670717592591</v>
      </c>
      <c r="J99" s="7">
        <v>0</v>
      </c>
      <c r="K99" s="121" t="str">
        <f t="shared" si="30"/>
        <v>4045/4046</v>
      </c>
      <c r="L99" s="24" t="str">
        <f>VLOOKUP(A99,'Trips&amp;Operators'!$C$1:$E$10000,3,FALSE)</f>
        <v>STAMBAUGH</v>
      </c>
      <c r="M99" s="6">
        <f t="shared" si="31"/>
        <v>2.7430555557657499E-2</v>
      </c>
      <c r="N99" s="7">
        <f t="shared" si="44"/>
        <v>39.500000003026798</v>
      </c>
      <c r="O99" s="7"/>
      <c r="P99" s="7"/>
      <c r="Q99" s="25"/>
      <c r="R99" s="25"/>
      <c r="S99" s="37">
        <f t="shared" si="45"/>
        <v>1</v>
      </c>
      <c r="T99" s="52" t="str">
        <f t="shared" si="32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14:21:32-0600',mode:absolute,to:'2016-09-22 17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9" s="54" t="str">
        <f t="shared" si="34"/>
        <v>N</v>
      </c>
      <c r="X99" s="168">
        <f t="shared" si="29"/>
        <v>1</v>
      </c>
      <c r="Y99" s="69">
        <f t="shared" si="35"/>
        <v>23.301100000000002</v>
      </c>
      <c r="Z99" s="69">
        <f t="shared" si="36"/>
        <v>1.29E-2</v>
      </c>
      <c r="AA99" s="69">
        <f t="shared" si="37"/>
        <v>23.288200000000003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8"/>
        <v>0188-22</v>
      </c>
      <c r="AE99" s="99" t="str">
        <f t="shared" si="39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99" s="96" t="str">
        <f t="shared" si="40"/>
        <v>"C:\Program Files (x86)\AstroGrep\AstroGrep.exe" /spath="%USERPROFILE%\AppData\Local\Temp\OnboardLogs" /stypes="app*4045*20160922*" /stext=" 22:.+((SYSTEM_STATE.+slice.+state.+changed )|(ment ac)|(system.+state.+changed )|(\|lc)|(penalty)|(\[timeout)|(PRM\|1\|D)|(kpr)|(kdp))" /e /r /s</v>
      </c>
      <c r="AG99" s="1" t="str">
        <f t="shared" si="41"/>
        <v>EC</v>
      </c>
      <c r="AH99" s="100" t="str">
        <f t="shared" si="42"/>
        <v>"%USERPROFILE%\Documents\GitHub\eaglep3\Utilities\RefineRTDCRunTimes.py" --tripid 188-22 --locoid 4045 --swversion DE.1.0.7.0 --startMP 204:233011 --initTime 2016-09-22T15:21:32 --startdatetime 2016-09-22T15:26:20 --delay 1 --endMP 204:129 --enddatetime 2016-09-22T16:05:50 --enforcementcount 0 &gt;&gt;C:\Users\stu\Documents\GitHub\eaglep3-reporting\EC\2016-09-22-refined-times.txt</v>
      </c>
      <c r="AI9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{"issue":{"subject":"","project_id":79,"tracker_id":40,"status_id":1,"priority_id":2,"assigned_to_id":23,"start_date":"2016-09-22","description":"","custom_fields":[{"id":1,"name":"Subdivision","value":"EC"},{"id":4,"name":"Milepost","value":"0.0129"},{"id":17,"name":"Train ID","value":"188-22"},{"id":16,"name":"Locomotive ID","value":"4045"},{"id":130,"name":"Impact","value":""},{"id":150,"name":"Time of Event (Mountain Time)","value":"16:05:50"},{"id":151,"name":"Denver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513</v>
      </c>
      <c r="B100" s="7">
        <v>4014</v>
      </c>
      <c r="C100" s="24" t="s">
        <v>106</v>
      </c>
      <c r="D100" s="24" t="s">
        <v>231</v>
      </c>
      <c r="E100" s="15">
        <v>42635.610532407409</v>
      </c>
      <c r="F100" s="15">
        <v>42635.614803240744</v>
      </c>
      <c r="G100" s="7">
        <v>2</v>
      </c>
      <c r="H100" s="15" t="s">
        <v>652</v>
      </c>
      <c r="I100" s="15">
        <v>42635.639965277776</v>
      </c>
      <c r="J100" s="7">
        <v>0</v>
      </c>
      <c r="K100" s="121" t="str">
        <f t="shared" si="30"/>
        <v>4013/4014</v>
      </c>
      <c r="L100" s="24" t="str">
        <f>VLOOKUP(A100,'Trips&amp;Operators'!$C$1:$E$10000,3,FALSE)</f>
        <v>SHOOK</v>
      </c>
      <c r="M100" s="6">
        <f t="shared" si="31"/>
        <v>2.5162037032714579E-2</v>
      </c>
      <c r="N100" s="7">
        <f t="shared" si="44"/>
        <v>36.233333327108994</v>
      </c>
      <c r="O100" s="7"/>
      <c r="P100" s="7"/>
      <c r="Q100" s="25"/>
      <c r="R100" s="25"/>
      <c r="S100" s="37">
        <f t="shared" si="45"/>
        <v>1</v>
      </c>
      <c r="T100" s="52" t="str">
        <f t="shared" si="32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13:39:10-0600',mode:absolute,to:'2016-09-22 16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0" s="54" t="str">
        <f t="shared" si="34"/>
        <v>N</v>
      </c>
      <c r="X100" s="168">
        <f t="shared" si="29"/>
        <v>1</v>
      </c>
      <c r="Y100" s="69">
        <f t="shared" si="35"/>
        <v>4.5999999999999999E-2</v>
      </c>
      <c r="Z100" s="69">
        <f t="shared" si="36"/>
        <v>23.336200000000002</v>
      </c>
      <c r="AA100" s="69">
        <f t="shared" si="37"/>
        <v>23.290200000000002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8"/>
        <v>0189-22</v>
      </c>
      <c r="AE100" s="99" t="str">
        <f t="shared" si="39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100" s="96" t="str">
        <f t="shared" si="40"/>
        <v>"C:\Program Files (x86)\AstroGrep\AstroGrep.exe" /spath="%USERPROFILE%\AppData\Local\Temp\OnboardLogs" /stypes="app*4014*20160922*" /stext=" 21:.+((SYSTEM_STATE.+slice.+state.+changed )|(ment ac)|(system.+state.+changed )|(\|lc)|(penalty)|(\[timeout)|(PRM\|1\|D)|(kpr)|(kdp))" /e /r /s</v>
      </c>
      <c r="AG100" s="1" t="str">
        <f t="shared" si="41"/>
        <v>EC</v>
      </c>
      <c r="AH100" s="100" t="str">
        <f t="shared" si="42"/>
        <v>"%USERPROFILE%\Documents\GitHub\eaglep3\Utilities\RefineRTDCRunTimes.py" --tripid 189-22 --locoid 4014 --swversion DE.1.0.7.0 --startMP 204:460 --initTime 2016-09-22T14:39:10 --startdatetime 2016-09-22T14:45:19 --delay 2 --endMP 204:233362 --enddatetime 2016-09-22T15:21:33 --enforcementcount 0 &gt;&gt;C:\Users\stu\Documents\GitHub\eaglep3-reporting\EC\2016-09-22-refined-times.txt</v>
      </c>
      <c r="AI10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{"issue":{"subject":"","project_id":79,"tracker_id":40,"status_id":1,"priority_id":2,"assigned_to_id":23,"start_date":"2016-09-22","description":"","custom_fields":[{"id":1,"name":"Subdivision","value":"EC"},{"id":4,"name":"Milepost","value":"23.3362"},{"id":17,"name":"Train ID","value":"189-22"},{"id":16,"name":"Locomotive ID","value":"4014"},{"id":130,"name":"Impact","value":""},{"id":150,"name":"Time of Event (Mountain Time)","value":"15:21:33"},{"id":151,"name":"Denver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522</v>
      </c>
      <c r="B101" s="7">
        <v>4013</v>
      </c>
      <c r="C101" s="24" t="s">
        <v>106</v>
      </c>
      <c r="D101" s="24" t="s">
        <v>653</v>
      </c>
      <c r="E101" s="15">
        <v>42635.649699074071</v>
      </c>
      <c r="F101" s="15">
        <v>42635.653969907406</v>
      </c>
      <c r="G101" s="7">
        <v>1</v>
      </c>
      <c r="H101" s="15" t="s">
        <v>213</v>
      </c>
      <c r="I101" s="15">
        <v>42635.680358796293</v>
      </c>
      <c r="J101" s="7">
        <v>0</v>
      </c>
      <c r="K101" s="121" t="str">
        <f t="shared" si="30"/>
        <v>4013/4014</v>
      </c>
      <c r="L101" s="24" t="str">
        <f>VLOOKUP(A101,'Trips&amp;Operators'!$C$1:$E$10000,3,FALSE)</f>
        <v>SHOOK</v>
      </c>
      <c r="M101" s="6">
        <f t="shared" si="31"/>
        <v>2.6388888887595385E-2</v>
      </c>
      <c r="N101" s="7">
        <f t="shared" si="44"/>
        <v>37.999999998137355</v>
      </c>
      <c r="O101" s="7"/>
      <c r="P101" s="7"/>
      <c r="Q101" s="25"/>
      <c r="R101" s="25"/>
      <c r="S101" s="37">
        <f t="shared" si="45"/>
        <v>1</v>
      </c>
      <c r="T101" s="52" t="str">
        <f t="shared" si="32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14:35:34-0600',mode:absolute,to:'2016-09-22 17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1" s="54" t="str">
        <f t="shared" si="34"/>
        <v>N</v>
      </c>
      <c r="X101" s="168">
        <f t="shared" si="29"/>
        <v>1</v>
      </c>
      <c r="Y101" s="69">
        <f t="shared" si="35"/>
        <v>23.303999999999998</v>
      </c>
      <c r="Z101" s="69">
        <f t="shared" si="36"/>
        <v>1.49E-2</v>
      </c>
      <c r="AA101" s="69">
        <f t="shared" si="37"/>
        <v>23.289099999999998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8"/>
        <v>0190-22</v>
      </c>
      <c r="AE101" s="99" t="str">
        <f t="shared" si="39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01" s="96" t="str">
        <f t="shared" si="40"/>
        <v>"C:\Program Files (x86)\AstroGrep\AstroGrep.exe" /spath="%USERPROFILE%\AppData\Local\Temp\OnboardLogs" /stypes="app*4013*20160922*" /stext=" 22:.+((SYSTEM_STATE.+slice.+state.+changed )|(ment ac)|(system.+state.+changed )|(\|lc)|(penalty)|(\[timeout)|(PRM\|1\|D)|(kpr)|(kdp))" /e /r /s</v>
      </c>
      <c r="AG101" s="1" t="str">
        <f t="shared" si="41"/>
        <v>EC</v>
      </c>
      <c r="AH101" s="100" t="str">
        <f t="shared" si="42"/>
        <v>"%USERPROFILE%\Documents\GitHub\eaglep3\Utilities\RefineRTDCRunTimes.py" --tripid 190-22 --locoid 4013 --swversion DE.1.0.7.0 --startMP 204:233040 --initTime 2016-09-22T15:35:34 --startdatetime 2016-09-22T15:41:43 --delay 1 --endMP 204:149 --enddatetime 2016-09-22T16:19:43 --enforcementcount 0 &gt;&gt;C:\Users\stu\Documents\GitHub\eaglep3-reporting\EC\2016-09-22-refined-times.txt</v>
      </c>
      <c r="AI10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ID","value":"190-22"},{"id":16,"name":"Locomotive ID","value":"4013"},{"id":130,"name":"Impact","value":""},{"id":150,"name":"Time of Event (Mountain Time)","value":"16:19:43"},{"id":151,"name":"Denver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515</v>
      </c>
      <c r="B102" s="7">
        <v>4053</v>
      </c>
      <c r="C102" s="24" t="s">
        <v>106</v>
      </c>
      <c r="D102" s="24" t="s">
        <v>223</v>
      </c>
      <c r="E102" s="15">
        <v>42635.621631944443</v>
      </c>
      <c r="F102" s="15">
        <v>42635.625196759262</v>
      </c>
      <c r="G102" s="7">
        <v>1</v>
      </c>
      <c r="H102" s="15" t="s">
        <v>265</v>
      </c>
      <c r="I102" s="15">
        <v>42635.651770833334</v>
      </c>
      <c r="J102" s="7">
        <v>0</v>
      </c>
      <c r="K102" s="121" t="str">
        <f t="shared" si="30"/>
        <v>4053/4054</v>
      </c>
      <c r="L102" s="24" t="str">
        <f>VLOOKUP(A102,'Trips&amp;Operators'!$C$1:$E$10000,3,FALSE)</f>
        <v>MOSES</v>
      </c>
      <c r="M102" s="6">
        <f t="shared" si="31"/>
        <v>2.6574074072414078E-2</v>
      </c>
      <c r="N102" s="7">
        <f t="shared" si="44"/>
        <v>38.266666664276272</v>
      </c>
      <c r="O102" s="7"/>
      <c r="P102" s="7"/>
      <c r="Q102" s="25"/>
      <c r="R102" s="25"/>
      <c r="S102" s="37">
        <f t="shared" si="45"/>
        <v>1</v>
      </c>
      <c r="T102" s="52" t="str">
        <f t="shared" si="32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13:55:09-0600',mode:absolute,to:'2016-09-22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2" s="54" t="str">
        <f t="shared" si="34"/>
        <v>N</v>
      </c>
      <c r="X102" s="168">
        <f t="shared" si="29"/>
        <v>1</v>
      </c>
      <c r="Y102" s="69">
        <f t="shared" si="35"/>
        <v>4.5699999999999998E-2</v>
      </c>
      <c r="Z102" s="69">
        <f t="shared" si="36"/>
        <v>23.331399999999999</v>
      </c>
      <c r="AA102" s="69">
        <f t="shared" si="37"/>
        <v>23.285699999999999</v>
      </c>
      <c r="AB102" s="66" t="str">
        <f>VLOOKUP(A102,Enforcements!$C$7:$K$20,8,0)</f>
        <v>Speed (6)</v>
      </c>
      <c r="AC102" s="62" t="str">
        <f>VLOOKUP(A102,Enforcements!$C$7:$E$20,3,0)</f>
        <v>PERMANENT SPEED RESTRICTION</v>
      </c>
      <c r="AD102" s="63" t="str">
        <f t="shared" si="38"/>
        <v>0191-22</v>
      </c>
      <c r="AE102" s="99" t="str">
        <f t="shared" si="39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102" s="96" t="str">
        <f t="shared" si="40"/>
        <v>"C:\Program Files (x86)\AstroGrep\AstroGrep.exe" /spath="%USERPROFILE%\AppData\Local\Temp\OnboardLogs" /stypes="app*4053*20160922*" /stext=" 21:.+((SYSTEM_STATE.+slice.+state.+changed )|(ment ac)|(system.+state.+changed )|(\|lc)|(penalty)|(\[timeout)|(PRM\|1\|D)|(kpr)|(kdp))" /e /r /s</v>
      </c>
      <c r="AG102" s="1" t="str">
        <f t="shared" si="41"/>
        <v>EC</v>
      </c>
      <c r="AH102" s="100" t="str">
        <f t="shared" si="42"/>
        <v>"%USERPROFILE%\Documents\GitHub\eaglep3\Utilities\RefineRTDCRunTimes.py" --tripid 191-22 --locoid 4053 --swversion DE.1.0.7.0 --startMP 204:457 --initTime 2016-09-22T14:55:09 --startdatetime 2016-09-22T15:00:17 --delay 1 --endMP 204:233314 --enddatetime 2016-09-22T15:38:33 --enforcementcount 0 &gt;&gt;C:\Users\stu\Documents\GitHub\eaglep3-reporting\EC\2016-09-22-refined-times.txt</v>
      </c>
      <c r="AI10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ID","value":"191-22"},{"id":16,"name":"Locomotive ID","value":"4053"},{"id":130,"name":"Impact","value":""},{"id":150,"name":"Time of Event (Mountain Time)","value":"15:38:33"},{"id":151,"name":"Denver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526</v>
      </c>
      <c r="B103" s="7">
        <v>4054</v>
      </c>
      <c r="C103" s="24" t="s">
        <v>106</v>
      </c>
      <c r="D103" s="24" t="s">
        <v>283</v>
      </c>
      <c r="E103" s="15">
        <v>42635.65966435185</v>
      </c>
      <c r="F103" s="15">
        <v>42635.664212962962</v>
      </c>
      <c r="G103" s="7">
        <v>1</v>
      </c>
      <c r="H103" s="15" t="s">
        <v>213</v>
      </c>
      <c r="I103" s="15">
        <v>42635.692083333335</v>
      </c>
      <c r="J103" s="7">
        <v>0</v>
      </c>
      <c r="K103" s="121" t="str">
        <f t="shared" si="30"/>
        <v>4053/4054</v>
      </c>
      <c r="L103" s="24" t="str">
        <f>VLOOKUP(A103,'Trips&amp;Operators'!$C$1:$E$10000,3,FALSE)</f>
        <v>MOSES</v>
      </c>
      <c r="M103" s="6">
        <f t="shared" si="31"/>
        <v>2.7870370373420883E-2</v>
      </c>
      <c r="N103" s="7">
        <f t="shared" si="44"/>
        <v>40.133333337726071</v>
      </c>
      <c r="O103" s="7"/>
      <c r="P103" s="7"/>
      <c r="Q103" s="25"/>
      <c r="R103" s="25"/>
      <c r="S103" s="37">
        <f t="shared" si="45"/>
        <v>1</v>
      </c>
      <c r="T103" s="52" t="str">
        <f t="shared" si="32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14:49:55-0600',mode:absolute,to:'2016-09-22 17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3" s="54" t="str">
        <f t="shared" si="34"/>
        <v>N</v>
      </c>
      <c r="X103" s="168">
        <f t="shared" si="29"/>
        <v>1</v>
      </c>
      <c r="Y103" s="69">
        <f t="shared" si="35"/>
        <v>23.298100000000002</v>
      </c>
      <c r="Z103" s="69">
        <f t="shared" si="36"/>
        <v>1.49E-2</v>
      </c>
      <c r="AA103" s="69">
        <f t="shared" si="37"/>
        <v>23.283200000000001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8"/>
        <v>0192-22</v>
      </c>
      <c r="AE103" s="99" t="str">
        <f t="shared" si="39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03" s="96" t="str">
        <f t="shared" si="40"/>
        <v>"C:\Program Files (x86)\AstroGrep\AstroGrep.exe" /spath="%USERPROFILE%\AppData\Local\Temp\OnboardLogs" /stypes="app*4054*20160922*" /stext=" 22:.+((SYSTEM_STATE.+slice.+state.+changed )|(ment ac)|(system.+state.+changed )|(\|lc)|(penalty)|(\[timeout)|(PRM\|1\|D)|(kpr)|(kdp))" /e /r /s</v>
      </c>
      <c r="AG103" s="1" t="str">
        <f t="shared" si="41"/>
        <v>EC</v>
      </c>
      <c r="AH103" s="100" t="str">
        <f t="shared" si="42"/>
        <v>"%USERPROFILE%\Documents\GitHub\eaglep3\Utilities\RefineRTDCRunTimes.py" --tripid 192-22 --locoid 4054 --swversion DE.1.0.7.0 --startMP 204:232981 --initTime 2016-09-22T15:49:55 --startdatetime 2016-09-22T15:56:28 --delay 1 --endMP 204:149 --enddatetime 2016-09-22T16:36:36 --enforcementcount 0 &gt;&gt;C:\Users\stu\Documents\GitHub\eaglep3-reporting\EC\2016-09-22-refined-times.txt</v>
      </c>
      <c r="AI10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ID","value":"192-22"},{"id":16,"name":"Locomotive ID","value":"4054"},{"id":130,"name":"Impact","value":""},{"id":150,"name":"Time of Event (Mountain Time)","value":"16:36:36"},{"id":151,"name":"Denver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517</v>
      </c>
      <c r="B104" s="7">
        <v>4029</v>
      </c>
      <c r="C104" s="24" t="s">
        <v>106</v>
      </c>
      <c r="D104" s="24" t="s">
        <v>229</v>
      </c>
      <c r="E104" s="15">
        <v>42635.630324074074</v>
      </c>
      <c r="F104" s="15">
        <v>42635.635555555556</v>
      </c>
      <c r="G104" s="7">
        <v>1</v>
      </c>
      <c r="H104" s="15" t="s">
        <v>221</v>
      </c>
      <c r="I104" s="15">
        <v>42635.660671296297</v>
      </c>
      <c r="J104" s="7">
        <v>0</v>
      </c>
      <c r="K104" s="121" t="str">
        <f t="shared" si="30"/>
        <v>4029/4030</v>
      </c>
      <c r="L104" s="24" t="str">
        <f>VLOOKUP(A104,'Trips&amp;Operators'!$C$1:$E$10000,3,FALSE)</f>
        <v>NEWELL</v>
      </c>
      <c r="M104" s="6">
        <f t="shared" si="31"/>
        <v>2.5115740740147885E-2</v>
      </c>
      <c r="N104" s="7">
        <f t="shared" si="44"/>
        <v>36.166666665812954</v>
      </c>
      <c r="O104" s="7"/>
      <c r="P104" s="7"/>
      <c r="Q104" s="25"/>
      <c r="R104" s="25"/>
      <c r="S104" s="37">
        <f t="shared" si="45"/>
        <v>1</v>
      </c>
      <c r="T104" s="52" t="str">
        <f t="shared" si="32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14:07:40-0600',mode:absolute,to:'2016-09-22 16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04" s="54" t="str">
        <f t="shared" si="34"/>
        <v>N</v>
      </c>
      <c r="X104" s="168">
        <f t="shared" si="29"/>
        <v>1</v>
      </c>
      <c r="Y104" s="69">
        <f t="shared" si="35"/>
        <v>4.58E-2</v>
      </c>
      <c r="Z104" s="69">
        <f t="shared" si="36"/>
        <v>23.3291</v>
      </c>
      <c r="AA104" s="69">
        <f t="shared" si="37"/>
        <v>23.283300000000001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8"/>
        <v>0193-22</v>
      </c>
      <c r="AE104" s="99" t="str">
        <f t="shared" si="39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104" s="96" t="str">
        <f t="shared" si="40"/>
        <v>"C:\Program Files (x86)\AstroGrep\AstroGrep.exe" /spath="%USERPROFILE%\AppData\Local\Temp\OnboardLogs" /stypes="app*4029*20160922*" /stext=" 21:.+((SYSTEM_STATE.+slice.+state.+changed )|(ment ac)|(system.+state.+changed )|(\|lc)|(penalty)|(\[timeout)|(PRM\|1\|D)|(kpr)|(kdp))" /e /r /s</v>
      </c>
      <c r="AG104" s="1" t="str">
        <f t="shared" si="41"/>
        <v>EC</v>
      </c>
      <c r="AH104" s="100" t="str">
        <f t="shared" si="42"/>
        <v>"%USERPROFILE%\Documents\GitHub\eaglep3\Utilities\RefineRTDCRunTimes.py" --tripid 193-22 --locoid 4029 --swversion DE.1.0.7.0 --startMP 204:458 --initTime 2016-09-22T15:07:40 --startdatetime 2016-09-22T15:15:12 --delay 1 --endMP 204:233291 --enddatetime 2016-09-22T15:51:22 --enforcementcount 0 &gt;&gt;C:\Users\stu\Documents\GitHub\eaglep3-reporting\EC\2016-09-22-refined-times.txt</v>
      </c>
      <c r="AI10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{"issue":{"subject":"","project_id":79,"tracker_id":40,"status_id":1,"priority_id":2,"assigned_to_id":23,"start_date":"2016-09-22","description":"","custom_fields":[{"id":1,"name":"Subdivision","value":"EC"},{"id":4,"name":"Milepost","value":"23.3291"},{"id":17,"name":"Train ID","value":"193-22"},{"id":16,"name":"Locomotive ID","value":"4029"},{"id":130,"name":"Impact","value":""},{"id":150,"name":"Time of Event (Mountain Time)","value":"15:51:22"},{"id":151,"name":"Denver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528</v>
      </c>
      <c r="B105" s="7">
        <v>4030</v>
      </c>
      <c r="C105" s="24" t="s">
        <v>106</v>
      </c>
      <c r="D105" s="24" t="s">
        <v>314</v>
      </c>
      <c r="E105" s="15">
        <v>42635.66746527778</v>
      </c>
      <c r="F105" s="15">
        <v>42635.674583333333</v>
      </c>
      <c r="G105" s="7">
        <v>1</v>
      </c>
      <c r="H105" s="15" t="s">
        <v>213</v>
      </c>
      <c r="I105" s="15">
        <v>42635.702013888891</v>
      </c>
      <c r="J105" s="7">
        <v>0</v>
      </c>
      <c r="K105" s="121" t="str">
        <f t="shared" si="30"/>
        <v>4029/4030</v>
      </c>
      <c r="L105" s="24" t="str">
        <f>VLOOKUP(A105,'Trips&amp;Operators'!$C$1:$E$10000,3,FALSE)</f>
        <v>NEWELL</v>
      </c>
      <c r="M105" s="6">
        <f t="shared" si="31"/>
        <v>2.7430555557657499E-2</v>
      </c>
      <c r="N105" s="7">
        <f t="shared" si="44"/>
        <v>39.500000003026798</v>
      </c>
      <c r="O105" s="7"/>
      <c r="P105" s="7"/>
      <c r="Q105" s="25"/>
      <c r="R105" s="25"/>
      <c r="S105" s="37">
        <f t="shared" si="45"/>
        <v>1</v>
      </c>
      <c r="T105" s="52" t="str">
        <f t="shared" si="32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15:01:09-0600',mode:absolute,to:'2016-09-22 17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05" s="54" t="str">
        <f t="shared" si="34"/>
        <v>N</v>
      </c>
      <c r="X105" s="168">
        <f t="shared" si="29"/>
        <v>1</v>
      </c>
      <c r="Y105" s="69">
        <f t="shared" si="35"/>
        <v>23.298400000000001</v>
      </c>
      <c r="Z105" s="69">
        <f t="shared" si="36"/>
        <v>1.49E-2</v>
      </c>
      <c r="AA105" s="69">
        <f t="shared" si="37"/>
        <v>23.2835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8"/>
        <v>0194-22</v>
      </c>
      <c r="AE105" s="99" t="str">
        <f t="shared" si="39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105" s="96" t="str">
        <f t="shared" si="40"/>
        <v>"C:\Program Files (x86)\AstroGrep\AstroGrep.exe" /spath="%USERPROFILE%\AppData\Local\Temp\OnboardLogs" /stypes="app*4030*20160922*" /stext=" 22:.+((SYSTEM_STATE.+slice.+state.+changed )|(ment ac)|(system.+state.+changed )|(\|lc)|(penalty)|(\[timeout)|(PRM\|1\|D)|(kpr)|(kdp))" /e /r /s</v>
      </c>
      <c r="AG105" s="1" t="str">
        <f t="shared" si="41"/>
        <v>EC</v>
      </c>
      <c r="AH105" s="100" t="str">
        <f t="shared" si="42"/>
        <v>"%USERPROFILE%\Documents\GitHub\eaglep3\Utilities\RefineRTDCRunTimes.py" --tripid 194-22 --locoid 4030 --swversion DE.1.0.7.0 --startMP 204:232984 --initTime 2016-09-22T16:01:09 --startdatetime 2016-09-22T16:11:24 --delay 1 --endMP 204:149 --enddatetime 2016-09-22T16:50:54 --enforcementcount 0 &gt;&gt;C:\Users\stu\Documents\GitHub\eaglep3-reporting\EC\2016-09-22-refined-times.txt</v>
      </c>
      <c r="AI10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ID","value":"194-22"},{"id":16,"name":"Locomotive ID","value":"4030"},{"id":130,"name":"Impact","value":""},{"id":150,"name":"Time of Event (Mountain Time)","value":"16:50:54"},{"id":151,"name":"Denver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521</v>
      </c>
      <c r="B106" s="7">
        <v>4002</v>
      </c>
      <c r="C106" s="24" t="s">
        <v>106</v>
      </c>
      <c r="D106" s="24" t="s">
        <v>654</v>
      </c>
      <c r="E106" s="15">
        <v>42635.64335648148</v>
      </c>
      <c r="F106" s="15">
        <v>42635.646041666667</v>
      </c>
      <c r="G106" s="7">
        <v>1</v>
      </c>
      <c r="H106" s="15" t="s">
        <v>631</v>
      </c>
      <c r="I106" s="15">
        <v>42635.672754629632</v>
      </c>
      <c r="J106" s="7">
        <v>0</v>
      </c>
      <c r="K106" s="121" t="str">
        <f t="shared" si="30"/>
        <v>4001/4002</v>
      </c>
      <c r="L106" s="24" t="str">
        <f>VLOOKUP(A106,'Trips&amp;Operators'!$C$1:$E$10000,3,FALSE)</f>
        <v>YOUNG</v>
      </c>
      <c r="M106" s="6">
        <f t="shared" si="31"/>
        <v>2.6712962964666076E-2</v>
      </c>
      <c r="N106" s="7">
        <f t="shared" si="44"/>
        <v>38.466666669119149</v>
      </c>
      <c r="O106" s="7"/>
      <c r="P106" s="7"/>
      <c r="Q106" s="25"/>
      <c r="R106" s="25"/>
      <c r="S106" s="37">
        <f t="shared" si="45"/>
        <v>1</v>
      </c>
      <c r="T106" s="52" t="str">
        <f t="shared" si="32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14:26:26-0600',mode:absolute,to:'2016-09-22 17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6" s="54" t="str">
        <f t="shared" si="34"/>
        <v>N</v>
      </c>
      <c r="X106" s="168">
        <f t="shared" si="29"/>
        <v>1</v>
      </c>
      <c r="Y106" s="69">
        <f t="shared" si="35"/>
        <v>4.9099999999999998E-2</v>
      </c>
      <c r="Z106" s="69">
        <f t="shared" si="36"/>
        <v>23.331</v>
      </c>
      <c r="AA106" s="69">
        <f t="shared" si="37"/>
        <v>23.2819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8"/>
        <v>0195-22</v>
      </c>
      <c r="AE106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106" s="96" t="str">
        <f t="shared" si="40"/>
        <v>"C:\Program Files (x86)\AstroGrep\AstroGrep.exe" /spath="%USERPROFILE%\AppData\Local\Temp\OnboardLogs" /stypes="app*4002*20160922*" /stext=" 22:.+((SYSTEM_STATE.+slice.+state.+changed )|(ment ac)|(system.+state.+changed )|(\|lc)|(penalty)|(\[timeout)|(PRM\|1\|D)|(kpr)|(kdp))" /e /r /s</v>
      </c>
      <c r="AG106" s="1" t="str">
        <f t="shared" si="41"/>
        <v>EC</v>
      </c>
      <c r="AH106" s="100" t="str">
        <f t="shared" si="42"/>
        <v>"%USERPROFILE%\Documents\GitHub\eaglep3\Utilities\RefineRTDCRunTimes.py" --tripid 195-22 --locoid 4002 --swversion DE.1.0.7.0 --startMP 204:491 --initTime 2016-09-22T15:26:26 --startdatetime 2016-09-22T15:30:18 --delay 1 --endMP 204:233310 --enddatetime 2016-09-22T16:08:46 --enforcementcount 0 &gt;&gt;C:\Users\stu\Documents\GitHub\eaglep3-reporting\EC\2016-09-22-refined-times.txt</v>
      </c>
      <c r="AI10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{"issue":{"subject":"","project_id":79,"tracker_id":40,"status_id":1,"priority_id":2,"assigned_to_id":23,"start_date":"2016-09-22","description":"","custom_fields":[{"id":1,"name":"Subdivision","value":"EC"},{"id":4,"name":"Milepost","value":"23.331"},{"id":17,"name":"Train ID","value":"195-22"},{"id":16,"name":"Locomotive ID","value":"4002"},{"id":130,"name":"Impact","value":""},{"id":150,"name":"Time of Event (Mountain Time)","value":"16:08:46"},{"id":151,"name":"Denver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531</v>
      </c>
      <c r="B107" s="7">
        <v>4001</v>
      </c>
      <c r="C107" s="24" t="s">
        <v>106</v>
      </c>
      <c r="D107" s="24" t="s">
        <v>317</v>
      </c>
      <c r="E107" s="15">
        <v>42635.675497685188</v>
      </c>
      <c r="F107" s="15">
        <v>42635.684930555559</v>
      </c>
      <c r="G107" s="7">
        <v>1</v>
      </c>
      <c r="H107" s="15" t="s">
        <v>214</v>
      </c>
      <c r="I107" s="15">
        <v>42635.713518518518</v>
      </c>
      <c r="J107" s="7">
        <v>0</v>
      </c>
      <c r="K107" s="121" t="str">
        <f t="shared" si="30"/>
        <v>4001/4002</v>
      </c>
      <c r="L107" s="24" t="str">
        <f>VLOOKUP(A107,'Trips&amp;Operators'!$C$1:$E$10000,3,FALSE)</f>
        <v>YOUNG</v>
      </c>
      <c r="M107" s="6">
        <f t="shared" si="31"/>
        <v>2.8587962959136348E-2</v>
      </c>
      <c r="N107" s="7">
        <f t="shared" si="44"/>
        <v>41.166666661156341</v>
      </c>
      <c r="O107" s="7"/>
      <c r="P107" s="7"/>
      <c r="Q107" s="25"/>
      <c r="R107" s="25"/>
      <c r="S107" s="37">
        <f t="shared" si="45"/>
        <v>1</v>
      </c>
      <c r="T107" s="52" t="str">
        <f t="shared" si="32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15:12:43-0600',mode:absolute,to:'2016-09-22 18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7" s="54" t="str">
        <f t="shared" si="34"/>
        <v>N</v>
      </c>
      <c r="X107" s="168">
        <f t="shared" ref="X107:X137" si="46">VALUE(LEFT(AD107,4))-VALUE(LEFT(AD106,4))</f>
        <v>1</v>
      </c>
      <c r="Y107" s="69">
        <f t="shared" si="35"/>
        <v>23.3004</v>
      </c>
      <c r="Z107" s="69">
        <f t="shared" si="36"/>
        <v>1.6E-2</v>
      </c>
      <c r="AA107" s="69">
        <f t="shared" si="37"/>
        <v>23.284400000000002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8"/>
        <v>0196-22</v>
      </c>
      <c r="AE107" s="99" t="str">
        <f t="shared" si="39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107" s="96" t="str">
        <f t="shared" si="40"/>
        <v>"C:\Program Files (x86)\AstroGrep\AstroGrep.exe" /spath="%USERPROFILE%\AppData\Local\Temp\OnboardLogs" /stypes="app*4001*20160922*" /stext=" 23:.+((SYSTEM_STATE.+slice.+state.+changed )|(ment ac)|(system.+state.+changed )|(\|lc)|(penalty)|(\[timeout)|(PRM\|1\|D)|(kpr)|(kdp))" /e /r /s</v>
      </c>
      <c r="AG107" s="1" t="str">
        <f t="shared" si="41"/>
        <v>EC</v>
      </c>
      <c r="AH107" s="100" t="str">
        <f t="shared" si="42"/>
        <v>"%USERPROFILE%\Documents\GitHub\eaglep3\Utilities\RefineRTDCRunTimes.py" --tripid 196-22 --locoid 4001 --swversion DE.1.0.7.0 --startMP 204:233004 --initTime 2016-09-22T16:12:43 --startdatetime 2016-09-22T16:26:18 --delay 1 --endMP 204:160 --enddatetime 2016-09-22T17:07:28 --enforcementcount 0 &gt;&gt;C:\Users\stu\Documents\GitHub\eaglep3-reporting\EC\2016-09-22-refined-times.txt</v>
      </c>
      <c r="AI10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{"issue":{"subject":"","project_id":79,"tracker_id":40,"status_id":1,"priority_id":2,"assigned_to_id":23,"start_date":"2016-09-22","description":"","custom_fields":[{"id":1,"name":"Subdivision","value":"EC"},{"id":4,"name":"Milepost","value":"0.016"},{"id":17,"name":"Train ID","value":"196-22"},{"id":16,"name":"Locomotive ID","value":"4001"},{"id":130,"name":"Impact","value":""},{"id":150,"name":"Time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524</v>
      </c>
      <c r="B108" s="7">
        <v>4003</v>
      </c>
      <c r="C108" s="24" t="s">
        <v>106</v>
      </c>
      <c r="D108" s="24" t="s">
        <v>259</v>
      </c>
      <c r="E108" s="15">
        <v>42635.651238425926</v>
      </c>
      <c r="F108" s="15">
        <v>42635.656435185185</v>
      </c>
      <c r="G108" s="7">
        <v>1</v>
      </c>
      <c r="H108" s="15" t="s">
        <v>655</v>
      </c>
      <c r="I108" s="15">
        <v>42635.681550925925</v>
      </c>
      <c r="J108" s="7">
        <v>0</v>
      </c>
      <c r="K108" s="121" t="str">
        <f t="shared" si="30"/>
        <v>4003/4004</v>
      </c>
      <c r="L108" s="24" t="str">
        <f>VLOOKUP(A108,'Trips&amp;Operators'!$C$1:$E$10000,3,FALSE)</f>
        <v>HILLS</v>
      </c>
      <c r="M108" s="6">
        <f t="shared" si="31"/>
        <v>2.5115740740147885E-2</v>
      </c>
      <c r="N108" s="7">
        <f t="shared" si="44"/>
        <v>36.166666665812954</v>
      </c>
      <c r="O108" s="7"/>
      <c r="P108" s="7"/>
      <c r="Q108" s="25"/>
      <c r="R108" s="25"/>
      <c r="S108" s="37">
        <f t="shared" si="45"/>
        <v>1</v>
      </c>
      <c r="T108" s="52" t="str">
        <f t="shared" si="32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14:37:47-0600',mode:absolute,to:'2016-09-22 17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8" s="54" t="str">
        <f t="shared" si="34"/>
        <v>N</v>
      </c>
      <c r="X108" s="168">
        <f t="shared" si="46"/>
        <v>1</v>
      </c>
      <c r="Y108" s="69">
        <f t="shared" si="35"/>
        <v>4.3999999999999997E-2</v>
      </c>
      <c r="Z108" s="69">
        <f t="shared" si="36"/>
        <v>23.3322</v>
      </c>
      <c r="AA108" s="69">
        <f t="shared" si="37"/>
        <v>23.2882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8"/>
        <v>0197-22</v>
      </c>
      <c r="AE108" s="99" t="str">
        <f t="shared" si="39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108" s="96" t="str">
        <f t="shared" si="40"/>
        <v>"C:\Program Files (x86)\AstroGrep\AstroGrep.exe" /spath="%USERPROFILE%\AppData\Local\Temp\OnboardLogs" /stypes="app*4003*20160922*" /stext=" 22:.+((SYSTEM_STATE.+slice.+state.+changed )|(ment ac)|(system.+state.+changed )|(\|lc)|(penalty)|(\[timeout)|(PRM\|1\|D)|(kpr)|(kdp))" /e /r /s</v>
      </c>
      <c r="AG108" s="1" t="str">
        <f t="shared" si="41"/>
        <v>EC</v>
      </c>
      <c r="AH108" s="100" t="str">
        <f t="shared" si="42"/>
        <v>"%USERPROFILE%\Documents\GitHub\eaglep3\Utilities\RefineRTDCRunTimes.py" --tripid 197-22 --locoid 4003 --swversion DE.1.0.7.0 --startMP 204:440 --initTime 2016-09-22T15:37:47 --startdatetime 2016-09-22T15:45:16 --delay 1 --endMP 204:233322 --enddatetime 2016-09-22T16:21:26 --enforcementcount 0 &gt;&gt;C:\Users\stu\Documents\GitHub\eaglep3-reporting\EC\2016-09-22-refined-times.txt</v>
      </c>
      <c r="AI10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{"issue":{"subject":"","project_id":79,"tracker_id":40,"status_id":1,"priority_id":2,"assigned_to_id":23,"start_date":"2016-09-22","description":"","custom_fields":[{"id":1,"name":"Subdivision","value":"EC"},{"id":4,"name":"Milepost","value":"23.3322"},{"id":17,"name":"Train ID","value":"197-22"},{"id":16,"name":"Locomotive ID","value":"4003"},{"id":130,"name":"Impact","value":""},{"id":150,"name":"Time of Event (Mountain Time)","value":"16:21:26"},{"id":151,"name":"Denver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534</v>
      </c>
      <c r="B109" s="7">
        <v>4004</v>
      </c>
      <c r="C109" s="24" t="s">
        <v>106</v>
      </c>
      <c r="D109" s="24" t="s">
        <v>368</v>
      </c>
      <c r="E109" s="15">
        <v>42635.685659722221</v>
      </c>
      <c r="F109" s="15">
        <v>42635.696076388886</v>
      </c>
      <c r="G109" s="7">
        <v>1</v>
      </c>
      <c r="H109" s="15" t="s">
        <v>284</v>
      </c>
      <c r="I109" s="15">
        <v>42635.722534722219</v>
      </c>
      <c r="J109" s="7">
        <v>0</v>
      </c>
      <c r="K109" s="121" t="str">
        <f t="shared" si="30"/>
        <v>4003/4004</v>
      </c>
      <c r="L109" s="24" t="str">
        <f>VLOOKUP(A109,'Trips&amp;Operators'!$C$1:$E$10000,3,FALSE)</f>
        <v>HILLS</v>
      </c>
      <c r="M109" s="6">
        <f t="shared" ref="M109:M140" si="47">I109-F109</f>
        <v>2.6458333333721384E-2</v>
      </c>
      <c r="N109" s="7">
        <f t="shared" si="44"/>
        <v>38.100000000558794</v>
      </c>
      <c r="O109" s="7"/>
      <c r="P109" s="7"/>
      <c r="Q109" s="25"/>
      <c r="R109" s="25"/>
      <c r="S109" s="37">
        <f t="shared" si="45"/>
        <v>1</v>
      </c>
      <c r="T109" s="52" t="str">
        <f t="shared" si="32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15:27:21-0600',mode:absolute,to:'2016-09-22 18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9" s="54" t="str">
        <f t="shared" ref="W109:W140" si="48">IF(AA109&lt;IF(AG109="EC",23,5.65),"Y","N")</f>
        <v>N</v>
      </c>
      <c r="X109" s="168">
        <f t="shared" si="46"/>
        <v>1</v>
      </c>
      <c r="Y109" s="69">
        <f t="shared" ref="Y109:Y140" si="49">RIGHT(D109,LEN(D109)-4)/10000</f>
        <v>23.299199999999999</v>
      </c>
      <c r="Z109" s="69">
        <f t="shared" ref="Z109:Z140" si="50">RIGHT(H109,LEN(H109)-4)/10000</f>
        <v>1.41E-2</v>
      </c>
      <c r="AA109" s="69">
        <f t="shared" si="37"/>
        <v>23.2851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8"/>
        <v>0198-22</v>
      </c>
      <c r="AE109" s="99" t="str">
        <f t="shared" si="39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109" s="96" t="str">
        <f t="shared" si="40"/>
        <v>"C:\Program Files (x86)\AstroGrep\AstroGrep.exe" /spath="%USERPROFILE%\AppData\Local\Temp\OnboardLogs" /stypes="app*4004*20160922*" /stext=" 23:.+((SYSTEM_STATE.+slice.+state.+changed )|(ment ac)|(system.+state.+changed )|(\|lc)|(penalty)|(\[timeout)|(PRM\|1\|D)|(kpr)|(kdp))" /e /r /s</v>
      </c>
      <c r="AG109" s="1" t="str">
        <f t="shared" si="41"/>
        <v>EC</v>
      </c>
      <c r="AH109" s="100" t="str">
        <f t="shared" si="42"/>
        <v>"%USERPROFILE%\Documents\GitHub\eaglep3\Utilities\RefineRTDCRunTimes.py" --tripid 198-22 --locoid 4004 --swversion DE.1.0.7.0 --startMP 204:232992 --initTime 2016-09-22T16:27:21 --startdatetime 2016-09-22T16:42:21 --delay 1 --endMP 204:141 --enddatetime 2016-09-22T17:20:27 --enforcementcount 0 &gt;&gt;C:\Users\stu\Documents\GitHub\eaglep3-reporting\EC\2016-09-22-refined-times.txt</v>
      </c>
      <c r="AI10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{"issue":{"subject":"","project_id":79,"tracker_id":40,"status_id":1,"priority_id":2,"assigned_to_id":23,"start_date":"2016-09-22","description":"","custom_fields":[{"id":1,"name":"Subdivision","value":"EC"},{"id":4,"name":"Milepost","value":"0.0141"},{"id":17,"name":"Train ID","value":"198-22"},{"id":16,"name":"Locomotive ID","value":"4004"},{"id":130,"name":"Impact","value":""},{"id":150,"name":"Time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527</v>
      </c>
      <c r="B110" s="7">
        <v>4031</v>
      </c>
      <c r="C110" s="24" t="s">
        <v>106</v>
      </c>
      <c r="D110" s="24" t="s">
        <v>363</v>
      </c>
      <c r="E110" s="15">
        <v>42635.662615740737</v>
      </c>
      <c r="F110" s="15">
        <v>42635.667141203703</v>
      </c>
      <c r="G110" s="7">
        <v>1</v>
      </c>
      <c r="H110" s="15" t="s">
        <v>656</v>
      </c>
      <c r="I110" s="15">
        <v>42635.693391203706</v>
      </c>
      <c r="J110" s="7">
        <v>0</v>
      </c>
      <c r="K110" s="121" t="str">
        <f t="shared" si="30"/>
        <v>4031/4032</v>
      </c>
      <c r="L110" s="24" t="str">
        <f>VLOOKUP(A110,'Trips&amp;Operators'!$C$1:$E$10000,3,FALSE)</f>
        <v>STORY</v>
      </c>
      <c r="M110" s="6">
        <f t="shared" si="47"/>
        <v>2.6250000002619345E-2</v>
      </c>
      <c r="N110" s="7">
        <f t="shared" si="44"/>
        <v>37.800000003771856</v>
      </c>
      <c r="O110" s="7"/>
      <c r="P110" s="7"/>
      <c r="Q110" s="25"/>
      <c r="R110" s="25"/>
      <c r="S110" s="37">
        <f t="shared" si="45"/>
        <v>1</v>
      </c>
      <c r="T110" s="52" t="str">
        <f t="shared" si="32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14:54:10-0600',mode:absolute,to:'2016-09-22 17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0" s="54" t="str">
        <f t="shared" si="48"/>
        <v>N</v>
      </c>
      <c r="X110" s="168">
        <f t="shared" si="46"/>
        <v>1</v>
      </c>
      <c r="Y110" s="69">
        <f t="shared" si="49"/>
        <v>4.6399999999999997E-2</v>
      </c>
      <c r="Z110" s="69">
        <f t="shared" si="50"/>
        <v>23.332899999999999</v>
      </c>
      <c r="AA110" s="69">
        <f t="shared" si="37"/>
        <v>23.2865</v>
      </c>
      <c r="AB110" s="66" t="str">
        <f>VLOOKUP(A110,Enforcements!$C$7:$K$20,8,0)</f>
        <v>Speed (6)</v>
      </c>
      <c r="AC110" s="62" t="str">
        <f>VLOOKUP(A110,Enforcements!$C$7:$E$20,3,0)</f>
        <v>PERMANENT SPEED RESTRICTION</v>
      </c>
      <c r="AD110" s="63" t="str">
        <f t="shared" si="38"/>
        <v>0199-22</v>
      </c>
      <c r="AE110" s="99" t="str">
        <f t="shared" si="39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110" s="96" t="str">
        <f t="shared" si="40"/>
        <v>"C:\Program Files (x86)\AstroGrep\AstroGrep.exe" /spath="%USERPROFILE%\AppData\Local\Temp\OnboardLogs" /stypes="app*4031*20160922*" /stext=" 22:.+((SYSTEM_STATE.+slice.+state.+changed )|(ment ac)|(system.+state.+changed )|(\|lc)|(penalty)|(\[timeout)|(PRM\|1\|D)|(kpr)|(kdp))" /e /r /s</v>
      </c>
      <c r="AG110" s="1" t="str">
        <f t="shared" si="41"/>
        <v>EC</v>
      </c>
      <c r="AH110" s="100" t="str">
        <f t="shared" si="42"/>
        <v>"%USERPROFILE%\Documents\GitHub\eaglep3\Utilities\RefineRTDCRunTimes.py" --tripid 199-22 --locoid 4031 --swversion DE.1.0.7.0 --startMP 204:464 --initTime 2016-09-22T15:54:10 --startdatetime 2016-09-22T16:00:41 --delay 1 --endMP 204:233329 --enddatetime 2016-09-22T16:38:29 --enforcementcount 0 &gt;&gt;C:\Users\stu\Documents\GitHub\eaglep3-reporting\EC\2016-09-22-refined-times.txt</v>
      </c>
      <c r="AI11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{"issue":{"subject":"","project_id":79,"tracker_id":40,"status_id":1,"priority_id":2,"assigned_to_id":23,"start_date":"2016-09-22","description":"","custom_fields":[{"id":1,"name":"Subdivision","value":"EC"},{"id":4,"name":"Milepost","value":"23.3329"},{"id":17,"name":"Train ID","value":"199-22"},{"id":16,"name":"Locomotive ID","value":"4031"},{"id":130,"name":"Impact","value":""},{"id":150,"name":"Time of Event (Mountain Time)","value":"16:38:29"},{"id":151,"name":"Denver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537</v>
      </c>
      <c r="B111" s="7">
        <v>4032</v>
      </c>
      <c r="C111" s="24" t="s">
        <v>106</v>
      </c>
      <c r="D111" s="24" t="s">
        <v>370</v>
      </c>
      <c r="E111" s="15">
        <v>42635.698078703703</v>
      </c>
      <c r="F111" s="15">
        <v>42635.70579861111</v>
      </c>
      <c r="G111" s="7">
        <v>1</v>
      </c>
      <c r="H111" s="15" t="s">
        <v>284</v>
      </c>
      <c r="I111" s="15">
        <v>42635.733472222222</v>
      </c>
      <c r="J111" s="7">
        <v>0</v>
      </c>
      <c r="K111" s="121" t="str">
        <f t="shared" si="30"/>
        <v>4031/4032</v>
      </c>
      <c r="L111" s="24" t="str">
        <f>VLOOKUP(A111,'Trips&amp;Operators'!$C$1:$E$10000,3,FALSE)</f>
        <v>STORY</v>
      </c>
      <c r="M111" s="6">
        <f t="shared" si="47"/>
        <v>2.7673611111822538E-2</v>
      </c>
      <c r="N111" s="7">
        <f t="shared" si="44"/>
        <v>39.850000001024455</v>
      </c>
      <c r="O111" s="7"/>
      <c r="P111" s="7"/>
      <c r="Q111" s="25"/>
      <c r="R111" s="25"/>
      <c r="S111" s="37">
        <f t="shared" si="45"/>
        <v>1</v>
      </c>
      <c r="T111" s="52" t="str">
        <f t="shared" si="32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15:45:14-0600',mode:absolute,to:'2016-09-22 18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1" s="54" t="str">
        <f t="shared" si="48"/>
        <v>N</v>
      </c>
      <c r="X111" s="168">
        <f t="shared" si="46"/>
        <v>1</v>
      </c>
      <c r="Y111" s="69">
        <f t="shared" si="49"/>
        <v>23.301500000000001</v>
      </c>
      <c r="Z111" s="69">
        <f t="shared" si="50"/>
        <v>1.41E-2</v>
      </c>
      <c r="AA111" s="69">
        <f t="shared" si="37"/>
        <v>23.287400000000002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8"/>
        <v>0200-22</v>
      </c>
      <c r="AE111" s="99" t="str">
        <f t="shared" si="39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111" s="96" t="str">
        <f t="shared" si="40"/>
        <v>"C:\Program Files (x86)\AstroGrep\AstroGrep.exe" /spath="%USERPROFILE%\AppData\Local\Temp\OnboardLogs" /stypes="app*4032*20160922*" /stext=" 23:.+((SYSTEM_STATE.+slice.+state.+changed )|(ment ac)|(system.+state.+changed )|(\|lc)|(penalty)|(\[timeout)|(PRM\|1\|D)|(kpr)|(kdp))" /e /r /s</v>
      </c>
      <c r="AG111" s="1" t="str">
        <f t="shared" si="41"/>
        <v>EC</v>
      </c>
      <c r="AH111" s="100" t="str">
        <f t="shared" si="42"/>
        <v>"%USERPROFILE%\Documents\GitHub\eaglep3\Utilities\RefineRTDCRunTimes.py" --tripid 200-22 --locoid 4032 --swversion DE.1.0.7.0 --startMP 204:233015 --initTime 2016-09-22T16:45:14 --startdatetime 2016-09-22T16:56:21 --delay 1 --endMP 204:141 --enddatetime 2016-09-22T17:36:12 --enforcementcount 0 &gt;&gt;C:\Users\stu\Documents\GitHub\eaglep3-reporting\EC\2016-09-22-refined-times.txt</v>
      </c>
      <c r="AI11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{"issue":{"subject":"","project_id":79,"tracker_id":40,"status_id":1,"priority_id":2,"assigned_to_id":23,"start_date":"2016-09-22","description":"","custom_fields":[{"id":1,"name":"Subdivision","value":"EC"},{"id":4,"name":"Milepost","value":"0.0141"},{"id":17,"name":"Train ID","value":"200-22"},{"id":16,"name":"Locomotive ID","value":"4032"},{"id":130,"name":"Impact","value":""},{"id":150,"name":"Time of Event (Mountain Time)","value":"17:36:12"},{"id":151,"name":"Denver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530</v>
      </c>
      <c r="B112" s="7">
        <v>4046</v>
      </c>
      <c r="C112" s="24" t="s">
        <v>106</v>
      </c>
      <c r="D112" s="24" t="s">
        <v>259</v>
      </c>
      <c r="E112" s="15">
        <v>42635.673530092594</v>
      </c>
      <c r="F112" s="15">
        <v>42635.677314814813</v>
      </c>
      <c r="G112" s="7">
        <v>1</v>
      </c>
      <c r="H112" s="15" t="s">
        <v>657</v>
      </c>
      <c r="I112" s="15">
        <v>42635.703009259261</v>
      </c>
      <c r="J112" s="7">
        <v>0</v>
      </c>
      <c r="K112" s="121" t="str">
        <f t="shared" si="30"/>
        <v>4045/4046</v>
      </c>
      <c r="L112" s="24" t="str">
        <f>VLOOKUP(A112,'Trips&amp;Operators'!$C$1:$E$10000,3,FALSE)</f>
        <v>STAMBAUGH</v>
      </c>
      <c r="M112" s="6">
        <f t="shared" si="47"/>
        <v>2.5694444448163267E-2</v>
      </c>
      <c r="N112" s="7">
        <f t="shared" si="44"/>
        <v>37.000000005355105</v>
      </c>
      <c r="O112" s="7"/>
      <c r="P112" s="7"/>
      <c r="Q112" s="25"/>
      <c r="R112" s="25"/>
      <c r="S112" s="37">
        <f t="shared" si="45"/>
        <v>1</v>
      </c>
      <c r="T112" s="52" t="str">
        <f t="shared" si="32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15:09:53-0600',mode:absolute,to:'2016-09-22 17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2" s="54" t="str">
        <f t="shared" si="48"/>
        <v>N</v>
      </c>
      <c r="X112" s="168">
        <f t="shared" si="46"/>
        <v>1</v>
      </c>
      <c r="Y112" s="69">
        <f t="shared" si="49"/>
        <v>4.3999999999999997E-2</v>
      </c>
      <c r="Z112" s="69">
        <f t="shared" si="50"/>
        <v>23.329899999999999</v>
      </c>
      <c r="AA112" s="69">
        <f t="shared" si="37"/>
        <v>23.285899999999998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38"/>
        <v>0201-22</v>
      </c>
      <c r="AE112" s="99" t="str">
        <f t="shared" si="39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112" s="96" t="str">
        <f t="shared" si="40"/>
        <v>"C:\Program Files (x86)\AstroGrep\AstroGrep.exe" /spath="%USERPROFILE%\AppData\Local\Temp\OnboardLogs" /stypes="app*4046*20160922*" /stext=" 22:.+((SYSTEM_STATE.+slice.+state.+changed )|(ment ac)|(system.+state.+changed )|(\|lc)|(penalty)|(\[timeout)|(PRM\|1\|D)|(kpr)|(kdp))" /e /r /s</v>
      </c>
      <c r="AG112" s="1" t="str">
        <f t="shared" si="41"/>
        <v>EC</v>
      </c>
      <c r="AH112" s="100" t="str">
        <f t="shared" si="42"/>
        <v>"%USERPROFILE%\Documents\GitHub\eaglep3\Utilities\RefineRTDCRunTimes.py" --tripid 201-22 --locoid 4046 --swversion DE.1.0.7.0 --startMP 204:440 --initTime 2016-09-22T16:09:53 --startdatetime 2016-09-22T16:15:20 --delay 1 --endMP 204:233299 --enddatetime 2016-09-22T16:52:20 --enforcementcount 0 &gt;&gt;C:\Users\stu\Documents\GitHub\eaglep3-reporting\EC\2016-09-22-refined-times.txt</v>
      </c>
      <c r="AI11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{"issue":{"subject":"","project_id":79,"tracker_id":40,"status_id":1,"priority_id":2,"assigned_to_id":23,"start_date":"2016-09-22","description":"","custom_fields":[{"id":1,"name":"Subdivision","value":"EC"},{"id":4,"name":"Milepost","value":"23.3299"},{"id":17,"name":"Train ID","value":"201-22"},{"id":16,"name":"Locomotive ID","value":"4046"},{"id":130,"name":"Impact","value":""},{"id":150,"name":"Time of Event (Mountain Time)","value":"16:52:20"},{"id":151,"name":"Denver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540</v>
      </c>
      <c r="B113" s="7">
        <v>4045</v>
      </c>
      <c r="C113" s="24" t="s">
        <v>106</v>
      </c>
      <c r="D113" s="24" t="s">
        <v>235</v>
      </c>
      <c r="E113" s="15">
        <v>42635.711678240739</v>
      </c>
      <c r="F113" s="15">
        <v>42635.716562499998</v>
      </c>
      <c r="G113" s="7">
        <v>1</v>
      </c>
      <c r="H113" s="15" t="s">
        <v>614</v>
      </c>
      <c r="I113" s="15">
        <v>42635.745023148149</v>
      </c>
      <c r="J113" s="7">
        <v>0</v>
      </c>
      <c r="K113" s="121" t="str">
        <f t="shared" si="30"/>
        <v>4045/4046</v>
      </c>
      <c r="L113" s="24" t="str">
        <f>VLOOKUP(A113,'Trips&amp;Operators'!$C$1:$E$10000,3,FALSE)</f>
        <v>STAMBAUGH</v>
      </c>
      <c r="M113" s="6">
        <f t="shared" si="47"/>
        <v>2.846064815093996E-2</v>
      </c>
      <c r="N113" s="7">
        <f t="shared" si="44"/>
        <v>40.983333337353542</v>
      </c>
      <c r="O113" s="7"/>
      <c r="P113" s="7"/>
      <c r="Q113" s="25"/>
      <c r="R113" s="25"/>
      <c r="S113" s="37">
        <f t="shared" si="45"/>
        <v>1</v>
      </c>
      <c r="T113" s="52" t="str">
        <f t="shared" si="32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16:04:49-0600',mode:absolute,to:'2016-09-22 18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3" s="54" t="str">
        <f t="shared" si="48"/>
        <v>N</v>
      </c>
      <c r="X113" s="168">
        <f t="shared" si="46"/>
        <v>1</v>
      </c>
      <c r="Y113" s="69">
        <f t="shared" si="49"/>
        <v>23.299399999999999</v>
      </c>
      <c r="Z113" s="69">
        <f t="shared" si="50"/>
        <v>1.43E-2</v>
      </c>
      <c r="AA113" s="69">
        <f t="shared" si="37"/>
        <v>23.2851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8"/>
        <v>0202-22</v>
      </c>
      <c r="AE113" s="99" t="str">
        <f t="shared" si="39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113" s="96" t="str">
        <f t="shared" si="40"/>
        <v>"C:\Program Files (x86)\AstroGrep\AstroGrep.exe" /spath="%USERPROFILE%\AppData\Local\Temp\OnboardLogs" /stypes="app*4045*20160922*" /stext=" 23:.+((SYSTEM_STATE.+slice.+state.+changed )|(ment ac)|(system.+state.+changed )|(\|lc)|(penalty)|(\[timeout)|(PRM\|1\|D)|(kpr)|(kdp))" /e /r /s</v>
      </c>
      <c r="AG113" s="1" t="str">
        <f t="shared" si="41"/>
        <v>EC</v>
      </c>
      <c r="AH113" s="100" t="str">
        <f t="shared" si="42"/>
        <v>"%USERPROFILE%\Documents\GitHub\eaglep3\Utilities\RefineRTDCRunTimes.py" --tripid 202-22 --locoid 4045 --swversion DE.1.0.7.0 --startMP 204:232994 --initTime 2016-09-22T17:04:49 --startdatetime 2016-09-22T17:11:51 --delay 1 --endMP 204:143 --enddatetime 2016-09-22T17:52:50 --enforcementcount 0 &gt;&gt;C:\Users\stu\Documents\GitHub\eaglep3-reporting\EC\2016-09-22-refined-times.txt</v>
      </c>
      <c r="AI11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ID","value":"202-22"},{"id":16,"name":"Locomotive ID","value":"4045"},{"id":130,"name":"Impact","value":""},{"id":150,"name":"Time of Event (Mountain Time)","value":"17:52:50"},{"id":151,"name":"Denver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533</v>
      </c>
      <c r="B114" s="7">
        <v>4014</v>
      </c>
      <c r="C114" s="24" t="s">
        <v>106</v>
      </c>
      <c r="D114" s="24" t="s">
        <v>239</v>
      </c>
      <c r="E114" s="15">
        <v>42635.681956018518</v>
      </c>
      <c r="F114" s="15">
        <v>42635.6877662037</v>
      </c>
      <c r="G114" s="7">
        <v>1</v>
      </c>
      <c r="H114" s="15" t="s">
        <v>658</v>
      </c>
      <c r="I114" s="15">
        <v>42635.712905092594</v>
      </c>
      <c r="J114" s="7">
        <v>0</v>
      </c>
      <c r="K114" s="121" t="str">
        <f t="shared" si="30"/>
        <v>4013/4014</v>
      </c>
      <c r="L114" s="24" t="str">
        <f>VLOOKUP(A114,'Trips&amp;Operators'!$C$1:$E$10000,3,FALSE)</f>
        <v>SHOOK</v>
      </c>
      <c r="M114" s="6">
        <f t="shared" si="47"/>
        <v>2.513888889370719E-2</v>
      </c>
      <c r="N114" s="7">
        <f t="shared" si="44"/>
        <v>36.200000006938353</v>
      </c>
      <c r="O114" s="7"/>
      <c r="P114" s="7"/>
      <c r="Q114" s="25"/>
      <c r="R114" s="25"/>
      <c r="S114" s="37">
        <f t="shared" si="45"/>
        <v>1</v>
      </c>
      <c r="T114" s="52" t="str">
        <f t="shared" si="32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15:22:01-0600',mode:absolute,to:'2016-09-22 18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4" s="54" t="str">
        <f t="shared" si="48"/>
        <v>N</v>
      </c>
      <c r="X114" s="168">
        <f t="shared" si="46"/>
        <v>1</v>
      </c>
      <c r="Y114" s="69">
        <f t="shared" si="49"/>
        <v>4.6199999999999998E-2</v>
      </c>
      <c r="Z114" s="69">
        <f t="shared" si="50"/>
        <v>23.336300000000001</v>
      </c>
      <c r="AA114" s="69">
        <f t="shared" si="37"/>
        <v>23.290100000000002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8"/>
        <v>0203-22</v>
      </c>
      <c r="AE114" s="99" t="str">
        <f t="shared" si="39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114" s="96" t="str">
        <f t="shared" si="40"/>
        <v>"C:\Program Files (x86)\AstroGrep\AstroGrep.exe" /spath="%USERPROFILE%\AppData\Local\Temp\OnboardLogs" /stypes="app*4014*20160922*" /stext=" 23:.+((SYSTEM_STATE.+slice.+state.+changed )|(ment ac)|(system.+state.+changed )|(\|lc)|(penalty)|(\[timeout)|(PRM\|1\|D)|(kpr)|(kdp))" /e /r /s</v>
      </c>
      <c r="AG114" s="1" t="str">
        <f t="shared" si="41"/>
        <v>EC</v>
      </c>
      <c r="AH114" s="100" t="str">
        <f t="shared" si="42"/>
        <v>"%USERPROFILE%\Documents\GitHub\eaglep3\Utilities\RefineRTDCRunTimes.py" --tripid 203-22 --locoid 4014 --swversion DE.1.0.7.0 --startMP 204:462 --initTime 2016-09-22T16:22:01 --startdatetime 2016-09-22T16:30:23 --delay 1 --endMP 204:233363 --enddatetime 2016-09-22T17:06:35 --enforcementcount 0 &gt;&gt;C:\Users\stu\Documents\GitHub\eaglep3-reporting\EC\2016-09-22-refined-times.txt</v>
      </c>
      <c r="AI11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{"issue":{"subject":"","project_id":79,"tracker_id":40,"status_id":1,"priority_id":2,"assigned_to_id":23,"start_date":"2016-09-22","description":"","custom_fields":[{"id":1,"name":"Subdivision","value":"EC"},{"id":4,"name":"Milepost","value":"23.3363"},{"id":17,"name":"Train ID","value":"203-22"},{"id":16,"name":"Locomotive ID","value":"4014"},{"id":130,"name":"Impact","value":""},{"id":150,"name":"Time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545</v>
      </c>
      <c r="B115" s="7">
        <v>4013</v>
      </c>
      <c r="C115" s="24" t="s">
        <v>106</v>
      </c>
      <c r="D115" s="24" t="s">
        <v>639</v>
      </c>
      <c r="E115" s="15">
        <v>42635.722719907404</v>
      </c>
      <c r="F115" s="15">
        <v>42635.7265625</v>
      </c>
      <c r="G115" s="7">
        <v>1</v>
      </c>
      <c r="H115" s="15" t="s">
        <v>218</v>
      </c>
      <c r="I115" s="15">
        <v>42635.75508101852</v>
      </c>
      <c r="J115" s="7">
        <v>0</v>
      </c>
      <c r="K115" s="121" t="str">
        <f t="shared" si="30"/>
        <v>4013/4014</v>
      </c>
      <c r="L115" s="24" t="str">
        <f>VLOOKUP(A115,'Trips&amp;Operators'!$C$1:$E$10000,3,FALSE)</f>
        <v>SHOOK</v>
      </c>
      <c r="M115" s="6">
        <f t="shared" si="47"/>
        <v>2.8518518520286307E-2</v>
      </c>
      <c r="N115" s="7">
        <f t="shared" si="44"/>
        <v>41.066666669212282</v>
      </c>
      <c r="O115" s="7"/>
      <c r="P115" s="7"/>
      <c r="Q115" s="25"/>
      <c r="R115" s="25"/>
      <c r="S115" s="37">
        <f t="shared" si="45"/>
        <v>1</v>
      </c>
      <c r="T115" s="52" t="str">
        <f t="shared" si="32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16:20:43-0600',mode:absolute,to:'2016-09-22 19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5" s="54" t="str">
        <f t="shared" si="48"/>
        <v>N</v>
      </c>
      <c r="X115" s="168">
        <f t="shared" si="46"/>
        <v>1</v>
      </c>
      <c r="Y115" s="69">
        <f t="shared" si="49"/>
        <v>23.305299999999999</v>
      </c>
      <c r="Z115" s="69">
        <f t="shared" si="50"/>
        <v>1.47E-2</v>
      </c>
      <c r="AA115" s="69">
        <f t="shared" si="37"/>
        <v>23.290599999999998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8"/>
        <v>0204-22</v>
      </c>
      <c r="AE115" s="99" t="str">
        <f t="shared" si="39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15" s="96" t="str">
        <f t="shared" si="40"/>
        <v>"C:\Program Files (x86)\AstroGrep\AstroGrep.exe" /spath="%USERPROFILE%\AppData\Local\Temp\OnboardLogs" /stypes="app*4013*20160923*" /stext=" 00:.+((SYSTEM_STATE.+slice.+state.+changed )|(ment ac)|(system.+state.+changed )|(\|lc)|(penalty)|(\[timeout)|(PRM\|1\|D)|(kpr)|(kdp))" /e /r /s</v>
      </c>
      <c r="AG115" s="1" t="str">
        <f t="shared" si="41"/>
        <v>EC</v>
      </c>
      <c r="AH115" s="100" t="str">
        <f t="shared" si="42"/>
        <v>"%USERPROFILE%\Documents\GitHub\eaglep3\Utilities\RefineRTDCRunTimes.py" --tripid 204-22 --locoid 4013 --swversion DE.1.0.7.0 --startMP 204:233053 --initTime 2016-09-22T17:20:43 --startdatetime 2016-09-22T17:26:15 --delay 1 --endMP 204:147 --enddatetime 2016-09-22T18:07:19 --enforcementcount 0 &gt;&gt;C:\Users\stu\Documents\GitHub\eaglep3-reporting\EC\2016-09-22-refined-times.txt</v>
      </c>
      <c r="AI11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{"issue":{"subject":"","project_id":79,"tracker_id":40,"status_id":1,"priority_id":2,"assigned_to_id":23,"start_date":"2016-09-22","description":"","custom_fields":[{"id":1,"name":"Subdivision","value":"EC"},{"id":4,"name":"Milepost","value":"0.0147"},{"id":17,"name":"Train ID","value":"204-22"},{"id":16,"name":"Locomotive ID","value":"4013"},{"id":130,"name":"Impact","value":""},{"id":150,"name":"Time of Event (Mountain Time)","value":"18:07:19"},{"id":151,"name":"Denver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536</v>
      </c>
      <c r="B116" s="7">
        <v>4053</v>
      </c>
      <c r="C116" s="24" t="s">
        <v>106</v>
      </c>
      <c r="D116" s="24" t="s">
        <v>360</v>
      </c>
      <c r="E116" s="15">
        <v>42635.695231481484</v>
      </c>
      <c r="F116" s="15">
        <v>42635.698229166665</v>
      </c>
      <c r="G116" s="7">
        <v>1</v>
      </c>
      <c r="H116" s="15" t="s">
        <v>659</v>
      </c>
      <c r="I116" s="15">
        <v>42635.723981481482</v>
      </c>
      <c r="J116" s="7">
        <v>0</v>
      </c>
      <c r="K116" s="121" t="str">
        <f t="shared" si="30"/>
        <v>4053/4054</v>
      </c>
      <c r="L116" s="24" t="str">
        <f>VLOOKUP(A116,'Trips&amp;Operators'!$C$1:$E$10000,3,FALSE)</f>
        <v>MOSES</v>
      </c>
      <c r="M116" s="6">
        <f t="shared" si="47"/>
        <v>2.5752314817509614E-2</v>
      </c>
      <c r="N116" s="7">
        <f t="shared" si="44"/>
        <v>37.083333337213844</v>
      </c>
      <c r="O116" s="7"/>
      <c r="P116" s="7"/>
      <c r="Q116" s="25"/>
      <c r="R116" s="25"/>
      <c r="S116" s="37">
        <f t="shared" si="45"/>
        <v>1</v>
      </c>
      <c r="T116" s="52" t="str">
        <f t="shared" si="32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15:41:08-0600',mode:absolute,to:'2016-09-22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6" s="54" t="str">
        <f t="shared" si="48"/>
        <v>N</v>
      </c>
      <c r="X116" s="168">
        <f t="shared" si="46"/>
        <v>1</v>
      </c>
      <c r="Y116" s="69">
        <f t="shared" si="49"/>
        <v>4.8000000000000001E-2</v>
      </c>
      <c r="Z116" s="69">
        <f t="shared" si="50"/>
        <v>23.332000000000001</v>
      </c>
      <c r="AA116" s="69">
        <f t="shared" si="37"/>
        <v>23.284000000000002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8"/>
        <v>0205-22</v>
      </c>
      <c r="AE116" s="99" t="str">
        <f t="shared" si="39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116" s="96" t="str">
        <f t="shared" si="40"/>
        <v>"C:\Program Files (x86)\AstroGrep\AstroGrep.exe" /spath="%USERPROFILE%\AppData\Local\Temp\OnboardLogs" /stypes="app*4053*20160922*" /stext=" 23:.+((SYSTEM_STATE.+slice.+state.+changed )|(ment ac)|(system.+state.+changed )|(\|lc)|(penalty)|(\[timeout)|(PRM\|1\|D)|(kpr)|(kdp))" /e /r /s</v>
      </c>
      <c r="AG116" s="1" t="str">
        <f t="shared" si="41"/>
        <v>EC</v>
      </c>
      <c r="AH116" s="100" t="str">
        <f t="shared" si="42"/>
        <v>"%USERPROFILE%\Documents\GitHub\eaglep3\Utilities\RefineRTDCRunTimes.py" --tripid 205-22 --locoid 4053 --swversion DE.1.0.7.0 --startMP 204:480 --initTime 2016-09-22T16:41:08 --startdatetime 2016-09-22T16:45:27 --delay 1 --endMP 204:233320 --enddatetime 2016-09-22T17:22:32 --enforcementcount 0 &gt;&gt;C:\Users\stu\Documents\GitHub\eaglep3-reporting\EC\2016-09-22-refined-times.txt</v>
      </c>
      <c r="AI11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{"issue":{"subject":"","project_id":79,"tracker_id":40,"status_id":1,"priority_id":2,"assigned_to_id":23,"start_date":"2016-09-22","description":"","custom_fields":[{"id":1,"name":"Subdivision","value":"EC"},{"id":4,"name":"Milepost","value":"23.332"},{"id":17,"name":"Train ID","value":"205-22"},{"id":16,"name":"Locomotive ID","value":"4053"},{"id":130,"name":"Impact","value":""},{"id":150,"name":"Time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548</v>
      </c>
      <c r="B117" s="7">
        <v>4054</v>
      </c>
      <c r="C117" s="24" t="s">
        <v>106</v>
      </c>
      <c r="D117" s="24" t="s">
        <v>660</v>
      </c>
      <c r="E117" s="15">
        <v>42635.732129629629</v>
      </c>
      <c r="F117" s="15">
        <v>42635.73709490741</v>
      </c>
      <c r="G117" s="7">
        <v>1</v>
      </c>
      <c r="H117" s="15" t="s">
        <v>614</v>
      </c>
      <c r="I117" s="15">
        <v>42635.765949074077</v>
      </c>
      <c r="J117" s="7">
        <v>0</v>
      </c>
      <c r="K117" s="121" t="str">
        <f t="shared" si="30"/>
        <v>4053/4054</v>
      </c>
      <c r="L117" s="24" t="str">
        <f>VLOOKUP(A117,'Trips&amp;Operators'!$C$1:$E$10000,3,FALSE)</f>
        <v>MOSES</v>
      </c>
      <c r="M117" s="6">
        <f t="shared" si="47"/>
        <v>2.8854166666860692E-2</v>
      </c>
      <c r="N117" s="7">
        <f t="shared" si="44"/>
        <v>41.550000000279397</v>
      </c>
      <c r="O117" s="7"/>
      <c r="P117" s="7"/>
      <c r="Q117" s="25"/>
      <c r="R117" s="25"/>
      <c r="S117" s="37">
        <f t="shared" si="45"/>
        <v>1</v>
      </c>
      <c r="T117" s="52" t="str">
        <f t="shared" si="32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16:34:16-0600',mode:absolute,to:'2016-09-22 19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7" s="54" t="str">
        <f t="shared" si="48"/>
        <v>N</v>
      </c>
      <c r="X117" s="168">
        <f t="shared" si="46"/>
        <v>1</v>
      </c>
      <c r="Y117" s="69">
        <f t="shared" si="49"/>
        <v>23.298999999999999</v>
      </c>
      <c r="Z117" s="69">
        <f t="shared" si="50"/>
        <v>1.43E-2</v>
      </c>
      <c r="AA117" s="69">
        <f t="shared" si="37"/>
        <v>23.284700000000001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8"/>
        <v>0206-22</v>
      </c>
      <c r="AE117" s="99" t="str">
        <f t="shared" si="39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17" s="96" t="str">
        <f t="shared" si="40"/>
        <v>"C:\Program Files (x86)\AstroGrep\AstroGrep.exe" /spath="%USERPROFILE%\AppData\Local\Temp\OnboardLogs" /stypes="app*4054*20160923*" /stext=" 00:.+((SYSTEM_STATE.+slice.+state.+changed )|(ment ac)|(system.+state.+changed )|(\|lc)|(penalty)|(\[timeout)|(PRM\|1\|D)|(kpr)|(kdp))" /e /r /s</v>
      </c>
      <c r="AG117" s="1" t="str">
        <f t="shared" si="41"/>
        <v>EC</v>
      </c>
      <c r="AH117" s="100" t="str">
        <f t="shared" si="42"/>
        <v>"%USERPROFILE%\Documents\GitHub\eaglep3\Utilities\RefineRTDCRunTimes.py" --tripid 206-22 --locoid 4054 --swversion DE.1.0.7.0 --startMP 204:232990 --initTime 2016-09-22T17:34:16 --startdatetime 2016-09-22T17:41:25 --delay 1 --endMP 204:143 --enddatetime 2016-09-22T18:22:58 --enforcementcount 0 &gt;&gt;C:\Users\stu\Documents\GitHub\eaglep3-reporting\EC\2016-09-22-refined-times.txt</v>
      </c>
      <c r="AI11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ID","value":"206-22"},{"id":16,"name":"Locomotive ID","value":"4054"},{"id":130,"name":"Impact","value":""},{"id":150,"name":"Time of Event (Mountain Time)","value":"18:22:58"},{"id":151,"name":"Denver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539</v>
      </c>
      <c r="B118" s="7">
        <v>4029</v>
      </c>
      <c r="C118" s="24" t="s">
        <v>106</v>
      </c>
      <c r="D118" s="24" t="s">
        <v>661</v>
      </c>
      <c r="E118" s="15">
        <v>42635.703842592593</v>
      </c>
      <c r="F118" s="15">
        <v>42635.709120370368</v>
      </c>
      <c r="G118" s="7">
        <v>5</v>
      </c>
      <c r="H118" s="15" t="s">
        <v>662</v>
      </c>
      <c r="I118" s="15">
        <v>42635.736006944448</v>
      </c>
      <c r="J118" s="7">
        <v>0</v>
      </c>
      <c r="K118" s="121" t="str">
        <f t="shared" si="30"/>
        <v>4029/4030</v>
      </c>
      <c r="L118" s="24" t="str">
        <f>VLOOKUP(A118,'Trips&amp;Operators'!$C$1:$E$10000,3,FALSE)</f>
        <v>NEWELL</v>
      </c>
      <c r="M118" s="6">
        <f t="shared" si="47"/>
        <v>2.6886574079981074E-2</v>
      </c>
      <c r="N118" s="7">
        <f t="shared" si="44"/>
        <v>38.716666675172746</v>
      </c>
      <c r="O118" s="7"/>
      <c r="P118" s="7"/>
      <c r="Q118" s="25"/>
      <c r="R118" s="25"/>
      <c r="S118" s="37">
        <f t="shared" si="45"/>
        <v>1</v>
      </c>
      <c r="T118" s="52" t="str">
        <f t="shared" si="32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15:53:32-0600',mode:absolute,to:'2016-09-22 18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8" s="54" t="str">
        <f t="shared" si="48"/>
        <v>N</v>
      </c>
      <c r="X118" s="168">
        <f t="shared" si="46"/>
        <v>1</v>
      </c>
      <c r="Y118" s="69">
        <f t="shared" si="49"/>
        <v>4.9500000000000002E-2</v>
      </c>
      <c r="Z118" s="69">
        <f t="shared" si="50"/>
        <v>23.330200000000001</v>
      </c>
      <c r="AA118" s="69">
        <f t="shared" si="37"/>
        <v>23.280700000000003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8"/>
        <v>0207-22</v>
      </c>
      <c r="AE118" s="99" t="str">
        <f t="shared" si="39"/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AF118" s="96" t="str">
        <f t="shared" si="40"/>
        <v>"C:\Program Files (x86)\AstroGrep\AstroGrep.exe" /spath="%USERPROFILE%\AppData\Local\Temp\OnboardLogs" /stypes="app*4029*20160922*" /stext=" 23:.+((SYSTEM_STATE.+slice.+state.+changed )|(ment ac)|(system.+state.+changed )|(\|lc)|(penalty)|(\[timeout)|(PRM\|1\|D)|(kpr)|(kdp))" /e /r /s</v>
      </c>
      <c r="AG118" s="1" t="str">
        <f t="shared" si="41"/>
        <v>EC</v>
      </c>
      <c r="AH118" s="100" t="str">
        <f t="shared" si="42"/>
        <v>"%USERPROFILE%\Documents\GitHub\eaglep3\Utilities\RefineRTDCRunTimes.py" --tripid 207-22 --locoid 4029 --swversion DE.1.0.7.0 --startMP 204:495 --initTime 2016-09-22T16:53:32 --startdatetime 2016-09-22T17:01:08 --delay 5 --endMP 204:233302 --enddatetime 2016-09-22T17:39:51 --enforcementcount 0 &gt;&gt;C:\Users\stu\Documents\GitHub\eaglep3-reporting\EC\2016-09-22-refined-times.txt</v>
      </c>
      <c r="AI11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{"issue":{"subject":"","project_id":79,"tracker_id":40,"status_id":1,"priority_id":2,"assigned_to_id":23,"start_date":"2016-09-22","description":"","custom_fields":[{"id":1,"name":"Subdivision","value":"EC"},{"id":4,"name":"Milepost","value":"23.3302"},{"id":17,"name":"Train ID","value":"207-22"},{"id":16,"name":"Locomotive ID","value":"4029"},{"id":130,"name":"Impact","value":""},{"id":150,"name":"Time of Event (Mountain Time)","value":"17:39:51"},{"id":151,"name":"Denver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551</v>
      </c>
      <c r="B119" s="7">
        <v>4030</v>
      </c>
      <c r="C119" s="24" t="s">
        <v>106</v>
      </c>
      <c r="D119" s="24" t="s">
        <v>311</v>
      </c>
      <c r="E119" s="15">
        <v>42635.73741898148</v>
      </c>
      <c r="F119" s="15">
        <v>42635.747442129628</v>
      </c>
      <c r="G119" s="7">
        <v>1</v>
      </c>
      <c r="H119" s="15" t="s">
        <v>614</v>
      </c>
      <c r="I119" s="15">
        <v>42635.776724537034</v>
      </c>
      <c r="J119" s="7">
        <v>0</v>
      </c>
      <c r="K119" s="121" t="str">
        <f t="shared" si="30"/>
        <v>4029/4030</v>
      </c>
      <c r="L119" s="24" t="str">
        <f>VLOOKUP(A119,'Trips&amp;Operators'!$C$1:$E$10000,3,FALSE)</f>
        <v>NEWELL</v>
      </c>
      <c r="M119" s="6">
        <f t="shared" si="47"/>
        <v>2.9282407405844424E-2</v>
      </c>
      <c r="N119" s="7">
        <f t="shared" si="44"/>
        <v>42.16666666441597</v>
      </c>
      <c r="O119" s="7"/>
      <c r="P119" s="7"/>
      <c r="Q119" s="25"/>
      <c r="R119" s="25"/>
      <c r="S119" s="37">
        <f t="shared" si="45"/>
        <v>1</v>
      </c>
      <c r="T119" s="52" t="str">
        <f t="shared" si="32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16:41:53-0600',mode:absolute,to:'2016-09-22 19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9" s="54" t="str">
        <f t="shared" si="48"/>
        <v>N</v>
      </c>
      <c r="X119" s="168">
        <f t="shared" si="46"/>
        <v>1</v>
      </c>
      <c r="Y119" s="69">
        <f t="shared" si="49"/>
        <v>23.299800000000001</v>
      </c>
      <c r="Z119" s="69">
        <f t="shared" si="50"/>
        <v>1.43E-2</v>
      </c>
      <c r="AA119" s="69">
        <f t="shared" si="37"/>
        <v>23.285500000000003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8"/>
        <v>0208-22</v>
      </c>
      <c r="AE119" s="99" t="str">
        <f t="shared" si="39"/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AF119" s="96" t="str">
        <f t="shared" si="40"/>
        <v>"C:\Program Files (x86)\AstroGrep\AstroGrep.exe" /spath="%USERPROFILE%\AppData\Local\Temp\OnboardLogs" /stypes="app*4030*20160923*" /stext=" 00:.+((SYSTEM_STATE.+slice.+state.+changed )|(ment ac)|(system.+state.+changed )|(\|lc)|(penalty)|(\[timeout)|(PRM\|1\|D)|(kpr)|(kdp))" /e /r /s</v>
      </c>
      <c r="AG119" s="1" t="str">
        <f t="shared" si="41"/>
        <v>EC</v>
      </c>
      <c r="AH119" s="100" t="str">
        <f t="shared" si="42"/>
        <v>"%USERPROFILE%\Documents\GitHub\eaglep3\Utilities\RefineRTDCRunTimes.py" --tripid 208-22 --locoid 4030 --swversion DE.1.0.7.0 --startMP 204:232998 --initTime 2016-09-22T17:41:53 --startdatetime 2016-09-22T17:56:19 --delay 1 --endMP 204:143 --enddatetime 2016-09-22T18:38:29 --enforcementcount 0 &gt;&gt;C:\Users\stu\Documents\GitHub\eaglep3-reporting\EC\2016-09-22-refined-times.txt</v>
      </c>
      <c r="AI11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{"issue":{"subject":"","project_id":79,"tracker_id":40,"status_id":1,"priority_id":2,"assigned_to_id":23,"start_date":"2016-09-22","description":"","custom_fields":[{"id":1,"name":"Subdivision","value":"EC"},{"id":4,"name":"Milepost","value":"0.0143"},{"id":17,"name":"Train ID","value":"208-22"},{"id":16,"name":"Locomotive ID","value":"4030"},{"id":130,"name":"Impact","value":""},{"id":150,"name":"Time of Event (Mountain Time)","value":"18:38:29"},{"id":151,"name":"Denver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542</v>
      </c>
      <c r="B120" s="7">
        <v>4002</v>
      </c>
      <c r="C120" s="24" t="s">
        <v>106</v>
      </c>
      <c r="D120" s="24" t="s">
        <v>219</v>
      </c>
      <c r="E120" s="15">
        <v>42635.715740740743</v>
      </c>
      <c r="F120" s="15">
        <v>42635.719085648147</v>
      </c>
      <c r="G120" s="7">
        <v>2</v>
      </c>
      <c r="H120" s="15" t="s">
        <v>269</v>
      </c>
      <c r="I120" s="15">
        <v>42635.745567129627</v>
      </c>
      <c r="J120" s="7">
        <v>0</v>
      </c>
      <c r="K120" s="121" t="str">
        <f t="shared" si="30"/>
        <v>4001/4002</v>
      </c>
      <c r="L120" s="24" t="str">
        <f>VLOOKUP(A120,'Trips&amp;Operators'!$C$1:$E$10000,3,FALSE)</f>
        <v>LEVERE</v>
      </c>
      <c r="M120" s="6">
        <f t="shared" si="47"/>
        <v>2.6481481480004732E-2</v>
      </c>
      <c r="N120" s="7">
        <f t="shared" si="44"/>
        <v>38.133333331206813</v>
      </c>
      <c r="O120" s="7"/>
      <c r="P120" s="7"/>
      <c r="Q120" s="25"/>
      <c r="R120" s="25"/>
      <c r="S120" s="37">
        <f t="shared" si="45"/>
        <v>1</v>
      </c>
      <c r="T120" s="52" t="str">
        <f t="shared" si="32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16:10:40-0600',mode:absolute,to:'2016-09-22 18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0" s="54" t="str">
        <f t="shared" si="48"/>
        <v>N</v>
      </c>
      <c r="X120" s="168">
        <f t="shared" si="46"/>
        <v>1</v>
      </c>
      <c r="Y120" s="69">
        <f t="shared" si="49"/>
        <v>4.53E-2</v>
      </c>
      <c r="Z120" s="69">
        <f t="shared" si="50"/>
        <v>23.329499999999999</v>
      </c>
      <c r="AA120" s="69">
        <f t="shared" si="37"/>
        <v>23.284199999999998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8"/>
        <v>0209-22</v>
      </c>
      <c r="AE120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120" s="96" t="str">
        <f t="shared" si="40"/>
        <v>"C:\Program Files (x86)\AstroGrep\AstroGrep.exe" /spath="%USERPROFILE%\AppData\Local\Temp\OnboardLogs" /stypes="app*4002*20160922*" /stext=" 23:.+((SYSTEM_STATE.+slice.+state.+changed )|(ment ac)|(system.+state.+changed )|(\|lc)|(penalty)|(\[timeout)|(PRM\|1\|D)|(kpr)|(kdp))" /e /r /s</v>
      </c>
      <c r="AG120" s="1" t="str">
        <f t="shared" si="41"/>
        <v>EC</v>
      </c>
      <c r="AH120" s="100" t="str">
        <f t="shared" si="42"/>
        <v>"%USERPROFILE%\Documents\GitHub\eaglep3\Utilities\RefineRTDCRunTimes.py" --tripid 209-22 --locoid 4002 --swversion DE.1.0.7.0 --startMP 204:453 --initTime 2016-09-22T17:10:40 --startdatetime 2016-09-22T17:15:29 --delay 2 --endMP 204:233295 --enddatetime 2016-09-22T17:53:37 --enforcementcount 0 &gt;&gt;C:\Users\stu\Documents\GitHub\eaglep3-reporting\EC\2016-09-22-refined-times.txt</v>
      </c>
      <c r="AI12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{"issue":{"subject":"","project_id":79,"tracker_id":40,"status_id":1,"priority_id":2,"assigned_to_id":23,"start_date":"2016-09-22","description":"","custom_fields":[{"id":1,"name":"Subdivision","value":"EC"},{"id":4,"name":"Milepost","value":"23.3295"},{"id":17,"name":"Train ID","value":"209-22"},{"id":16,"name":"Locomotive ID","value":"4002"},{"id":130,"name":"Impact","value":""},{"id":150,"name":"Time of Event (Mountain Time)","value":"17:53:37"},{"id":151,"name":"Denver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556</v>
      </c>
      <c r="B121" s="7">
        <v>4001</v>
      </c>
      <c r="C121" s="24" t="s">
        <v>106</v>
      </c>
      <c r="D121" s="24" t="s">
        <v>308</v>
      </c>
      <c r="E121" s="15">
        <v>42635.75104166667</v>
      </c>
      <c r="F121" s="15">
        <v>42635.757916666669</v>
      </c>
      <c r="G121" s="7">
        <v>2</v>
      </c>
      <c r="H121" s="15" t="s">
        <v>270</v>
      </c>
      <c r="I121" s="15">
        <v>42635.785057870373</v>
      </c>
      <c r="J121" s="7">
        <v>0</v>
      </c>
      <c r="K121" s="121" t="str">
        <f t="shared" si="30"/>
        <v>4001/4002</v>
      </c>
      <c r="L121" s="24" t="str">
        <f>VLOOKUP(A121,'Trips&amp;Operators'!$C$1:$E$10000,3,FALSE)</f>
        <v>LEVERE</v>
      </c>
      <c r="M121" s="6">
        <f t="shared" si="47"/>
        <v>2.7141203703649808E-2</v>
      </c>
      <c r="N121" s="7">
        <f t="shared" ref="N121:N152" si="51">24*60*SUM($M121:$M121)</f>
        <v>39.083333333255723</v>
      </c>
      <c r="O121" s="7"/>
      <c r="P121" s="7"/>
      <c r="Q121" s="25"/>
      <c r="R121" s="25"/>
      <c r="S121" s="37">
        <f t="shared" ref="S121:S152" si="52">SUM(U121:U121)/IF(AG121="EC",12,1)</f>
        <v>1</v>
      </c>
      <c r="T121" s="52" t="str">
        <f t="shared" si="32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17:01:30-0600',mode:absolute,to:'2016-09-22 19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1" s="54" t="str">
        <f t="shared" si="48"/>
        <v>N</v>
      </c>
      <c r="X121" s="168">
        <f t="shared" si="46"/>
        <v>1</v>
      </c>
      <c r="Y121" s="69">
        <f t="shared" si="49"/>
        <v>23.299600000000002</v>
      </c>
      <c r="Z121" s="69">
        <f t="shared" si="50"/>
        <v>1.4500000000000001E-2</v>
      </c>
      <c r="AA121" s="69">
        <f t="shared" si="37"/>
        <v>23.2851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8"/>
        <v>0210-22</v>
      </c>
      <c r="AE121" s="99" t="str">
        <f t="shared" si="39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121" s="96" t="str">
        <f t="shared" si="40"/>
        <v>"C:\Program Files (x86)\AstroGrep\AstroGrep.exe" /spath="%USERPROFILE%\AppData\Local\Temp\OnboardLogs" /stypes="app*4001*20160923*" /stext=" 00:.+((SYSTEM_STATE.+slice.+state.+changed )|(ment ac)|(system.+state.+changed )|(\|lc)|(penalty)|(\[timeout)|(PRM\|1\|D)|(kpr)|(kdp))" /e /r /s</v>
      </c>
      <c r="AG121" s="1" t="str">
        <f t="shared" si="41"/>
        <v>EC</v>
      </c>
      <c r="AH121" s="100" t="str">
        <f t="shared" si="42"/>
        <v>"%USERPROFILE%\Documents\GitHub\eaglep3\Utilities\RefineRTDCRunTimes.py" --tripid 210-22 --locoid 4001 --swversion DE.1.0.7.0 --startMP 204:232996 --initTime 2016-09-22T18:01:30 --startdatetime 2016-09-22T18:11:24 --delay 2 --endMP 204:145 --enddatetime 2016-09-22T18:50:29 --enforcementcount 0 &gt;&gt;C:\Users\stu\Documents\GitHub\eaglep3-reporting\EC\2016-09-22-refined-times.txt</v>
      </c>
      <c r="AI12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ID","value":"210-22"},{"id":16,"name":"Locomotive ID","value":"4001"},{"id":130,"name":"Impact","value":""},{"id":150,"name":"Time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546</v>
      </c>
      <c r="B122" s="7">
        <v>4003</v>
      </c>
      <c r="C122" s="24" t="s">
        <v>106</v>
      </c>
      <c r="D122" s="24" t="s">
        <v>219</v>
      </c>
      <c r="E122" s="15">
        <v>42635.725092592591</v>
      </c>
      <c r="F122" s="15">
        <v>42635.729768518519</v>
      </c>
      <c r="G122" s="7">
        <v>1</v>
      </c>
      <c r="H122" s="15" t="s">
        <v>285</v>
      </c>
      <c r="I122" s="15">
        <v>42635.75712962963</v>
      </c>
      <c r="J122" s="7">
        <v>0</v>
      </c>
      <c r="K122" s="121" t="str">
        <f t="shared" si="30"/>
        <v>4003/4004</v>
      </c>
      <c r="L122" s="24" t="str">
        <f>VLOOKUP(A122,'Trips&amp;Operators'!$C$1:$E$10000,3,FALSE)</f>
        <v>YOUNG</v>
      </c>
      <c r="M122" s="6">
        <f t="shared" si="47"/>
        <v>2.73611111115315E-2</v>
      </c>
      <c r="N122" s="7">
        <f t="shared" si="51"/>
        <v>39.40000000060536</v>
      </c>
      <c r="O122" s="7"/>
      <c r="P122" s="7"/>
      <c r="Q122" s="25"/>
      <c r="R122" s="25"/>
      <c r="S122" s="37">
        <f t="shared" si="52"/>
        <v>1</v>
      </c>
      <c r="T122" s="52" t="str">
        <f t="shared" si="32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16:24:08-0600',mode:absolute,to:'2016-09-22 19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2" s="54" t="str">
        <f t="shared" si="48"/>
        <v>N</v>
      </c>
      <c r="X122" s="168">
        <f t="shared" si="46"/>
        <v>1</v>
      </c>
      <c r="Y122" s="69">
        <f t="shared" si="49"/>
        <v>4.53E-2</v>
      </c>
      <c r="Z122" s="69">
        <f t="shared" si="50"/>
        <v>23.3308</v>
      </c>
      <c r="AA122" s="69">
        <f t="shared" si="37"/>
        <v>23.285499999999999</v>
      </c>
      <c r="AB122" s="66" t="str">
        <f>VLOOKUP(A122,Enforcements!$C$7:$K$20,8,0)</f>
        <v>Speed (6)</v>
      </c>
      <c r="AC122" s="62" t="str">
        <f>VLOOKUP(A122,Enforcements!$C$7:$E$20,3,0)</f>
        <v>PERMANENT SPEED RESTRICTION</v>
      </c>
      <c r="AD122" s="63" t="str">
        <f t="shared" si="38"/>
        <v>0211-22</v>
      </c>
      <c r="AE122" s="99" t="str">
        <f t="shared" si="39"/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AF122" s="96" t="str">
        <f t="shared" si="40"/>
        <v>"C:\Program Files (x86)\AstroGrep\AstroGrep.exe" /spath="%USERPROFILE%\AppData\Local\Temp\OnboardLogs" /stypes="app*4003*20160923*" /stext=" 00:.+((SYSTEM_STATE.+slice.+state.+changed )|(ment ac)|(system.+state.+changed )|(\|lc)|(penalty)|(\[timeout)|(PRM\|1\|D)|(kpr)|(kdp))" /e /r /s</v>
      </c>
      <c r="AG122" s="1" t="str">
        <f t="shared" si="41"/>
        <v>EC</v>
      </c>
      <c r="AH122" s="100" t="str">
        <f t="shared" si="42"/>
        <v>"%USERPROFILE%\Documents\GitHub\eaglep3\Utilities\RefineRTDCRunTimes.py" --tripid 211-22 --locoid 4003 --swversion DE.1.0.7.0 --startMP 204:453 --initTime 2016-09-22T17:24:08 --startdatetime 2016-09-22T17:30:52 --delay 1 --endMP 204:233308 --enddatetime 2016-09-22T18:10:16 --enforcementcount 0 &gt;&gt;C:\Users\stu\Documents\GitHub\eaglep3-reporting\EC\2016-09-22-refined-times.txt</v>
      </c>
      <c r="AI12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ID","value":"211-22"},{"id":16,"name":"Locomotive ID","value":"4003"},{"id":130,"name":"Impact","value":""},{"id":150,"name":"Time of Event (Mountain Time)","value":"18:10:16"},{"id":151,"name":"Denver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561</v>
      </c>
      <c r="B123" s="7">
        <v>4004</v>
      </c>
      <c r="C123" s="24" t="s">
        <v>106</v>
      </c>
      <c r="D123" s="24" t="s">
        <v>308</v>
      </c>
      <c r="E123" s="15">
        <v>42635.762442129628</v>
      </c>
      <c r="F123" s="15">
        <v>42635.76834490741</v>
      </c>
      <c r="G123" s="7">
        <v>1</v>
      </c>
      <c r="H123" s="15" t="s">
        <v>359</v>
      </c>
      <c r="I123" s="15">
        <v>42635.797696759262</v>
      </c>
      <c r="J123" s="7">
        <v>0</v>
      </c>
      <c r="K123" s="121" t="str">
        <f t="shared" si="30"/>
        <v>4003/4004</v>
      </c>
      <c r="L123" s="24" t="str">
        <f>VLOOKUP(A123,'Trips&amp;Operators'!$C$1:$E$10000,3,FALSE)</f>
        <v>YOUNG</v>
      </c>
      <c r="M123" s="6">
        <f t="shared" si="47"/>
        <v>2.9351851851970423E-2</v>
      </c>
      <c r="N123" s="7">
        <f t="shared" si="51"/>
        <v>42.266666666837409</v>
      </c>
      <c r="O123" s="7"/>
      <c r="P123" s="7"/>
      <c r="Q123" s="25"/>
      <c r="R123" s="25"/>
      <c r="S123" s="37">
        <f t="shared" si="52"/>
        <v>1</v>
      </c>
      <c r="T123" s="52" t="str">
        <f t="shared" si="32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17:17:55-0600',mode:absolute,to:'2016-09-22 20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3" s="54" t="str">
        <f t="shared" si="48"/>
        <v>N</v>
      </c>
      <c r="X123" s="168">
        <f t="shared" si="46"/>
        <v>1</v>
      </c>
      <c r="Y123" s="69">
        <f t="shared" si="49"/>
        <v>23.299600000000002</v>
      </c>
      <c r="Z123" s="69">
        <f t="shared" si="50"/>
        <v>1.6899999999999998E-2</v>
      </c>
      <c r="AA123" s="69">
        <f t="shared" si="37"/>
        <v>23.282700000000002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8"/>
        <v>0212-22</v>
      </c>
      <c r="AE123" s="99" t="str">
        <f t="shared" si="39"/>
        <v>aws s3 cp s3://rtdc.mdm.uploadarchive/RTDC4004/2016-09-22/ "%USERPROFILE%\AppData\Local\Temp\OnboardLogs"\RTDC4004\2016-09-22 --recursive &amp; "%USERPROFILE%\Documents\GitHub\mrs-test-scripts\Headless Mode &amp; Sideloading\WalkAndUnGZ.bat" "%USERPROFILE%\AppData\Local\Temp\OnboardLogs"\RTDC4004\2016-09-22 &amp; 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</v>
      </c>
      <c r="AF123" s="96" t="str">
        <f t="shared" si="40"/>
        <v>"C:\Program Files (x86)\AstroGrep\AstroGrep.exe" /spath="%USERPROFILE%\AppData\Local\Temp\OnboardLogs" /stypes="app*4004*20160923*" /stext=" 01:.+((SYSTEM_STATE.+slice.+state.+changed )|(ment ac)|(system.+state.+changed )|(\|lc)|(penalty)|(\[timeout)|(PRM\|1\|D)|(kpr)|(kdp))" /e /r /s</v>
      </c>
      <c r="AG123" s="1" t="str">
        <f t="shared" si="41"/>
        <v>EC</v>
      </c>
      <c r="AH123" s="100" t="str">
        <f t="shared" si="42"/>
        <v>"%USERPROFILE%\Documents\GitHub\eaglep3\Utilities\RefineRTDCRunTimes.py" --tripid 212-22 --locoid 4004 --swversion DE.1.0.7.0 --startMP 204:232996 --initTime 2016-09-22T18:17:55 --startdatetime 2016-09-22T18:26:25 --delay 1 --endMP 204:169 --enddatetime 2016-09-22T19:08:41 --enforcementcount 0 &gt;&gt;C:\Users\stu\Documents\GitHub\eaglep3-reporting\EC\2016-09-22-refined-times.txt</v>
      </c>
      <c r="AI12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{"issue":{"subject":"","project_id":79,"tracker_id":40,"status_id":1,"priority_id":2,"assigned_to_id":23,"start_date":"2016-09-22","description":"","custom_fields":[{"id":1,"name":"Subdivision","value":"EC"},{"id":4,"name":"Milepost","value":"0.0169"},{"id":17,"name":"Train ID","value":"212-22"},{"id":16,"name":"Locomotive ID","value":"4004"},{"id":130,"name":"Impact","value":""},{"id":150,"name":"Time of Event (Mountain Time)","value":"19:08:41"},{"id":151,"name":"Denver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550</v>
      </c>
      <c r="B124" s="7">
        <v>4031</v>
      </c>
      <c r="C124" s="24" t="s">
        <v>106</v>
      </c>
      <c r="D124" s="24" t="s">
        <v>663</v>
      </c>
      <c r="E124" s="15">
        <v>42635.736273148148</v>
      </c>
      <c r="F124" s="15">
        <v>42635.739942129629</v>
      </c>
      <c r="G124" s="7">
        <v>1</v>
      </c>
      <c r="H124" s="15" t="s">
        <v>664</v>
      </c>
      <c r="I124" s="15">
        <v>42635.764178240737</v>
      </c>
      <c r="J124" s="7">
        <v>0</v>
      </c>
      <c r="K124" s="121" t="str">
        <f t="shared" si="30"/>
        <v>4031/4032</v>
      </c>
      <c r="L124" s="24" t="str">
        <f>VLOOKUP(A124,'Trips&amp;Operators'!$C$1:$E$10000,3,FALSE)</f>
        <v>COOLAHAN</v>
      </c>
      <c r="M124" s="6">
        <f t="shared" si="47"/>
        <v>2.4236111108621117E-2</v>
      </c>
      <c r="N124" s="7">
        <f t="shared" si="51"/>
        <v>34.899999996414408</v>
      </c>
      <c r="O124" s="7"/>
      <c r="P124" s="7"/>
      <c r="Q124" s="25"/>
      <c r="R124" s="25"/>
      <c r="S124" s="37">
        <f t="shared" si="52"/>
        <v>1</v>
      </c>
      <c r="T124" s="52" t="str">
        <f t="shared" si="32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16:40:14-0600',mode:absolute,to:'2016-09-22 19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4" s="54" t="str">
        <f t="shared" si="48"/>
        <v>N</v>
      </c>
      <c r="X124" s="168">
        <f t="shared" si="46"/>
        <v>1</v>
      </c>
      <c r="Y124" s="69">
        <f t="shared" si="49"/>
        <v>4.3799999999999999E-2</v>
      </c>
      <c r="Z124" s="69">
        <f t="shared" si="50"/>
        <v>23.3309</v>
      </c>
      <c r="AA124" s="69">
        <f t="shared" si="37"/>
        <v>23.287099999999999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8"/>
        <v>0213-22</v>
      </c>
      <c r="AE124" s="99" t="str">
        <f t="shared" si="39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124" s="96" t="str">
        <f t="shared" si="40"/>
        <v>"C:\Program Files (x86)\AstroGrep\AstroGrep.exe" /spath="%USERPROFILE%\AppData\Local\Temp\OnboardLogs" /stypes="app*4031*20160923*" /stext=" 00:.+((SYSTEM_STATE.+slice.+state.+changed )|(ment ac)|(system.+state.+changed )|(\|lc)|(penalty)|(\[timeout)|(PRM\|1\|D)|(kpr)|(kdp))" /e /r /s</v>
      </c>
      <c r="AG124" s="1" t="str">
        <f t="shared" si="41"/>
        <v>EC</v>
      </c>
      <c r="AH124" s="100" t="str">
        <f t="shared" si="42"/>
        <v>"%USERPROFILE%\Documents\GitHub\eaglep3\Utilities\RefineRTDCRunTimes.py" --tripid 213-22 --locoid 4031 --swversion DE.1.0.7.0 --startMP 204:438 --initTime 2016-09-22T17:40:14 --startdatetime 2016-09-22T17:45:31 --delay 1 --endMP 204:233309 --enddatetime 2016-09-22T18:20:25 --enforcementcount 0 &gt;&gt;C:\Users\stu\Documents\GitHub\eaglep3-reporting\EC\2016-09-22-refined-times.txt</v>
      </c>
      <c r="AI12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{"issue":{"subject":"","project_id":79,"tracker_id":40,"status_id":1,"priority_id":2,"assigned_to_id":23,"start_date":"2016-09-22","description":"","custom_fields":[{"id":1,"name":"Subdivision","value":"EC"},{"id":4,"name":"Milepost","value":"23.3309"},{"id":17,"name":"Train ID","value":"213-22"},{"id":16,"name":"Locomotive ID","value":"4031"},{"id":130,"name":"Impact","value":""},{"id":150,"name":"Time of Event (Mountain Time)","value":"18:20:25"},{"id":151,"name":"Denver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563</v>
      </c>
      <c r="B125" s="7">
        <v>4032</v>
      </c>
      <c r="C125" s="24" t="s">
        <v>106</v>
      </c>
      <c r="D125" s="24" t="s">
        <v>235</v>
      </c>
      <c r="E125" s="15">
        <v>42635.77375</v>
      </c>
      <c r="F125" s="15">
        <v>42635.778703703705</v>
      </c>
      <c r="G125" s="7">
        <v>2</v>
      </c>
      <c r="H125" s="15" t="s">
        <v>127</v>
      </c>
      <c r="I125" s="15">
        <v>42635.804780092592</v>
      </c>
      <c r="J125" s="7">
        <v>0</v>
      </c>
      <c r="K125" s="121" t="str">
        <f t="shared" si="30"/>
        <v>4031/4032</v>
      </c>
      <c r="L125" s="24" t="str">
        <f>VLOOKUP(A125,'Trips&amp;Operators'!$C$1:$E$10000,3,FALSE)</f>
        <v>COOLAHAN</v>
      </c>
      <c r="M125" s="6">
        <f t="shared" si="47"/>
        <v>2.6076388887304347E-2</v>
      </c>
      <c r="N125" s="7">
        <f t="shared" si="51"/>
        <v>37.54999999771826</v>
      </c>
      <c r="O125" s="7"/>
      <c r="P125" s="7"/>
      <c r="Q125" s="25"/>
      <c r="R125" s="25"/>
      <c r="S125" s="37">
        <f t="shared" si="52"/>
        <v>1</v>
      </c>
      <c r="T125" s="52" t="str">
        <f t="shared" si="32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17:34:12-0600',mode:absolute,to:'2016-09-22 20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5" s="54" t="str">
        <f t="shared" si="48"/>
        <v>N</v>
      </c>
      <c r="X125" s="168">
        <f t="shared" si="46"/>
        <v>1</v>
      </c>
      <c r="Y125" s="69">
        <f t="shared" si="49"/>
        <v>23.299399999999999</v>
      </c>
      <c r="Z125" s="69">
        <f t="shared" si="50"/>
        <v>1.54E-2</v>
      </c>
      <c r="AA125" s="69">
        <f t="shared" si="37"/>
        <v>23.283999999999999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8"/>
        <v>0214-22</v>
      </c>
      <c r="AE125" s="99" t="str">
        <f t="shared" si="39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125" s="96" t="str">
        <f t="shared" si="40"/>
        <v>"C:\Program Files (x86)\AstroGrep\AstroGrep.exe" /spath="%USERPROFILE%\AppData\Local\Temp\OnboardLogs" /stypes="app*4032*20160923*" /stext=" 01:.+((SYSTEM_STATE.+slice.+state.+changed )|(ment ac)|(system.+state.+changed )|(\|lc)|(penalty)|(\[timeout)|(PRM\|1\|D)|(kpr)|(kdp))" /e /r /s</v>
      </c>
      <c r="AG125" s="1" t="str">
        <f t="shared" si="41"/>
        <v>EC</v>
      </c>
      <c r="AH125" s="100" t="str">
        <f t="shared" si="42"/>
        <v>"%USERPROFILE%\Documents\GitHub\eaglep3\Utilities\RefineRTDCRunTimes.py" --tripid 214-22 --locoid 4032 --swversion DE.1.0.7.0 --startMP 204:232994 --initTime 2016-09-22T18:34:12 --startdatetime 2016-09-22T18:41:20 --delay 2 --endMP 204:154 --enddatetime 2016-09-22T19:18:53 --enforcementcount 0 &gt;&gt;C:\Users\stu\Documents\GitHub\eaglep3-reporting\EC\2016-09-22-refined-times.txt</v>
      </c>
      <c r="AI12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{"issue":{"subject":"","project_id":79,"tracker_id":40,"status_id":1,"priority_id":2,"assigned_to_id":23,"start_date":"2016-09-22","description":"","custom_fields":[{"id":1,"name":"Subdivision","value":"EC"},{"id":4,"name":"Milepost","value":"0.0154"},{"id":17,"name":"Train ID","value":"214-22"},{"id":16,"name":"Locomotive ID","value":"4032"},{"id":130,"name":"Impact","value":""},{"id":150,"name":"Time of Event (Mountain Time)","value":"19:18:53"},{"id":151,"name":"Denver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554</v>
      </c>
      <c r="B126" s="7">
        <v>4046</v>
      </c>
      <c r="C126" s="24" t="s">
        <v>106</v>
      </c>
      <c r="D126" s="24" t="s">
        <v>363</v>
      </c>
      <c r="E126" s="15">
        <v>42635.746527777781</v>
      </c>
      <c r="F126" s="15">
        <v>42635.75037037037</v>
      </c>
      <c r="G126" s="7">
        <v>2</v>
      </c>
      <c r="H126" s="15" t="s">
        <v>285</v>
      </c>
      <c r="I126" s="15">
        <v>42635.776817129627</v>
      </c>
      <c r="J126" s="7">
        <v>0</v>
      </c>
      <c r="K126" s="121" t="str">
        <f t="shared" si="30"/>
        <v>4045/4046</v>
      </c>
      <c r="L126" s="24" t="str">
        <f>VLOOKUP(A126,'Trips&amp;Operators'!$C$1:$E$10000,3,FALSE)</f>
        <v>STORY</v>
      </c>
      <c r="M126" s="6">
        <f t="shared" si="47"/>
        <v>2.6446759256941732E-2</v>
      </c>
      <c r="N126" s="7">
        <f t="shared" si="51"/>
        <v>38.083333329996094</v>
      </c>
      <c r="O126" s="7"/>
      <c r="P126" s="7"/>
      <c r="Q126" s="25"/>
      <c r="R126" s="25"/>
      <c r="S126" s="37">
        <f t="shared" si="52"/>
        <v>1</v>
      </c>
      <c r="T126" s="52" t="str">
        <f t="shared" si="32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16:55:00-0600',mode:absolute,to:'2016-09-22 19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6" s="54" t="str">
        <f t="shared" si="48"/>
        <v>N</v>
      </c>
      <c r="X126" s="168">
        <f t="shared" si="46"/>
        <v>1</v>
      </c>
      <c r="Y126" s="69">
        <f t="shared" si="49"/>
        <v>4.6399999999999997E-2</v>
      </c>
      <c r="Z126" s="69">
        <f t="shared" si="50"/>
        <v>23.3308</v>
      </c>
      <c r="AA126" s="69">
        <f t="shared" si="37"/>
        <v>23.284400000000002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8"/>
        <v>0215-22</v>
      </c>
      <c r="AE126" s="99" t="str">
        <f t="shared" si="39"/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AF126" s="96" t="str">
        <f t="shared" si="40"/>
        <v>"C:\Program Files (x86)\AstroGrep\AstroGrep.exe" /spath="%USERPROFILE%\AppData\Local\Temp\OnboardLogs" /stypes="app*4046*20160923*" /stext=" 00:.+((SYSTEM_STATE.+slice.+state.+changed )|(ment ac)|(system.+state.+changed )|(\|lc)|(penalty)|(\[timeout)|(PRM\|1\|D)|(kpr)|(kdp))" /e /r /s</v>
      </c>
      <c r="AG126" s="1" t="str">
        <f t="shared" si="41"/>
        <v>EC</v>
      </c>
      <c r="AH126" s="100" t="str">
        <f t="shared" si="42"/>
        <v>"%USERPROFILE%\Documents\GitHub\eaglep3\Utilities\RefineRTDCRunTimes.py" --tripid 215-22 --locoid 4046 --swversion DE.1.0.7.0 --startMP 204:464 --initTime 2016-09-22T17:55:00 --startdatetime 2016-09-22T18:00:32 --delay 2 --endMP 204:233308 --enddatetime 2016-09-22T18:38:37 --enforcementcount 0 &gt;&gt;C:\Users\stu\Documents\GitHub\eaglep3-reporting\EC\2016-09-22-refined-times.txt</v>
      </c>
      <c r="AI12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ID","value":"215-22"},{"id":16,"name":"Locomotive ID","value":"4046"},{"id":130,"name":"Impact","value":""},{"id":150,"name":"Time of Event (Mountain Time)","value":"18:38:37"},{"id":151,"name":"Denver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568</v>
      </c>
      <c r="B127" s="7">
        <v>4045</v>
      </c>
      <c r="C127" s="24" t="s">
        <v>106</v>
      </c>
      <c r="D127" s="24" t="s">
        <v>617</v>
      </c>
      <c r="E127" s="15">
        <v>42635.783321759256</v>
      </c>
      <c r="F127" s="15">
        <v>42635.789155092592</v>
      </c>
      <c r="G127" s="7">
        <v>2</v>
      </c>
      <c r="H127" s="15" t="s">
        <v>248</v>
      </c>
      <c r="I127" s="15">
        <v>42635.817476851851</v>
      </c>
      <c r="J127" s="7">
        <v>0</v>
      </c>
      <c r="K127" s="121" t="str">
        <f t="shared" si="30"/>
        <v>4045/4046</v>
      </c>
      <c r="L127" s="24" t="str">
        <f>VLOOKUP(A127,'Trips&amp;Operators'!$C$1:$E$10000,3,FALSE)</f>
        <v>STORY</v>
      </c>
      <c r="M127" s="6">
        <f t="shared" si="47"/>
        <v>2.8321759258687962E-2</v>
      </c>
      <c r="N127" s="7">
        <f t="shared" si="51"/>
        <v>40.783333332510665</v>
      </c>
      <c r="O127" s="7"/>
      <c r="P127" s="7"/>
      <c r="Q127" s="25"/>
      <c r="R127" s="25"/>
      <c r="S127" s="37">
        <f t="shared" si="52"/>
        <v>1</v>
      </c>
      <c r="T127" s="52" t="str">
        <f t="shared" si="32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17:47:59-0600',mode:absolute,to:'2016-09-22 20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7" s="54" t="str">
        <f t="shared" si="48"/>
        <v>N</v>
      </c>
      <c r="X127" s="168">
        <f t="shared" si="46"/>
        <v>1</v>
      </c>
      <c r="Y127" s="69">
        <f t="shared" si="49"/>
        <v>23.297699999999999</v>
      </c>
      <c r="Z127" s="69">
        <f t="shared" si="50"/>
        <v>1.61E-2</v>
      </c>
      <c r="AA127" s="69">
        <f t="shared" si="37"/>
        <v>23.281599999999997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8"/>
        <v>0216-22</v>
      </c>
      <c r="AE127" s="99" t="str">
        <f t="shared" si="39"/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AF127" s="96" t="str">
        <f t="shared" si="40"/>
        <v>"C:\Program Files (x86)\AstroGrep\AstroGrep.exe" /spath="%USERPROFILE%\AppData\Local\Temp\OnboardLogs" /stypes="app*4045*20160923*" /stext=" 01:.+((SYSTEM_STATE.+slice.+state.+changed )|(ment ac)|(system.+state.+changed )|(\|lc)|(penalty)|(\[timeout)|(PRM\|1\|D)|(kpr)|(kdp))" /e /r /s</v>
      </c>
      <c r="AG127" s="1" t="str">
        <f t="shared" si="41"/>
        <v>EC</v>
      </c>
      <c r="AH127" s="100" t="str">
        <f t="shared" si="42"/>
        <v>"%USERPROFILE%\Documents\GitHub\eaglep3\Utilities\RefineRTDCRunTimes.py" --tripid 216-22 --locoid 4045 --swversion DE.1.0.7.0 --startMP 204:232977 --initTime 2016-09-22T18:47:59 --startdatetime 2016-09-22T18:56:23 --delay 2 --endMP 204:161 --enddatetime 2016-09-22T19:37:10 --enforcementcount 0 &gt;&gt;C:\Users\stu\Documents\GitHub\eaglep3-reporting\EC\2016-09-22-refined-times.txt</v>
      </c>
      <c r="AI12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{"issue":{"subject":"","project_id":79,"tracker_id":40,"status_id":1,"priority_id":2,"assigned_to_id":23,"start_date":"2016-09-22","description":"","custom_fields":[{"id":1,"name":"Subdivision","value":"EC"},{"id":4,"name":"Milepost","value":"0.0161"},{"id":17,"name":"Train ID","value":"216-22"},{"id":16,"name":"Locomotive ID","value":"4045"},{"id":130,"name":"Impact","value":""},{"id":150,"name":"Time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558</v>
      </c>
      <c r="B128" s="7">
        <v>4014</v>
      </c>
      <c r="C128" s="24" t="s">
        <v>106</v>
      </c>
      <c r="D128" s="24" t="s">
        <v>259</v>
      </c>
      <c r="E128" s="15">
        <v>42635.756631944445</v>
      </c>
      <c r="F128" s="15">
        <v>42635.760578703703</v>
      </c>
      <c r="G128" s="7">
        <v>1</v>
      </c>
      <c r="H128" s="15" t="s">
        <v>364</v>
      </c>
      <c r="I128" s="15">
        <v>42635.784942129627</v>
      </c>
      <c r="J128" s="7">
        <v>0</v>
      </c>
      <c r="K128" s="121" t="str">
        <f t="shared" si="30"/>
        <v>4013/4014</v>
      </c>
      <c r="L128" s="24" t="str">
        <f>VLOOKUP(A128,'Trips&amp;Operators'!$C$1:$E$10000,3,FALSE)</f>
        <v>LEVIN</v>
      </c>
      <c r="M128" s="6">
        <f t="shared" si="47"/>
        <v>2.4363425924093463E-2</v>
      </c>
      <c r="N128" s="7">
        <f t="shared" si="51"/>
        <v>35.083333330694586</v>
      </c>
      <c r="O128" s="7"/>
      <c r="P128" s="7"/>
      <c r="Q128" s="25"/>
      <c r="R128" s="25"/>
      <c r="S128" s="37">
        <f t="shared" si="52"/>
        <v>1</v>
      </c>
      <c r="T128" s="52" t="str">
        <f t="shared" si="32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17:09:33-0600',mode:absolute,to:'2016-09-22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8" s="54" t="str">
        <f t="shared" si="48"/>
        <v>N</v>
      </c>
      <c r="X128" s="168">
        <f t="shared" si="46"/>
        <v>1</v>
      </c>
      <c r="Y128" s="69">
        <f t="shared" si="49"/>
        <v>4.3999999999999997E-2</v>
      </c>
      <c r="Z128" s="69">
        <f t="shared" si="50"/>
        <v>23.3307</v>
      </c>
      <c r="AA128" s="69">
        <f t="shared" si="37"/>
        <v>23.2867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8"/>
        <v>0217-22</v>
      </c>
      <c r="AE128" s="99" t="str">
        <f t="shared" si="39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128" s="96" t="str">
        <f t="shared" si="40"/>
        <v>"C:\Program Files (x86)\AstroGrep\AstroGrep.exe" /spath="%USERPROFILE%\AppData\Local\Temp\OnboardLogs" /stypes="app*4014*20160923*" /stext=" 00:.+((SYSTEM_STATE.+slice.+state.+changed )|(ment ac)|(system.+state.+changed )|(\|lc)|(penalty)|(\[timeout)|(PRM\|1\|D)|(kpr)|(kdp))" /e /r /s</v>
      </c>
      <c r="AG128" s="1" t="str">
        <f t="shared" si="41"/>
        <v>EC</v>
      </c>
      <c r="AH128" s="100" t="str">
        <f t="shared" si="42"/>
        <v>"%USERPROFILE%\Documents\GitHub\eaglep3\Utilities\RefineRTDCRunTimes.py" --tripid 217-22 --locoid 4014 --swversion DE.1.0.7.0 --startMP 204:440 --initTime 2016-09-22T18:09:33 --startdatetime 2016-09-22T18:15:14 --delay 1 --endMP 204:233307 --enddatetime 2016-09-22T18:50:19 --enforcementcount 0 &gt;&gt;C:\Users\stu\Documents\GitHub\eaglep3-reporting\EC\2016-09-22-refined-times.txt</v>
      </c>
      <c r="AI12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{"issue":{"subject":"","project_id":79,"tracker_id":40,"status_id":1,"priority_id":2,"assigned_to_id":23,"start_date":"2016-09-22","description":"","custom_fields":[{"id":1,"name":"Subdivision","value":"EC"},{"id":4,"name":"Milepost","value":"23.3307"},{"id":17,"name":"Train ID","value":"217-22"},{"id":16,"name":"Locomotive ID","value":"4014"},{"id":130,"name":"Impact","value":""},{"id":150,"name":"Time of Event (Mountain Time)","value":"18:50:19"},{"id":151,"name":"Denver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570</v>
      </c>
      <c r="B129" s="7">
        <v>4013</v>
      </c>
      <c r="C129" s="24" t="s">
        <v>106</v>
      </c>
      <c r="D129" s="24" t="s">
        <v>311</v>
      </c>
      <c r="E129" s="15">
        <v>42635.79483796296</v>
      </c>
      <c r="F129" s="15">
        <v>42635.799537037034</v>
      </c>
      <c r="G129" s="7">
        <v>1</v>
      </c>
      <c r="H129" s="15" t="s">
        <v>213</v>
      </c>
      <c r="I129" s="15">
        <v>42635.825636574074</v>
      </c>
      <c r="J129" s="7">
        <v>0</v>
      </c>
      <c r="K129" s="121" t="str">
        <f t="shared" si="30"/>
        <v>4013/4014</v>
      </c>
      <c r="L129" s="24" t="str">
        <f>VLOOKUP(A129,'Trips&amp;Operators'!$C$1:$E$10000,3,FALSE)</f>
        <v>LEVIN</v>
      </c>
      <c r="M129" s="6">
        <f t="shared" si="47"/>
        <v>2.6099537040863652E-2</v>
      </c>
      <c r="N129" s="7">
        <f t="shared" si="51"/>
        <v>37.583333338843659</v>
      </c>
      <c r="O129" s="7"/>
      <c r="P129" s="7"/>
      <c r="Q129" s="25"/>
      <c r="R129" s="25"/>
      <c r="S129" s="37">
        <f t="shared" si="52"/>
        <v>1</v>
      </c>
      <c r="T129" s="52" t="str">
        <f t="shared" si="32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18:04:34-0600',mode:absolute,to:'2016-09-22 20:48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9" s="54" t="str">
        <f t="shared" si="48"/>
        <v>N</v>
      </c>
      <c r="X129" s="168">
        <f t="shared" si="46"/>
        <v>1</v>
      </c>
      <c r="Y129" s="69">
        <f t="shared" si="49"/>
        <v>23.299800000000001</v>
      </c>
      <c r="Z129" s="69">
        <f t="shared" si="50"/>
        <v>1.49E-2</v>
      </c>
      <c r="AA129" s="69">
        <f t="shared" si="37"/>
        <v>23.2849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8"/>
        <v>0218-22</v>
      </c>
      <c r="AE129" s="99" t="str">
        <f t="shared" si="39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29" s="96" t="str">
        <f t="shared" si="40"/>
        <v>"C:\Program Files (x86)\AstroGrep\AstroGrep.exe" /spath="%USERPROFILE%\AppData\Local\Temp\OnboardLogs" /stypes="app*4013*20160923*" /stext=" 01:.+((SYSTEM_STATE.+slice.+state.+changed )|(ment ac)|(system.+state.+changed )|(\|lc)|(penalty)|(\[timeout)|(PRM\|1\|D)|(kpr)|(kdp))" /e /r /s</v>
      </c>
      <c r="AG129" s="1" t="str">
        <f t="shared" si="41"/>
        <v>EC</v>
      </c>
      <c r="AH129" s="100" t="str">
        <f t="shared" si="42"/>
        <v>"%USERPROFILE%\Documents\GitHub\eaglep3\Utilities\RefineRTDCRunTimes.py" --tripid 218-22 --locoid 4013 --swversion DE.1.0.7.0 --startMP 204:232998 --initTime 2016-09-22T19:04:34 --startdatetime 2016-09-22T19:11:20 --delay 1 --endMP 204:149 --enddatetime 2016-09-22T19:48:55 --enforcementcount 0 &gt;&gt;C:\Users\stu\Documents\GitHub\eaglep3-reporting\EC\2016-09-22-refined-times.txt</v>
      </c>
      <c r="AI12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{"issue":{"subject":"","project_id":79,"tracker_id":40,"status_id":1,"priority_id":2,"assigned_to_id":23,"start_date":"2016-09-22","description":"","custom_fields":[{"id":1,"name":"Subdivision","value":"EC"},{"id":4,"name":"Milepost","value":"0.0149"},{"id":17,"name":"Train ID","value":"218-22"},{"id":16,"name":"Locomotive ID","value":"4013"},{"id":130,"name":"Impact","value":""},{"id":150,"name":"Time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562</v>
      </c>
      <c r="B130" s="7">
        <v>4053</v>
      </c>
      <c r="C130" s="24" t="s">
        <v>106</v>
      </c>
      <c r="D130" s="24" t="s">
        <v>665</v>
      </c>
      <c r="E130" s="15">
        <v>42635.768263888887</v>
      </c>
      <c r="F130" s="15">
        <v>42635.771539351852</v>
      </c>
      <c r="G130" s="7">
        <v>3</v>
      </c>
      <c r="H130" s="15" t="s">
        <v>290</v>
      </c>
      <c r="I130" s="15">
        <v>42635.797129629631</v>
      </c>
      <c r="J130" s="7">
        <v>0</v>
      </c>
      <c r="K130" s="121" t="str">
        <f t="shared" si="30"/>
        <v>4053/4054</v>
      </c>
      <c r="L130" s="24" t="str">
        <f>VLOOKUP(A130,'Trips&amp;Operators'!$C$1:$E$10000,3,FALSE)</f>
        <v>STURGEON</v>
      </c>
      <c r="M130" s="6">
        <f t="shared" si="47"/>
        <v>2.5590277778974269E-2</v>
      </c>
      <c r="N130" s="7">
        <f t="shared" si="51"/>
        <v>36.850000001722947</v>
      </c>
      <c r="O130" s="7"/>
      <c r="P130" s="7"/>
      <c r="Q130" s="25"/>
      <c r="R130" s="25"/>
      <c r="S130" s="37">
        <f t="shared" si="52"/>
        <v>1</v>
      </c>
      <c r="T130" s="52" t="str">
        <f t="shared" si="32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17:26:18-0600',mode:absolute,to:'2016-09-22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0" s="54" t="str">
        <f t="shared" si="48"/>
        <v>N</v>
      </c>
      <c r="X130" s="168">
        <f t="shared" si="46"/>
        <v>1</v>
      </c>
      <c r="Y130" s="69">
        <f t="shared" si="49"/>
        <v>4.3099999999999999E-2</v>
      </c>
      <c r="Z130" s="69">
        <f t="shared" si="50"/>
        <v>23.328700000000001</v>
      </c>
      <c r="AA130" s="69">
        <f t="shared" si="37"/>
        <v>23.285600000000002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8"/>
        <v>0219-22</v>
      </c>
      <c r="AE130" s="99" t="str">
        <f t="shared" si="39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130" s="96" t="str">
        <f t="shared" si="40"/>
        <v>"C:\Program Files (x86)\AstroGrep\AstroGrep.exe" /spath="%USERPROFILE%\AppData\Local\Temp\OnboardLogs" /stypes="app*4053*20160923*" /stext=" 01:.+((SYSTEM_STATE.+slice.+state.+changed )|(ment ac)|(system.+state.+changed )|(\|lc)|(penalty)|(\[timeout)|(PRM\|1\|D)|(kpr)|(kdp))" /e /r /s</v>
      </c>
      <c r="AG130" s="1" t="str">
        <f t="shared" si="41"/>
        <v>EC</v>
      </c>
      <c r="AH130" s="100" t="str">
        <f t="shared" si="42"/>
        <v>"%USERPROFILE%\Documents\GitHub\eaglep3\Utilities\RefineRTDCRunTimes.py" --tripid 219-22 --locoid 4053 --swversion DE.1.0.7.0 --startMP 204:431 --initTime 2016-09-22T18:26:18 --startdatetime 2016-09-22T18:31:01 --delay 3 --endMP 204:233287 --enddatetime 2016-09-22T19:07:52 --enforcementcount 0 &gt;&gt;C:\Users\stu\Documents\GitHub\eaglep3-reporting\EC\2016-09-22-refined-times.txt</v>
      </c>
      <c r="AI130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{"issue":{"subject":"","project_id":79,"tracker_id":40,"status_id":1,"priority_id":2,"assigned_to_id":23,"start_date":"2016-09-22","description":"","custom_fields":[{"id":1,"name":"Subdivision","value":"EC"},{"id":4,"name":"Milepost","value":"23.3287"},{"id":17,"name":"Train ID","value":"219-22"},{"id":16,"name":"Locomotive ID","value":"4053"},{"id":130,"name":"Impact","value":""},{"id":150,"name":"Time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572</v>
      </c>
      <c r="B131" s="7">
        <v>4054</v>
      </c>
      <c r="C131" s="24" t="s">
        <v>106</v>
      </c>
      <c r="D131" s="24" t="s">
        <v>313</v>
      </c>
      <c r="E131" s="15">
        <v>42635.802465277775</v>
      </c>
      <c r="F131" s="15">
        <v>42635.809976851851</v>
      </c>
      <c r="G131" s="7">
        <v>2</v>
      </c>
      <c r="H131" s="15" t="s">
        <v>248</v>
      </c>
      <c r="I131" s="15">
        <v>42635.837071759262</v>
      </c>
      <c r="J131" s="7">
        <v>0</v>
      </c>
      <c r="K131" s="121" t="str">
        <f t="shared" si="30"/>
        <v>4053/4054</v>
      </c>
      <c r="L131" s="24" t="str">
        <f>VLOOKUP(A131,'Trips&amp;Operators'!$C$1:$E$10000,3,FALSE)</f>
        <v>STURGEON</v>
      </c>
      <c r="M131" s="6">
        <f t="shared" si="47"/>
        <v>2.7094907411083113E-2</v>
      </c>
      <c r="N131" s="7">
        <f t="shared" si="51"/>
        <v>39.016666671959683</v>
      </c>
      <c r="O131" s="7"/>
      <c r="P131" s="7"/>
      <c r="Q131" s="25"/>
      <c r="R131" s="25"/>
      <c r="S131" s="37">
        <f t="shared" si="52"/>
        <v>1</v>
      </c>
      <c r="T131" s="52" t="str">
        <f t="shared" si="32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18:15:33-0600',mode:absolute,to:'2016-09-22 21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1" s="54" t="str">
        <f t="shared" si="48"/>
        <v>N</v>
      </c>
      <c r="X131" s="168">
        <f t="shared" si="46"/>
        <v>1</v>
      </c>
      <c r="Y131" s="69">
        <f t="shared" si="49"/>
        <v>23.299299999999999</v>
      </c>
      <c r="Z131" s="69">
        <f t="shared" si="50"/>
        <v>1.61E-2</v>
      </c>
      <c r="AA131" s="69">
        <f t="shared" si="37"/>
        <v>23.283199999999997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8"/>
        <v>0220-22</v>
      </c>
      <c r="AE131" s="99" t="str">
        <f t="shared" si="39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31" s="96" t="str">
        <f t="shared" si="40"/>
        <v>"C:\Program Files (x86)\AstroGrep\AstroGrep.exe" /spath="%USERPROFILE%\AppData\Local\Temp\OnboardLogs" /stypes="app*4054*20160923*" /stext=" 02:.+((SYSTEM_STATE.+slice.+state.+changed )|(ment ac)|(system.+state.+changed )|(\|lc)|(penalty)|(\[timeout)|(PRM\|1\|D)|(kpr)|(kdp))" /e /r /s</v>
      </c>
      <c r="AG131" s="1" t="str">
        <f t="shared" si="41"/>
        <v>EC</v>
      </c>
      <c r="AH131" s="100" t="str">
        <f t="shared" si="42"/>
        <v>"%USERPROFILE%\Documents\GitHub\eaglep3\Utilities\RefineRTDCRunTimes.py" --tripid 220-22 --locoid 4054 --swversion DE.1.0.7.0 --startMP 204:232993 --initTime 2016-09-22T19:15:33 --startdatetime 2016-09-22T19:26:22 --delay 2 --endMP 204:161 --enddatetime 2016-09-22T20:05:23 --enforcementcount 0 &gt;&gt;C:\Users\stu\Documents\GitHub\eaglep3-reporting\EC\2016-09-22-refined-times.txt</v>
      </c>
      <c r="AI131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{"issue":{"subject":"","project_id":79,"tracker_id":40,"status_id":1,"priority_id":2,"assigned_to_id":23,"start_date":"2016-09-22","description":"","custom_fields":[{"id":1,"name":"Subdivision","value":"EC"},{"id":4,"name":"Milepost","value":"0.0161"},{"id":17,"name":"Train ID","value":"220-22"},{"id":16,"name":"Locomotive ID","value":"4054"},{"id":130,"name":"Impact","value":""},{"id":150,"name":"Time of Event (Mountain Time)","value":"20:05:23"},{"id":151,"name":"Denver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569</v>
      </c>
      <c r="B132" s="7">
        <v>4002</v>
      </c>
      <c r="C132" s="24" t="s">
        <v>106</v>
      </c>
      <c r="D132" s="24" t="s">
        <v>224</v>
      </c>
      <c r="E132" s="15">
        <v>42635.786736111113</v>
      </c>
      <c r="F132" s="15">
        <v>42635.791863425926</v>
      </c>
      <c r="G132" s="7">
        <v>1</v>
      </c>
      <c r="H132" s="15" t="s">
        <v>364</v>
      </c>
      <c r="I132" s="15">
        <v>42635.817488425928</v>
      </c>
      <c r="J132" s="7">
        <v>0</v>
      </c>
      <c r="K132" s="121" t="str">
        <f t="shared" si="30"/>
        <v>4001/4002</v>
      </c>
      <c r="L132" s="24" t="str">
        <f>VLOOKUP(A132,'Trips&amp;Operators'!$C$1:$E$10000,3,FALSE)</f>
        <v>LEVERE</v>
      </c>
      <c r="M132" s="6">
        <f t="shared" si="47"/>
        <v>2.5625000002037268E-2</v>
      </c>
      <c r="N132" s="7">
        <f t="shared" si="51"/>
        <v>36.900000002933666</v>
      </c>
      <c r="O132" s="7"/>
      <c r="P132" s="7"/>
      <c r="Q132" s="25"/>
      <c r="R132" s="25"/>
      <c r="S132" s="37">
        <f t="shared" si="52"/>
        <v>1</v>
      </c>
      <c r="T132" s="52" t="str">
        <f t="shared" si="32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17:52:54-0600',mode:absolute,to:'2016-09-22 20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2" s="54" t="str">
        <f t="shared" si="48"/>
        <v>N</v>
      </c>
      <c r="X132" s="168">
        <f t="shared" si="46"/>
        <v>1</v>
      </c>
      <c r="Y132" s="69">
        <f t="shared" si="49"/>
        <v>4.4699999999999997E-2</v>
      </c>
      <c r="Z132" s="69">
        <f t="shared" si="50"/>
        <v>23.3307</v>
      </c>
      <c r="AA132" s="69">
        <f t="shared" si="37"/>
        <v>23.286000000000001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8"/>
        <v>0221-22</v>
      </c>
      <c r="AE132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132" s="96" t="str">
        <f t="shared" si="40"/>
        <v>"C:\Program Files (x86)\AstroGrep\AstroGrep.exe" /spath="%USERPROFILE%\AppData\Local\Temp\OnboardLogs" /stypes="app*4002*20160923*" /stext=" 01:.+((SYSTEM_STATE.+slice.+state.+changed )|(ment ac)|(system.+state.+changed )|(\|lc)|(penalty)|(\[timeout)|(PRM\|1\|D)|(kpr)|(kdp))" /e /r /s</v>
      </c>
      <c r="AG132" s="1" t="str">
        <f t="shared" si="41"/>
        <v>EC</v>
      </c>
      <c r="AH132" s="100" t="str">
        <f t="shared" si="42"/>
        <v>"%USERPROFILE%\Documents\GitHub\eaglep3\Utilities\RefineRTDCRunTimes.py" --tripid 221-22 --locoid 4002 --swversion DE.1.0.7.0 --startMP 204:447 --initTime 2016-09-22T18:52:54 --startdatetime 2016-09-22T19:00:17 --delay 1 --endMP 204:233307 --enddatetime 2016-09-22T19:37:11 --enforcementcount 0 &gt;&gt;C:\Users\stu\Documents\GitHub\eaglep3-reporting\EC\2016-09-22-refined-times.txt</v>
      </c>
      <c r="AI132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{"issue":{"subject":"","project_id":79,"tracker_id":40,"status_id":1,"priority_id":2,"assigned_to_id":23,"start_date":"2016-09-22","description":"","custom_fields":[{"id":1,"name":"Subdivision","value":"EC"},{"id":4,"name":"Milepost","value":"23.3307"},{"id":17,"name":"Train ID","value":"221-22"},{"id":16,"name":"Locomotive ID","value":"4002"},{"id":130,"name":"Impact","value":""},{"id":150,"name":"Time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577</v>
      </c>
      <c r="B133" s="7">
        <v>4001</v>
      </c>
      <c r="C133" s="24" t="s">
        <v>106</v>
      </c>
      <c r="D133" s="24" t="s">
        <v>233</v>
      </c>
      <c r="E133" s="15">
        <v>42635.827743055554</v>
      </c>
      <c r="F133" s="15">
        <v>42635.830752314818</v>
      </c>
      <c r="G133" s="7">
        <v>0</v>
      </c>
      <c r="H133" s="15" t="s">
        <v>270</v>
      </c>
      <c r="I133" s="15">
        <v>42635.859398148146</v>
      </c>
      <c r="J133" s="7">
        <v>0</v>
      </c>
      <c r="K133" s="121" t="str">
        <f t="shared" si="30"/>
        <v>4001/4002</v>
      </c>
      <c r="L133" s="24" t="str">
        <f>VLOOKUP(A133,'Trips&amp;Operators'!$C$1:$E$10000,3,FALSE)</f>
        <v>LEVERE</v>
      </c>
      <c r="M133" s="6">
        <f t="shared" si="47"/>
        <v>2.8645833328482695E-2</v>
      </c>
      <c r="N133" s="7">
        <f t="shared" si="51"/>
        <v>41.249999993015081</v>
      </c>
      <c r="O133" s="7"/>
      <c r="P133" s="7"/>
      <c r="Q133" s="25"/>
      <c r="R133" s="25"/>
      <c r="S133" s="37">
        <f t="shared" si="52"/>
        <v>1</v>
      </c>
      <c r="T133" s="52" t="str">
        <f t="shared" si="32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18:51:57-0600',mode:absolute,to:'2016-09-22 21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3" s="54" t="str">
        <f t="shared" si="48"/>
        <v>N</v>
      </c>
      <c r="X133" s="168">
        <f t="shared" si="46"/>
        <v>1</v>
      </c>
      <c r="Y133" s="69">
        <f t="shared" si="49"/>
        <v>23.297799999999999</v>
      </c>
      <c r="Z133" s="69">
        <f t="shared" si="50"/>
        <v>1.4500000000000001E-2</v>
      </c>
      <c r="AA133" s="69">
        <f t="shared" si="37"/>
        <v>23.283299999999997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8"/>
        <v>0222-22</v>
      </c>
      <c r="AE133" s="99" t="str">
        <f t="shared" si="39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133" s="96" t="str">
        <f t="shared" si="40"/>
        <v>"C:\Program Files (x86)\AstroGrep\AstroGrep.exe" /spath="%USERPROFILE%\AppData\Local\Temp\OnboardLogs" /stypes="app*4001*20160923*" /stext=" 02:.+((SYSTEM_STATE.+slice.+state.+changed )|(ment ac)|(system.+state.+changed )|(\|lc)|(penalty)|(\[timeout)|(PRM\|1\|D)|(kpr)|(kdp))" /e /r /s</v>
      </c>
      <c r="AG133" s="1" t="str">
        <f t="shared" si="41"/>
        <v>EC</v>
      </c>
      <c r="AH133" s="100" t="str">
        <f t="shared" si="42"/>
        <v>"%USERPROFILE%\Documents\GitHub\eaglep3\Utilities\RefineRTDCRunTimes.py" --tripid 222-22 --locoid 4001 --swversion DE.1.0.7.0 --startMP 204:232978 --initTime 2016-09-22T19:51:57 --startdatetime 2016-09-22T19:56:17 --delay 0 --endMP 204:145 --enddatetime 2016-09-22T20:37:32 --enforcementcount 0 &gt;&gt;C:\Users\stu\Documents\GitHub\eaglep3-reporting\EC\2016-09-22-refined-times.txt</v>
      </c>
      <c r="AI133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ID","value":"222-22"},{"id":16,"name":"Locomotive ID","value":"4001"},{"id":130,"name":"Impact","value":""},{"id":150,"name":"Time of Event (Mountain Time)","value":"20:37:32"},{"id":151,"name":"Denver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574</v>
      </c>
      <c r="B134" s="7">
        <v>4031</v>
      </c>
      <c r="C134" s="24" t="s">
        <v>106</v>
      </c>
      <c r="D134" s="24" t="s">
        <v>230</v>
      </c>
      <c r="E134" s="15">
        <v>42635.807708333334</v>
      </c>
      <c r="F134" s="15">
        <v>42635.812916666669</v>
      </c>
      <c r="G134" s="7">
        <v>1</v>
      </c>
      <c r="H134" s="15" t="s">
        <v>365</v>
      </c>
      <c r="I134" s="15">
        <v>42635.837523148148</v>
      </c>
      <c r="J134" s="7">
        <v>0</v>
      </c>
      <c r="K134" s="121" t="str">
        <f t="shared" si="30"/>
        <v>4031/4032</v>
      </c>
      <c r="L134" s="24" t="str">
        <f>VLOOKUP(A134,'Trips&amp;Operators'!$C$1:$E$10000,3,FALSE)</f>
        <v>COOLAHAN</v>
      </c>
      <c r="M134" s="6">
        <f t="shared" si="47"/>
        <v>2.4606481478258502E-2</v>
      </c>
      <c r="N134" s="7">
        <f t="shared" si="51"/>
        <v>35.433333328692243</v>
      </c>
      <c r="O134" s="7"/>
      <c r="P134" s="7"/>
      <c r="Q134" s="25"/>
      <c r="R134" s="25"/>
      <c r="S134" s="37">
        <f t="shared" si="52"/>
        <v>1</v>
      </c>
      <c r="T134" s="52" t="str">
        <f t="shared" si="32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18:23:06-0600',mode:absolute,to:'2016-09-22 21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4" s="54" t="str">
        <f t="shared" si="48"/>
        <v>N</v>
      </c>
      <c r="X134" s="168">
        <f t="shared" si="46"/>
        <v>1</v>
      </c>
      <c r="Y134" s="69">
        <f t="shared" si="49"/>
        <v>4.6699999999999998E-2</v>
      </c>
      <c r="Z134" s="69">
        <f t="shared" si="50"/>
        <v>23.333100000000002</v>
      </c>
      <c r="AA134" s="69">
        <f t="shared" si="37"/>
        <v>23.2864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8"/>
        <v>0223-22</v>
      </c>
      <c r="AE134" s="99" t="str">
        <f t="shared" si="39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134" s="96" t="str">
        <f t="shared" si="40"/>
        <v>"C:\Program Files (x86)\AstroGrep\AstroGrep.exe" /spath="%USERPROFILE%\AppData\Local\Temp\OnboardLogs" /stypes="app*4031*20160923*" /stext=" 02:.+((SYSTEM_STATE.+slice.+state.+changed )|(ment ac)|(system.+state.+changed )|(\|lc)|(penalty)|(\[timeout)|(PRM\|1\|D)|(kpr)|(kdp))" /e /r /s</v>
      </c>
      <c r="AG134" s="1" t="str">
        <f t="shared" si="41"/>
        <v>EC</v>
      </c>
      <c r="AH134" s="100" t="str">
        <f t="shared" si="42"/>
        <v>"%USERPROFILE%\Documents\GitHub\eaglep3\Utilities\RefineRTDCRunTimes.py" --tripid 223-22 --locoid 4031 --swversion DE.1.0.7.0 --startMP 204:467 --initTime 2016-09-22T19:23:06 --startdatetime 2016-09-22T19:30:36 --delay 1 --endMP 204:233331 --enddatetime 2016-09-22T20:06:02 --enforcementcount 0 &gt;&gt;C:\Users\stu\Documents\GitHub\eaglep3-reporting\EC\2016-09-22-refined-times.txt</v>
      </c>
      <c r="AI134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{"issue":{"subject":"","project_id":79,"tracker_id":40,"status_id":1,"priority_id":2,"assigned_to_id":23,"start_date":"2016-09-22","description":"","custom_fields":[{"id":1,"name":"Subdivision","value":"EC"},{"id":4,"name":"Milepost","value":"23.3331"},{"id":17,"name":"Train ID","value":"223-22"},{"id":16,"name":"Locomotive ID","value":"4031"},{"id":130,"name":"Impact","value":""},{"id":150,"name":"Time of Event (Mountain Time)","value":"20:06:02"},{"id":151,"name":"Denver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581</v>
      </c>
      <c r="B135" s="7">
        <v>4032</v>
      </c>
      <c r="C135" s="24" t="s">
        <v>106</v>
      </c>
      <c r="D135" s="24" t="s">
        <v>317</v>
      </c>
      <c r="E135" s="15">
        <v>42635.847581018519</v>
      </c>
      <c r="F135" s="15">
        <v>42635.851620370369</v>
      </c>
      <c r="G135" s="7">
        <v>1</v>
      </c>
      <c r="H135" s="15" t="s">
        <v>234</v>
      </c>
      <c r="I135" s="15">
        <v>42635.877638888887</v>
      </c>
      <c r="J135" s="7">
        <v>0</v>
      </c>
      <c r="K135" s="121" t="str">
        <f t="shared" si="30"/>
        <v>4031/4032</v>
      </c>
      <c r="L135" s="24" t="str">
        <f>VLOOKUP(A135,'Trips&amp;Operators'!$C$1:$E$10000,3,FALSE)</f>
        <v>COOLAHAN</v>
      </c>
      <c r="M135" s="6">
        <f t="shared" si="47"/>
        <v>2.6018518517958E-2</v>
      </c>
      <c r="N135" s="7">
        <f t="shared" si="51"/>
        <v>37.46666666585952</v>
      </c>
      <c r="O135" s="7"/>
      <c r="P135" s="7"/>
      <c r="Q135" s="25"/>
      <c r="R135" s="25"/>
      <c r="S135" s="37">
        <f t="shared" si="52"/>
        <v>1</v>
      </c>
      <c r="T135" s="52" t="str">
        <f t="shared" si="32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19:20:31-0600',mode:absolute,to:'2016-09-22 22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5" s="54" t="str">
        <f t="shared" si="48"/>
        <v>N</v>
      </c>
      <c r="X135" s="168">
        <f t="shared" si="46"/>
        <v>1</v>
      </c>
      <c r="Y135" s="69">
        <f t="shared" si="49"/>
        <v>23.3004</v>
      </c>
      <c r="Z135" s="69">
        <f t="shared" si="50"/>
        <v>1.38E-2</v>
      </c>
      <c r="AA135" s="69">
        <f t="shared" si="37"/>
        <v>23.2866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8"/>
        <v>0224-22</v>
      </c>
      <c r="AE135" s="99" t="str">
        <f t="shared" si="39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135" s="96" t="str">
        <f t="shared" si="40"/>
        <v>"C:\Program Files (x86)\AstroGrep\AstroGrep.exe" /spath="%USERPROFILE%\AppData\Local\Temp\OnboardLogs" /stypes="app*4032*20160923*" /stext=" 03:.+((SYSTEM_STATE.+slice.+state.+changed )|(ment ac)|(system.+state.+changed )|(\|lc)|(penalty)|(\[timeout)|(PRM\|1\|D)|(kpr)|(kdp))" /e /r /s</v>
      </c>
      <c r="AG135" s="1" t="str">
        <f t="shared" si="41"/>
        <v>EC</v>
      </c>
      <c r="AH135" s="100" t="str">
        <f t="shared" si="42"/>
        <v>"%USERPROFILE%\Documents\GitHub\eaglep3\Utilities\RefineRTDCRunTimes.py" --tripid 224-22 --locoid 4032 --swversion DE.1.0.7.0 --startMP 204:233004 --initTime 2016-09-22T20:20:31 --startdatetime 2016-09-22T20:26:20 --delay 1 --endMP 204:138 --enddatetime 2016-09-22T21:03:48 --enforcementcount 0 &gt;&gt;C:\Users\stu\Documents\GitHub\eaglep3-reporting\EC\2016-09-22-refined-times.txt</v>
      </c>
      <c r="AI135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{"issue":{"subject":"","project_id":79,"tracker_id":40,"status_id":1,"priority_id":2,"assigned_to_id":23,"start_date":"2016-09-22","description":"","custom_fields":[{"id":1,"name":"Subdivision","value":"EC"},{"id":4,"name":"Milepost","value":"0.0138"},{"id":17,"name":"Train ID","value":"224-22"},{"id":16,"name":"Locomotive ID","value":"4032"},{"id":130,"name":"Impact","value":""},{"id":150,"name":"Time of Event (Mountain Time)","value":"21:03:48"},{"id":151,"name":"Denver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578</v>
      </c>
      <c r="B136" s="7">
        <v>4014</v>
      </c>
      <c r="C136" s="24" t="s">
        <v>106</v>
      </c>
      <c r="D136" s="24" t="s">
        <v>219</v>
      </c>
      <c r="E136" s="15">
        <v>42635.829895833333</v>
      </c>
      <c r="F136" s="15">
        <v>42635.833495370367</v>
      </c>
      <c r="G136" s="7">
        <v>1</v>
      </c>
      <c r="H136" s="15" t="s">
        <v>616</v>
      </c>
      <c r="I136" s="15">
        <v>42635.858078703706</v>
      </c>
      <c r="J136" s="7">
        <v>0</v>
      </c>
      <c r="K136" s="121" t="str">
        <f t="shared" si="30"/>
        <v>4013/4014</v>
      </c>
      <c r="L136" s="24" t="str">
        <f>VLOOKUP(A136,'Trips&amp;Operators'!$C$1:$E$10000,3,FALSE)</f>
        <v>LEVIN</v>
      </c>
      <c r="M136" s="6">
        <f t="shared" si="47"/>
        <v>2.4583333339251112E-2</v>
      </c>
      <c r="N136" s="7">
        <f t="shared" si="51"/>
        <v>35.400000008521602</v>
      </c>
      <c r="O136" s="7"/>
      <c r="P136" s="7"/>
      <c r="Q136" s="25"/>
      <c r="R136" s="25"/>
      <c r="S136" s="37">
        <f t="shared" si="52"/>
        <v>1</v>
      </c>
      <c r="T136" s="52" t="str">
        <f t="shared" si="32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18:55:03-0600',mode:absolute,to:'2016-09-22 21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6" s="54" t="str">
        <f t="shared" si="48"/>
        <v>N</v>
      </c>
      <c r="X136" s="168">
        <f t="shared" si="46"/>
        <v>1</v>
      </c>
      <c r="Y136" s="69">
        <f t="shared" si="49"/>
        <v>4.53E-2</v>
      </c>
      <c r="Z136" s="69">
        <f t="shared" si="50"/>
        <v>23.332999999999998</v>
      </c>
      <c r="AA136" s="69">
        <f t="shared" si="37"/>
        <v>23.287699999999997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8"/>
        <v>0225-22</v>
      </c>
      <c r="AE136" s="99" t="str">
        <f t="shared" si="39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136" s="96" t="str">
        <f t="shared" si="40"/>
        <v>"C:\Program Files (x86)\AstroGrep\AstroGrep.exe" /spath="%USERPROFILE%\AppData\Local\Temp\OnboardLogs" /stypes="app*4014*20160923*" /stext=" 02:.+((SYSTEM_STATE.+slice.+state.+changed )|(ment ac)|(system.+state.+changed )|(\|lc)|(penalty)|(\[timeout)|(PRM\|1\|D)|(kpr)|(kdp))" /e /r /s</v>
      </c>
      <c r="AG136" s="1" t="str">
        <f t="shared" si="41"/>
        <v>EC</v>
      </c>
      <c r="AH136" s="100" t="str">
        <f t="shared" si="42"/>
        <v>"%USERPROFILE%\Documents\GitHub\eaglep3\Utilities\RefineRTDCRunTimes.py" --tripid 225-22 --locoid 4014 --swversion DE.1.0.7.0 --startMP 204:453 --initTime 2016-09-22T19:55:03 --startdatetime 2016-09-22T20:00:14 --delay 1 --endMP 204:233330 --enddatetime 2016-09-22T20:35:38 --enforcementcount 0 &gt;&gt;C:\Users\stu\Documents\GitHub\eaglep3-reporting\EC\2016-09-22-refined-times.txt</v>
      </c>
      <c r="AI136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{"issue":{"subject":"","project_id":79,"tracker_id":40,"status_id":1,"priority_id":2,"assigned_to_id":23,"start_date":"2016-09-22","description":"","custom_fields":[{"id":1,"name":"Subdivision","value":"EC"},{"id":4,"name":"Milepost","value":"23.333"},{"id":17,"name":"Train ID","value":"225-22"},{"id":16,"name":"Locomotive ID","value":"4014"},{"id":130,"name":"Impact","value":""},{"id":150,"name":"Time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584</v>
      </c>
      <c r="B137" s="7">
        <v>4013</v>
      </c>
      <c r="C137" s="24" t="s">
        <v>106</v>
      </c>
      <c r="D137" s="24" t="s">
        <v>666</v>
      </c>
      <c r="E137" s="15">
        <v>42635.870034722226</v>
      </c>
      <c r="F137" s="15">
        <v>42635.872372685182</v>
      </c>
      <c r="G137" s="7">
        <v>1</v>
      </c>
      <c r="H137" s="15" t="s">
        <v>214</v>
      </c>
      <c r="I137" s="15">
        <v>42635.900266203702</v>
      </c>
      <c r="J137" s="7">
        <v>0</v>
      </c>
      <c r="K137" s="121" t="str">
        <f t="shared" si="30"/>
        <v>4013/4014</v>
      </c>
      <c r="L137" s="24" t="str">
        <f>VLOOKUP(A137,'Trips&amp;Operators'!$C$1:$E$10000,3,FALSE)</f>
        <v>LEVIN</v>
      </c>
      <c r="M137" s="6">
        <f t="shared" si="47"/>
        <v>2.789351851970423E-2</v>
      </c>
      <c r="N137" s="7">
        <f t="shared" si="51"/>
        <v>40.166666668374091</v>
      </c>
      <c r="O137" s="7"/>
      <c r="P137" s="7"/>
      <c r="Q137" s="25"/>
      <c r="R137" s="25"/>
      <c r="S137" s="37">
        <f t="shared" si="52"/>
        <v>1</v>
      </c>
      <c r="T137" s="52" t="str">
        <f t="shared" si="32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19:52:51-0600',mode:absolute,to:'2016-09-22 22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7" s="54" t="str">
        <f t="shared" si="48"/>
        <v>N</v>
      </c>
      <c r="X137" s="168">
        <f t="shared" si="46"/>
        <v>1</v>
      </c>
      <c r="Y137" s="69">
        <f t="shared" si="49"/>
        <v>23.300699999999999</v>
      </c>
      <c r="Z137" s="69">
        <f t="shared" si="50"/>
        <v>1.6E-2</v>
      </c>
      <c r="AA137" s="69">
        <f t="shared" si="37"/>
        <v>23.284700000000001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8"/>
        <v>0226-22</v>
      </c>
      <c r="AE137" s="99" t="str">
        <f t="shared" si="39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37" s="96" t="str">
        <f t="shared" si="40"/>
        <v>"C:\Program Files (x86)\AstroGrep\AstroGrep.exe" /spath="%USERPROFILE%\AppData\Local\Temp\OnboardLogs" /stypes="app*4013*20160923*" /stext=" 03:.+((SYSTEM_STATE.+slice.+state.+changed )|(ment ac)|(system.+state.+changed )|(\|lc)|(penalty)|(\[timeout)|(PRM\|1\|D)|(kpr)|(kdp))" /e /r /s</v>
      </c>
      <c r="AG137" s="1" t="str">
        <f t="shared" si="41"/>
        <v>EC</v>
      </c>
      <c r="AH137" s="100" t="str">
        <f t="shared" si="42"/>
        <v>"%USERPROFILE%\Documents\GitHub\eaglep3\Utilities\RefineRTDCRunTimes.py" --tripid 226-22 --locoid 4013 --swversion DE.1.0.7.0 --startMP 204:233007 --initTime 2016-09-22T20:52:51 --startdatetime 2016-09-22T20:56:13 --delay 1 --endMP 204:160 --enddatetime 2016-09-22T21:36:23 --enforcementcount 0 &gt;&gt;C:\Users\stu\Documents\GitHub\eaglep3-reporting\EC\2016-09-22-refined-times.txt</v>
      </c>
      <c r="AI137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{"issue":{"subject":"","project_id":79,"tracker_id":40,"status_id":1,"priority_id":2,"assigned_to_id":23,"start_date":"2016-09-22","description":"","custom_fields":[{"id":1,"name":"Subdivision","value":"EC"},{"id":4,"name":"Milepost","value":"0.016"},{"id":17,"name":"Train ID","value":"226-22"},{"id":16,"name":"Locomotive ID","value":"4013"},{"id":130,"name":"Impact","value":""},{"id":150,"name":"Time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580</v>
      </c>
      <c r="B138" s="7">
        <v>4053</v>
      </c>
      <c r="C138" s="24" t="s">
        <v>106</v>
      </c>
      <c r="D138" s="24" t="s">
        <v>225</v>
      </c>
      <c r="E138" s="15">
        <v>42635.845081018517</v>
      </c>
      <c r="F138" s="15">
        <v>42635.854583333334</v>
      </c>
      <c r="G138" s="7">
        <v>1</v>
      </c>
      <c r="H138" s="15" t="s">
        <v>285</v>
      </c>
      <c r="I138" s="15">
        <v>42635.880520833336</v>
      </c>
      <c r="J138" s="7">
        <v>0</v>
      </c>
      <c r="K138" s="121" t="str">
        <f t="shared" si="30"/>
        <v>4053/4054</v>
      </c>
      <c r="L138" s="24" t="str">
        <f>VLOOKUP(A138,'Trips&amp;Operators'!$C$1:$E$10000,3,FALSE)</f>
        <v>STURGEON</v>
      </c>
      <c r="M138" s="6">
        <f t="shared" si="47"/>
        <v>2.5937500002328306E-2</v>
      </c>
      <c r="N138" s="7">
        <f t="shared" si="51"/>
        <v>37.350000003352761</v>
      </c>
      <c r="O138" s="7"/>
      <c r="P138" s="7"/>
      <c r="Q138" s="25"/>
      <c r="R138" s="25"/>
      <c r="S138" s="37">
        <f t="shared" si="52"/>
        <v>1</v>
      </c>
      <c r="T138" s="52" t="str">
        <f t="shared" si="32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19:16:55-0600',mode:absolute,to:'2016-09-22 22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8" s="54" t="str">
        <f t="shared" si="48"/>
        <v>N</v>
      </c>
      <c r="X138" s="168">
        <f t="shared" ref="X138:X142" si="53">VALUE(LEFT(AD138,4))-VALUE(LEFT(AD137,4))</f>
        <v>1</v>
      </c>
      <c r="Y138" s="69">
        <f t="shared" si="49"/>
        <v>4.6600000000000003E-2</v>
      </c>
      <c r="Z138" s="69">
        <f t="shared" si="50"/>
        <v>23.3308</v>
      </c>
      <c r="AA138" s="69">
        <f t="shared" si="37"/>
        <v>23.284199999999998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8"/>
        <v>0227-22</v>
      </c>
      <c r="AE138" s="99" t="str">
        <f t="shared" si="39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138" s="96" t="str">
        <f t="shared" si="40"/>
        <v>"C:\Program Files (x86)\AstroGrep\AstroGrep.exe" /spath="%USERPROFILE%\AppData\Local\Temp\OnboardLogs" /stypes="app*4053*20160923*" /stext=" 03:.+((SYSTEM_STATE.+slice.+state.+changed )|(ment ac)|(system.+state.+changed )|(\|lc)|(penalty)|(\[timeout)|(PRM\|1\|D)|(kpr)|(kdp))" /e /r /s</v>
      </c>
      <c r="AG138" s="1" t="str">
        <f t="shared" si="41"/>
        <v>EC</v>
      </c>
      <c r="AH138" s="100" t="str">
        <f t="shared" si="42"/>
        <v>"%USERPROFILE%\Documents\GitHub\eaglep3\Utilities\RefineRTDCRunTimes.py" --tripid 227-22 --locoid 4053 --swversion DE.1.0.7.0 --startMP 204:466 --initTime 2016-09-22T20:16:55 --startdatetime 2016-09-22T20:30:36 --delay 1 --endMP 204:233308 --enddatetime 2016-09-22T21:07:57 --enforcementcount 0 &gt;&gt;C:\Users\stu\Documents\GitHub\eaglep3-reporting\EC\2016-09-22-refined-times.txt</v>
      </c>
      <c r="AI138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ID","value":"227-22"},{"id":16,"name":"Locomotive ID","value":"4053"},{"id":130,"name":"Impact","value":""},{"id":150,"name":"Time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585</v>
      </c>
      <c r="B139" s="7">
        <v>4054</v>
      </c>
      <c r="C139" s="24" t="s">
        <v>106</v>
      </c>
      <c r="D139" s="24" t="s">
        <v>315</v>
      </c>
      <c r="E139" s="15">
        <v>42635.88521990741</v>
      </c>
      <c r="F139" s="15">
        <v>42635.893831018519</v>
      </c>
      <c r="G139" s="7">
        <v>1</v>
      </c>
      <c r="H139" s="15" t="s">
        <v>258</v>
      </c>
      <c r="I139" s="15">
        <v>42635.921990740739</v>
      </c>
      <c r="J139" s="7">
        <v>0</v>
      </c>
      <c r="K139" s="121" t="str">
        <f t="shared" si="30"/>
        <v>4053/4054</v>
      </c>
      <c r="L139" s="24" t="str">
        <f>VLOOKUP(A139,'Trips&amp;Operators'!$C$1:$E$10000,3,FALSE)</f>
        <v>STURGEON</v>
      </c>
      <c r="M139" s="6">
        <f t="shared" si="47"/>
        <v>2.8159722220152617E-2</v>
      </c>
      <c r="N139" s="7">
        <f t="shared" si="51"/>
        <v>40.549999997019768</v>
      </c>
      <c r="O139" s="7"/>
      <c r="P139" s="7"/>
      <c r="Q139" s="25"/>
      <c r="R139" s="25"/>
      <c r="S139" s="37">
        <f t="shared" si="52"/>
        <v>1</v>
      </c>
      <c r="T139" s="52" t="str">
        <f t="shared" si="32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20:14:43-0600',mode:absolute,to:'2016-09-22 23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9" s="54" t="str">
        <f t="shared" si="48"/>
        <v>N</v>
      </c>
      <c r="X139" s="168">
        <f t="shared" si="53"/>
        <v>1</v>
      </c>
      <c r="Y139" s="69">
        <f t="shared" si="49"/>
        <v>23.299099999999999</v>
      </c>
      <c r="Z139" s="69">
        <f t="shared" si="50"/>
        <v>1.5599999999999999E-2</v>
      </c>
      <c r="AA139" s="69">
        <f t="shared" si="37"/>
        <v>23.2835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8"/>
        <v>0228-22</v>
      </c>
      <c r="AE139" s="99" t="str">
        <f t="shared" si="39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39" s="96" t="str">
        <f t="shared" si="40"/>
        <v>"C:\Program Files (x86)\AstroGrep\AstroGrep.exe" /spath="%USERPROFILE%\AppData\Local\Temp\OnboardLogs" /stypes="app*4054*20160923*" /stext=" 04:.+((SYSTEM_STATE.+slice.+state.+changed )|(ment ac)|(system.+state.+changed )|(\|lc)|(penalty)|(\[timeout)|(PRM\|1\|D)|(kpr)|(kdp))" /e /r /s</v>
      </c>
      <c r="AG139" s="1" t="str">
        <f t="shared" si="41"/>
        <v>EC</v>
      </c>
      <c r="AH139" s="100" t="str">
        <f t="shared" si="42"/>
        <v>"%USERPROFILE%\Documents\GitHub\eaglep3\Utilities\RefineRTDCRunTimes.py" --tripid 228-22 --locoid 4054 --swversion DE.1.0.7.0 --startMP 204:232991 --initTime 2016-09-22T21:14:43 --startdatetime 2016-09-22T21:27:07 --delay 1 --endMP 204:156 --enddatetime 2016-09-22T22:07:40 --enforcementcount 0 &gt;&gt;C:\Users\stu\Documents\GitHub\eaglep3-reporting\EC\2016-09-22-refined-times.txt</v>
      </c>
      <c r="AI139" s="134" t="str">
        <f t="shared" si="43"/>
        <v>echo {"issue":{"subject":"","project_id":79,"tracker_id":40,"status_id":1,"priority_id":2,"assigned_to_id":23,"start_date":"2016-09-22","description":"","custom_fields":[{"id":1,"name":"Subdivision","value":"EC"},{"id":4,"name":"Milepost","value":"0.0156"},{"id":17,"name":"Train ID","value":"228-22"},{"id":16,"name":"Locomotive ID","value":"4054"},{"id":130,"name":"Impact","value":""},{"id":150,"name":"Time of Event (Mountain Time)","value":"22:07:40"},{"id":151,"name":"Denver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583</v>
      </c>
      <c r="B140" s="7">
        <v>4002</v>
      </c>
      <c r="C140" s="24" t="s">
        <v>106</v>
      </c>
      <c r="D140" s="24" t="s">
        <v>219</v>
      </c>
      <c r="E140" s="15">
        <v>42635.867893518516</v>
      </c>
      <c r="F140" s="15">
        <v>42635.875381944446</v>
      </c>
      <c r="G140" s="7">
        <v>1</v>
      </c>
      <c r="H140" s="15" t="s">
        <v>285</v>
      </c>
      <c r="I140" s="15">
        <v>42635.901828703703</v>
      </c>
      <c r="J140" s="7">
        <v>0</v>
      </c>
      <c r="K140" s="121" t="str">
        <f t="shared" si="30"/>
        <v>4001/4002</v>
      </c>
      <c r="L140" s="24" t="str">
        <f>VLOOKUP(A140,'Trips&amp;Operators'!$C$1:$E$10000,3,FALSE)</f>
        <v>LEVERE</v>
      </c>
      <c r="M140" s="6">
        <f t="shared" si="47"/>
        <v>2.6446759256941732E-2</v>
      </c>
      <c r="N140" s="7">
        <f t="shared" si="51"/>
        <v>38.083333329996094</v>
      </c>
      <c r="O140" s="7"/>
      <c r="P140" s="7"/>
      <c r="Q140" s="25"/>
      <c r="R140" s="25"/>
      <c r="S140" s="37">
        <f t="shared" si="52"/>
        <v>1</v>
      </c>
      <c r="T140" s="52" t="str">
        <f t="shared" si="32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https://search-rtdc-monitor-bjffxe2xuh6vdkpspy63sjmuny.us-east-1.es.amazonaws.com/_plugin/kibana/#/discover/Steve-Slow-Train-Analysis-(2080s-and-2083s)?_g=(refreshInterval:(display:Off,section:0,value:0),time:(from:'2016-09-22 19:49:46-0600',mode:absolute,to:'2016-09-22 22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0" s="54" t="str">
        <f t="shared" si="48"/>
        <v>N</v>
      </c>
      <c r="X140" s="168">
        <f t="shared" si="53"/>
        <v>1</v>
      </c>
      <c r="Y140" s="69">
        <f t="shared" si="49"/>
        <v>4.53E-2</v>
      </c>
      <c r="Z140" s="69">
        <f t="shared" si="50"/>
        <v>23.3308</v>
      </c>
      <c r="AA140" s="69">
        <f t="shared" si="37"/>
        <v>23.285499999999999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8"/>
        <v>0229-22</v>
      </c>
      <c r="AE140" s="99" t="str">
        <f t="shared" si="39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140" s="96" t="str">
        <f t="shared" si="40"/>
        <v>"C:\Program Files (x86)\AstroGrep\AstroGrep.exe" /spath="%USERPROFILE%\AppData\Local\Temp\OnboardLogs" /stypes="app*4002*20160923*" /stext=" 03:.+((SYSTEM_STATE.+slice.+state.+changed )|(ment ac)|(system.+state.+changed )|(\|lc)|(penalty)|(\[timeout)|(PRM\|1\|D)|(kpr)|(kdp))" /e /r /s</v>
      </c>
      <c r="AG140" s="1" t="str">
        <f t="shared" si="41"/>
        <v>EC</v>
      </c>
      <c r="AH140" s="100" t="str">
        <f t="shared" ref="AH140:AH204" si="5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229-22 --locoid 4002 --swversion DE.1.0.7.0 --startMP 204:453 --initTime 2016-09-22T20:49:46 --startdatetime 2016-09-22T21:00:33 --delay 1 --endMP 204:233308 --enddatetime 2016-09-22T21:38:38 --enforcementcount 0 &gt;&gt;C:\Users\stu\Documents\GitHub\eaglep3-reporting\EC\2016-09-22-refined-times.txt</v>
      </c>
      <c r="AI140" s="134" t="str">
        <f t="shared" ref="AI140:AI204" si="5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{"issue":{"subject":"","project_id":79,"tracker_id":40,"status_id":1,"priority_id":2,"assigned_to_id":23,"start_date":"2016-09-22","description":"","custom_fields":[{"id":1,"name":"Subdivision","value":"EC"},{"id":4,"name":"Milepost","value":"23.3308"},{"id":17,"name":"Train ID","value":"229-22"},{"id":16,"name":"Locomotive ID","value":"4002"},{"id":130,"name":"Impact","value":""},{"id":150,"name":"Time of Event (Mountain Time)","value":"21:38:38"},{"id":151,"name":"Denver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587</v>
      </c>
      <c r="B141" s="7">
        <v>4001</v>
      </c>
      <c r="C141" s="24" t="s">
        <v>106</v>
      </c>
      <c r="D141" s="24" t="s">
        <v>315</v>
      </c>
      <c r="E141" s="15">
        <v>42635.90824074074</v>
      </c>
      <c r="F141" s="15">
        <v>42635.914212962962</v>
      </c>
      <c r="G141" s="7">
        <v>1</v>
      </c>
      <c r="H141" s="15" t="s">
        <v>270</v>
      </c>
      <c r="I141" s="15">
        <v>42635.941157407404</v>
      </c>
      <c r="J141" s="7">
        <v>0</v>
      </c>
      <c r="K141" s="121" t="str">
        <f t="shared" ref="K141:K204" si="56">IF(ISEVEN(B141),(B141-1)&amp;"/"&amp;B141,B141&amp;"/"&amp;(B141+1))</f>
        <v>4001/4002</v>
      </c>
      <c r="L141" s="24" t="str">
        <f>VLOOKUP(A141,'Trips&amp;Operators'!$C$1:$E$10000,3,FALSE)</f>
        <v>LEVERE</v>
      </c>
      <c r="M141" s="6">
        <f t="shared" ref="M141:M172" si="57">I141-F141</f>
        <v>2.6944444442051463E-2</v>
      </c>
      <c r="N141" s="7">
        <f t="shared" si="51"/>
        <v>38.799999996554106</v>
      </c>
      <c r="O141" s="7"/>
      <c r="P141" s="7"/>
      <c r="Q141" s="25"/>
      <c r="R141" s="25"/>
      <c r="S141" s="37">
        <f t="shared" si="52"/>
        <v>1</v>
      </c>
      <c r="T141" s="52" t="str">
        <f t="shared" ref="T141:T204" si="58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https://search-rtdc-monitor-bjffxe2xuh6vdkpspy63sjmuny.us-east-1.es.amazonaws.com/_plugin/kibana/#/discover/Steve-Slow-Train-Analysis-(2080s-and-2083s)?_g=(refreshInterval:(display:Off,section:0,value:0),time:(from:'2016-09-22 20:47:52-0600',mode:absolute,to:'2016-09-22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1" s="54" t="str">
        <f t="shared" ref="W141:W172" si="60">IF(AA141&lt;IF(AG141="EC",23,5.65),"Y","N")</f>
        <v>N</v>
      </c>
      <c r="X141" s="168">
        <f t="shared" si="53"/>
        <v>1</v>
      </c>
      <c r="Y141" s="69">
        <f t="shared" ref="Y141:Y172" si="61">RIGHT(D141,LEN(D141)-4)/10000</f>
        <v>23.299099999999999</v>
      </c>
      <c r="Z141" s="69">
        <f t="shared" ref="Z141:Z172" si="62">RIGHT(H141,LEN(H141)-4)/10000</f>
        <v>1.4500000000000001E-2</v>
      </c>
      <c r="AA141" s="69">
        <f t="shared" ref="AA141:AA204" si="63">ABS(Z141-Y141)</f>
        <v>23.284599999999998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64">IF(LEN(A141)=6,"0"&amp;A141,A141)</f>
        <v>0230-22</v>
      </c>
      <c r="AE141" s="99" t="str">
        <f t="shared" ref="AE141:AE204" si="6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141" s="96" t="str">
        <f t="shared" ref="AF141:AF204" si="6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/stypes="app*4001*20160923*" /stext=" 04:.+((SYSTEM_STATE.+slice.+state.+changed )|(ment ac)|(system.+state.+changed )|(\|lc)|(penalty)|(\[timeout)|(PRM\|1\|D)|(kpr)|(kdp))" /e /r /s</v>
      </c>
      <c r="AG141" s="1" t="str">
        <f t="shared" ref="AG141:AG204" si="67">IFERROR(IF(VALUE(LEFT(AD141,2))&lt;=2,"EC",IF(OR(VALUE(LEFT(AD141,2))=8,VALUE(LEFT(AD141,2))=18),"NW","Other")),"Other")</f>
        <v>EC</v>
      </c>
      <c r="AH141" s="100" t="str">
        <f t="shared" si="54"/>
        <v>"%USERPROFILE%\Documents\GitHub\eaglep3\Utilities\RefineRTDCRunTimes.py" --tripid 230-22 --locoid 4001 --swversion DE.1.0.7.0 --startMP 204:232991 --initTime 2016-09-22T21:47:52 --startdatetime 2016-09-22T21:56:28 --delay 1 --endMP 204:145 --enddatetime 2016-09-22T22:35:16 --enforcementcount 0 &gt;&gt;C:\Users\stu\Documents\GitHub\eaglep3-reporting\EC\2016-09-22-refined-times.txt</v>
      </c>
      <c r="AI141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{"issue":{"subject":"","project_id":79,"tracker_id":40,"status_id":1,"priority_id":2,"assigned_to_id":23,"start_date":"2016-09-22","description":"","custom_fields":[{"id":1,"name":"Subdivision","value":"EC"},{"id":4,"name":"Milepost","value":"0.0145"},{"id":17,"name":"Train ID","value":"230-22"},{"id":16,"name":"Locomotive ID","value":"4001"},{"id":130,"name":"Impact","value":""},{"id":150,"name":"Time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586</v>
      </c>
      <c r="B142" s="7">
        <v>4031</v>
      </c>
      <c r="C142" s="24" t="s">
        <v>106</v>
      </c>
      <c r="D142" s="24" t="s">
        <v>219</v>
      </c>
      <c r="E142" s="15">
        <v>42635.891030092593</v>
      </c>
      <c r="F142" s="15">
        <v>42635.896354166667</v>
      </c>
      <c r="G142" s="7">
        <v>1</v>
      </c>
      <c r="H142" s="15" t="s">
        <v>656</v>
      </c>
      <c r="I142" s="15">
        <v>42635.920555555553</v>
      </c>
      <c r="J142" s="7">
        <v>0</v>
      </c>
      <c r="K142" s="121" t="str">
        <f t="shared" si="56"/>
        <v>4031/4032</v>
      </c>
      <c r="L142" s="24" t="str">
        <f>VLOOKUP(A142,'Trips&amp;Operators'!$C$1:$E$10000,3,FALSE)</f>
        <v>COOLAHAN</v>
      </c>
      <c r="M142" s="6">
        <f t="shared" si="57"/>
        <v>2.4201388885558117E-2</v>
      </c>
      <c r="N142" s="7">
        <f t="shared" si="51"/>
        <v>34.849999995203689</v>
      </c>
      <c r="O142" s="7"/>
      <c r="P142" s="7"/>
      <c r="Q142" s="25"/>
      <c r="R142" s="25"/>
      <c r="S142" s="37">
        <f t="shared" si="52"/>
        <v>1</v>
      </c>
      <c r="T142" s="52" t="str">
        <f t="shared" si="58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20:23:05-0600',mode:absolute,to:'2016-09-22 23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2" s="54" t="str">
        <f t="shared" si="60"/>
        <v>N</v>
      </c>
      <c r="X142" s="168">
        <f t="shared" si="53"/>
        <v>1</v>
      </c>
      <c r="Y142" s="69">
        <f t="shared" si="61"/>
        <v>4.53E-2</v>
      </c>
      <c r="Z142" s="69">
        <f t="shared" si="62"/>
        <v>23.332899999999999</v>
      </c>
      <c r="AA142" s="69">
        <f t="shared" si="63"/>
        <v>23.287599999999998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64"/>
        <v>0231-22</v>
      </c>
      <c r="AE142" s="99" t="str">
        <f t="shared" si="65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142" s="96" t="str">
        <f t="shared" si="66"/>
        <v>"C:\Program Files (x86)\AstroGrep\AstroGrep.exe" /spath="%USERPROFILE%\AppData\Local\Temp\OnboardLogs" /stypes="app*4031*20160923*" /stext=" 04:.+((SYSTEM_STATE.+slice.+state.+changed )|(ment ac)|(system.+state.+changed )|(\|lc)|(penalty)|(\[timeout)|(PRM\|1\|D)|(kpr)|(kdp))" /e /r /s</v>
      </c>
      <c r="AG142" s="1" t="str">
        <f t="shared" si="67"/>
        <v>EC</v>
      </c>
      <c r="AH142" s="100" t="str">
        <f t="shared" si="54"/>
        <v>"%USERPROFILE%\Documents\GitHub\eaglep3\Utilities\RefineRTDCRunTimes.py" --tripid 231-22 --locoid 4031 --swversion DE.1.0.7.0 --startMP 204:453 --initTime 2016-09-22T21:23:05 --startdatetime 2016-09-22T21:30:45 --delay 1 --endMP 204:233329 --enddatetime 2016-09-22T22:05:36 --enforcementcount 0 &gt;&gt;C:\Users\stu\Documents\GitHub\eaglep3-reporting\EC\2016-09-22-refined-times.txt</v>
      </c>
      <c r="AI142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{"issue":{"subject":"","project_id":79,"tracker_id":40,"status_id":1,"priority_id":2,"assigned_to_id":23,"start_date":"2016-09-22","description":"","custom_fields":[{"id":1,"name":"Subdivision","value":"EC"},{"id":4,"name":"Milepost","value":"23.3329"},{"id":17,"name":"Train ID","value":"231-22"},{"id":16,"name":"Locomotive ID","value":"4031"},{"id":130,"name":"Impact","value":""},{"id":150,"name":"Time of Event (Mountain Time)","value":"22:05:36"},{"id":151,"name":"Denver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589</v>
      </c>
      <c r="B143" s="7">
        <v>4032</v>
      </c>
      <c r="C143" s="24" t="s">
        <v>106</v>
      </c>
      <c r="D143" s="24" t="s">
        <v>667</v>
      </c>
      <c r="E143" s="15">
        <v>42635.930590277778</v>
      </c>
      <c r="F143" s="15">
        <v>42635.934988425928</v>
      </c>
      <c r="G143" s="7">
        <v>3</v>
      </c>
      <c r="H143" s="15" t="s">
        <v>218</v>
      </c>
      <c r="I143" s="15">
        <v>42635.963692129626</v>
      </c>
      <c r="J143" s="7">
        <v>0</v>
      </c>
      <c r="K143" s="121" t="str">
        <f t="shared" si="56"/>
        <v>4031/4032</v>
      </c>
      <c r="L143" s="24" t="str">
        <f>VLOOKUP(A143,'Trips&amp;Operators'!$C$1:$E$10000,3,FALSE)</f>
        <v>COOLAHAN</v>
      </c>
      <c r="M143" s="6">
        <f t="shared" si="57"/>
        <v>2.8703703697829042E-2</v>
      </c>
      <c r="N143" s="7">
        <f t="shared" si="51"/>
        <v>41.33333332487382</v>
      </c>
      <c r="O143" s="7"/>
      <c r="P143" s="7"/>
      <c r="Q143" s="25"/>
      <c r="R143" s="25"/>
      <c r="S143" s="37">
        <f t="shared" si="52"/>
        <v>1</v>
      </c>
      <c r="T143" s="52" t="str">
        <f t="shared" si="58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21:20:03-0600',mode:absolute,to:'2016-09-23 00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3" s="54" t="str">
        <f t="shared" si="60"/>
        <v>N</v>
      </c>
      <c r="X143" s="168">
        <f t="shared" ref="X143:X174" si="68">VALUE(LEFT(AD143,4))-VALUE(LEFT(AD142,4))</f>
        <v>1</v>
      </c>
      <c r="Y143" s="69">
        <f t="shared" si="61"/>
        <v>23.3017</v>
      </c>
      <c r="Z143" s="69">
        <f t="shared" si="62"/>
        <v>1.47E-2</v>
      </c>
      <c r="AA143" s="69">
        <f t="shared" si="63"/>
        <v>23.286999999999999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64"/>
        <v>0232-22</v>
      </c>
      <c r="AE143" s="99" t="str">
        <f t="shared" si="65"/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AF143" s="96" t="str">
        <f t="shared" si="66"/>
        <v>"C:\Program Files (x86)\AstroGrep\AstroGrep.exe" /spath="%USERPROFILE%\AppData\Local\Temp\OnboardLogs" /stypes="app*4032*20160923*" /stext=" 05:.+((SYSTEM_STATE.+slice.+state.+changed )|(ment ac)|(system.+state.+changed )|(\|lc)|(penalty)|(\[timeout)|(PRM\|1\|D)|(kpr)|(kdp))" /e /r /s</v>
      </c>
      <c r="AG143" s="1" t="str">
        <f t="shared" si="67"/>
        <v>EC</v>
      </c>
      <c r="AH143" s="100" t="str">
        <f t="shared" si="54"/>
        <v>"%USERPROFILE%\Documents\GitHub\eaglep3\Utilities\RefineRTDCRunTimes.py" --tripid 232-22 --locoid 4032 --swversion DE.1.0.7.0 --startMP 204:233017 --initTime 2016-09-22T22:20:03 --startdatetime 2016-09-22T22:26:23 --delay 3 --endMP 204:147 --enddatetime 2016-09-22T23:07:43 --enforcementcount 0 &gt;&gt;C:\Users\stu\Documents\GitHub\eaglep3-reporting\EC\2016-09-22-refined-times.txt</v>
      </c>
      <c r="AI143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{"issue":{"subject":"","project_id":79,"tracker_id":40,"status_id":1,"priority_id":2,"assigned_to_id":23,"start_date":"2016-09-22","description":"","custom_fields":[{"id":1,"name":"Subdivision","value":"EC"},{"id":4,"name":"Milepost","value":"0.0147"},{"id":17,"name":"Train ID","value":"232-22"},{"id":16,"name":"Locomotive ID","value":"4032"},{"id":130,"name":"Impact","value":""},{"id":150,"name":"Time of Event (Mountain Time)","value":"23:07:43"},{"id":151,"name":"Denver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588</v>
      </c>
      <c r="B144" s="7">
        <v>4014</v>
      </c>
      <c r="C144" s="24" t="s">
        <v>106</v>
      </c>
      <c r="D144" s="24" t="s">
        <v>216</v>
      </c>
      <c r="E144" s="15">
        <v>42635.912881944445</v>
      </c>
      <c r="F144" s="15">
        <v>42635.916828703703</v>
      </c>
      <c r="G144" s="7">
        <v>5</v>
      </c>
      <c r="H144" s="15" t="s">
        <v>622</v>
      </c>
      <c r="I144" s="15">
        <v>42635.94153935185</v>
      </c>
      <c r="J144" s="7">
        <v>0</v>
      </c>
      <c r="K144" s="121" t="str">
        <f t="shared" si="56"/>
        <v>4013/4014</v>
      </c>
      <c r="L144" s="24" t="str">
        <f>VLOOKUP(A144,'Trips&amp;Operators'!$C$1:$E$10000,3,FALSE)</f>
        <v>LEVIN</v>
      </c>
      <c r="M144" s="6">
        <f t="shared" si="57"/>
        <v>2.47106481474475E-2</v>
      </c>
      <c r="N144" s="7">
        <f t="shared" si="51"/>
        <v>35.583333332324401</v>
      </c>
      <c r="O144" s="7"/>
      <c r="P144" s="7"/>
      <c r="Q144" s="25"/>
      <c r="R144" s="25"/>
      <c r="S144" s="37">
        <f t="shared" si="52"/>
        <v>1</v>
      </c>
      <c r="T144" s="52" t="str">
        <f t="shared" si="58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20:54:33-0600',mode:absolute,to:'2016-09-22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4" s="54" t="str">
        <f t="shared" si="60"/>
        <v>N</v>
      </c>
      <c r="X144" s="168">
        <f t="shared" si="68"/>
        <v>1</v>
      </c>
      <c r="Y144" s="69">
        <f t="shared" si="61"/>
        <v>4.7100000000000003E-2</v>
      </c>
      <c r="Z144" s="69">
        <f t="shared" si="62"/>
        <v>23.331600000000002</v>
      </c>
      <c r="AA144" s="69">
        <f t="shared" si="63"/>
        <v>23.284500000000001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64"/>
        <v>0233-22</v>
      </c>
      <c r="AE144" s="99" t="str">
        <f t="shared" si="65"/>
        <v>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 &amp; 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</v>
      </c>
      <c r="AF144" s="96" t="str">
        <f t="shared" si="66"/>
        <v>"C:\Program Files (x86)\AstroGrep\AstroGrep.exe" /spath="%USERPROFILE%\AppData\Local\Temp\OnboardLogs" /stypes="app*4014*20160923*" /stext=" 04:.+((SYSTEM_STATE.+slice.+state.+changed )|(ment ac)|(system.+state.+changed )|(\|lc)|(penalty)|(\[timeout)|(PRM\|1\|D)|(kpr)|(kdp))" /e /r /s</v>
      </c>
      <c r="AG144" s="1" t="str">
        <f t="shared" si="67"/>
        <v>EC</v>
      </c>
      <c r="AH144" s="100" t="str">
        <f t="shared" si="54"/>
        <v>"%USERPROFILE%\Documents\GitHub\eaglep3\Utilities\RefineRTDCRunTimes.py" --tripid 233-22 --locoid 4014 --swversion DE.1.0.7.0 --startMP 204:471 --initTime 2016-09-22T21:54:33 --startdatetime 2016-09-22T22:00:14 --delay 5 --endMP 204:233316 --enddatetime 2016-09-22T22:35:49 --enforcementcount 0 &gt;&gt;C:\Users\stu\Documents\GitHub\eaglep3-reporting\EC\2016-09-22-refined-times.txt</v>
      </c>
      <c r="AI144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{"issue":{"subject":"","project_id":79,"tracker_id":40,"status_id":1,"priority_id":2,"assigned_to_id":23,"start_date":"2016-09-22","description":"","custom_fields":[{"id":1,"name":"Subdivision","value":"EC"},{"id":4,"name":"Milepost","value":"23.3316"},{"id":17,"name":"Train ID","value":"233-22"},{"id":16,"name":"Locomotive ID","value":"4014"},{"id":130,"name":"Impact","value":""},{"id":150,"name":"Time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593</v>
      </c>
      <c r="B145" s="7">
        <v>4013</v>
      </c>
      <c r="C145" s="24" t="s">
        <v>106</v>
      </c>
      <c r="D145" s="24" t="s">
        <v>668</v>
      </c>
      <c r="E145" s="15">
        <v>42635.950509259259</v>
      </c>
      <c r="F145" s="15">
        <v>42635.95579861111</v>
      </c>
      <c r="G145" s="7">
        <v>1</v>
      </c>
      <c r="H145" s="15" t="s">
        <v>220</v>
      </c>
      <c r="I145" s="15">
        <v>42635.981759259259</v>
      </c>
      <c r="J145" s="7">
        <v>0</v>
      </c>
      <c r="K145" s="121" t="str">
        <f t="shared" si="56"/>
        <v>4013/4014</v>
      </c>
      <c r="L145" s="24" t="str">
        <f>VLOOKUP(A145,'Trips&amp;Operators'!$C$1:$E$10000,3,FALSE)</f>
        <v>LEVIN</v>
      </c>
      <c r="M145" s="6">
        <f t="shared" si="57"/>
        <v>2.5960648148611654E-2</v>
      </c>
      <c r="N145" s="7">
        <f t="shared" si="51"/>
        <v>37.383333334000781</v>
      </c>
      <c r="O145" s="7"/>
      <c r="P145" s="7"/>
      <c r="Q145" s="25"/>
      <c r="R145" s="25"/>
      <c r="S145" s="37">
        <f t="shared" si="52"/>
        <v>1</v>
      </c>
      <c r="T145" s="52" t="str">
        <f t="shared" si="58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21:48:44-0600',mode:absolute,to:'2016-09-23 00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5" s="54" t="str">
        <f t="shared" si="60"/>
        <v>N</v>
      </c>
      <c r="X145" s="168">
        <f t="shared" si="68"/>
        <v>1</v>
      </c>
      <c r="Y145" s="69">
        <f t="shared" si="61"/>
        <v>23.300899999999999</v>
      </c>
      <c r="Z145" s="69">
        <f t="shared" si="62"/>
        <v>1.4999999999999999E-2</v>
      </c>
      <c r="AA145" s="69">
        <f t="shared" si="63"/>
        <v>23.285899999999998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64"/>
        <v>0234-22</v>
      </c>
      <c r="AE145" s="99" t="str">
        <f t="shared" si="65"/>
        <v>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 &amp; 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</v>
      </c>
      <c r="AF145" s="96" t="str">
        <f t="shared" si="66"/>
        <v>"C:\Program Files (x86)\AstroGrep\AstroGrep.exe" /spath="%USERPROFILE%\AppData\Local\Temp\OnboardLogs" /stypes="app*4013*20160923*" /stext=" 05:.+((SYSTEM_STATE.+slice.+state.+changed )|(ment ac)|(system.+state.+changed )|(\|lc)|(penalty)|(\[timeout)|(PRM\|1\|D)|(kpr)|(kdp))" /e /r /s</v>
      </c>
      <c r="AG145" s="1" t="str">
        <f t="shared" si="67"/>
        <v>EC</v>
      </c>
      <c r="AH145" s="100" t="str">
        <f t="shared" si="54"/>
        <v>"%USERPROFILE%\Documents\GitHub\eaglep3\Utilities\RefineRTDCRunTimes.py" --tripid 234-22 --locoid 4013 --swversion DE.1.0.7.0 --startMP 204:233009 --initTime 2016-09-22T22:48:44 --startdatetime 2016-09-22T22:56:21 --delay 1 --endMP 204:150 --enddatetime 2016-09-22T23:33:44 --enforcementcount 0 &gt;&gt;C:\Users\stu\Documents\GitHub\eaglep3-reporting\EC\2016-09-22-refined-times.txt</v>
      </c>
      <c r="AI145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{"issue":{"subject":"","project_id":79,"tracker_id":40,"status_id":1,"priority_id":2,"assigned_to_id":23,"start_date":"2016-09-22","description":"","custom_fields":[{"id":1,"name":"Subdivision","value":"EC"},{"id":4,"name":"Milepost","value":"0.015"},{"id":17,"name":"Train ID","value":"234-22"},{"id":16,"name":"Locomotive ID","value":"4013"},{"id":130,"name":"Impact","value":""},{"id":150,"name":"Time of Event (Mountain Time)","value":"23:33:44"},{"id":151,"name":"Denver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590</v>
      </c>
      <c r="B146" s="7">
        <v>4053</v>
      </c>
      <c r="C146" s="24" t="s">
        <v>106</v>
      </c>
      <c r="D146" s="24" t="s">
        <v>236</v>
      </c>
      <c r="E146" s="15">
        <v>42635.931400462963</v>
      </c>
      <c r="F146" s="15">
        <v>42635.937789351854</v>
      </c>
      <c r="G146" s="7">
        <v>6</v>
      </c>
      <c r="H146" s="15" t="s">
        <v>320</v>
      </c>
      <c r="I146" s="15">
        <v>42635.962800925925</v>
      </c>
      <c r="J146" s="7">
        <v>0</v>
      </c>
      <c r="K146" s="121" t="str">
        <f t="shared" si="56"/>
        <v>4053/4054</v>
      </c>
      <c r="L146" s="24" t="str">
        <f>VLOOKUP(A146,'Trips&amp;Operators'!$C$1:$E$10000,3,FALSE)</f>
        <v>STURGEON</v>
      </c>
      <c r="M146" s="6">
        <f t="shared" si="57"/>
        <v>2.5011574070958886E-2</v>
      </c>
      <c r="N146" s="7">
        <f t="shared" si="51"/>
        <v>36.016666662180796</v>
      </c>
      <c r="O146" s="7"/>
      <c r="P146" s="7"/>
      <c r="Q146" s="25"/>
      <c r="R146" s="25"/>
      <c r="S146" s="37">
        <f t="shared" si="52"/>
        <v>1</v>
      </c>
      <c r="T146" s="52" t="str">
        <f t="shared" si="58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21:21:13-0600',mode:absolute,to:'2016-09-23 00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6" s="54" t="str">
        <f t="shared" si="60"/>
        <v>N</v>
      </c>
      <c r="X146" s="168">
        <f t="shared" si="68"/>
        <v>1</v>
      </c>
      <c r="Y146" s="69">
        <f t="shared" si="61"/>
        <v>4.6899999999999997E-2</v>
      </c>
      <c r="Z146" s="69">
        <f t="shared" si="62"/>
        <v>23.3278</v>
      </c>
      <c r="AA146" s="69">
        <f t="shared" si="63"/>
        <v>23.280899999999999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64"/>
        <v>0235-22</v>
      </c>
      <c r="AE146" s="99" t="str">
        <f t="shared" si="65"/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AF146" s="96" t="str">
        <f t="shared" si="66"/>
        <v>"C:\Program Files (x86)\AstroGrep\AstroGrep.exe" /spath="%USERPROFILE%\AppData\Local\Temp\OnboardLogs" /stypes="app*4053*20160923*" /stext=" 05:.+((SYSTEM_STATE.+slice.+state.+changed )|(ment ac)|(system.+state.+changed )|(\|lc)|(penalty)|(\[timeout)|(PRM\|1\|D)|(kpr)|(kdp))" /e /r /s</v>
      </c>
      <c r="AG146" s="1" t="str">
        <f t="shared" si="67"/>
        <v>EC</v>
      </c>
      <c r="AH146" s="100" t="str">
        <f t="shared" si="54"/>
        <v>"%USERPROFILE%\Documents\GitHub\eaglep3\Utilities\RefineRTDCRunTimes.py" --tripid 235-22 --locoid 4053 --swversion DE.1.0.7.0 --startMP 204:469 --initTime 2016-09-22T22:21:13 --startdatetime 2016-09-22T22:30:25 --delay 6 --endMP 204:233278 --enddatetime 2016-09-22T23:06:26 --enforcementcount 0 &gt;&gt;C:\Users\stu\Documents\GitHub\eaglep3-reporting\EC\2016-09-22-refined-times.txt</v>
      </c>
      <c r="AI146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{"issue":{"subject":"","project_id":79,"tracker_id":40,"status_id":1,"priority_id":2,"assigned_to_id":23,"start_date":"2016-09-22","description":"","custom_fields":[{"id":1,"name":"Subdivision","value":"EC"},{"id":4,"name":"Milepost","value":"23.3278"},{"id":17,"name":"Train ID","value":"235-22"},{"id":16,"name":"Locomotive ID","value":"4053"},{"id":130,"name":"Impact","value":""},{"id":150,"name":"Time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595</v>
      </c>
      <c r="B147" s="7">
        <v>4054</v>
      </c>
      <c r="C147" s="24" t="s">
        <v>106</v>
      </c>
      <c r="D147" s="24" t="s">
        <v>361</v>
      </c>
      <c r="E147" s="15">
        <v>42635.965081018519</v>
      </c>
      <c r="F147" s="15">
        <v>42635.976956018516</v>
      </c>
      <c r="G147" s="7">
        <v>1</v>
      </c>
      <c r="H147" s="15" t="s">
        <v>359</v>
      </c>
      <c r="I147" s="15">
        <v>42636.005057870374</v>
      </c>
      <c r="J147" s="7">
        <v>0</v>
      </c>
      <c r="K147" s="121" t="str">
        <f t="shared" si="56"/>
        <v>4053/4054</v>
      </c>
      <c r="L147" s="24" t="str">
        <f>VLOOKUP(A147,'Trips&amp;Operators'!$C$1:$E$10000,3,FALSE)</f>
        <v>STURGEON</v>
      </c>
      <c r="M147" s="6">
        <f t="shared" si="57"/>
        <v>2.8101851858082227E-2</v>
      </c>
      <c r="N147" s="7">
        <f t="shared" si="51"/>
        <v>40.466666675638407</v>
      </c>
      <c r="O147" s="7"/>
      <c r="P147" s="7"/>
      <c r="Q147" s="25"/>
      <c r="R147" s="25"/>
      <c r="S147" s="37">
        <f t="shared" si="52"/>
        <v>1</v>
      </c>
      <c r="T147" s="52" t="str">
        <f t="shared" si="58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22:09:43-0600',mode:absolute,to:'2016-09-23 01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7" s="54" t="str">
        <f t="shared" si="60"/>
        <v>N</v>
      </c>
      <c r="X147" s="168">
        <f t="shared" si="68"/>
        <v>1</v>
      </c>
      <c r="Y147" s="69">
        <f t="shared" si="61"/>
        <v>23.2957</v>
      </c>
      <c r="Z147" s="69">
        <f t="shared" si="62"/>
        <v>1.6899999999999998E-2</v>
      </c>
      <c r="AA147" s="69">
        <f t="shared" si="63"/>
        <v>23.2788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64"/>
        <v>0236-22</v>
      </c>
      <c r="AE147" s="99" t="str">
        <f t="shared" si="65"/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AF147" s="96" t="str">
        <f t="shared" si="66"/>
        <v>"C:\Program Files (x86)\AstroGrep\AstroGrep.exe" /spath="%USERPROFILE%\AppData\Local\Temp\OnboardLogs" /stypes="app*4054*20160923*" /stext=" 06:.+((SYSTEM_STATE.+slice.+state.+changed )|(ment ac)|(system.+state.+changed )|(\|lc)|(penalty)|(\[timeout)|(PRM\|1\|D)|(kpr)|(kdp))" /e /r /s</v>
      </c>
      <c r="AG147" s="1" t="str">
        <f t="shared" si="67"/>
        <v>EC</v>
      </c>
      <c r="AH147" s="100" t="str">
        <f t="shared" si="54"/>
        <v>"%USERPROFILE%\Documents\GitHub\eaglep3\Utilities\RefineRTDCRunTimes.py" --tripid 236-22 --locoid 4054 --swversion DE.1.0.7.0 --startMP 204:232957 --initTime 2016-09-22T23:09:43 --startdatetime 2016-09-22T23:26:49 --delay 1 --endMP 204:169 --enddatetime 2016-09-23T00:07:17 --enforcementcount 0 &gt;&gt;C:\Users\stu\Documents\GitHub\eaglep3-reporting\EC\2016-09-22-refined-times.txt</v>
      </c>
      <c r="AI147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{"issue":{"subject":"","project_id":79,"tracker_id":40,"status_id":1,"priority_id":2,"assigned_to_id":23,"start_date":"2016-09-23","description":"","custom_fields":[{"id":1,"name":"Subdivision","value":"EC"},{"id":4,"name":"Milepost","value":"0.0169"},{"id":17,"name":"Train ID","value":"236-22"},{"id":16,"name":"Locomotive ID","value":"4054"},{"id":130,"name":"Impact","value":""},{"id":150,"name":"Time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594</v>
      </c>
      <c r="B148" s="7">
        <v>4002</v>
      </c>
      <c r="C148" s="24" t="s">
        <v>106</v>
      </c>
      <c r="D148" s="24" t="s">
        <v>259</v>
      </c>
      <c r="E148" s="15">
        <v>42635.954236111109</v>
      </c>
      <c r="F148" s="15">
        <v>42635.958645833336</v>
      </c>
      <c r="G148" s="7">
        <v>1</v>
      </c>
      <c r="H148" s="15" t="s">
        <v>265</v>
      </c>
      <c r="I148" s="15">
        <v>42635.984907407408</v>
      </c>
      <c r="J148" s="7">
        <v>0</v>
      </c>
      <c r="K148" s="121" t="str">
        <f t="shared" si="56"/>
        <v>4001/4002</v>
      </c>
      <c r="L148" s="24" t="str">
        <f>VLOOKUP(A148,'Trips&amp;Operators'!$C$1:$E$10000,3,FALSE)</f>
        <v>LEVERE</v>
      </c>
      <c r="M148" s="6">
        <f t="shared" si="57"/>
        <v>2.626157407212304E-2</v>
      </c>
      <c r="N148" s="7">
        <f t="shared" si="51"/>
        <v>37.816666663857177</v>
      </c>
      <c r="O148" s="7"/>
      <c r="P148" s="7"/>
      <c r="Q148" s="25"/>
      <c r="R148" s="25"/>
      <c r="S148" s="37">
        <f t="shared" si="52"/>
        <v>1</v>
      </c>
      <c r="T148" s="52" t="str">
        <f t="shared" si="58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21:54:06-0600',mode:absolute,to:'2016-09-23 00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8" s="54" t="str">
        <f t="shared" si="60"/>
        <v>N</v>
      </c>
      <c r="X148" s="168">
        <f t="shared" si="68"/>
        <v>1</v>
      </c>
      <c r="Y148" s="69">
        <f t="shared" si="61"/>
        <v>4.3999999999999997E-2</v>
      </c>
      <c r="Z148" s="69">
        <f t="shared" si="62"/>
        <v>23.331399999999999</v>
      </c>
      <c r="AA148" s="69">
        <f t="shared" si="63"/>
        <v>23.287399999999998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64"/>
        <v>0237-22</v>
      </c>
      <c r="AE148" s="99" t="str">
        <f t="shared" si="65"/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AF148" s="96" t="str">
        <f t="shared" si="66"/>
        <v>"C:\Program Files (x86)\AstroGrep\AstroGrep.exe" /spath="%USERPROFILE%\AppData\Local\Temp\OnboardLogs" /stypes="app*4002*20160923*" /stext=" 05:.+((SYSTEM_STATE.+slice.+state.+changed )|(ment ac)|(system.+state.+changed )|(\|lc)|(penalty)|(\[timeout)|(PRM\|1\|D)|(kpr)|(kdp))" /e /r /s</v>
      </c>
      <c r="AG148" s="1" t="str">
        <f t="shared" si="67"/>
        <v>EC</v>
      </c>
      <c r="AH148" s="100" t="str">
        <f t="shared" si="54"/>
        <v>"%USERPROFILE%\Documents\GitHub\eaglep3\Utilities\RefineRTDCRunTimes.py" --tripid 237-22 --locoid 4002 --swversion DE.1.0.7.0 --startMP 204:440 --initTime 2016-09-22T22:54:06 --startdatetime 2016-09-22T23:00:27 --delay 1 --endMP 204:233314 --enddatetime 2016-09-22T23:38:16 --enforcementcount 0 &gt;&gt;C:\Users\stu\Documents\GitHub\eaglep3-reporting\EC\2016-09-22-refined-times.txt</v>
      </c>
      <c r="AI148" s="134" t="str">
        <f t="shared" si="55"/>
        <v>echo {"issue":{"subject":"","project_id":79,"tracker_id":40,"status_id":1,"priority_id":2,"assigned_to_id":23,"start_date":"2016-09-22","description":"","custom_fields":[{"id":1,"name":"Subdivision","value":"EC"},{"id":4,"name":"Milepost","value":"23.3314"},{"id":17,"name":"Train ID","value":"237-22"},{"id":16,"name":"Locomotive ID","value":"4002"},{"id":130,"name":"Impact","value":""},{"id":150,"name":"Time of Event (Mountain Time)","value":"23:38:16"},{"id":151,"name":"Denver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597</v>
      </c>
      <c r="B149" s="7">
        <v>4001</v>
      </c>
      <c r="C149" s="24" t="s">
        <v>106</v>
      </c>
      <c r="D149" s="24" t="s">
        <v>368</v>
      </c>
      <c r="E149" s="15">
        <v>42635.993275462963</v>
      </c>
      <c r="F149" s="15">
        <v>42635.99763888889</v>
      </c>
      <c r="G149" s="7">
        <v>1</v>
      </c>
      <c r="H149" s="15" t="s">
        <v>234</v>
      </c>
      <c r="I149" s="15">
        <v>42636.025324074071</v>
      </c>
      <c r="J149" s="7">
        <v>0</v>
      </c>
      <c r="K149" s="121" t="str">
        <f t="shared" si="56"/>
        <v>4001/4002</v>
      </c>
      <c r="L149" s="24" t="str">
        <f>VLOOKUP(A149,'Trips&amp;Operators'!$C$1:$E$10000,3,FALSE)</f>
        <v>LEVERE</v>
      </c>
      <c r="M149" s="6">
        <f t="shared" si="57"/>
        <v>2.7685185181326233E-2</v>
      </c>
      <c r="N149" s="7">
        <f t="shared" si="51"/>
        <v>39.866666661109775</v>
      </c>
      <c r="O149" s="7"/>
      <c r="P149" s="7"/>
      <c r="Q149" s="25"/>
      <c r="R149" s="25"/>
      <c r="S149" s="37">
        <f t="shared" si="52"/>
        <v>1</v>
      </c>
      <c r="T149" s="52" t="str">
        <f t="shared" si="58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22:50:19-0600',mode:absolute,to:'2016-09-23 01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9" s="54" t="str">
        <f t="shared" si="60"/>
        <v>N</v>
      </c>
      <c r="X149" s="168">
        <f t="shared" si="68"/>
        <v>1</v>
      </c>
      <c r="Y149" s="69">
        <f t="shared" si="61"/>
        <v>23.299199999999999</v>
      </c>
      <c r="Z149" s="69">
        <f t="shared" si="62"/>
        <v>1.38E-2</v>
      </c>
      <c r="AA149" s="69">
        <f t="shared" si="63"/>
        <v>23.285399999999999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64"/>
        <v>0238-22</v>
      </c>
      <c r="AE149" s="99" t="str">
        <f t="shared" si="65"/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AF149" s="96" t="str">
        <f t="shared" si="66"/>
        <v>"C:\Program Files (x86)\AstroGrep\AstroGrep.exe" /spath="%USERPROFILE%\AppData\Local\Temp\OnboardLogs" /stypes="app*4001*20160923*" /stext=" 06:.+((SYSTEM_STATE.+slice.+state.+changed )|(ment ac)|(system.+state.+changed )|(\|lc)|(penalty)|(\[timeout)|(PRM\|1\|D)|(kpr)|(kdp))" /e /r /s</v>
      </c>
      <c r="AG149" s="1" t="str">
        <f t="shared" si="67"/>
        <v>EC</v>
      </c>
      <c r="AH149" s="100" t="str">
        <f t="shared" si="54"/>
        <v>"%USERPROFILE%\Documents\GitHub\eaglep3\Utilities\RefineRTDCRunTimes.py" --tripid 238-22 --locoid 4001 --swversion DE.1.0.7.0 --startMP 204:232992 --initTime 2016-09-22T23:50:19 --startdatetime 2016-09-22T23:56:36 --delay 1 --endMP 204:138 --enddatetime 2016-09-23T00:36:28 --enforcementcount 0 &gt;&gt;C:\Users\stu\Documents\GitHub\eaglep3-reporting\EC\2016-09-22-refined-times.txt</v>
      </c>
      <c r="AI149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{"issue":{"subject":"","project_id":79,"tracker_id":40,"status_id":1,"priority_id":2,"assigned_to_id":23,"start_date":"2016-09-23","description":"","custom_fields":[{"id":1,"name":"Subdivision","value":"EC"},{"id":4,"name":"Milepost","value":"0.0138"},{"id":17,"name":"Train ID","value":"238-22"},{"id":16,"name":"Locomotive ID","value":"4001"},{"id":130,"name":"Impact","value":""},{"id":150,"name":"Time of Event (Mountain Time)","value":"00:36:28"},{"id":151,"name":"Denver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596</v>
      </c>
      <c r="B150" s="7">
        <v>4031</v>
      </c>
      <c r="C150" s="24" t="s">
        <v>106</v>
      </c>
      <c r="D150" s="24" t="s">
        <v>282</v>
      </c>
      <c r="E150" s="15">
        <v>42635.973101851851</v>
      </c>
      <c r="F150" s="15">
        <v>42635.979421296295</v>
      </c>
      <c r="G150" s="7">
        <v>6</v>
      </c>
      <c r="H150" s="15" t="s">
        <v>352</v>
      </c>
      <c r="I150" s="15">
        <v>42636.003831018519</v>
      </c>
      <c r="J150" s="7">
        <v>0</v>
      </c>
      <c r="K150" s="121" t="str">
        <f t="shared" si="56"/>
        <v>4031/4032</v>
      </c>
      <c r="L150" s="24" t="str">
        <f>VLOOKUP(A150,'Trips&amp;Operators'!$C$1:$E$10000,3,FALSE)</f>
        <v>COOLAHAN</v>
      </c>
      <c r="M150" s="6">
        <f t="shared" si="57"/>
        <v>2.4409722223936114E-2</v>
      </c>
      <c r="N150" s="7">
        <f t="shared" si="51"/>
        <v>35.150000002468005</v>
      </c>
      <c r="O150" s="7"/>
      <c r="P150" s="7"/>
      <c r="Q150" s="25"/>
      <c r="R150" s="25"/>
      <c r="S150" s="37">
        <f t="shared" si="52"/>
        <v>1</v>
      </c>
      <c r="T150" s="52" t="str">
        <f t="shared" si="58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22:21:16-0600',mode:absolute,to:'2016-09-23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0" s="54" t="str">
        <f t="shared" si="60"/>
        <v>N</v>
      </c>
      <c r="X150" s="168">
        <f t="shared" si="68"/>
        <v>1</v>
      </c>
      <c r="Y150" s="69">
        <f t="shared" si="61"/>
        <v>4.4400000000000002E-2</v>
      </c>
      <c r="Z150" s="69">
        <f t="shared" si="62"/>
        <v>23.330400000000001</v>
      </c>
      <c r="AA150" s="69">
        <f t="shared" si="63"/>
        <v>23.286000000000001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64"/>
        <v>0239-22</v>
      </c>
      <c r="AE150" s="99" t="str">
        <f t="shared" si="65"/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AF150" s="96" t="str">
        <f t="shared" si="66"/>
        <v>"C:\Program Files (x86)\AstroGrep\AstroGrep.exe" /spath="%USERPROFILE%\AppData\Local\Temp\OnboardLogs" /stypes="app*4031*20160923*" /stext=" 06:.+((SYSTEM_STATE.+slice.+state.+changed )|(ment ac)|(system.+state.+changed )|(\|lc)|(penalty)|(\[timeout)|(PRM\|1\|D)|(kpr)|(kdp))" /e /r /s</v>
      </c>
      <c r="AG150" s="1" t="str">
        <f t="shared" si="67"/>
        <v>EC</v>
      </c>
      <c r="AH150" s="100" t="str">
        <f t="shared" si="54"/>
        <v>"%USERPROFILE%\Documents\GitHub\eaglep3\Utilities\RefineRTDCRunTimes.py" --tripid 239-22 --locoid 4031 --swversion DE.1.0.7.0 --startMP 204:444 --initTime 2016-09-22T23:21:16 --startdatetime 2016-09-22T23:30:22 --delay 6 --endMP 204:233304 --enddatetime 2016-09-23T00:05:31 --enforcementcount 0 &gt;&gt;C:\Users\stu\Documents\GitHub\eaglep3-reporting\EC\2016-09-22-refined-times.txt</v>
      </c>
      <c r="AI150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{"issue":{"subject":"","project_id":79,"tracker_id":40,"status_id":1,"priority_id":2,"assigned_to_id":23,"start_date":"2016-09-23","description":"","custom_fields":[{"id":1,"name":"Subdivision","value":"EC"},{"id":4,"name":"Milepost","value":"23.3304"},{"id":17,"name":"Train ID","value":"239-22"},{"id":16,"name":"Locomotive ID","value":"4031"},{"id":130,"name":"Impact","value":""},{"id":150,"name":"Time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600</v>
      </c>
      <c r="B151" s="7">
        <v>4032</v>
      </c>
      <c r="C151" s="24" t="s">
        <v>106</v>
      </c>
      <c r="D151" s="24" t="s">
        <v>315</v>
      </c>
      <c r="E151" s="15">
        <v>42636.014085648145</v>
      </c>
      <c r="F151" s="15">
        <v>42636.018321759257</v>
      </c>
      <c r="G151" s="7">
        <v>1</v>
      </c>
      <c r="H151" s="15" t="s">
        <v>258</v>
      </c>
      <c r="I151" s="15">
        <v>42636.044490740744</v>
      </c>
      <c r="J151" s="7">
        <v>0</v>
      </c>
      <c r="K151" s="121" t="str">
        <f t="shared" si="56"/>
        <v>4031/4032</v>
      </c>
      <c r="L151" s="24" t="str">
        <f>VLOOKUP(A151,'Trips&amp;Operators'!$C$1:$E$10000,3,FALSE)</f>
        <v>COOLAHAN</v>
      </c>
      <c r="M151" s="6">
        <f t="shared" si="57"/>
        <v>2.6168981486989651E-2</v>
      </c>
      <c r="N151" s="7">
        <f t="shared" si="51"/>
        <v>37.683333341265097</v>
      </c>
      <c r="O151" s="7"/>
      <c r="P151" s="7"/>
      <c r="Q151" s="25"/>
      <c r="R151" s="25"/>
      <c r="S151" s="37">
        <f t="shared" si="52"/>
        <v>1</v>
      </c>
      <c r="T151" s="52" t="str">
        <f t="shared" si="58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23:20:17-0600',mode:absolute,to:'2016-09-23 02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1" s="54" t="str">
        <f t="shared" si="60"/>
        <v>N</v>
      </c>
      <c r="X151" s="168">
        <f t="shared" si="68"/>
        <v>1</v>
      </c>
      <c r="Y151" s="69">
        <f t="shared" si="61"/>
        <v>23.299099999999999</v>
      </c>
      <c r="Z151" s="69">
        <f t="shared" si="62"/>
        <v>1.5599999999999999E-2</v>
      </c>
      <c r="AA151" s="69">
        <f t="shared" si="63"/>
        <v>23.2835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64"/>
        <v>0240-22</v>
      </c>
      <c r="AE151" s="99" t="str">
        <f t="shared" si="65"/>
        <v>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 &amp; aws s3 cp s3://rtdc.mdm.uploadarchive/RTDC4032/2016-09-24/ "%USERPROFILE%\AppData\Local\Temp\OnboardLogs"\RTDC4032\2016-09-24 --recursive &amp; "%USERPROFILE%\Documents\GitHub\mrs-test-scripts\Headless Mode &amp; Sideloading\WalkAndUnGZ.bat" "%USERPROFILE%\AppData\Local\Temp\OnboardLogs"\RTDC4032\2016-09-24</v>
      </c>
      <c r="AF151" s="96" t="str">
        <f t="shared" si="66"/>
        <v>"C:\Program Files (x86)\AstroGrep\AstroGrep.exe" /spath="%USERPROFILE%\AppData\Local\Temp\OnboardLogs" /stypes="app*4032*20160923*" /stext=" 07:.+((SYSTEM_STATE.+slice.+state.+changed )|(ment ac)|(system.+state.+changed )|(\|lc)|(penalty)|(\[timeout)|(PRM\|1\|D)|(kpr)|(kdp))" /e /r /s</v>
      </c>
      <c r="AG151" s="1" t="str">
        <f t="shared" si="67"/>
        <v>EC</v>
      </c>
      <c r="AH151" s="100" t="str">
        <f t="shared" si="54"/>
        <v>"%USERPROFILE%\Documents\GitHub\eaglep3\Utilities\RefineRTDCRunTimes.py" --tripid 240-22 --locoid 4032 --swversion DE.1.0.7.0 --startMP 204:232991 --initTime 2016-09-23T00:20:17 --startdatetime 2016-09-23T00:26:23 --delay 1 --endMP 204:156 --enddatetime 2016-09-23T01:04:04 --enforcementcount 0 &gt;&gt;C:\Users\stu\Documents\GitHub\eaglep3-reporting\EC\2016-09-22-refined-times.txt</v>
      </c>
      <c r="AI151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{"issue":{"subject":"","project_id":79,"tracker_id":40,"status_id":1,"priority_id":2,"assigned_to_id":23,"start_date":"2016-09-23","description":"","custom_fields":[{"id":1,"name":"Subdivision","value":"EC"},{"id":4,"name":"Milepost","value":"0.0156"},{"id":17,"name":"Train ID","value":"240-22"},{"id":16,"name":"Locomotive ID","value":"4032"},{"id":130,"name":"Impact","value":""},{"id":150,"name":"Time of Event (Mountain Time)","value":"01:04:04"},{"id":151,"name":"Denver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598</v>
      </c>
      <c r="B152" s="7">
        <v>4014</v>
      </c>
      <c r="C152" s="24" t="s">
        <v>106</v>
      </c>
      <c r="D152" s="24" t="s">
        <v>243</v>
      </c>
      <c r="E152" s="15">
        <v>42635.995173611111</v>
      </c>
      <c r="F152" s="15">
        <v>42636.000162037039</v>
      </c>
      <c r="G152" s="7">
        <v>1</v>
      </c>
      <c r="H152" s="15" t="s">
        <v>291</v>
      </c>
      <c r="I152" s="15">
        <v>42636.024513888886</v>
      </c>
      <c r="J152" s="7">
        <v>0</v>
      </c>
      <c r="K152" s="121" t="str">
        <f t="shared" si="56"/>
        <v>4013/4014</v>
      </c>
      <c r="L152" s="24" t="str">
        <f>VLOOKUP(A152,'Trips&amp;Operators'!$C$1:$E$10000,3,FALSE)</f>
        <v>LEVIN</v>
      </c>
      <c r="M152" s="6">
        <f t="shared" si="57"/>
        <v>2.435185184731381E-2</v>
      </c>
      <c r="N152" s="7">
        <f t="shared" si="51"/>
        <v>35.066666660131887</v>
      </c>
      <c r="O152" s="7"/>
      <c r="P152" s="7"/>
      <c r="Q152" s="25"/>
      <c r="R152" s="25"/>
      <c r="S152" s="37">
        <f t="shared" si="52"/>
        <v>1</v>
      </c>
      <c r="T152" s="52" t="str">
        <f t="shared" si="58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22:53:03-0600',mode:absolute,to:'2016-09-23 01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2" s="54" t="str">
        <f t="shared" si="60"/>
        <v>N</v>
      </c>
      <c r="X152" s="168">
        <f t="shared" si="68"/>
        <v>1</v>
      </c>
      <c r="Y152" s="69">
        <f t="shared" si="61"/>
        <v>4.3700000000000003E-2</v>
      </c>
      <c r="Z152" s="69">
        <f t="shared" si="62"/>
        <v>23.331199999999999</v>
      </c>
      <c r="AA152" s="69">
        <f t="shared" si="63"/>
        <v>23.287499999999998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64"/>
        <v>0241-22</v>
      </c>
      <c r="AE152" s="99" t="str">
        <f t="shared" si="65"/>
        <v>aws s3 cp s3://rtdc.mdm.uploadarchive/RTDC4014/2016-09-23/ "%USERPROFILE%\AppData\Local\Temp\OnboardLogs"\RTDC4014\2016-09-23 --recursive &amp; "%USERPROFILE%\Documents\GitHub\mrs-test-scripts\Headless Mode &amp; Sideloading\WalkAndUnGZ.bat" "%USERPROFILE%\AppData\Local\Temp\OnboardLogs"\RTDC4014\2016-09-23 &amp; 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</v>
      </c>
      <c r="AF152" s="96" t="str">
        <f t="shared" si="66"/>
        <v>"C:\Program Files (x86)\AstroGrep\AstroGrep.exe" /spath="%USERPROFILE%\AppData\Local\Temp\OnboardLogs" /stypes="app*4014*20160923*" /stext=" 06:.+((SYSTEM_STATE.+slice.+state.+changed )|(ment ac)|(system.+state.+changed )|(\|lc)|(penalty)|(\[timeout)|(PRM\|1\|D)|(kpr)|(kdp))" /e /r /s</v>
      </c>
      <c r="AG152" s="1" t="str">
        <f t="shared" si="67"/>
        <v>EC</v>
      </c>
      <c r="AH152" s="100" t="str">
        <f t="shared" si="54"/>
        <v>"%USERPROFILE%\Documents\GitHub\eaglep3\Utilities\RefineRTDCRunTimes.py" --tripid 241-22 --locoid 4014 --swversion DE.1.0.7.0 --startMP 204:437 --initTime 2016-09-22T23:53:03 --startdatetime 2016-09-23T00:00:14 --delay 1 --endMP 204:233312 --enddatetime 2016-09-23T00:35:18 --enforcementcount 0 &gt;&gt;C:\Users\stu\Documents\GitHub\eaglep3-reporting\EC\2016-09-22-refined-times.txt</v>
      </c>
      <c r="AI152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{"issue":{"subject":"","project_id":79,"tracker_id":40,"status_id":1,"priority_id":2,"assigned_to_id":23,"start_date":"2016-09-23","description":"","custom_fields":[{"id":1,"name":"Subdivision","value":"EC"},{"id":4,"name":"Milepost","value":"23.3312"},{"id":17,"name":"Train ID","value":"241-22"},{"id":16,"name":"Locomotive ID","value":"4014"},{"id":130,"name":"Impact","value":""},{"id":150,"name":"Time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602</v>
      </c>
      <c r="B153" s="7">
        <v>4013</v>
      </c>
      <c r="C153" s="24" t="s">
        <v>106</v>
      </c>
      <c r="D153" s="24" t="s">
        <v>372</v>
      </c>
      <c r="E153" s="15">
        <v>42636.032997685186</v>
      </c>
      <c r="F153" s="15">
        <v>42636.039050925923</v>
      </c>
      <c r="G153" s="7">
        <v>1</v>
      </c>
      <c r="H153" s="15" t="s">
        <v>234</v>
      </c>
      <c r="I153" s="15">
        <v>42636.065081018518</v>
      </c>
      <c r="J153" s="7">
        <v>0</v>
      </c>
      <c r="K153" s="121" t="str">
        <f t="shared" si="56"/>
        <v>4013/4014</v>
      </c>
      <c r="L153" s="24" t="str">
        <f>VLOOKUP(A153,'Trips&amp;Operators'!$C$1:$E$10000,3,FALSE)</f>
        <v>LEVIN</v>
      </c>
      <c r="M153" s="6">
        <f t="shared" si="57"/>
        <v>2.6030092594737653E-2</v>
      </c>
      <c r="N153" s="7">
        <f t="shared" ref="N153:N163" si="69">24*60*SUM($M153:$M153)</f>
        <v>37.48333333642222</v>
      </c>
      <c r="O153" s="7"/>
      <c r="P153" s="7"/>
      <c r="Q153" s="25"/>
      <c r="R153" s="25"/>
      <c r="S153" s="37">
        <f t="shared" ref="S153:S163" si="70">SUM(U153:U153)/IF(AG153="EC",12,1)</f>
        <v>1</v>
      </c>
      <c r="T153" s="52" t="str">
        <f t="shared" si="58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23:47:31-0600',mode:absolute,to:'2016-09-23 02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3" s="54" t="str">
        <f t="shared" si="60"/>
        <v>N</v>
      </c>
      <c r="X153" s="168">
        <f t="shared" si="68"/>
        <v>1</v>
      </c>
      <c r="Y153" s="69">
        <f t="shared" si="61"/>
        <v>23.300799999999999</v>
      </c>
      <c r="Z153" s="69">
        <f t="shared" si="62"/>
        <v>1.38E-2</v>
      </c>
      <c r="AA153" s="69">
        <f t="shared" si="63"/>
        <v>23.286999999999999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64"/>
        <v>0242-22</v>
      </c>
      <c r="AE153" s="99" t="str">
        <f t="shared" si="65"/>
        <v>aws s3 cp s3://rtdc.mdm.uploadarchive/RTDC4013/2016-09-23/ "%USERPROFILE%\AppData\Local\Temp\OnboardLogs"\RTDC4013\2016-09-23 --recursive &amp; "%USERPROFILE%\Documents\GitHub\mrs-test-scripts\Headless Mode &amp; Sideloading\WalkAndUnGZ.bat" "%USERPROFILE%\AppData\Local\Temp\OnboardLogs"\RTDC4013\2016-09-23 &amp; 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</v>
      </c>
      <c r="AF153" s="96" t="str">
        <f t="shared" si="66"/>
        <v>"C:\Program Files (x86)\AstroGrep\AstroGrep.exe" /spath="%USERPROFILE%\AppData\Local\Temp\OnboardLogs" /stypes="app*4013*20160923*" /stext=" 07:.+((SYSTEM_STATE.+slice.+state.+changed )|(ment ac)|(system.+state.+changed )|(\|lc)|(penalty)|(\[timeout)|(PRM\|1\|D)|(kpr)|(kdp))" /e /r /s</v>
      </c>
      <c r="AG153" s="1" t="str">
        <f t="shared" si="67"/>
        <v>EC</v>
      </c>
      <c r="AH153" s="100" t="str">
        <f t="shared" si="54"/>
        <v>"%USERPROFILE%\Documents\GitHub\eaglep3\Utilities\RefineRTDCRunTimes.py" --tripid 242-22 --locoid 4013 --swversion DE.1.0.7.0 --startMP 204:233008 --initTime 2016-09-23T00:47:31 --startdatetime 2016-09-23T00:56:14 --delay 1 --endMP 204:138 --enddatetime 2016-09-23T01:33:43 --enforcementcount 0 &gt;&gt;C:\Users\stu\Documents\GitHub\eaglep3-reporting\EC\2016-09-22-refined-times.txt</v>
      </c>
      <c r="AI153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{"issue":{"subject":"","project_id":79,"tracker_id":40,"status_id":1,"priority_id":2,"assigned_to_id":23,"start_date":"2016-09-23","description":"","custom_fields":[{"id":1,"name":"Subdivision","value":"EC"},{"id":4,"name":"Milepost","value":"0.0138"},{"id":17,"name":"Train ID","value":"242-22"},{"id":16,"name":"Locomotive ID","value":"4013"},{"id":130,"name":"Impact","value":""},{"id":150,"name":"Time of Event (Mountain Time)","value":"01:33:43"},{"id":151,"name":"Denver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599</v>
      </c>
      <c r="B154" s="7">
        <v>4053</v>
      </c>
      <c r="C154" s="24" t="s">
        <v>106</v>
      </c>
      <c r="D154" s="24" t="s">
        <v>633</v>
      </c>
      <c r="E154" s="15">
        <v>42636.012986111113</v>
      </c>
      <c r="F154" s="15">
        <v>42636.02107638889</v>
      </c>
      <c r="G154" s="7">
        <v>1</v>
      </c>
      <c r="H154" s="15" t="s">
        <v>631</v>
      </c>
      <c r="I154" s="15">
        <v>42636.046701388892</v>
      </c>
      <c r="J154" s="7">
        <v>0</v>
      </c>
      <c r="K154" s="121" t="str">
        <f t="shared" si="56"/>
        <v>4053/4054</v>
      </c>
      <c r="L154" s="24" t="str">
        <f>VLOOKUP(A154,'Trips&amp;Operators'!$C$1:$E$10000,3,FALSE)</f>
        <v>STURGEON</v>
      </c>
      <c r="M154" s="6">
        <f t="shared" si="57"/>
        <v>2.5625000002037268E-2</v>
      </c>
      <c r="N154" s="7">
        <f t="shared" si="69"/>
        <v>36.900000002933666</v>
      </c>
      <c r="O154" s="7"/>
      <c r="P154" s="7"/>
      <c r="Q154" s="25"/>
      <c r="R154" s="25"/>
      <c r="S154" s="37">
        <f t="shared" si="70"/>
        <v>1</v>
      </c>
      <c r="T154" s="52" t="str">
        <f t="shared" si="58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23:18:42-0600',mode:absolute,to:'2016-09-23 02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4" s="54" t="str">
        <f t="shared" si="60"/>
        <v>N</v>
      </c>
      <c r="X154" s="168">
        <f t="shared" si="68"/>
        <v>1</v>
      </c>
      <c r="Y154" s="69">
        <f t="shared" si="61"/>
        <v>4.7800000000000002E-2</v>
      </c>
      <c r="Z154" s="69">
        <f t="shared" si="62"/>
        <v>23.331</v>
      </c>
      <c r="AA154" s="69">
        <f t="shared" si="63"/>
        <v>23.283200000000001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64"/>
        <v>0243-22</v>
      </c>
      <c r="AE154" s="99" t="str">
        <f t="shared" si="65"/>
        <v>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 &amp; 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</v>
      </c>
      <c r="AF154" s="96" t="str">
        <f t="shared" si="66"/>
        <v>"C:\Program Files (x86)\AstroGrep\AstroGrep.exe" /spath="%USERPROFILE%\AppData\Local\Temp\OnboardLogs" /stypes="app*4053*20160923*" /stext=" 07:.+((SYSTEM_STATE.+slice.+state.+changed )|(ment ac)|(system.+state.+changed )|(\|lc)|(penalty)|(\[timeout)|(PRM\|1\|D)|(kpr)|(kdp))" /e /r /s</v>
      </c>
      <c r="AG154" s="1" t="str">
        <f t="shared" si="67"/>
        <v>EC</v>
      </c>
      <c r="AH154" s="100" t="str">
        <f t="shared" si="54"/>
        <v>"%USERPROFILE%\Documents\GitHub\eaglep3\Utilities\RefineRTDCRunTimes.py" --tripid 243-22 --locoid 4053 --swversion DE.1.0.7.0 --startMP 204:478 --initTime 2016-09-23T00:18:42 --startdatetime 2016-09-23T00:30:21 --delay 1 --endMP 204:233310 --enddatetime 2016-09-23T01:07:15 --enforcementcount 0 &gt;&gt;C:\Users\stu\Documents\GitHub\eaglep3-reporting\EC\2016-09-22-refined-times.txt</v>
      </c>
      <c r="AI154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{"issue":{"subject":"","project_id":79,"tracker_id":40,"status_id":1,"priority_id":2,"assigned_to_id":23,"start_date":"2016-09-23","description":"","custom_fields":[{"id":1,"name":"Subdivision","value":"EC"},{"id":4,"name":"Milepost","value":"23.331"},{"id":17,"name":"Train ID","value":"243-22"},{"id":16,"name":"Locomotive ID","value":"4053"},{"id":130,"name":"Impact","value":""},{"id":150,"name":"Time of Event (Mountain Time)","value":"01:07:15"},{"id":151,"name":"Denver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604</v>
      </c>
      <c r="B155" s="7">
        <v>4054</v>
      </c>
      <c r="C155" s="24" t="s">
        <v>106</v>
      </c>
      <c r="D155" s="24" t="s">
        <v>311</v>
      </c>
      <c r="E155" s="15">
        <v>42636.049108796295</v>
      </c>
      <c r="F155" s="15">
        <v>42636.06009259259</v>
      </c>
      <c r="G155" s="7">
        <v>2</v>
      </c>
      <c r="H155" s="15" t="s">
        <v>669</v>
      </c>
      <c r="I155" s="15">
        <v>42636.087083333332</v>
      </c>
      <c r="J155" s="7">
        <v>0</v>
      </c>
      <c r="K155" s="121" t="str">
        <f t="shared" si="56"/>
        <v>4053/4054</v>
      </c>
      <c r="L155" s="24" t="str">
        <f>VLOOKUP(A155,'Trips&amp;Operators'!$C$1:$E$10000,3,FALSE)</f>
        <v>STURGEON</v>
      </c>
      <c r="M155" s="6">
        <f t="shared" si="57"/>
        <v>2.6990740741894115E-2</v>
      </c>
      <c r="N155" s="7">
        <f t="shared" si="69"/>
        <v>38.866666668327525</v>
      </c>
      <c r="O155" s="7"/>
      <c r="P155" s="7"/>
      <c r="Q155" s="25"/>
      <c r="R155" s="25"/>
      <c r="S155" s="37">
        <f t="shared" si="70"/>
        <v>1</v>
      </c>
      <c r="T155" s="52" t="str">
        <f t="shared" si="58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https://search-rtdc-monitor-bjffxe2xuh6vdkpspy63sjmuny.us-east-1.es.amazonaws.com/_plugin/kibana/#/discover/Steve-Slow-Train-Analysis-(2080s-and-2083s)?_g=(refreshInterval:(display:Off,section:0,value:0),time:(from:'2016-09-23 00:10:43-0600',mode:absolute,to:'2016-09-23 03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5" s="54" t="str">
        <f t="shared" si="60"/>
        <v>N</v>
      </c>
      <c r="X155" s="168">
        <f t="shared" si="68"/>
        <v>1</v>
      </c>
      <c r="Y155" s="69">
        <f t="shared" si="61"/>
        <v>23.299800000000001</v>
      </c>
      <c r="Z155" s="69">
        <f t="shared" si="62"/>
        <v>2.18E-2</v>
      </c>
      <c r="AA155" s="69">
        <f t="shared" si="63"/>
        <v>23.278000000000002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64"/>
        <v>0244-22</v>
      </c>
      <c r="AE155" s="99" t="str">
        <f t="shared" si="65"/>
        <v>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 &amp; 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</v>
      </c>
      <c r="AF155" s="96" t="str">
        <f t="shared" si="66"/>
        <v>"C:\Program Files (x86)\AstroGrep\AstroGrep.exe" /spath="%USERPROFILE%\AppData\Local\Temp\OnboardLogs" /stypes="app*4054*20160923*" /stext=" 08:.+((SYSTEM_STATE.+slice.+state.+changed )|(ment ac)|(system.+state.+changed )|(\|lc)|(penalty)|(\[timeout)|(PRM\|1\|D)|(kpr)|(kdp))" /e /r /s</v>
      </c>
      <c r="AG155" s="1" t="str">
        <f t="shared" si="67"/>
        <v>EC</v>
      </c>
      <c r="AH155" s="100" t="str">
        <f t="shared" si="54"/>
        <v>"%USERPROFILE%\Documents\GitHub\eaglep3\Utilities\RefineRTDCRunTimes.py" --tripid 244-22 --locoid 4054 --swversion DE.1.0.7.0 --startMP 204:232998 --initTime 2016-09-23T01:10:43 --startdatetime 2016-09-23T01:26:32 --delay 2 --endMP 204:218 --enddatetime 2016-09-23T02:05:24 --enforcementcount 0 &gt;&gt;C:\Users\stu\Documents\GitHub\eaglep3-reporting\EC\2016-09-22-refined-times.txt</v>
      </c>
      <c r="AI155" s="134" t="str">
        <f t="shared" si="55"/>
        <v>echo {"issue":{"subject":"","project_id":79,"tracker_id":40,"status_id":1,"priority_id":2,"assigned_to_id":23,"start_date":"2016-09-23","description":"","custom_fields":[{"id":1,"name":"Subdivision","value":"EC"},{"id":4,"name":"Milepost","value":"0.0218"},{"id":17,"name":"Train ID","value":"244-22"},{"id":16,"name":"Locomotive ID","value":"4054"},{"id":130,"name":"Impact","value":""},{"id":150,"name":"Time of Event (Mountain Time)","value":"02:05:24"},{"id":151,"name":"Denver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399</v>
      </c>
      <c r="B156" s="7">
        <v>4012</v>
      </c>
      <c r="C156" s="24" t="s">
        <v>106</v>
      </c>
      <c r="D156" s="24" t="s">
        <v>327</v>
      </c>
      <c r="E156" s="15">
        <v>42635.208935185183</v>
      </c>
      <c r="F156" s="15">
        <v>42635.214236111111</v>
      </c>
      <c r="G156" s="7">
        <v>1</v>
      </c>
      <c r="H156" s="15" t="s">
        <v>689</v>
      </c>
      <c r="I156" s="15">
        <v>42635.225173611114</v>
      </c>
      <c r="J156" s="7">
        <v>0</v>
      </c>
      <c r="K156" s="121" t="str">
        <f t="shared" si="56"/>
        <v>4011/4012</v>
      </c>
      <c r="L156" s="24" t="str">
        <f>VLOOKUP(A156,'Trips&amp;Operators'!$C$1:$E$10000,3,FALSE)</f>
        <v>YORK</v>
      </c>
      <c r="M156" s="6">
        <f t="shared" si="57"/>
        <v>1.0937500002910383E-2</v>
      </c>
      <c r="N156" s="7">
        <f t="shared" si="69"/>
        <v>15.750000004190952</v>
      </c>
      <c r="O156" s="7"/>
      <c r="P156" s="7"/>
      <c r="Q156" s="25"/>
      <c r="R156" s="25"/>
      <c r="S156" s="37">
        <f t="shared" si="70"/>
        <v>1</v>
      </c>
      <c r="T156" s="52" t="str">
        <f t="shared" si="58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04:00:52-0600',mode:absolute,to:'2016-09-22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6" s="54" t="str">
        <f t="shared" si="60"/>
        <v>N</v>
      </c>
      <c r="X156" s="168">
        <f t="shared" si="68"/>
        <v>556</v>
      </c>
      <c r="Y156" s="69">
        <f t="shared" si="61"/>
        <v>5.8634000000000004</v>
      </c>
      <c r="Z156" s="69">
        <f t="shared" si="62"/>
        <v>8.1000000000000003E-2</v>
      </c>
      <c r="AA156" s="69">
        <f t="shared" si="63"/>
        <v>5.7824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64"/>
        <v>0800-22</v>
      </c>
      <c r="AE156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56" s="96" t="str">
        <f t="shared" si="66"/>
        <v>"C:\Program Files (x86)\AstroGrep\AstroGrep.exe" /spath="%USERPROFILE%\AppData\Local\Temp\OnboardLogs" /stypes="app*4012*20160922*" /stext=" 11:.+((SYSTEM_STATE.+slice.+state.+changed )|(ment ac)|(system.+state.+changed )|(\|lc)|(penalty)|(\[timeout)|(PRM\|1\|D)|(kpr)|(kdp))" /e /r /s</v>
      </c>
      <c r="AG156" s="1" t="str">
        <f t="shared" si="67"/>
        <v>NW</v>
      </c>
      <c r="AH156" s="100" t="str">
        <f t="shared" si="54"/>
        <v>"%USERPROFILE%\Documents\GitHub\eaglep3\Utilities\RefineRTDCRunTimes.py" --tripid 800-22 --locoid 4012 --swversion DE.1.0.7.0 --startMP 300:58634 --initTime 2016-09-22T05:00:52 --startdatetime 2016-09-22T05:08:30 --delay 1 --endMP 204:810 --enddatetime 2016-09-22T05:24:15 --enforcementcount 0 &gt;&gt;C:\Users\stu\Documents\GitHub\eaglep3-reporting\EC\2016-09-22-refined-times.txt</v>
      </c>
      <c r="AI156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{"issue":{"subject":"","project_id":79,"tracker_id":40,"status_id":1,"priority_id":2,"assigned_to_id":23,"start_date":"2016-09-22","description":"","custom_fields":[{"id":1,"name":"Subdivision","value":"NW"},{"id":4,"name":"Milepost","value":"0.081"},{"id":17,"name":"Train ID","value":"800-22"},{"id":16,"name":"Locomotive ID","value":"4012"},{"id":130,"name":"Impact","value":""},{"id":150,"name":"Time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404</v>
      </c>
      <c r="B157" s="7">
        <v>4011</v>
      </c>
      <c r="C157" s="24" t="s">
        <v>106</v>
      </c>
      <c r="D157" s="24" t="s">
        <v>690</v>
      </c>
      <c r="E157" s="15">
        <v>42635.227476851855</v>
      </c>
      <c r="F157" s="15">
        <v>42635.243946759256</v>
      </c>
      <c r="G157" s="7">
        <v>1</v>
      </c>
      <c r="H157" s="15" t="s">
        <v>691</v>
      </c>
      <c r="I157" s="15">
        <v>42635.25304398148</v>
      </c>
      <c r="J157" s="7">
        <v>0</v>
      </c>
      <c r="K157" s="121" t="str">
        <f t="shared" si="56"/>
        <v>4011/4012</v>
      </c>
      <c r="L157" s="24" t="str">
        <f>VLOOKUP(A157,'Trips&amp;Operators'!$C$1:$E$10000,3,FALSE)</f>
        <v>YORK</v>
      </c>
      <c r="M157" s="6">
        <f t="shared" si="57"/>
        <v>9.0972222242271528E-3</v>
      </c>
      <c r="N157" s="7">
        <f t="shared" si="69"/>
        <v>13.1000000028871</v>
      </c>
      <c r="O157" s="7"/>
      <c r="P157" s="7"/>
      <c r="Q157" s="25"/>
      <c r="R157" s="25"/>
      <c r="S157" s="37">
        <f t="shared" si="70"/>
        <v>1</v>
      </c>
      <c r="T157" s="52" t="str">
        <f t="shared" si="58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04:27:34-0600',mode:absolute,to:'2016-09-22 07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7" s="54" t="str">
        <f t="shared" si="60"/>
        <v>N</v>
      </c>
      <c r="X157" s="168">
        <f t="shared" si="68"/>
        <v>1</v>
      </c>
      <c r="Y157" s="69">
        <f t="shared" si="61"/>
        <v>0.11070000000000001</v>
      </c>
      <c r="Z157" s="69">
        <f t="shared" si="62"/>
        <v>5.8071000000000002</v>
      </c>
      <c r="AA157" s="69">
        <f t="shared" si="63"/>
        <v>5.6964000000000006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64"/>
        <v>0801-22</v>
      </c>
      <c r="AE157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57" s="96" t="str">
        <f t="shared" si="66"/>
        <v>"C:\Program Files (x86)\AstroGrep\AstroGrep.exe" /spath="%USERPROFILE%\AppData\Local\Temp\OnboardLogs" /stypes="app*4011*20160922*" /stext=" 12:.+((SYSTEM_STATE.+slice.+state.+changed )|(ment ac)|(system.+state.+changed )|(\|lc)|(penalty)|(\[timeout)|(PRM\|1\|D)|(kpr)|(kdp))" /e /r /s</v>
      </c>
      <c r="AG157" s="1" t="str">
        <f t="shared" si="67"/>
        <v>NW</v>
      </c>
      <c r="AH157" s="100" t="str">
        <f t="shared" si="54"/>
        <v>"%USERPROFILE%\Documents\GitHub\eaglep3\Utilities\RefineRTDCRunTimes.py" --tripid 801-22 --locoid 4011 --swversion DE.1.0.7.0 --startMP 204:1107 --initTime 2016-09-22T05:27:34 --startdatetime 2016-09-22T05:51:17 --delay 1 --endMP 300:58071 --enddatetime 2016-09-22T06:04:23 --enforcementcount 0 &gt;&gt;C:\Users\stu\Documents\GitHub\eaglep3-reporting\EC\2016-09-22-refined-times.txt</v>
      </c>
      <c r="AI157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{"issue":{"subject":"","project_id":79,"tracker_id":40,"status_id":1,"priority_id":2,"assigned_to_id":23,"start_date":"2016-09-22","description":"","custom_fields":[{"id":1,"name":"Subdivision","value":"NW"},{"id":4,"name":"Milepost","value":"5.8071"},{"id":17,"name":"Train ID","value":"801-22"},{"id":16,"name":"Locomotive ID","value":"4011"},{"id":130,"name":"Impact","value":""},{"id":150,"name":"Time of Event (Mountain Time)","value":"06:04:23"},{"id":151,"name":"Denver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413</v>
      </c>
      <c r="B158" s="7">
        <v>4012</v>
      </c>
      <c r="C158" s="24" t="s">
        <v>106</v>
      </c>
      <c r="D158" s="24" t="s">
        <v>692</v>
      </c>
      <c r="E158" s="15">
        <v>42635.254317129627</v>
      </c>
      <c r="F158" s="15">
        <v>42635.256076388891</v>
      </c>
      <c r="G158" s="7">
        <v>1</v>
      </c>
      <c r="H158" s="15" t="s">
        <v>693</v>
      </c>
      <c r="I158" s="15">
        <v>42635.267442129632</v>
      </c>
      <c r="J158" s="7">
        <v>0</v>
      </c>
      <c r="K158" s="121" t="str">
        <f t="shared" si="56"/>
        <v>4011/4012</v>
      </c>
      <c r="L158" s="24" t="str">
        <f>VLOOKUP(A158,'Trips&amp;Operators'!$C$1:$E$10000,3,FALSE)</f>
        <v>YORK</v>
      </c>
      <c r="M158" s="6">
        <f t="shared" si="57"/>
        <v>1.1365740741894115E-2</v>
      </c>
      <c r="N158" s="7">
        <f t="shared" si="69"/>
        <v>16.366666668327525</v>
      </c>
      <c r="O158" s="7"/>
      <c r="P158" s="7"/>
      <c r="Q158" s="25"/>
      <c r="R158" s="25"/>
      <c r="S158" s="37">
        <f t="shared" si="70"/>
        <v>1</v>
      </c>
      <c r="T158" s="52" t="str">
        <f t="shared" si="58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05:06:13-0600',mode:absolute,to:'2016-09-22 07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8" s="54" t="str">
        <f t="shared" si="60"/>
        <v>N</v>
      </c>
      <c r="X158" s="168">
        <f t="shared" si="68"/>
        <v>1</v>
      </c>
      <c r="Y158" s="69">
        <f t="shared" si="61"/>
        <v>5.8589000000000002</v>
      </c>
      <c r="Z158" s="69">
        <f t="shared" si="62"/>
        <v>7.7499999999999999E-2</v>
      </c>
      <c r="AA158" s="69">
        <f t="shared" si="63"/>
        <v>5.7814000000000005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64"/>
        <v>0802-22</v>
      </c>
      <c r="AE158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58" s="96" t="str">
        <f t="shared" si="66"/>
        <v>"C:\Program Files (x86)\AstroGrep\AstroGrep.exe" /spath="%USERPROFILE%\AppData\Local\Temp\OnboardLogs" /stypes="app*4012*20160922*" /stext=" 12:.+((SYSTEM_STATE.+slice.+state.+changed )|(ment ac)|(system.+state.+changed )|(\|lc)|(penalty)|(\[timeout)|(PRM\|1\|D)|(kpr)|(kdp))" /e /r /s</v>
      </c>
      <c r="AG158" s="1" t="str">
        <f t="shared" si="67"/>
        <v>NW</v>
      </c>
      <c r="AH158" s="100" t="str">
        <f t="shared" si="54"/>
        <v>"%USERPROFILE%\Documents\GitHub\eaglep3\Utilities\RefineRTDCRunTimes.py" --tripid 802-22 --locoid 4012 --swversion DE.1.0.7.0 --startMP 300:58589 --initTime 2016-09-22T06:06:13 --startdatetime 2016-09-22T06:08:45 --delay 1 --endMP 204:775 --enddatetime 2016-09-22T06:25:07 --enforcementcount 0 &gt;&gt;C:\Users\stu\Documents\GitHub\eaglep3-reporting\EC\2016-09-22-refined-times.txt</v>
      </c>
      <c r="AI158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{"issue":{"subject":"","project_id":79,"tracker_id":40,"status_id":1,"priority_id":2,"assigned_to_id":23,"start_date":"2016-09-22","description":"","custom_fields":[{"id":1,"name":"Subdivision","value":"NW"},{"id":4,"name":"Milepost","value":"0.0775"},{"id":17,"name":"Train ID","value":"802-22"},{"id":16,"name":"Locomotive ID","value":"4012"},{"id":130,"name":"Impact","value":""},{"id":150,"name":"Time of Event (Mountain Time)","value":"06:25:07"},{"id":151,"name":"Denver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415</v>
      </c>
      <c r="B159" s="7">
        <v>4025</v>
      </c>
      <c r="C159" s="24" t="s">
        <v>106</v>
      </c>
      <c r="D159" s="24" t="s">
        <v>694</v>
      </c>
      <c r="E159" s="15">
        <v>42635.2575</v>
      </c>
      <c r="F159" s="15">
        <v>42635.264756944445</v>
      </c>
      <c r="G159" s="7">
        <v>2</v>
      </c>
      <c r="H159" s="15" t="s">
        <v>382</v>
      </c>
      <c r="I159" s="15">
        <v>42635.274641203701</v>
      </c>
      <c r="J159" s="7">
        <v>0</v>
      </c>
      <c r="K159" s="121" t="str">
        <f t="shared" si="56"/>
        <v>4025/4026</v>
      </c>
      <c r="L159" s="24" t="str">
        <f>VLOOKUP(A159,'Trips&amp;Operators'!$C$1:$E$10000,3,FALSE)</f>
        <v>GEBRETEKLE</v>
      </c>
      <c r="M159" s="6">
        <f t="shared" si="57"/>
        <v>9.8842592560686171E-3</v>
      </c>
      <c r="N159" s="7">
        <f t="shared" si="69"/>
        <v>14.233333328738809</v>
      </c>
      <c r="O159" s="7"/>
      <c r="P159" s="7"/>
      <c r="Q159" s="25"/>
      <c r="R159" s="25"/>
      <c r="S159" s="37">
        <f t="shared" si="70"/>
        <v>1</v>
      </c>
      <c r="T159" s="52" t="str">
        <f t="shared" si="58"/>
        <v>NorthBound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05:10:48-0600',mode:absolute,to:'2016-09-22 07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9" s="54" t="str">
        <f t="shared" si="60"/>
        <v>N</v>
      </c>
      <c r="X159" s="168">
        <f t="shared" si="68"/>
        <v>1</v>
      </c>
      <c r="Y159" s="69">
        <f t="shared" si="61"/>
        <v>9.8299999999999998E-2</v>
      </c>
      <c r="Z159" s="69">
        <f t="shared" si="62"/>
        <v>5.8993000000000002</v>
      </c>
      <c r="AA159" s="69">
        <f t="shared" si="63"/>
        <v>5.8010000000000002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64"/>
        <v>0803-22</v>
      </c>
      <c r="AE159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59" s="96" t="str">
        <f t="shared" si="66"/>
        <v>"C:\Program Files (x86)\AstroGrep\AstroGrep.exe" /spath="%USERPROFILE%\AppData\Local\Temp\OnboardLogs" /stypes="app*4025*20160922*" /stext=" 12:.+((SYSTEM_STATE.+slice.+state.+changed )|(ment ac)|(system.+state.+changed )|(\|lc)|(penalty)|(\[timeout)|(PRM\|1\|D)|(kpr)|(kdp))" /e /r /s</v>
      </c>
      <c r="AG159" s="1" t="str">
        <f t="shared" si="67"/>
        <v>NW</v>
      </c>
      <c r="AH159" s="100" t="str">
        <f t="shared" si="54"/>
        <v>"%USERPROFILE%\Documents\GitHub\eaglep3\Utilities\RefineRTDCRunTimes.py" --tripid 803-22 --locoid 4025 --swversion DE.1.0.7.0 --startMP 204:983 --initTime 2016-09-22T06:10:48 --startdatetime 2016-09-22T06:21:15 --delay 2 --endMP 300:58993 --enddatetime 2016-09-22T06:35:29 --enforcementcount 0 &gt;&gt;C:\Users\stu\Documents\GitHub\eaglep3-reporting\EC\2016-09-22-refined-times.txt</v>
      </c>
      <c r="AI159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{"issue":{"subject":"","project_id":79,"tracker_id":40,"status_id":1,"priority_id":2,"assigned_to_id":23,"start_date":"2016-09-22","description":"","custom_fields":[{"id":1,"name":"Subdivision","value":"NW"},{"id":4,"name":"Milepost","value":"5.8993"},{"id":17,"name":"Train ID","value":"803-22"},{"id":16,"name":"Locomotive ID","value":"4025"},{"id":130,"name":"Impact","value":""},{"id":150,"name":"Time of Event (Mountain Time)","value":"06:35:29"},{"id":151,"name":"Denver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420</v>
      </c>
      <c r="B160" s="7">
        <v>4026</v>
      </c>
      <c r="C160" s="24" t="s">
        <v>106</v>
      </c>
      <c r="D160" s="24" t="s">
        <v>695</v>
      </c>
      <c r="E160" s="15">
        <v>42635.276076388887</v>
      </c>
      <c r="F160" s="15">
        <v>42635.278055555558</v>
      </c>
      <c r="G160" s="7">
        <v>2</v>
      </c>
      <c r="H160" s="15" t="s">
        <v>378</v>
      </c>
      <c r="I160" s="15">
        <v>42635.28875</v>
      </c>
      <c r="J160" s="7">
        <v>0</v>
      </c>
      <c r="K160" s="121" t="str">
        <f t="shared" si="56"/>
        <v>4025/4026</v>
      </c>
      <c r="L160" s="24" t="str">
        <f>VLOOKUP(A160,'Trips&amp;Operators'!$C$1:$E$10000,3,FALSE)</f>
        <v>GEBRETEKLE</v>
      </c>
      <c r="M160" s="6">
        <f t="shared" si="57"/>
        <v>1.0694444441469386E-2</v>
      </c>
      <c r="N160" s="7">
        <f t="shared" si="69"/>
        <v>15.399999995715916</v>
      </c>
      <c r="O160" s="7"/>
      <c r="P160" s="7"/>
      <c r="Q160" s="25"/>
      <c r="R160" s="25"/>
      <c r="S160" s="37">
        <f t="shared" si="70"/>
        <v>1</v>
      </c>
      <c r="T160" s="52" t="str">
        <f t="shared" si="58"/>
        <v>Southbound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05:37:33-0600',mode:absolute,to:'2016-09-22 07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0" s="54" t="str">
        <f t="shared" si="60"/>
        <v>N</v>
      </c>
      <c r="X160" s="168">
        <f t="shared" si="68"/>
        <v>1</v>
      </c>
      <c r="Y160" s="69">
        <f t="shared" si="61"/>
        <v>5.8685</v>
      </c>
      <c r="Z160" s="69">
        <f t="shared" si="62"/>
        <v>6.7299999999999999E-2</v>
      </c>
      <c r="AA160" s="69">
        <f t="shared" si="63"/>
        <v>5.8011999999999997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64"/>
        <v>0804-22</v>
      </c>
      <c r="AE160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60" s="96" t="str">
        <f t="shared" si="66"/>
        <v>"C:\Program Files (x86)\AstroGrep\AstroGrep.exe" /spath="%USERPROFILE%\AppData\Local\Temp\OnboardLogs" /stypes="app*4026*20160922*" /stext=" 12:.+((SYSTEM_STATE.+slice.+state.+changed )|(ment ac)|(system.+state.+changed )|(\|lc)|(penalty)|(\[timeout)|(PRM\|1\|D)|(kpr)|(kdp))" /e /r /s</v>
      </c>
      <c r="AG160" s="1" t="str">
        <f t="shared" si="67"/>
        <v>NW</v>
      </c>
      <c r="AH160" s="100" t="str">
        <f t="shared" si="54"/>
        <v>"%USERPROFILE%\Documents\GitHub\eaglep3\Utilities\RefineRTDCRunTimes.py" --tripid 804-22 --locoid 4026 --swversion DE.1.0.7.0 --startMP 300:58685 --initTime 2016-09-22T06:37:33 --startdatetime 2016-09-22T06:40:24 --delay 2 --endMP 204:673 --enddatetime 2016-09-22T06:55:48 --enforcementcount 0 &gt;&gt;C:\Users\stu\Documents\GitHub\eaglep3-reporting\EC\2016-09-22-refined-times.txt</v>
      </c>
      <c r="AI160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{"issue":{"subject":"","project_id":79,"tracker_id":40,"status_id":1,"priority_id":2,"assigned_to_id":23,"start_date":"2016-09-22","description":"","custom_fields":[{"id":1,"name":"Subdivision","value":"NW"},{"id":4,"name":"Milepost","value":"0.0673"},{"id":17,"name":"Train ID","value":"804-22"},{"id":16,"name":"Locomotive ID","value":"4026"},{"id":130,"name":"Impact","value":""},{"id":150,"name":"Time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418</v>
      </c>
      <c r="B161" s="7">
        <v>4011</v>
      </c>
      <c r="C161" s="24" t="s">
        <v>106</v>
      </c>
      <c r="D161" s="24" t="s">
        <v>696</v>
      </c>
      <c r="E161" s="15">
        <v>42635.270868055559</v>
      </c>
      <c r="F161" s="15">
        <v>42635.28565972222</v>
      </c>
      <c r="G161" s="7">
        <v>1</v>
      </c>
      <c r="H161" s="15" t="s">
        <v>697</v>
      </c>
      <c r="I161" s="15">
        <v>42635.295069444444</v>
      </c>
      <c r="J161" s="7">
        <v>0</v>
      </c>
      <c r="K161" s="121" t="str">
        <f t="shared" si="56"/>
        <v>4011/4012</v>
      </c>
      <c r="L161" s="24" t="str">
        <f>VLOOKUP(A161,'Trips&amp;Operators'!$C$1:$E$10000,3,FALSE)</f>
        <v>YORK</v>
      </c>
      <c r="M161" s="6">
        <f t="shared" si="57"/>
        <v>9.4097222245181911E-3</v>
      </c>
      <c r="N161" s="7">
        <f t="shared" si="69"/>
        <v>13.550000003306195</v>
      </c>
      <c r="O161" s="7"/>
      <c r="P161" s="7"/>
      <c r="Q161" s="25"/>
      <c r="R161" s="25"/>
      <c r="S161" s="37">
        <f t="shared" si="70"/>
        <v>1</v>
      </c>
      <c r="T161" s="52" t="str">
        <f t="shared" si="58"/>
        <v>NorthBound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05:30:03-0600',mode:absolute,to:'2016-09-22 08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1" s="54" t="str">
        <f t="shared" si="60"/>
        <v>N</v>
      </c>
      <c r="X161" s="168">
        <f t="shared" si="68"/>
        <v>1</v>
      </c>
      <c r="Y161" s="69">
        <f t="shared" si="61"/>
        <v>0.1062</v>
      </c>
      <c r="Z161" s="69">
        <f t="shared" si="62"/>
        <v>5.8082000000000003</v>
      </c>
      <c r="AA161" s="69">
        <f t="shared" si="63"/>
        <v>5.702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64"/>
        <v>0805-22</v>
      </c>
      <c r="AE161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61" s="96" t="str">
        <f t="shared" si="66"/>
        <v>"C:\Program Files (x86)\AstroGrep\AstroGrep.exe" /spath="%USERPROFILE%\AppData\Local\Temp\OnboardLogs" /stypes="app*4011*20160922*" /stext=" 13:.+((SYSTEM_STATE.+slice.+state.+changed )|(ment ac)|(system.+state.+changed )|(\|lc)|(penalty)|(\[timeout)|(PRM\|1\|D)|(kpr)|(kdp))" /e /r /s</v>
      </c>
      <c r="AG161" s="1" t="str">
        <f t="shared" si="67"/>
        <v>NW</v>
      </c>
      <c r="AH161" s="100" t="str">
        <f t="shared" si="54"/>
        <v>"%USERPROFILE%\Documents\GitHub\eaglep3\Utilities\RefineRTDCRunTimes.py" --tripid 805-22 --locoid 4011 --swversion DE.1.0.7.0 --startMP 204:1062 --initTime 2016-09-22T06:30:03 --startdatetime 2016-09-22T06:51:21 --delay 1 --endMP 300:58082 --enddatetime 2016-09-22T07:04:54 --enforcementcount 0 &gt;&gt;C:\Users\stu\Documents\GitHub\eaglep3-reporting\EC\2016-09-22-refined-times.txt</v>
      </c>
      <c r="AI161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{"issue":{"subject":"","project_id":79,"tracker_id":40,"status_id":1,"priority_id":2,"assigned_to_id":23,"start_date":"2016-09-22","description":"","custom_fields":[{"id":1,"name":"Subdivision","value":"NW"},{"id":4,"name":"Milepost","value":"5.8082"},{"id":17,"name":"Train ID","value":"805-22"},{"id":16,"name":"Locomotive ID","value":"4011"},{"id":130,"name":"Impact","value":""},{"id":150,"name":"Time of Event (Mountain Time)","value":"07:04:54"},{"id":151,"name":"Denver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426</v>
      </c>
      <c r="B162" s="7">
        <v>4012</v>
      </c>
      <c r="C162" s="24" t="s">
        <v>106</v>
      </c>
      <c r="D162" s="24" t="s">
        <v>698</v>
      </c>
      <c r="E162" s="15">
        <v>42635.297731481478</v>
      </c>
      <c r="F162" s="15">
        <v>42635.299675925926</v>
      </c>
      <c r="G162" s="7">
        <v>1</v>
      </c>
      <c r="H162" s="15" t="s">
        <v>615</v>
      </c>
      <c r="I162" s="15">
        <v>42635.309525462966</v>
      </c>
      <c r="J162" s="7">
        <v>0</v>
      </c>
      <c r="K162" s="121" t="str">
        <f t="shared" si="56"/>
        <v>4011/4012</v>
      </c>
      <c r="L162" s="24" t="str">
        <f>VLOOKUP(A162,'Trips&amp;Operators'!$C$1:$E$10000,3,FALSE)</f>
        <v>YORK</v>
      </c>
      <c r="M162" s="6">
        <f t="shared" si="57"/>
        <v>9.8495370402815752E-3</v>
      </c>
      <c r="N162" s="7">
        <f t="shared" si="69"/>
        <v>14.183333338005468</v>
      </c>
      <c r="O162" s="7"/>
      <c r="P162" s="7"/>
      <c r="Q162" s="25"/>
      <c r="R162" s="25"/>
      <c r="S162" s="37">
        <f t="shared" si="70"/>
        <v>1</v>
      </c>
      <c r="T162" s="52" t="str">
        <f t="shared" si="58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06:08:44-0600',mode:absolute,to:'2016-09-22 08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2" s="54" t="str">
        <f t="shared" si="60"/>
        <v>N</v>
      </c>
      <c r="X162" s="168">
        <f t="shared" si="68"/>
        <v>1</v>
      </c>
      <c r="Y162" s="69">
        <f t="shared" si="61"/>
        <v>5.8611000000000004</v>
      </c>
      <c r="Z162" s="69">
        <f t="shared" si="62"/>
        <v>7.85E-2</v>
      </c>
      <c r="AA162" s="69">
        <f t="shared" si="63"/>
        <v>5.7826000000000004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64"/>
        <v>0806-22</v>
      </c>
      <c r="AE162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62" s="96" t="str">
        <f t="shared" si="66"/>
        <v>"C:\Program Files (x86)\AstroGrep\AstroGrep.exe" /spath="%USERPROFILE%\AppData\Local\Temp\OnboardLogs" /stypes="app*4012*20160922*" /stext=" 13:.+((SYSTEM_STATE.+slice.+state.+changed )|(ment ac)|(system.+state.+changed )|(\|lc)|(penalty)|(\[timeout)|(PRM\|1\|D)|(kpr)|(kdp))" /e /r /s</v>
      </c>
      <c r="AG162" s="1" t="str">
        <f t="shared" si="67"/>
        <v>NW</v>
      </c>
      <c r="AH162" s="100" t="str">
        <f t="shared" si="54"/>
        <v>"%USERPROFILE%\Documents\GitHub\eaglep3\Utilities\RefineRTDCRunTimes.py" --tripid 806-22 --locoid 4012 --swversion DE.1.0.7.0 --startMP 300:58611 --initTime 2016-09-22T07:08:44 --startdatetime 2016-09-22T07:11:32 --delay 1 --endMP 204:785 --enddatetime 2016-09-22T07:25:43 --enforcementcount 0 &gt;&gt;C:\Users\stu\Documents\GitHub\eaglep3-reporting\EC\2016-09-22-refined-times.txt</v>
      </c>
      <c r="AI162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{"issue":{"subject":"","project_id":79,"tracker_id":40,"status_id":1,"priority_id":2,"assigned_to_id":23,"start_date":"2016-09-22","description":"","custom_fields":[{"id":1,"name":"Subdivision","value":"NW"},{"id":4,"name":"Milepost","value":"0.0785"},{"id":17,"name":"Train ID","value":"806-22"},{"id":16,"name":"Locomotive ID","value":"4012"},{"id":130,"name":"Impact","value":""},{"id":150,"name":"Time of Event (Mountain Time)","value":"07:25:43"},{"id":151,"name":"Denver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429</v>
      </c>
      <c r="B163" s="7">
        <v>4025</v>
      </c>
      <c r="C163" s="24" t="s">
        <v>106</v>
      </c>
      <c r="D163" s="24" t="s">
        <v>699</v>
      </c>
      <c r="E163" s="15">
        <v>42635.300092592595</v>
      </c>
      <c r="F163" s="15">
        <v>42635.306458333333</v>
      </c>
      <c r="G163" s="7">
        <v>2</v>
      </c>
      <c r="H163" s="15" t="s">
        <v>381</v>
      </c>
      <c r="I163" s="15">
        <v>42635.316319444442</v>
      </c>
      <c r="J163" s="7">
        <v>0</v>
      </c>
      <c r="K163" s="121" t="str">
        <f t="shared" si="56"/>
        <v>4025/4026</v>
      </c>
      <c r="L163" s="24" t="str">
        <f>VLOOKUP(A163,'Trips&amp;Operators'!$C$1:$E$10000,3,FALSE)</f>
        <v>GEBRETEKLE</v>
      </c>
      <c r="M163" s="6">
        <f t="shared" si="57"/>
        <v>9.8611111097852699E-3</v>
      </c>
      <c r="N163" s="7">
        <f t="shared" si="69"/>
        <v>14.199999998090789</v>
      </c>
      <c r="O163" s="7"/>
      <c r="P163" s="7"/>
      <c r="Q163" s="25"/>
      <c r="R163" s="25"/>
      <c r="S163" s="37">
        <f t="shared" si="70"/>
        <v>1</v>
      </c>
      <c r="T163" s="52" t="str">
        <f t="shared" si="58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06:12:08-0600',mode:absolute,to:'2016-09-22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3" s="54" t="str">
        <f t="shared" si="60"/>
        <v>N</v>
      </c>
      <c r="X163" s="168">
        <f t="shared" si="68"/>
        <v>1</v>
      </c>
      <c r="Y163" s="69">
        <f t="shared" si="61"/>
        <v>9.8599999999999993E-2</v>
      </c>
      <c r="Z163" s="69">
        <f t="shared" si="62"/>
        <v>5.8987999999999996</v>
      </c>
      <c r="AA163" s="69">
        <f t="shared" si="63"/>
        <v>5.8001999999999994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64"/>
        <v>0807-22</v>
      </c>
      <c r="AE163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63" s="96" t="str">
        <f t="shared" si="66"/>
        <v>"C:\Program Files (x86)\AstroGrep\AstroGrep.exe" /spath="%USERPROFILE%\AppData\Local\Temp\OnboardLogs" /stypes="app*4025*20160922*" /stext=" 13:.+((SYSTEM_STATE.+slice.+state.+changed )|(ment ac)|(system.+state.+changed )|(\|lc)|(penalty)|(\[timeout)|(PRM\|1\|D)|(kpr)|(kdp))" /e /r /s</v>
      </c>
      <c r="AG163" s="1" t="str">
        <f t="shared" si="67"/>
        <v>NW</v>
      </c>
      <c r="AH163" s="100" t="str">
        <f t="shared" si="54"/>
        <v>"%USERPROFILE%\Documents\GitHub\eaglep3\Utilities\RefineRTDCRunTimes.py" --tripid 807-22 --locoid 4025 --swversion DE.1.0.7.0 --startMP 204:986 --initTime 2016-09-22T07:12:08 --startdatetime 2016-09-22T07:21:18 --delay 2 --endMP 300:58988 --enddatetime 2016-09-22T07:35:30 --enforcementcount 0 &gt;&gt;C:\Users\stu\Documents\GitHub\eaglep3-reporting\EC\2016-09-22-refined-times.txt</v>
      </c>
      <c r="AI163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{"issue":{"subject":"","project_id":79,"tracker_id":40,"status_id":1,"priority_id":2,"assigned_to_id":23,"start_date":"2016-09-22","description":"","custom_fields":[{"id":1,"name":"Subdivision","value":"NW"},{"id":4,"name":"Milepost","value":"5.8988"},{"id":17,"name":"Train ID","value":"807-22"},{"id":16,"name":"Locomotive ID","value":"4025"},{"id":130,"name":"Impact","value":""},{"id":150,"name":"Time of Event (Mountain Time)","value":"07:35:30"},{"id":151,"name":"Denver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433</v>
      </c>
      <c r="B164" s="7">
        <v>4026</v>
      </c>
      <c r="C164" s="24" t="s">
        <v>106</v>
      </c>
      <c r="D164" s="24" t="s">
        <v>700</v>
      </c>
      <c r="E164" s="15">
        <v>42635.322523148148</v>
      </c>
      <c r="F164" s="15">
        <v>42635.319409722222</v>
      </c>
      <c r="G164" s="7">
        <v>1</v>
      </c>
      <c r="H164" s="15" t="s">
        <v>701</v>
      </c>
      <c r="I164" s="15">
        <v>42635.321956018517</v>
      </c>
      <c r="J164" s="7">
        <v>0</v>
      </c>
      <c r="K164" s="121" t="str">
        <f t="shared" si="56"/>
        <v>4025/4026</v>
      </c>
      <c r="L164" s="24" t="str">
        <f>VLOOKUP(A164,'Trips&amp;Operators'!$C$1:$E$10000,3,FALSE)</f>
        <v>GEBRETEKLE</v>
      </c>
      <c r="M164" s="6">
        <f t="shared" si="57"/>
        <v>2.5462962948950008E-3</v>
      </c>
      <c r="N164" s="7"/>
      <c r="O164" s="7"/>
      <c r="P164" s="7"/>
      <c r="Q164" s="25"/>
      <c r="R164" s="25"/>
      <c r="S164" s="37"/>
      <c r="T164" s="52" t="str">
        <f t="shared" si="58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06:44:26-0600',mode:absolute,to:'2016-09-22 08:43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4" s="54" t="str">
        <f t="shared" si="60"/>
        <v>N</v>
      </c>
      <c r="X164" s="168">
        <f t="shared" si="68"/>
        <v>1</v>
      </c>
      <c r="Y164" s="69">
        <f t="shared" si="61"/>
        <v>5.7339000000000002</v>
      </c>
      <c r="Z164" s="69">
        <f t="shared" si="62"/>
        <v>7.0300000000000001E-2</v>
      </c>
      <c r="AA164" s="69">
        <f t="shared" si="63"/>
        <v>5.6636000000000006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64"/>
        <v>0808-22</v>
      </c>
      <c r="AE164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64" s="96" t="str">
        <f t="shared" si="66"/>
        <v>"C:\Program Files (x86)\AstroGrep\AstroGrep.exe" /spath="%USERPROFILE%\AppData\Local\Temp\OnboardLogs" /stypes="app*4026*20160922*" /stext=" 13:.+((SYSTEM_STATE.+slice.+state.+changed )|(ment ac)|(system.+state.+changed )|(\|lc)|(penalty)|(\[timeout)|(PRM\|1\|D)|(kpr)|(kdp))" /e /r /s</v>
      </c>
      <c r="AG164" s="1" t="str">
        <f t="shared" si="67"/>
        <v>NW</v>
      </c>
      <c r="AH164" s="100" t="str">
        <f t="shared" si="54"/>
        <v>"%USERPROFILE%\Documents\GitHub\eaglep3\Utilities\RefineRTDCRunTimes.py" --tripid 808-22 --locoid 4026 --swversion DE.1.0.7.0 --startMP 300:57339 --initTime 2016-09-22T07:44:26 --startdatetime 2016-09-22T07:39:57 --delay 1 --endMP 204:703 --enddatetime 2016-09-22T07:43:37 --enforcementcount 0 &gt;&gt;C:\Users\stu\Documents\GitHub\eaglep3-reporting\EC\2016-09-22-refined-times.txt</v>
      </c>
      <c r="AI164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{"issue":{"subject":"","project_id":79,"tracker_id":40,"status_id":1,"priority_id":2,"assigned_to_id":23,"start_date":"2016-09-22","description":"","custom_fields":[{"id":1,"name":"Subdivision","value":"NW"},{"id":4,"name":"Milepost","value":"0.0703"},{"id":17,"name":"Train ID","value":"808-22"},{"id":16,"name":"Locomotive ID","value":"4026"},{"id":130,"name":"Impact","value":""},{"id":150,"name":"Time of Event (Mountain Time)","value":"07:43:37"},{"id":151,"name":"Denver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433</v>
      </c>
      <c r="B165" s="7">
        <v>4026</v>
      </c>
      <c r="C165" s="24" t="s">
        <v>106</v>
      </c>
      <c r="D165" s="24" t="s">
        <v>702</v>
      </c>
      <c r="E165" s="15">
        <v>42635.317627314813</v>
      </c>
      <c r="F165" s="15">
        <v>42635.323495370372</v>
      </c>
      <c r="G165" s="7">
        <v>1</v>
      </c>
      <c r="H165" s="15" t="s">
        <v>703</v>
      </c>
      <c r="I165" s="15">
        <v>42635.333078703705</v>
      </c>
      <c r="J165" s="7">
        <v>0</v>
      </c>
      <c r="K165" s="121" t="str">
        <f t="shared" si="56"/>
        <v>4025/4026</v>
      </c>
      <c r="L165" s="24" t="str">
        <f>VLOOKUP(A165,'Trips&amp;Operators'!$C$1:$E$10000,3,FALSE)</f>
        <v>GEBRETEKLE</v>
      </c>
      <c r="M165" s="6">
        <f t="shared" si="57"/>
        <v>9.5833333325572312E-3</v>
      </c>
      <c r="N165" s="7"/>
      <c r="O165" s="7"/>
      <c r="P165" s="7">
        <f>24*60*SUM($M164:$M165)</f>
        <v>17.466666663531214</v>
      </c>
      <c r="Q165" s="25"/>
      <c r="R165" s="25" t="s">
        <v>763</v>
      </c>
      <c r="S165" s="37">
        <f>SUM(U164:U165)/IF(AG165="EC",12,1)</f>
        <v>1</v>
      </c>
      <c r="T165" s="52" t="str">
        <f t="shared" si="58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06:37:23-0600',mode:absolute,to:'2016-09-22 08:59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5" s="54" t="str">
        <f t="shared" si="60"/>
        <v>Y</v>
      </c>
      <c r="X165" s="168">
        <f t="shared" si="68"/>
        <v>0</v>
      </c>
      <c r="Y165" s="69">
        <f t="shared" si="61"/>
        <v>5.867</v>
      </c>
      <c r="Z165" s="69">
        <f t="shared" si="62"/>
        <v>5.7796000000000003</v>
      </c>
      <c r="AA165" s="69">
        <f t="shared" si="63"/>
        <v>8.73999999999997E-2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64"/>
        <v>0808-22</v>
      </c>
      <c r="AE165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65" s="96" t="str">
        <f t="shared" si="66"/>
        <v>"C:\Program Files (x86)\AstroGrep\AstroGrep.exe" /spath="%USERPROFILE%\AppData\Local\Temp\OnboardLogs" /stypes="app*4026*20160922*" /stext=" 13:.+((SYSTEM_STATE.+slice.+state.+changed )|(ment ac)|(system.+state.+changed )|(\|lc)|(penalty)|(\[timeout)|(PRM\|1\|D)|(kpr)|(kdp))" /e /r /s</v>
      </c>
      <c r="AG165" s="1" t="str">
        <f t="shared" si="67"/>
        <v>NW</v>
      </c>
      <c r="AH165" s="100" t="str">
        <f t="shared" si="54"/>
        <v>"%USERPROFILE%\Documents\GitHub\eaglep3\Utilities\RefineRTDCRunTimes.py" --tripid 808-22 --locoid 4026 --swversion DE.1.0.7.0 --startMP 300:58670 --initTime 2016-09-22T07:37:23 --startdatetime 2016-09-22T07:45:50 --delay 1 --endMP 300:57796 --enddatetime 2016-09-22T07:59:38 --enforcementcount 0 &gt;&gt;C:\Users\stu\Documents\GitHub\eaglep3-reporting\EC\2016-09-22-refined-times.txt</v>
      </c>
      <c r="AI165" s="134" t="str">
        <f t="shared" si="55"/>
        <v>echo {"issue":{"subject":"Reverser handle was neutral - caused enforcement","project_id":79,"tracker_id":40,"status_id":1,"priority_id":2,"assigned_to_id":23,"start_date":"2016-09-22","description":"Enforcements for END OF AUTHORITY… seems like the reverser handle was in neutral, causing this issue. Reverser handle needs to be in Forward","custom_fields":[{"id":1,"name":"Subdivision","value":"NW"},{"id":4,"name":"Milepost","value":"5.7796"},{"id":17,"name":"Train ID","value":"808-22"},{"id":16,"name":"Locomotive ID","value":"4026"},{"id":130,"name":"Impact","value":"Enforcement"},{"id":150,"name":"Time of Event (Mountain Time)","value":"07:59:38"},{"id":151,"name":"Denver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65" s="55" t="s">
        <v>758</v>
      </c>
      <c r="AK165" s="55" t="s">
        <v>138</v>
      </c>
      <c r="AL165" s="55" t="s">
        <v>156</v>
      </c>
    </row>
    <row r="166" spans="1:38" s="23" customFormat="1" x14ac:dyDescent="0.25">
      <c r="A166" s="39" t="s">
        <v>431</v>
      </c>
      <c r="B166" s="7">
        <v>4011</v>
      </c>
      <c r="C166" s="24" t="s">
        <v>106</v>
      </c>
      <c r="D166" s="24" t="s">
        <v>704</v>
      </c>
      <c r="E166" s="15">
        <v>42635.310891203706</v>
      </c>
      <c r="F166" s="15">
        <v>42635.327696759261</v>
      </c>
      <c r="G166" s="7">
        <v>1</v>
      </c>
      <c r="H166" s="15" t="s">
        <v>705</v>
      </c>
      <c r="I166" s="15">
        <v>42635.337581018517</v>
      </c>
      <c r="J166" s="7">
        <v>0</v>
      </c>
      <c r="K166" s="121" t="str">
        <f t="shared" si="56"/>
        <v>4011/4012</v>
      </c>
      <c r="L166" s="24" t="str">
        <f>VLOOKUP(A166,'Trips&amp;Operators'!$C$1:$E$10000,3,FALSE)</f>
        <v>YORK</v>
      </c>
      <c r="M166" s="6">
        <f t="shared" si="57"/>
        <v>9.8842592560686171E-3</v>
      </c>
      <c r="N166" s="7">
        <f t="shared" ref="N166:N188" si="71">24*60*SUM($M166:$M166)</f>
        <v>14.233333328738809</v>
      </c>
      <c r="O166" s="7"/>
      <c r="P166" s="7"/>
      <c r="Q166" s="25"/>
      <c r="R166" s="25"/>
      <c r="S166" s="37">
        <f t="shared" ref="S166:S197" si="72">SUM(U166:U166)/IF(AG166="EC",12,1)</f>
        <v>1</v>
      </c>
      <c r="T166" s="52" t="str">
        <f t="shared" si="58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06:27:41-0600',mode:absolute,to:'2016-09-22 09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6" s="54" t="str">
        <f t="shared" si="60"/>
        <v>N</v>
      </c>
      <c r="X166" s="168">
        <f t="shared" si="68"/>
        <v>1</v>
      </c>
      <c r="Y166" s="69">
        <f t="shared" si="61"/>
        <v>0.1081</v>
      </c>
      <c r="Z166" s="69">
        <f t="shared" si="62"/>
        <v>5.8924000000000003</v>
      </c>
      <c r="AA166" s="69">
        <f t="shared" si="63"/>
        <v>5.7843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64"/>
        <v>0809-22</v>
      </c>
      <c r="AE166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66" s="96" t="str">
        <f t="shared" si="66"/>
        <v>"C:\Program Files (x86)\AstroGrep\AstroGrep.exe" /spath="%USERPROFILE%\AppData\Local\Temp\OnboardLogs" /stypes="app*4011*20160922*" /stext=" 14:.+((SYSTEM_STATE.+slice.+state.+changed )|(ment ac)|(system.+state.+changed )|(\|lc)|(penalty)|(\[timeout)|(PRM\|1\|D)|(kpr)|(kdp))" /e /r /s</v>
      </c>
      <c r="AG166" s="1" t="str">
        <f t="shared" si="67"/>
        <v>NW</v>
      </c>
      <c r="AH166" s="100" t="str">
        <f t="shared" si="54"/>
        <v>"%USERPROFILE%\Documents\GitHub\eaglep3\Utilities\RefineRTDCRunTimes.py" --tripid 809-22 --locoid 4011 --swversion DE.1.0.7.0 --startMP 204:1081 --initTime 2016-09-22T07:27:41 --startdatetime 2016-09-22T07:51:53 --delay 1 --endMP 300:58924 --enddatetime 2016-09-22T08:06:07 --enforcementcount 0 &gt;&gt;C:\Users\stu\Documents\GitHub\eaglep3-reporting\EC\2016-09-22-refined-times.txt</v>
      </c>
      <c r="AI166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{"issue":{"subject":"","project_id":79,"tracker_id":40,"status_id":1,"priority_id":2,"assigned_to_id":23,"start_date":"2016-09-22","description":"","custom_fields":[{"id":1,"name":"Subdivision","value":"NW"},{"id":4,"name":"Milepost","value":"5.8924"},{"id":17,"name":"Train ID","value":"809-22"},{"id":16,"name":"Locomotive ID","value":"4011"},{"id":130,"name":"Impact","value":""},{"id":150,"name":"Time of Event (Mountain Time)","value":"08:06:07"},{"id":151,"name":"Denver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438</v>
      </c>
      <c r="B167" s="7">
        <v>4012</v>
      </c>
      <c r="C167" s="24" t="s">
        <v>106</v>
      </c>
      <c r="D167" s="24" t="s">
        <v>375</v>
      </c>
      <c r="E167" s="15">
        <v>42635.338738425926</v>
      </c>
      <c r="F167" s="15">
        <v>42635.340300925927</v>
      </c>
      <c r="G167" s="7">
        <v>1</v>
      </c>
      <c r="H167" s="15" t="s">
        <v>706</v>
      </c>
      <c r="I167" s="15">
        <v>42635.350972222222</v>
      </c>
      <c r="J167" s="7">
        <v>0</v>
      </c>
      <c r="K167" s="121" t="str">
        <f t="shared" si="56"/>
        <v>4011/4012</v>
      </c>
      <c r="L167" s="24" t="str">
        <f>VLOOKUP(A167,'Trips&amp;Operators'!$C$1:$E$10000,3,FALSE)</f>
        <v>YORK</v>
      </c>
      <c r="M167" s="6">
        <f t="shared" si="57"/>
        <v>1.0671296295186039E-2</v>
      </c>
      <c r="N167" s="7">
        <f t="shared" si="71"/>
        <v>15.366666665067896</v>
      </c>
      <c r="O167" s="7"/>
      <c r="P167" s="7"/>
      <c r="Q167" s="25"/>
      <c r="R167" s="25"/>
      <c r="S167" s="37">
        <f t="shared" si="72"/>
        <v>1</v>
      </c>
      <c r="T167" s="52" t="str">
        <f t="shared" si="58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07:07:47-0600',mode:absolute,to:'2016-09-22 09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7" s="54" t="str">
        <f t="shared" si="60"/>
        <v>N</v>
      </c>
      <c r="X167" s="168">
        <f t="shared" si="68"/>
        <v>1</v>
      </c>
      <c r="Y167" s="69">
        <f t="shared" si="61"/>
        <v>5.8601999999999999</v>
      </c>
      <c r="Z167" s="69">
        <f t="shared" si="62"/>
        <v>7.7100000000000002E-2</v>
      </c>
      <c r="AA167" s="69">
        <f t="shared" si="63"/>
        <v>5.7831000000000001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64"/>
        <v>0810-22</v>
      </c>
      <c r="AE167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67" s="96" t="str">
        <f t="shared" si="66"/>
        <v>"C:\Program Files (x86)\AstroGrep\AstroGrep.exe" /spath="%USERPROFILE%\AppData\Local\Temp\OnboardLogs" /stypes="app*4012*20160922*" /stext=" 14:.+((SYSTEM_STATE.+slice.+state.+changed )|(ment ac)|(system.+state.+changed )|(\|lc)|(penalty)|(\[timeout)|(PRM\|1\|D)|(kpr)|(kdp))" /e /r /s</v>
      </c>
      <c r="AG167" s="1" t="str">
        <f t="shared" si="67"/>
        <v>NW</v>
      </c>
      <c r="AH167" s="100" t="str">
        <f t="shared" si="54"/>
        <v>"%USERPROFILE%\Documents\GitHub\eaglep3\Utilities\RefineRTDCRunTimes.py" --tripid 810-22 --locoid 4012 --swversion DE.1.0.7.0 --startMP 300:58602 --initTime 2016-09-22T08:07:47 --startdatetime 2016-09-22T08:10:02 --delay 1 --endMP 204:771 --enddatetime 2016-09-22T08:25:24 --enforcementcount 0 &gt;&gt;C:\Users\stu\Documents\GitHub\eaglep3-reporting\EC\2016-09-22-refined-times.txt</v>
      </c>
      <c r="AI167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{"issue":{"subject":"","project_id":79,"tracker_id":40,"status_id":1,"priority_id":2,"assigned_to_id":23,"start_date":"2016-09-22","description":"","custom_fields":[{"id":1,"name":"Subdivision","value":"NW"},{"id":4,"name":"Milepost","value":"0.0771"},{"id":17,"name":"Train ID","value":"810-22"},{"id":16,"name":"Locomotive ID","value":"4012"},{"id":130,"name":"Impact","value":""},{"id":150,"name":"Time of Event (Mountain Time)","value":"08:25:24"},{"id":151,"name":"Denver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440</v>
      </c>
      <c r="B168" s="7">
        <v>4025</v>
      </c>
      <c r="C168" s="24" t="s">
        <v>106</v>
      </c>
      <c r="D168" s="24" t="s">
        <v>292</v>
      </c>
      <c r="E168" s="15">
        <v>42635.343136574076</v>
      </c>
      <c r="F168" s="15">
        <v>42635.348101851851</v>
      </c>
      <c r="G168" s="7">
        <v>2</v>
      </c>
      <c r="H168" s="15" t="s">
        <v>707</v>
      </c>
      <c r="I168" s="15">
        <v>42635.35869212963</v>
      </c>
      <c r="J168" s="7">
        <v>0</v>
      </c>
      <c r="K168" s="121" t="str">
        <f t="shared" si="56"/>
        <v>4025/4026</v>
      </c>
      <c r="L168" s="24" t="str">
        <f>VLOOKUP(A168,'Trips&amp;Operators'!$C$1:$E$10000,3,FALSE)</f>
        <v>GEBRETEKLE</v>
      </c>
      <c r="M168" s="6">
        <f t="shared" si="57"/>
        <v>1.0590277779556345E-2</v>
      </c>
      <c r="N168" s="7">
        <f t="shared" si="71"/>
        <v>15.250000002561137</v>
      </c>
      <c r="O168" s="7"/>
      <c r="P168" s="7"/>
      <c r="Q168" s="25"/>
      <c r="R168" s="25"/>
      <c r="S168" s="37">
        <f t="shared" si="72"/>
        <v>1</v>
      </c>
      <c r="T168" s="52" t="str">
        <f t="shared" si="58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07:14:07-0600',mode:absolute,to:'2016-09-22 09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8" s="54" t="str">
        <f t="shared" si="60"/>
        <v>N</v>
      </c>
      <c r="X168" s="168">
        <f t="shared" si="68"/>
        <v>1</v>
      </c>
      <c r="Y168" s="69">
        <f t="shared" si="61"/>
        <v>9.8100000000000007E-2</v>
      </c>
      <c r="Z168" s="69">
        <f t="shared" si="62"/>
        <v>5.8992000000000004</v>
      </c>
      <c r="AA168" s="69">
        <f t="shared" si="63"/>
        <v>5.8011000000000008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64"/>
        <v>0811-22</v>
      </c>
      <c r="AE168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68" s="96" t="str">
        <f t="shared" si="66"/>
        <v>"C:\Program Files (x86)\AstroGrep\AstroGrep.exe" /spath="%USERPROFILE%\AppData\Local\Temp\OnboardLogs" /stypes="app*4025*20160922*" /stext=" 14:.+((SYSTEM_STATE.+slice.+state.+changed )|(ment ac)|(system.+state.+changed )|(\|lc)|(penalty)|(\[timeout)|(PRM\|1\|D)|(kpr)|(kdp))" /e /r /s</v>
      </c>
      <c r="AG168" s="1" t="str">
        <f t="shared" si="67"/>
        <v>NW</v>
      </c>
      <c r="AH168" s="100" t="str">
        <f t="shared" si="54"/>
        <v>"%USERPROFILE%\Documents\GitHub\eaglep3\Utilities\RefineRTDCRunTimes.py" --tripid 811-22 --locoid 4025 --swversion DE.1.0.7.0 --startMP 204:981 --initTime 2016-09-22T08:14:07 --startdatetime 2016-09-22T08:21:16 --delay 2 --endMP 300:58992 --enddatetime 2016-09-22T08:36:31 --enforcementcount 0 &gt;&gt;C:\Users\stu\Documents\GitHub\eaglep3-reporting\EC\2016-09-22-refined-times.txt</v>
      </c>
      <c r="AI168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{"issue":{"subject":"","project_id":79,"tracker_id":40,"status_id":1,"priority_id":2,"assigned_to_id":23,"start_date":"2016-09-22","description":"","custom_fields":[{"id":1,"name":"Subdivision","value":"NW"},{"id":4,"name":"Milepost","value":"5.8992"},{"id":17,"name":"Train ID","value":"811-22"},{"id":16,"name":"Locomotive ID","value":"4025"},{"id":130,"name":"Impact","value":""},{"id":150,"name":"Time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444</v>
      </c>
      <c r="B169" s="7">
        <v>4026</v>
      </c>
      <c r="C169" s="24" t="s">
        <v>106</v>
      </c>
      <c r="D169" s="24" t="s">
        <v>384</v>
      </c>
      <c r="E169" s="15">
        <v>42635.359861111108</v>
      </c>
      <c r="F169" s="15">
        <v>42635.361354166664</v>
      </c>
      <c r="G169" s="7">
        <v>1</v>
      </c>
      <c r="H169" s="15" t="s">
        <v>701</v>
      </c>
      <c r="I169" s="15">
        <v>42635.371631944443</v>
      </c>
      <c r="J169" s="7">
        <v>0</v>
      </c>
      <c r="K169" s="121" t="str">
        <f t="shared" si="56"/>
        <v>4025/4026</v>
      </c>
      <c r="L169" s="24" t="str">
        <f>VLOOKUP(A169,'Trips&amp;Operators'!$C$1:$E$10000,3,FALSE)</f>
        <v>GEBRETEKLE</v>
      </c>
      <c r="M169" s="6">
        <f t="shared" si="57"/>
        <v>1.0277777779265307E-2</v>
      </c>
      <c r="N169" s="7">
        <f t="shared" si="71"/>
        <v>14.800000002142042</v>
      </c>
      <c r="O169" s="7"/>
      <c r="P169" s="7"/>
      <c r="Q169" s="25"/>
      <c r="R169" s="25"/>
      <c r="S169" s="37">
        <f t="shared" si="72"/>
        <v>1</v>
      </c>
      <c r="T169" s="52" t="str">
        <f t="shared" si="58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07:38:12-0600',mode:absolute,to:'2016-09-22 09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9" s="54" t="str">
        <f t="shared" si="60"/>
        <v>N</v>
      </c>
      <c r="X169" s="168">
        <f t="shared" si="68"/>
        <v>1</v>
      </c>
      <c r="Y169" s="69">
        <f t="shared" si="61"/>
        <v>5.8672000000000004</v>
      </c>
      <c r="Z169" s="69">
        <f t="shared" si="62"/>
        <v>7.0300000000000001E-2</v>
      </c>
      <c r="AA169" s="69">
        <f t="shared" si="63"/>
        <v>5.7969000000000008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64"/>
        <v>0812-22</v>
      </c>
      <c r="AE169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69" s="96" t="str">
        <f t="shared" si="66"/>
        <v>"C:\Program Files (x86)\AstroGrep\AstroGrep.exe" /spath="%USERPROFILE%\AppData\Local\Temp\OnboardLogs" /stypes="app*4026*20160922*" /stext=" 14:.+((SYSTEM_STATE.+slice.+state.+changed )|(ment ac)|(system.+state.+changed )|(\|lc)|(penalty)|(\[timeout)|(PRM\|1\|D)|(kpr)|(kdp))" /e /r /s</v>
      </c>
      <c r="AG169" s="1" t="str">
        <f t="shared" si="67"/>
        <v>NW</v>
      </c>
      <c r="AH169" s="100" t="str">
        <f t="shared" si="54"/>
        <v>"%USERPROFILE%\Documents\GitHub\eaglep3\Utilities\RefineRTDCRunTimes.py" --tripid 812-22 --locoid 4026 --swversion DE.1.0.7.0 --startMP 300:58672 --initTime 2016-09-22T08:38:12 --startdatetime 2016-09-22T08:40:21 --delay 1 --endMP 204:703 --enddatetime 2016-09-22T08:55:09 --enforcementcount 0 &gt;&gt;C:\Users\stu\Documents\GitHub\eaglep3-reporting\EC\2016-09-22-refined-times.txt</v>
      </c>
      <c r="AI169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{"issue":{"subject":"","project_id":79,"tracker_id":40,"status_id":1,"priority_id":2,"assigned_to_id":23,"start_date":"2016-09-22","description":"","custom_fields":[{"id":1,"name":"Subdivision","value":"NW"},{"id":4,"name":"Milepost","value":"0.0703"},{"id":17,"name":"Train ID","value":"812-22"},{"id":16,"name":"Locomotive ID","value":"4026"},{"id":130,"name":"Impact","value":""},{"id":150,"name":"Time of Event (Mountain Time)","value":"08:55:09"},{"id":151,"name":"Denver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453</v>
      </c>
      <c r="B170" s="7">
        <v>4025</v>
      </c>
      <c r="C170" s="24" t="s">
        <v>106</v>
      </c>
      <c r="D170" s="24" t="s">
        <v>293</v>
      </c>
      <c r="E170" s="15">
        <v>42635.383657407408</v>
      </c>
      <c r="F170" s="15">
        <v>42635.389768518522</v>
      </c>
      <c r="G170" s="7">
        <v>2</v>
      </c>
      <c r="H170" s="15" t="s">
        <v>708</v>
      </c>
      <c r="I170" s="15">
        <v>42635.399976851855</v>
      </c>
      <c r="J170" s="7">
        <v>0</v>
      </c>
      <c r="K170" s="121" t="str">
        <f t="shared" si="56"/>
        <v>4025/4026</v>
      </c>
      <c r="L170" s="24" t="str">
        <f>VLOOKUP(A170,'Trips&amp;Operators'!$C$1:$E$10000,3,FALSE)</f>
        <v>GEBRETEKLE</v>
      </c>
      <c r="M170" s="6">
        <f t="shared" si="57"/>
        <v>1.0208333333139308E-2</v>
      </c>
      <c r="N170" s="7">
        <f t="shared" si="71"/>
        <v>14.699999999720603</v>
      </c>
      <c r="O170" s="7"/>
      <c r="P170" s="7"/>
      <c r="Q170" s="25"/>
      <c r="R170" s="25"/>
      <c r="S170" s="37">
        <f t="shared" si="72"/>
        <v>1</v>
      </c>
      <c r="T170" s="52" t="str">
        <f t="shared" si="58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08:12:28-0600',mode:absolute,to:'2016-09-22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0" s="54" t="str">
        <f t="shared" si="60"/>
        <v>N</v>
      </c>
      <c r="X170" s="168">
        <f t="shared" si="68"/>
        <v>1</v>
      </c>
      <c r="Y170" s="69">
        <f t="shared" si="61"/>
        <v>9.8500000000000004E-2</v>
      </c>
      <c r="Z170" s="69">
        <f t="shared" si="62"/>
        <v>5.8994999999999997</v>
      </c>
      <c r="AA170" s="69">
        <f t="shared" si="63"/>
        <v>5.8010000000000002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64"/>
        <v>0813-22</v>
      </c>
      <c r="AE170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70" s="96" t="str">
        <f t="shared" si="66"/>
        <v>"C:\Program Files (x86)\AstroGrep\AstroGrep.exe" /spath="%USERPROFILE%\AppData\Local\Temp\OnboardLogs" /stypes="app*4025*20160922*" /stext=" 15:.+((SYSTEM_STATE.+slice.+state.+changed )|(ment ac)|(system.+state.+changed )|(\|lc)|(penalty)|(\[timeout)|(PRM\|1\|D)|(kpr)|(kdp))" /e /r /s</v>
      </c>
      <c r="AG170" s="1" t="str">
        <f t="shared" si="67"/>
        <v>NW</v>
      </c>
      <c r="AH170" s="100" t="str">
        <f t="shared" si="54"/>
        <v>"%USERPROFILE%\Documents\GitHub\eaglep3\Utilities\RefineRTDCRunTimes.py" --tripid 813-22 --locoid 4025 --swversion DE.1.0.7.0 --startMP 204:985 --initTime 2016-09-22T09:12:28 --startdatetime 2016-09-22T09:21:16 --delay 2 --endMP 300:58995 --enddatetime 2016-09-22T09:35:58 --enforcementcount 0 &gt;&gt;C:\Users\stu\Documents\GitHub\eaglep3-reporting\EC\2016-09-22-refined-times.txt</v>
      </c>
      <c r="AI170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{"issue":{"subject":"","project_id":79,"tracker_id":40,"status_id":1,"priority_id":2,"assigned_to_id":23,"start_date":"2016-09-22","description":"","custom_fields":[{"id":1,"name":"Subdivision","value":"NW"},{"id":4,"name":"Milepost","value":"5.8995"},{"id":17,"name":"Train ID","value":"813-22"},{"id":16,"name":"Locomotive ID","value":"4025"},{"id":130,"name":"Impact","value":""},{"id":150,"name":"Time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455</v>
      </c>
      <c r="B171" s="7">
        <v>4026</v>
      </c>
      <c r="C171" s="24" t="s">
        <v>106</v>
      </c>
      <c r="D171" s="24" t="s">
        <v>377</v>
      </c>
      <c r="E171" s="15">
        <v>42635.401319444441</v>
      </c>
      <c r="F171" s="15">
        <v>42635.402766203704</v>
      </c>
      <c r="G171" s="7">
        <v>1</v>
      </c>
      <c r="H171" s="15" t="s">
        <v>709</v>
      </c>
      <c r="I171" s="15">
        <v>42635.413298611114</v>
      </c>
      <c r="J171" s="7">
        <v>0</v>
      </c>
      <c r="K171" s="121" t="str">
        <f t="shared" si="56"/>
        <v>4025/4026</v>
      </c>
      <c r="L171" s="24" t="str">
        <f>VLOOKUP(A171,'Trips&amp;Operators'!$C$1:$E$10000,3,FALSE)</f>
        <v>GEBRETEKLE</v>
      </c>
      <c r="M171" s="6">
        <f t="shared" si="57"/>
        <v>1.0532407410209998E-2</v>
      </c>
      <c r="N171" s="7">
        <f t="shared" si="71"/>
        <v>15.166666670702398</v>
      </c>
      <c r="O171" s="7"/>
      <c r="P171" s="7"/>
      <c r="Q171" s="25"/>
      <c r="R171" s="25"/>
      <c r="S171" s="37">
        <f t="shared" si="72"/>
        <v>1</v>
      </c>
      <c r="T171" s="52" t="str">
        <f t="shared" si="58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08:37:54-0600',mode:absolute,to:'2016-09-22 10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1" s="54" t="str">
        <f t="shared" si="60"/>
        <v>N</v>
      </c>
      <c r="X171" s="168">
        <f t="shared" si="68"/>
        <v>1</v>
      </c>
      <c r="Y171" s="69">
        <f t="shared" si="61"/>
        <v>5.8681000000000001</v>
      </c>
      <c r="Z171" s="69">
        <f t="shared" si="62"/>
        <v>7.5399999999999995E-2</v>
      </c>
      <c r="AA171" s="69">
        <f t="shared" si="63"/>
        <v>5.7927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64"/>
        <v>0814-22</v>
      </c>
      <c r="AE171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71" s="96" t="str">
        <f t="shared" si="66"/>
        <v>"C:\Program Files (x86)\AstroGrep\AstroGrep.exe" /spath="%USERPROFILE%\AppData\Local\Temp\OnboardLogs" /stypes="app*4026*20160922*" /stext=" 15:.+((SYSTEM_STATE.+slice.+state.+changed )|(ment ac)|(system.+state.+changed )|(\|lc)|(penalty)|(\[timeout)|(PRM\|1\|D)|(kpr)|(kdp))" /e /r /s</v>
      </c>
      <c r="AG171" s="1" t="str">
        <f t="shared" si="67"/>
        <v>NW</v>
      </c>
      <c r="AH171" s="100" t="str">
        <f t="shared" si="54"/>
        <v>"%USERPROFILE%\Documents\GitHub\eaglep3\Utilities\RefineRTDCRunTimes.py" --tripid 814-22 --locoid 4026 --swversion DE.1.0.7.0 --startMP 300:58681 --initTime 2016-09-22T09:37:54 --startdatetime 2016-09-22T09:39:59 --delay 1 --endMP 204:754 --enddatetime 2016-09-22T09:55:09 --enforcementcount 0 &gt;&gt;C:\Users\stu\Documents\GitHub\eaglep3-reporting\EC\2016-09-22-refined-times.txt</v>
      </c>
      <c r="AI171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{"issue":{"subject":"","project_id":79,"tracker_id":40,"status_id":1,"priority_id":2,"assigned_to_id":23,"start_date":"2016-09-22","description":"","custom_fields":[{"id":1,"name":"Subdivision","value":"NW"},{"id":4,"name":"Milepost","value":"0.0754"},{"id":17,"name":"Train ID","value":"814-22"},{"id":16,"name":"Locomotive ID","value":"4026"},{"id":130,"name":"Impact","value":""},{"id":150,"name":"Time of Event (Mountain Time)","value":"09:55:09"},{"id":151,"name":"Denver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462</v>
      </c>
      <c r="B172" s="7">
        <v>4025</v>
      </c>
      <c r="C172" s="24" t="s">
        <v>106</v>
      </c>
      <c r="D172" s="24" t="s">
        <v>710</v>
      </c>
      <c r="E172" s="15">
        <v>42635.426481481481</v>
      </c>
      <c r="F172" s="15">
        <v>42635.431423611109</v>
      </c>
      <c r="G172" s="7">
        <v>1</v>
      </c>
      <c r="H172" s="15" t="s">
        <v>379</v>
      </c>
      <c r="I172" s="15">
        <v>42635.440844907411</v>
      </c>
      <c r="J172" s="7">
        <v>0</v>
      </c>
      <c r="K172" s="121" t="str">
        <f t="shared" si="56"/>
        <v>4025/4026</v>
      </c>
      <c r="L172" s="24" t="str">
        <f>VLOOKUP(A172,'Trips&amp;Operators'!$C$1:$E$10000,3,FALSE)</f>
        <v>GEBRETEKLE</v>
      </c>
      <c r="M172" s="6">
        <f t="shared" si="57"/>
        <v>9.4212963012978435E-3</v>
      </c>
      <c r="N172" s="7">
        <f t="shared" si="71"/>
        <v>13.566666673868895</v>
      </c>
      <c r="O172" s="7"/>
      <c r="P172" s="7"/>
      <c r="Q172" s="25"/>
      <c r="R172" s="25"/>
      <c r="S172" s="37">
        <f t="shared" si="72"/>
        <v>1</v>
      </c>
      <c r="T172" s="52" t="str">
        <f t="shared" si="58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09:14:08-0600',mode:absolute,to:'2016-09-22 11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2" s="54" t="str">
        <f t="shared" si="60"/>
        <v>N</v>
      </c>
      <c r="X172" s="168">
        <f t="shared" si="68"/>
        <v>1</v>
      </c>
      <c r="Y172" s="69">
        <f t="shared" si="61"/>
        <v>0.1053</v>
      </c>
      <c r="Z172" s="69">
        <f t="shared" si="62"/>
        <v>5.8986000000000001</v>
      </c>
      <c r="AA172" s="69">
        <f t="shared" si="63"/>
        <v>5.7933000000000003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64"/>
        <v>0815-22</v>
      </c>
      <c r="AE172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72" s="96" t="str">
        <f t="shared" si="66"/>
        <v>"C:\Program Files (x86)\AstroGrep\AstroGrep.exe" /spath="%USERPROFILE%\AppData\Local\Temp\OnboardLogs" /stypes="app*4025*20160922*" /stext=" 16:.+((SYSTEM_STATE.+slice.+state.+changed )|(ment ac)|(system.+state.+changed )|(\|lc)|(penalty)|(\[timeout)|(PRM\|1\|D)|(kpr)|(kdp))" /e /r /s</v>
      </c>
      <c r="AG172" s="1" t="str">
        <f t="shared" si="67"/>
        <v>NW</v>
      </c>
      <c r="AH172" s="100" t="str">
        <f t="shared" si="54"/>
        <v>"%USERPROFILE%\Documents\GitHub\eaglep3\Utilities\RefineRTDCRunTimes.py" --tripid 815-22 --locoid 4025 --swversion DE.1.0.7.0 --startMP 204:1053 --initTime 2016-09-22T10:14:08 --startdatetime 2016-09-22T10:21:15 --delay 1 --endMP 300:58986 --enddatetime 2016-09-22T10:34:49 --enforcementcount 0 &gt;&gt;C:\Users\stu\Documents\GitHub\eaglep3-reporting\EC\2016-09-22-refined-times.txt</v>
      </c>
      <c r="AI172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{"issue":{"subject":"","project_id":79,"tracker_id":40,"status_id":1,"priority_id":2,"assigned_to_id":23,"start_date":"2016-09-22","description":"","custom_fields":[{"id":1,"name":"Subdivision","value":"NW"},{"id":4,"name":"Milepost","value":"5.8986"},{"id":17,"name":"Train ID","value":"815-22"},{"id":16,"name":"Locomotive ID","value":"4025"},{"id":130,"name":"Impact","value":""},{"id":150,"name":"Time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466</v>
      </c>
      <c r="B173" s="7">
        <v>4026</v>
      </c>
      <c r="C173" s="24" t="s">
        <v>106</v>
      </c>
      <c r="D173" s="24" t="s">
        <v>380</v>
      </c>
      <c r="E173" s="15">
        <v>42635.442141203705</v>
      </c>
      <c r="F173" s="15">
        <v>42635.443715277775</v>
      </c>
      <c r="G173" s="7">
        <v>1</v>
      </c>
      <c r="H173" s="15" t="s">
        <v>711</v>
      </c>
      <c r="I173" s="15">
        <v>42635.454942129632</v>
      </c>
      <c r="J173" s="7">
        <v>0</v>
      </c>
      <c r="K173" s="121" t="str">
        <f t="shared" si="56"/>
        <v>4025/4026</v>
      </c>
      <c r="L173" s="24" t="str">
        <f>VLOOKUP(A173,'Trips&amp;Operators'!$C$1:$E$10000,3,FALSE)</f>
        <v>GEBRETEKLE</v>
      </c>
      <c r="M173" s="6">
        <f t="shared" ref="M173:M200" si="73">I173-F173</f>
        <v>1.1226851856918074E-2</v>
      </c>
      <c r="N173" s="7">
        <f t="shared" si="71"/>
        <v>16.166666673962027</v>
      </c>
      <c r="O173" s="7"/>
      <c r="P173" s="7"/>
      <c r="Q173" s="25"/>
      <c r="R173" s="25"/>
      <c r="S173" s="37">
        <f t="shared" si="72"/>
        <v>1</v>
      </c>
      <c r="T173" s="52" t="str">
        <f t="shared" si="58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09:36:41-0600',mode:absolute,to:'2016-09-22 11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3" s="54" t="str">
        <f t="shared" ref="W173:W202" si="74">IF(AA173&lt;IF(AG173="EC",23,5.65),"Y","N")</f>
        <v>N</v>
      </c>
      <c r="X173" s="168">
        <f t="shared" si="68"/>
        <v>1</v>
      </c>
      <c r="Y173" s="69">
        <f t="shared" ref="Y173:Y200" si="75">RIGHT(D173,LEN(D173)-4)/10000</f>
        <v>5.8673000000000002</v>
      </c>
      <c r="Z173" s="69">
        <f t="shared" ref="Z173:Z200" si="76">RIGHT(H173,LEN(H173)-4)/10000</f>
        <v>6.9900000000000004E-2</v>
      </c>
      <c r="AA173" s="69">
        <f t="shared" si="63"/>
        <v>5.7974000000000006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64"/>
        <v>0816-22</v>
      </c>
      <c r="AE173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73" s="96" t="str">
        <f t="shared" si="66"/>
        <v>"C:\Program Files (x86)\AstroGrep\AstroGrep.exe" /spath="%USERPROFILE%\AppData\Local\Temp\OnboardLogs" /stypes="app*4026*20160922*" /stext=" 16:.+((SYSTEM_STATE.+slice.+state.+changed )|(ment ac)|(system.+state.+changed )|(\|lc)|(penalty)|(\[timeout)|(PRM\|1\|D)|(kpr)|(kdp))" /e /r /s</v>
      </c>
      <c r="AG173" s="1" t="str">
        <f t="shared" si="67"/>
        <v>NW</v>
      </c>
      <c r="AH173" s="100" t="str">
        <f t="shared" si="54"/>
        <v>"%USERPROFILE%\Documents\GitHub\eaglep3\Utilities\RefineRTDCRunTimes.py" --tripid 816-22 --locoid 4026 --swversion DE.1.0.7.0 --startMP 300:58673 --initTime 2016-09-22T10:36:41 --startdatetime 2016-09-22T10:38:57 --delay 1 --endMP 204:699 --enddatetime 2016-09-22T10:55:07 --enforcementcount 0 &gt;&gt;C:\Users\stu\Documents\GitHub\eaglep3-reporting\EC\2016-09-22-refined-times.txt</v>
      </c>
      <c r="AI173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{"issue":{"subject":"","project_id":79,"tracker_id":40,"status_id":1,"priority_id":2,"assigned_to_id":23,"start_date":"2016-09-22","description":"","custom_fields":[{"id":1,"name":"Subdivision","value":"NW"},{"id":4,"name":"Milepost","value":"0.0699"},{"id":17,"name":"Train ID","value":"816-22"},{"id":16,"name":"Locomotive ID","value":"4026"},{"id":130,"name":"Impact","value":""},{"id":150,"name":"Time of Event (Mountain Time)","value":"10:55:07"},{"id":151,"name":"Denver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474</v>
      </c>
      <c r="B174" s="7">
        <v>4025</v>
      </c>
      <c r="C174" s="24" t="s">
        <v>106</v>
      </c>
      <c r="D174" s="24" t="s">
        <v>293</v>
      </c>
      <c r="E174" s="15">
        <v>42635.467037037037</v>
      </c>
      <c r="F174" s="15">
        <v>42635.473124999997</v>
      </c>
      <c r="G174" s="7">
        <v>1</v>
      </c>
      <c r="H174" s="15" t="s">
        <v>381</v>
      </c>
      <c r="I174" s="15">
        <v>42635.483043981483</v>
      </c>
      <c r="J174" s="7">
        <v>0</v>
      </c>
      <c r="K174" s="121" t="str">
        <f t="shared" si="56"/>
        <v>4025/4026</v>
      </c>
      <c r="L174" s="24" t="str">
        <f>VLOOKUP(A174,'Trips&amp;Operators'!$C$1:$E$10000,3,FALSE)</f>
        <v>GEBRETEKLE</v>
      </c>
      <c r="M174" s="6">
        <f t="shared" si="73"/>
        <v>9.9189814864075743E-3</v>
      </c>
      <c r="N174" s="7">
        <f t="shared" si="71"/>
        <v>14.283333340426907</v>
      </c>
      <c r="O174" s="7"/>
      <c r="P174" s="7"/>
      <c r="Q174" s="25"/>
      <c r="R174" s="25"/>
      <c r="S174" s="37">
        <f t="shared" si="72"/>
        <v>1</v>
      </c>
      <c r="T174" s="52" t="str">
        <f t="shared" si="58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10:12:32-0600',mode:absolute,to:'2016-09-22 12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4" s="54" t="str">
        <f t="shared" si="74"/>
        <v>N</v>
      </c>
      <c r="X174" s="168">
        <f t="shared" si="68"/>
        <v>1</v>
      </c>
      <c r="Y174" s="69">
        <f t="shared" si="75"/>
        <v>9.8500000000000004E-2</v>
      </c>
      <c r="Z174" s="69">
        <f t="shared" si="76"/>
        <v>5.8987999999999996</v>
      </c>
      <c r="AA174" s="69">
        <f t="shared" si="63"/>
        <v>5.8003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64"/>
        <v>0817-22</v>
      </c>
      <c r="AE174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74" s="96" t="str">
        <f t="shared" si="66"/>
        <v>"C:\Program Files (x86)\AstroGrep\AstroGrep.exe" /spath="%USERPROFILE%\AppData\Local\Temp\OnboardLogs" /stypes="app*4025*20160922*" /stext=" 17:.+((SYSTEM_STATE.+slice.+state.+changed )|(ment ac)|(system.+state.+changed )|(\|lc)|(penalty)|(\[timeout)|(PRM\|1\|D)|(kpr)|(kdp))" /e /r /s</v>
      </c>
      <c r="AG174" s="1" t="str">
        <f t="shared" si="67"/>
        <v>NW</v>
      </c>
      <c r="AH174" s="100" t="str">
        <f t="shared" si="54"/>
        <v>"%USERPROFILE%\Documents\GitHub\eaglep3\Utilities\RefineRTDCRunTimes.py" --tripid 817-22 --locoid 4025 --swversion DE.1.0.7.0 --startMP 204:985 --initTime 2016-09-22T11:12:32 --startdatetime 2016-09-22T11:21:18 --delay 1 --endMP 300:58988 --enddatetime 2016-09-22T11:35:35 --enforcementcount 0 &gt;&gt;C:\Users\stu\Documents\GitHub\eaglep3-reporting\EC\2016-09-22-refined-times.txt</v>
      </c>
      <c r="AI174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{"issue":{"subject":"","project_id":79,"tracker_id":40,"status_id":1,"priority_id":2,"assigned_to_id":23,"start_date":"2016-09-22","description":"","custom_fields":[{"id":1,"name":"Subdivision","value":"NW"},{"id":4,"name":"Milepost","value":"5.8988"},{"id":17,"name":"Train ID","value":"817-22"},{"id":16,"name":"Locomotive ID","value":"4025"},{"id":130,"name":"Impact","value":""},{"id":150,"name":"Time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478</v>
      </c>
      <c r="B175" s="7">
        <v>4026</v>
      </c>
      <c r="C175" s="24" t="s">
        <v>106</v>
      </c>
      <c r="D175" s="24" t="s">
        <v>712</v>
      </c>
      <c r="E175" s="15">
        <v>42635.484398148146</v>
      </c>
      <c r="F175" s="15">
        <v>42635.486030092594</v>
      </c>
      <c r="G175" s="7">
        <v>1</v>
      </c>
      <c r="H175" s="15" t="s">
        <v>711</v>
      </c>
      <c r="I175" s="15">
        <v>42635.500532407408</v>
      </c>
      <c r="J175" s="7">
        <v>0</v>
      </c>
      <c r="K175" s="121" t="str">
        <f t="shared" si="56"/>
        <v>4025/4026</v>
      </c>
      <c r="L175" s="24" t="str">
        <f>VLOOKUP(A175,'Trips&amp;Operators'!$C$1:$E$10000,3,FALSE)</f>
        <v>GEBRETEKLE</v>
      </c>
      <c r="M175" s="6">
        <f t="shared" si="73"/>
        <v>1.4502314814308193E-2</v>
      </c>
      <c r="N175" s="7">
        <f t="shared" si="71"/>
        <v>20.883333332603797</v>
      </c>
      <c r="O175" s="7"/>
      <c r="P175" s="7"/>
      <c r="Q175" s="25"/>
      <c r="R175" s="25"/>
      <c r="S175" s="37">
        <f t="shared" si="72"/>
        <v>1</v>
      </c>
      <c r="T175" s="52" t="str">
        <f t="shared" si="58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10:37:32-0600',mode:absolute,to:'2016-09-22 13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5" s="54" t="str">
        <f t="shared" si="74"/>
        <v>N</v>
      </c>
      <c r="X175" s="168">
        <f t="shared" ref="X175:X195" si="77">VALUE(LEFT(AD175,4))-VALUE(LEFT(AD174,4))</f>
        <v>1</v>
      </c>
      <c r="Y175" s="69">
        <f t="shared" si="75"/>
        <v>5.8662000000000001</v>
      </c>
      <c r="Z175" s="69">
        <f t="shared" si="76"/>
        <v>6.9900000000000004E-2</v>
      </c>
      <c r="AA175" s="69">
        <f t="shared" si="63"/>
        <v>5.7963000000000005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64"/>
        <v>0818-22</v>
      </c>
      <c r="AE175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75" s="96" t="str">
        <f t="shared" si="66"/>
        <v>"C:\Program Files (x86)\AstroGrep\AstroGrep.exe" /spath="%USERPROFILE%\AppData\Local\Temp\OnboardLogs" /stypes="app*4026*20160922*" /stext=" 18:.+((SYSTEM_STATE.+slice.+state.+changed )|(ment ac)|(system.+state.+changed )|(\|lc)|(penalty)|(\[timeout)|(PRM\|1\|D)|(kpr)|(kdp))" /e /r /s</v>
      </c>
      <c r="AG175" s="1" t="str">
        <f t="shared" si="67"/>
        <v>NW</v>
      </c>
      <c r="AH175" s="100" t="str">
        <f t="shared" si="54"/>
        <v>"%USERPROFILE%\Documents\GitHub\eaglep3\Utilities\RefineRTDCRunTimes.py" --tripid 818-22 --locoid 4026 --swversion DE.1.0.7.0 --startMP 300:58662 --initTime 2016-09-22T11:37:32 --startdatetime 2016-09-22T11:39:53 --delay 1 --endMP 204:699 --enddatetime 2016-09-22T12:00:46 --enforcementcount 0 &gt;&gt;C:\Users\stu\Documents\GitHub\eaglep3-reporting\EC\2016-09-22-refined-times.txt</v>
      </c>
      <c r="AI175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{"issue":{"subject":"","project_id":79,"tracker_id":40,"status_id":1,"priority_id":2,"assigned_to_id":23,"start_date":"2016-09-22","description":"","custom_fields":[{"id":1,"name":"Subdivision","value":"NW"},{"id":4,"name":"Milepost","value":"0.0699"},{"id":17,"name":"Train ID","value":"818-22"},{"id":16,"name":"Locomotive ID","value":"4026"},{"id":130,"name":"Impact","value":""},{"id":150,"name":"Time of Event (Mountain Time)","value":"12:00:46"},{"id":151,"name":"Denver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485</v>
      </c>
      <c r="B176" s="7">
        <v>4025</v>
      </c>
      <c r="C176" s="24" t="s">
        <v>106</v>
      </c>
      <c r="D176" s="24" t="s">
        <v>713</v>
      </c>
      <c r="E176" s="15">
        <v>42635.508599537039</v>
      </c>
      <c r="F176" s="15">
        <v>42635.514803240738</v>
      </c>
      <c r="G176" s="7">
        <v>1</v>
      </c>
      <c r="H176" s="15" t="s">
        <v>707</v>
      </c>
      <c r="I176" s="15">
        <v>42635.524189814816</v>
      </c>
      <c r="J176" s="7">
        <v>0</v>
      </c>
      <c r="K176" s="121" t="str">
        <f t="shared" si="56"/>
        <v>4025/4026</v>
      </c>
      <c r="L176" s="24" t="str">
        <f>VLOOKUP(A176,'Trips&amp;Operators'!$C$1:$E$10000,3,FALSE)</f>
        <v>GEBRETEKLE</v>
      </c>
      <c r="M176" s="6">
        <f t="shared" si="73"/>
        <v>9.3865740782348439E-3</v>
      </c>
      <c r="N176" s="7">
        <f t="shared" si="71"/>
        <v>13.516666672658175</v>
      </c>
      <c r="O176" s="7"/>
      <c r="P176" s="7"/>
      <c r="Q176" s="25"/>
      <c r="R176" s="25"/>
      <c r="S176" s="37">
        <f t="shared" si="72"/>
        <v>1</v>
      </c>
      <c r="T176" s="52" t="str">
        <f t="shared" si="58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11:12:23-0600',mode:absolute,to:'2016-09-22 13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6" s="54" t="str">
        <f t="shared" si="74"/>
        <v>N</v>
      </c>
      <c r="X176" s="168">
        <f t="shared" si="77"/>
        <v>1</v>
      </c>
      <c r="Y176" s="69">
        <f t="shared" si="75"/>
        <v>9.9299999999999999E-2</v>
      </c>
      <c r="Z176" s="69">
        <f t="shared" si="76"/>
        <v>5.8992000000000004</v>
      </c>
      <c r="AA176" s="69">
        <f t="shared" si="63"/>
        <v>5.7999000000000001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64"/>
        <v>0819-22</v>
      </c>
      <c r="AE176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76" s="96" t="str">
        <f t="shared" si="66"/>
        <v>"C:\Program Files (x86)\AstroGrep\AstroGrep.exe" /spath="%USERPROFILE%\AppData\Local\Temp\OnboardLogs" /stypes="app*4025*20160922*" /stext=" 18:.+((SYSTEM_STATE.+slice.+state.+changed )|(ment ac)|(system.+state.+changed )|(\|lc)|(penalty)|(\[timeout)|(PRM\|1\|D)|(kpr)|(kdp))" /e /r /s</v>
      </c>
      <c r="AG176" s="1" t="str">
        <f t="shared" si="67"/>
        <v>NW</v>
      </c>
      <c r="AH176" s="100" t="str">
        <f t="shared" si="54"/>
        <v>"%USERPROFILE%\Documents\GitHub\eaglep3\Utilities\RefineRTDCRunTimes.py" --tripid 819-22 --locoid 4025 --swversion DE.1.0.7.0 --startMP 204:993 --initTime 2016-09-22T12:12:23 --startdatetime 2016-09-22T12:21:19 --delay 1 --endMP 300:58992 --enddatetime 2016-09-22T12:34:50 --enforcementcount 0 &gt;&gt;C:\Users\stu\Documents\GitHub\eaglep3-reporting\EC\2016-09-22-refined-times.txt</v>
      </c>
      <c r="AI176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{"issue":{"subject":"","project_id":79,"tracker_id":40,"status_id":1,"priority_id":2,"assigned_to_id":23,"start_date":"2016-09-22","description":"","custom_fields":[{"id":1,"name":"Subdivision","value":"NW"},{"id":4,"name":"Milepost","value":"5.8992"},{"id":17,"name":"Train ID","value":"819-22"},{"id":16,"name":"Locomotive ID","value":"4025"},{"id":130,"name":"Impact","value":""},{"id":150,"name":"Time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490</v>
      </c>
      <c r="B177" s="7">
        <v>4026</v>
      </c>
      <c r="C177" s="24" t="s">
        <v>106</v>
      </c>
      <c r="D177" s="24" t="s">
        <v>714</v>
      </c>
      <c r="E177" s="15">
        <v>42635.525416666664</v>
      </c>
      <c r="F177" s="15">
        <v>42635.526990740742</v>
      </c>
      <c r="G177" s="7">
        <v>1</v>
      </c>
      <c r="H177" s="15" t="s">
        <v>326</v>
      </c>
      <c r="I177" s="15">
        <v>42635.538240740738</v>
      </c>
      <c r="J177" s="7">
        <v>0</v>
      </c>
      <c r="K177" s="121" t="str">
        <f t="shared" si="56"/>
        <v>4025/4026</v>
      </c>
      <c r="L177" s="24" t="str">
        <f>VLOOKUP(A177,'Trips&amp;Operators'!$C$1:$E$10000,3,FALSE)</f>
        <v>GEBRETEKLE</v>
      </c>
      <c r="M177" s="6">
        <f t="shared" si="73"/>
        <v>1.1249999995925464E-2</v>
      </c>
      <c r="N177" s="7">
        <f t="shared" si="71"/>
        <v>16.199999994132668</v>
      </c>
      <c r="O177" s="7"/>
      <c r="P177" s="7"/>
      <c r="Q177" s="25"/>
      <c r="R177" s="25"/>
      <c r="S177" s="37">
        <f t="shared" si="72"/>
        <v>1</v>
      </c>
      <c r="T177" s="52" t="str">
        <f t="shared" si="58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11:36:36-0600',mode:absolute,to:'2016-09-22 13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7" s="54" t="str">
        <f t="shared" si="74"/>
        <v>N</v>
      </c>
      <c r="X177" s="168">
        <f t="shared" si="77"/>
        <v>1</v>
      </c>
      <c r="Y177" s="69">
        <f t="shared" si="75"/>
        <v>5.8667999999999996</v>
      </c>
      <c r="Z177" s="69">
        <f t="shared" si="76"/>
        <v>6.8199999999999997E-2</v>
      </c>
      <c r="AA177" s="69">
        <f t="shared" si="63"/>
        <v>5.7985999999999995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64"/>
        <v>0820-22</v>
      </c>
      <c r="AE177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77" s="96" t="str">
        <f t="shared" si="66"/>
        <v>"C:\Program Files (x86)\AstroGrep\AstroGrep.exe" /spath="%USERPROFILE%\AppData\Local\Temp\OnboardLogs" /stypes="app*4026*20160922*" /stext=" 18:.+((SYSTEM_STATE.+slice.+state.+changed )|(ment ac)|(system.+state.+changed )|(\|lc)|(penalty)|(\[timeout)|(PRM\|1\|D)|(kpr)|(kdp))" /e /r /s</v>
      </c>
      <c r="AG177" s="1" t="str">
        <f t="shared" si="67"/>
        <v>NW</v>
      </c>
      <c r="AH177" s="100" t="str">
        <f t="shared" si="54"/>
        <v>"%USERPROFILE%\Documents\GitHub\eaglep3\Utilities\RefineRTDCRunTimes.py" --tripid 820-22 --locoid 4026 --swversion DE.1.0.7.0 --startMP 300:58668 --initTime 2016-09-22T12:36:36 --startdatetime 2016-09-22T12:38:52 --delay 1 --endMP 204:682 --enddatetime 2016-09-22T12:55:04 --enforcementcount 0 &gt;&gt;C:\Users\stu\Documents\GitHub\eaglep3-reporting\EC\2016-09-22-refined-times.txt</v>
      </c>
      <c r="AI177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{"issue":{"subject":"","project_id":79,"tracker_id":40,"status_id":1,"priority_id":2,"assigned_to_id":23,"start_date":"2016-09-22","description":"","custom_fields":[{"id":1,"name":"Subdivision","value":"NW"},{"id":4,"name":"Milepost","value":"0.0682"},{"id":17,"name":"Train ID","value":"820-22"},{"id":16,"name":"Locomotive ID","value":"4026"},{"id":130,"name":"Impact","value":""},{"id":150,"name":"Time of Event (Mountain Time)","value":"12:55:04"},{"id":151,"name":"Denver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497</v>
      </c>
      <c r="B178" s="7">
        <v>4025</v>
      </c>
      <c r="C178" s="24" t="s">
        <v>106</v>
      </c>
      <c r="D178" s="24" t="s">
        <v>715</v>
      </c>
      <c r="E178" s="15">
        <v>42635.553587962961</v>
      </c>
      <c r="F178" s="15">
        <v>42635.556493055556</v>
      </c>
      <c r="G178" s="7">
        <v>1</v>
      </c>
      <c r="H178" s="15" t="s">
        <v>716</v>
      </c>
      <c r="I178" s="15">
        <v>42635.566550925927</v>
      </c>
      <c r="J178" s="7">
        <v>0</v>
      </c>
      <c r="K178" s="121" t="str">
        <f t="shared" si="56"/>
        <v>4025/4026</v>
      </c>
      <c r="L178" s="24" t="str">
        <f>VLOOKUP(A178,'Trips&amp;Operators'!$C$1:$E$10000,3,FALSE)</f>
        <v>HELVIE</v>
      </c>
      <c r="M178" s="6">
        <f t="shared" si="73"/>
        <v>1.0057870371383615E-2</v>
      </c>
      <c r="N178" s="7">
        <f t="shared" si="71"/>
        <v>14.483333334792405</v>
      </c>
      <c r="O178" s="7"/>
      <c r="P178" s="7"/>
      <c r="Q178" s="25"/>
      <c r="R178" s="25"/>
      <c r="S178" s="37">
        <f t="shared" si="72"/>
        <v>1</v>
      </c>
      <c r="T178" s="52" t="str">
        <f t="shared" si="58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12:17:10-0600',mode:absolute,to:'2016-09-22 14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8" s="54" t="str">
        <f t="shared" si="74"/>
        <v>N</v>
      </c>
      <c r="X178" s="168">
        <f t="shared" si="77"/>
        <v>1</v>
      </c>
      <c r="Y178" s="69">
        <f t="shared" si="75"/>
        <v>9.9500000000000005E-2</v>
      </c>
      <c r="Z178" s="69">
        <f t="shared" si="76"/>
        <v>5.8929</v>
      </c>
      <c r="AA178" s="69">
        <f t="shared" si="63"/>
        <v>5.7934000000000001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64"/>
        <v>0821-22</v>
      </c>
      <c r="AE178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78" s="96" t="str">
        <f t="shared" si="66"/>
        <v>"C:\Program Files (x86)\AstroGrep\AstroGrep.exe" /spath="%USERPROFILE%\AppData\Local\Temp\OnboardLogs" /stypes="app*4025*20160922*" /stext=" 19:.+((SYSTEM_STATE.+slice.+state.+changed )|(ment ac)|(system.+state.+changed )|(\|lc)|(penalty)|(\[timeout)|(PRM\|1\|D)|(kpr)|(kdp))" /e /r /s</v>
      </c>
      <c r="AG178" s="1" t="str">
        <f t="shared" si="67"/>
        <v>NW</v>
      </c>
      <c r="AH178" s="100" t="str">
        <f t="shared" si="54"/>
        <v>"%USERPROFILE%\Documents\GitHub\eaglep3\Utilities\RefineRTDCRunTimes.py" --tripid 821-22 --locoid 4025 --swversion DE.1.0.7.0 --startMP 204:995 --initTime 2016-09-22T13:17:10 --startdatetime 2016-09-22T13:21:21 --delay 1 --endMP 300:58929 --enddatetime 2016-09-22T13:35:50 --enforcementcount 0 &gt;&gt;C:\Users\stu\Documents\GitHub\eaglep3-reporting\EC\2016-09-22-refined-times.txt</v>
      </c>
      <c r="AI178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{"issue":{"subject":"","project_id":79,"tracker_id":40,"status_id":1,"priority_id":2,"assigned_to_id":23,"start_date":"2016-09-22","description":"","custom_fields":[{"id":1,"name":"Subdivision","value":"NW"},{"id":4,"name":"Milepost","value":"5.8929"},{"id":17,"name":"Train ID","value":"821-22"},{"id":16,"name":"Locomotive ID","value":"4025"},{"id":130,"name":"Impact","value":""},{"id":150,"name":"Time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501</v>
      </c>
      <c r="B179" s="7">
        <v>4026</v>
      </c>
      <c r="C179" s="24" t="s">
        <v>106</v>
      </c>
      <c r="D179" s="24" t="s">
        <v>698</v>
      </c>
      <c r="E179" s="15">
        <v>42635.56827546296</v>
      </c>
      <c r="F179" s="15">
        <v>42635.570219907408</v>
      </c>
      <c r="G179" s="7">
        <v>1</v>
      </c>
      <c r="H179" s="15" t="s">
        <v>351</v>
      </c>
      <c r="I179" s="15">
        <v>42635.579965277779</v>
      </c>
      <c r="J179" s="7">
        <v>0</v>
      </c>
      <c r="K179" s="121" t="str">
        <f t="shared" si="56"/>
        <v>4025/4026</v>
      </c>
      <c r="L179" s="24" t="str">
        <f>VLOOKUP(A179,'Trips&amp;Operators'!$C$1:$E$10000,3,FALSE)</f>
        <v>HELVIE</v>
      </c>
      <c r="M179" s="6">
        <f t="shared" si="73"/>
        <v>9.7453703710925765E-3</v>
      </c>
      <c r="N179" s="7">
        <f t="shared" si="71"/>
        <v>14.03333333437331</v>
      </c>
      <c r="O179" s="7"/>
      <c r="P179" s="7"/>
      <c r="Q179" s="25"/>
      <c r="R179" s="25"/>
      <c r="S179" s="37">
        <f t="shared" si="72"/>
        <v>1</v>
      </c>
      <c r="T179" s="52" t="str">
        <f t="shared" si="58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12:38:19-0600',mode:absolute,to:'2016-09-22 14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9" s="54" t="str">
        <f t="shared" si="74"/>
        <v>N</v>
      </c>
      <c r="X179" s="168">
        <f t="shared" si="77"/>
        <v>1</v>
      </c>
      <c r="Y179" s="69">
        <f t="shared" si="75"/>
        <v>5.8611000000000004</v>
      </c>
      <c r="Z179" s="69">
        <f t="shared" si="76"/>
        <v>7.5499999999999998E-2</v>
      </c>
      <c r="AA179" s="69">
        <f t="shared" si="63"/>
        <v>5.7856000000000005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64"/>
        <v>0822-22</v>
      </c>
      <c r="AE179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79" s="96" t="str">
        <f t="shared" si="66"/>
        <v>"C:\Program Files (x86)\AstroGrep\AstroGrep.exe" /spath="%USERPROFILE%\AppData\Local\Temp\OnboardLogs" /stypes="app*4026*20160922*" /stext=" 19:.+((SYSTEM_STATE.+slice.+state.+changed )|(ment ac)|(system.+state.+changed )|(\|lc)|(penalty)|(\[timeout)|(PRM\|1\|D)|(kpr)|(kdp))" /e /r /s</v>
      </c>
      <c r="AG179" s="1" t="str">
        <f t="shared" si="67"/>
        <v>NW</v>
      </c>
      <c r="AH179" s="100" t="str">
        <f t="shared" si="54"/>
        <v>"%USERPROFILE%\Documents\GitHub\eaglep3\Utilities\RefineRTDCRunTimes.py" --tripid 822-22 --locoid 4026 --swversion DE.1.0.7.0 --startMP 300:58611 --initTime 2016-09-22T13:38:19 --startdatetime 2016-09-22T13:41:07 --delay 1 --endMP 204:755 --enddatetime 2016-09-22T13:55:09 --enforcementcount 0 &gt;&gt;C:\Users\stu\Documents\GitHub\eaglep3-reporting\EC\2016-09-22-refined-times.txt</v>
      </c>
      <c r="AI179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{"issue":{"subject":"","project_id":79,"tracker_id":40,"status_id":1,"priority_id":2,"assigned_to_id":23,"start_date":"2016-09-22","description":"","custom_fields":[{"id":1,"name":"Subdivision","value":"NW"},{"id":4,"name":"Milepost","value":"0.0755"},{"id":17,"name":"Train ID","value":"822-22"},{"id":16,"name":"Locomotive ID","value":"4026"},{"id":130,"name":"Impact","value":""},{"id":150,"name":"Time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508</v>
      </c>
      <c r="B180" s="7">
        <v>4025</v>
      </c>
      <c r="C180" s="24" t="s">
        <v>106</v>
      </c>
      <c r="D180" s="24" t="s">
        <v>717</v>
      </c>
      <c r="E180" s="15">
        <v>42635.596215277779</v>
      </c>
      <c r="F180" s="15">
        <v>42635.59815972222</v>
      </c>
      <c r="G180" s="7">
        <v>1</v>
      </c>
      <c r="H180" s="15" t="s">
        <v>718</v>
      </c>
      <c r="I180" s="15">
        <v>42635.608159722222</v>
      </c>
      <c r="J180" s="7">
        <v>0</v>
      </c>
      <c r="K180" s="121" t="str">
        <f t="shared" si="56"/>
        <v>4025/4026</v>
      </c>
      <c r="L180" s="24" t="str">
        <f>VLOOKUP(A180,'Trips&amp;Operators'!$C$1:$E$10000,3,FALSE)</f>
        <v>HELVIE</v>
      </c>
      <c r="M180" s="6">
        <f t="shared" si="73"/>
        <v>1.0000000002037268E-2</v>
      </c>
      <c r="N180" s="7">
        <f t="shared" si="71"/>
        <v>14.400000002933666</v>
      </c>
      <c r="O180" s="7"/>
      <c r="P180" s="7"/>
      <c r="Q180" s="25"/>
      <c r="R180" s="25"/>
      <c r="S180" s="37">
        <f t="shared" si="72"/>
        <v>1</v>
      </c>
      <c r="T180" s="52" t="str">
        <f t="shared" si="58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13:18:33-0600',mode:absolute,to:'2016-09-22 15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0" s="54" t="str">
        <f t="shared" si="74"/>
        <v>N</v>
      </c>
      <c r="X180" s="168">
        <f t="shared" si="77"/>
        <v>1</v>
      </c>
      <c r="Y180" s="69">
        <f t="shared" si="75"/>
        <v>0.1037</v>
      </c>
      <c r="Z180" s="69">
        <f t="shared" si="76"/>
        <v>5.8925999999999998</v>
      </c>
      <c r="AA180" s="69">
        <f t="shared" si="63"/>
        <v>5.7888999999999999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64"/>
        <v>0823-22</v>
      </c>
      <c r="AE180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80" s="96" t="str">
        <f t="shared" si="66"/>
        <v>"C:\Program Files (x86)\AstroGrep\AstroGrep.exe" /spath="%USERPROFILE%\AppData\Local\Temp\OnboardLogs" /stypes="app*4025*20160922*" /stext=" 20:.+((SYSTEM_STATE.+slice.+state.+changed )|(ment ac)|(system.+state.+changed )|(\|lc)|(penalty)|(\[timeout)|(PRM\|1\|D)|(kpr)|(kdp))" /e /r /s</v>
      </c>
      <c r="AG180" s="1" t="str">
        <f t="shared" si="67"/>
        <v>NW</v>
      </c>
      <c r="AH180" s="100" t="str">
        <f t="shared" si="54"/>
        <v>"%USERPROFILE%\Documents\GitHub\eaglep3\Utilities\RefineRTDCRunTimes.py" --tripid 823-22 --locoid 4025 --swversion DE.1.0.7.0 --startMP 204:1037 --initTime 2016-09-22T14:18:33 --startdatetime 2016-09-22T14:21:21 --delay 1 --endMP 300:58926 --enddatetime 2016-09-22T14:35:45 --enforcementcount 0 &gt;&gt;C:\Users\stu\Documents\GitHub\eaglep3-reporting\EC\2016-09-22-refined-times.txt</v>
      </c>
      <c r="AI180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{"issue":{"subject":"","project_id":79,"tracker_id":40,"status_id":1,"priority_id":2,"assigned_to_id":23,"start_date":"2016-09-22","description":"","custom_fields":[{"id":1,"name":"Subdivision","value":"NW"},{"id":4,"name":"Milepost","value":"5.8926"},{"id":17,"name":"Train ID","value":"823-22"},{"id":16,"name":"Locomotive ID","value":"4025"},{"id":130,"name":"Impact","value":""},{"id":150,"name":"Time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511</v>
      </c>
      <c r="B181" s="7">
        <v>4026</v>
      </c>
      <c r="C181" s="24" t="s">
        <v>106</v>
      </c>
      <c r="D181" s="24" t="s">
        <v>719</v>
      </c>
      <c r="E181" s="15">
        <v>42635.609467592592</v>
      </c>
      <c r="F181" s="15">
        <v>42635.611076388886</v>
      </c>
      <c r="G181" s="7">
        <v>2</v>
      </c>
      <c r="H181" s="15" t="s">
        <v>720</v>
      </c>
      <c r="I181" s="15">
        <v>42635.621261574073</v>
      </c>
      <c r="J181" s="7">
        <v>0</v>
      </c>
      <c r="K181" s="121" t="str">
        <f t="shared" si="56"/>
        <v>4025/4026</v>
      </c>
      <c r="L181" s="24" t="str">
        <f>VLOOKUP(A181,'Trips&amp;Operators'!$C$1:$E$10000,3,FALSE)</f>
        <v>HELVIE</v>
      </c>
      <c r="M181" s="6">
        <f t="shared" si="73"/>
        <v>1.0185185186855961E-2</v>
      </c>
      <c r="N181" s="7">
        <f t="shared" si="71"/>
        <v>14.666666669072583</v>
      </c>
      <c r="O181" s="7"/>
      <c r="P181" s="7"/>
      <c r="Q181" s="25"/>
      <c r="R181" s="25"/>
      <c r="S181" s="37">
        <f t="shared" si="72"/>
        <v>1</v>
      </c>
      <c r="T181" s="52" t="str">
        <f t="shared" si="58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13:37:38-0600',mode:absolute,to:'2016-09-22 15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1" s="54" t="str">
        <f t="shared" si="74"/>
        <v>N</v>
      </c>
      <c r="X181" s="168">
        <f t="shared" si="77"/>
        <v>1</v>
      </c>
      <c r="Y181" s="69">
        <f t="shared" si="75"/>
        <v>5.8613</v>
      </c>
      <c r="Z181" s="69">
        <f t="shared" si="76"/>
        <v>8.1699999999999995E-2</v>
      </c>
      <c r="AA181" s="69">
        <f t="shared" si="63"/>
        <v>5.7796000000000003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64"/>
        <v>0824-22</v>
      </c>
      <c r="AE181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81" s="96" t="str">
        <f t="shared" si="66"/>
        <v>"C:\Program Files (x86)\AstroGrep\AstroGrep.exe" /spath="%USERPROFILE%\AppData\Local\Temp\OnboardLogs" /stypes="app*4026*20160922*" /stext=" 20:.+((SYSTEM_STATE.+slice.+state.+changed )|(ment ac)|(system.+state.+changed )|(\|lc)|(penalty)|(\[timeout)|(PRM\|1\|D)|(kpr)|(kdp))" /e /r /s</v>
      </c>
      <c r="AG181" s="1" t="str">
        <f t="shared" si="67"/>
        <v>NW</v>
      </c>
      <c r="AH181" s="100" t="str">
        <f t="shared" si="54"/>
        <v>"%USERPROFILE%\Documents\GitHub\eaglep3\Utilities\RefineRTDCRunTimes.py" --tripid 824-22 --locoid 4026 --swversion DE.1.0.7.0 --startMP 300:58613 --initTime 2016-09-22T14:37:38 --startdatetime 2016-09-22T14:39:57 --delay 2 --endMP 204:817 --enddatetime 2016-09-22T14:54:37 --enforcementcount 0 &gt;&gt;C:\Users\stu\Documents\GitHub\eaglep3-reporting\EC\2016-09-22-refined-times.txt</v>
      </c>
      <c r="AI181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{"issue":{"subject":"","project_id":79,"tracker_id":40,"status_id":1,"priority_id":2,"assigned_to_id":23,"start_date":"2016-09-22","description":"","custom_fields":[{"id":1,"name":"Subdivision","value":"NW"},{"id":4,"name":"Milepost","value":"0.0817"},{"id":17,"name":"Train ID","value":"824-22"},{"id":16,"name":"Locomotive ID","value":"4026"},{"id":130,"name":"Impact","value":""},{"id":150,"name":"Time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519</v>
      </c>
      <c r="B182" s="7">
        <v>4025</v>
      </c>
      <c r="C182" s="24" t="s">
        <v>106</v>
      </c>
      <c r="D182" s="24" t="s">
        <v>721</v>
      </c>
      <c r="E182" s="15">
        <v>42635.635810185187</v>
      </c>
      <c r="F182" s="15">
        <v>42635.639756944445</v>
      </c>
      <c r="G182" s="7">
        <v>1</v>
      </c>
      <c r="H182" s="15" t="s">
        <v>324</v>
      </c>
      <c r="I182" s="15">
        <v>42635.649664351855</v>
      </c>
      <c r="J182" s="7">
        <v>0</v>
      </c>
      <c r="K182" s="121" t="str">
        <f t="shared" si="56"/>
        <v>4025/4026</v>
      </c>
      <c r="L182" s="24" t="str">
        <f>VLOOKUP(A182,'Trips&amp;Operators'!$C$1:$E$10000,3,FALSE)</f>
        <v>HELVIE</v>
      </c>
      <c r="M182" s="6">
        <f t="shared" si="73"/>
        <v>9.9074074096279219E-3</v>
      </c>
      <c r="N182" s="7">
        <f t="shared" si="71"/>
        <v>14.266666669864208</v>
      </c>
      <c r="O182" s="7"/>
      <c r="P182" s="7"/>
      <c r="Q182" s="25"/>
      <c r="R182" s="25"/>
      <c r="S182" s="37">
        <f t="shared" si="72"/>
        <v>1</v>
      </c>
      <c r="T182" s="52" t="str">
        <f t="shared" si="58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14:15:34-0600',mode:absolute,to:'2016-09-22 16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2" s="54" t="str">
        <f t="shared" si="74"/>
        <v>N</v>
      </c>
      <c r="X182" s="168">
        <f t="shared" si="77"/>
        <v>1</v>
      </c>
      <c r="Y182" s="69">
        <f t="shared" si="75"/>
        <v>0.1118</v>
      </c>
      <c r="Z182" s="69">
        <f t="shared" si="76"/>
        <v>5.8939000000000004</v>
      </c>
      <c r="AA182" s="69">
        <f t="shared" si="63"/>
        <v>5.7821000000000007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64"/>
        <v>0825-22</v>
      </c>
      <c r="AE182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82" s="96" t="str">
        <f t="shared" si="66"/>
        <v>"C:\Program Files (x86)\AstroGrep\AstroGrep.exe" /spath="%USERPROFILE%\AppData\Local\Temp\OnboardLogs" /stypes="app*4025*20160922*" /stext=" 21:.+((SYSTEM_STATE.+slice.+state.+changed )|(ment ac)|(system.+state.+changed )|(\|lc)|(penalty)|(\[timeout)|(PRM\|1\|D)|(kpr)|(kdp))" /e /r /s</v>
      </c>
      <c r="AG182" s="1" t="str">
        <f t="shared" si="67"/>
        <v>NW</v>
      </c>
      <c r="AH182" s="100" t="str">
        <f t="shared" si="54"/>
        <v>"%USERPROFILE%\Documents\GitHub\eaglep3\Utilities\RefineRTDCRunTimes.py" --tripid 825-22 --locoid 4025 --swversion DE.1.0.7.0 --startMP 204:1118 --initTime 2016-09-22T15:15:34 --startdatetime 2016-09-22T15:21:15 --delay 1 --endMP 300:58939 --enddatetime 2016-09-22T15:35:31 --enforcementcount 0 &gt;&gt;C:\Users\stu\Documents\GitHub\eaglep3-reporting\EC\2016-09-22-refined-times.txt</v>
      </c>
      <c r="AI182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{"issue":{"subject":"","project_id":79,"tracker_id":40,"status_id":1,"priority_id":2,"assigned_to_id":23,"start_date":"2016-09-22","description":"","custom_fields":[{"id":1,"name":"Subdivision","value":"NW"},{"id":4,"name":"Milepost","value":"5.8939"},{"id":17,"name":"Train ID","value":"825-22"},{"id":16,"name":"Locomotive ID","value":"4025"},{"id":130,"name":"Impact","value":""},{"id":150,"name":"Time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523</v>
      </c>
      <c r="B183" s="7">
        <v>4026</v>
      </c>
      <c r="C183" s="24" t="s">
        <v>106</v>
      </c>
      <c r="D183" s="24" t="s">
        <v>264</v>
      </c>
      <c r="E183" s="15">
        <v>42635.650729166664</v>
      </c>
      <c r="F183" s="15">
        <v>42635.65216435185</v>
      </c>
      <c r="G183" s="7">
        <v>1</v>
      </c>
      <c r="H183" s="15" t="s">
        <v>722</v>
      </c>
      <c r="I183" s="15">
        <v>42635.665358796294</v>
      </c>
      <c r="J183" s="7">
        <v>0</v>
      </c>
      <c r="K183" s="121" t="str">
        <f t="shared" si="56"/>
        <v>4025/4026</v>
      </c>
      <c r="L183" s="24" t="str">
        <f>VLOOKUP(A183,'Trips&amp;Operators'!$C$1:$E$10000,3,FALSE)</f>
        <v>HELVIE</v>
      </c>
      <c r="M183" s="6">
        <f t="shared" si="73"/>
        <v>1.3194444443797693E-2</v>
      </c>
      <c r="N183" s="7">
        <f t="shared" si="71"/>
        <v>18.999999999068677</v>
      </c>
      <c r="O183" s="7"/>
      <c r="P183" s="7"/>
      <c r="Q183" s="25"/>
      <c r="R183" s="25"/>
      <c r="S183" s="37">
        <f t="shared" si="72"/>
        <v>1</v>
      </c>
      <c r="T183" s="52" t="str">
        <f t="shared" si="58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14:37:03-0600',mode:absolute,to:'2016-09-22 16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3" s="54" t="str">
        <f t="shared" si="74"/>
        <v>N</v>
      </c>
      <c r="X183" s="168">
        <f t="shared" si="77"/>
        <v>1</v>
      </c>
      <c r="Y183" s="69">
        <f t="shared" si="75"/>
        <v>5.8619000000000003</v>
      </c>
      <c r="Z183" s="69">
        <f t="shared" si="76"/>
        <v>7.4099999999999999E-2</v>
      </c>
      <c r="AA183" s="69">
        <f t="shared" si="63"/>
        <v>5.7878000000000007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64"/>
        <v>0826-22</v>
      </c>
      <c r="AE183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83" s="96" t="str">
        <f t="shared" si="66"/>
        <v>"C:\Program Files (x86)\AstroGrep\AstroGrep.exe" /spath="%USERPROFILE%\AppData\Local\Temp\OnboardLogs" /stypes="app*4026*20160922*" /stext=" 21:.+((SYSTEM_STATE.+slice.+state.+changed )|(ment ac)|(system.+state.+changed )|(\|lc)|(penalty)|(\[timeout)|(PRM\|1\|D)|(kpr)|(kdp))" /e /r /s</v>
      </c>
      <c r="AG183" s="1" t="str">
        <f t="shared" si="67"/>
        <v>NW</v>
      </c>
      <c r="AH183" s="100" t="str">
        <f t="shared" si="54"/>
        <v>"%USERPROFILE%\Documents\GitHub\eaglep3\Utilities\RefineRTDCRunTimes.py" --tripid 826-22 --locoid 4026 --swversion DE.1.0.7.0 --startMP 300:58619 --initTime 2016-09-22T15:37:03 --startdatetime 2016-09-22T15:39:07 --delay 1 --endMP 204:741 --enddatetime 2016-09-22T15:58:07 --enforcementcount 0 &gt;&gt;C:\Users\stu\Documents\GitHub\eaglep3-reporting\EC\2016-09-22-refined-times.txt</v>
      </c>
      <c r="AI183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{"issue":{"subject":"","project_id":79,"tracker_id":40,"status_id":1,"priority_id":2,"assigned_to_id":23,"start_date":"2016-09-22","description":"","custom_fields":[{"id":1,"name":"Subdivision","value":"NW"},{"id":4,"name":"Milepost","value":"0.0741"},{"id":17,"name":"Train ID","value":"826-22"},{"id":16,"name":"Locomotive ID","value":"4026"},{"id":130,"name":"Impact","value":""},{"id":150,"name":"Time of Event (Mountain Time)","value":"15:58:07"},{"id":151,"name":"Denver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525</v>
      </c>
      <c r="B184" s="7">
        <v>4011</v>
      </c>
      <c r="C184" s="24" t="s">
        <v>106</v>
      </c>
      <c r="D184" s="24" t="s">
        <v>723</v>
      </c>
      <c r="E184" s="15">
        <v>42635.656875000001</v>
      </c>
      <c r="F184" s="15">
        <v>42635.660717592589</v>
      </c>
      <c r="G184" s="7">
        <v>1</v>
      </c>
      <c r="H184" s="15" t="s">
        <v>724</v>
      </c>
      <c r="I184" s="15">
        <v>42635.669131944444</v>
      </c>
      <c r="J184" s="7">
        <v>0</v>
      </c>
      <c r="K184" s="121" t="str">
        <f t="shared" si="56"/>
        <v>4011/4012</v>
      </c>
      <c r="L184" s="24" t="str">
        <f>VLOOKUP(A184,'Trips&amp;Operators'!$C$1:$E$10000,3,FALSE)</f>
        <v>YANAI</v>
      </c>
      <c r="M184" s="6">
        <f t="shared" si="73"/>
        <v>8.4143518542987294E-3</v>
      </c>
      <c r="N184" s="7">
        <f t="shared" si="71"/>
        <v>12.11666667019017</v>
      </c>
      <c r="O184" s="7"/>
      <c r="P184" s="7"/>
      <c r="Q184" s="25"/>
      <c r="R184" s="25"/>
      <c r="S184" s="37">
        <f t="shared" si="72"/>
        <v>1</v>
      </c>
      <c r="T184" s="52" t="str">
        <f t="shared" si="58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14:45:54-0600',mode:absolute,to:'2016-09-22 17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4" s="54" t="str">
        <f t="shared" si="74"/>
        <v>N</v>
      </c>
      <c r="X184" s="168">
        <f t="shared" si="77"/>
        <v>1</v>
      </c>
      <c r="Y184" s="69">
        <f t="shared" si="75"/>
        <v>9.5699999999999993E-2</v>
      </c>
      <c r="Z184" s="69">
        <f t="shared" si="76"/>
        <v>5.8307000000000002</v>
      </c>
      <c r="AA184" s="69">
        <f t="shared" si="63"/>
        <v>5.7350000000000003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64"/>
        <v>0827-22</v>
      </c>
      <c r="AE184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84" s="96" t="str">
        <f t="shared" si="66"/>
        <v>"C:\Program Files (x86)\AstroGrep\AstroGrep.exe" /spath="%USERPROFILE%\AppData\Local\Temp\OnboardLogs" /stypes="app*4011*20160922*" /stext=" 22:.+((SYSTEM_STATE.+slice.+state.+changed )|(ment ac)|(system.+state.+changed )|(\|lc)|(penalty)|(\[timeout)|(PRM\|1\|D)|(kpr)|(kdp))" /e /r /s</v>
      </c>
      <c r="AG184" s="1" t="str">
        <f t="shared" si="67"/>
        <v>NW</v>
      </c>
      <c r="AH184" s="100" t="str">
        <f t="shared" si="54"/>
        <v>"%USERPROFILE%\Documents\GitHub\eaglep3\Utilities\RefineRTDCRunTimes.py" --tripid 827-22 --locoid 4011 --swversion DE.1.0.7.0 --startMP 204:957 --initTime 2016-09-22T15:45:54 --startdatetime 2016-09-22T15:51:26 --delay 1 --endMP 300:58307 --enddatetime 2016-09-22T16:03:33 --enforcementcount 0 &gt;&gt;C:\Users\stu\Documents\GitHub\eaglep3-reporting\EC\2016-09-22-refined-times.txt</v>
      </c>
      <c r="AI184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{"issue":{"subject":"","project_id":79,"tracker_id":40,"status_id":1,"priority_id":2,"assigned_to_id":23,"start_date":"2016-09-22","description":"","custom_fields":[{"id":1,"name":"Subdivision","value":"NW"},{"id":4,"name":"Milepost","value":"5.8307"},{"id":17,"name":"Train ID","value":"827-22"},{"id":16,"name":"Locomotive ID","value":"4011"},{"id":130,"name":"Impact","value":""},{"id":150,"name":"Time of Event (Mountain Time)","value":"16:03:33"},{"id":151,"name":"Denver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529</v>
      </c>
      <c r="B185" s="7">
        <v>4012</v>
      </c>
      <c r="C185" s="24" t="s">
        <v>106</v>
      </c>
      <c r="D185" s="24" t="s">
        <v>700</v>
      </c>
      <c r="E185" s="15">
        <v>42635.670729166668</v>
      </c>
      <c r="F185" s="15">
        <v>42635.671944444446</v>
      </c>
      <c r="G185" s="7">
        <v>2</v>
      </c>
      <c r="H185" s="15" t="s">
        <v>725</v>
      </c>
      <c r="I185" s="15">
        <v>42635.684155092589</v>
      </c>
      <c r="J185" s="7">
        <v>0</v>
      </c>
      <c r="K185" s="121" t="str">
        <f t="shared" si="56"/>
        <v>4011/4012</v>
      </c>
      <c r="L185" s="24" t="str">
        <f>VLOOKUP(A185,'Trips&amp;Operators'!$C$1:$E$10000,3,FALSE)</f>
        <v>YANAI</v>
      </c>
      <c r="M185" s="6">
        <f t="shared" si="73"/>
        <v>1.2210648143081926E-2</v>
      </c>
      <c r="N185" s="7">
        <f t="shared" si="71"/>
        <v>17.583333326037973</v>
      </c>
      <c r="O185" s="7"/>
      <c r="P185" s="7"/>
      <c r="Q185" s="25"/>
      <c r="R185" s="25"/>
      <c r="S185" s="37">
        <f t="shared" si="72"/>
        <v>1</v>
      </c>
      <c r="T185" s="52" t="str">
        <f t="shared" si="58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15:05:51-0600',mode:absolute,to:'2016-09-22 17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5" s="54" t="str">
        <f t="shared" si="74"/>
        <v>N</v>
      </c>
      <c r="X185" s="168">
        <f t="shared" si="77"/>
        <v>1</v>
      </c>
      <c r="Y185" s="69">
        <f t="shared" si="75"/>
        <v>5.7339000000000002</v>
      </c>
      <c r="Z185" s="69">
        <f t="shared" si="76"/>
        <v>6.6600000000000006E-2</v>
      </c>
      <c r="AA185" s="69">
        <f t="shared" si="63"/>
        <v>5.6673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64"/>
        <v>0828-22</v>
      </c>
      <c r="AE185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85" s="96" t="str">
        <f t="shared" si="66"/>
        <v>"C:\Program Files (x86)\AstroGrep\AstroGrep.exe" /spath="%USERPROFILE%\AppData\Local\Temp\OnboardLogs" /stypes="app*4012*20160922*" /stext=" 22:.+((SYSTEM_STATE.+slice.+state.+changed )|(ment ac)|(system.+state.+changed )|(\|lc)|(penalty)|(\[timeout)|(PRM\|1\|D)|(kpr)|(kdp))" /e /r /s</v>
      </c>
      <c r="AG185" s="1" t="str">
        <f t="shared" si="67"/>
        <v>NW</v>
      </c>
      <c r="AH185" s="100" t="str">
        <f t="shared" si="54"/>
        <v>"%USERPROFILE%\Documents\GitHub\eaglep3\Utilities\RefineRTDCRunTimes.py" --tripid 828-22 --locoid 4012 --swversion DE.1.0.7.0 --startMP 300:57339 --initTime 2016-09-22T16:05:51 --startdatetime 2016-09-22T16:07:36 --delay 2 --endMP 204:666 --enddatetime 2016-09-22T16:25:11 --enforcementcount 0 &gt;&gt;C:\Users\stu\Documents\GitHub\eaglep3-reporting\EC\2016-09-22-refined-times.txt</v>
      </c>
      <c r="AI185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{"issue":{"subject":"","project_id":79,"tracker_id":40,"status_id":1,"priority_id":2,"assigned_to_id":23,"start_date":"2016-09-22","description":"","custom_fields":[{"id":1,"name":"Subdivision","value":"NW"},{"id":4,"name":"Milepost","value":"0.0666"},{"id":17,"name":"Train ID","value":"828-22"},{"id":16,"name":"Locomotive ID","value":"4012"},{"id":130,"name":"Impact","value":""},{"id":150,"name":"Time of Event (Mountain Time)","value":"16:25:11"},{"id":151,"name":"Denver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532</v>
      </c>
      <c r="B186" s="7">
        <v>4025</v>
      </c>
      <c r="C186" s="24" t="s">
        <v>106</v>
      </c>
      <c r="D186" s="24" t="s">
        <v>726</v>
      </c>
      <c r="E186" s="15">
        <v>42635.677719907406</v>
      </c>
      <c r="F186" s="15">
        <v>42635.681423611109</v>
      </c>
      <c r="G186" s="7">
        <v>1</v>
      </c>
      <c r="H186" s="15" t="s">
        <v>727</v>
      </c>
      <c r="I186" s="15">
        <v>42635.691562499997</v>
      </c>
      <c r="J186" s="7">
        <v>0</v>
      </c>
      <c r="K186" s="121" t="str">
        <f t="shared" si="56"/>
        <v>4025/4026</v>
      </c>
      <c r="L186" s="24" t="str">
        <f>VLOOKUP(A186,'Trips&amp;Operators'!$C$1:$E$10000,3,FALSE)</f>
        <v>HELVIE</v>
      </c>
      <c r="M186" s="6">
        <f t="shared" si="73"/>
        <v>1.0138888887013309E-2</v>
      </c>
      <c r="N186" s="7">
        <f t="shared" si="71"/>
        <v>14.599999997299165</v>
      </c>
      <c r="O186" s="7"/>
      <c r="P186" s="7"/>
      <c r="Q186" s="25"/>
      <c r="R186" s="25"/>
      <c r="S186" s="37">
        <f t="shared" si="72"/>
        <v>1</v>
      </c>
      <c r="T186" s="52" t="str">
        <f t="shared" si="58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15:15:55-0600',mode:absolute,to:'2016-09-22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6" s="54" t="str">
        <f t="shared" si="74"/>
        <v>N</v>
      </c>
      <c r="X186" s="168">
        <f t="shared" si="77"/>
        <v>1</v>
      </c>
      <c r="Y186" s="69">
        <f t="shared" si="75"/>
        <v>0.10199999999999999</v>
      </c>
      <c r="Z186" s="69">
        <f t="shared" si="76"/>
        <v>5.8921999999999999</v>
      </c>
      <c r="AA186" s="69">
        <f t="shared" si="63"/>
        <v>5.7901999999999996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64"/>
        <v>0829-22</v>
      </c>
      <c r="AE186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86" s="96" t="str">
        <f t="shared" si="66"/>
        <v>"C:\Program Files (x86)\AstroGrep\AstroGrep.exe" /spath="%USERPROFILE%\AppData\Local\Temp\OnboardLogs" /stypes="app*4025*20160922*" /stext=" 22:.+((SYSTEM_STATE.+slice.+state.+changed )|(ment ac)|(system.+state.+changed )|(\|lc)|(penalty)|(\[timeout)|(PRM\|1\|D)|(kpr)|(kdp))" /e /r /s</v>
      </c>
      <c r="AG186" s="1" t="str">
        <f t="shared" si="67"/>
        <v>NW</v>
      </c>
      <c r="AH186" s="100" t="str">
        <f t="shared" si="54"/>
        <v>"%USERPROFILE%\Documents\GitHub\eaglep3\Utilities\RefineRTDCRunTimes.py" --tripid 829-22 --locoid 4025 --swversion DE.1.0.7.0 --startMP 204:1020 --initTime 2016-09-22T16:15:55 --startdatetime 2016-09-22T16:21:15 --delay 1 --endMP 300:58922 --enddatetime 2016-09-22T16:35:51 --enforcementcount 0 &gt;&gt;C:\Users\stu\Documents\GitHub\eaglep3-reporting\EC\2016-09-22-refined-times.txt</v>
      </c>
      <c r="AI186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{"issue":{"subject":"","project_id":79,"tracker_id":40,"status_id":1,"priority_id":2,"assigned_to_id":23,"start_date":"2016-09-22","description":"","custom_fields":[{"id":1,"name":"Subdivision","value":"NW"},{"id":4,"name":"Milepost","value":"5.8922"},{"id":17,"name":"Train ID","value":"829-22"},{"id":16,"name":"Locomotive ID","value":"4025"},{"id":130,"name":"Impact","value":""},{"id":150,"name":"Time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535</v>
      </c>
      <c r="B187" s="7">
        <v>4026</v>
      </c>
      <c r="C187" s="24" t="s">
        <v>106</v>
      </c>
      <c r="D187" s="24" t="s">
        <v>383</v>
      </c>
      <c r="E187" s="15">
        <v>42635.692523148151</v>
      </c>
      <c r="F187" s="15">
        <v>42635.693854166668</v>
      </c>
      <c r="G187" s="7">
        <v>1</v>
      </c>
      <c r="H187" s="15" t="s">
        <v>728</v>
      </c>
      <c r="I187" s="15">
        <v>42635.705578703702</v>
      </c>
      <c r="J187" s="7">
        <v>0</v>
      </c>
      <c r="K187" s="121" t="str">
        <f t="shared" si="56"/>
        <v>4025/4026</v>
      </c>
      <c r="L187" s="24" t="str">
        <f>VLOOKUP(A187,'Trips&amp;Operators'!$C$1:$E$10000,3,FALSE)</f>
        <v>HELVIE</v>
      </c>
      <c r="M187" s="6">
        <f t="shared" si="73"/>
        <v>1.1724537034751847E-2</v>
      </c>
      <c r="N187" s="7">
        <f t="shared" si="71"/>
        <v>16.88333333004266</v>
      </c>
      <c r="O187" s="7"/>
      <c r="P187" s="7"/>
      <c r="Q187" s="25"/>
      <c r="R187" s="25"/>
      <c r="S187" s="37">
        <f t="shared" si="72"/>
        <v>1</v>
      </c>
      <c r="T187" s="52" t="str">
        <f t="shared" si="58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15:37:14-0600',mode:absolute,to:'2016-09-22 17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7" s="54" t="str">
        <f t="shared" si="74"/>
        <v>N</v>
      </c>
      <c r="X187" s="168">
        <f t="shared" si="77"/>
        <v>1</v>
      </c>
      <c r="Y187" s="69">
        <f t="shared" si="75"/>
        <v>5.8604000000000003</v>
      </c>
      <c r="Z187" s="69">
        <f t="shared" si="76"/>
        <v>7.5700000000000003E-2</v>
      </c>
      <c r="AA187" s="69">
        <f t="shared" si="63"/>
        <v>5.7847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64"/>
        <v>0830-22</v>
      </c>
      <c r="AE187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87" s="96" t="str">
        <f t="shared" si="66"/>
        <v>"C:\Program Files (x86)\AstroGrep\AstroGrep.exe" /spath="%USERPROFILE%\AppData\Local\Temp\OnboardLogs" /stypes="app*4026*20160922*" /stext=" 22:.+((SYSTEM_STATE.+slice.+state.+changed )|(ment ac)|(system.+state.+changed )|(\|lc)|(penalty)|(\[timeout)|(PRM\|1\|D)|(kpr)|(kdp))" /e /r /s</v>
      </c>
      <c r="AG187" s="1" t="str">
        <f t="shared" si="67"/>
        <v>NW</v>
      </c>
      <c r="AH187" s="100" t="str">
        <f t="shared" si="54"/>
        <v>"%USERPROFILE%\Documents\GitHub\eaglep3\Utilities\RefineRTDCRunTimes.py" --tripid 830-22 --locoid 4026 --swversion DE.1.0.7.0 --startMP 300:58604 --initTime 2016-09-22T16:37:14 --startdatetime 2016-09-22T16:39:09 --delay 1 --endMP 204:757 --enddatetime 2016-09-22T16:56:02 --enforcementcount 0 &gt;&gt;C:\Users\stu\Documents\GitHub\eaglep3-reporting\EC\2016-09-22-refined-times.txt</v>
      </c>
      <c r="AI187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{"issue":{"subject":"","project_id":79,"tracker_id":40,"status_id":1,"priority_id":2,"assigned_to_id":23,"start_date":"2016-09-22","description":"","custom_fields":[{"id":1,"name":"Subdivision","value":"NW"},{"id":4,"name":"Milepost","value":"0.0757"},{"id":17,"name":"Train ID","value":"830-22"},{"id":16,"name":"Locomotive ID","value":"4026"},{"id":130,"name":"Impact","value":""},{"id":150,"name":"Time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538</v>
      </c>
      <c r="B188" s="7">
        <v>4011</v>
      </c>
      <c r="C188" s="24" t="s">
        <v>106</v>
      </c>
      <c r="D188" s="24" t="s">
        <v>729</v>
      </c>
      <c r="E188" s="15">
        <v>42635.699340277781</v>
      </c>
      <c r="F188" s="15">
        <v>42635.702291666668</v>
      </c>
      <c r="G188" s="7">
        <v>1</v>
      </c>
      <c r="H188" s="15" t="s">
        <v>730</v>
      </c>
      <c r="I188" s="15">
        <v>42635.709560185183</v>
      </c>
      <c r="J188" s="7">
        <v>0</v>
      </c>
      <c r="K188" s="121" t="str">
        <f t="shared" si="56"/>
        <v>4011/4012</v>
      </c>
      <c r="L188" s="24" t="str">
        <f>VLOOKUP(A188,'Trips&amp;Operators'!$C$1:$E$10000,3,FALSE)</f>
        <v>YANAI</v>
      </c>
      <c r="M188" s="6">
        <f t="shared" si="73"/>
        <v>7.2685185150476173E-3</v>
      </c>
      <c r="N188" s="7">
        <f t="shared" si="71"/>
        <v>10.466666661668569</v>
      </c>
      <c r="O188" s="7"/>
      <c r="P188" s="7"/>
      <c r="Q188" s="25"/>
      <c r="R188" s="25"/>
      <c r="S188" s="37">
        <f t="shared" si="72"/>
        <v>1</v>
      </c>
      <c r="T188" s="52" t="str">
        <f t="shared" si="58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15:47:03-0600',mode:absolute,to:'2016-09-22 18:01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8" s="54" t="str">
        <f t="shared" si="74"/>
        <v>N</v>
      </c>
      <c r="X188" s="168">
        <f t="shared" si="77"/>
        <v>1</v>
      </c>
      <c r="Y188" s="69">
        <f t="shared" si="75"/>
        <v>9.5100000000000004E-2</v>
      </c>
      <c r="Z188" s="69">
        <f t="shared" si="76"/>
        <v>5.7610000000000001</v>
      </c>
      <c r="AA188" s="69">
        <f t="shared" si="63"/>
        <v>5.6658999999999997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64"/>
        <v>0831-22</v>
      </c>
      <c r="AE188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88" s="96" t="str">
        <f t="shared" si="66"/>
        <v>"C:\Program Files (x86)\AstroGrep\AstroGrep.exe" /spath="%USERPROFILE%\AppData\Local\Temp\OnboardLogs" /stypes="app*4011*20160922*" /stext=" 23:.+((SYSTEM_STATE.+slice.+state.+changed )|(ment ac)|(system.+state.+changed )|(\|lc)|(penalty)|(\[timeout)|(PRM\|1\|D)|(kpr)|(kdp))" /e /r /s</v>
      </c>
      <c r="AG188" s="1" t="str">
        <f t="shared" si="67"/>
        <v>NW</v>
      </c>
      <c r="AH188" s="100" t="str">
        <f t="shared" si="54"/>
        <v>"%USERPROFILE%\Documents\GitHub\eaglep3\Utilities\RefineRTDCRunTimes.py" --tripid 831-22 --locoid 4011 --swversion DE.1.0.7.0 --startMP 204:951 --initTime 2016-09-22T16:47:03 --startdatetime 2016-09-22T16:51:18 --delay 1 --endMP 300:57610 --enddatetime 2016-09-22T17:01:46 --enforcementcount 0 &gt;&gt;C:\Users\stu\Documents\GitHub\eaglep3-reporting\EC\2016-09-22-refined-times.txt</v>
      </c>
      <c r="AI188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{"issue":{"subject":"","project_id":79,"tracker_id":40,"status_id":1,"priority_id":2,"assigned_to_id":23,"start_date":"2016-09-22","description":"","custom_fields":[{"id":1,"name":"Subdivision","value":"NW"},{"id":4,"name":"Milepost","value":"5.761"},{"id":17,"name":"Train ID","value":"831-22"},{"id":16,"name":"Locomotive ID","value":"4011"},{"id":130,"name":"Impact","value":""},{"id":150,"name":"Time of Event (Mountain Time)","value":"17:01:46"},{"id":151,"name":"Denver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541</v>
      </c>
      <c r="B189" s="7">
        <v>4012</v>
      </c>
      <c r="C189" s="24" t="s">
        <v>106</v>
      </c>
      <c r="D189" s="24" t="s">
        <v>264</v>
      </c>
      <c r="E189" s="15">
        <v>42635.711886574078</v>
      </c>
      <c r="F189" s="15">
        <v>42635.713240740741</v>
      </c>
      <c r="G189" s="7">
        <v>1</v>
      </c>
      <c r="H189" s="15" t="s">
        <v>731</v>
      </c>
      <c r="I189" s="15">
        <v>42635.724560185183</v>
      </c>
      <c r="J189" s="7">
        <v>0</v>
      </c>
      <c r="K189" s="121" t="str">
        <f t="shared" si="56"/>
        <v>4011/4012</v>
      </c>
      <c r="L189" s="24" t="str">
        <f>VLOOKUP(A189,'Trips&amp;Operators'!$C$1:$E$10000,3,FALSE)</f>
        <v>YANAI</v>
      </c>
      <c r="M189" s="6">
        <f t="shared" si="73"/>
        <v>1.1319444442051463E-2</v>
      </c>
      <c r="N189" s="7"/>
      <c r="O189" s="7"/>
      <c r="P189" s="7">
        <f>24*60*SUM($M189:$M189)</f>
        <v>16.299999996554106</v>
      </c>
      <c r="Q189" s="25"/>
      <c r="R189" s="25" t="s">
        <v>759</v>
      </c>
      <c r="S189" s="37">
        <f t="shared" si="72"/>
        <v>1</v>
      </c>
      <c r="T189" s="52" t="str">
        <f t="shared" si="58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16:05:07-0600',mode:absolute,to:'2016-09-22 18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9" s="54" t="str">
        <f t="shared" si="74"/>
        <v>Y</v>
      </c>
      <c r="X189" s="168">
        <f t="shared" si="77"/>
        <v>1</v>
      </c>
      <c r="Y189" s="69">
        <f t="shared" si="75"/>
        <v>5.8619000000000003</v>
      </c>
      <c r="Z189" s="69">
        <f t="shared" si="76"/>
        <v>0.49130000000000001</v>
      </c>
      <c r="AA189" s="69">
        <f t="shared" si="63"/>
        <v>5.3706000000000005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64"/>
        <v>0832-22</v>
      </c>
      <c r="AE189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89" s="96" t="str">
        <f t="shared" si="66"/>
        <v>"C:\Program Files (x86)\AstroGrep\AstroGrep.exe" /spath="%USERPROFILE%\AppData\Local\Temp\OnboardLogs" /stypes="app*4012*20160922*" /stext=" 23:.+((SYSTEM_STATE.+slice.+state.+changed )|(ment ac)|(system.+state.+changed )|(\|lc)|(penalty)|(\[timeout)|(PRM\|1\|D)|(kpr)|(kdp))" /e /r /s</v>
      </c>
      <c r="AG189" s="1" t="str">
        <f t="shared" si="67"/>
        <v>NW</v>
      </c>
      <c r="AH189" s="100" t="str">
        <f t="shared" si="54"/>
        <v>"%USERPROFILE%\Documents\GitHub\eaglep3\Utilities\RefineRTDCRunTimes.py" --tripid 832-22 --locoid 4012 --swversion DE.1.0.7.0 --startMP 300:58619 --initTime 2016-09-22T17:05:07 --startdatetime 2016-09-22T17:07:04 --delay 1 --endMP 300:4913 --enddatetime 2016-09-22T17:23:22 --enforcementcount 0 &gt;&gt;C:\Users\stu\Documents\GitHub\eaglep3-reporting\EC\2016-09-22-refined-times.txt</v>
      </c>
      <c r="AI189" s="134" t="str">
        <f t="shared" si="55"/>
        <v>echo {"issue":{"subject":"DUS 28S was STOP, known issue?","project_id":79,"tracker_id":40,"status_id":1,"priority_id":2,"assigned_to_id":23,"start_date":"2016-09-22","description":"","custom_fields":[{"id":1,"name":"Subdivision","value":"NW"},{"id":4,"name":"Milepost","value":"0.4913"},{"id":17,"name":"Train ID","value":"832-22"},{"id":16,"name":"Locomotive ID","value":"4012"},{"id":130,"name":"Impact","value":""},{"id":150,"name":"Time of Event (Mountain Time)","value":"17:23:22"},{"id":151,"name":"Denver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543</v>
      </c>
      <c r="B190" s="7">
        <v>4025</v>
      </c>
      <c r="C190" s="24" t="s">
        <v>106</v>
      </c>
      <c r="D190" s="24" t="s">
        <v>717</v>
      </c>
      <c r="E190" s="15">
        <v>42635.720706018517</v>
      </c>
      <c r="F190" s="15">
        <v>42635.723090277781</v>
      </c>
      <c r="G190" s="7">
        <v>2</v>
      </c>
      <c r="H190" s="15" t="s">
        <v>732</v>
      </c>
      <c r="I190" s="15">
        <v>42635.732604166667</v>
      </c>
      <c r="J190" s="7">
        <v>0</v>
      </c>
      <c r="K190" s="121" t="str">
        <f t="shared" si="56"/>
        <v>4025/4026</v>
      </c>
      <c r="L190" s="24" t="str">
        <f>VLOOKUP(A190,'Trips&amp;Operators'!$C$1:$E$10000,3,FALSE)</f>
        <v>HELVIE</v>
      </c>
      <c r="M190" s="6">
        <f t="shared" si="73"/>
        <v>9.5138888864312321E-3</v>
      </c>
      <c r="N190" s="7">
        <f t="shared" ref="N190:N200" si="78">24*60*SUM($M190:$M190)</f>
        <v>13.699999996460974</v>
      </c>
      <c r="O190" s="7"/>
      <c r="P190" s="7"/>
      <c r="Q190" s="25"/>
      <c r="R190" s="25"/>
      <c r="S190" s="37">
        <f t="shared" si="72"/>
        <v>1</v>
      </c>
      <c r="T190" s="52" t="str">
        <f t="shared" si="58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16:17:49-0600',mode:absolute,to:'2016-09-22 18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0" s="54" t="str">
        <f t="shared" si="74"/>
        <v>N</v>
      </c>
      <c r="X190" s="168">
        <f t="shared" si="77"/>
        <v>1</v>
      </c>
      <c r="Y190" s="69">
        <f t="shared" si="75"/>
        <v>0.1037</v>
      </c>
      <c r="Z190" s="69">
        <f t="shared" si="76"/>
        <v>5.8935000000000004</v>
      </c>
      <c r="AA190" s="69">
        <f t="shared" si="63"/>
        <v>5.7898000000000005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64"/>
        <v>0833-22</v>
      </c>
      <c r="AE190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90" s="96" t="str">
        <f t="shared" si="66"/>
        <v>"C:\Program Files (x86)\AstroGrep\AstroGrep.exe" /spath="%USERPROFILE%\AppData\Local\Temp\OnboardLogs" /stypes="app*4025*20160922*" /stext=" 23:.+((SYSTEM_STATE.+slice.+state.+changed )|(ment ac)|(system.+state.+changed )|(\|lc)|(penalty)|(\[timeout)|(PRM\|1\|D)|(kpr)|(kdp))" /e /r /s</v>
      </c>
      <c r="AG190" s="1" t="str">
        <f t="shared" si="67"/>
        <v>NW</v>
      </c>
      <c r="AH190" s="100" t="str">
        <f t="shared" si="54"/>
        <v>"%USERPROFILE%\Documents\GitHub\eaglep3\Utilities\RefineRTDCRunTimes.py" --tripid 833-22 --locoid 4025 --swversion DE.1.0.7.0 --startMP 204:1037 --initTime 2016-09-22T17:17:49 --startdatetime 2016-09-22T17:21:15 --delay 2 --endMP 300:58935 --enddatetime 2016-09-22T17:34:57 --enforcementcount 0 &gt;&gt;C:\Users\stu\Documents\GitHub\eaglep3-reporting\EC\2016-09-22-refined-times.txt</v>
      </c>
      <c r="AI190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{"issue":{"subject":"","project_id":79,"tracker_id":40,"status_id":1,"priority_id":2,"assigned_to_id":23,"start_date":"2016-09-22","description":"","custom_fields":[{"id":1,"name":"Subdivision","value":"NW"},{"id":4,"name":"Milepost","value":"5.8935"},{"id":17,"name":"Train ID","value":"833-22"},{"id":16,"name":"Locomotive ID","value":"4025"},{"id":130,"name":"Impact","value":""},{"id":150,"name":"Time of Event (Mountain Time)","value":"17:34:57"},{"id":151,"name":"Denver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549</v>
      </c>
      <c r="B191" s="7">
        <v>4026</v>
      </c>
      <c r="C191" s="24" t="s">
        <v>106</v>
      </c>
      <c r="D191" s="24" t="s">
        <v>733</v>
      </c>
      <c r="E191" s="15">
        <v>42635.734432870369</v>
      </c>
      <c r="F191" s="15">
        <v>42635.736597222225</v>
      </c>
      <c r="G191" s="7">
        <v>2</v>
      </c>
      <c r="H191" s="15" t="s">
        <v>734</v>
      </c>
      <c r="I191" s="15">
        <v>42635.74795138889</v>
      </c>
      <c r="J191" s="7">
        <v>0</v>
      </c>
      <c r="K191" s="121" t="str">
        <f t="shared" si="56"/>
        <v>4025/4026</v>
      </c>
      <c r="L191" s="24" t="str">
        <f>VLOOKUP(A191,'Trips&amp;Operators'!$C$1:$E$10000,3,FALSE)</f>
        <v>HELVIE</v>
      </c>
      <c r="M191" s="6">
        <f t="shared" si="73"/>
        <v>1.1354166665114462E-2</v>
      </c>
      <c r="N191" s="7">
        <f t="shared" si="78"/>
        <v>16.349999997764826</v>
      </c>
      <c r="O191" s="7"/>
      <c r="P191" s="7"/>
      <c r="Q191" s="25"/>
      <c r="R191" s="25"/>
      <c r="S191" s="37">
        <f t="shared" si="72"/>
        <v>1</v>
      </c>
      <c r="T191" s="52" t="str">
        <f t="shared" si="58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16:37:35-0600',mode:absolute,to:'2016-09-22 18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1" s="54" t="str">
        <f t="shared" si="74"/>
        <v>N</v>
      </c>
      <c r="X191" s="168">
        <f t="shared" si="77"/>
        <v>1</v>
      </c>
      <c r="Y191" s="69">
        <f t="shared" si="75"/>
        <v>5.8624000000000001</v>
      </c>
      <c r="Z191" s="69">
        <f t="shared" si="76"/>
        <v>7.6200000000000004E-2</v>
      </c>
      <c r="AA191" s="69">
        <f t="shared" si="63"/>
        <v>5.7862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64"/>
        <v>0834-22</v>
      </c>
      <c r="AE191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91" s="96" t="str">
        <f t="shared" si="66"/>
        <v>"C:\Program Files (x86)\AstroGrep\AstroGrep.exe" /spath="%USERPROFILE%\AppData\Local\Temp\OnboardLogs" /stypes="app*4026*20160922*" /stext=" 23:.+((SYSTEM_STATE.+slice.+state.+changed )|(ment ac)|(system.+state.+changed )|(\|lc)|(penalty)|(\[timeout)|(PRM\|1\|D)|(kpr)|(kdp))" /e /r /s</v>
      </c>
      <c r="AG191" s="1" t="str">
        <f t="shared" si="67"/>
        <v>NW</v>
      </c>
      <c r="AH191" s="100" t="str">
        <f t="shared" si="54"/>
        <v>"%USERPROFILE%\Documents\GitHub\eaglep3\Utilities\RefineRTDCRunTimes.py" --tripid 834-22 --locoid 4026 --swversion DE.1.0.7.0 --startMP 300:58624 --initTime 2016-09-22T17:37:35 --startdatetime 2016-09-22T17:40:42 --delay 2 --endMP 204:762 --enddatetime 2016-09-22T17:57:03 --enforcementcount 0 &gt;&gt;C:\Users\stu\Documents\GitHub\eaglep3-reporting\EC\2016-09-22-refined-times.txt</v>
      </c>
      <c r="AI191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{"issue":{"subject":"","project_id":79,"tracker_id":40,"status_id":1,"priority_id":2,"assigned_to_id":23,"start_date":"2016-09-22","description":"","custom_fields":[{"id":1,"name":"Subdivision","value":"NW"},{"id":4,"name":"Milepost","value":"0.0762"},{"id":17,"name":"Train ID","value":"834-22"},{"id":16,"name":"Locomotive ID","value":"4026"},{"id":130,"name":"Impact","value":""},{"id":150,"name":"Time of Event (Mountain Time)","value":"17:57:03"},{"id":151,"name":"Denver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552</v>
      </c>
      <c r="B192" s="7">
        <v>4011</v>
      </c>
      <c r="C192" s="24" t="s">
        <v>106</v>
      </c>
      <c r="D192" s="24" t="s">
        <v>735</v>
      </c>
      <c r="E192" s="15">
        <v>42635.738807870373</v>
      </c>
      <c r="F192" s="15">
        <v>42635.74391203704</v>
      </c>
      <c r="G192" s="7">
        <v>2</v>
      </c>
      <c r="H192" s="15" t="s">
        <v>736</v>
      </c>
      <c r="I192" s="15">
        <v>42635.753518518519</v>
      </c>
      <c r="J192" s="7">
        <v>0</v>
      </c>
      <c r="K192" s="121" t="str">
        <f t="shared" si="56"/>
        <v>4011/4012</v>
      </c>
      <c r="L192" s="24" t="str">
        <f>VLOOKUP(A192,'Trips&amp;Operators'!$C$1:$E$10000,3,FALSE)</f>
        <v>YANAI</v>
      </c>
      <c r="M192" s="6">
        <f t="shared" si="73"/>
        <v>9.6064814788405783E-3</v>
      </c>
      <c r="N192" s="7">
        <f t="shared" si="78"/>
        <v>13.833333329530433</v>
      </c>
      <c r="O192" s="7"/>
      <c r="P192" s="7"/>
      <c r="Q192" s="25"/>
      <c r="R192" s="25"/>
      <c r="S192" s="37">
        <f t="shared" si="72"/>
        <v>1</v>
      </c>
      <c r="T192" s="52" t="str">
        <f t="shared" si="58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16:43:53-0600',mode:absolute,to:'2016-09-22 19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2" s="54" t="str">
        <f t="shared" si="74"/>
        <v>N</v>
      </c>
      <c r="X192" s="168">
        <f t="shared" si="77"/>
        <v>1</v>
      </c>
      <c r="Y192" s="69">
        <f t="shared" si="75"/>
        <v>8.9899999999999994E-2</v>
      </c>
      <c r="Z192" s="69">
        <f t="shared" si="76"/>
        <v>5.8949999999999996</v>
      </c>
      <c r="AA192" s="69">
        <f t="shared" si="63"/>
        <v>5.8050999999999995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64"/>
        <v>0835-22</v>
      </c>
      <c r="AE192" s="99" t="str">
        <f t="shared" si="65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192" s="96" t="str">
        <f t="shared" si="66"/>
        <v>"C:\Program Files (x86)\AstroGrep\AstroGrep.exe" /spath="%USERPROFILE%\AppData\Local\Temp\OnboardLogs" /stypes="app*4011*20160923*" /stext=" 00:.+((SYSTEM_STATE.+slice.+state.+changed )|(ment ac)|(system.+state.+changed )|(\|lc)|(penalty)|(\[timeout)|(PRM\|1\|D)|(kpr)|(kdp))" /e /r /s</v>
      </c>
      <c r="AG192" s="1" t="str">
        <f t="shared" si="67"/>
        <v>NW</v>
      </c>
      <c r="AH192" s="100" t="str">
        <f t="shared" si="54"/>
        <v>"%USERPROFILE%\Documents\GitHub\eaglep3\Utilities\RefineRTDCRunTimes.py" --tripid 835-22 --locoid 4011 --swversion DE.1.0.7.0 --startMP 204:899 --initTime 2016-09-22T17:43:53 --startdatetime 2016-09-22T17:51:14 --delay 2 --endMP 300:58950 --enddatetime 2016-09-22T18:05:04 --enforcementcount 0 &gt;&gt;C:\Users\stu\Documents\GitHub\eaglep3-reporting\EC\2016-09-22-refined-times.txt</v>
      </c>
      <c r="AI192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{"issue":{"subject":"","project_id":79,"tracker_id":40,"status_id":1,"priority_id":2,"assigned_to_id":23,"start_date":"2016-09-22","description":"","custom_fields":[{"id":1,"name":"Subdivision","value":"NW"},{"id":4,"name":"Milepost","value":"5.895"},{"id":17,"name":"Train ID","value":"835-22"},{"id":16,"name":"Locomotive ID","value":"4011"},{"id":130,"name":"Impact","value":""},{"id":150,"name":"Time of Event (Mountain Time)","value":"18:05:04"},{"id":151,"name":"Denver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557</v>
      </c>
      <c r="B193" s="7">
        <v>4012</v>
      </c>
      <c r="C193" s="24" t="s">
        <v>106</v>
      </c>
      <c r="D193" s="24" t="s">
        <v>327</v>
      </c>
      <c r="E193" s="15">
        <v>42635.754618055558</v>
      </c>
      <c r="F193" s="15">
        <v>42635.755798611113</v>
      </c>
      <c r="G193" s="7">
        <v>1</v>
      </c>
      <c r="H193" s="15" t="s">
        <v>737</v>
      </c>
      <c r="I193" s="15">
        <v>42635.767152777778</v>
      </c>
      <c r="J193" s="7">
        <v>0</v>
      </c>
      <c r="K193" s="121" t="str">
        <f t="shared" si="56"/>
        <v>4011/4012</v>
      </c>
      <c r="L193" s="24" t="str">
        <f>VLOOKUP(A193,'Trips&amp;Operators'!$C$1:$E$10000,3,FALSE)</f>
        <v>YANAI</v>
      </c>
      <c r="M193" s="6">
        <f t="shared" si="73"/>
        <v>1.1354166665114462E-2</v>
      </c>
      <c r="N193" s="7">
        <f t="shared" si="78"/>
        <v>16.349999997764826</v>
      </c>
      <c r="O193" s="7"/>
      <c r="P193" s="7"/>
      <c r="Q193" s="25"/>
      <c r="R193" s="25"/>
      <c r="S193" s="37">
        <f t="shared" si="72"/>
        <v>1</v>
      </c>
      <c r="T193" s="52" t="str">
        <f t="shared" si="58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17:06:39-0600',mode:absolute,to:'2016-09-22 19:24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3" s="54" t="str">
        <f t="shared" si="74"/>
        <v>N</v>
      </c>
      <c r="X193" s="168">
        <f t="shared" si="77"/>
        <v>1</v>
      </c>
      <c r="Y193" s="69">
        <f t="shared" si="75"/>
        <v>5.8634000000000004</v>
      </c>
      <c r="Z193" s="69">
        <f t="shared" si="76"/>
        <v>8.0299999999999996E-2</v>
      </c>
      <c r="AA193" s="69">
        <f t="shared" si="63"/>
        <v>5.7831000000000001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64"/>
        <v>0836-22</v>
      </c>
      <c r="AE193" s="99" t="str">
        <f t="shared" si="65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193" s="96" t="str">
        <f t="shared" si="66"/>
        <v>"C:\Program Files (x86)\AstroGrep\AstroGrep.exe" /spath="%USERPROFILE%\AppData\Local\Temp\OnboardLogs" /stypes="app*4012*20160923*" /stext=" 00:.+((SYSTEM_STATE.+slice.+state.+changed )|(ment ac)|(system.+state.+changed )|(\|lc)|(penalty)|(\[timeout)|(PRM\|1\|D)|(kpr)|(kdp))" /e /r /s</v>
      </c>
      <c r="AG193" s="1" t="str">
        <f t="shared" si="67"/>
        <v>NW</v>
      </c>
      <c r="AH193" s="100" t="str">
        <f t="shared" si="54"/>
        <v>"%USERPROFILE%\Documents\GitHub\eaglep3\Utilities\RefineRTDCRunTimes.py" --tripid 836-22 --locoid 4012 --swversion DE.1.0.7.0 --startMP 300:58634 --initTime 2016-09-22T18:06:39 --startdatetime 2016-09-22T18:08:21 --delay 1 --endMP 204:803 --enddatetime 2016-09-22T18:24:42 --enforcementcount 0 &gt;&gt;C:\Users\stu\Documents\GitHub\eaglep3-reporting\EC\2016-09-22-refined-times.txt</v>
      </c>
      <c r="AI193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{"issue":{"subject":"","project_id":79,"tracker_id":40,"status_id":1,"priority_id":2,"assigned_to_id":23,"start_date":"2016-09-22","description":"","custom_fields":[{"id":1,"name":"Subdivision","value":"NW"},{"id":4,"name":"Milepost","value":"0.0803"},{"id":17,"name":"Train ID","value":"836-22"},{"id":16,"name":"Locomotive ID","value":"4012"},{"id":130,"name":"Impact","value":""},{"id":150,"name":"Time of Event (Mountain Time)","value":"18:24:42"},{"id":151,"name":"Denver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560</v>
      </c>
      <c r="B194" s="7">
        <v>4025</v>
      </c>
      <c r="C194" s="24" t="s">
        <v>106</v>
      </c>
      <c r="D194" s="24" t="s">
        <v>738</v>
      </c>
      <c r="E194" s="15">
        <v>42635.760891203703</v>
      </c>
      <c r="F194" s="15">
        <v>42635.764803240738</v>
      </c>
      <c r="G194" s="7">
        <v>1</v>
      </c>
      <c r="H194" s="15" t="s">
        <v>732</v>
      </c>
      <c r="I194" s="15">
        <v>42635.774699074071</v>
      </c>
      <c r="J194" s="7">
        <v>0</v>
      </c>
      <c r="K194" s="121" t="str">
        <f t="shared" si="56"/>
        <v>4025/4026</v>
      </c>
      <c r="L194" s="24" t="str">
        <f>VLOOKUP(A194,'Trips&amp;Operators'!$C$1:$E$10000,3,FALSE)</f>
        <v>HELVIE</v>
      </c>
      <c r="M194" s="6">
        <f t="shared" si="73"/>
        <v>9.8958333328482695E-3</v>
      </c>
      <c r="N194" s="7">
        <f t="shared" si="78"/>
        <v>14.249999999301508</v>
      </c>
      <c r="O194" s="7"/>
      <c r="P194" s="7"/>
      <c r="Q194" s="25"/>
      <c r="R194" s="25"/>
      <c r="S194" s="37">
        <f t="shared" si="72"/>
        <v>1</v>
      </c>
      <c r="T194" s="52" t="str">
        <f t="shared" si="58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17:15:41-0600',mode:absolute,to:'2016-09-22 19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4" s="54" t="str">
        <f t="shared" si="74"/>
        <v>N</v>
      </c>
      <c r="X194" s="168">
        <f t="shared" si="77"/>
        <v>1</v>
      </c>
      <c r="Y194" s="69">
        <f t="shared" si="75"/>
        <v>0.1041</v>
      </c>
      <c r="Z194" s="69">
        <f t="shared" si="76"/>
        <v>5.8935000000000004</v>
      </c>
      <c r="AA194" s="69">
        <f t="shared" si="63"/>
        <v>5.7894000000000005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64"/>
        <v>0837-22</v>
      </c>
      <c r="AE194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94" s="96" t="str">
        <f t="shared" si="66"/>
        <v>"C:\Program Files (x86)\AstroGrep\AstroGrep.exe" /spath="%USERPROFILE%\AppData\Local\Temp\OnboardLogs" /stypes="app*4025*20160923*" /stext=" 00:.+((SYSTEM_STATE.+slice.+state.+changed )|(ment ac)|(system.+state.+changed )|(\|lc)|(penalty)|(\[timeout)|(PRM\|1\|D)|(kpr)|(kdp))" /e /r /s</v>
      </c>
      <c r="AG194" s="1" t="str">
        <f t="shared" si="67"/>
        <v>NW</v>
      </c>
      <c r="AH194" s="100" t="str">
        <f t="shared" si="54"/>
        <v>"%USERPROFILE%\Documents\GitHub\eaglep3\Utilities\RefineRTDCRunTimes.py" --tripid 837-22 --locoid 4025 --swversion DE.1.0.7.0 --startMP 204:1041 --initTime 2016-09-22T18:15:41 --startdatetime 2016-09-22T18:21:19 --delay 1 --endMP 300:58935 --enddatetime 2016-09-22T18:35:34 --enforcementcount 0 &gt;&gt;C:\Users\stu\Documents\GitHub\eaglep3-reporting\EC\2016-09-22-refined-times.txt</v>
      </c>
      <c r="AI194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{"issue":{"subject":"","project_id":79,"tracker_id":40,"status_id":1,"priority_id":2,"assigned_to_id":23,"start_date":"2016-09-22","description":"","custom_fields":[{"id":1,"name":"Subdivision","value":"NW"},{"id":4,"name":"Milepost","value":"5.8935"},{"id":17,"name":"Train ID","value":"837-22"},{"id":16,"name":"Locomotive ID","value":"4025"},{"id":130,"name":"Impact","value":""},{"id":150,"name":"Time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565</v>
      </c>
      <c r="B195" s="7">
        <v>4026</v>
      </c>
      <c r="C195" s="24" t="s">
        <v>106</v>
      </c>
      <c r="D195" s="24" t="s">
        <v>325</v>
      </c>
      <c r="E195" s="15">
        <v>42635.777685185189</v>
      </c>
      <c r="F195" s="15">
        <v>42635.779027777775</v>
      </c>
      <c r="G195" s="7">
        <v>1</v>
      </c>
      <c r="H195" s="15" t="s">
        <v>739</v>
      </c>
      <c r="I195" s="15">
        <v>42635.789513888885</v>
      </c>
      <c r="J195" s="7">
        <v>0</v>
      </c>
      <c r="K195" s="121" t="str">
        <f t="shared" si="56"/>
        <v>4025/4026</v>
      </c>
      <c r="L195" s="24" t="str">
        <f>VLOOKUP(A195,'Trips&amp;Operators'!$C$1:$E$10000,3,FALSE)</f>
        <v>HELVIE</v>
      </c>
      <c r="M195" s="6">
        <f t="shared" si="73"/>
        <v>1.0486111110367347E-2</v>
      </c>
      <c r="N195" s="7">
        <f t="shared" si="78"/>
        <v>15.099999998928979</v>
      </c>
      <c r="O195" s="7"/>
      <c r="P195" s="7"/>
      <c r="Q195" s="25"/>
      <c r="R195" s="25"/>
      <c r="S195" s="37">
        <f t="shared" si="72"/>
        <v>1</v>
      </c>
      <c r="T195" s="52" t="str">
        <f t="shared" si="58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17:39:52-0600',mode:absolute,to:'2016-09-22 19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5" s="54" t="str">
        <f t="shared" si="74"/>
        <v>N</v>
      </c>
      <c r="X195" s="168">
        <f t="shared" si="77"/>
        <v>1</v>
      </c>
      <c r="Y195" s="69">
        <f t="shared" si="75"/>
        <v>5.8620999999999999</v>
      </c>
      <c r="Z195" s="69">
        <f t="shared" si="76"/>
        <v>7.4999999999999997E-2</v>
      </c>
      <c r="AA195" s="69">
        <f t="shared" si="63"/>
        <v>5.7870999999999997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64"/>
        <v>0838-22</v>
      </c>
      <c r="AE195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95" s="96" t="str">
        <f t="shared" si="66"/>
        <v>"C:\Program Files (x86)\AstroGrep\AstroGrep.exe" /spath="%USERPROFILE%\AppData\Local\Temp\OnboardLogs" /stypes="app*4026*20160923*" /stext=" 00:.+((SYSTEM_STATE.+slice.+state.+changed )|(ment ac)|(system.+state.+changed )|(\|lc)|(penalty)|(\[timeout)|(PRM\|1\|D)|(kpr)|(kdp))" /e /r /s</v>
      </c>
      <c r="AG195" s="1" t="str">
        <f t="shared" si="67"/>
        <v>NW</v>
      </c>
      <c r="AH195" s="100" t="str">
        <f t="shared" si="54"/>
        <v>"%USERPROFILE%\Documents\GitHub\eaglep3\Utilities\RefineRTDCRunTimes.py" --tripid 838-22 --locoid 4026 --swversion DE.1.0.7.0 --startMP 300:58621 --initTime 2016-09-22T18:39:52 --startdatetime 2016-09-22T18:41:48 --delay 1 --endMP 204:750 --enddatetime 2016-09-22T18:56:54 --enforcementcount 0 &gt;&gt;C:\Users\stu\Documents\GitHub\eaglep3-reporting\EC\2016-09-22-refined-times.txt</v>
      </c>
      <c r="AI195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{"issue":{"subject":"","project_id":79,"tracker_id":40,"status_id":1,"priority_id":2,"assigned_to_id":23,"start_date":"2016-09-22","description":"","custom_fields":[{"id":1,"name":"Subdivision","value":"NW"},{"id":4,"name":"Milepost","value":"0.075"},{"id":17,"name":"Train ID","value":"838-22"},{"id":16,"name":"Locomotive ID","value":"4026"},{"id":130,"name":"Impact","value":""},{"id":150,"name":"Time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567</v>
      </c>
      <c r="B196" s="7">
        <v>4011</v>
      </c>
      <c r="C196" s="24" t="s">
        <v>106</v>
      </c>
      <c r="D196" s="24" t="s">
        <v>376</v>
      </c>
      <c r="E196" s="15">
        <v>42635.785671296297</v>
      </c>
      <c r="F196" s="15">
        <v>25568.708333333332</v>
      </c>
      <c r="G196" s="7">
        <v>0</v>
      </c>
      <c r="H196" s="15" t="s">
        <v>740</v>
      </c>
      <c r="I196" s="15">
        <v>25568.708333333332</v>
      </c>
      <c r="J196" s="7">
        <v>0</v>
      </c>
      <c r="K196" s="121" t="str">
        <f t="shared" si="56"/>
        <v>4011/4012</v>
      </c>
      <c r="L196" s="24" t="str">
        <f>VLOOKUP(A196,'Trips&amp;Operators'!$C$1:$E$10000,3,FALSE)</f>
        <v>YANAI</v>
      </c>
      <c r="M196" s="6">
        <f t="shared" si="73"/>
        <v>0</v>
      </c>
      <c r="N196" s="7">
        <f t="shared" si="78"/>
        <v>0</v>
      </c>
      <c r="O196" s="7"/>
      <c r="P196" s="7"/>
      <c r="Q196" s="25"/>
      <c r="R196" s="25"/>
      <c r="S196" s="37">
        <f t="shared" si="72"/>
        <v>1</v>
      </c>
      <c r="T196" s="52" t="str">
        <f t="shared" si="58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17:51:22-0600',mode:absolute,to:'1969-12-31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6" s="54" t="str">
        <f t="shared" si="74"/>
        <v>N</v>
      </c>
      <c r="X196" s="168">
        <f t="shared" ref="X196:X198" si="79">VALUE(LEFT(AD196,4))-VALUE(LEFT(AD195,4))</f>
        <v>1</v>
      </c>
      <c r="Y196" s="69">
        <f t="shared" si="75"/>
        <v>0.109</v>
      </c>
      <c r="Z196" s="69">
        <f t="shared" si="76"/>
        <v>5.7630999999999997</v>
      </c>
      <c r="AA196" s="69">
        <f t="shared" si="63"/>
        <v>5.6540999999999997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64"/>
        <v>0839-22</v>
      </c>
      <c r="AE196" s="99" t="str">
        <f t="shared" si="65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196" s="96" t="str">
        <f t="shared" si="66"/>
        <v>"C:\Program Files (x86)\AstroGrep\AstroGrep.exe" /spath="%USERPROFILE%\AppData\Local\Temp\OnboardLogs" /stypes="app*4011*19691231*" /stext=" 23:.+((SYSTEM_STATE.+slice.+state.+changed )|(ment ac)|(system.+state.+changed )|(\|lc)|(penalty)|(\[timeout)|(PRM\|1\|D)|(kpr)|(kdp))" /e /r /s</v>
      </c>
      <c r="AG196" s="1" t="str">
        <f t="shared" si="67"/>
        <v>NW</v>
      </c>
      <c r="AH196" s="100" t="str">
        <f t="shared" si="54"/>
        <v>"%USERPROFILE%\Documents\GitHub\eaglep3\Utilities\RefineRTDCRunTimes.py" --tripid 839-22 --locoid 4011 --swversion DE.1.0.7.0 --startMP 204:1090 --initTime 2016-09-22T18:51:22 --startdatetime 1969-12-31T17:00:00 --delay 0 --endMP 300:57631 --enddatetime 1969-12-31T17:00:00 --enforcementcount 0 &gt;&gt;C:\Users\stu\Documents\GitHub\eaglep3-reporting\EC\2016-09-22-refined-times.txt</v>
      </c>
      <c r="AI196" s="134" t="str">
        <f t="shared" si="55"/>
        <v>echo {"issue":{"subject":"","project_id":79,"tracker_id":40,"status_id":1,"priority_id":2,"assigned_to_id":23,"start_date":"1969-12-31","description":"","custom_fields":[{"id":1,"name":"Subdivision","value":"NW"},{"id":4,"name":"Milepost","value":"5.7631"},{"id":17,"name":"Train ID","value":"839-22"},{"id":16,"name":"Locomotive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575</v>
      </c>
      <c r="B197" s="7">
        <v>4026</v>
      </c>
      <c r="C197" s="24" t="s">
        <v>106</v>
      </c>
      <c r="D197" s="24" t="s">
        <v>741</v>
      </c>
      <c r="E197" s="15">
        <v>42635.817488425928</v>
      </c>
      <c r="F197" s="15">
        <v>42635.819201388891</v>
      </c>
      <c r="G197" s="7">
        <v>1</v>
      </c>
      <c r="H197" s="15" t="s">
        <v>706</v>
      </c>
      <c r="I197" s="15">
        <v>42635.83</v>
      </c>
      <c r="J197" s="7">
        <v>0</v>
      </c>
      <c r="K197" s="121" t="str">
        <f t="shared" si="56"/>
        <v>4025/4026</v>
      </c>
      <c r="L197" s="24" t="str">
        <f>VLOOKUP(A197,'Trips&amp;Operators'!$C$1:$E$10000,3,FALSE)</f>
        <v>HELVIE</v>
      </c>
      <c r="M197" s="6">
        <f t="shared" si="73"/>
        <v>1.0798611110658385E-2</v>
      </c>
      <c r="N197" s="7">
        <f t="shared" si="78"/>
        <v>15.549999999348074</v>
      </c>
      <c r="O197" s="7"/>
      <c r="P197" s="7"/>
      <c r="Q197" s="25"/>
      <c r="R197" s="25"/>
      <c r="S197" s="37">
        <f t="shared" si="72"/>
        <v>1</v>
      </c>
      <c r="T197" s="52" t="str">
        <f t="shared" si="58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18:37:11-0600',mode:absolute,to:'2016-09-22 20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7" s="54" t="str">
        <f t="shared" si="74"/>
        <v>N</v>
      </c>
      <c r="X197" s="168">
        <f t="shared" si="79"/>
        <v>1</v>
      </c>
      <c r="Y197" s="69">
        <f t="shared" si="75"/>
        <v>5.8605999999999998</v>
      </c>
      <c r="Z197" s="69">
        <f t="shared" si="76"/>
        <v>7.7100000000000002E-2</v>
      </c>
      <c r="AA197" s="69">
        <f t="shared" si="63"/>
        <v>5.7835000000000001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64"/>
        <v>0840-22</v>
      </c>
      <c r="AE197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97" s="96" t="str">
        <f t="shared" si="66"/>
        <v>"C:\Program Files (x86)\AstroGrep\AstroGrep.exe" /spath="%USERPROFILE%\AppData\Local\Temp\OnboardLogs" /stypes="app*4026*20160923*" /stext=" 01:.+((SYSTEM_STATE.+slice.+state.+changed )|(ment ac)|(system.+state.+changed )|(\|lc)|(penalty)|(\[timeout)|(PRM\|1\|D)|(kpr)|(kdp))" /e /r /s</v>
      </c>
      <c r="AG197" s="1" t="str">
        <f t="shared" si="67"/>
        <v>NW</v>
      </c>
      <c r="AH197" s="100" t="str">
        <f t="shared" si="54"/>
        <v>"%USERPROFILE%\Documents\GitHub\eaglep3\Utilities\RefineRTDCRunTimes.py" --tripid 840-22 --locoid 4026 --swversion DE.1.0.7.0 --startMP 300:58606 --initTime 2016-09-22T19:37:11 --startdatetime 2016-09-22T19:39:39 --delay 1 --endMP 204:771 --enddatetime 2016-09-22T19:55:12 --enforcementcount 0 &gt;&gt;C:\Users\stu\Documents\GitHub\eaglep3-reporting\EC\2016-09-22-refined-times.txt</v>
      </c>
      <c r="AI197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{"issue":{"subject":"","project_id":79,"tracker_id":40,"status_id":1,"priority_id":2,"assigned_to_id":23,"start_date":"2016-09-22","description":"","custom_fields":[{"id":1,"name":"Subdivision","value":"NW"},{"id":4,"name":"Milepost","value":"0.0771"},{"id":17,"name":"Train ID","value":"840-22"},{"id":16,"name":"Locomotive ID","value":"4026"},{"id":130,"name":"Impact","value":""},{"id":150,"name":"Time of Event (Mountain Time)","value":"19:55:12"},{"id":151,"name":"Denver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573</v>
      </c>
      <c r="B198" s="7">
        <v>4025</v>
      </c>
      <c r="C198" s="24" t="s">
        <v>106</v>
      </c>
      <c r="D198" s="24" t="s">
        <v>742</v>
      </c>
      <c r="E198" s="15">
        <v>42635.803263888891</v>
      </c>
      <c r="F198" s="15">
        <v>42635.806493055556</v>
      </c>
      <c r="G198" s="7">
        <v>1</v>
      </c>
      <c r="H198" s="15" t="s">
        <v>743</v>
      </c>
      <c r="I198" s="15">
        <v>42635.816261574073</v>
      </c>
      <c r="J198" s="7">
        <v>0</v>
      </c>
      <c r="K198" s="121" t="str">
        <f t="shared" si="56"/>
        <v>4025/4026</v>
      </c>
      <c r="L198" s="24" t="str">
        <f>VLOOKUP(A198,'Trips&amp;Operators'!$C$1:$E$10000,3,FALSE)</f>
        <v>HELVIE</v>
      </c>
      <c r="M198" s="6">
        <f t="shared" si="73"/>
        <v>9.7685185173759237E-3</v>
      </c>
      <c r="N198" s="7">
        <f t="shared" si="78"/>
        <v>14.06666666502133</v>
      </c>
      <c r="O198" s="7"/>
      <c r="P198" s="7"/>
      <c r="Q198" s="25"/>
      <c r="R198" s="25"/>
      <c r="S198" s="37">
        <f t="shared" ref="S198:S222" si="80">SUM(U198:U198)/IF(AG198="EC",12,1)</f>
        <v>1</v>
      </c>
      <c r="T198" s="52" t="str">
        <f t="shared" si="58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18:16:42-0600',mode:absolute,to:'2016-09-22 20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8" s="54" t="str">
        <f t="shared" si="74"/>
        <v>N</v>
      </c>
      <c r="X198" s="168">
        <f t="shared" si="79"/>
        <v>1</v>
      </c>
      <c r="Y198" s="69">
        <f t="shared" si="75"/>
        <v>0.10340000000000001</v>
      </c>
      <c r="Z198" s="69">
        <f t="shared" si="76"/>
        <v>5.8930999999999996</v>
      </c>
      <c r="AA198" s="69">
        <f t="shared" si="63"/>
        <v>5.7896999999999998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64"/>
        <v>0841-22</v>
      </c>
      <c r="AE198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198" s="96" t="str">
        <f t="shared" si="66"/>
        <v>"C:\Program Files (x86)\AstroGrep\AstroGrep.exe" /spath="%USERPROFILE%\AppData\Local\Temp\OnboardLogs" /stypes="app*4025*20160923*" /stext=" 01:.+((SYSTEM_STATE.+slice.+state.+changed )|(ment ac)|(system.+state.+changed )|(\|lc)|(penalty)|(\[timeout)|(PRM\|1\|D)|(kpr)|(kdp))" /e /r /s</v>
      </c>
      <c r="AG198" s="1" t="str">
        <f t="shared" si="67"/>
        <v>NW</v>
      </c>
      <c r="AH198" s="100" t="str">
        <f t="shared" si="54"/>
        <v>"%USERPROFILE%\Documents\GitHub\eaglep3\Utilities\RefineRTDCRunTimes.py" --tripid 841-22 --locoid 4025 --swversion DE.1.0.7.0 --startMP 204:1034 --initTime 2016-09-22T19:16:42 --startdatetime 2016-09-22T19:21:21 --delay 1 --endMP 300:58931 --enddatetime 2016-09-22T19:35:25 --enforcementcount 0 &gt;&gt;C:\Users\stu\Documents\GitHub\eaglep3-reporting\EC\2016-09-22-refined-times.txt</v>
      </c>
      <c r="AI198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{"issue":{"subject":"","project_id":79,"tracker_id":40,"status_id":1,"priority_id":2,"assigned_to_id":23,"start_date":"2016-09-22","description":"","custom_fields":[{"id":1,"name":"Subdivision","value":"NW"},{"id":4,"name":"Milepost","value":"5.8931"},{"id":17,"name":"Train ID","value":"841-22"},{"id":16,"name":"Locomotive ID","value":"4025"},{"id":130,"name":"Impact","value":""},{"id":150,"name":"Time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582</v>
      </c>
      <c r="B199" s="7">
        <v>4026</v>
      </c>
      <c r="C199" s="24" t="s">
        <v>106</v>
      </c>
      <c r="D199" s="24" t="s">
        <v>383</v>
      </c>
      <c r="E199" s="15">
        <v>42635.859988425924</v>
      </c>
      <c r="F199" s="15">
        <v>42635.861342592594</v>
      </c>
      <c r="G199" s="7">
        <v>1</v>
      </c>
      <c r="H199" s="15" t="s">
        <v>610</v>
      </c>
      <c r="I199" s="15">
        <v>42635.872199074074</v>
      </c>
      <c r="J199" s="7">
        <v>0</v>
      </c>
      <c r="K199" s="121" t="str">
        <f t="shared" si="56"/>
        <v>4025/4026</v>
      </c>
      <c r="L199" s="24" t="str">
        <f>VLOOKUP(A199,'Trips&amp;Operators'!$C$1:$E$10000,3,FALSE)</f>
        <v>HELVIE</v>
      </c>
      <c r="M199" s="6">
        <f t="shared" si="73"/>
        <v>1.0856481480004732E-2</v>
      </c>
      <c r="N199" s="7">
        <f t="shared" si="78"/>
        <v>15.633333331206813</v>
      </c>
      <c r="O199" s="7"/>
      <c r="P199" s="7"/>
      <c r="Q199" s="25"/>
      <c r="R199" s="25"/>
      <c r="S199" s="37">
        <f t="shared" si="80"/>
        <v>1</v>
      </c>
      <c r="T199" s="52" t="str">
        <f t="shared" si="58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19:38:23-0600',mode:absolute,to:'2016-09-22 21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9" s="54" t="str">
        <f t="shared" si="74"/>
        <v>N</v>
      </c>
      <c r="X199" s="168">
        <f>VALUE(LEFT(AD199,4))-VALUE(LEFT(AD198,4))</f>
        <v>1</v>
      </c>
      <c r="Y199" s="69">
        <f t="shared" si="75"/>
        <v>5.8604000000000003</v>
      </c>
      <c r="Z199" s="69">
        <f t="shared" si="76"/>
        <v>7.6100000000000001E-2</v>
      </c>
      <c r="AA199" s="69">
        <f t="shared" si="63"/>
        <v>5.7843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64"/>
        <v>0842-22</v>
      </c>
      <c r="AE199" s="99" t="str">
        <f t="shared" si="65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199" s="96" t="str">
        <f t="shared" si="66"/>
        <v>"C:\Program Files (x86)\AstroGrep\AstroGrep.exe" /spath="%USERPROFILE%\AppData\Local\Temp\OnboardLogs" /stypes="app*4026*20160923*" /stext=" 02:.+((SYSTEM_STATE.+slice.+state.+changed )|(ment ac)|(system.+state.+changed )|(\|lc)|(penalty)|(\[timeout)|(PRM\|1\|D)|(kpr)|(kdp))" /e /r /s</v>
      </c>
      <c r="AG199" s="1" t="str">
        <f t="shared" si="67"/>
        <v>NW</v>
      </c>
      <c r="AH199" s="100" t="str">
        <f t="shared" si="54"/>
        <v>"%USERPROFILE%\Documents\GitHub\eaglep3\Utilities\RefineRTDCRunTimes.py" --tripid 842-22 --locoid 4026 --swversion DE.1.0.7.0 --startMP 300:58604 --initTime 2016-09-22T20:38:23 --startdatetime 2016-09-22T20:40:20 --delay 1 --endMP 204:761 --enddatetime 2016-09-22T20:55:58 --enforcementcount 0 &gt;&gt;C:\Users\stu\Documents\GitHub\eaglep3-reporting\EC\2016-09-22-refined-times.txt</v>
      </c>
      <c r="AI199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{"issue":{"subject":"","project_id":79,"tracker_id":40,"status_id":1,"priority_id":2,"assigned_to_id":23,"start_date":"2016-09-22","description":"","custom_fields":[{"id":1,"name":"Subdivision","value":"NW"},{"id":4,"name":"Milepost","value":"0.0761"},{"id":17,"name":"Train ID","value":"842-22"},{"id":16,"name":"Locomotive ID","value":"4026"},{"id":130,"name":"Impact","value":""},{"id":150,"name":"Time of Event (Mountain Time)","value":"20:55:58"},{"id":151,"name":"Denver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579</v>
      </c>
      <c r="B200" s="7">
        <v>4025</v>
      </c>
      <c r="C200" s="24" t="s">
        <v>106</v>
      </c>
      <c r="D200" s="24" t="s">
        <v>744</v>
      </c>
      <c r="E200" s="15">
        <v>42635.842743055553</v>
      </c>
      <c r="F200" s="15">
        <v>42635.848298611112</v>
      </c>
      <c r="G200" s="7">
        <v>1</v>
      </c>
      <c r="H200" s="15" t="s">
        <v>323</v>
      </c>
      <c r="I200" s="15">
        <v>42635.858807870369</v>
      </c>
      <c r="J200" s="7">
        <v>0</v>
      </c>
      <c r="K200" s="121" t="str">
        <f t="shared" si="56"/>
        <v>4025/4026</v>
      </c>
      <c r="L200" s="24" t="str">
        <f>VLOOKUP(A200,'Trips&amp;Operators'!$C$1:$E$10000,3,FALSE)</f>
        <v>HELVIE</v>
      </c>
      <c r="M200" s="6">
        <f t="shared" si="73"/>
        <v>1.0509259256650694E-2</v>
      </c>
      <c r="N200" s="7">
        <f t="shared" si="78"/>
        <v>15.133333329576999</v>
      </c>
      <c r="O200" s="7"/>
      <c r="P200" s="7"/>
      <c r="Q200" s="25"/>
      <c r="R200" s="25"/>
      <c r="S200" s="37">
        <f t="shared" si="80"/>
        <v>1</v>
      </c>
      <c r="T200" s="52" t="str">
        <f t="shared" si="58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19:13:33-0600',mode:absolute,to:'2016-09-22 21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0" s="54" t="str">
        <f t="shared" si="74"/>
        <v>N</v>
      </c>
      <c r="X200" s="168">
        <f t="shared" ref="X200:X204" si="81">VALUE(LEFT(AD200,4))-VALUE(LEFT(AD199,4))</f>
        <v>1</v>
      </c>
      <c r="Y200" s="69">
        <f t="shared" si="75"/>
        <v>0.10349999999999999</v>
      </c>
      <c r="Z200" s="69">
        <f t="shared" si="76"/>
        <v>5.8933</v>
      </c>
      <c r="AA200" s="69">
        <f t="shared" si="63"/>
        <v>5.7897999999999996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64"/>
        <v>0843-22</v>
      </c>
      <c r="AE200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200" s="96" t="str">
        <f t="shared" si="66"/>
        <v>"C:\Program Files (x86)\AstroGrep\AstroGrep.exe" /spath="%USERPROFILE%\AppData\Local\Temp\OnboardLogs" /stypes="app*4025*20160923*" /stext=" 02:.+((SYSTEM_STATE.+slice.+state.+changed )|(ment ac)|(system.+state.+changed )|(\|lc)|(penalty)|(\[timeout)|(PRM\|1\|D)|(kpr)|(kdp))" /e /r /s</v>
      </c>
      <c r="AG200" s="1" t="str">
        <f t="shared" si="67"/>
        <v>NW</v>
      </c>
      <c r="AH200" s="100" t="str">
        <f t="shared" si="54"/>
        <v>"%USERPROFILE%\Documents\GitHub\eaglep3\Utilities\RefineRTDCRunTimes.py" --tripid 843-22 --locoid 4025 --swversion DE.1.0.7.0 --startMP 204:1035 --initTime 2016-09-22T20:13:33 --startdatetime 2016-09-22T20:21:33 --delay 1 --endMP 300:58933 --enddatetime 2016-09-22T20:36:41 --enforcementcount 0 &gt;&gt;C:\Users\stu\Documents\GitHub\eaglep3-reporting\EC\2016-09-22-refined-times.txt</v>
      </c>
      <c r="AI200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{"issue":{"subject":"","project_id":79,"tracker_id":40,"status_id":1,"priority_id":2,"assigned_to_id":23,"start_date":"2016-09-22","description":"","custom_fields":[{"id":1,"name":"Subdivision","value":"NW"},{"id":4,"name":"Milepost","value":"5.8933"},{"id":17,"name":"Train ID","value":"843-22"},{"id":16,"name":"Locomotive ID","value":"4025"},{"id":130,"name":"Impact","value":""},{"id":150,"name":"Time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760</v>
      </c>
      <c r="B201" s="7"/>
      <c r="C201" s="24" t="s">
        <v>106</v>
      </c>
      <c r="D201" s="24" t="s">
        <v>744</v>
      </c>
      <c r="E201" s="15">
        <v>42635.842743055553</v>
      </c>
      <c r="F201" s="15"/>
      <c r="G201" s="7">
        <v>1</v>
      </c>
      <c r="H201" s="15" t="s">
        <v>323</v>
      </c>
      <c r="I201" s="15"/>
      <c r="J201" s="7">
        <v>0</v>
      </c>
      <c r="K201" s="121" t="str">
        <f t="shared" si="56"/>
        <v>-1/</v>
      </c>
      <c r="L201" s="24" t="e">
        <f>VLOOKUP(A201,'Trips&amp;Operators'!$C$1:$E$10000,3,FALSE)</f>
        <v>#N/A</v>
      </c>
      <c r="M201" s="6"/>
      <c r="N201" s="7"/>
      <c r="O201" s="7"/>
      <c r="P201" s="7">
        <v>1</v>
      </c>
      <c r="Q201" s="25"/>
      <c r="R201" s="25" t="s">
        <v>765</v>
      </c>
      <c r="S201" s="37">
        <f t="shared" si="80"/>
        <v>0</v>
      </c>
      <c r="T201" s="52" t="str">
        <f t="shared" si="58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19:13:33-0600',mode:absolute,to:'1900-01-00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201" s="54" t="str">
        <f t="shared" si="74"/>
        <v>Y</v>
      </c>
      <c r="X201" s="168">
        <f t="shared" ref="X201" si="82">VALUE(LEFT(AD201,4))-VALUE(LEFT(AD200,4))</f>
        <v>1</v>
      </c>
      <c r="Y201" s="69"/>
      <c r="Z201" s="69"/>
      <c r="AA201" s="69">
        <f t="shared" si="63"/>
        <v>0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64"/>
        <v>0844-22</v>
      </c>
      <c r="AE201" s="99" t="str">
        <f t="shared" si="65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01" s="96" t="str">
        <f t="shared" si="66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201" s="1" t="str">
        <f t="shared" si="67"/>
        <v>NW</v>
      </c>
      <c r="AH201" s="100" t="str">
        <f t="shared" ref="AH201" si="8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844-22 --locoid  --swversion DE.1.0.7.0 --startMP 204:1035 --initTime 2016-09-22T20:13:33 --startdatetime 1900-01-00T00:00:00 --delay 1 --endMP 300:58933 --enddatetime 1900-01-00T00:00:00 --enforcementcount 0 &gt;&gt;C:\Users\stu\Documents\GitHub\eaglep3-reporting\EC\2016-09-22-refined-times.txt</v>
      </c>
      <c r="AI201" s="134" t="str">
        <f t="shared" ref="AI201" si="8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{"issue":{"subject":"Dispatcher error - accidental CCROC deletion","project_id":79,"tracker_id":40,"status_id":1,"priority_id":2,"assigned_to_id":23,"start_date":"1900-01-00","description":"","custom_fields":[{"id":1,"name":"Subdivision","value":"NW"},{"id":4,"name":"Milepost","value":""},{"id":17,"name":"Train ID","value":"844-22"},{"id":16,"name":"Locomotive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761</v>
      </c>
      <c r="B202" s="7"/>
      <c r="C202" s="24" t="s">
        <v>106</v>
      </c>
      <c r="D202" s="24" t="s">
        <v>744</v>
      </c>
      <c r="E202" s="15">
        <v>42635.842743055553</v>
      </c>
      <c r="F202" s="15"/>
      <c r="G202" s="7">
        <v>1</v>
      </c>
      <c r="H202" s="15" t="s">
        <v>323</v>
      </c>
      <c r="I202" s="15"/>
      <c r="J202" s="7">
        <v>0</v>
      </c>
      <c r="K202" s="121" t="str">
        <f t="shared" si="56"/>
        <v>-1/</v>
      </c>
      <c r="L202" s="24" t="e">
        <f>VLOOKUP(A202,'Trips&amp;Operators'!$C$1:$E$10000,3,FALSE)</f>
        <v>#N/A</v>
      </c>
      <c r="M202" s="6"/>
      <c r="N202" s="7"/>
      <c r="O202" s="7"/>
      <c r="P202" s="7">
        <v>1</v>
      </c>
      <c r="Q202" s="25"/>
      <c r="R202" s="25" t="s">
        <v>765</v>
      </c>
      <c r="S202" s="37">
        <f t="shared" si="80"/>
        <v>0</v>
      </c>
      <c r="T202" s="52" t="str">
        <f t="shared" si="58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19:13:33-0600',mode:absolute,to:'1900-01-00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202" s="54" t="str">
        <f t="shared" si="74"/>
        <v>Y</v>
      </c>
      <c r="X202" s="168">
        <f t="shared" ref="X202" si="85">VALUE(LEFT(AD202,4))-VALUE(LEFT(AD201,4))</f>
        <v>1</v>
      </c>
      <c r="Y202" s="69"/>
      <c r="Z202" s="69"/>
      <c r="AA202" s="69">
        <f t="shared" si="63"/>
        <v>0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64"/>
        <v>0845-22</v>
      </c>
      <c r="AE202" s="99" t="str">
        <f t="shared" si="65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02" s="96" t="str">
        <f t="shared" si="66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202" s="1" t="str">
        <f t="shared" si="67"/>
        <v>NW</v>
      </c>
      <c r="AH202" s="100" t="str">
        <f t="shared" ref="AH202" si="86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845-22 --locoid  --swversion DE.1.0.7.0 --startMP 204:1035 --initTime 2016-09-22T20:13:33 --startdatetime 1900-01-00T00:00:00 --delay 1 --endMP 300:58933 --enddatetime 1900-01-00T00:00:00 --enforcementcount 0 &gt;&gt;C:\Users\stu\Documents\GitHub\eaglep3-reporting\EC\2016-09-22-refined-times.txt</v>
      </c>
      <c r="AI202" s="134" t="str">
        <f t="shared" ref="AI202" si="87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{"issue":{"subject":"Dispatcher error - accidental CCROC deletion","project_id":79,"tracker_id":40,"status_id":1,"priority_id":2,"assigned_to_id":23,"start_date":"1900-01-00","description":"","custom_fields":[{"id":1,"name":"Subdivision","value":"NW"},{"id":4,"name":"Milepost","value":""},{"id":17,"name":"Train ID","value":"845-22"},{"id":16,"name":"Locomotive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591</v>
      </c>
      <c r="B203" s="7">
        <v>4025</v>
      </c>
      <c r="C203" s="24" t="s">
        <v>106</v>
      </c>
      <c r="D203" s="24" t="s">
        <v>745</v>
      </c>
      <c r="E203" s="15">
        <v>42635.931921296295</v>
      </c>
      <c r="F203" s="15">
        <v>42635.932812500003</v>
      </c>
      <c r="G203" s="7">
        <v>0</v>
      </c>
      <c r="H203" s="15" t="s">
        <v>727</v>
      </c>
      <c r="I203" s="15">
        <v>42635.941724537035</v>
      </c>
      <c r="J203" s="7">
        <v>0</v>
      </c>
      <c r="K203" s="121" t="str">
        <f t="shared" si="56"/>
        <v>4025/4026</v>
      </c>
      <c r="L203" s="24" t="str">
        <f>VLOOKUP(A203,'Trips&amp;Operators'!$C$1:$E$10000,3,FALSE)</f>
        <v>YANAI</v>
      </c>
      <c r="M203" s="6">
        <f t="shared" ref="M203:M222" si="88">I203-F203</f>
        <v>8.9120370321325026E-3</v>
      </c>
      <c r="N203" s="7">
        <f t="shared" ref="N203:N222" si="89">24*60*SUM($M203:$M203)</f>
        <v>12.833333326270804</v>
      </c>
      <c r="O203" s="7"/>
      <c r="P203" s="7"/>
      <c r="Q203" s="25"/>
      <c r="R203" s="25"/>
      <c r="S203" s="37">
        <f t="shared" si="80"/>
        <v>1</v>
      </c>
      <c r="T203" s="52" t="str">
        <f t="shared" si="58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21:21:58-0600',mode:absolute,to:'2016-09-22 23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3" s="54" t="str">
        <f t="shared" ref="W203" si="90">IF(AA203&lt;IF(AG203="EC",23,5.65),"Y","N")</f>
        <v>N</v>
      </c>
      <c r="X203" s="168">
        <f t="shared" si="81"/>
        <v>2</v>
      </c>
      <c r="Y203" s="69">
        <f t="shared" ref="Y203:Y222" si="91">RIGHT(D203,LEN(D203)-4)/10000</f>
        <v>9.0200000000000002E-2</v>
      </c>
      <c r="Z203" s="69">
        <f t="shared" ref="Z203:Z222" si="92">RIGHT(H203,LEN(H203)-4)/10000</f>
        <v>5.8921999999999999</v>
      </c>
      <c r="AA203" s="69">
        <f t="shared" si="63"/>
        <v>5.8019999999999996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64"/>
        <v>0847-22</v>
      </c>
      <c r="AE203" s="99" t="str">
        <f t="shared" si="65"/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AF203" s="96" t="str">
        <f t="shared" si="66"/>
        <v>"C:\Program Files (x86)\AstroGrep\AstroGrep.exe" /spath="%USERPROFILE%\AppData\Local\Temp\OnboardLogs" /stypes="app*4025*20160923*" /stext=" 04:.+((SYSTEM_STATE.+slice.+state.+changed )|(ment ac)|(system.+state.+changed )|(\|lc)|(penalty)|(\[timeout)|(PRM\|1\|D)|(kpr)|(kdp))" /e /r /s</v>
      </c>
      <c r="AG203" s="1" t="str">
        <f t="shared" si="67"/>
        <v>NW</v>
      </c>
      <c r="AH203" s="100" t="str">
        <f t="shared" si="54"/>
        <v>"%USERPROFILE%\Documents\GitHub\eaglep3\Utilities\RefineRTDCRunTimes.py" --tripid 847-22 --locoid 4025 --swversion DE.1.0.7.0 --startMP 204:902 --initTime 2016-09-22T22:21:58 --startdatetime 2016-09-22T22:23:15 --delay 0 --endMP 300:58922 --enddatetime 2016-09-22T22:36:05 --enforcementcount 0 &gt;&gt;C:\Users\stu\Documents\GitHub\eaglep3-reporting\EC\2016-09-22-refined-times.txt</v>
      </c>
      <c r="AI203" s="134" t="str">
        <f t="shared" si="55"/>
        <v>echo {"issue":{"subject":"","project_id":79,"tracker_id":40,"status_id":1,"priority_id":2,"assigned_to_id":23,"start_date":"2016-09-22","description":"","custom_fields":[{"id":1,"name":"Subdivision","value":"NW"},{"id":4,"name":"Milepost","value":"5.8922"},{"id":17,"name":"Train ID","value":"847-22"},{"id":16,"name":"Locomotive ID","value":"4025"},{"id":130,"name":"Impact","value":""},{"id":150,"name":"Time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566</v>
      </c>
      <c r="B204" s="7">
        <v>4029</v>
      </c>
      <c r="C204" s="24" t="s">
        <v>106</v>
      </c>
      <c r="D204" s="24" t="s">
        <v>219</v>
      </c>
      <c r="E204" s="15">
        <v>42635.779282407406</v>
      </c>
      <c r="F204" s="15">
        <v>25568.708333333332</v>
      </c>
      <c r="G204" s="7">
        <v>1</v>
      </c>
      <c r="H204" s="15" t="s">
        <v>670</v>
      </c>
      <c r="I204" s="15">
        <v>25568.708333333332</v>
      </c>
      <c r="J204" s="7">
        <v>0</v>
      </c>
      <c r="K204" s="121" t="str">
        <f t="shared" si="56"/>
        <v>4029/4030</v>
      </c>
      <c r="L204" s="24" t="str">
        <f>VLOOKUP(A204,'Trips&amp;Operators'!$C$1:$E$10000,3,FALSE)</f>
        <v>NEWELL</v>
      </c>
      <c r="M204" s="6">
        <f t="shared" si="88"/>
        <v>0</v>
      </c>
      <c r="N204" s="7">
        <f t="shared" si="89"/>
        <v>0</v>
      </c>
      <c r="O204" s="7"/>
      <c r="P204" s="7"/>
      <c r="Q204" s="25"/>
      <c r="R204" s="25"/>
      <c r="S204" s="37">
        <f t="shared" si="80"/>
        <v>1</v>
      </c>
      <c r="T204" s="52" t="str">
        <f t="shared" si="58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https://search-rtdc-monitor-bjffxe2xuh6vdkpspy63sjmuny.us-east-1.es.amazonaws.com/_plugin/kibana/#/discover/Steve-Slow-Train-Analysis-(2080s-and-2083s)?_g=(refreshInterval:(display:Off,section:0,value:0),time:(from:'2016-09-22 17:42:10-0600',mode:absolute,to:'1969-12-31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4" s="54" t="str">
        <f t="shared" ref="W204:W222" si="93">IF(AA204&lt;IF(AG204="EC",23,5.65),"Y","N")</f>
        <v>Y</v>
      </c>
      <c r="X204" s="168">
        <f t="shared" si="81"/>
        <v>-544</v>
      </c>
      <c r="Y204" s="69">
        <f t="shared" si="91"/>
        <v>4.53E-2</v>
      </c>
      <c r="Z204" s="69">
        <f t="shared" si="92"/>
        <v>2.3292999999999999</v>
      </c>
      <c r="AA204" s="69">
        <f t="shared" si="63"/>
        <v>2.2839999999999998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64"/>
        <v>0303-22</v>
      </c>
      <c r="AE204" s="99" t="str">
        <f t="shared" si="65"/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204" s="96" t="str">
        <f t="shared" si="66"/>
        <v>"C:\Program Files (x86)\AstroGrep\AstroGrep.exe" /spath="%USERPROFILE%\AppData\Local\Temp\OnboardLogs" /stypes="app*4029*19691231*" /stext=" 23:.+((SYSTEM_STATE.+slice.+state.+changed )|(ment ac)|(system.+state.+changed )|(\|lc)|(penalty)|(\[timeout)|(PRM\|1\|D)|(kpr)|(kdp))" /e /r /s</v>
      </c>
      <c r="AG204" s="1" t="str">
        <f t="shared" si="67"/>
        <v>Other</v>
      </c>
      <c r="AH204" s="100" t="str">
        <f t="shared" si="54"/>
        <v>"%USERPROFILE%\Documents\GitHub\eaglep3\Utilities\RefineRTDCRunTimes.py" --tripid 303-22 --locoid 4029 --swversion DE.1.0.7.0 --startMP 204:453 --initTime 2016-09-22T18:42:10 --startdatetime 1969-12-31T17:00:00 --delay 1 --endMP 300:23293 --enddatetime 1969-12-31T17:00:00 --enforcementcount 0 &gt;&gt;C:\Users\stu\Documents\GitHub\eaglep3-reporting\EC\2016-09-22-refined-times.txt</v>
      </c>
      <c r="AI204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ID","value":"303-22"},{"id":16,"name":"Locomotive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576</v>
      </c>
      <c r="B205" s="7">
        <v>4046</v>
      </c>
      <c r="C205" s="24" t="s">
        <v>106</v>
      </c>
      <c r="D205" s="24" t="s">
        <v>272</v>
      </c>
      <c r="E205" s="15">
        <v>42635.819525462961</v>
      </c>
      <c r="F205" s="15">
        <v>25568.708333333332</v>
      </c>
      <c r="G205" s="7">
        <v>1</v>
      </c>
      <c r="H205" s="15" t="s">
        <v>671</v>
      </c>
      <c r="I205" s="15">
        <v>25568.708333333332</v>
      </c>
      <c r="J205" s="7">
        <v>0</v>
      </c>
      <c r="K205" s="121" t="str">
        <f t="shared" ref="K205:K222" si="94">IF(ISEVEN(B205),(B205-1)&amp;"/"&amp;B205,B205&amp;"/"&amp;(B205+1))</f>
        <v>4045/4046</v>
      </c>
      <c r="L205" s="24" t="str">
        <f>VLOOKUP(A205,'Trips&amp;Operators'!$C$1:$E$10000,3,FALSE)</f>
        <v>STORY</v>
      </c>
      <c r="M205" s="6">
        <f t="shared" si="88"/>
        <v>0</v>
      </c>
      <c r="N205" s="7">
        <f t="shared" si="89"/>
        <v>0</v>
      </c>
      <c r="O205" s="7"/>
      <c r="P205" s="7"/>
      <c r="Q205" s="25"/>
      <c r="R205" s="25"/>
      <c r="S205" s="37">
        <f t="shared" si="80"/>
        <v>1</v>
      </c>
      <c r="T205" s="52" t="str">
        <f t="shared" ref="T205:T222" si="95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96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https://search-rtdc-monitor-bjffxe2xuh6vdkpspy63sjmuny.us-east-1.es.amazonaws.com/_plugin/kibana/#/discover/Steve-Slow-Train-Analysis-(2080s-and-2083s)?_g=(refreshInterval:(display:Off,section:0,value:0),time:(from:'2016-09-22 18:40:07-0600',mode:absolute,to:'1969-12-31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5" s="54" t="str">
        <f t="shared" si="93"/>
        <v>Y</v>
      </c>
      <c r="X205" s="168">
        <f t="shared" ref="X205:X222" si="97">VALUE(LEFT(AD205,4))-VALUE(LEFT(AD204,4))</f>
        <v>4</v>
      </c>
      <c r="Y205" s="69">
        <f t="shared" si="91"/>
        <v>4.7300000000000002E-2</v>
      </c>
      <c r="Z205" s="69">
        <f t="shared" si="92"/>
        <v>2.3302</v>
      </c>
      <c r="AA205" s="69">
        <f t="shared" ref="AA205:AA268" si="98">ABS(Z205-Y205)</f>
        <v>2.2829000000000002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2" si="99">IF(LEN(A205)=6,"0"&amp;A205,A205)</f>
        <v>0307-22</v>
      </c>
      <c r="AE205" s="99" t="str">
        <f t="shared" ref="AE205:AE222" si="10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s3://rtdc.mdm.uploadarchive/RTDC4046/1969-12-31/ "%USERPROFILE%\AppData\Local\Temp\OnboardLogs"\RTDC4046\1969-12-31 --recursive &amp; "%USERPROFILE%\Documents\GitHub\mrs-test-scripts\Headless Mode &amp; Sideloading\WalkAndUnGZ.bat" "%USERPROFILE%\AppData\Local\Temp\OnboardLogs"\RTDC4046\1969-12-31 &amp; aws s3 cp s3://rtdc.mdm.uploadarchive/RTDC4046/1970-01-01/ "%USERPROFILE%\AppData\Local\Temp\OnboardLogs"\RTDC4046\1970-01-01 --recursive &amp; "%USERPROFILE%\Documents\GitHub\mrs-test-scripts\Headless Mode &amp; Sideloading\WalkAndUnGZ.bat" "%USERPROFILE%\AppData\Local\Temp\OnboardLogs"\RTDC4046\1970-01-01</v>
      </c>
      <c r="AF205" s="96" t="str">
        <f t="shared" ref="AF205:AF222" si="10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/stypes="app*4046*19691231*" /stext=" 23:.+((SYSTEM_STATE.+slice.+state.+changed )|(ment ac)|(system.+state.+changed )|(\|lc)|(penalty)|(\[timeout)|(PRM\|1\|D)|(kpr)|(kdp))" /e /r /s</v>
      </c>
      <c r="AG205" s="1" t="str">
        <f t="shared" ref="AG205:AG222" si="102">IFERROR(IF(VALUE(LEFT(AD205,2))&lt;=2,"EC",IF(OR(VALUE(LEFT(AD205,2))=8,VALUE(LEFT(AD205,2))=18),"NW","Other")),"Other")</f>
        <v>Other</v>
      </c>
      <c r="AH205" s="100" t="str">
        <f t="shared" ref="AH205:AH222" si="10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307-22 --locoid 4046 --swversion DE.1.0.7.0 --startMP 204:473 --initTime 2016-09-22T19:40:07 --startdatetime 1969-12-31T17:00:00 --delay 1 --endMP 300:23302 --enddatetime 1969-12-31T17:00:00 --enforcementcount 0 &gt;&gt;C:\Users\stu\Documents\GitHub\eaglep3-reporting\EC\2016-09-22-refined-times.txt</v>
      </c>
      <c r="AI205" s="134" t="str">
        <f t="shared" ref="AI205:AI222" si="10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601</v>
      </c>
      <c r="B206" s="7">
        <v>4002</v>
      </c>
      <c r="C206" s="24" t="s">
        <v>106</v>
      </c>
      <c r="D206" s="24" t="s">
        <v>287</v>
      </c>
      <c r="E206" s="15">
        <v>42636.027013888888</v>
      </c>
      <c r="F206" s="15">
        <v>42636.031388888892</v>
      </c>
      <c r="G206" s="7">
        <v>2</v>
      </c>
      <c r="H206" s="15" t="s">
        <v>672</v>
      </c>
      <c r="I206" s="15">
        <v>42636.066377314812</v>
      </c>
      <c r="J206" s="7">
        <v>0</v>
      </c>
      <c r="K206" s="121" t="str">
        <f t="shared" si="94"/>
        <v>4001/4002</v>
      </c>
      <c r="L206" s="24" t="str">
        <f>VLOOKUP(A206,'Trips&amp;Operators'!$C$1:$E$10000,3,FALSE)</f>
        <v>LEVERE</v>
      </c>
      <c r="M206" s="6">
        <f t="shared" si="88"/>
        <v>3.498842591943685E-2</v>
      </c>
      <c r="N206" s="7">
        <f t="shared" si="89"/>
        <v>50.383333323989064</v>
      </c>
      <c r="O206" s="7"/>
      <c r="P206" s="7"/>
      <c r="Q206" s="25"/>
      <c r="R206" s="25"/>
      <c r="S206" s="37">
        <f t="shared" si="80"/>
        <v>1</v>
      </c>
      <c r="T206" s="52" t="str">
        <f t="shared" si="95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23:38:54-0600',mode:absolute,to:'2016-09-23 02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6" s="54" t="str">
        <f t="shared" si="93"/>
        <v>Y</v>
      </c>
      <c r="X206" s="168">
        <f t="shared" si="97"/>
        <v>2</v>
      </c>
      <c r="Y206" s="69">
        <f t="shared" si="91"/>
        <v>4.4200000000000003E-2</v>
      </c>
      <c r="Z206" s="69">
        <f t="shared" si="92"/>
        <v>3.1257000000000001</v>
      </c>
      <c r="AA206" s="69">
        <f t="shared" si="98"/>
        <v>3.0815000000000001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99"/>
        <v>0309-22</v>
      </c>
      <c r="AE206" s="99" t="str">
        <f t="shared" si="100"/>
        <v>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 &amp; aws s3 cp s3://rtdc.mdm.uploadarchive/RTDC4002/2016-09-24/ "%USERPROFILE%\AppData\Local\Temp\OnboardLogs"\RTDC4002\2016-09-24 --recursive &amp; "%USERPROFILE%\Documents\GitHub\mrs-test-scripts\Headless Mode &amp; Sideloading\WalkAndUnGZ.bat" "%USERPROFILE%\AppData\Local\Temp\OnboardLogs"\RTDC4002\2016-09-24</v>
      </c>
      <c r="AF206" s="96" t="str">
        <f t="shared" si="101"/>
        <v>"C:\Program Files (x86)\AstroGrep\AstroGrep.exe" /spath="%USERPROFILE%\AppData\Local\Temp\OnboardLogs" /stypes="app*4002*20160923*" /stext=" 07:.+((SYSTEM_STATE.+slice.+state.+changed )|(ment ac)|(system.+state.+changed )|(\|lc)|(penalty)|(\[timeout)|(PRM\|1\|D)|(kpr)|(kdp))" /e /r /s</v>
      </c>
      <c r="AG206" s="1" t="str">
        <f t="shared" si="102"/>
        <v>Other</v>
      </c>
      <c r="AH206" s="100" t="str">
        <f t="shared" si="103"/>
        <v>"%USERPROFILE%\Documents\GitHub\eaglep3\Utilities\RefineRTDCRunTimes.py" --tripid 309-22 --locoid 4002 --swversion DE.1.0.7.0 --startMP 204:442 --initTime 2016-09-23T00:38:54 --startdatetime 2016-09-23T00:45:12 --delay 2 --endMP 300:31257 --enddatetime 2016-09-23T01:35:35 --enforcementcount 0 &gt;&gt;C:\Users\stu\Documents\GitHub\eaglep3-reporting\EC\2016-09-22-refined-times.txt</v>
      </c>
      <c r="AI206" s="134" t="str">
        <f t="shared" si="104"/>
        <v>echo {"issue":{"subject":"","project_id":79,"tracker_id":40,"status_id":1,"priority_id":2,"assigned_to_id":23,"start_date":"2016-09-23","description":"","custom_fields":[{"id":1,"name":"Subdivision","value":"Other"},{"id":4,"name":"Milepost","value":"3.1257"},{"id":17,"name":"Train ID","value":"309-22"},{"id":16,"name":"Locomotive ID","value":"4002"},{"id":130,"name":"Impact","value":""},{"id":150,"name":"Time of Event (Mountain Time)","value":"01:35:35"},{"id":151,"name":"Denver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603</v>
      </c>
      <c r="B207" s="7">
        <v>4031</v>
      </c>
      <c r="C207" s="24" t="s">
        <v>106</v>
      </c>
      <c r="D207" s="24" t="s">
        <v>223</v>
      </c>
      <c r="E207" s="15">
        <v>42636.054930555554</v>
      </c>
      <c r="F207" s="15">
        <v>25568.708333333332</v>
      </c>
      <c r="G207" s="7">
        <v>1</v>
      </c>
      <c r="H207" s="15" t="s">
        <v>216</v>
      </c>
      <c r="I207" s="15">
        <v>25568.708333333332</v>
      </c>
      <c r="J207" s="7">
        <v>0</v>
      </c>
      <c r="K207" s="121" t="str">
        <f t="shared" si="94"/>
        <v>4031/4032</v>
      </c>
      <c r="L207" s="24" t="str">
        <f>VLOOKUP(A207,'Trips&amp;Operators'!$C$1:$E$10000,3,FALSE)</f>
        <v>COOLAHAN</v>
      </c>
      <c r="M207" s="6">
        <f t="shared" si="88"/>
        <v>0</v>
      </c>
      <c r="N207" s="7">
        <f t="shared" si="89"/>
        <v>0</v>
      </c>
      <c r="O207" s="7"/>
      <c r="P207" s="7"/>
      <c r="Q207" s="25"/>
      <c r="R207" s="25"/>
      <c r="S207" s="37">
        <f t="shared" si="80"/>
        <v>0</v>
      </c>
      <c r="T207" s="52" t="str">
        <f t="shared" si="95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https://search-rtdc-monitor-bjffxe2xuh6vdkpspy63sjmuny.us-east-1.es.amazonaws.com/_plugin/kibana/#/discover/Steve-Slow-Train-Analysis-(2080s-and-2083s)?_g=(refreshInterval:(display:Off,section:0,value:0),time:(from:'2016-09-23 00:19:06-0600',mode:absolute,to:'1969-12-31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7" s="54" t="str">
        <f t="shared" si="93"/>
        <v>Y</v>
      </c>
      <c r="X207" s="168">
        <f t="shared" si="97"/>
        <v>2</v>
      </c>
      <c r="Y207" s="69">
        <f t="shared" si="91"/>
        <v>4.5699999999999998E-2</v>
      </c>
      <c r="Z207" s="69">
        <f t="shared" si="92"/>
        <v>4.7100000000000003E-2</v>
      </c>
      <c r="AA207" s="69">
        <f t="shared" si="98"/>
        <v>1.4000000000000054E-3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99"/>
        <v>0311-22</v>
      </c>
      <c r="AE207" s="99" t="str">
        <f t="shared" si="100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7" s="96" t="str">
        <f t="shared" si="101"/>
        <v>"C:\Program Files (x86)\AstroGrep\AstroGrep.exe" /spath="%USERPROFILE%\AppData\Local\Temp\OnboardLogs" /stypes="app*4031*19691231*" /stext=" 23:.+((SYSTEM_STATE.+slice.+state.+changed )|(ment ac)|(system.+state.+changed )|(\|lc)|(penalty)|(\[timeout)|(PRM\|1\|D)|(kpr)|(kdp))" /e /r /s</v>
      </c>
      <c r="AG207" s="1" t="str">
        <f t="shared" si="102"/>
        <v>Other</v>
      </c>
      <c r="AH207" s="100" t="str">
        <f t="shared" si="103"/>
        <v>"%USERPROFILE%\Documents\GitHub\eaglep3\Utilities\RefineRTDCRunTimes.py" --tripid 311-22 --locoid 4031 --swversion DE.1.0.7.0 --startMP 204:457 --initTime 2016-09-23T01:19:06 --startdatetime 1969-12-31T17:00:00 --delay 1 --endMP 204:471 --enddatetime 1969-12-31T17:00:00 --enforcementcount 0 &gt;&gt;C:\Users\stu\Documents\GitHub\eaglep3-reporting\EC\2016-09-22-refined-times.txt</v>
      </c>
      <c r="AI207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{"issue":{"subject":"","project_id":79,"tracker_id":40,"status_id":1,"priority_id":2,"assigned_to_id":23,"start_date":"1969-12-31","description":"","custom_fields":[{"id":1,"name":"Subdivision","value":"Other"},{"id":4,"name":"Milepost","value":"0.0471"},{"id":17,"name":"Train ID","value":"311-22"},{"id":16,"name":"Locomotive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603</v>
      </c>
      <c r="B208" s="7">
        <v>4031</v>
      </c>
      <c r="C208" s="24" t="s">
        <v>106</v>
      </c>
      <c r="D208" s="24" t="s">
        <v>360</v>
      </c>
      <c r="E208" s="15">
        <v>42636.0465625</v>
      </c>
      <c r="F208" s="15">
        <v>25568.708333333332</v>
      </c>
      <c r="G208" s="7">
        <v>2</v>
      </c>
      <c r="H208" s="15" t="s">
        <v>223</v>
      </c>
      <c r="I208" s="15">
        <v>25568.708333333332</v>
      </c>
      <c r="J208" s="7">
        <v>0</v>
      </c>
      <c r="K208" s="121" t="str">
        <f t="shared" si="94"/>
        <v>4031/4032</v>
      </c>
      <c r="L208" s="24" t="str">
        <f>VLOOKUP(A208,'Trips&amp;Operators'!$C$1:$E$10000,3,FALSE)</f>
        <v>COOLAHAN</v>
      </c>
      <c r="M208" s="6">
        <f t="shared" si="88"/>
        <v>0</v>
      </c>
      <c r="N208" s="7">
        <f t="shared" si="89"/>
        <v>0</v>
      </c>
      <c r="O208" s="7"/>
      <c r="P208" s="7"/>
      <c r="Q208" s="25"/>
      <c r="R208" s="25"/>
      <c r="S208" s="37">
        <f t="shared" si="80"/>
        <v>0</v>
      </c>
      <c r="T208" s="52" t="str">
        <f t="shared" si="95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https://search-rtdc-monitor-bjffxe2xuh6vdkpspy63sjmuny.us-east-1.es.amazonaws.com/_plugin/kibana/#/discover/Steve-Slow-Train-Analysis-(2080s-and-2083s)?_g=(refreshInterval:(display:Off,section:0,value:0),time:(from:'2016-09-23 00:07:03-0600',mode:absolute,to:'1969-12-31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8" s="54" t="str">
        <f t="shared" si="93"/>
        <v>Y</v>
      </c>
      <c r="X208" s="168">
        <f t="shared" si="97"/>
        <v>0</v>
      </c>
      <c r="Y208" s="69">
        <f t="shared" si="91"/>
        <v>4.8000000000000001E-2</v>
      </c>
      <c r="Z208" s="69">
        <f t="shared" si="92"/>
        <v>4.5699999999999998E-2</v>
      </c>
      <c r="AA208" s="69">
        <f t="shared" si="98"/>
        <v>2.3000000000000034E-3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99"/>
        <v>0311-22</v>
      </c>
      <c r="AE208" s="99" t="str">
        <f t="shared" si="100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8" s="96" t="str">
        <f t="shared" si="101"/>
        <v>"C:\Program Files (x86)\AstroGrep\AstroGrep.exe" /spath="%USERPROFILE%\AppData\Local\Temp\OnboardLogs" /stypes="app*4031*19691231*" /stext=" 23:.+((SYSTEM_STATE.+slice.+state.+changed )|(ment ac)|(system.+state.+changed )|(\|lc)|(penalty)|(\[timeout)|(PRM\|1\|D)|(kpr)|(kdp))" /e /r /s</v>
      </c>
      <c r="AG208" s="1" t="str">
        <f t="shared" si="102"/>
        <v>Other</v>
      </c>
      <c r="AH208" s="100" t="str">
        <f t="shared" si="103"/>
        <v>"%USERPROFILE%\Documents\GitHub\eaglep3\Utilities\RefineRTDCRunTimes.py" --tripid 311-22 --locoid 4031 --swversion DE.1.0.7.0 --startMP 204:480 --initTime 2016-09-23T01:07:03 --startdatetime 1969-12-31T17:00:00 --delay 2 --endMP 204:457 --enddatetime 1969-12-31T17:00:00 --enforcementcount 0 &gt;&gt;C:\Users\stu\Documents\GitHub\eaglep3-reporting\EC\2016-09-22-refined-times.txt</v>
      </c>
      <c r="AI208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{"issue":{"subject":"","project_id":79,"tracker_id":40,"status_id":1,"priority_id":2,"assigned_to_id":23,"start_date":"1969-12-31","description":"","custom_fields":[{"id":1,"name":"Subdivision","value":"Other"},{"id":4,"name":"Milepost","value":"0.0457"},{"id":17,"name":"Train ID","value":"311-22"},{"id":16,"name":"Locomotive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605</v>
      </c>
      <c r="B209" s="7">
        <v>4014</v>
      </c>
      <c r="C209" s="24" t="s">
        <v>106</v>
      </c>
      <c r="D209" s="24" t="s">
        <v>229</v>
      </c>
      <c r="E209" s="15">
        <v>42636.067453703705</v>
      </c>
      <c r="F209" s="15">
        <v>25568.708333333332</v>
      </c>
      <c r="G209" s="7">
        <v>1</v>
      </c>
      <c r="H209" s="15" t="s">
        <v>229</v>
      </c>
      <c r="I209" s="15">
        <v>25568.708333333332</v>
      </c>
      <c r="J209" s="7">
        <v>0</v>
      </c>
      <c r="K209" s="121" t="str">
        <f t="shared" si="94"/>
        <v>4013/4014</v>
      </c>
      <c r="L209" s="24" t="str">
        <f>VLOOKUP(A209,'Trips&amp;Operators'!$C$1:$E$10000,3,FALSE)</f>
        <v>LEVIN</v>
      </c>
      <c r="M209" s="6">
        <f t="shared" si="88"/>
        <v>0</v>
      </c>
      <c r="N209" s="7">
        <f t="shared" si="89"/>
        <v>0</v>
      </c>
      <c r="O209" s="7"/>
      <c r="P209" s="7"/>
      <c r="Q209" s="25"/>
      <c r="R209" s="25"/>
      <c r="S209" s="37">
        <f t="shared" si="80"/>
        <v>0</v>
      </c>
      <c r="T209" s="52" t="str">
        <f t="shared" si="95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https://search-rtdc-monitor-bjffxe2xuh6vdkpspy63sjmuny.us-east-1.es.amazonaws.com/_plugin/kibana/#/discover/Steve-Slow-Train-Analysis-(2080s-and-2083s)?_g=(refreshInterval:(display:Off,section:0,value:0),time:(from:'2016-09-23 00:37:08-0600',mode:absolute,to:'1969-12-31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9" s="54" t="str">
        <f t="shared" si="93"/>
        <v>Y</v>
      </c>
      <c r="X209" s="168">
        <f t="shared" si="97"/>
        <v>2</v>
      </c>
      <c r="Y209" s="69">
        <f t="shared" si="91"/>
        <v>4.58E-2</v>
      </c>
      <c r="Z209" s="69">
        <f t="shared" si="92"/>
        <v>4.58E-2</v>
      </c>
      <c r="AA209" s="69">
        <f t="shared" si="98"/>
        <v>0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99"/>
        <v>0313-22</v>
      </c>
      <c r="AE209" s="99" t="str">
        <f t="shared" si="100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09" s="96" t="str">
        <f t="shared" si="101"/>
        <v>"C:\Program Files (x86)\AstroGrep\AstroGrep.exe" /spath="%USERPROFILE%\AppData\Local\Temp\OnboardLogs" /stypes="app*4014*19691231*" /stext=" 23:.+((SYSTEM_STATE.+slice.+state.+changed )|(ment ac)|(system.+state.+changed )|(\|lc)|(penalty)|(\[timeout)|(PRM\|1\|D)|(kpr)|(kdp))" /e /r /s</v>
      </c>
      <c r="AG209" s="1" t="str">
        <f t="shared" si="102"/>
        <v>Other</v>
      </c>
      <c r="AH209" s="100" t="str">
        <f t="shared" si="103"/>
        <v>"%USERPROFILE%\Documents\GitHub\eaglep3\Utilities\RefineRTDCRunTimes.py" --tripid 313-22 --locoid 4014 --swversion DE.1.0.7.0 --startMP 204:458 --initTime 2016-09-23T01:37:08 --startdatetime 1969-12-31T17:00:00 --delay 1 --endMP 204:458 --enddatetime 1969-12-31T17:00:00 --enforcementcount 0 &gt;&gt;C:\Users\stu\Documents\GitHub\eaglep3-reporting\EC\2016-09-22-refined-times.txt</v>
      </c>
      <c r="AI209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{"issue":{"subject":"","project_id":79,"tracker_id":40,"status_id":1,"priority_id":2,"assigned_to_id":23,"start_date":"1969-12-31","description":"","custom_fields":[{"id":1,"name":"Subdivision","value":"Other"},{"id":4,"name":"Milepost","value":"0.0458"},{"id":17,"name":"Train ID","value":"313-22"},{"id":16,"name":"Locomotive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443</v>
      </c>
      <c r="B210" s="7">
        <v>4011</v>
      </c>
      <c r="C210" s="24" t="s">
        <v>106</v>
      </c>
      <c r="D210" s="24" t="s">
        <v>746</v>
      </c>
      <c r="E210" s="15">
        <v>42635.355624999997</v>
      </c>
      <c r="F210" s="15">
        <v>42635.35659722222</v>
      </c>
      <c r="G210" s="7">
        <v>1</v>
      </c>
      <c r="H210" s="15" t="s">
        <v>747</v>
      </c>
      <c r="I210" s="15">
        <v>42635.361562500002</v>
      </c>
      <c r="J210" s="7">
        <v>0</v>
      </c>
      <c r="K210" s="121" t="str">
        <f t="shared" si="94"/>
        <v>4011/4012</v>
      </c>
      <c r="L210" s="24" t="str">
        <f>VLOOKUP(A210,'Trips&amp;Operators'!$C$1:$E$10000,3,FALSE)</f>
        <v>YORK</v>
      </c>
      <c r="M210" s="6">
        <f t="shared" si="88"/>
        <v>4.9652777815936133E-3</v>
      </c>
      <c r="N210" s="7">
        <f t="shared" si="89"/>
        <v>7.1500000054948032</v>
      </c>
      <c r="O210" s="7"/>
      <c r="P210" s="7"/>
      <c r="Q210" s="25"/>
      <c r="R210" s="25"/>
      <c r="S210" s="37">
        <f t="shared" si="80"/>
        <v>1</v>
      </c>
      <c r="T210" s="52" t="str">
        <f t="shared" si="95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07:32:06-0600',mode:absolute,to:'2016-09-22 09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0" s="54" t="str">
        <f t="shared" si="93"/>
        <v>Y</v>
      </c>
      <c r="X210" s="168">
        <f t="shared" si="97"/>
        <v>590</v>
      </c>
      <c r="Y210" s="69">
        <f t="shared" si="91"/>
        <v>0.1079</v>
      </c>
      <c r="Z210" s="69">
        <f t="shared" si="92"/>
        <v>2.4908000000000001</v>
      </c>
      <c r="AA210" s="69">
        <f t="shared" si="98"/>
        <v>2.3829000000000002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99"/>
        <v>0903-22</v>
      </c>
      <c r="AE210" s="99" t="str">
        <f t="shared" si="100"/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AF210" s="96" t="str">
        <f t="shared" si="101"/>
        <v>"C:\Program Files (x86)\AstroGrep\AstroGrep.exe" /spath="%USERPROFILE%\AppData\Local\Temp\OnboardLogs" /stypes="app*4011*20160922*" /stext=" 14:.+((SYSTEM_STATE.+slice.+state.+changed )|(ment ac)|(system.+state.+changed )|(\|lc)|(penalty)|(\[timeout)|(PRM\|1\|D)|(kpr)|(kdp))" /e /r /s</v>
      </c>
      <c r="AG210" s="1" t="str">
        <f t="shared" si="102"/>
        <v>Other</v>
      </c>
      <c r="AH210" s="100" t="str">
        <f t="shared" si="103"/>
        <v>"%USERPROFILE%\Documents\GitHub\eaglep3\Utilities\RefineRTDCRunTimes.py" --tripid 903-22 --locoid 4011 --swversion DE.1.0.7.0 --startMP 204:1079 --initTime 2016-09-22T08:32:06 --startdatetime 2016-09-22T08:33:30 --delay 1 --endMP 300:24908 --enddatetime 2016-09-22T08:40:39 --enforcementcount 0 &gt;&gt;C:\Users\stu\Documents\GitHub\eaglep3-reporting\EC\2016-09-22-refined-times.txt</v>
      </c>
      <c r="AI210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{"issue":{"subject":"","project_id":79,"tracker_id":40,"status_id":1,"priority_id":2,"assigned_to_id":23,"start_date":"2016-09-22","description":"","custom_fields":[{"id":1,"name":"Subdivision","value":"Other"},{"id":4,"name":"Milepost","value":"2.4908"},{"id":17,"name":"Train ID","value":"903-22"},{"id":16,"name":"Locomotive ID","value":"4011"},{"id":130,"name":"Impact","value":""},{"id":150,"name":"Time of Event (Mountain Time)","value":"08:40:39"},{"id":151,"name":"Denver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518</v>
      </c>
      <c r="B211" s="7">
        <v>4012</v>
      </c>
      <c r="C211" s="24" t="s">
        <v>106</v>
      </c>
      <c r="D211" s="24" t="s">
        <v>748</v>
      </c>
      <c r="E211" s="15">
        <v>42635.632465277777</v>
      </c>
      <c r="F211" s="15">
        <v>42635.635046296295</v>
      </c>
      <c r="G211" s="7">
        <v>3</v>
      </c>
      <c r="H211" s="15" t="s">
        <v>749</v>
      </c>
      <c r="I211" s="15">
        <v>42635.642291666663</v>
      </c>
      <c r="J211" s="7">
        <v>0</v>
      </c>
      <c r="K211" s="121" t="str">
        <f t="shared" si="94"/>
        <v>4011/4012</v>
      </c>
      <c r="L211" s="24" t="str">
        <f>VLOOKUP(A211,'Trips&amp;Operators'!$C$1:$E$10000,3,FALSE)</f>
        <v>YANAI</v>
      </c>
      <c r="M211" s="6">
        <f t="shared" si="88"/>
        <v>7.2453703687642701E-3</v>
      </c>
      <c r="N211" s="7">
        <f t="shared" si="89"/>
        <v>10.433333331020549</v>
      </c>
      <c r="O211" s="7"/>
      <c r="P211" s="7"/>
      <c r="Q211" s="25"/>
      <c r="R211" s="25"/>
      <c r="S211" s="37">
        <f t="shared" si="80"/>
        <v>1</v>
      </c>
      <c r="T211" s="52" t="str">
        <f t="shared" si="95"/>
        <v>Southbound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14:10:45-0600',mode:absolute,to:'2016-09-22 16:24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1" s="54" t="str">
        <f t="shared" si="93"/>
        <v>Y</v>
      </c>
      <c r="X211" s="168">
        <f t="shared" si="97"/>
        <v>1</v>
      </c>
      <c r="Y211" s="69">
        <f t="shared" si="91"/>
        <v>2.3382999999999998</v>
      </c>
      <c r="Z211" s="69">
        <f t="shared" si="92"/>
        <v>6.5199999999999994E-2</v>
      </c>
      <c r="AA211" s="69">
        <f t="shared" si="98"/>
        <v>2.2730999999999999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99"/>
        <v>0904-22</v>
      </c>
      <c r="AE211" s="99" t="str">
        <f t="shared" si="100"/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AF211" s="96" t="str">
        <f t="shared" si="101"/>
        <v>"C:\Program Files (x86)\AstroGrep\AstroGrep.exe" /spath="%USERPROFILE%\AppData\Local\Temp\OnboardLogs" /stypes="app*4012*20160922*" /stext=" 21:.+((SYSTEM_STATE.+slice.+state.+changed )|(ment ac)|(system.+state.+changed )|(\|lc)|(penalty)|(\[timeout)|(PRM\|1\|D)|(kpr)|(kdp))" /e /r /s</v>
      </c>
      <c r="AG211" s="1" t="str">
        <f t="shared" si="102"/>
        <v>Other</v>
      </c>
      <c r="AH211" s="100" t="str">
        <f t="shared" si="103"/>
        <v>"%USERPROFILE%\Documents\GitHub\eaglep3\Utilities\RefineRTDCRunTimes.py" --tripid 904-22 --locoid 4012 --swversion DE.1.0.7.0 --startMP 300:23383 --initTime 2016-09-22T15:10:45 --startdatetime 2016-09-22T15:14:28 --delay 3 --endMP 204:652 --enddatetime 2016-09-22T15:24:54 --enforcementcount 0 &gt;&gt;C:\Users\stu\Documents\GitHub\eaglep3-reporting\EC\2016-09-22-refined-times.txt</v>
      </c>
      <c r="AI211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{"issue":{"subject":"","project_id":79,"tracker_id":40,"status_id":1,"priority_id":2,"assigned_to_id":23,"start_date":"2016-09-22","description":"","custom_fields":[{"id":1,"name":"Subdivision","value":"Other"},{"id":4,"name":"Milepost","value":"0.0652"},{"id":17,"name":"Train ID","value":"904-22"},{"id":16,"name":"Locomotive ID","value":"4012"},{"id":130,"name":"Impact","value":""},{"id":150,"name":"Time of Event (Mountain Time)","value":"15:24:54"},{"id":151,"name":"Denver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571</v>
      </c>
      <c r="B212" s="7">
        <v>4012</v>
      </c>
      <c r="C212" s="24" t="s">
        <v>106</v>
      </c>
      <c r="D212" s="24" t="s">
        <v>264</v>
      </c>
      <c r="E212" s="15">
        <v>42635.796354166669</v>
      </c>
      <c r="F212" s="15">
        <v>25568.708333333332</v>
      </c>
      <c r="G212" s="7">
        <v>1</v>
      </c>
      <c r="H212" s="15" t="s">
        <v>750</v>
      </c>
      <c r="I212" s="15">
        <v>25568.708333333332</v>
      </c>
      <c r="J212" s="7">
        <v>0</v>
      </c>
      <c r="K212" s="121" t="str">
        <f t="shared" si="94"/>
        <v>4011/4012</v>
      </c>
      <c r="L212" s="24" t="str">
        <f>VLOOKUP(A212,'Trips&amp;Operators'!$C$1:$E$10000,3,FALSE)</f>
        <v>YANAI</v>
      </c>
      <c r="M212" s="6">
        <f t="shared" si="88"/>
        <v>0</v>
      </c>
      <c r="N212" s="7">
        <f t="shared" si="89"/>
        <v>0</v>
      </c>
      <c r="O212" s="7"/>
      <c r="P212" s="7"/>
      <c r="Q212" s="25"/>
      <c r="R212" s="25"/>
      <c r="S212" s="37">
        <f t="shared" si="80"/>
        <v>0</v>
      </c>
      <c r="T212" s="52" t="str">
        <f t="shared" si="95"/>
        <v>Southbound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18:06:45-0600',mode:absolute,to:'1969-12-31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2" s="54" t="str">
        <f t="shared" si="93"/>
        <v>Y</v>
      </c>
      <c r="X212" s="168">
        <f t="shared" si="97"/>
        <v>2</v>
      </c>
      <c r="Y212" s="69">
        <f t="shared" si="91"/>
        <v>5.8619000000000003</v>
      </c>
      <c r="Z212" s="69">
        <f t="shared" si="92"/>
        <v>2.8788999999999998</v>
      </c>
      <c r="AA212" s="69">
        <f t="shared" si="98"/>
        <v>2.9830000000000005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99"/>
        <v>0906-22</v>
      </c>
      <c r="AE212" s="99" t="str">
        <f t="shared" si="100"/>
        <v>aws s3 cp s3://rtdc.mdm.uploadarchive/RTDC4012/1969-12-31/ "%USERPROFILE%\AppData\Local\Temp\OnboardLogs"\RTDC4012\1969-12-31 --recursive &amp; "%USERPROFILE%\Documents\GitHub\mrs-test-scripts\Headless Mode &amp; Sideloading\WalkAndUnGZ.bat" "%USERPROFILE%\AppData\Local\Temp\OnboardLogs"\RTDC4012\1969-12-31 &amp; aws s3 cp s3://rtdc.mdm.uploadarchive/RTDC4012/1970-01-01/ "%USERPROFILE%\AppData\Local\Temp\OnboardLogs"\RTDC4012\1970-01-01 --recursive &amp; "%USERPROFILE%\Documents\GitHub\mrs-test-scripts\Headless Mode &amp; Sideloading\WalkAndUnGZ.bat" "%USERPROFILE%\AppData\Local\Temp\OnboardLogs"\RTDC4012\1970-01-01</v>
      </c>
      <c r="AF212" s="96" t="str">
        <f t="shared" si="101"/>
        <v>"C:\Program Files (x86)\AstroGrep\AstroGrep.exe" /spath="%USERPROFILE%\AppData\Local\Temp\OnboardLogs" /stypes="app*4012*19691231*" /stext=" 23:.+((SYSTEM_STATE.+slice.+state.+changed )|(ment ac)|(system.+state.+changed )|(\|lc)|(penalty)|(\[timeout)|(PRM\|1\|D)|(kpr)|(kdp))" /e /r /s</v>
      </c>
      <c r="AG212" s="1" t="str">
        <f t="shared" si="102"/>
        <v>Other</v>
      </c>
      <c r="AH212" s="100" t="str">
        <f t="shared" si="103"/>
        <v>"%USERPROFILE%\Documents\GitHub\eaglep3\Utilities\RefineRTDCRunTimes.py" --tripid 906-22 --locoid 4012 --swversion DE.1.0.7.0 --startMP 300:58619 --initTime 2016-09-22T19:06:45 --startdatetime 1969-12-31T17:00:00 --delay 1 --endMP 300:28789 --enddatetime 1969-12-31T17:00:00 --enforcementcount 0 &gt;&gt;C:\Users\stu\Documents\GitHub\eaglep3-reporting\EC\2016-09-22-refined-times.txt</v>
      </c>
      <c r="AI212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ID","value":"906-22"},{"id":16,"name":"Locomotive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592</v>
      </c>
      <c r="B213" s="7">
        <v>4026</v>
      </c>
      <c r="C213" s="24" t="s">
        <v>106</v>
      </c>
      <c r="D213" s="24" t="s">
        <v>751</v>
      </c>
      <c r="E213" s="15">
        <v>42635.942407407405</v>
      </c>
      <c r="F213" s="15">
        <v>42635.943680555552</v>
      </c>
      <c r="G213" s="7">
        <v>1</v>
      </c>
      <c r="H213" s="15" t="s">
        <v>752</v>
      </c>
      <c r="I213" s="15">
        <v>42635.947835648149</v>
      </c>
      <c r="J213" s="7">
        <v>0</v>
      </c>
      <c r="K213" s="121" t="str">
        <f t="shared" si="94"/>
        <v>4025/4026</v>
      </c>
      <c r="L213" s="24" t="str">
        <f>VLOOKUP(A213,'Trips&amp;Operators'!$C$1:$E$10000,3,FALSE)</f>
        <v>YANAI</v>
      </c>
      <c r="M213" s="6">
        <f t="shared" si="88"/>
        <v>4.1550925961928442E-3</v>
      </c>
      <c r="N213" s="7">
        <f t="shared" si="89"/>
        <v>5.9833333385176957</v>
      </c>
      <c r="O213" s="7"/>
      <c r="P213" s="7"/>
      <c r="Q213" s="25"/>
      <c r="R213" s="25"/>
      <c r="S213" s="37">
        <f t="shared" si="80"/>
        <v>0</v>
      </c>
      <c r="T213" s="52" t="str">
        <f t="shared" si="95"/>
        <v>Southbound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21:37:04-0600',mode:absolute,to:'2016-09-22 23:44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3" s="54" t="str">
        <f t="shared" si="93"/>
        <v>Y</v>
      </c>
      <c r="X213" s="168">
        <f t="shared" si="97"/>
        <v>2</v>
      </c>
      <c r="Y213" s="69">
        <f t="shared" si="91"/>
        <v>5.8609</v>
      </c>
      <c r="Z213" s="69">
        <f t="shared" si="92"/>
        <v>2.1680000000000001</v>
      </c>
      <c r="AA213" s="69">
        <f t="shared" si="98"/>
        <v>3.6928999999999998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99"/>
        <v>0908-22</v>
      </c>
      <c r="AE213" s="99" t="str">
        <f t="shared" si="100"/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AF213" s="96" t="str">
        <f t="shared" si="101"/>
        <v>"C:\Program Files (x86)\AstroGrep\AstroGrep.exe" /spath="%USERPROFILE%\AppData\Local\Temp\OnboardLogs" /stypes="app*4026*20160923*" /stext=" 04:.+((SYSTEM_STATE.+slice.+state.+changed )|(ment ac)|(system.+state.+changed )|(\|lc)|(penalty)|(\[timeout)|(PRM\|1\|D)|(kpr)|(kdp))" /e /r /s</v>
      </c>
      <c r="AG213" s="1" t="str">
        <f t="shared" si="102"/>
        <v>Other</v>
      </c>
      <c r="AH213" s="100" t="str">
        <f t="shared" si="103"/>
        <v>"%USERPROFILE%\Documents\GitHub\eaglep3\Utilities\RefineRTDCRunTimes.py" --tripid 908-22 --locoid 4026 --swversion DE.1.0.7.0 --startMP 300:58609 --initTime 2016-09-22T22:37:04 --startdatetime 2016-09-22T22:38:54 --delay 1 --endMP 300:21680 --enddatetime 2016-09-22T22:44:53 --enforcementcount 0 &gt;&gt;C:\Users\stu\Documents\GitHub\eaglep3-reporting\EC\2016-09-22-refined-times.txt</v>
      </c>
      <c r="AI213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{"issue":{"subject":"","project_id":79,"tracker_id":40,"status_id":1,"priority_id":2,"assigned_to_id":23,"start_date":"2016-09-22","description":"","custom_fields":[{"id":1,"name":"Subdivision","value":"Other"},{"id":4,"name":"Milepost","value":"2.168"},{"id":17,"name":"Train ID","value":"908-22"},{"id":16,"name":"Locomotive ID","value":"4026"},{"id":130,"name":"Impact","value":""},{"id":150,"name":"Time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465</v>
      </c>
      <c r="B214" s="7">
        <v>4008</v>
      </c>
      <c r="C214" s="24" t="s">
        <v>106</v>
      </c>
      <c r="D214" s="24" t="s">
        <v>673</v>
      </c>
      <c r="E214" s="15">
        <v>42635.442187499997</v>
      </c>
      <c r="F214" s="15">
        <v>42635.44327546296</v>
      </c>
      <c r="G214" s="7">
        <v>0</v>
      </c>
      <c r="H214" s="15" t="s">
        <v>674</v>
      </c>
      <c r="I214" s="15">
        <v>42635.448865740742</v>
      </c>
      <c r="J214" s="7">
        <v>0</v>
      </c>
      <c r="K214" s="121" t="str">
        <f t="shared" si="94"/>
        <v>4007/4008</v>
      </c>
      <c r="L214" s="24" t="str">
        <f>VLOOKUP(A214,'Trips&amp;Operators'!$C$1:$E$10000,3,FALSE)</f>
        <v>STAMBAUGH</v>
      </c>
      <c r="M214" s="6">
        <f t="shared" si="88"/>
        <v>5.5902777821756899E-3</v>
      </c>
      <c r="N214" s="7">
        <f t="shared" si="89"/>
        <v>8.0500000063329935</v>
      </c>
      <c r="O214" s="7"/>
      <c r="P214" s="7"/>
      <c r="Q214" s="25"/>
      <c r="R214" s="25"/>
      <c r="S214" s="37">
        <f t="shared" si="80"/>
        <v>0</v>
      </c>
      <c r="T214" s="52" t="e">
        <f t="shared" si="95"/>
        <v>#VALUE!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09:36:45-0600',mode:absolute,to:'2016-09-22 11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14" s="54" t="str">
        <f t="shared" si="93"/>
        <v>Y</v>
      </c>
      <c r="X214" s="168" t="e">
        <f t="shared" si="97"/>
        <v>#VALUE!</v>
      </c>
      <c r="Y214" s="69">
        <f t="shared" si="91"/>
        <v>2.2221000000000002</v>
      </c>
      <c r="Z214" s="69">
        <f t="shared" si="92"/>
        <v>1.1299999999999999E-2</v>
      </c>
      <c r="AA214" s="69">
        <f t="shared" si="98"/>
        <v>2.2108000000000003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99"/>
        <v>50-22</v>
      </c>
      <c r="AE214" s="99" t="str">
        <f t="shared" si="100"/>
        <v>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 &amp; aws s3 cp s3://rtdc.mdm.uploadarchive/RTDC4008/2016-09-23/ "%USERPROFILE%\AppData\Local\Temp\OnboardLogs"\RTDC4008\2016-09-23 --recursive &amp; "%USERPROFILE%\Documents\GitHub\mrs-test-scripts\Headless Mode &amp; Sideloading\WalkAndUnGZ.bat" "%USERPROFILE%\AppData\Local\Temp\OnboardLogs"\RTDC4008\2016-09-23</v>
      </c>
      <c r="AF214" s="96" t="str">
        <f t="shared" si="101"/>
        <v>"C:\Program Files (x86)\AstroGrep\AstroGrep.exe" /spath="%USERPROFILE%\AppData\Local\Temp\OnboardLogs" /stypes="app*4008*20160922*" /stext=" 16:.+((SYSTEM_STATE.+slice.+state.+changed )|(ment ac)|(system.+state.+changed )|(\|lc)|(penalty)|(\[timeout)|(PRM\|1\|D)|(kpr)|(kdp))" /e /r /s</v>
      </c>
      <c r="AG214" s="1" t="str">
        <f t="shared" si="102"/>
        <v>Other</v>
      </c>
      <c r="AH214" s="100" t="str">
        <f t="shared" si="103"/>
        <v>"%USERPROFILE%\Documents\GitHub\eaglep3\Utilities\RefineRTDCRunTimes.py" --tripid 50-22 --locoid 4008 --swversion DE.1.0.7.0 --startMP 300:22221 --initTime 2016-09-22T10:36:45 --startdatetime 2016-09-22T10:38:19 --delay 0 --endMP 204:113 --enddatetime 2016-09-22T10:46:22 --enforcementcount 0 &gt;&gt;C:\Users\stu\Documents\GitHub\eaglep3-reporting\EC\2016-09-22-refined-times.txt</v>
      </c>
      <c r="AI214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{"issue":{"subject":"","project_id":79,"tracker_id":40,"status_id":1,"priority_id":2,"assigned_to_id":23,"start_date":"2016-09-22","description":"","custom_fields":[{"id":1,"name":"Subdivision","value":"Other"},{"id":4,"name":"Milepost","value":"0.0113"},{"id":17,"name":"Train ID","value":"50-22"},{"id":16,"name":"Locomotive ID","value":"4008"},{"id":130,"name":"Impact","value":""},{"id":150,"name":"Time of Event (Mountain Time)","value":"10:46:22"},{"id":151,"name":"Denver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469</v>
      </c>
      <c r="B215" s="7">
        <v>4005</v>
      </c>
      <c r="C215" s="24" t="s">
        <v>106</v>
      </c>
      <c r="D215" s="24" t="s">
        <v>675</v>
      </c>
      <c r="E215" s="15">
        <v>42635.455266203702</v>
      </c>
      <c r="F215" s="15">
        <v>42635.457025462965</v>
      </c>
      <c r="G215" s="7">
        <v>1</v>
      </c>
      <c r="H215" s="15" t="s">
        <v>676</v>
      </c>
      <c r="I215" s="15">
        <v>42635.462222222224</v>
      </c>
      <c r="J215" s="7">
        <v>0</v>
      </c>
      <c r="K215" s="121" t="str">
        <f t="shared" si="94"/>
        <v>4005/4006</v>
      </c>
      <c r="L215" s="24" t="str">
        <f>VLOOKUP(A215,'Trips&amp;Operators'!$C$1:$E$10000,3,FALSE)</f>
        <v>NEWELL</v>
      </c>
      <c r="M215" s="6">
        <f t="shared" si="88"/>
        <v>5.1967592589790002E-3</v>
      </c>
      <c r="N215" s="7">
        <f t="shared" si="89"/>
        <v>7.4833333329297602</v>
      </c>
      <c r="O215" s="7"/>
      <c r="P215" s="7"/>
      <c r="Q215" s="25"/>
      <c r="R215" s="25"/>
      <c r="S215" s="37">
        <f t="shared" si="80"/>
        <v>0</v>
      </c>
      <c r="T215" s="52" t="e">
        <f t="shared" si="95"/>
        <v>#VALUE!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09:55:35-0600',mode:absolute,to:'2016-09-22 12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5" s="54" t="str">
        <f t="shared" si="93"/>
        <v>Y</v>
      </c>
      <c r="X215" s="168" t="e">
        <f t="shared" si="97"/>
        <v>#VALUE!</v>
      </c>
      <c r="Y215" s="69">
        <f t="shared" si="91"/>
        <v>2.3243</v>
      </c>
      <c r="Z215" s="69">
        <f t="shared" si="92"/>
        <v>8.8700000000000001E-2</v>
      </c>
      <c r="AA215" s="69">
        <f t="shared" si="98"/>
        <v>2.2355999999999998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99"/>
        <v>52-22</v>
      </c>
      <c r="AE215" s="99" t="str">
        <f t="shared" si="100"/>
        <v>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 &amp; aws s3 cp s3://rtdc.mdm.uploadarchive/RTDC4005/2016-09-23/ "%USERPROFILE%\AppData\Local\Temp\OnboardLogs"\RTDC4005\2016-09-23 --recursive &amp; "%USERPROFILE%\Documents\GitHub\mrs-test-scripts\Headless Mode &amp; Sideloading\WalkAndUnGZ.bat" "%USERPROFILE%\AppData\Local\Temp\OnboardLogs"\RTDC4005\2016-09-23</v>
      </c>
      <c r="AF215" s="96" t="str">
        <f t="shared" si="101"/>
        <v>"C:\Program Files (x86)\AstroGrep\AstroGrep.exe" /spath="%USERPROFILE%\AppData\Local\Temp\OnboardLogs" /stypes="app*4005*20160922*" /stext=" 17:.+((SYSTEM_STATE.+slice.+state.+changed )|(ment ac)|(system.+state.+changed )|(\|lc)|(penalty)|(\[timeout)|(PRM\|1\|D)|(kpr)|(kdp))" /e /r /s</v>
      </c>
      <c r="AG215" s="1" t="str">
        <f t="shared" si="102"/>
        <v>Other</v>
      </c>
      <c r="AH215" s="100" t="str">
        <f t="shared" si="103"/>
        <v>"%USERPROFILE%\Documents\GitHub\eaglep3\Utilities\RefineRTDCRunTimes.py" --tripid 52-22 --locoid 4005 --swversion DE.1.0.7.0 --startMP 300:23243 --initTime 2016-09-22T10:55:35 --startdatetime 2016-09-22T10:58:07 --delay 1 --endMP 204:887 --enddatetime 2016-09-22T11:05:36 --enforcementcount 0 &gt;&gt;C:\Users\stu\Documents\GitHub\eaglep3-reporting\EC\2016-09-22-refined-times.txt</v>
      </c>
      <c r="AI215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{"issue":{"subject":"","project_id":79,"tracker_id":40,"status_id":1,"priority_id":2,"assigned_to_id":23,"start_date":"2016-09-22","description":"","custom_fields":[{"id":1,"name":"Subdivision","value":"Other"},{"id":4,"name":"Milepost","value":"0.0887"},{"id":17,"name":"Train ID","value":"52-22"},{"id":16,"name":"Locomotive ID","value":"4005"},{"id":130,"name":"Impact","value":""},{"id":150,"name":"Time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477</v>
      </c>
      <c r="B216" s="7">
        <v>4007</v>
      </c>
      <c r="C216" s="24" t="s">
        <v>106</v>
      </c>
      <c r="D216" s="24" t="s">
        <v>677</v>
      </c>
      <c r="E216" s="15">
        <v>42635.485046296293</v>
      </c>
      <c r="F216" s="15">
        <v>42635.486157407409</v>
      </c>
      <c r="G216" s="7">
        <v>1</v>
      </c>
      <c r="H216" s="15" t="s">
        <v>678</v>
      </c>
      <c r="I216" s="15">
        <v>42635.4922337963</v>
      </c>
      <c r="J216" s="7">
        <v>0</v>
      </c>
      <c r="K216" s="121" t="str">
        <f t="shared" si="94"/>
        <v>4007/4008</v>
      </c>
      <c r="L216" s="24" t="str">
        <f>VLOOKUP(A216,'Trips&amp;Operators'!$C$1:$E$10000,3,FALSE)</f>
        <v>STRICKLAND</v>
      </c>
      <c r="M216" s="6">
        <f t="shared" si="88"/>
        <v>6.0763888905057684E-3</v>
      </c>
      <c r="N216" s="7">
        <f t="shared" si="89"/>
        <v>8.7500000023283064</v>
      </c>
      <c r="O216" s="7"/>
      <c r="P216" s="7"/>
      <c r="Q216" s="25"/>
      <c r="R216" s="25"/>
      <c r="S216" s="37">
        <f t="shared" si="80"/>
        <v>0</v>
      </c>
      <c r="T216" s="52" t="e">
        <f t="shared" si="95"/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10:38:28-0600',mode:absolute,to:'2016-09-22 12:48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16" s="54" t="str">
        <f t="shared" si="93"/>
        <v>Y</v>
      </c>
      <c r="X216" s="168" t="e">
        <f t="shared" si="97"/>
        <v>#VALUE!</v>
      </c>
      <c r="Y216" s="69">
        <f t="shared" si="91"/>
        <v>4.0300000000000002E-2</v>
      </c>
      <c r="Z216" s="69">
        <f t="shared" si="92"/>
        <v>2.4260000000000002</v>
      </c>
      <c r="AA216" s="69">
        <f t="shared" si="98"/>
        <v>2.3856999999999999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99"/>
        <v>55-22</v>
      </c>
      <c r="AE216" s="99" t="str">
        <f t="shared" si="100"/>
        <v>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 &amp; aws s3 cp s3://rtdc.mdm.uploadarchive/RTDC4007/2016-09-23/ "%USERPROFILE%\AppData\Local\Temp\OnboardLogs"\RTDC4007\2016-09-23 --recursive &amp; "%USERPROFILE%\Documents\GitHub\mrs-test-scripts\Headless Mode &amp; Sideloading\WalkAndUnGZ.bat" "%USERPROFILE%\AppData\Local\Temp\OnboardLogs"\RTDC4007\2016-09-23</v>
      </c>
      <c r="AF216" s="96" t="str">
        <f t="shared" si="101"/>
        <v>"C:\Program Files (x86)\AstroGrep\AstroGrep.exe" /spath="%USERPROFILE%\AppData\Local\Temp\OnboardLogs" /stypes="app*4007*20160922*" /stext=" 17:.+((SYSTEM_STATE.+slice.+state.+changed )|(ment ac)|(system.+state.+changed )|(\|lc)|(penalty)|(\[timeout)|(PRM\|1\|D)|(kpr)|(kdp))" /e /r /s</v>
      </c>
      <c r="AG216" s="1" t="str">
        <f t="shared" si="102"/>
        <v>Other</v>
      </c>
      <c r="AH216" s="100" t="str">
        <f t="shared" si="103"/>
        <v>"%USERPROFILE%\Documents\GitHub\eaglep3\Utilities\RefineRTDCRunTimes.py" --tripid 55-22 --locoid 4007 --swversion DE.1.0.7.0 --startMP 204:403 --initTime 2016-09-22T11:38:28 --startdatetime 2016-09-22T11:40:04 --delay 1 --endMP 300:24260 --enddatetime 2016-09-22T11:48:49 --enforcementcount 0 &gt;&gt;C:\Users\stu\Documents\GitHub\eaglep3-reporting\EC\2016-09-22-refined-times.txt</v>
      </c>
      <c r="AI216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{"issue":{"subject":"","project_id":79,"tracker_id":40,"status_id":1,"priority_id":2,"assigned_to_id":23,"start_date":"2016-09-22","description":"","custom_fields":[{"id":1,"name":"Subdivision","value":"Other"},{"id":4,"name":"Milepost","value":"2.426"},{"id":17,"name":"Train ID","value":"55-22"},{"id":16,"name":"Locomotive ID","value":"4007"},{"id":130,"name":"Impact","value":""},{"id":150,"name":"Time of Event (Mountain Time)","value":"11:48:49"},{"id":151,"name":"Denver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553</v>
      </c>
      <c r="B217" s="7">
        <v>4041</v>
      </c>
      <c r="C217" s="24" t="s">
        <v>106</v>
      </c>
      <c r="D217" s="24" t="s">
        <v>679</v>
      </c>
      <c r="E217" s="15">
        <v>42635.740081018521</v>
      </c>
      <c r="F217" s="15">
        <v>42635.744629629633</v>
      </c>
      <c r="G217" s="7">
        <v>6</v>
      </c>
      <c r="H217" s="15" t="s">
        <v>680</v>
      </c>
      <c r="I217" s="15">
        <v>42635.752430555556</v>
      </c>
      <c r="J217" s="7">
        <v>0</v>
      </c>
      <c r="K217" s="121" t="str">
        <f t="shared" si="94"/>
        <v>4041/4042</v>
      </c>
      <c r="L217" s="24" t="str">
        <f>VLOOKUP(A217,'Trips&amp;Operators'!$C$1:$E$10000,3,FALSE)</f>
        <v>ARVIDSON</v>
      </c>
      <c r="M217" s="6">
        <f t="shared" si="88"/>
        <v>7.8009259232203476E-3</v>
      </c>
      <c r="N217" s="7">
        <f t="shared" si="89"/>
        <v>11.233333329437301</v>
      </c>
      <c r="O217" s="7"/>
      <c r="P217" s="7"/>
      <c r="Q217" s="25"/>
      <c r="R217" s="25"/>
      <c r="S217" s="37">
        <f t="shared" si="80"/>
        <v>0</v>
      </c>
      <c r="T217" s="52" t="e">
        <f t="shared" si="95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16:45:43-0600',mode:absolute,to:'2016-09-22 19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17" s="54" t="str">
        <f t="shared" si="93"/>
        <v>Y</v>
      </c>
      <c r="X217" s="168" t="e">
        <f t="shared" si="97"/>
        <v>#VALUE!</v>
      </c>
      <c r="Y217" s="69">
        <f t="shared" si="91"/>
        <v>2.2025999999999999</v>
      </c>
      <c r="Z217" s="69">
        <f t="shared" si="92"/>
        <v>0.12470000000000001</v>
      </c>
      <c r="AA217" s="69">
        <f t="shared" si="98"/>
        <v>2.0779000000000001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99"/>
        <v>56-22</v>
      </c>
      <c r="AE217" s="99" t="str">
        <f t="shared" si="100"/>
        <v>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 &amp; aws s3 cp s3://rtdc.mdm.uploadarchive/RTDC4041/2016-09-23/ "%USERPROFILE%\AppData\Local\Temp\OnboardLogs"\RTDC4041\2016-09-23 --recursive &amp; "%USERPROFILE%\Documents\GitHub\mrs-test-scripts\Headless Mode &amp; Sideloading\WalkAndUnGZ.bat" "%USERPROFILE%\AppData\Local\Temp\OnboardLogs"\RTDC4041\2016-09-23</v>
      </c>
      <c r="AF217" s="96" t="str">
        <f t="shared" si="101"/>
        <v>"C:\Program Files (x86)\AstroGrep\AstroGrep.exe" /spath="%USERPROFILE%\AppData\Local\Temp\OnboardLogs" /stypes="app*4041*20160923*" /stext=" 00:.+((SYSTEM_STATE.+slice.+state.+changed )|(ment ac)|(system.+state.+changed )|(\|lc)|(penalty)|(\[timeout)|(PRM\|1\|D)|(kpr)|(kdp))" /e /r /s</v>
      </c>
      <c r="AG217" s="1" t="str">
        <f t="shared" si="102"/>
        <v>Other</v>
      </c>
      <c r="AH217" s="100" t="str">
        <f t="shared" si="103"/>
        <v>"%USERPROFILE%\Documents\GitHub\eaglep3\Utilities\RefineRTDCRunTimes.py" --tripid 56-22 --locoid 4041 --swversion DE.1.0.7.0 --startMP 300:22026 --initTime 2016-09-22T17:45:43 --startdatetime 2016-09-22T17:52:16 --delay 6 --endMP 204:1247 --enddatetime 2016-09-22T18:03:30 --enforcementcount 0 &gt;&gt;C:\Users\stu\Documents\GitHub\eaglep3-reporting\EC\2016-09-22-refined-times.txt</v>
      </c>
      <c r="AI217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{"issue":{"subject":"","project_id":79,"tracker_id":40,"status_id":1,"priority_id":2,"assigned_to_id":23,"start_date":"2016-09-22","description":"","custom_fields":[{"id":1,"name":"Subdivision","value":"Other"},{"id":4,"name":"Milepost","value":"0.1247"},{"id":17,"name":"Train ID","value":"56-22"},{"id":16,"name":"Locomotive ID","value":"4041"},{"id":130,"name":"Impact","value":""},{"id":150,"name":"Time of Event (Mountain Time)","value":"18:03:30"},{"id":151,"name":"Denver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483</v>
      </c>
      <c r="B218" s="7">
        <v>4006</v>
      </c>
      <c r="C218" s="24" t="s">
        <v>106</v>
      </c>
      <c r="D218" s="24" t="s">
        <v>681</v>
      </c>
      <c r="E218" s="15">
        <v>42635.501562500001</v>
      </c>
      <c r="F218" s="15">
        <v>42635.502905092595</v>
      </c>
      <c r="G218" s="7">
        <v>1</v>
      </c>
      <c r="H218" s="15" t="s">
        <v>682</v>
      </c>
      <c r="I218" s="15">
        <v>42635.508194444446</v>
      </c>
      <c r="J218" s="7">
        <v>0</v>
      </c>
      <c r="K218" s="121" t="str">
        <f t="shared" si="94"/>
        <v>4005/4006</v>
      </c>
      <c r="L218" s="24" t="str">
        <f>VLOOKUP(A218,'Trips&amp;Operators'!$C$1:$E$10000,3,FALSE)</f>
        <v>BEAM</v>
      </c>
      <c r="M218" s="6">
        <f t="shared" si="88"/>
        <v>5.2893518513883464E-3</v>
      </c>
      <c r="N218" s="7">
        <f t="shared" si="89"/>
        <v>7.6166666659992188</v>
      </c>
      <c r="O218" s="7"/>
      <c r="P218" s="7"/>
      <c r="Q218" s="25"/>
      <c r="R218" s="25"/>
      <c r="S218" s="37">
        <f t="shared" si="80"/>
        <v>0</v>
      </c>
      <c r="T218" s="52" t="e">
        <f t="shared" si="95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11:02:15-0600',mode:absolute,to:'2016-09-22 13:11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8" s="54" t="str">
        <f t="shared" si="93"/>
        <v>Y</v>
      </c>
      <c r="X218" s="168" t="e">
        <f t="shared" si="97"/>
        <v>#VALUE!</v>
      </c>
      <c r="Y218" s="69">
        <f t="shared" si="91"/>
        <v>0.1203</v>
      </c>
      <c r="Z218" s="69">
        <f t="shared" si="92"/>
        <v>2.4211999999999998</v>
      </c>
      <c r="AA218" s="69">
        <f t="shared" si="98"/>
        <v>2.3008999999999999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99"/>
        <v>57-22</v>
      </c>
      <c r="AE218" s="99" t="str">
        <f t="shared" si="100"/>
        <v>aws s3 cp s3://rtdc.mdm.uploadarchive/RTDC4006/2016-09-22/ "%USERPROFILE%\AppData\Local\Temp\OnboardLogs"\RTDC4006\2016-09-22 --recursive &amp; "%USERPROFILE%\Documents\GitHub\mrs-test-scripts\Headless Mode &amp; Sideloading\WalkAndUnGZ.bat" "%USERPROFILE%\AppData\Local\Temp\OnboardLogs"\RTDC4006\2016-09-22 &amp; aws s3 cp s3://rtdc.mdm.uploadarchive/RTDC4006/2016-09-23/ "%USERPROFILE%\AppData\Local\Temp\OnboardLogs"\RTDC4006\2016-09-23 --recursive &amp; "%USERPROFILE%\Documents\GitHub\mrs-test-scripts\Headless Mode &amp; Sideloading\WalkAndUnGZ.bat" "%USERPROFILE%\AppData\Local\Temp\OnboardLogs"\RTDC4006\2016-09-23</v>
      </c>
      <c r="AF218" s="96" t="str">
        <f t="shared" si="101"/>
        <v>"C:\Program Files (x86)\AstroGrep\AstroGrep.exe" /spath="%USERPROFILE%\AppData\Local\Temp\OnboardLogs" /stypes="app*4006*20160922*" /stext=" 18:.+((SYSTEM_STATE.+slice.+state.+changed )|(ment ac)|(system.+state.+changed )|(\|lc)|(penalty)|(\[timeout)|(PRM\|1\|D)|(kpr)|(kdp))" /e /r /s</v>
      </c>
      <c r="AG218" s="1" t="str">
        <f t="shared" si="102"/>
        <v>Other</v>
      </c>
      <c r="AH218" s="100" t="str">
        <f t="shared" si="103"/>
        <v>"%USERPROFILE%\Documents\GitHub\eaglep3\Utilities\RefineRTDCRunTimes.py" --tripid 57-22 --locoid 4006 --swversion DE.1.0.7.0 --startMP 204:1203 --initTime 2016-09-22T12:02:15 --startdatetime 2016-09-22T12:04:11 --delay 1 --endMP 300:24212 --enddatetime 2016-09-22T12:11:48 --enforcementcount 0 &gt;&gt;C:\Users\stu\Documents\GitHub\eaglep3-reporting\EC\2016-09-22-refined-times.txt</v>
      </c>
      <c r="AI218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{"issue":{"subject":"","project_id":79,"tracker_id":40,"status_id":1,"priority_id":2,"assigned_to_id":23,"start_date":"2016-09-22","description":"","custom_fields":[{"id":1,"name":"Subdivision","value":"Other"},{"id":4,"name":"Milepost","value":"2.4212"},{"id":17,"name":"Train ID","value":"57-22"},{"id":16,"name":"Locomotive ID","value":"4006"},{"id":130,"name":"Impact","value":""},{"id":150,"name":"Time of Event (Mountain Time)","value":"12:11:48"},{"id":151,"name":"Denver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555</v>
      </c>
      <c r="B219" s="7">
        <v>4008</v>
      </c>
      <c r="C219" s="24" t="s">
        <v>106</v>
      </c>
      <c r="D219" s="24" t="s">
        <v>683</v>
      </c>
      <c r="E219" s="15">
        <v>42635.748553240737</v>
      </c>
      <c r="F219" s="15">
        <v>42635.751493055555</v>
      </c>
      <c r="G219" s="7">
        <v>4</v>
      </c>
      <c r="H219" s="15" t="s">
        <v>684</v>
      </c>
      <c r="I219" s="15">
        <v>42635.757824074077</v>
      </c>
      <c r="J219" s="7">
        <v>0</v>
      </c>
      <c r="K219" s="121" t="str">
        <f t="shared" si="94"/>
        <v>4007/4008</v>
      </c>
      <c r="L219" s="24" t="str">
        <f>VLOOKUP(A219,'Trips&amp;Operators'!$C$1:$E$10000,3,FALSE)</f>
        <v>STURGEON</v>
      </c>
      <c r="M219" s="6">
        <f t="shared" si="88"/>
        <v>6.33101852145046E-3</v>
      </c>
      <c r="N219" s="7">
        <f t="shared" si="89"/>
        <v>9.1166666708886623</v>
      </c>
      <c r="O219" s="7"/>
      <c r="P219" s="7"/>
      <c r="Q219" s="25"/>
      <c r="R219" s="25"/>
      <c r="S219" s="37">
        <f t="shared" si="80"/>
        <v>0</v>
      </c>
      <c r="T219" s="52" t="e">
        <f t="shared" si="95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16:57:55-0600',mode:absolute,to:'2016-09-22 19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19" s="54" t="str">
        <f t="shared" si="93"/>
        <v>Y</v>
      </c>
      <c r="X219" s="168" t="e">
        <f t="shared" si="97"/>
        <v>#VALUE!</v>
      </c>
      <c r="Y219" s="69">
        <f t="shared" si="91"/>
        <v>2.3416999999999999</v>
      </c>
      <c r="Z219" s="69">
        <f t="shared" si="92"/>
        <v>9.7299999999999998E-2</v>
      </c>
      <c r="AA219" s="69">
        <f t="shared" si="98"/>
        <v>2.2443999999999997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99"/>
        <v>58-22</v>
      </c>
      <c r="AE219" s="99" t="str">
        <f t="shared" si="100"/>
        <v>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 &amp; aws s3 cp s3://rtdc.mdm.uploadarchive/RTDC4008/2016-09-23/ "%USERPROFILE%\AppData\Local\Temp\OnboardLogs"\RTDC4008\2016-09-23 --recursive &amp; "%USERPROFILE%\Documents\GitHub\mrs-test-scripts\Headless Mode &amp; Sideloading\WalkAndUnGZ.bat" "%USERPROFILE%\AppData\Local\Temp\OnboardLogs"\RTDC4008\2016-09-23</v>
      </c>
      <c r="AF219" s="96" t="str">
        <f t="shared" si="101"/>
        <v>"C:\Program Files (x86)\AstroGrep\AstroGrep.exe" /spath="%USERPROFILE%\AppData\Local\Temp\OnboardLogs" /stypes="app*4008*20160923*" /stext=" 00:.+((SYSTEM_STATE.+slice.+state.+changed )|(ment ac)|(system.+state.+changed )|(\|lc)|(penalty)|(\[timeout)|(PRM\|1\|D)|(kpr)|(kdp))" /e /r /s</v>
      </c>
      <c r="AG219" s="1" t="str">
        <f t="shared" si="102"/>
        <v>Other</v>
      </c>
      <c r="AH219" s="100" t="str">
        <f t="shared" si="103"/>
        <v>"%USERPROFILE%\Documents\GitHub\eaglep3\Utilities\RefineRTDCRunTimes.py" --tripid 58-22 --locoid 4008 --swversion DE.1.0.7.0 --startMP 300:23417 --initTime 2016-09-22T17:57:55 --startdatetime 2016-09-22T18:02:09 --delay 4 --endMP 204:973 --enddatetime 2016-09-22T18:11:16 --enforcementcount 0 &gt;&gt;C:\Users\stu\Documents\GitHub\eaglep3-reporting\EC\2016-09-22-refined-times.txt</v>
      </c>
      <c r="AI219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{"issue":{"subject":"","project_id":79,"tracker_id":40,"status_id":1,"priority_id":2,"assigned_to_id":23,"start_date":"2016-09-22","description":"","custom_fields":[{"id":1,"name":"Subdivision","value":"Other"},{"id":4,"name":"Milepost","value":"0.0973"},{"id":17,"name":"Train ID","value":"58-22"},{"id":16,"name":"Locomotive ID","value":"4008"},{"id":130,"name":"Impact","value":""},{"id":150,"name":"Time of Event (Mountain Time)","value":"18:11:16"},{"id":151,"name":"Denver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559</v>
      </c>
      <c r="B220" s="7">
        <v>4006</v>
      </c>
      <c r="C220" s="24" t="s">
        <v>106</v>
      </c>
      <c r="D220" s="24" t="s">
        <v>685</v>
      </c>
      <c r="E220" s="15">
        <v>42635.760243055556</v>
      </c>
      <c r="F220" s="15">
        <v>42635.767418981479</v>
      </c>
      <c r="G220" s="7">
        <v>1</v>
      </c>
      <c r="H220" s="15" t="s">
        <v>686</v>
      </c>
      <c r="I220" s="15">
        <v>42635.775196759256</v>
      </c>
      <c r="J220" s="7">
        <v>0</v>
      </c>
      <c r="K220" s="121" t="str">
        <f t="shared" si="94"/>
        <v>4005/4006</v>
      </c>
      <c r="L220" s="24" t="str">
        <f>VLOOKUP(A220,'Trips&amp;Operators'!$C$1:$E$10000,3,FALSE)</f>
        <v>SHOOK</v>
      </c>
      <c r="M220" s="6">
        <f t="shared" si="88"/>
        <v>7.7777777769370005E-3</v>
      </c>
      <c r="N220" s="7">
        <f t="shared" si="89"/>
        <v>11.199999998789281</v>
      </c>
      <c r="O220" s="7"/>
      <c r="P220" s="7"/>
      <c r="Q220" s="25"/>
      <c r="R220" s="25"/>
      <c r="S220" s="37">
        <f t="shared" si="80"/>
        <v>0</v>
      </c>
      <c r="T220" s="52" t="e">
        <f t="shared" si="95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17:14:45-0600',mode:absolute,to:'2016-09-22 19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0" s="54" t="str">
        <f t="shared" si="93"/>
        <v>Y</v>
      </c>
      <c r="X220" s="168" t="e">
        <f t="shared" si="97"/>
        <v>#VALUE!</v>
      </c>
      <c r="Y220" s="69">
        <f t="shared" si="91"/>
        <v>3.6299999999999999E-2</v>
      </c>
      <c r="Z220" s="69">
        <f t="shared" si="92"/>
        <v>2.4228999999999998</v>
      </c>
      <c r="AA220" s="69">
        <f t="shared" si="98"/>
        <v>2.3865999999999996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99"/>
        <v>60-22</v>
      </c>
      <c r="AE220" s="99" t="str">
        <f t="shared" si="100"/>
        <v>aws s3 cp s3://rtdc.mdm.uploadarchive/RTDC4006/2016-09-22/ "%USERPROFILE%\AppData\Local\Temp\OnboardLogs"\RTDC4006\2016-09-22 --recursive &amp; "%USERPROFILE%\Documents\GitHub\mrs-test-scripts\Headless Mode &amp; Sideloading\WalkAndUnGZ.bat" "%USERPROFILE%\AppData\Local\Temp\OnboardLogs"\RTDC4006\2016-09-22 &amp; aws s3 cp s3://rtdc.mdm.uploadarchive/RTDC4006/2016-09-23/ "%USERPROFILE%\AppData\Local\Temp\OnboardLogs"\RTDC4006\2016-09-23 --recursive &amp; "%USERPROFILE%\Documents\GitHub\mrs-test-scripts\Headless Mode &amp; Sideloading\WalkAndUnGZ.bat" "%USERPROFILE%\AppData\Local\Temp\OnboardLogs"\RTDC4006\2016-09-23</v>
      </c>
      <c r="AF220" s="96" t="str">
        <f t="shared" si="101"/>
        <v>"C:\Program Files (x86)\AstroGrep\AstroGrep.exe" /spath="%USERPROFILE%\AppData\Local\Temp\OnboardLogs" /stypes="app*4006*20160923*" /stext=" 00:.+((SYSTEM_STATE.+slice.+state.+changed )|(ment ac)|(system.+state.+changed )|(\|lc)|(penalty)|(\[timeout)|(PRM\|1\|D)|(kpr)|(kdp))" /e /r /s</v>
      </c>
      <c r="AG220" s="1" t="str">
        <f t="shared" si="102"/>
        <v>Other</v>
      </c>
      <c r="AH220" s="100" t="str">
        <f t="shared" si="103"/>
        <v>"%USERPROFILE%\Documents\GitHub\eaglep3\Utilities\RefineRTDCRunTimes.py" --tripid 60-22 --locoid 4006 --swversion DE.1.0.7.0 --startMP 204:363 --initTime 2016-09-22T18:14:45 --startdatetime 2016-09-22T18:25:05 --delay 1 --endMP 300:24229 --enddatetime 2016-09-22T18:36:17 --enforcementcount 0 &gt;&gt;C:\Users\stu\Documents\GitHub\eaglep3-reporting\EC\2016-09-22-refined-times.txt</v>
      </c>
      <c r="AI220" s="134" t="str">
        <f t="shared" si="104"/>
        <v>echo {"issue":{"subject":"","project_id":79,"tracker_id":40,"status_id":1,"priority_id":2,"assigned_to_id":23,"start_date":"2016-09-22","description":"","custom_fields":[{"id":1,"name":"Subdivision","value":"Other"},{"id":4,"name":"Milepost","value":"2.4229"},{"id":17,"name":"Train ID","value":"60-22"},{"id":16,"name":"Locomotive ID","value":"4006"},{"id":130,"name":"Impact","value":""},{"id":150,"name":"Time of Event (Mountain Time)","value":"18:36:17"},{"id":151,"name":"Denver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564</v>
      </c>
      <c r="B221" s="7">
        <v>4007</v>
      </c>
      <c r="C221" s="24" t="s">
        <v>106</v>
      </c>
      <c r="D221" s="24" t="s">
        <v>687</v>
      </c>
      <c r="E221" s="15">
        <v>42635.775659722225</v>
      </c>
      <c r="F221" s="15">
        <v>25568.708333333332</v>
      </c>
      <c r="G221" s="7">
        <v>1</v>
      </c>
      <c r="H221" s="15" t="s">
        <v>688</v>
      </c>
      <c r="I221" s="15">
        <v>25568.708333333332</v>
      </c>
      <c r="J221" s="7">
        <v>0</v>
      </c>
      <c r="K221" s="121" t="str">
        <f t="shared" si="94"/>
        <v>4007/4008</v>
      </c>
      <c r="L221" s="24" t="str">
        <f>VLOOKUP(A221,'Trips&amp;Operators'!$C$1:$E$10000,3,FALSE)</f>
        <v>MOSES</v>
      </c>
      <c r="M221" s="6">
        <f t="shared" si="88"/>
        <v>0</v>
      </c>
      <c r="N221" s="7">
        <f t="shared" si="89"/>
        <v>0</v>
      </c>
      <c r="O221" s="7"/>
      <c r="P221" s="7"/>
      <c r="Q221" s="25"/>
      <c r="R221" s="25"/>
      <c r="S221" s="37">
        <f t="shared" si="80"/>
        <v>0</v>
      </c>
      <c r="T221" s="52" t="e">
        <f t="shared" si="95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17:36:57-0600',mode:absolute,to:'1969-12-31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21" s="54" t="str">
        <f t="shared" si="93"/>
        <v>Y</v>
      </c>
      <c r="X221" s="168" t="e">
        <f t="shared" si="97"/>
        <v>#VALUE!</v>
      </c>
      <c r="Y221" s="69">
        <f t="shared" si="91"/>
        <v>0.129</v>
      </c>
      <c r="Z221" s="69">
        <f t="shared" si="92"/>
        <v>2.3346</v>
      </c>
      <c r="AA221" s="69">
        <f t="shared" si="98"/>
        <v>2.2056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99"/>
        <v>62-22</v>
      </c>
      <c r="AE221" s="99" t="str">
        <f t="shared" si="100"/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221" s="96" t="str">
        <f t="shared" si="101"/>
        <v>"C:\Program Files (x86)\AstroGrep\AstroGrep.exe" /spath="%USERPROFILE%\AppData\Local\Temp\OnboardLogs" /stypes="app*4007*19691231*" /stext=" 23:.+((SYSTEM_STATE.+slice.+state.+changed )|(ment ac)|(system.+state.+changed )|(\|lc)|(penalty)|(\[timeout)|(PRM\|1\|D)|(kpr)|(kdp))" /e /r /s</v>
      </c>
      <c r="AG221" s="1" t="str">
        <f t="shared" si="102"/>
        <v>Other</v>
      </c>
      <c r="AH221" s="100" t="str">
        <f t="shared" si="103"/>
        <v>"%USERPROFILE%\Documents\GitHub\eaglep3\Utilities\RefineRTDCRunTimes.py" --tripid 62-22 --locoid 4007 --swversion DE.1.0.7.0 --startMP 204:1290 --initTime 2016-09-22T18:36:57 --startdatetime 1969-12-31T17:00:00 --delay 1 --endMP 300:23346 --enddatetime 1969-12-31T17:00:00 --enforcementcount 0 &gt;&gt;C:\Users\stu\Documents\GitHub\eaglep3-reporting\EC\2016-09-22-refined-times.txt</v>
      </c>
      <c r="AI221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ID","value":"62-22"},{"id":16,"name":"Locomotive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544</v>
      </c>
      <c r="B222" s="7">
        <v>4044</v>
      </c>
      <c r="C222" s="24" t="s">
        <v>106</v>
      </c>
      <c r="D222" s="24" t="s">
        <v>374</v>
      </c>
      <c r="E222" s="15">
        <v>42635.721574074072</v>
      </c>
      <c r="F222" s="15">
        <v>25568.708333333332</v>
      </c>
      <c r="G222" s="7">
        <v>1</v>
      </c>
      <c r="H222" s="15" t="s">
        <v>670</v>
      </c>
      <c r="I222" s="15">
        <v>25568.708333333332</v>
      </c>
      <c r="J222" s="7">
        <v>0</v>
      </c>
      <c r="K222" s="121" t="str">
        <f t="shared" si="94"/>
        <v>4043/4044</v>
      </c>
      <c r="L222" s="24" t="str">
        <f>VLOOKUP(A222,'Trips&amp;Operators'!$C$1:$E$10000,3,FALSE)</f>
        <v>ISHMAEL</v>
      </c>
      <c r="M222" s="6">
        <f t="shared" si="88"/>
        <v>0</v>
      </c>
      <c r="N222" s="7">
        <f t="shared" si="89"/>
        <v>0</v>
      </c>
      <c r="O222" s="7"/>
      <c r="P222" s="7"/>
      <c r="Q222" s="25"/>
      <c r="R222" s="25"/>
      <c r="S222" s="37">
        <f t="shared" si="80"/>
        <v>0</v>
      </c>
      <c r="T222" s="52" t="e">
        <f t="shared" si="95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https://search-rtdc-monitor-bjffxe2xuh6vdkpspy63sjmuny.us-east-1.es.amazonaws.com/_plugin/kibana/#/discover/Steve-Slow-Train-Analysis-(2080s-and-2083s)?_g=(refreshInterval:(display:Off,section:0,value:0),time:(from:'2016-09-22 16:19:04-0600',mode:absolute,to:'1969-12-31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22" s="54" t="str">
        <f t="shared" si="93"/>
        <v>Y</v>
      </c>
      <c r="X222" s="168" t="e">
        <f t="shared" si="97"/>
        <v>#VALUE!</v>
      </c>
      <c r="Y222" s="69">
        <f t="shared" si="91"/>
        <v>0.14899999999999999</v>
      </c>
      <c r="Z222" s="69">
        <f t="shared" si="92"/>
        <v>2.3292999999999999</v>
      </c>
      <c r="AA222" s="69">
        <f t="shared" si="98"/>
        <v>2.1802999999999999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99"/>
        <v>65-22</v>
      </c>
      <c r="AE222" s="99" t="str">
        <f t="shared" si="100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22" s="96" t="str">
        <f t="shared" si="101"/>
        <v>"C:\Program Files (x86)\AstroGrep\AstroGrep.exe" /spath="%USERPROFILE%\AppData\Local\Temp\OnboardLogs" /stypes="app*4044*19691231*" /stext=" 23:.+((SYSTEM_STATE.+slice.+state.+changed )|(ment ac)|(system.+state.+changed )|(\|lc)|(penalty)|(\[timeout)|(PRM\|1\|D)|(kpr)|(kdp))" /e /r /s</v>
      </c>
      <c r="AG222" s="1" t="str">
        <f t="shared" si="102"/>
        <v>Other</v>
      </c>
      <c r="AH222" s="100" t="str">
        <f t="shared" si="103"/>
        <v>"%USERPROFILE%\Documents\GitHub\eaglep3\Utilities\RefineRTDCRunTimes.py" --tripid 65-22 --locoid 4044 --swversion DE.1.0.7.0 --startMP 204:1490 --initTime 2016-09-22T17:19:04 --startdatetime 1969-12-31T17:00:00 --delay 1 --endMP 300:23293 --enddatetime 1969-12-31T17:00:00 --enforcementcount 0 &gt;&gt;C:\Users\stu\Documents\GitHub\eaglep3-reporting\EC\2016-09-22-refined-times.txt</v>
      </c>
      <c r="AI222" s="13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ID","value":"65-22"},{"id":16,"name":"Locomotive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</sheetData>
  <autoFilter ref="A12:AG24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2" priority="289" operator="equal">
      <formula>"Y"</formula>
    </cfRule>
  </conditionalFormatting>
  <conditionalFormatting sqref="X13:X1048576">
    <cfRule type="cellIs" dxfId="11" priority="272" operator="greaterThan">
      <formula>1</formula>
    </cfRule>
  </conditionalFormatting>
  <conditionalFormatting sqref="X12:X1048576">
    <cfRule type="cellIs" dxfId="10" priority="269" operator="equal">
      <formula>0</formula>
    </cfRule>
  </conditionalFormatting>
  <conditionalFormatting sqref="A13:S247">
    <cfRule type="expression" dxfId="9" priority="265">
      <formula>$O13&gt;0</formula>
    </cfRule>
  </conditionalFormatting>
  <conditionalFormatting sqref="A13:S247">
    <cfRule type="expression" dxfId="8" priority="264">
      <formula>$P13&gt;0</formula>
    </cfRule>
  </conditionalFormatting>
  <conditionalFormatting sqref="AJ44">
    <cfRule type="expression" dxfId="7" priority="3">
      <formula>$O44&gt;0</formula>
    </cfRule>
  </conditionalFormatting>
  <conditionalFormatting sqref="AJ44">
    <cfRule type="expression" dxfId="6" priority="2">
      <formula>$P44&gt;0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A223:S247 Q46:R50 S13:S222 A13:Q222</xm:sqref>
        </x14:conditionalFormatting>
        <x14:conditionalFormatting xmlns:xm="http://schemas.microsoft.com/office/excel/2006/main">
          <x14:cfRule type="expression" priority="28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R13:R222</xm:sqref>
        </x14:conditionalFormatting>
        <x14:conditionalFormatting xmlns:xm="http://schemas.microsoft.com/office/excel/2006/main">
          <x14:cfRule type="expression" priority="1" id="{82E34C46-F4DF-4523-BC39-8A5EA3D3E2FA}">
            <xm:f>IF($AG44="EC",$N44&gt;'[Train Runs and Enforcements 2016-09-09.xlsm]Variables'!#REF!,$N44&gt;'[Train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AJ44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Values'!$C$2:$C$20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17" workbookViewId="0">
      <selection activeCell="M48" sqref="M4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7.710937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0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44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- 2016-09-22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266</v>
      </c>
    </row>
    <row r="7" spans="1:29" s="1" customFormat="1" x14ac:dyDescent="0.25">
      <c r="A7" s="38">
        <v>42635.59202546296</v>
      </c>
      <c r="B7" s="33" t="s">
        <v>249</v>
      </c>
      <c r="C7" s="33" t="s">
        <v>500</v>
      </c>
      <c r="D7" s="33" t="s">
        <v>238</v>
      </c>
      <c r="E7" s="33" t="s">
        <v>169</v>
      </c>
      <c r="F7" s="49">
        <v>0</v>
      </c>
      <c r="G7" s="49">
        <v>182</v>
      </c>
      <c r="H7" s="49">
        <v>33230</v>
      </c>
      <c r="I7" s="49">
        <v>33134</v>
      </c>
      <c r="J7" s="33" t="s">
        <v>168</v>
      </c>
      <c r="K7" s="49">
        <v>33257</v>
      </c>
      <c r="L7" s="150" t="s">
        <v>53</v>
      </c>
      <c r="M7" s="153">
        <f t="shared" ref="M7:M50" si="0">CONVERT((I7-K7)/10000,"mi","ft")*IF(L7="Increasing Mileposts (1)",-1,1)</f>
        <v>-64.944000000000003</v>
      </c>
      <c r="N7" s="92" t="str">
        <f>VLOOKUP(C7,'Trips&amp;Operators'!$C$1:$E$99999,3,FALSE)</f>
        <v>STAMBAUGH</v>
      </c>
      <c r="O7" s="174" t="s">
        <v>86</v>
      </c>
      <c r="P7" s="10" t="s">
        <v>299</v>
      </c>
      <c r="Q7" s="33"/>
      <c r="R7" s="108" t="str">
        <f>VLOOKUP(C7,'Train Runs'!$A$13:$AE$10010,31,0)</f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S7" s="111" t="str">
        <f>VLOOKUP(C7,'Train Runs'!$A$13:$AE$10010,22,0)</f>
        <v>https://search-rtdc-monitor-bjffxe2xuh6vdkpspy63sjmuny.us-east-1.es.amazonaws.com/_plugin/kibana/#/discover/Steve-Slow-Train-Analysis-(2080s-and-2083s)?_g=(refreshInterval:(display:Off,section:0,value:0),time:(from:'2016-09-22 12:35:43-0600',mode:absolute,to:'2016-09-22 15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7" s="113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/stypes="*4045*201609222*" /stext=" 20:.+((SYSTEM_STATE.+slice.+state.+changed )|(ment ac)|(system.+state.+changed )|(\|lc)|(penalty)|(\[timeout)|(PRM\|1\|D)|(kpr)|(kdp))" /e /r /s</v>
      </c>
      <c r="U7" s="9" t="str">
        <f t="shared" ref="U7:U50" si="2">MID(B7,13,4)</f>
        <v>4045</v>
      </c>
      <c r="V7" s="38">
        <f t="shared" ref="V7:V50" si="3">A7+6/24</f>
        <v>42635.84202546296</v>
      </c>
      <c r="W7" s="52" t="str">
        <f t="shared" ref="W7:W50" si="4">IF(VALUE(LEFT(IF(LEN(C7)=6,"0"&amp;C7,C7),2))&lt;=2,"EC",IF(OR(VALUE(LEFT(IF(LEN(C7)=6,"0"&amp;C7,C7),2))=8,VALUE(LEFT(IF(LEN(C7)=6,"0"&amp;C7,C7),2))=18),"NW","Other"))</f>
        <v>EC</v>
      </c>
      <c r="X7" s="52" t="str">
        <f t="shared" ref="X7:X50" si="5">IF(AND(E7="TRACK WARRANT AUTHORITY",G7&lt;10),"OMIT","KEEP")</f>
        <v>KEEP</v>
      </c>
      <c r="Y7" s="134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arrival","project_id":79,"tracker_id":40,"status_id":1,"priority_id":2,"assigned_to_id":23,"start_date":"2016-09-22","description":"","custom_fields":[{"id":1,"name":"Subdivision","value":"EC"},{"id":4,"name":"Milepost","value":"3.3257"},{"id":17,"name":"Train ID","value":"174-22"},{"id":16,"name":"Locomotive ID","value":"4045"},{"id":130,"name":"Impact","value":""},{"id":150,"name":"Time of Event (Mountain Time)","value":"14:12:31"},{"id":151,"name":"Denver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"%USERPROFILE%\AppData\Local\Temp\OnboardLogs"\RTDC4045\*4045*201609222* | grep -SE "((Enforcement Ac)|(PRM))" -</v>
      </c>
    </row>
    <row r="8" spans="1:29" s="1" customFormat="1" x14ac:dyDescent="0.25">
      <c r="A8" s="38">
        <v>42635.395416666666</v>
      </c>
      <c r="B8" s="33" t="s">
        <v>422</v>
      </c>
      <c r="C8" s="33" t="s">
        <v>446</v>
      </c>
      <c r="D8" s="33" t="s">
        <v>49</v>
      </c>
      <c r="E8" s="33" t="s">
        <v>169</v>
      </c>
      <c r="F8" s="49">
        <v>0</v>
      </c>
      <c r="G8" s="49">
        <v>45</v>
      </c>
      <c r="H8" s="49">
        <v>48118</v>
      </c>
      <c r="I8" s="49">
        <v>48090</v>
      </c>
      <c r="J8" s="33" t="s">
        <v>168</v>
      </c>
      <c r="K8" s="49">
        <v>48048</v>
      </c>
      <c r="L8" s="150" t="s">
        <v>53</v>
      </c>
      <c r="M8" s="153">
        <f t="shared" si="0"/>
        <v>22.175999999999998</v>
      </c>
      <c r="N8" s="92" t="str">
        <f>VLOOKUP(C8,'Trips&amp;Operators'!$C$1:$E$99999,3,FALSE)</f>
        <v>MALAVE</v>
      </c>
      <c r="O8" s="174" t="s">
        <v>86</v>
      </c>
      <c r="P8" s="10" t="s">
        <v>385</v>
      </c>
      <c r="Q8" s="33"/>
      <c r="R8" s="108" t="str">
        <f>VLOOKUP(C8,'Train Runs'!$A$13:$AE$10010,31,0)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S8" s="111" t="str">
        <f>VLOOKUP(C8,'Train Runs'!$A$13:$AE$10010,22,0)</f>
        <v>https://search-rtdc-monitor-bjffxe2xuh6vdkpspy63sjmuny.us-east-1.es.amazonaws.com/_plugin/kibana/#/discover/Steve-Slow-Train-Analysis-(2080s-and-2083s)?_g=(refreshInterval:(display:Off,section:0,value:0),time:(from:'2016-09-22 07:39:30-0600',mode:absolute,to:'2016-09-22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8" s="113" t="str">
        <f t="shared" si="1"/>
        <v>"C:\Program Files (x86)\AstroGrep\AstroGrep.exe" /spath="%USERPROFILE%\AppData\Local\Temp\OnboardLogs" /stypes="*4030*201609221*" /stext=" 15:.+((SYSTEM_STATE.+slice.+state.+changed )|(ment ac)|(system.+state.+changed )|(\|lc)|(penalty)|(\[timeout)|(PRM\|1\|D)|(kpr)|(kdp))" /e /r /s</v>
      </c>
      <c r="U8" s="9" t="str">
        <f t="shared" si="2"/>
        <v>4030</v>
      </c>
      <c r="V8" s="38">
        <f t="shared" si="3"/>
        <v>42635.645416666666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C","project_id":79,"tracker_id":40,"status_id":1,"priority_id":2,"assigned_to_id":23,"start_date":"2016-09-22","description":"","custom_fields":[{"id":1,"name":"Subdivision","value":"EC"},{"id":4,"name":"Milepost","value":"4.8048"},{"id":17,"name":"Train ID","value":"134-22"},{"id":16,"name":"Locomotive ID","value":"4030"},{"id":130,"name":"Impact","value":""},{"id":150,"name":"Time of Event (Mountain Time)","value":"09:29:24"},{"id":151,"name":"Denver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"%USERPROFILE%\AppData\Local\Temp\OnboardLogs"\RTDC4030\*4030*201609221* | grep -SE "((Enforcement Ac)|(PRM))" -</v>
      </c>
    </row>
    <row r="9" spans="1:29" s="1" customFormat="1" x14ac:dyDescent="0.25">
      <c r="A9" s="38">
        <v>42635.407314814816</v>
      </c>
      <c r="B9" s="33" t="s">
        <v>278</v>
      </c>
      <c r="C9" s="33" t="s">
        <v>449</v>
      </c>
      <c r="D9" s="33" t="s">
        <v>49</v>
      </c>
      <c r="E9" s="33" t="s">
        <v>169</v>
      </c>
      <c r="F9" s="49">
        <v>0</v>
      </c>
      <c r="G9" s="49">
        <v>348</v>
      </c>
      <c r="H9" s="49">
        <v>50250</v>
      </c>
      <c r="I9" s="49">
        <v>49283</v>
      </c>
      <c r="J9" s="33" t="s">
        <v>168</v>
      </c>
      <c r="K9" s="49">
        <v>48048</v>
      </c>
      <c r="L9" s="150" t="s">
        <v>53</v>
      </c>
      <c r="M9" s="153">
        <f t="shared" si="0"/>
        <v>652.08000000000004</v>
      </c>
      <c r="N9" s="92" t="str">
        <f>VLOOKUP(C9,'Trips&amp;Operators'!$C$1:$E$99999,3,FALSE)</f>
        <v>ROCHA</v>
      </c>
      <c r="O9" s="174" t="s">
        <v>86</v>
      </c>
      <c r="P9" s="10" t="s">
        <v>385</v>
      </c>
      <c r="Q9" s="33"/>
      <c r="R9" s="108" t="str">
        <f>VLOOKUP(C9,'Train Runs'!$A$13:$AE$10010,31,0)</f>
        <v>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 &amp; aws s3 cp s3://rtdc.mdm.uploadarchive/RTDC4001/2016-09-23/ "%USERPROFILE%\AppData\Local\Temp\OnboardLogs"\RTDC4001\2016-09-23 --recursive &amp; "%USERPROFILE%\Documents\GitHub\mrs-test-scripts\Headless Mode &amp; Sideloading\WalkAndUnGZ.bat" "%USERPROFILE%\AppData\Local\Temp\OnboardLogs"\RTDC4001\2016-09-23</v>
      </c>
      <c r="S9" s="111" t="str">
        <f>VLOOKUP(C9,'Train Runs'!$A$13:$AE$10010,22,0)</f>
        <v>https://search-rtdc-monitor-bjffxe2xuh6vdkpspy63sjmuny.us-east-1.es.amazonaws.com/_plugin/kibana/#/discover/Steve-Slow-Train-Analysis-(2080s-and-2083s)?_g=(refreshInterval:(display:Off,section:0,value:0),time:(from:'2016-09-22 07:58:33-0600',mode:absolute,to:'2016-09-22 11:01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9" s="113" t="str">
        <f t="shared" si="1"/>
        <v>"C:\Program Files (x86)\AstroGrep\AstroGrep.exe" /spath="%USERPROFILE%\AppData\Local\Temp\OnboardLogs" /stypes="*4001*201609221*" /stext=" 15:.+((SYSTEM_STATE.+slice.+state.+changed )|(ment ac)|(system.+state.+changed )|(\|lc)|(penalty)|(\[timeout)|(PRM\|1\|D)|(kpr)|(kdp))" /e /r /s</v>
      </c>
      <c r="U9" s="9" t="str">
        <f t="shared" si="2"/>
        <v>4001</v>
      </c>
      <c r="V9" s="38">
        <f t="shared" si="3"/>
        <v>42635.657314814816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{"issue":{"subject":"Form C","project_id":79,"tracker_id":40,"status_id":1,"priority_id":2,"assigned_to_id":23,"start_date":"2016-09-22","description":"","custom_fields":[{"id":1,"name":"Subdivision","value":"EC"},{"id":4,"name":"Milepost","value":"4.8048"},{"id":17,"name":"Train ID","value":"138-22"},{"id":16,"name":"Locomotive ID","value":"4001"},{"id":130,"name":"Impact","value":""},{"id":150,"name":"Time of Event (Mountain Time)","value":"09:46:32"},{"id":151,"name":"Denver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"%USERPROFILE%\AppData\Local\Temp\OnboardLogs"\RTDC4001\*4001*201609221* | grep -SE "((Enforcement Ac)|(PRM))" -</v>
      </c>
    </row>
    <row r="10" spans="1:29" s="1" customFormat="1" x14ac:dyDescent="0.25">
      <c r="A10" s="38">
        <v>42635.425868055558</v>
      </c>
      <c r="B10" s="33" t="s">
        <v>391</v>
      </c>
      <c r="C10" s="33" t="s">
        <v>458</v>
      </c>
      <c r="D10" s="33" t="s">
        <v>49</v>
      </c>
      <c r="E10" s="33" t="s">
        <v>169</v>
      </c>
      <c r="F10" s="49">
        <v>0</v>
      </c>
      <c r="G10" s="49">
        <v>743</v>
      </c>
      <c r="H10" s="49">
        <v>52990</v>
      </c>
      <c r="I10" s="49">
        <v>56050</v>
      </c>
      <c r="J10" s="33" t="s">
        <v>168</v>
      </c>
      <c r="K10" s="49">
        <v>58118</v>
      </c>
      <c r="L10" s="150" t="s">
        <v>52</v>
      </c>
      <c r="M10" s="153">
        <f t="shared" si="0"/>
        <v>1091.904</v>
      </c>
      <c r="N10" s="92" t="str">
        <f>VLOOKUP(C10,'Trips&amp;Operators'!$C$1:$E$99999,3,FALSE)</f>
        <v>MALAVE</v>
      </c>
      <c r="O10" s="174" t="s">
        <v>86</v>
      </c>
      <c r="P10" s="10" t="s">
        <v>299</v>
      </c>
      <c r="Q10" s="33"/>
      <c r="R10" s="108" t="str">
        <f>VLOOKUP(C10,'Train Runs'!$A$13:$AE$10010,31,0)</f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S10" s="111" t="str">
        <f>VLOOKUP(C10,'Train Runs'!$A$13:$AE$10010,22,0)</f>
        <v>https://search-rtdc-monitor-bjffxe2xuh6vdkpspy63sjmuny.us-east-1.es.amazonaws.com/_plugin/kibana/#/discover/Steve-Slow-Train-Analysis-(2080s-and-2083s)?_g=(refreshInterval:(display:Off,section:0,value:0),time:(from:'2016-09-22 08:55:12-0600',mode:absolute,to:'2016-09-22 11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10" s="113" t="str">
        <f t="shared" si="1"/>
        <v>"C:\Program Files (x86)\AstroGrep\AstroGrep.exe" /spath="%USERPROFILE%\AppData\Local\Temp\OnboardLogs" /stypes="*4029*201609221*" /stext=" 16:.+((SYSTEM_STATE.+slice.+state.+changed )|(ment ac)|(system.+state.+changed )|(\|lc)|(penalty)|(\[timeout)|(PRM\|1\|D)|(kpr)|(kdp))" /e /r /s</v>
      </c>
      <c r="U10" s="9" t="str">
        <f t="shared" si="2"/>
        <v>4029</v>
      </c>
      <c r="V10" s="38">
        <f t="shared" si="3"/>
        <v>42635.675868055558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arrival","project_id":79,"tracker_id":40,"status_id":1,"priority_id":2,"assigned_to_id":23,"start_date":"2016-09-22","description":"","custom_fields":[{"id":1,"name":"Subdivision","value":"EC"},{"id":4,"name":"Milepost","value":"5.8118"},{"id":17,"name":"Train ID","value":"151-22"},{"id":16,"name":"Locomotive ID","value":"4029"},{"id":130,"name":"Impact","value":""},{"id":150,"name":"Time of Event (Mountain Time)","value":"10:13:15"},{"id":151,"name":"Denver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"%USERPROFILE%\AppData\Local\Temp\OnboardLogs"\RTDC4029\*4029*201609221* | grep -SE "((Enforcement Ac)|(PRM))" -</v>
      </c>
    </row>
    <row r="11" spans="1:29" s="1" customFormat="1" x14ac:dyDescent="0.25">
      <c r="A11" s="38">
        <v>42635.730798611112</v>
      </c>
      <c r="B11" s="33" t="s">
        <v>250</v>
      </c>
      <c r="C11" s="33" t="s">
        <v>546</v>
      </c>
      <c r="D11" s="33" t="s">
        <v>105</v>
      </c>
      <c r="E11" s="33" t="s">
        <v>56</v>
      </c>
      <c r="F11" s="49">
        <v>150</v>
      </c>
      <c r="G11" s="49">
        <v>203</v>
      </c>
      <c r="H11" s="49">
        <v>3235</v>
      </c>
      <c r="I11" s="49">
        <v>3667</v>
      </c>
      <c r="J11" s="33" t="s">
        <v>57</v>
      </c>
      <c r="K11" s="49">
        <v>0</v>
      </c>
      <c r="L11" s="150" t="s">
        <v>52</v>
      </c>
      <c r="M11" s="153">
        <f t="shared" si="0"/>
        <v>-1936.1759999999999</v>
      </c>
      <c r="N11" s="92" t="str">
        <f>VLOOKUP(C11,'Trips&amp;Operators'!$C$1:$E$99999,3,FALSE)</f>
        <v>YOUNG</v>
      </c>
      <c r="O11" s="174" t="s">
        <v>86</v>
      </c>
      <c r="P11" s="10"/>
      <c r="Q11" s="33"/>
      <c r="R11" s="108" t="str">
        <f>VLOOKUP(C11,'Train Runs'!$A$13:$AE$10010,31,0)</f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S11" s="111" t="str">
        <f>VLOOKUP(C11,'Train Runs'!$A$13:$AE$10010,22,0)</f>
        <v>https://search-rtdc-monitor-bjffxe2xuh6vdkpspy63sjmuny.us-east-1.es.amazonaws.com/_plugin/kibana/#/discover/Steve-Slow-Train-Analysis-(2080s-and-2083s)?_g=(refreshInterval:(display:Off,section:0,value:0),time:(from:'2016-09-22 16:24:08-0600',mode:absolute,to:'2016-09-22 19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1" s="113" t="str">
        <f t="shared" si="1"/>
        <v>"C:\Program Files (x86)\AstroGrep\AstroGrep.exe" /spath="%USERPROFILE%\AppData\Local\Temp\OnboardLogs" /stypes="*4003*201609222*" /stext=" 23:.+((SYSTEM_STATE.+slice.+state.+changed )|(ment ac)|(system.+state.+changed )|(\|lc)|(penalty)|(\[timeout)|(PRM\|1\|D)|(kpr)|(kdp))" /e /r /s</v>
      </c>
      <c r="U11" s="9" t="str">
        <f t="shared" si="2"/>
        <v>4003</v>
      </c>
      <c r="V11" s="38">
        <f t="shared" si="3"/>
        <v>42635.980798611112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{"issue":{"subject":"","project_id":79,"tracker_id":40,"status_id":1,"priority_id":2,"assigned_to_id":23,"start_date":"2016-09-22","description":"","custom_fields":[{"id":1,"name":"Subdivision","value":"EC"},{"id":4,"name":"Milepost","value":"0"},{"id":17,"name":"Train ID","value":"211-22"},{"id":16,"name":"Locomotive ID","value":"4003"},{"id":130,"name":"Impact","value":""},{"id":150,"name":"Time of Event (Mountain Time)","value":"17:32:21"},{"id":151,"name":"Denver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"%USERPROFILE%\AppData\Local\Temp\OnboardLogs"\RTDC4003\*4003*201609222* | grep -SE "((Enforcement Ac)|(PRM))" -</v>
      </c>
    </row>
    <row r="12" spans="1:29" s="1" customFormat="1" x14ac:dyDescent="0.25">
      <c r="A12" s="38">
        <v>42635.419236111113</v>
      </c>
      <c r="B12" s="33" t="s">
        <v>391</v>
      </c>
      <c r="C12" s="33" t="s">
        <v>458</v>
      </c>
      <c r="D12" s="33" t="s">
        <v>49</v>
      </c>
      <c r="E12" s="33" t="s">
        <v>56</v>
      </c>
      <c r="F12" s="49">
        <v>400</v>
      </c>
      <c r="G12" s="49">
        <v>617</v>
      </c>
      <c r="H12" s="49">
        <v>13812</v>
      </c>
      <c r="I12" s="49">
        <v>17382</v>
      </c>
      <c r="J12" s="33" t="s">
        <v>57</v>
      </c>
      <c r="K12" s="49">
        <v>17867</v>
      </c>
      <c r="L12" s="150" t="s">
        <v>52</v>
      </c>
      <c r="M12" s="153">
        <f t="shared" si="0"/>
        <v>256.08</v>
      </c>
      <c r="N12" s="92" t="str">
        <f>VLOOKUP(C12,'Trips&amp;Operators'!$C$1:$E$99999,3,FALSE)</f>
        <v>MALAVE</v>
      </c>
      <c r="O12" s="174" t="s">
        <v>86</v>
      </c>
      <c r="P12" s="10"/>
      <c r="Q12" s="33"/>
      <c r="R12" s="108" t="str">
        <f>VLOOKUP(C12,'Train Runs'!$A$13:$AE$10010,31,0)</f>
        <v>aws s3 cp s3://rtdc.mdm.uploadarchive/RTDC4029/2016-09-22/ "%USERPROFILE%\AppData\Local\Temp\OnboardLogs"\RTDC4029\2016-09-22 --recursive &amp; "%USERPROFILE%\Documents\GitHub\mrs-test-scripts\Headless Mode &amp; Sideloading\WalkAndUnGZ.bat" "%USERPROFILE%\AppData\Local\Temp\OnboardLogs"\RTDC4029\2016-09-22 &amp; 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</v>
      </c>
      <c r="S12" s="111" t="str">
        <f>VLOOKUP(C12,'Train Runs'!$A$13:$AE$10010,22,0)</f>
        <v>https://search-rtdc-monitor-bjffxe2xuh6vdkpspy63sjmuny.us-east-1.es.amazonaws.com/_plugin/kibana/#/discover/Steve-Slow-Train-Analysis-(2080s-and-2083s)?_g=(refreshInterval:(display:Off,section:0,value:0),time:(from:'2016-09-22 08:55:12-0600',mode:absolute,to:'2016-09-22 11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12" s="113" t="str">
        <f t="shared" si="1"/>
        <v>"C:\Program Files (x86)\AstroGrep\AstroGrep.exe" /spath="%USERPROFILE%\AppData\Local\Temp\OnboardLogs" /stypes="*4029*201609221*" /stext=" 16:.+((SYSTEM_STATE.+slice.+state.+changed )|(ment ac)|(system.+state.+changed )|(\|lc)|(penalty)|(\[timeout)|(PRM\|1\|D)|(kpr)|(kdp))" /e /r /s</v>
      </c>
      <c r="U12" s="9" t="str">
        <f t="shared" si="2"/>
        <v>4029</v>
      </c>
      <c r="V12" s="38">
        <f t="shared" si="3"/>
        <v>42635.669236111113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{"issue":{"subject":"","project_id":79,"tracker_id":40,"status_id":1,"priority_id":2,"assigned_to_id":23,"start_date":"2016-09-22","description":"","custom_fields":[{"id":1,"name":"Subdivision","value":"EC"},{"id":4,"name":"Milepost","value":"1.7867"},{"id":17,"name":"Train ID","value":"151-22"},{"id":16,"name":"Locomotive ID","value":"4029"},{"id":130,"name":"Impact","value":""},{"id":150,"name":"Time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"%USERPROFILE%\AppData\Local\Temp\OnboardLogs"\RTDC4029\*4029*201609221* | grep -SE "((Enforcement Ac)|(PRM))" -</v>
      </c>
    </row>
    <row r="13" spans="1:29" s="1" customFormat="1" x14ac:dyDescent="0.25">
      <c r="A13" s="38">
        <v>42635.224363425928</v>
      </c>
      <c r="B13" s="33" t="s">
        <v>250</v>
      </c>
      <c r="C13" s="33" t="s">
        <v>398</v>
      </c>
      <c r="D13" s="33" t="s">
        <v>49</v>
      </c>
      <c r="E13" s="33" t="s">
        <v>56</v>
      </c>
      <c r="F13" s="49">
        <v>400</v>
      </c>
      <c r="G13" s="49">
        <v>738</v>
      </c>
      <c r="H13" s="49">
        <v>113100</v>
      </c>
      <c r="I13" s="49">
        <v>116401</v>
      </c>
      <c r="J13" s="33" t="s">
        <v>57</v>
      </c>
      <c r="K13" s="49">
        <v>116838</v>
      </c>
      <c r="L13" s="150" t="s">
        <v>52</v>
      </c>
      <c r="M13" s="153">
        <f t="shared" si="0"/>
        <v>230.73599999999999</v>
      </c>
      <c r="N13" s="92" t="str">
        <f>VLOOKUP(C13,'Trips&amp;Operators'!$C$1:$E$99999,3,FALSE)</f>
        <v>STARKS</v>
      </c>
      <c r="O13" s="174" t="s">
        <v>86</v>
      </c>
      <c r="P13" s="10"/>
      <c r="Q13" s="33"/>
      <c r="R13" s="108" t="str">
        <f>VLOOKUP(C13,'Train Runs'!$A$13:$AE$10010,31,0)</f>
        <v>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 &amp; 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</v>
      </c>
      <c r="S13" s="111" t="str">
        <f>VLOOKUP(C13,'Train Runs'!$A$13:$AE$10010,22,0)</f>
        <v>https://search-rtdc-monitor-bjffxe2xuh6vdkpspy63sjmuny.us-east-1.es.amazonaws.com/_plugin/kibana/#/discover/Steve-Slow-Train-Analysis-(2080s-and-2083s)?_g=(refreshInterval:(display:Off,section:0,value:0),time:(from:'2016-09-22 03:57:13-0600',mode:absolute,to:'2016-09-22 06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3" s="113" t="str">
        <f t="shared" si="1"/>
        <v>"C:\Program Files (x86)\AstroGrep\AstroGrep.exe" /spath="%USERPROFILE%\AppData\Local\Temp\OnboardLogs" /stypes="*4003*201609221*" /stext=" 11:.+((SYSTEM_STATE.+slice.+state.+changed )|(ment ac)|(system.+state.+changed )|(\|lc)|(penalty)|(\[timeout)|(PRM\|1\|D)|(kpr)|(kdp))" /e /r /s</v>
      </c>
      <c r="U13" s="9" t="str">
        <f t="shared" si="2"/>
        <v>4003</v>
      </c>
      <c r="V13" s="38">
        <f t="shared" si="3"/>
        <v>42635.474363425928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{"issue":{"subject":"","project_id":79,"tracker_id":40,"status_id":1,"priority_id":2,"assigned_to_id":23,"start_date":"2016-09-22","description":"","custom_fields":[{"id":1,"name":"Subdivision","value":"EC"},{"id":4,"name":"Milepost","value":"11.6838"},{"id":17,"name":"Train ID","value":"111-22"},{"id":16,"name":"Locomotive ID","value":"4003"},{"id":130,"name":"Impact","value":""},{"id":150,"name":"Time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"%USERPROFILE%\AppData\Local\Temp\OnboardLogs"\RTDC4003\*4003*201609221* | grep -SE "((Enforcement Ac)|(PRM))" -</v>
      </c>
    </row>
    <row r="14" spans="1:29" s="1" customFormat="1" x14ac:dyDescent="0.25">
      <c r="A14" s="38">
        <v>42635.351678240739</v>
      </c>
      <c r="B14" s="33" t="s">
        <v>240</v>
      </c>
      <c r="C14" s="33" t="s">
        <v>437</v>
      </c>
      <c r="D14" s="33" t="s">
        <v>49</v>
      </c>
      <c r="E14" s="33" t="s">
        <v>56</v>
      </c>
      <c r="F14" s="49">
        <v>400</v>
      </c>
      <c r="G14" s="49">
        <v>662</v>
      </c>
      <c r="H14" s="49">
        <v>113821</v>
      </c>
      <c r="I14" s="49">
        <v>116296</v>
      </c>
      <c r="J14" s="33" t="s">
        <v>57</v>
      </c>
      <c r="K14" s="49">
        <v>116838</v>
      </c>
      <c r="L14" s="150" t="s">
        <v>52</v>
      </c>
      <c r="M14" s="153">
        <f t="shared" si="0"/>
        <v>286.17599999999999</v>
      </c>
      <c r="N14" s="92" t="str">
        <f>VLOOKUP(C14,'Trips&amp;Operators'!$C$1:$E$99999,3,FALSE)</f>
        <v>STRICKLAND</v>
      </c>
      <c r="O14" s="174" t="s">
        <v>86</v>
      </c>
      <c r="P14" s="10"/>
      <c r="Q14" s="33"/>
      <c r="R14" s="108" t="str">
        <f>VLOOKUP(C14,'Train Runs'!$A$13:$AE$10010,31,0)</f>
        <v>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 &amp; 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</v>
      </c>
      <c r="S14" s="111" t="str">
        <f>VLOOKUP(C14,'Train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06:55:42-0600',mode:absolute,to:'2016-09-22 09:42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4" s="113" t="str">
        <f t="shared" si="1"/>
        <v>"C:\Program Files (x86)\AstroGrep\AstroGrep.exe" /spath="%USERPROFILE%\AppData\Local\Temp\OnboardLogs" /stypes="*4044*201609221*" /stext=" 14:.+((SYSTEM_STATE.+slice.+state.+changed )|(ment ac)|(system.+state.+changed )|(\|lc)|(penalty)|(\[timeout)|(PRM\|1\|D)|(kpr)|(kdp))" /e /r /s</v>
      </c>
      <c r="U14" s="9" t="str">
        <f t="shared" si="2"/>
        <v>4044</v>
      </c>
      <c r="V14" s="38">
        <f t="shared" si="3"/>
        <v>42635.601678240739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{"issue":{"subject":"","project_id":79,"tracker_id":40,"status_id":1,"priority_id":2,"assigned_to_id":23,"start_date":"2016-09-22","description":"","custom_fields":[{"id":1,"name":"Subdivision","value":"EC"},{"id":4,"name":"Milepost","value":"11.6838"},{"id":17,"name":"Train ID","value":"135-22"},{"id":16,"name":"Locomotive ID","value":"4044"},{"id":130,"name":"Impact","value":""},{"id":150,"name":"Time of Event (Mountain Time)","value":"08:26:25"},{"id":151,"name":"Denver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"%USERPROFILE%\AppData\Local\Temp\OnboardLogs"\RTDC4044\*4044*201609221* | grep -SE "((Enforcement Ac)|(PRM))" -</v>
      </c>
    </row>
    <row r="15" spans="1:29" s="1" customFormat="1" x14ac:dyDescent="0.25">
      <c r="A15" s="38">
        <v>42635.359803240739</v>
      </c>
      <c r="B15" s="33" t="s">
        <v>276</v>
      </c>
      <c r="C15" s="33" t="s">
        <v>439</v>
      </c>
      <c r="D15" s="33" t="s">
        <v>105</v>
      </c>
      <c r="E15" s="33" t="s">
        <v>56</v>
      </c>
      <c r="F15" s="49">
        <v>400</v>
      </c>
      <c r="G15" s="49">
        <v>452</v>
      </c>
      <c r="H15" s="49">
        <v>119324</v>
      </c>
      <c r="I15" s="49">
        <v>120621</v>
      </c>
      <c r="J15" s="33" t="s">
        <v>57</v>
      </c>
      <c r="K15" s="49">
        <v>116838</v>
      </c>
      <c r="L15" s="150" t="s">
        <v>52</v>
      </c>
      <c r="M15" s="153">
        <f t="shared" si="0"/>
        <v>-1997.424</v>
      </c>
      <c r="N15" s="92" t="str">
        <f>VLOOKUP(C15,'Trips&amp;Operators'!$C$1:$E$99999,3,FALSE)</f>
        <v>ROCHA</v>
      </c>
      <c r="O15" s="174" t="s">
        <v>86</v>
      </c>
      <c r="P15" s="10"/>
      <c r="Q15" s="33"/>
      <c r="R15" s="108" t="str">
        <f>VLOOKUP(C15,'Train Runs'!$A$13:$AE$10010,31,0)</f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S15" s="111" t="str">
        <f>VLOOKUP(C15,'Train Runs'!$A$13:$AE$10010,22,0)</f>
        <v>https://search-rtdc-monitor-bjffxe2xuh6vdkpspy63sjmuny.us-east-1.es.amazonaws.com/_plugin/kibana/#/discover/Steve-Slow-Train-Analysis-(2080s-and-2083s)?_g=(refreshInterval:(display:Off,section:0,value:0),time:(from:'2016-09-22 07:10:08-0600',mode:absolute,to:'2016-09-22 09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5" s="113" t="str">
        <f t="shared" si="1"/>
        <v>"C:\Program Files (x86)\AstroGrep\AstroGrep.exe" /spath="%USERPROFILE%\AppData\Local\Temp\OnboardLogs" /stypes="*4002*201609221*" /stext=" 14:.+((SYSTEM_STATE.+slice.+state.+changed )|(ment ac)|(system.+state.+changed )|(\|lc)|(penalty)|(\[timeout)|(PRM\|1\|D)|(kpr)|(kdp))" /e /r /s</v>
      </c>
      <c r="U15" s="9" t="str">
        <f t="shared" si="2"/>
        <v>4002</v>
      </c>
      <c r="V15" s="38">
        <f t="shared" si="3"/>
        <v>42635.609803240739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{"issue":{"subject":"","project_id":79,"tracker_id":40,"status_id":1,"priority_id":2,"assigned_to_id":23,"start_date":"2016-09-22","description":"","custom_fields":[{"id":1,"name":"Subdivision","value":"EC"},{"id":4,"name":"Milepost","value":"11.6838"},{"id":17,"name":"Train ID","value":"137-22"},{"id":16,"name":"Locomotive ID","value":"4002"},{"id":130,"name":"Impact","value":""},{"id":150,"name":"Time of Event (Mountain Time)","value":"08:38:07"},{"id":151,"name":"Denver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"%USERPROFILE%\AppData\Local\Temp\OnboardLogs"\RTDC4002\*4002*201609221* | grep -SE "((Enforcement Ac)|(PRM))" -</v>
      </c>
    </row>
    <row r="16" spans="1:29" s="1" customFormat="1" x14ac:dyDescent="0.25">
      <c r="A16" s="38">
        <v>42635.469537037039</v>
      </c>
      <c r="B16" s="33" t="s">
        <v>341</v>
      </c>
      <c r="C16" s="33" t="s">
        <v>464</v>
      </c>
      <c r="D16" s="33" t="s">
        <v>105</v>
      </c>
      <c r="E16" s="33" t="s">
        <v>56</v>
      </c>
      <c r="F16" s="49">
        <v>600</v>
      </c>
      <c r="G16" s="49">
        <v>652</v>
      </c>
      <c r="H16" s="49">
        <v>190963</v>
      </c>
      <c r="I16" s="49">
        <v>193485</v>
      </c>
      <c r="J16" s="33" t="s">
        <v>57</v>
      </c>
      <c r="K16" s="49">
        <v>183829</v>
      </c>
      <c r="L16" s="150" t="s">
        <v>52</v>
      </c>
      <c r="M16" s="153">
        <f t="shared" si="0"/>
        <v>-5098.3680000000004</v>
      </c>
      <c r="N16" s="92" t="str">
        <f>VLOOKUP(C16,'Trips&amp;Operators'!$C$1:$E$99999,3,FALSE)</f>
        <v>STARKS</v>
      </c>
      <c r="O16" s="174" t="s">
        <v>86</v>
      </c>
      <c r="P16" s="10"/>
      <c r="Q16" s="33"/>
      <c r="R16" s="108" t="str">
        <f>VLOOKUP(C16,'Train Runs'!$A$13:$AE$10010,31,0)</f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S16" s="111" t="str">
        <f>VLOOKUP(C16,'Train Runs'!$A$13:$AE$10010,22,0)</f>
        <v>https://search-rtdc-monitor-bjffxe2xuh6vdkpspy63sjmuny.us-east-1.es.amazonaws.com/_plugin/kibana/#/discover/Steve-Slow-Train-Analysis-(2080s-and-2083s)?_g=(refreshInterval:(display:Off,section:0,value:0),time:(from:'2016-09-22 09:27:28-0600',mode:absolute,to:'2016-09-22 12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6" s="113" t="str">
        <f t="shared" si="1"/>
        <v>"C:\Program Files (x86)\AstroGrep\AstroGrep.exe" /spath="%USERPROFILE%\AppData\Local\Temp\OnboardLogs" /stypes="*4031*201609221*" /stext=" 17:.+((SYSTEM_STATE.+slice.+state.+changed )|(ment ac)|(system.+state.+changed )|(\|lc)|(penalty)|(\[timeout)|(PRM\|1\|D)|(kpr)|(kdp))" /e /r /s</v>
      </c>
      <c r="U16" s="9" t="str">
        <f t="shared" si="2"/>
        <v>4031</v>
      </c>
      <c r="V16" s="38">
        <f t="shared" si="3"/>
        <v>42635.719537037039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{"issue":{"subject":"","project_id":79,"tracker_id":40,"status_id":1,"priority_id":2,"assigned_to_id":23,"start_date":"2016-09-22","description":"","custom_fields":[{"id":1,"name":"Subdivision","value":"EC"},{"id":4,"name":"Milepost","value":"18.3829"},{"id":17,"name":"Train ID","value":"157-22"},{"id":16,"name":"Locomotive ID","value":"4031"},{"id":130,"name":"Impact","value":""},{"id":150,"name":"Time of Event (Mountain Time)","value":"11:16:08"},{"id":151,"name":"Denver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"%USERPROFILE%\AppData\Local\Temp\OnboardLogs"\RTDC4031\*4031*201609221* | grep -SE "((Enforcement Ac)|(PRM))" -</v>
      </c>
    </row>
    <row r="17" spans="1:29" s="1" customFormat="1" x14ac:dyDescent="0.25">
      <c r="A17" s="38">
        <v>42635.627870370372</v>
      </c>
      <c r="B17" s="33" t="s">
        <v>181</v>
      </c>
      <c r="C17" s="33" t="s">
        <v>509</v>
      </c>
      <c r="D17" s="33" t="s">
        <v>49</v>
      </c>
      <c r="E17" s="33" t="s">
        <v>56</v>
      </c>
      <c r="F17" s="49">
        <v>450</v>
      </c>
      <c r="G17" s="49">
        <v>788</v>
      </c>
      <c r="H17" s="49">
        <v>214179</v>
      </c>
      <c r="I17" s="49">
        <v>217735</v>
      </c>
      <c r="J17" s="33" t="s">
        <v>57</v>
      </c>
      <c r="K17" s="49">
        <v>218954</v>
      </c>
      <c r="L17" s="150" t="s">
        <v>52</v>
      </c>
      <c r="M17" s="153">
        <f t="shared" si="0"/>
        <v>643.63199999999995</v>
      </c>
      <c r="N17" s="92" t="str">
        <f>VLOOKUP(C17,'Trips&amp;Operators'!$C$1:$E$99999,3,FALSE)</f>
        <v>STAMBAUGH</v>
      </c>
      <c r="O17" s="174" t="s">
        <v>86</v>
      </c>
      <c r="P17" s="10"/>
      <c r="Q17" s="33"/>
      <c r="R17" s="108" t="str">
        <f>VLOOKUP(C17,'Train Runs'!$A$13:$AE$10010,31,0)</f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S17" s="111" t="str">
        <f>VLOOKUP(C17,'Train Runs'!$A$13:$AE$10010,22,0)</f>
        <v>https://search-rtdc-monitor-bjffxe2xuh6vdkpspy63sjmuny.us-east-1.es.amazonaws.com/_plugin/kibana/#/discover/Steve-Slow-Train-Analysis-(2080s-and-2083s)?_g=(refreshInterval:(display:Off,section:0,value:0),time:(from:'2016-09-22 13:24:29-0600',mode:absolute,to:'2016-09-22 16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7" s="113" t="str">
        <f t="shared" si="1"/>
        <v>"C:\Program Files (x86)\AstroGrep\AstroGrep.exe" /spath="%USERPROFILE%\AppData\Local\Temp\OnboardLogs" /stypes="*4046*201609222*" /stext=" 21:.+((SYSTEM_STATE.+slice.+state.+changed )|(ment ac)|(system.+state.+changed )|(\|lc)|(penalty)|(\[timeout)|(PRM\|1\|D)|(kpr)|(kdp))" /e /r /s</v>
      </c>
      <c r="U17" s="9" t="str">
        <f t="shared" si="2"/>
        <v>4046</v>
      </c>
      <c r="V17" s="38">
        <f t="shared" si="3"/>
        <v>42635.877870370372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{"issue":{"subject":"","project_id":79,"tracker_id":40,"status_id":1,"priority_id":2,"assigned_to_id":23,"start_date":"2016-09-22","description":"","custom_fields":[{"id":1,"name":"Subdivision","value":"EC"},{"id":4,"name":"Milepost","value":"21.8954"},{"id":17,"name":"Train ID","value":"187-22"},{"id":16,"name":"Locomotive ID","value":"4046"},{"id":130,"name":"Impact","value":""},{"id":150,"name":"Time of Event (Mountain Time)","value":"15:04:08"},{"id":151,"name":"Denver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"%USERPROFILE%\AppData\Local\Temp\OnboardLogs"\RTDC4046\*4046*201609222* | grep -SE "((Enforcement Ac)|(PRM))" -</v>
      </c>
    </row>
    <row r="18" spans="1:29" s="1" customFormat="1" x14ac:dyDescent="0.25">
      <c r="A18" s="38">
        <v>42635.648831018516</v>
      </c>
      <c r="B18" s="33" t="s">
        <v>407</v>
      </c>
      <c r="C18" s="33" t="s">
        <v>515</v>
      </c>
      <c r="D18" s="33" t="s">
        <v>49</v>
      </c>
      <c r="E18" s="33" t="s">
        <v>56</v>
      </c>
      <c r="F18" s="49">
        <v>450</v>
      </c>
      <c r="G18" s="49">
        <v>740</v>
      </c>
      <c r="H18" s="49">
        <v>214891</v>
      </c>
      <c r="I18" s="49">
        <v>218491</v>
      </c>
      <c r="J18" s="33" t="s">
        <v>57</v>
      </c>
      <c r="K18" s="49">
        <v>218954</v>
      </c>
      <c r="L18" s="150" t="s">
        <v>52</v>
      </c>
      <c r="M18" s="153">
        <f t="shared" si="0"/>
        <v>244.464</v>
      </c>
      <c r="N18" s="92" t="str">
        <f>VLOOKUP(C18,'Trips&amp;Operators'!$C$1:$E$99999,3,FALSE)</f>
        <v>MOSES</v>
      </c>
      <c r="O18" s="174" t="s">
        <v>86</v>
      </c>
      <c r="P18" s="10"/>
      <c r="Q18" s="33"/>
      <c r="R18" s="108" t="str">
        <f>VLOOKUP(C18,'Train Runs'!$A$13:$AE$10010,31,0)</f>
        <v>aws s3 cp s3://rtdc.mdm.uploadarchive/RTDC4053/2016-09-22/ "%USERPROFILE%\AppData\Local\Temp\OnboardLogs"\RTDC4053\2016-09-22 --recursive &amp; "%USERPROFILE%\Documents\GitHub\mrs-test-scripts\Headless Mode &amp; Sideloading\WalkAndUnGZ.bat" "%USERPROFILE%\AppData\Local\Temp\OnboardLogs"\RTDC4053\2016-09-22 &amp; aws s3 cp s3://rtdc.mdm.uploadarchive/RTDC4053/2016-09-23/ "%USERPROFILE%\AppData\Local\Temp\OnboardLogs"\RTDC4053\2016-09-23 --recursive &amp; "%USERPROFILE%\Documents\GitHub\mrs-test-scripts\Headless Mode &amp; Sideloading\WalkAndUnGZ.bat" "%USERPROFILE%\AppData\Local\Temp\OnboardLogs"\RTDC4053\2016-09-23</v>
      </c>
      <c r="S18" s="111" t="str">
        <f>VLOOKUP(C18,'Train Runs'!$A$13:$AE$10010,22,0)</f>
        <v>https://search-rtdc-monitor-bjffxe2xuh6vdkpspy63sjmuny.us-east-1.es.amazonaws.com/_plugin/kibana/#/discover/Steve-Slow-Train-Analysis-(2080s-and-2083s)?_g=(refreshInterval:(display:Off,section:0,value:0),time:(from:'2016-09-22 13:55:09-0600',mode:absolute,to:'2016-09-22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18" s="113" t="str">
        <f t="shared" si="1"/>
        <v>"C:\Program Files (x86)\AstroGrep\AstroGrep.exe" /spath="%USERPROFILE%\AppData\Local\Temp\OnboardLogs" /stypes="*4053*201609222*" /stext=" 21:.+((SYSTEM_STATE.+slice.+state.+changed )|(ment ac)|(system.+state.+changed )|(\|lc)|(penalty)|(\[timeout)|(PRM\|1\|D)|(kpr)|(kdp))" /e /r /s</v>
      </c>
      <c r="U18" s="9" t="str">
        <f t="shared" si="2"/>
        <v>4053</v>
      </c>
      <c r="V18" s="38">
        <f t="shared" si="3"/>
        <v>42635.898831018516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{"issue":{"subject":"","project_id":79,"tracker_id":40,"status_id":1,"priority_id":2,"assigned_to_id":23,"start_date":"2016-09-22","description":"","custom_fields":[{"id":1,"name":"Subdivision","value":"EC"},{"id":4,"name":"Milepost","value":"21.8954"},{"id":17,"name":"Train ID","value":"191-22"},{"id":16,"name":"Locomotive ID","value":"4053"},{"id":130,"name":"Impact","value":""},{"id":150,"name":"Time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"%USERPROFILE%\AppData\Local\Temp\OnboardLogs"\RTDC4053\*4053*201609222* | grep -SE "((Enforcement Ac)|(PRM))" -</v>
      </c>
    </row>
    <row r="19" spans="1:29" s="1" customFormat="1" x14ac:dyDescent="0.25">
      <c r="A19" s="38">
        <v>42635.690266203703</v>
      </c>
      <c r="B19" s="33" t="s">
        <v>341</v>
      </c>
      <c r="C19" s="33" t="s">
        <v>527</v>
      </c>
      <c r="D19" s="33" t="s">
        <v>49</v>
      </c>
      <c r="E19" s="33" t="s">
        <v>56</v>
      </c>
      <c r="F19" s="49">
        <v>450</v>
      </c>
      <c r="G19" s="49">
        <v>761</v>
      </c>
      <c r="H19" s="49">
        <v>213789</v>
      </c>
      <c r="I19" s="49">
        <v>217598</v>
      </c>
      <c r="J19" s="33" t="s">
        <v>57</v>
      </c>
      <c r="K19" s="49">
        <v>218954</v>
      </c>
      <c r="L19" s="150" t="s">
        <v>52</v>
      </c>
      <c r="M19" s="153">
        <f t="shared" si="0"/>
        <v>715.96799999999996</v>
      </c>
      <c r="N19" s="92" t="str">
        <f>VLOOKUP(C19,'Trips&amp;Operators'!$C$1:$E$99999,3,FALSE)</f>
        <v>STORY</v>
      </c>
      <c r="O19" s="174" t="s">
        <v>86</v>
      </c>
      <c r="P19" s="10"/>
      <c r="Q19" s="33"/>
      <c r="R19" s="108" t="str">
        <f>VLOOKUP(C19,'Train Runs'!$A$13:$AE$10010,31,0)</f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S19" s="111" t="str">
        <f>VLOOKUP(C19,'Train Runs'!$A$13:$AE$10010,22,0)</f>
        <v>https://search-rtdc-monitor-bjffxe2xuh6vdkpspy63sjmuny.us-east-1.es.amazonaws.com/_plugin/kibana/#/discover/Steve-Slow-Train-Analysis-(2080s-and-2083s)?_g=(refreshInterval:(display:Off,section:0,value:0),time:(from:'2016-09-22 14:54:10-0600',mode:absolute,to:'2016-09-22 17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9" s="113" t="str">
        <f t="shared" si="1"/>
        <v>"C:\Program Files (x86)\AstroGrep\AstroGrep.exe" /spath="%USERPROFILE%\AppData\Local\Temp\OnboardLogs" /stypes="*4031*201609222*" /stext=" 22:.+((SYSTEM_STATE.+slice.+state.+changed )|(ment ac)|(system.+state.+changed )|(\|lc)|(penalty)|(\[timeout)|(PRM\|1\|D)|(kpr)|(kdp))" /e /r /s</v>
      </c>
      <c r="U19" s="9" t="str">
        <f t="shared" si="2"/>
        <v>4031</v>
      </c>
      <c r="V19" s="38">
        <f t="shared" si="3"/>
        <v>42635.940266203703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{"issue":{"subject":"","project_id":79,"tracker_id":40,"status_id":1,"priority_id":2,"assigned_to_id":23,"start_date":"2016-09-22","description":"","custom_fields":[{"id":1,"name":"Subdivision","value":"EC"},{"id":4,"name":"Milepost","value":"21.8954"},{"id":17,"name":"Train ID","value":"199-22"},{"id":16,"name":"Locomotive ID","value":"4031"},{"id":130,"name":"Impact","value":""},{"id":150,"name":"Time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"%USERPROFILE%\AppData\Local\Temp\OnboardLogs"\RTDC4031\*4031*201609222* | grep -SE "((Enforcement Ac)|(PRM))" -</v>
      </c>
    </row>
    <row r="20" spans="1:29" s="1" customFormat="1" x14ac:dyDescent="0.25">
      <c r="A20" s="38">
        <v>42635.55574074074</v>
      </c>
      <c r="B20" s="33" t="s">
        <v>181</v>
      </c>
      <c r="C20" s="33" t="s">
        <v>491</v>
      </c>
      <c r="D20" s="33" t="s">
        <v>49</v>
      </c>
      <c r="E20" s="33" t="s">
        <v>56</v>
      </c>
      <c r="F20" s="49">
        <v>350</v>
      </c>
      <c r="G20" s="49">
        <v>526</v>
      </c>
      <c r="H20" s="49">
        <v>222696</v>
      </c>
      <c r="I20" s="49">
        <v>224233</v>
      </c>
      <c r="J20" s="33" t="s">
        <v>57</v>
      </c>
      <c r="K20" s="49">
        <v>224578</v>
      </c>
      <c r="L20" s="150" t="s">
        <v>52</v>
      </c>
      <c r="M20" s="153">
        <f t="shared" si="0"/>
        <v>182.16</v>
      </c>
      <c r="N20" s="92" t="str">
        <f>VLOOKUP(C20,'Trips&amp;Operators'!$C$1:$E$99999,3,FALSE)</f>
        <v>STAMBAUGH</v>
      </c>
      <c r="O20" s="174" t="s">
        <v>86</v>
      </c>
      <c r="P20" s="10"/>
      <c r="Q20" s="33"/>
      <c r="R20" s="108" t="str">
        <f>VLOOKUP(C20,'Train Runs'!$A$13:$AE$10010,31,0)</f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S20" s="111" t="str">
        <f>VLOOKUP(C20,'Train Runs'!$A$13:$AE$10010,22,0)</f>
        <v>https://search-rtdc-monitor-bjffxe2xuh6vdkpspy63sjmuny.us-east-1.es.amazonaws.com/_plugin/kibana/#/discover/Steve-Slow-Train-Analysis-(2080s-and-2083s)?_g=(refreshInterval:(display:Off,section:0,value:0),time:(from:'2016-09-22 11:37:53-0600',mode:absolute,to:'2016-09-22 14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0" s="113" t="str">
        <f t="shared" si="1"/>
        <v>"C:\Program Files (x86)\AstroGrep\AstroGrep.exe" /spath="%USERPROFILE%\AppData\Local\Temp\OnboardLogs" /stypes="*4046*201609221*" /stext=" 19:.+((SYSTEM_STATE.+slice.+state.+changed )|(ment ac)|(system.+state.+changed )|(\|lc)|(penalty)|(\[timeout)|(PRM\|1\|D)|(kpr)|(kdp))" /e /r /s</v>
      </c>
      <c r="U20" s="9" t="str">
        <f t="shared" si="2"/>
        <v>4046</v>
      </c>
      <c r="V20" s="38">
        <f t="shared" si="3"/>
        <v>42635.80574074074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{"issue":{"subject":"","project_id":79,"tracker_id":40,"status_id":1,"priority_id":2,"assigned_to_id":23,"start_date":"2016-09-22","description":"","custom_fields":[{"id":1,"name":"Subdivision","value":"EC"},{"id":4,"name":"Milepost","value":"22.4578"},{"id":17,"name":"Train ID","value":"173-22"},{"id":16,"name":"Locomotive ID","value":"4046"},{"id":130,"name":"Impact","value":""},{"id":150,"name":"Time of Event (Mountain Time)","value":"13:20:16"},{"id":151,"name":"Denver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"%USERPROFILE%\AppData\Local\Temp\OnboardLogs"\RTDC4046\*4046*201609221* | grep -SE "((Enforcement Ac)|(PRM))" -</v>
      </c>
    </row>
    <row r="21" spans="1:29" x14ac:dyDescent="0.25">
      <c r="A21" s="38">
        <v>42635.229849537034</v>
      </c>
      <c r="B21" s="33" t="s">
        <v>241</v>
      </c>
      <c r="C21" s="33" t="s">
        <v>403</v>
      </c>
      <c r="D21" s="33" t="s">
        <v>105</v>
      </c>
      <c r="E21" s="33" t="s">
        <v>56</v>
      </c>
      <c r="F21" s="49">
        <v>350</v>
      </c>
      <c r="G21" s="49">
        <v>403</v>
      </c>
      <c r="H21" s="49">
        <v>224592</v>
      </c>
      <c r="I21" s="49">
        <v>222653</v>
      </c>
      <c r="J21" s="33" t="s">
        <v>57</v>
      </c>
      <c r="K21" s="49">
        <v>228668</v>
      </c>
      <c r="L21" s="150" t="s">
        <v>53</v>
      </c>
      <c r="M21" s="153">
        <f t="shared" si="0"/>
        <v>-3175.92</v>
      </c>
      <c r="N21" s="92" t="str">
        <f>VLOOKUP(C21,'Trips&amp;Operators'!$C$1:$E$99999,3,FALSE)</f>
        <v>STRICKLAND</v>
      </c>
      <c r="O21" s="174" t="s">
        <v>86</v>
      </c>
      <c r="P21" s="10"/>
      <c r="Q21" s="33"/>
      <c r="R21" s="108" t="str">
        <f>VLOOKUP(C21,'Train Runs'!$A$13:$AE$10010,31,0)</f>
        <v>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 &amp; 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</v>
      </c>
      <c r="S21" s="111" t="str">
        <f>VLOOKUP(C21,'Train Runs'!$A$13:$AE$10010,22,0)</f>
        <v>https://search-rtdc-monitor-bjffxe2xuh6vdkpspy63sjmuny.us-east-1.es.amazonaws.com/_plugin/kibana/#/discover/Steve-Slow-Train-Analysis-(2080s-and-2083s)?_g=(refreshInterval:(display:Off,section:0,value:0),time:(from:'2016-09-22 04:20:16-0600',mode:absolute,to:'2016-09-22 07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1" s="113" t="str">
        <f t="shared" si="1"/>
        <v>"C:\Program Files (x86)\AstroGrep\AstroGrep.exe" /spath="%USERPROFILE%\AppData\Local\Temp\OnboardLogs" /stypes="*4043*201609221*" /stext=" 11:.+((SYSTEM_STATE.+slice.+state.+changed )|(ment ac)|(system.+state.+changed )|(\|lc)|(penalty)|(\[timeout)|(PRM\|1\|D)|(kpr)|(kdp))" /e /r /s</v>
      </c>
      <c r="U21" s="9" t="str">
        <f t="shared" si="2"/>
        <v>4043</v>
      </c>
      <c r="V21" s="38">
        <f t="shared" si="3"/>
        <v>42635.479849537034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{"issue":{"subject":"","project_id":79,"tracker_id":40,"status_id":1,"priority_id":2,"assigned_to_id":23,"start_date":"2016-09-22","description":"","custom_fields":[{"id":1,"name":"Subdivision","value":"EC"},{"id":4,"name":"Milepost","value":"22.8668"},{"id":17,"name":"Train ID","value":"108-22"},{"id":16,"name":"Locomotive ID","value":"4043"},{"id":130,"name":"Impact","value":""},{"id":150,"name":"Time of Event (Mountain Time)","value":"05:30:59"},{"id":151,"name":"Denver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"%USERPROFILE%\AppData\Local\Temp\OnboardLogs"\RTDC4043\*4043*201609221* | grep -SE "((Enforcement Ac)|(PRM))" -</v>
      </c>
    </row>
    <row r="22" spans="1:29" x14ac:dyDescent="0.25">
      <c r="A22" s="38">
        <v>42635.286354166667</v>
      </c>
      <c r="B22" s="33" t="s">
        <v>240</v>
      </c>
      <c r="C22" s="33" t="s">
        <v>414</v>
      </c>
      <c r="D22" s="33" t="s">
        <v>49</v>
      </c>
      <c r="E22" s="33" t="s">
        <v>56</v>
      </c>
      <c r="F22" s="49">
        <v>150</v>
      </c>
      <c r="G22" s="49">
        <v>262</v>
      </c>
      <c r="H22" s="49">
        <v>229115</v>
      </c>
      <c r="I22" s="49">
        <v>229629</v>
      </c>
      <c r="J22" s="33" t="s">
        <v>57</v>
      </c>
      <c r="K22" s="49">
        <v>230436</v>
      </c>
      <c r="L22" s="150" t="s">
        <v>52</v>
      </c>
      <c r="M22" s="153">
        <f t="shared" si="0"/>
        <v>426.096</v>
      </c>
      <c r="N22" s="92" t="str">
        <f>VLOOKUP(C22,'Trips&amp;Operators'!$C$1:$E$99999,3,FALSE)</f>
        <v>STRICKLAND</v>
      </c>
      <c r="O22" s="174" t="s">
        <v>86</v>
      </c>
      <c r="P22" s="10"/>
      <c r="Q22" s="33"/>
      <c r="R22" s="108" t="str">
        <f>VLOOKUP(C22,'Train Runs'!$A$13:$AE$10010,31,0)</f>
        <v>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 &amp; 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</v>
      </c>
      <c r="S22" s="111" t="str">
        <f>VLOOKUP(C22,'Train Runs'!$A$13:$AE$10010,22,0)</f>
        <v>https://search-rtdc-monitor-bjffxe2xuh6vdkpspy63sjmuny.us-east-1.es.amazonaws.com/_plugin/kibana/#/discover/Steve-Slow-Train-Analysis-(2080s-and-2083s)?_g=(refreshInterval:(display:Off,section:0,value:0),time:(from:'2016-09-22 05:10:07-0600',mode:absolute,to:'2016-09-22 07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2" s="113" t="str">
        <f t="shared" si="1"/>
        <v>"C:\Program Files (x86)\AstroGrep\AstroGrep.exe" /spath="%USERPROFILE%\AppData\Local\Temp\OnboardLogs" /stypes="*4044*201609221*" /stext=" 12:.+((SYSTEM_STATE.+slice.+state.+changed )|(ment ac)|(system.+state.+changed )|(\|lc)|(penalty)|(\[timeout)|(PRM\|1\|D)|(kpr)|(kdp))" /e /r /s</v>
      </c>
      <c r="U22" s="9" t="str">
        <f t="shared" si="2"/>
        <v>4044</v>
      </c>
      <c r="V22" s="38">
        <f t="shared" si="3"/>
        <v>42635.536354166667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{"issue":{"subject":"","project_id":79,"tracker_id":40,"status_id":1,"priority_id":2,"assigned_to_id":23,"start_date":"2016-09-22","description":"","custom_fields":[{"id":1,"name":"Subdivision","value":"EC"},{"id":4,"name":"Milepost","value":"23.0436"},{"id":17,"name":"Train ID","value":"121-22"},{"id":16,"name":"Locomotive ID","value":"4044"},{"id":130,"name":"Impact","value":""},{"id":150,"name":"Time of Event (Mountain Time)","value":"06:52:21"},{"id":151,"name":"Denver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"%USERPROFILE%\AppData\Local\Temp\OnboardLogs"\RTDC4044\*4044*201609221* | grep -SE "((Enforcement Ac)|(PRM))" -</v>
      </c>
    </row>
    <row r="23" spans="1:29" x14ac:dyDescent="0.25">
      <c r="A23" s="38">
        <v>42635.205312500002</v>
      </c>
      <c r="B23" s="33" t="s">
        <v>396</v>
      </c>
      <c r="C23" s="33" t="s">
        <v>397</v>
      </c>
      <c r="D23" s="33" t="s">
        <v>49</v>
      </c>
      <c r="E23" s="33" t="s">
        <v>54</v>
      </c>
      <c r="F23" s="49">
        <v>0</v>
      </c>
      <c r="G23" s="49">
        <v>568</v>
      </c>
      <c r="H23" s="49">
        <v>131109</v>
      </c>
      <c r="I23" s="49">
        <v>128953</v>
      </c>
      <c r="J23" s="33" t="s">
        <v>55</v>
      </c>
      <c r="K23" s="49">
        <v>127587</v>
      </c>
      <c r="L23" s="150" t="s">
        <v>53</v>
      </c>
      <c r="M23" s="153">
        <f t="shared" si="0"/>
        <v>721.24800000000005</v>
      </c>
      <c r="N23" s="92" t="str">
        <f>VLOOKUP(C23,'Trips&amp;Operators'!$C$1:$E$99999,3,FALSE)</f>
        <v>SPECTOR</v>
      </c>
      <c r="O23" s="174" t="s">
        <v>86</v>
      </c>
      <c r="P23" s="10" t="s">
        <v>328</v>
      </c>
      <c r="Q23" s="33"/>
      <c r="R23" s="108" t="str">
        <f>VLOOKUP(C23,'Train Runs'!$A$13:$AE$10010,31,0)</f>
        <v>aws s3 cp s3://rtdc.mdm.uploadarchive/RTDC4054/2016-09-22/ "%USERPROFILE%\AppData\Local\Temp\OnboardLogs"\RTDC4054\2016-09-22 --recursive &amp; "%USERPROFILE%\Documents\GitHub\mrs-test-scripts\Headless Mode &amp; Sideloading\WalkAndUnGZ.bat" "%USERPROFILE%\AppData\Local\Temp\OnboardLogs"\RTDC4054\2016-09-22 &amp; aws s3 cp s3://rtdc.mdm.uploadarchive/RTDC4054/2016-09-23/ "%USERPROFILE%\AppData\Local\Temp\OnboardLogs"\RTDC4054\2016-09-23 --recursive &amp; "%USERPROFILE%\Documents\GitHub\mrs-test-scripts\Headless Mode &amp; Sideloading\WalkAndUnGZ.bat" "%USERPROFILE%\AppData\Local\Temp\OnboardLogs"\RTDC4054\2016-09-23</v>
      </c>
      <c r="S23" s="111" t="str">
        <f>VLOOKUP(C23,'Train Runs'!$A$13:$AE$10010,22,0)</f>
        <v>https://search-rtdc-monitor-bjffxe2xuh6vdkpspy63sjmuny.us-east-1.es.amazonaws.com/_plugin/kibana/#/discover/Steve-Slow-Train-Analysis-(2080s-and-2083s)?_g=(refreshInterval:(display:Off,section:0,value:0),time:(from:'2016-09-22 03:41:02-0600',mode:absolute,to:'2016-09-22 06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3" s="113" t="str">
        <f t="shared" si="1"/>
        <v>"C:\Program Files (x86)\AstroGrep\AstroGrep.exe" /spath="%USERPROFILE%\AppData\Local\Temp\OnboardLogs" /stypes="*4054*201609221*" /stext=" 10:.+((SYSTEM_STATE.+slice.+state.+changed )|(ment ac)|(system.+state.+changed )|(\|lc)|(penalty)|(\[timeout)|(PRM\|1\|D)|(kpr)|(kdp))" /e /r /s</v>
      </c>
      <c r="U23" s="9" t="str">
        <f t="shared" si="2"/>
        <v>4054</v>
      </c>
      <c r="V23" s="38">
        <f t="shared" si="3"/>
        <v>42635.455312500002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{"issue":{"subject":"40th 4S STOP, cleared afterward","project_id":79,"tracker_id":40,"status_id":1,"priority_id":2,"assigned_to_id":23,"start_date":"2016-09-22","description":"","custom_fields":[{"id":1,"name":"Subdivision","value":"EC"},{"id":4,"name":"Milepost","value":"12.7587"},{"id":17,"name":"Train ID","value":"104-22"},{"id":16,"name":"Locomotive ID","value":"4054"},{"id":130,"name":"Impact","value":""},{"id":150,"name":"Time of Event (Mountain Time)","value":"04:55:39"},{"id":151,"name":"Denver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"%USERPROFILE%\AppData\Local\Temp\OnboardLogs"\RTDC4054\*4054*201609221* | grep -SE "((Enforcement Ac)|(PRM))" -</v>
      </c>
    </row>
    <row r="24" spans="1:29" ht="15" customHeight="1" x14ac:dyDescent="0.25">
      <c r="A24" s="38">
        <v>42635.308831018519</v>
      </c>
      <c r="B24" s="33" t="s">
        <v>241</v>
      </c>
      <c r="C24" s="33" t="s">
        <v>425</v>
      </c>
      <c r="D24" s="33" t="s">
        <v>49</v>
      </c>
      <c r="E24" s="33" t="s">
        <v>54</v>
      </c>
      <c r="F24" s="49">
        <v>0</v>
      </c>
      <c r="G24" s="49">
        <v>638</v>
      </c>
      <c r="H24" s="49">
        <v>131565</v>
      </c>
      <c r="I24" s="49">
        <v>128949</v>
      </c>
      <c r="J24" s="33" t="s">
        <v>55</v>
      </c>
      <c r="K24" s="49">
        <v>127587</v>
      </c>
      <c r="L24" s="150" t="s">
        <v>53</v>
      </c>
      <c r="M24" s="153">
        <f t="shared" si="0"/>
        <v>719.13599999999997</v>
      </c>
      <c r="N24" s="92" t="str">
        <f>VLOOKUP(C24,'Trips&amp;Operators'!$C$1:$E$99999,3,FALSE)</f>
        <v>STRICKLAND</v>
      </c>
      <c r="O24" s="174" t="s">
        <v>86</v>
      </c>
      <c r="P24" s="10" t="s">
        <v>328</v>
      </c>
      <c r="Q24" s="33"/>
      <c r="R24" s="108" t="str">
        <f>VLOOKUP(C24,'Train Runs'!$A$13:$AE$10010,31,0)</f>
        <v>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 &amp; 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</v>
      </c>
      <c r="S24" s="111" t="str">
        <f>VLOOKUP(C24,'Train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06:05:52-0600',mode:absolute,to:'2016-09-22 08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4" s="113" t="str">
        <f t="shared" si="1"/>
        <v>"C:\Program Files (x86)\AstroGrep\AstroGrep.exe" /spath="%USERPROFILE%\AppData\Local\Temp\OnboardLogs" /stypes="*4043*201609221*" /stext=" 13:.+((SYSTEM_STATE.+slice.+state.+changed )|(ment ac)|(system.+state.+changed )|(\|lc)|(penalty)|(\[timeout)|(PRM\|1\|D)|(kpr)|(kdp))" /e /r /s</v>
      </c>
      <c r="U24" s="9" t="str">
        <f t="shared" si="2"/>
        <v>4043</v>
      </c>
      <c r="V24" s="38">
        <f t="shared" si="3"/>
        <v>42635.558831018519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{"issue":{"subject":"40th 4S STOP, cleared afterward","project_id":79,"tracker_id":40,"status_id":1,"priority_id":2,"assigned_to_id":23,"start_date":"2016-09-22","description":"","custom_fields":[{"id":1,"name":"Subdivision","value":"EC"},{"id":4,"name":"Milepost","value":"12.7587"},{"id":17,"name":"Train ID","value":"122-22"},{"id":16,"name":"Locomotive ID","value":"4043"},{"id":130,"name":"Impact","value":""},{"id":150,"name":"Time of Event (Mountain Time)","value":"07:24:43"},{"id":151,"name":"Denver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"%USERPROFILE%\AppData\Local\Temp\OnboardLogs"\RTDC4043\*4043*201609221* | grep -SE "((Enforcement Ac)|(PRM))" -</v>
      </c>
    </row>
    <row r="25" spans="1:29" x14ac:dyDescent="0.25">
      <c r="A25" s="38">
        <v>42635.372303240743</v>
      </c>
      <c r="B25" s="33" t="s">
        <v>422</v>
      </c>
      <c r="C25" s="33" t="s">
        <v>446</v>
      </c>
      <c r="D25" s="33" t="s">
        <v>49</v>
      </c>
      <c r="E25" s="33" t="s">
        <v>54</v>
      </c>
      <c r="F25" s="49">
        <v>0</v>
      </c>
      <c r="G25" s="49">
        <v>534</v>
      </c>
      <c r="H25" s="49">
        <v>130665</v>
      </c>
      <c r="I25" s="49">
        <v>128967</v>
      </c>
      <c r="J25" s="33" t="s">
        <v>55</v>
      </c>
      <c r="K25" s="49">
        <v>127587</v>
      </c>
      <c r="L25" s="150" t="s">
        <v>53</v>
      </c>
      <c r="M25" s="153">
        <f t="shared" si="0"/>
        <v>728.64</v>
      </c>
      <c r="N25" s="92" t="str">
        <f>VLOOKUP(C25,'Trips&amp;Operators'!$C$1:$E$99999,3,FALSE)</f>
        <v>MALAVE</v>
      </c>
      <c r="O25" s="174" t="s">
        <v>86</v>
      </c>
      <c r="P25" s="10" t="s">
        <v>328</v>
      </c>
      <c r="Q25" s="33"/>
      <c r="R25" s="108" t="str">
        <f>VLOOKUP(C25,'Train Runs'!$A$13:$AE$10010,31,0)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S25" s="111" t="str">
        <f>VLOOKUP(C25,'Train Runs'!$A$13:$AE$10010,22,0)</f>
        <v>https://search-rtdc-monitor-bjffxe2xuh6vdkpspy63sjmuny.us-east-1.es.amazonaws.com/_plugin/kibana/#/discover/Steve-Slow-Train-Analysis-(2080s-and-2083s)?_g=(refreshInterval:(display:Off,section:0,value:0),time:(from:'2016-09-22 07:39:30-0600',mode:absolute,to:'2016-09-22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5" s="113" t="str">
        <f t="shared" si="1"/>
        <v>"C:\Program Files (x86)\AstroGrep\AstroGrep.exe" /spath="%USERPROFILE%\AppData\Local\Temp\OnboardLogs" /stypes="*4030*201609221*" /stext=" 14:.+((SYSTEM_STATE.+slice.+state.+changed )|(ment ac)|(system.+state.+changed )|(\|lc)|(penalty)|(\[timeout)|(PRM\|1\|D)|(kpr)|(kdp))" /e /r /s</v>
      </c>
      <c r="U25" s="9" t="str">
        <f t="shared" si="2"/>
        <v>4030</v>
      </c>
      <c r="V25" s="38">
        <f t="shared" si="3"/>
        <v>42635.622303240743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{"issue":{"subject":"40th 4S STOP, cleared afterward","project_id":79,"tracker_id":40,"status_id":1,"priority_id":2,"assigned_to_id":23,"start_date":"2016-09-22","description":"","custom_fields":[{"id":1,"name":"Subdivision","value":"EC"},{"id":4,"name":"Milepost","value":"12.7587"},{"id":17,"name":"Train ID","value":"134-22"},{"id":16,"name":"Locomotive ID","value":"4030"},{"id":130,"name":"Impact","value":""},{"id":150,"name":"Time of Event (Mountain Time)","value":"08:56:07"},{"id":151,"name":"Denver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5" t="str">
        <f t="shared" si="7"/>
        <v>grep -hSE -A100 "Enforcement Action" "%USERPROFILE%\AppData\Local\Temp\OnboardLogs"\RTDC4030\*4030*201609221* | grep -SE "((Enforcement Ac)|(PRM))" -</v>
      </c>
    </row>
    <row r="26" spans="1:29" x14ac:dyDescent="0.25">
      <c r="A26" s="38">
        <v>42635.787488425929</v>
      </c>
      <c r="B26" s="33" t="s">
        <v>340</v>
      </c>
      <c r="C26" s="33" t="s">
        <v>563</v>
      </c>
      <c r="D26" s="33" t="s">
        <v>49</v>
      </c>
      <c r="E26" s="33" t="s">
        <v>54</v>
      </c>
      <c r="F26" s="49">
        <v>0</v>
      </c>
      <c r="G26" s="49">
        <v>379</v>
      </c>
      <c r="H26" s="49">
        <v>129606</v>
      </c>
      <c r="I26" s="49">
        <v>128457</v>
      </c>
      <c r="J26" s="33" t="s">
        <v>55</v>
      </c>
      <c r="K26" s="49">
        <v>127587</v>
      </c>
      <c r="L26" s="150" t="s">
        <v>53</v>
      </c>
      <c r="M26" s="153">
        <f t="shared" si="0"/>
        <v>459.36</v>
      </c>
      <c r="N26" s="92" t="str">
        <f>VLOOKUP(C26,'Trips&amp;Operators'!$C$1:$E$99999,3,FALSE)</f>
        <v>COOLAHAN</v>
      </c>
      <c r="O26" s="174" t="s">
        <v>86</v>
      </c>
      <c r="P26" s="10" t="s">
        <v>328</v>
      </c>
      <c r="Q26" s="33"/>
      <c r="R26" s="108" t="str">
        <f>VLOOKUP(C26,'Train Runs'!$A$13:$AE$10010,31,0)</f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S26" s="111" t="str">
        <f>VLOOKUP(C26,'Train Runs'!$A$13:$AE$10010,22,0)</f>
        <v>https://search-rtdc-monitor-bjffxe2xuh6vdkpspy63sjmuny.us-east-1.es.amazonaws.com/_plugin/kibana/#/discover/Steve-Slow-Train-Analysis-(2080s-and-2083s)?_g=(refreshInterval:(display:Off,section:0,value:0),time:(from:'2016-09-22 17:34:12-0600',mode:absolute,to:'2016-09-22 20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6" s="113" t="str">
        <f t="shared" si="1"/>
        <v>"C:\Program Files (x86)\AstroGrep\AstroGrep.exe" /spath="%USERPROFILE%\AppData\Local\Temp\OnboardLogs" /stypes="*4032*201609230*" /stext=" 00:.+((SYSTEM_STATE.+slice.+state.+changed )|(ment ac)|(system.+state.+changed )|(\|lc)|(penalty)|(\[timeout)|(PRM\|1\|D)|(kpr)|(kdp))" /e /r /s</v>
      </c>
      <c r="U26" s="9" t="str">
        <f t="shared" si="2"/>
        <v>4032</v>
      </c>
      <c r="V26" s="38">
        <f t="shared" si="3"/>
        <v>42636.037488425929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{"issue":{"subject":"40th 4S STOP, cleared afterward","project_id":79,"tracker_id":40,"status_id":1,"priority_id":2,"assigned_to_id":23,"start_date":"2016-09-22","description":"","custom_fields":[{"id":1,"name":"Subdivision","value":"EC"},{"id":4,"name":"Milepost","value":"12.7587"},{"id":17,"name":"Train ID","value":"214-22"},{"id":16,"name":"Locomotive ID","value":"4032"},{"id":130,"name":"Impact","value":""},{"id":150,"name":"Time of Event (Mountain Time)","value":"18:53:59"},{"id":151,"name":"Denver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"%USERPROFILE%\AppData\Local\Temp\OnboardLogs"\RTDC4032\*4032*201609230* | grep -SE "((Enforcement Ac)|(PRM))" -</v>
      </c>
    </row>
    <row r="27" spans="1:29" x14ac:dyDescent="0.25">
      <c r="A27" s="38">
        <v>42635.384120370371</v>
      </c>
      <c r="B27" s="33" t="s">
        <v>341</v>
      </c>
      <c r="C27" s="33" t="s">
        <v>445</v>
      </c>
      <c r="D27" s="33" t="s">
        <v>49</v>
      </c>
      <c r="E27" s="33" t="s">
        <v>54</v>
      </c>
      <c r="F27" s="49">
        <v>0</v>
      </c>
      <c r="G27" s="49">
        <v>681</v>
      </c>
      <c r="H27" s="49">
        <v>150341</v>
      </c>
      <c r="I27" s="49">
        <v>153390</v>
      </c>
      <c r="J27" s="33" t="s">
        <v>55</v>
      </c>
      <c r="K27" s="49">
        <v>155600</v>
      </c>
      <c r="L27" s="150" t="s">
        <v>52</v>
      </c>
      <c r="M27" s="153">
        <f t="shared" si="0"/>
        <v>1166.8800000000001</v>
      </c>
      <c r="N27" s="92" t="str">
        <f>VLOOKUP(C27,'Trips&amp;Operators'!$C$1:$E$99999,3,FALSE)</f>
        <v>MAELZER</v>
      </c>
      <c r="O27" s="174" t="s">
        <v>86</v>
      </c>
      <c r="P27" s="10" t="s">
        <v>386</v>
      </c>
      <c r="Q27" s="33"/>
      <c r="R27" s="108" t="str">
        <f>VLOOKUP(C27,'Train Runs'!$A$13:$AE$10010,31,0)</f>
        <v>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 &amp; aws s3 cp s3://rtdc.mdm.uploadarchive/RTDC4031/2016-09-23/ "%USERPROFILE%\AppData\Local\Temp\OnboardLogs"\RTDC4031\2016-09-23 --recursive &amp; "%USERPROFILE%\Documents\GitHub\mrs-test-scripts\Headless Mode &amp; Sideloading\WalkAndUnGZ.bat" "%USERPROFILE%\AppData\Local\Temp\OnboardLogs"\RTDC4031\2016-09-23</v>
      </c>
      <c r="S27" s="111" t="str">
        <f>VLOOKUP(C27,'Train Runs'!$A$13:$AE$10010,22,0)</f>
        <v>https://search-rtdc-monitor-bjffxe2xuh6vdkpspy63sjmuny.us-east-1.es.amazonaws.com/_plugin/kibana/#/discover/Steve-Slow-Train-Analysis-(2080s-and-2083s)?_g=(refreshInterval:(display:Off,section:0,value:0),time:(from:'2016-09-22 07:39:28-0600',mode:absolute,to:'2016-09-22 10:31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7" s="113" t="str">
        <f t="shared" si="1"/>
        <v>"C:\Program Files (x86)\AstroGrep\AstroGrep.exe" /spath="%USERPROFILE%\AppData\Local\Temp\OnboardLogs" /stypes="*4031*201609221*" /stext=" 15:.+((SYSTEM_STATE.+slice.+state.+changed )|(ment ac)|(system.+state.+changed )|(\|lc)|(penalty)|(\[timeout)|(PRM\|1\|D)|(kpr)|(kdp))" /e /r /s</v>
      </c>
      <c r="U27" s="9" t="str">
        <f t="shared" si="2"/>
        <v>4031</v>
      </c>
      <c r="V27" s="38">
        <f t="shared" si="3"/>
        <v>42635.634120370371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{"issue":{"subject":"61st 2N STOP, cleared afterward","project_id":79,"tracker_id":40,"status_id":1,"priority_id":2,"assigned_to_id":23,"start_date":"2016-09-22","description":"","custom_fields":[{"id":1,"name":"Subdivision","value":"EC"},{"id":4,"name":"Milepost","value":"15.56"},{"id":17,"name":"Train ID","value":"141-22"},{"id":16,"name":"Locomotive ID","value":"4031"},{"id":130,"name":"Impact","value":""},{"id":150,"name":"Time of Event (Mountain Time)","value":"09:13:08"},{"id":151,"name":"Denver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"%USERPROFILE%\AppData\Local\Temp\OnboardLogs"\RTDC4031\*4031*201609221* | grep -SE "((Enforcement Ac)|(PRM))" -</v>
      </c>
    </row>
    <row r="28" spans="1:29" x14ac:dyDescent="0.25">
      <c r="A28" s="38">
        <v>42635.532638888886</v>
      </c>
      <c r="B28" s="33" t="s">
        <v>422</v>
      </c>
      <c r="C28" s="33" t="s">
        <v>489</v>
      </c>
      <c r="D28" s="33" t="s">
        <v>49</v>
      </c>
      <c r="E28" s="33" t="s">
        <v>54</v>
      </c>
      <c r="F28" s="49">
        <v>0</v>
      </c>
      <c r="G28" s="49">
        <v>383</v>
      </c>
      <c r="H28" s="49">
        <v>193967</v>
      </c>
      <c r="I28" s="49">
        <v>193128</v>
      </c>
      <c r="J28" s="33" t="s">
        <v>55</v>
      </c>
      <c r="K28" s="49">
        <v>191723</v>
      </c>
      <c r="L28" s="150" t="s">
        <v>53</v>
      </c>
      <c r="M28" s="153">
        <f t="shared" si="0"/>
        <v>741.84</v>
      </c>
      <c r="N28" s="92" t="str">
        <f>VLOOKUP(C28,'Trips&amp;Operators'!$C$1:$E$99999,3,FALSE)</f>
        <v>NEWELL</v>
      </c>
      <c r="O28" s="174" t="s">
        <v>86</v>
      </c>
      <c r="P28" s="10" t="s">
        <v>387</v>
      </c>
      <c r="Q28" s="33"/>
      <c r="R28" s="108" t="str">
        <f>VLOOKUP(C28,'Train Runs'!$A$13:$AE$10010,31,0)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S28" s="111" t="str">
        <f>VLOOKUP(C28,'Train Runs'!$A$13:$AE$10010,22,0)</f>
        <v>https://search-rtdc-monitor-bjffxe2xuh6vdkpspy63sjmuny.us-east-1.es.amazonaws.com/_plugin/kibana/#/discover/Steve-Slow-Train-Analysis-(2080s-and-2083s)?_g=(refreshInterval:(display:Off,section:0,value:0),time:(from:'2016-09-22 11:23:51-0600',mode:absolute,to:'2016-09-22 14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8" s="113" t="str">
        <f t="shared" si="1"/>
        <v>"C:\Program Files (x86)\AstroGrep\AstroGrep.exe" /spath="%USERPROFILE%\AppData\Local\Temp\OnboardLogs" /stypes="*4030*201609221*" /stext=" 18:.+((SYSTEM_STATE.+slice.+state.+changed )|(ment ac)|(system.+state.+changed )|(\|lc)|(penalty)|(\[timeout)|(PRM\|1\|D)|(kpr)|(kdp))" /e /r /s</v>
      </c>
      <c r="U28" s="9" t="str">
        <f t="shared" si="2"/>
        <v>4030</v>
      </c>
      <c r="V28" s="38">
        <f t="shared" si="3"/>
        <v>42635.782638888886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afterward","project_id":79,"tracker_id":40,"status_id":1,"priority_id":2,"assigned_to_id":23,"start_date":"2016-09-22","description":"","custom_fields":[{"id":1,"name":"Subdivision","value":"EC"},{"id":4,"name":"Milepost","value":"19.1723"},{"id":17,"name":"Train ID","value":"166-22"},{"id":16,"name":"Locomotive ID","value":"4030"},{"id":130,"name":"Impact","value":""},{"id":150,"name":"Time of Event (Mountain Time)","value":"12:47:00"},{"id":151,"name":"Denver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 t="shared" si="7"/>
        <v>grep -hSE -A100 "Enforcement Action" "%USERPROFILE%\AppData\Local\Temp\OnboardLogs"\RTDC4030\*4030*201609221* | grep -SE "((Enforcement Ac)|(PRM))" -</v>
      </c>
    </row>
    <row r="29" spans="1:29" x14ac:dyDescent="0.25">
      <c r="A29" s="38">
        <v>42635.605300925927</v>
      </c>
      <c r="B29" s="33" t="s">
        <v>422</v>
      </c>
      <c r="C29" s="33" t="s">
        <v>506</v>
      </c>
      <c r="D29" s="33" t="s">
        <v>49</v>
      </c>
      <c r="E29" s="33" t="s">
        <v>54</v>
      </c>
      <c r="F29" s="49">
        <v>0</v>
      </c>
      <c r="G29" s="49">
        <v>626</v>
      </c>
      <c r="H29" s="49">
        <v>196059</v>
      </c>
      <c r="I29" s="49">
        <v>193936</v>
      </c>
      <c r="J29" s="33" t="s">
        <v>55</v>
      </c>
      <c r="K29" s="49">
        <v>191723</v>
      </c>
      <c r="L29" s="150" t="s">
        <v>53</v>
      </c>
      <c r="M29" s="153">
        <f t="shared" si="0"/>
        <v>1168.4639999999999</v>
      </c>
      <c r="N29" s="92" t="str">
        <f>VLOOKUP(C29,'Trips&amp;Operators'!$C$1:$E$99999,3,FALSE)</f>
        <v>NEWELL</v>
      </c>
      <c r="O29" s="174" t="s">
        <v>86</v>
      </c>
      <c r="P29" s="10" t="s">
        <v>387</v>
      </c>
      <c r="Q29" s="33"/>
      <c r="R29" s="108" t="str">
        <f>VLOOKUP(C29,'Train Runs'!$A$13:$AE$10010,31,0)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S29" s="111" t="str">
        <f>VLOOKUP(C29,'Train Runs'!$A$13:$AE$10010,22,0)</f>
        <v>https://search-rtdc-monitor-bjffxe2xuh6vdkpspy63sjmuny.us-east-1.es.amazonaws.com/_plugin/kibana/#/discover/Steve-Slow-Train-Analysis-(2080s-and-2083s)?_g=(refreshInterval:(display:Off,section:0,value:0),time:(from:'2016-09-22 13:08:19-0600',mode:absolute,to:'2016-09-22 16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9" s="113" t="str">
        <f t="shared" si="1"/>
        <v>"C:\Program Files (x86)\AstroGrep\AstroGrep.exe" /spath="%USERPROFILE%\AppData\Local\Temp\OnboardLogs" /stypes="*4030*201609222*" /stext=" 20:.+((SYSTEM_STATE.+slice.+state.+changed )|(ment ac)|(system.+state.+changed )|(\|lc)|(penalty)|(\[timeout)|(PRM\|1\|D)|(kpr)|(kdp))" /e /r /s</v>
      </c>
      <c r="U29" s="9" t="str">
        <f t="shared" si="2"/>
        <v>4030</v>
      </c>
      <c r="V29" s="38">
        <f t="shared" si="3"/>
        <v>42635.855300925927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{"issue":{"subject":"Pena 4S STOP, cleared afterward","project_id":79,"tracker_id":40,"status_id":1,"priority_id":2,"assigned_to_id":23,"start_date":"2016-09-22","description":"","custom_fields":[{"id":1,"name":"Subdivision","value":"EC"},{"id":4,"name":"Milepost","value":"19.1723"},{"id":17,"name":"Train ID","value":"180-22"},{"id":16,"name":"Locomotive ID","value":"4030"},{"id":130,"name":"Impact","value":""},{"id":150,"name":"Time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5" t="str">
        <f t="shared" si="7"/>
        <v>grep -hSE -A100 "Enforcement Action" "%USERPROFILE%\AppData\Local\Temp\OnboardLogs"\RTDC4030\*4030*201609222* | grep -SE "((Enforcement Ac)|(PRM))" -</v>
      </c>
    </row>
    <row r="30" spans="1:29" x14ac:dyDescent="0.25">
      <c r="A30" s="38">
        <v>42635.709479166668</v>
      </c>
      <c r="B30" s="33" t="s">
        <v>340</v>
      </c>
      <c r="C30" s="33" t="s">
        <v>537</v>
      </c>
      <c r="D30" s="33" t="s">
        <v>49</v>
      </c>
      <c r="E30" s="33" t="s">
        <v>54</v>
      </c>
      <c r="F30" s="49">
        <v>0</v>
      </c>
      <c r="G30" s="49">
        <v>343</v>
      </c>
      <c r="H30" s="49">
        <v>193749</v>
      </c>
      <c r="I30" s="49">
        <v>192768</v>
      </c>
      <c r="J30" s="33" t="s">
        <v>55</v>
      </c>
      <c r="K30" s="49">
        <v>191723</v>
      </c>
      <c r="L30" s="150" t="s">
        <v>53</v>
      </c>
      <c r="M30" s="153">
        <f t="shared" si="0"/>
        <v>551.76</v>
      </c>
      <c r="N30" s="92" t="str">
        <f>VLOOKUP(C30,'Trips&amp;Operators'!$C$1:$E$99999,3,FALSE)</f>
        <v>STORY</v>
      </c>
      <c r="O30" s="174" t="s">
        <v>86</v>
      </c>
      <c r="P30" s="10" t="s">
        <v>387</v>
      </c>
      <c r="Q30" s="33"/>
      <c r="R30" s="108" t="str">
        <f>VLOOKUP(C30,'Train Runs'!$A$13:$AE$10010,31,0)</f>
        <v>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 &amp; aws s3 cp s3://rtdc.mdm.uploadarchive/RTDC4032/2016-09-23/ "%USERPROFILE%\AppData\Local\Temp\OnboardLogs"\RTDC4032\2016-09-23 --recursive &amp; "%USERPROFILE%\Documents\GitHub\mrs-test-scripts\Headless Mode &amp; Sideloading\WalkAndUnGZ.bat" "%USERPROFILE%\AppData\Local\Temp\OnboardLogs"\RTDC4032\2016-09-23</v>
      </c>
      <c r="S30" s="111" t="str">
        <f>VLOOKUP(C30,'Train Runs'!$A$13:$AE$10010,22,0)</f>
        <v>https://search-rtdc-monitor-bjffxe2xuh6vdkpspy63sjmuny.us-east-1.es.amazonaws.com/_plugin/kibana/#/discover/Steve-Slow-Train-Analysis-(2080s-and-2083s)?_g=(refreshInterval:(display:Off,section:0,value:0),time:(from:'2016-09-22 15:45:14-0600',mode:absolute,to:'2016-09-22 18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13" t="str">
        <f t="shared" si="1"/>
        <v>"C:\Program Files (x86)\AstroGrep\AstroGrep.exe" /spath="%USERPROFILE%\AppData\Local\Temp\OnboardLogs" /stypes="*4032*201609222*" /stext=" 23:.+((SYSTEM_STATE.+slice.+state.+changed )|(ment ac)|(system.+state.+changed )|(\|lc)|(penalty)|(\[timeout)|(PRM\|1\|D)|(kpr)|(kdp))" /e /r /s</v>
      </c>
      <c r="U30" s="9" t="str">
        <f t="shared" si="2"/>
        <v>4032</v>
      </c>
      <c r="V30" s="38">
        <f t="shared" si="3"/>
        <v>42635.959479166668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{"issue":{"subject":"Pena 4S STOP, cleared afterward","project_id":79,"tracker_id":40,"status_id":1,"priority_id":2,"assigned_to_id":23,"start_date":"2016-09-22","description":"","custom_fields":[{"id":1,"name":"Subdivision","value":"EC"},{"id":4,"name":"Milepost","value":"19.1723"},{"id":17,"name":"Train ID","value":"200-22"},{"id":16,"name":"Locomotive ID","value":"4032"},{"id":130,"name":"Impact","value":""},{"id":150,"name":"Time of Event (Mountain Time)","value":"17:01:39"},{"id":151,"name":"Denver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"%USERPROFILE%\AppData\Local\Temp\OnboardLogs"\RTDC4032\*4032*201609222* | grep -SE "((Enforcement Ac)|(PRM))" -</v>
      </c>
    </row>
    <row r="31" spans="1:29" ht="15" customHeight="1" x14ac:dyDescent="0.25">
      <c r="A31" s="38">
        <v>42635.601793981485</v>
      </c>
      <c r="B31" s="33" t="s">
        <v>422</v>
      </c>
      <c r="C31" s="33" t="s">
        <v>506</v>
      </c>
      <c r="D31" s="33" t="s">
        <v>49</v>
      </c>
      <c r="E31" s="33" t="s">
        <v>54</v>
      </c>
      <c r="F31" s="49">
        <v>0</v>
      </c>
      <c r="G31" s="49">
        <v>127</v>
      </c>
      <c r="H31" s="49">
        <v>232496</v>
      </c>
      <c r="I31" s="49">
        <v>232266</v>
      </c>
      <c r="J31" s="33" t="s">
        <v>55</v>
      </c>
      <c r="K31" s="49">
        <v>231650</v>
      </c>
      <c r="L31" s="150" t="s">
        <v>53</v>
      </c>
      <c r="M31" s="153">
        <f t="shared" si="0"/>
        <v>325.24799999999999</v>
      </c>
      <c r="N31" s="92" t="str">
        <f>VLOOKUP(C31,'Trips&amp;Operators'!$C$1:$E$99999,3,FALSE)</f>
        <v>NEWELL</v>
      </c>
      <c r="O31" s="174" t="s">
        <v>86</v>
      </c>
      <c r="P31" s="10" t="s">
        <v>762</v>
      </c>
      <c r="Q31" s="33"/>
      <c r="R31" s="108" t="str">
        <f>VLOOKUP(C31,'Train Runs'!$A$13:$AE$10010,31,0)</f>
        <v>aws s3 cp s3://rtdc.mdm.uploadarchive/RTDC4030/2016-09-22/ "%USERPROFILE%\AppData\Local\Temp\OnboardLogs"\RTDC4030\2016-09-22 --recursive &amp; "%USERPROFILE%\Documents\GitHub\mrs-test-scripts\Headless Mode &amp; Sideloading\WalkAndUnGZ.bat" "%USERPROFILE%\AppData\Local\Temp\OnboardLogs"\RTDC4030\2016-09-22 &amp; 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</v>
      </c>
      <c r="S31" s="111" t="str">
        <f>VLOOKUP(C31,'Train Runs'!$A$13:$AE$10010,22,0)</f>
        <v>https://search-rtdc-monitor-bjffxe2xuh6vdkpspy63sjmuny.us-east-1.es.amazonaws.com/_plugin/kibana/#/discover/Steve-Slow-Train-Analysis-(2080s-and-2083s)?_g=(refreshInterval:(display:Off,section:0,value:0),time:(from:'2016-09-22 13:08:19-0600',mode:absolute,to:'2016-09-22 16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31" s="113" t="str">
        <f t="shared" si="1"/>
        <v>"C:\Program Files (x86)\AstroGrep\AstroGrep.exe" /spath="%USERPROFILE%\AppData\Local\Temp\OnboardLogs" /stypes="*4030*201609222*" /stext=" 20:.+((SYSTEM_STATE.+slice.+state.+changed )|(ment ac)|(system.+state.+changed )|(\|lc)|(penalty)|(\[timeout)|(PRM\|1\|D)|(kpr)|(kdp))" /e /r /s</v>
      </c>
      <c r="U31" s="9" t="str">
        <f t="shared" si="2"/>
        <v>4030</v>
      </c>
      <c r="V31" s="38">
        <f t="shared" si="3"/>
        <v>42635.851793981485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{"issue":{"subject":"DIA 4S STOP, cleared afterward","project_id":79,"tracker_id":40,"status_id":1,"priority_id":2,"assigned_to_id":23,"start_date":"2016-09-22","description":"","custom_fields":[{"id":1,"name":"Subdivision","value":"EC"},{"id":4,"name":"Milepost","value":"23.165"},{"id":17,"name":"Train ID","value":"180-22"},{"id":16,"name":"Locomotive ID","value":"4030"},{"id":130,"name":"Impact","value":""},{"id":150,"name":"Time of Event (Mountain Time)","value":"14:26:35"},{"id":151,"name":"Denver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"%USERPROFILE%\AppData\Local\Temp\OnboardLogs"\RTDC4030\*4030*201609222* | grep -SE "((Enforcement Ac)|(PRM))" -</v>
      </c>
    </row>
    <row r="32" spans="1:29" x14ac:dyDescent="0.25">
      <c r="A32" s="38">
        <v>42635.524224537039</v>
      </c>
      <c r="B32" s="33" t="s">
        <v>249</v>
      </c>
      <c r="C32" s="33" t="s">
        <v>480</v>
      </c>
      <c r="D32" s="33" t="s">
        <v>49</v>
      </c>
      <c r="E32" s="33" t="s">
        <v>50</v>
      </c>
      <c r="F32" s="49">
        <v>0</v>
      </c>
      <c r="G32" s="49">
        <v>63</v>
      </c>
      <c r="H32" s="49">
        <v>211</v>
      </c>
      <c r="I32" s="49">
        <v>149</v>
      </c>
      <c r="J32" s="33" t="s">
        <v>51</v>
      </c>
      <c r="K32" s="49">
        <v>1</v>
      </c>
      <c r="L32" s="150" t="s">
        <v>53</v>
      </c>
      <c r="M32" s="153">
        <f t="shared" si="0"/>
        <v>78.144000000000005</v>
      </c>
      <c r="N32" s="92" t="str">
        <f>VLOOKUP(C32,'Trips&amp;Operators'!$C$1:$E$99999,3,FALSE)</f>
        <v>STAMBAUGH</v>
      </c>
      <c r="O32" s="174" t="s">
        <v>86</v>
      </c>
      <c r="P32" s="10"/>
      <c r="Q32" s="33"/>
      <c r="R32" s="108" t="str">
        <f>VLOOKUP(C32,'Train Runs'!$A$13:$AE$10010,31,0)</f>
        <v>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 &amp; aws s3 cp s3://rtdc.mdm.uploadarchive/RTDC4045/2016-09-23/ "%USERPROFILE%\AppData\Local\Temp\OnboardLogs"\RTDC4045\2016-09-23 --recursive &amp; "%USERPROFILE%\Documents\GitHub\mrs-test-scripts\Headless Mode &amp; Sideloading\WalkAndUnGZ.bat" "%USERPROFILE%\AppData\Local\Temp\OnboardLogs"\RTDC4045\2016-09-23</v>
      </c>
      <c r="S32" s="111" t="str">
        <f>VLOOKUP(C32,'Train Runs'!$A$13:$AE$10010,22,0)</f>
        <v>https://search-rtdc-monitor-bjffxe2xuh6vdkpspy63sjmuny.us-east-1.es.amazonaws.com/_plugin/kibana/#/discover/Steve-Slow-Train-Analysis-(2080s-and-2083s)?_g=(refreshInterval:(display:Off,section:0,value:0),time:(from:'2016-09-22 10:50:39-0600',mode:absolute,to:'2016-09-22 13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2" s="113" t="str">
        <f t="shared" si="1"/>
        <v>"C:\Program Files (x86)\AstroGrep\AstroGrep.exe" /spath="%USERPROFILE%\AppData\Local\Temp\OnboardLogs" /stypes="*4045*201609221*" /stext=" 18:.+((SYSTEM_STATE.+slice.+state.+changed )|(ment ac)|(system.+state.+changed )|(\|lc)|(penalty)|(\[timeout)|(PRM\|1\|D)|(kpr)|(kdp))" /e /r /s</v>
      </c>
      <c r="U32" s="9" t="str">
        <f t="shared" si="2"/>
        <v>4045</v>
      </c>
      <c r="V32" s="38">
        <f t="shared" si="3"/>
        <v>42635.774224537039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{"issue":{"subject":"","project_id":79,"tracker_id":40,"status_id":1,"priority_id":2,"assigned_to_id":23,"start_date":"2016-09-22","description":"","custom_fields":[{"id":1,"name":"Subdivision","value":"EC"},{"id":4,"name":"Milepost","value":"0.0001"},{"id":17,"name":"Train ID","value":"160-22"},{"id":16,"name":"Locomotive ID","value":"4045"},{"id":130,"name":"Impact","value":""},{"id":150,"name":"Time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"%USERPROFILE%\AppData\Local\Temp\OnboardLogs"\RTDC4045\*4045*201609221* | grep -SE "((Enforcement Ac)|(PRM))" -</v>
      </c>
    </row>
    <row r="33" spans="1:29" ht="15" customHeight="1" x14ac:dyDescent="0.25">
      <c r="A33" s="38">
        <v>42635.189340277779</v>
      </c>
      <c r="B33" s="33" t="s">
        <v>181</v>
      </c>
      <c r="C33" s="33" t="s">
        <v>389</v>
      </c>
      <c r="D33" s="33" t="s">
        <v>49</v>
      </c>
      <c r="E33" s="33" t="s">
        <v>50</v>
      </c>
      <c r="F33" s="49">
        <v>0</v>
      </c>
      <c r="G33" s="49">
        <v>77</v>
      </c>
      <c r="H33" s="49">
        <v>233185</v>
      </c>
      <c r="I33" s="49">
        <v>233347</v>
      </c>
      <c r="J33" s="33" t="s">
        <v>51</v>
      </c>
      <c r="K33" s="49">
        <v>233491</v>
      </c>
      <c r="L33" s="150" t="s">
        <v>52</v>
      </c>
      <c r="M33" s="153">
        <f t="shared" si="0"/>
        <v>76.031999999999996</v>
      </c>
      <c r="N33" s="92" t="str">
        <f>VLOOKUP(C33,'Trips&amp;Operators'!$C$1:$E$99999,3,FALSE)</f>
        <v>SPECTOR</v>
      </c>
      <c r="O33" s="174" t="s">
        <v>86</v>
      </c>
      <c r="P33" s="10"/>
      <c r="Q33" s="33"/>
      <c r="R33" s="108" t="str">
        <f>VLOOKUP(C33,'Train Runs'!$A$13:$AE$10010,31,0)</f>
        <v>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 &amp; aws s3 cp s3://rtdc.mdm.uploadarchive/RTDC4046/2016-09-23/ "%USERPROFILE%\AppData\Local\Temp\OnboardLogs"\RTDC4046\2016-09-23 --recursive &amp; "%USERPROFILE%\Documents\GitHub\mrs-test-scripts\Headless Mode &amp; Sideloading\WalkAndUnGZ.bat" "%USERPROFILE%\AppData\Local\Temp\OnboardLogs"\RTDC4046\2016-09-23</v>
      </c>
      <c r="S33" s="111" t="str">
        <f>VLOOKUP(C33,'Train Runs'!$A$13:$AE$10010,22,0)</f>
        <v>https://search-rtdc-monitor-bjffxe2xuh6vdkpspy63sjmuny.us-east-1.es.amazonaws.com/_plugin/kibana/#/discover/Steve-Slow-Train-Analysis-(2080s-and-2083s)?_g=(refreshInterval:(display:Off,section:0,value:0),time:(from:'2016-09-22 02:36:39-0600',mode:absolute,to:'2016-09-22 05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33" s="113" t="str">
        <f t="shared" si="1"/>
        <v>"C:\Program Files (x86)\AstroGrep\AstroGrep.exe" /spath="%USERPROFILE%\AppData\Local\Temp\OnboardLogs" /stypes="*4046*201609221*" /stext=" 10:.+((SYSTEM_STATE.+slice.+state.+changed )|(ment ac)|(system.+state.+changed )|(\|lc)|(penalty)|(\[timeout)|(PRM\|1\|D)|(kpr)|(kdp))" /e /r /s</v>
      </c>
      <c r="U33" s="9" t="str">
        <f t="shared" si="2"/>
        <v>4046</v>
      </c>
      <c r="V33" s="38">
        <f t="shared" si="3"/>
        <v>42635.439340277779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{"issue":{"subject":"","project_id":79,"tracker_id":40,"status_id":1,"priority_id":2,"assigned_to_id":23,"start_date":"2016-09-22","description":"","custom_fields":[{"id":1,"name":"Subdivision","value":"EC"},{"id":4,"name":"Milepost","value":"23.3491"},{"id":17,"name":"Train ID","value":"103-22"},{"id":16,"name":"Locomotive ID","value":"4046"},{"id":130,"name":"Impact","value":""},{"id":150,"name":"Time of Event (Mountain Time)","value":"04:32:39"},{"id":151,"name":"Denver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"%USERPROFILE%\AppData\Local\Temp\OnboardLogs"\RTDC4046\*4046*201609221* | grep -SE "((Enforcement Ac)|(PRM))" -</v>
      </c>
    </row>
    <row r="34" spans="1:29" x14ac:dyDescent="0.25">
      <c r="A34" s="38">
        <v>42635.90184027778</v>
      </c>
      <c r="B34" s="33" t="s">
        <v>276</v>
      </c>
      <c r="C34" s="33" t="s">
        <v>583</v>
      </c>
      <c r="D34" s="33" t="s">
        <v>49</v>
      </c>
      <c r="E34" s="33" t="s">
        <v>50</v>
      </c>
      <c r="F34" s="49">
        <v>0</v>
      </c>
      <c r="G34" s="49">
        <v>58</v>
      </c>
      <c r="H34" s="49">
        <v>233291</v>
      </c>
      <c r="I34" s="49">
        <v>233342</v>
      </c>
      <c r="J34" s="33" t="s">
        <v>51</v>
      </c>
      <c r="K34" s="49">
        <v>233491</v>
      </c>
      <c r="L34" s="150" t="s">
        <v>52</v>
      </c>
      <c r="M34" s="153">
        <f t="shared" si="0"/>
        <v>78.671999999999997</v>
      </c>
      <c r="N34" s="92" t="str">
        <f>VLOOKUP(C34,'Trips&amp;Operators'!$C$1:$E$99999,3,FALSE)</f>
        <v>LEVERE</v>
      </c>
      <c r="O34" s="174" t="s">
        <v>86</v>
      </c>
      <c r="P34" s="10"/>
      <c r="Q34" s="33"/>
      <c r="R34" s="108" t="str">
        <f>VLOOKUP(C34,'Train Runs'!$A$13:$AE$10010,31,0)</f>
        <v>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 &amp; aws s3 cp s3://rtdc.mdm.uploadarchive/RTDC4002/2016-09-23/ "%USERPROFILE%\AppData\Local\Temp\OnboardLogs"\RTDC4002\2016-09-23 --recursive &amp; "%USERPROFILE%\Documents\GitHub\mrs-test-scripts\Headless Mode &amp; Sideloading\WalkAndUnGZ.bat" "%USERPROFILE%\AppData\Local\Temp\OnboardLogs"\RTDC4002\2016-09-23</v>
      </c>
      <c r="S34" s="111" t="str">
        <f>VLOOKUP(C34,'Train Runs'!$A$13:$AE$10010,22,0)</f>
        <v>https://search-rtdc-monitor-bjffxe2xuh6vdkpspy63sjmuny.us-east-1.es.amazonaws.com/_plugin/kibana/#/discover/Steve-Slow-Train-Analysis-(2080s-and-2083s)?_g=(refreshInterval:(display:Off,section:0,value:0),time:(from:'2016-09-22 19:49:46-0600',mode:absolute,to:'2016-09-22 22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4" s="113" t="str">
        <f t="shared" si="1"/>
        <v>"C:\Program Files (x86)\AstroGrep\AstroGrep.exe" /spath="%USERPROFILE%\AppData\Local\Temp\OnboardLogs" /stypes="*4002*201609230*" /stext=" 03:.+((SYSTEM_STATE.+slice.+state.+changed )|(ment ac)|(system.+state.+changed )|(\|lc)|(penalty)|(\[timeout)|(PRM\|1\|D)|(kpr)|(kdp))" /e /r /s</v>
      </c>
      <c r="U34" s="9" t="str">
        <f t="shared" si="2"/>
        <v>4002</v>
      </c>
      <c r="V34" s="38">
        <f t="shared" si="3"/>
        <v>42636.15184027778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{"issue":{"subject":"","project_id":79,"tracker_id":40,"status_id":1,"priority_id":2,"assigned_to_id":23,"start_date":"2016-09-22","description":"","custom_fields":[{"id":1,"name":"Subdivision","value":"EC"},{"id":4,"name":"Milepost","value":"23.3491"},{"id":17,"name":"Train ID","value":"229-22"},{"id":16,"name":"Locomotive ID","value":"4002"},{"id":130,"name":"Impact","value":""},{"id":150,"name":"Time of Event (Mountain Time)","value":"21:38:39"},{"id":151,"name":"Denver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"%USERPROFILE%\AppData\Local\Temp\OnboardLogs"\RTDC4002\*4002*201609230* | grep -SE "((Enforcement Ac)|(PRM))" -</v>
      </c>
    </row>
    <row r="35" spans="1:29" x14ac:dyDescent="0.25">
      <c r="A35" s="38">
        <v>42635.742372685185</v>
      </c>
      <c r="B35" s="33" t="s">
        <v>172</v>
      </c>
      <c r="C35" s="33" t="s">
        <v>549</v>
      </c>
      <c r="D35" s="33" t="s">
        <v>105</v>
      </c>
      <c r="E35" s="33" t="s">
        <v>56</v>
      </c>
      <c r="F35" s="49">
        <v>300</v>
      </c>
      <c r="G35" s="49">
        <v>350</v>
      </c>
      <c r="H35" s="49">
        <v>21024</v>
      </c>
      <c r="I35" s="49">
        <v>20214</v>
      </c>
      <c r="J35" s="33" t="s">
        <v>57</v>
      </c>
      <c r="K35" s="49">
        <v>23561</v>
      </c>
      <c r="L35" s="150" t="s">
        <v>53</v>
      </c>
      <c r="M35" s="153">
        <f t="shared" si="0"/>
        <v>-1767.2159999999999</v>
      </c>
      <c r="N35" s="92" t="str">
        <f>VLOOKUP(C35,'Trips&amp;Operators'!$C$1:$E$99999,3,FALSE)</f>
        <v>HELVIE</v>
      </c>
      <c r="O35" s="174" t="s">
        <v>86</v>
      </c>
      <c r="P35" s="10"/>
      <c r="Q35" s="33"/>
      <c r="R35" s="108" t="str">
        <f>VLOOKUP(C35,'Train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35" s="111" t="str">
        <f>VLOOKUP(C35,'Train Runs'!$A$13:$AE$10010,22,0)</f>
        <v>https://search-rtdc-monitor-bjffxe2xuh6vdkpspy63sjmuny.us-east-1.es.amazonaws.com/_plugin/kibana/#/discover/Steve-Slow-Train-Analysis-(2080s-and-2083s)?_g=(refreshInterval:(display:Off,section:0,value:0),time:(from:'2016-09-22 16:37:35-0600',mode:absolute,to:'2016-09-22 18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5" s="113" t="str">
        <f t="shared" si="1"/>
        <v>"C:\Program Files (x86)\AstroGrep\AstroGrep.exe" /spath="%USERPROFILE%\AppData\Local\Temp\OnboardLogs" /stypes="*4026*201609222*" /stext=" 23:.+((SYSTEM_STATE.+slice.+state.+changed )|(ment ac)|(system.+state.+changed )|(\|lc)|(penalty)|(\[timeout)|(PRM\|1\|D)|(kpr)|(kdp))" /e /r /s</v>
      </c>
      <c r="U35" s="9" t="str">
        <f t="shared" si="2"/>
        <v>4026</v>
      </c>
      <c r="V35" s="38">
        <f t="shared" si="3"/>
        <v>42635.992372685185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{"issue":{"subject":"","project_id":79,"tracker_id":40,"status_id":1,"priority_id":2,"assigned_to_id":23,"start_date":"2016-09-22","description":"","custom_fields":[{"id":1,"name":"Subdivision","value":"NW"},{"id":4,"name":"Milepost","value":"2.3561"},{"id":17,"name":"Train ID","value":"834-22"},{"id":16,"name":"Locomotive ID","value":"4026"},{"id":130,"name":"Impact","value":""},{"id":150,"name":"Time of Event (Mountain Time)","value":"17:49:01"},{"id":151,"name":"Denver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"%USERPROFILE%\AppData\Local\Temp\OnboardLogs"\RTDC4026\*4026*201609222* | grep -SE "((Enforcement Ac)|(PRM))" -</v>
      </c>
    </row>
    <row r="36" spans="1:29" x14ac:dyDescent="0.25">
      <c r="A36" s="38">
        <v>42635.303101851852</v>
      </c>
      <c r="B36" s="33" t="s">
        <v>261</v>
      </c>
      <c r="C36" s="33" t="s">
        <v>426</v>
      </c>
      <c r="D36" s="33" t="s">
        <v>105</v>
      </c>
      <c r="E36" s="33" t="s">
        <v>56</v>
      </c>
      <c r="F36" s="49">
        <v>400</v>
      </c>
      <c r="G36" s="49">
        <v>460</v>
      </c>
      <c r="H36" s="49">
        <v>39180</v>
      </c>
      <c r="I36" s="49">
        <v>37883</v>
      </c>
      <c r="J36" s="33" t="s">
        <v>57</v>
      </c>
      <c r="K36" s="49">
        <v>40977</v>
      </c>
      <c r="L36" s="150" t="s">
        <v>53</v>
      </c>
      <c r="M36" s="153">
        <f t="shared" si="0"/>
        <v>-1633.6320000000001</v>
      </c>
      <c r="N36" s="92" t="str">
        <f>VLOOKUP(C36,'Trips&amp;Operators'!$C$1:$E$99999,3,FALSE)</f>
        <v>YORK</v>
      </c>
      <c r="O36" s="174" t="s">
        <v>86</v>
      </c>
      <c r="P36" s="10"/>
      <c r="Q36" s="33"/>
      <c r="R36" s="108" t="str">
        <f>VLOOKUP(C36,'Train Runs'!$A$13:$AE$10010,31,0)</f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S36" s="111" t="str">
        <f>VLOOKUP(C36,'Train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06:08:44-0600',mode:absolute,to:'2016-09-22 08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6" s="113" t="str">
        <f t="shared" si="1"/>
        <v>"C:\Program Files (x86)\AstroGrep\AstroGrep.exe" /spath="%USERPROFILE%\AppData\Local\Temp\OnboardLogs" /stypes="*4012*201609221*" /stext=" 13:.+((SYSTEM_STATE.+slice.+state.+changed )|(ment ac)|(system.+state.+changed )|(\|lc)|(penalty)|(\[timeout)|(PRM\|1\|D)|(kpr)|(kdp))" /e /r /s</v>
      </c>
      <c r="U36" s="9" t="str">
        <f t="shared" si="2"/>
        <v>4012</v>
      </c>
      <c r="V36" s="38">
        <f t="shared" si="3"/>
        <v>42635.553101851852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{"issue":{"subject":"","project_id":79,"tracker_id":40,"status_id":1,"priority_id":2,"assigned_to_id":23,"start_date":"2016-09-22","description":"","custom_fields":[{"id":1,"name":"Subdivision","value":"NW"},{"id":4,"name":"Milepost","value":"4.0977"},{"id":17,"name":"Train ID","value":"806-22"},{"id":16,"name":"Locomotive ID","value":"4012"},{"id":130,"name":"Impact","value":""},{"id":150,"name":"Time of Event (Mountain Time)","value":"07:16:28"},{"id":151,"name":"Denver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"%USERPROFILE%\AppData\Local\Temp\OnboardLogs"\RTDC4012\*4012*201609221* | grep -SE "((Enforcement Ac)|(PRM))" -</v>
      </c>
    </row>
    <row r="37" spans="1:29" ht="15" customHeight="1" x14ac:dyDescent="0.25">
      <c r="A37" s="38">
        <v>42635.480729166666</v>
      </c>
      <c r="B37" s="33" t="s">
        <v>171</v>
      </c>
      <c r="C37" s="33" t="s">
        <v>474</v>
      </c>
      <c r="D37" s="33" t="s">
        <v>49</v>
      </c>
      <c r="E37" s="33" t="s">
        <v>56</v>
      </c>
      <c r="F37" s="49">
        <v>150</v>
      </c>
      <c r="G37" s="49">
        <v>284</v>
      </c>
      <c r="H37" s="49">
        <v>56386</v>
      </c>
      <c r="I37" s="49">
        <v>56841</v>
      </c>
      <c r="J37" s="33" t="s">
        <v>57</v>
      </c>
      <c r="K37" s="49">
        <v>57008</v>
      </c>
      <c r="L37" s="150" t="s">
        <v>52</v>
      </c>
      <c r="M37" s="153">
        <f t="shared" si="0"/>
        <v>88.176000000000002</v>
      </c>
      <c r="N37" s="92" t="str">
        <f>VLOOKUP(C37,'Trips&amp;Operators'!$C$1:$E$99999,3,FALSE)</f>
        <v>GEBRETEKLE</v>
      </c>
      <c r="O37" s="174" t="s">
        <v>86</v>
      </c>
      <c r="P37" s="10"/>
      <c r="Q37" s="33"/>
      <c r="R37" s="108" t="str">
        <f>VLOOKUP(C37,'Train Runs'!$A$13:$AE$10010,31,0)</f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S37" s="111" t="str">
        <f>VLOOKUP(C37,'Train Runs'!$A$13:$AE$10010,22,0)</f>
        <v>https://search-rtdc-monitor-bjffxe2xuh6vdkpspy63sjmuny.us-east-1.es.amazonaws.com/_plugin/kibana/#/discover/Steve-Slow-Train-Analysis-(2080s-and-2083s)?_g=(refreshInterval:(display:Off,section:0,value:0),time:(from:'2016-09-22 10:12:32-0600',mode:absolute,to:'2016-09-22 12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7" s="113" t="str">
        <f t="shared" si="1"/>
        <v>"C:\Program Files (x86)\AstroGrep\AstroGrep.exe" /spath="%USERPROFILE%\AppData\Local\Temp\OnboardLogs" /stypes="*4025*201609221*" /stext=" 17:.+((SYSTEM_STATE.+slice.+state.+changed )|(ment ac)|(system.+state.+changed )|(\|lc)|(penalty)|(\[timeout)|(PRM\|1\|D)|(kpr)|(kdp))" /e /r /s</v>
      </c>
      <c r="U37" s="9" t="str">
        <f t="shared" si="2"/>
        <v>4025</v>
      </c>
      <c r="V37" s="38">
        <f t="shared" si="3"/>
        <v>42635.730729166666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{"issue":{"subject":"","project_id":79,"tracker_id":40,"status_id":1,"priority_id":2,"assigned_to_id":23,"start_date":"2016-09-22","description":"","custom_fields":[{"id":1,"name":"Subdivision","value":"NW"},{"id":4,"name":"Milepost","value":"5.7008"},{"id":17,"name":"Train ID","value":"817-22"},{"id":16,"name":"Locomotive ID","value":"4025"},{"id":130,"name":"Impact","value":""},{"id":150,"name":"Time of Event (Mountain Time)","value":"11:32:15"},{"id":151,"name":"Denver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"%USERPROFILE%\AppData\Local\Temp\OnboardLogs"\RTDC4025\*4025*201609221* | grep -SE "((Enforcement Ac)|(PRM))" -</v>
      </c>
    </row>
    <row r="38" spans="1:29" x14ac:dyDescent="0.25">
      <c r="A38" s="38">
        <v>42635.564155092594</v>
      </c>
      <c r="B38" s="33" t="s">
        <v>171</v>
      </c>
      <c r="C38" s="33" t="s">
        <v>497</v>
      </c>
      <c r="D38" s="33" t="s">
        <v>49</v>
      </c>
      <c r="E38" s="33" t="s">
        <v>56</v>
      </c>
      <c r="F38" s="49">
        <v>150</v>
      </c>
      <c r="G38" s="49">
        <v>292</v>
      </c>
      <c r="H38" s="49">
        <v>56460</v>
      </c>
      <c r="I38" s="49">
        <v>56950</v>
      </c>
      <c r="J38" s="33" t="s">
        <v>57</v>
      </c>
      <c r="K38" s="49">
        <v>57008</v>
      </c>
      <c r="L38" s="150" t="s">
        <v>52</v>
      </c>
      <c r="M38" s="153">
        <f t="shared" si="0"/>
        <v>30.623999999999999</v>
      </c>
      <c r="N38" s="92" t="str">
        <f>VLOOKUP(C38,'Trips&amp;Operators'!$C$1:$E$99999,3,FALSE)</f>
        <v>HELVIE</v>
      </c>
      <c r="O38" s="174" t="s">
        <v>86</v>
      </c>
      <c r="P38" s="10"/>
      <c r="Q38" s="33"/>
      <c r="R38" s="108" t="str">
        <f>VLOOKUP(C38,'Train Runs'!$A$13:$AE$10010,31,0)</f>
        <v>aws s3 cp s3://rtdc.mdm.uploadarchive/RTDC4025/2016-09-22/ "%USERPROFILE%\AppData\Local\Temp\OnboardLogs"\RTDC4025\2016-09-22 --recursive &amp; "%USERPROFILE%\Documents\GitHub\mrs-test-scripts\Headless Mode &amp; Sideloading\WalkAndUnGZ.bat" "%USERPROFILE%\AppData\Local\Temp\OnboardLogs"\RTDC4025\2016-09-22 &amp; aws s3 cp s3://rtdc.mdm.uploadarchive/RTDC4025/2016-09-23/ "%USERPROFILE%\AppData\Local\Temp\OnboardLogs"\RTDC4025\2016-09-23 --recursive &amp; "%USERPROFILE%\Documents\GitHub\mrs-test-scripts\Headless Mode &amp; Sideloading\WalkAndUnGZ.bat" "%USERPROFILE%\AppData\Local\Temp\OnboardLogs"\RTDC4025\2016-09-23</v>
      </c>
      <c r="S38" s="111" t="str">
        <f>VLOOKUP(C38,'Train Runs'!$A$13:$AE$10010,22,0)</f>
        <v>https://search-rtdc-monitor-bjffxe2xuh6vdkpspy63sjmuny.us-east-1.es.amazonaws.com/_plugin/kibana/#/discover/Steve-Slow-Train-Analysis-(2080s-and-2083s)?_g=(refreshInterval:(display:Off,section:0,value:0),time:(from:'2016-09-22 12:17:10-0600',mode:absolute,to:'2016-09-22 14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8" s="113" t="str">
        <f t="shared" si="1"/>
        <v>"C:\Program Files (x86)\AstroGrep\AstroGrep.exe" /spath="%USERPROFILE%\AppData\Local\Temp\OnboardLogs" /stypes="*4025*201609221*" /stext=" 19:.+((SYSTEM_STATE.+slice.+state.+changed )|(ment ac)|(system.+state.+changed )|(\|lc)|(penalty)|(\[timeout)|(PRM\|1\|D)|(kpr)|(kdp))" /e /r /s</v>
      </c>
      <c r="U38" s="9" t="str">
        <f t="shared" si="2"/>
        <v>4025</v>
      </c>
      <c r="V38" s="38">
        <f t="shared" si="3"/>
        <v>42635.814155092594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{"issue":{"subject":"","project_id":79,"tracker_id":40,"status_id":1,"priority_id":2,"assigned_to_id":23,"start_date":"2016-09-22","description":"","custom_fields":[{"id":1,"name":"Subdivision","value":"NW"},{"id":4,"name":"Milepost","value":"5.7008"},{"id":17,"name":"Train ID","value":"821-22"},{"id":16,"name":"Locomotive ID","value":"4025"},{"id":130,"name":"Impact","value":""},{"id":150,"name":"Time of Event (Mountain Time)","value":"13:32:23"},{"id":151,"name":"Denver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"%USERPROFILE%\AppData\Local\Temp\OnboardLogs"\RTDC4025\*4025*201609221* | grep -SE "((Enforcement Ac)|(PRM))" -</v>
      </c>
    </row>
    <row r="39" spans="1:29" x14ac:dyDescent="0.25">
      <c r="A39" s="38">
        <v>42635.32130787037</v>
      </c>
      <c r="B39" s="33" t="s">
        <v>172</v>
      </c>
      <c r="C39" s="33" t="s">
        <v>433</v>
      </c>
      <c r="D39" s="33" t="s">
        <v>105</v>
      </c>
      <c r="E39" s="33" t="s">
        <v>54</v>
      </c>
      <c r="F39" s="49">
        <v>0</v>
      </c>
      <c r="G39" s="49">
        <v>48</v>
      </c>
      <c r="H39" s="49">
        <v>58021</v>
      </c>
      <c r="I39" s="49">
        <v>57884</v>
      </c>
      <c r="J39" s="33" t="s">
        <v>55</v>
      </c>
      <c r="K39" s="49">
        <v>48761</v>
      </c>
      <c r="L39" s="150" t="s">
        <v>52</v>
      </c>
      <c r="M39" s="153">
        <f t="shared" si="0"/>
        <v>-4816.9440000000004</v>
      </c>
      <c r="N39" s="92" t="str">
        <f>VLOOKUP(C39,'Trips&amp;Operators'!$C$1:$E$99999,3,FALSE)</f>
        <v>GEBRETEKLE</v>
      </c>
      <c r="O39" s="174" t="s">
        <v>86</v>
      </c>
      <c r="P39" s="10" t="s">
        <v>763</v>
      </c>
      <c r="Q39" s="33"/>
      <c r="R39" s="108" t="str">
        <f>VLOOKUP(C39,'Train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39" s="111" t="str">
        <f>VLOOKUP(C39,'Train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06:44:26-0600',mode:absolute,to:'2016-09-22 08:43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9" s="113" t="str">
        <f t="shared" si="1"/>
        <v>"C:\Program Files (x86)\AstroGrep\AstroGrep.exe" /spath="%USERPROFILE%\AppData\Local\Temp\OnboardLogs" /stypes="*4026*201609221*" /stext=" 13:.+((SYSTEM_STATE.+slice.+state.+changed )|(ment ac)|(system.+state.+changed )|(\|lc)|(penalty)|(\[timeout)|(PRM\|1\|D)|(kpr)|(kdp))" /e /r /s</v>
      </c>
      <c r="U39" s="9" t="str">
        <f t="shared" si="2"/>
        <v>4026</v>
      </c>
      <c r="V39" s="38">
        <f t="shared" si="3"/>
        <v>42635.57130787037</v>
      </c>
      <c r="W39" s="52" t="str">
        <f t="shared" si="4"/>
        <v>NW</v>
      </c>
      <c r="X39" s="52" t="str">
        <f t="shared" si="5"/>
        <v>KEEP</v>
      </c>
      <c r="Y39" s="134" t="str">
        <f t="shared" si="6"/>
        <v>echo {"issue":{"subject":"Reverser handle was neutral - caused enforcement","project_id":79,"tracker_id":40,"status_id":1,"priority_id":2,"assigned_to_id":23,"start_date":"2016-09-22","description":"","custom_fields":[{"id":1,"name":"Subdivision","value":"NW"},{"id":4,"name":"Milepost","value":"4.8761"},{"id":17,"name":"Train ID","value":"808-22"},{"id":16,"name":"Locomotive ID","value":"4026"},{"id":130,"name":"Impact","value":""},{"id":150,"name":"Time of Event (Mountain Time)","value":"07:42:41"},{"id":151,"name":"Denver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si="7"/>
        <v>grep -hSE -A100 "Enforcement Action" "%USERPROFILE%\AppData\Local\Temp\OnboardLogs"\RTDC4026\*4026*201609221* | grep -SE "((Enforcement Ac)|(PRM))" -</v>
      </c>
    </row>
    <row r="40" spans="1:29" x14ac:dyDescent="0.25">
      <c r="A40" s="38">
        <v>42635.32167824074</v>
      </c>
      <c r="B40" s="33" t="s">
        <v>172</v>
      </c>
      <c r="C40" s="33" t="s">
        <v>433</v>
      </c>
      <c r="D40" s="33" t="s">
        <v>49</v>
      </c>
      <c r="E40" s="33" t="s">
        <v>54</v>
      </c>
      <c r="F40" s="49">
        <v>0</v>
      </c>
      <c r="G40" s="49">
        <v>32</v>
      </c>
      <c r="H40" s="49">
        <v>57863</v>
      </c>
      <c r="I40" s="49">
        <v>57827</v>
      </c>
      <c r="J40" s="33" t="s">
        <v>55</v>
      </c>
      <c r="K40" s="49">
        <v>57971</v>
      </c>
      <c r="L40" s="150" t="s">
        <v>52</v>
      </c>
      <c r="M40" s="153">
        <f t="shared" si="0"/>
        <v>76.031999999999996</v>
      </c>
      <c r="N40" s="92" t="str">
        <f>VLOOKUP(C40,'Trips&amp;Operators'!$C$1:$E$99999,3,FALSE)</f>
        <v>GEBRETEKLE</v>
      </c>
      <c r="O40" s="174" t="s">
        <v>86</v>
      </c>
      <c r="P40" s="10" t="s">
        <v>763</v>
      </c>
      <c r="Q40" s="33"/>
      <c r="R40" s="108" t="str">
        <f>VLOOKUP(C40,'Train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40" s="111" t="str">
        <f>VLOOKUP(C40,'Train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06:44:26-0600',mode:absolute,to:'2016-09-22 08:43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0" s="113" t="str">
        <f t="shared" si="1"/>
        <v>"C:\Program Files (x86)\AstroGrep\AstroGrep.exe" /spath="%USERPROFILE%\AppData\Local\Temp\OnboardLogs" /stypes="*4026*201609221*" /stext=" 13:.+((SYSTEM_STATE.+slice.+state.+changed )|(ment ac)|(system.+state.+changed )|(\|lc)|(penalty)|(\[timeout)|(PRM\|1\|D)|(kpr)|(kdp))" /e /r /s</v>
      </c>
      <c r="U40" s="9" t="str">
        <f t="shared" si="2"/>
        <v>4026</v>
      </c>
      <c r="V40" s="38">
        <f t="shared" si="3"/>
        <v>42635.57167824074</v>
      </c>
      <c r="W40" s="52" t="str">
        <f t="shared" si="4"/>
        <v>NW</v>
      </c>
      <c r="X40" s="52" t="str">
        <f t="shared" si="5"/>
        <v>KEEP</v>
      </c>
      <c r="Y40" s="134" t="str">
        <f t="shared" si="6"/>
        <v>echo {"issue":{"subject":"Reverser handle was neutral - caused enforcement","project_id":79,"tracker_id":40,"status_id":1,"priority_id":2,"assigned_to_id":23,"start_date":"2016-09-22","description":"","custom_fields":[{"id":1,"name":"Subdivision","value":"NW"},{"id":4,"name":"Milepost","value":"5.7971"},{"id":17,"name":"Train ID","value":"808-22"},{"id":16,"name":"Locomotive ID","value":"4026"},{"id":130,"name":"Impact","value":""},{"id":150,"name":"Time of Event (Mountain Time)","value":"07:43:13"},{"id":151,"name":"Denver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7"/>
        <v>grep -hSE -A100 "Enforcement Action" "%USERPROFILE%\AppData\Local\Temp\OnboardLogs"\RTDC4026\*4026*201609221* | grep -SE "((Enforcement Ac)|(PRM))" -</v>
      </c>
    </row>
    <row r="41" spans="1:29" x14ac:dyDescent="0.25">
      <c r="A41" s="38">
        <v>42635.413287037038</v>
      </c>
      <c r="B41" s="33" t="s">
        <v>172</v>
      </c>
      <c r="C41" s="33" t="s">
        <v>455</v>
      </c>
      <c r="D41" s="33" t="s">
        <v>49</v>
      </c>
      <c r="E41" s="33" t="s">
        <v>50</v>
      </c>
      <c r="F41" s="49">
        <v>0</v>
      </c>
      <c r="G41" s="49">
        <v>63</v>
      </c>
      <c r="H41" s="49">
        <v>778</v>
      </c>
      <c r="I41" s="49">
        <v>724</v>
      </c>
      <c r="J41" s="33" t="s">
        <v>51</v>
      </c>
      <c r="K41" s="49">
        <v>575</v>
      </c>
      <c r="L41" s="150" t="s">
        <v>53</v>
      </c>
      <c r="M41" s="153">
        <f t="shared" si="0"/>
        <v>78.671999999999997</v>
      </c>
      <c r="N41" s="92" t="str">
        <f>VLOOKUP(C41,'Trips&amp;Operators'!$C$1:$E$99999,3,FALSE)</f>
        <v>GEBRETEKLE</v>
      </c>
      <c r="O41" s="174" t="s">
        <v>86</v>
      </c>
      <c r="P41" s="10"/>
      <c r="Q41" s="33"/>
      <c r="R41" s="108" t="str">
        <f>VLOOKUP(C41,'Train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41" s="111" t="str">
        <f>VLOOKUP(C41,'Train Runs'!$A$13:$AE$10010,22,0)</f>
        <v>https://search-rtdc-monitor-bjffxe2xuh6vdkpspy63sjmuny.us-east-1.es.amazonaws.com/_plugin/kibana/#/discover/Steve-Slow-Train-Analysis-(2080s-and-2083s)?_g=(refreshInterval:(display:Off,section:0,value:0),time:(from:'2016-09-22 08:37:54-0600',mode:absolute,to:'2016-09-22 10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1" s="113" t="str">
        <f t="shared" si="1"/>
        <v>"C:\Program Files (x86)\AstroGrep\AstroGrep.exe" /spath="%USERPROFILE%\AppData\Local\Temp\OnboardLogs" /stypes="*4026*201609221*" /stext=" 15:.+((SYSTEM_STATE.+slice.+state.+changed )|(ment ac)|(system.+state.+changed )|(\|lc)|(penalty)|(\[timeout)|(PRM\|1\|D)|(kpr)|(kdp))" /e /r /s</v>
      </c>
      <c r="U41" s="9" t="str">
        <f t="shared" si="2"/>
        <v>4026</v>
      </c>
      <c r="V41" s="38">
        <f t="shared" si="3"/>
        <v>42635.663287037038</v>
      </c>
      <c r="W41" s="52" t="str">
        <f t="shared" si="4"/>
        <v>NW</v>
      </c>
      <c r="X41" s="52" t="str">
        <f t="shared" si="5"/>
        <v>KEEP</v>
      </c>
      <c r="Y41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{"issue":{"subject":"","project_id":79,"tracker_id":40,"status_id":1,"priority_id":2,"assigned_to_id":23,"start_date":"2016-09-22","description":"","custom_fields":[{"id":1,"name":"Subdivision","value":"NW"},{"id":4,"name":"Milepost","value":"0.0575"},{"id":17,"name":"Train ID","value":"814-22"},{"id":16,"name":"Locomotive ID","value":"4026"},{"id":130,"name":"Impact","value":""},{"id":150,"name":"Time of Event (Mountain Time)","value":"09:55:08"},{"id":151,"name":"Denver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7"/>
        <v>grep -hSE -A100 "Enforcement Action" "%USERPROFILE%\AppData\Local\Temp\OnboardLogs"\RTDC4026\*4026*201609221* | grep -SE "((Enforcement Ac)|(PRM))" -</v>
      </c>
    </row>
    <row r="42" spans="1:29" x14ac:dyDescent="0.25">
      <c r="A42" s="38">
        <v>42635.621261574073</v>
      </c>
      <c r="B42" s="33" t="s">
        <v>172</v>
      </c>
      <c r="C42" s="33" t="s">
        <v>511</v>
      </c>
      <c r="D42" s="33" t="s">
        <v>49</v>
      </c>
      <c r="E42" s="33" t="s">
        <v>50</v>
      </c>
      <c r="F42" s="49">
        <v>0</v>
      </c>
      <c r="G42" s="49">
        <v>86</v>
      </c>
      <c r="H42" s="49">
        <v>890</v>
      </c>
      <c r="I42" s="49">
        <v>792</v>
      </c>
      <c r="J42" s="33" t="s">
        <v>51</v>
      </c>
      <c r="K42" s="49">
        <v>575</v>
      </c>
      <c r="L42" s="150" t="s">
        <v>53</v>
      </c>
      <c r="M42" s="153">
        <f t="shared" si="0"/>
        <v>114.57599999999999</v>
      </c>
      <c r="N42" s="92" t="str">
        <f>VLOOKUP(C42,'Trips&amp;Operators'!$C$1:$E$99999,3,FALSE)</f>
        <v>HELVIE</v>
      </c>
      <c r="O42" s="174" t="s">
        <v>86</v>
      </c>
      <c r="P42" s="10"/>
      <c r="Q42" s="33"/>
      <c r="R42" s="108" t="str">
        <f>VLOOKUP(C42,'Train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42" s="111" t="str">
        <f>VLOOKUP(C42,'Train Runs'!$A$13:$AE$10010,22,0)</f>
        <v>https://search-rtdc-monitor-bjffxe2xuh6vdkpspy63sjmuny.us-east-1.es.amazonaws.com/_plugin/kibana/#/discover/Steve-Slow-Train-Analysis-(2080s-and-2083s)?_g=(refreshInterval:(display:Off,section:0,value:0),time:(from:'2016-09-22 13:37:38-0600',mode:absolute,to:'2016-09-22 15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2" s="113" t="str">
        <f t="shared" si="1"/>
        <v>"C:\Program Files (x86)\AstroGrep\AstroGrep.exe" /spath="%USERPROFILE%\AppData\Local\Temp\OnboardLogs" /stypes="*4026*201609222*" /stext=" 20:.+((SYSTEM_STATE.+slice.+state.+changed )|(ment ac)|(system.+state.+changed )|(\|lc)|(penalty)|(\[timeout)|(PRM\|1\|D)|(kpr)|(kdp))" /e /r /s</v>
      </c>
      <c r="U42" s="9" t="str">
        <f t="shared" si="2"/>
        <v>4026</v>
      </c>
      <c r="V42" s="38">
        <f t="shared" si="3"/>
        <v>42635.871261574073</v>
      </c>
      <c r="W42" s="52" t="str">
        <f t="shared" si="4"/>
        <v>NW</v>
      </c>
      <c r="X42" s="52" t="str">
        <f t="shared" si="5"/>
        <v>KEEP</v>
      </c>
      <c r="Y42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{"issue":{"subject":"","project_id":79,"tracker_id":40,"status_id":1,"priority_id":2,"assigned_to_id":23,"start_date":"2016-09-22","description":"","custom_fields":[{"id":1,"name":"Subdivision","value":"NW"},{"id":4,"name":"Milepost","value":"0.0575"},{"id":17,"name":"Train ID","value":"824-22"},{"id":16,"name":"Locomotive ID","value":"4026"},{"id":130,"name":"Impact","value":""},{"id":150,"name":"Time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7"/>
        <v>grep -hSE -A100 "Enforcement Action" "%USERPROFILE%\AppData\Local\Temp\OnboardLogs"\RTDC4026\*4026*201609222* | grep -SE "((Enforcement Ac)|(PRM))" -</v>
      </c>
    </row>
    <row r="43" spans="1:29" x14ac:dyDescent="0.25">
      <c r="A43" s="38">
        <v>42635.68414351852</v>
      </c>
      <c r="B43" s="33" t="s">
        <v>261</v>
      </c>
      <c r="C43" s="33" t="s">
        <v>529</v>
      </c>
      <c r="D43" s="33" t="s">
        <v>49</v>
      </c>
      <c r="E43" s="33" t="s">
        <v>50</v>
      </c>
      <c r="F43" s="49">
        <v>0</v>
      </c>
      <c r="G43" s="49">
        <v>48</v>
      </c>
      <c r="H43" s="49">
        <v>673</v>
      </c>
      <c r="I43" s="49">
        <v>636</v>
      </c>
      <c r="J43" s="33" t="s">
        <v>51</v>
      </c>
      <c r="K43" s="49">
        <v>575</v>
      </c>
      <c r="L43" s="150" t="s">
        <v>53</v>
      </c>
      <c r="M43" s="153">
        <f t="shared" si="0"/>
        <v>32.207999999999998</v>
      </c>
      <c r="N43" s="92" t="str">
        <f>VLOOKUP(C43,'Trips&amp;Operators'!$C$1:$E$99999,3,FALSE)</f>
        <v>YANAI</v>
      </c>
      <c r="O43" s="174" t="s">
        <v>86</v>
      </c>
      <c r="P43" s="10"/>
      <c r="Q43" s="33"/>
      <c r="R43" s="108" t="str">
        <f>VLOOKUP(C43,'Train Runs'!$A$13:$AE$10010,31,0)</f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S43" s="111" t="str">
        <f>VLOOKUP(C43,'Train Runs'!$A$13:$AE$10010,22,0)</f>
        <v>https://search-rtdc-monitor-bjffxe2xuh6vdkpspy63sjmuny.us-east-1.es.amazonaws.com/_plugin/kibana/#/discover/Steve-Slow-Train-Analysis-(2080s-and-2083s)?_g=(refreshInterval:(display:Off,section:0,value:0),time:(from:'2016-09-22 15:05:51-0600',mode:absolute,to:'2016-09-22 17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43" s="113" t="str">
        <f t="shared" si="1"/>
        <v>"C:\Program Files (x86)\AstroGrep\AstroGrep.exe" /spath="%USERPROFILE%\AppData\Local\Temp\OnboardLogs" /stypes="*4012*201609222*" /stext=" 22:.+((SYSTEM_STATE.+slice.+state.+changed )|(ment ac)|(system.+state.+changed )|(\|lc)|(penalty)|(\[timeout)|(PRM\|1\|D)|(kpr)|(kdp))" /e /r /s</v>
      </c>
      <c r="U43" s="9" t="str">
        <f t="shared" si="2"/>
        <v>4012</v>
      </c>
      <c r="V43" s="38">
        <f t="shared" si="3"/>
        <v>42635.93414351852</v>
      </c>
      <c r="W43" s="52" t="str">
        <f t="shared" si="4"/>
        <v>NW</v>
      </c>
      <c r="X43" s="52" t="str">
        <f t="shared" si="5"/>
        <v>KEEP</v>
      </c>
      <c r="Y43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{"issue":{"subject":"","project_id":79,"tracker_id":40,"status_id":1,"priority_id":2,"assigned_to_id":23,"start_date":"2016-09-22","description":"","custom_fields":[{"id":1,"name":"Subdivision","value":"NW"},{"id":4,"name":"Milepost","value":"0.0575"},{"id":17,"name":"Train ID","value":"828-22"},{"id":16,"name":"Locomotive ID","value":"4012"},{"id":130,"name":"Impact","value":""},{"id":150,"name":"Time of Event (Mountain Time)","value":"16:25:10"},{"id":151,"name":"Denver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7"/>
        <v>grep -hSE -A100 "Enforcement Action" "%USERPROFILE%\AppData\Local\Temp\OnboardLogs"\RTDC4012\*4012*201609222* | grep -SE "((Enforcement Ac)|(PRM))" -</v>
      </c>
    </row>
    <row r="44" spans="1:29" x14ac:dyDescent="0.25">
      <c r="A44" s="38">
        <v>42635.767141203702</v>
      </c>
      <c r="B44" s="33" t="s">
        <v>261</v>
      </c>
      <c r="C44" s="33" t="s">
        <v>557</v>
      </c>
      <c r="D44" s="33" t="s">
        <v>49</v>
      </c>
      <c r="E44" s="33" t="s">
        <v>50</v>
      </c>
      <c r="F44" s="49">
        <v>0</v>
      </c>
      <c r="G44" s="49">
        <v>98</v>
      </c>
      <c r="H44" s="49">
        <v>855</v>
      </c>
      <c r="I44" s="49">
        <v>769</v>
      </c>
      <c r="J44" s="33" t="s">
        <v>51</v>
      </c>
      <c r="K44" s="49">
        <v>575</v>
      </c>
      <c r="L44" s="150" t="s">
        <v>53</v>
      </c>
      <c r="M44" s="153">
        <f t="shared" si="0"/>
        <v>102.432</v>
      </c>
      <c r="N44" s="92" t="str">
        <f>VLOOKUP(C44,'Trips&amp;Operators'!$C$1:$E$99999,3,FALSE)</f>
        <v>YANAI</v>
      </c>
      <c r="O44" s="174" t="s">
        <v>86</v>
      </c>
      <c r="P44" s="10"/>
      <c r="Q44" s="33"/>
      <c r="R44" s="108" t="str">
        <f>VLOOKUP(C44,'Train Runs'!$A$13:$AE$10010,31,0)</f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S44" s="111" t="str">
        <f>VLOOKUP(C44,'Train Runs'!$A$13:$AE$10010,22,0)</f>
        <v>https://search-rtdc-monitor-bjffxe2xuh6vdkpspy63sjmuny.us-east-1.es.amazonaws.com/_plugin/kibana/#/discover/Steve-Slow-Train-Analysis-(2080s-and-2083s)?_g=(refreshInterval:(display:Off,section:0,value:0),time:(from:'2016-09-22 17:06:39-0600',mode:absolute,to:'2016-09-22 19:24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44" s="113" t="str">
        <f t="shared" si="1"/>
        <v>"C:\Program Files (x86)\AstroGrep\AstroGrep.exe" /spath="%USERPROFILE%\AppData\Local\Temp\OnboardLogs" /stypes="*4012*201609230*" /stext=" 00:.+((SYSTEM_STATE.+slice.+state.+changed )|(ment ac)|(system.+state.+changed )|(\|lc)|(penalty)|(\[timeout)|(PRM\|1\|D)|(kpr)|(kdp))" /e /r /s</v>
      </c>
      <c r="U44" s="9" t="str">
        <f t="shared" si="2"/>
        <v>4012</v>
      </c>
      <c r="V44" s="38">
        <f t="shared" si="3"/>
        <v>42636.017141203702</v>
      </c>
      <c r="W44" s="52" t="str">
        <f t="shared" si="4"/>
        <v>NW</v>
      </c>
      <c r="X44" s="52" t="str">
        <f t="shared" si="5"/>
        <v>KEEP</v>
      </c>
      <c r="Y44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{"issue":{"subject":"","project_id":79,"tracker_id":40,"status_id":1,"priority_id":2,"assigned_to_id":23,"start_date":"2016-09-22","description":"","custom_fields":[{"id":1,"name":"Subdivision","value":"NW"},{"id":4,"name":"Milepost","value":"0.0575"},{"id":17,"name":"Train ID","value":"836-22"},{"id":16,"name":"Locomotive ID","value":"4012"},{"id":130,"name":"Impact","value":""},{"id":150,"name":"Time of Event (Mountain Time)","value":"18:24:41"},{"id":151,"name":"Denver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7"/>
        <v>grep -hSE -A100 "Enforcement Action" "%USERPROFILE%\AppData\Local\Temp\OnboardLogs"\RTDC4012\*4012*201609230* | grep -SE "((Enforcement Ac)|(PRM))" -</v>
      </c>
    </row>
    <row r="45" spans="1:29" x14ac:dyDescent="0.25">
      <c r="A45" s="38">
        <v>42635.320057870369</v>
      </c>
      <c r="B45" s="33" t="s">
        <v>172</v>
      </c>
      <c r="C45" s="33" t="s">
        <v>433</v>
      </c>
      <c r="D45" s="33" t="s">
        <v>49</v>
      </c>
      <c r="E45" s="33" t="s">
        <v>50</v>
      </c>
      <c r="F45" s="49">
        <v>0</v>
      </c>
      <c r="G45" s="49">
        <v>94</v>
      </c>
      <c r="H45" s="49">
        <v>58337</v>
      </c>
      <c r="I45" s="49">
        <v>58566</v>
      </c>
      <c r="J45" s="33" t="s">
        <v>51</v>
      </c>
      <c r="K45" s="49">
        <v>59048</v>
      </c>
      <c r="L45" s="150" t="s">
        <v>52</v>
      </c>
      <c r="M45" s="153">
        <f t="shared" si="0"/>
        <v>254.49600000000001</v>
      </c>
      <c r="N45" s="92" t="str">
        <f>VLOOKUP(C45,'Trips&amp;Operators'!$C$1:$E$99999,3,FALSE)</f>
        <v>GEBRETEKLE</v>
      </c>
      <c r="O45" s="174" t="s">
        <v>86</v>
      </c>
      <c r="P45" s="10"/>
      <c r="Q45" s="33"/>
      <c r="R45" s="108" t="str">
        <f>VLOOKUP(C45,'Train Runs'!$A$13:$AE$10010,31,0)</f>
        <v>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 &amp; 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</v>
      </c>
      <c r="S45" s="111" t="str">
        <f>VLOOKUP(C45,'Train Runs'!$A$13:$AE$10010,22,0)</f>
        <v>https://search-rtdc-monitor-bjffxe2xuh6vdkpspy63sjmuny.us-east-1.es.amazonaws.com/_plugin/kibana/#/discover/Steve-Slow-Train-Analysis-(2080s-and-2083s)?_g=(refreshInterval:(display:Off,section:0,value:0),time:(from:'2016-09-22 06:44:26-0600',mode:absolute,to:'2016-09-22 08:43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5" s="113" t="str">
        <f t="shared" si="1"/>
        <v>"C:\Program Files (x86)\AstroGrep\AstroGrep.exe" /spath="%USERPROFILE%\AppData\Local\Temp\OnboardLogs" /stypes="*4026*201609221*" /stext=" 13:.+((SYSTEM_STATE.+slice.+state.+changed )|(ment ac)|(system.+state.+changed )|(\|lc)|(penalty)|(\[timeout)|(PRM\|1\|D)|(kpr)|(kdp))" /e /r /s</v>
      </c>
      <c r="U45" s="9" t="str">
        <f t="shared" si="2"/>
        <v>4026</v>
      </c>
      <c r="V45" s="38">
        <f t="shared" si="3"/>
        <v>42635.570057870369</v>
      </c>
      <c r="W45" s="52" t="str">
        <f t="shared" si="4"/>
        <v>NW</v>
      </c>
      <c r="X45" s="52" t="str">
        <f t="shared" si="5"/>
        <v>KEEP</v>
      </c>
      <c r="Y45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{"issue":{"subject":"","project_id":79,"tracker_id":40,"status_id":1,"priority_id":2,"assigned_to_id":23,"start_date":"2016-09-22","description":"","custom_fields":[{"id":1,"name":"Subdivision","value":"NW"},{"id":4,"name":"Milepost","value":"5.9048"},{"id":17,"name":"Train ID","value":"808-22"},{"id":16,"name":"Locomotive ID","value":"4026"},{"id":130,"name":"Impact","value":""},{"id":150,"name":"Time of Event (Mountain Time)","value":"07:40:53"},{"id":151,"name":"Denver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5" t="str">
        <f t="shared" si="7"/>
        <v>grep -hSE -A100 "Enforcement Action" "%USERPROFILE%\AppData\Local\Temp\OnboardLogs"\RTDC4026\*4026*201609221* | grep -SE "((Enforcement Ac)|(PRM))" -</v>
      </c>
    </row>
    <row r="46" spans="1:29" x14ac:dyDescent="0.25">
      <c r="A46" s="38">
        <v>42635.669131944444</v>
      </c>
      <c r="B46" s="33" t="s">
        <v>260</v>
      </c>
      <c r="C46" s="33" t="s">
        <v>525</v>
      </c>
      <c r="D46" s="33" t="s">
        <v>49</v>
      </c>
      <c r="E46" s="33" t="s">
        <v>50</v>
      </c>
      <c r="F46" s="49">
        <v>0</v>
      </c>
      <c r="G46" s="49">
        <v>157</v>
      </c>
      <c r="H46" s="49">
        <v>58077</v>
      </c>
      <c r="I46" s="49">
        <v>58338</v>
      </c>
      <c r="J46" s="33" t="s">
        <v>51</v>
      </c>
      <c r="K46" s="49">
        <v>59048</v>
      </c>
      <c r="L46" s="150" t="s">
        <v>52</v>
      </c>
      <c r="M46" s="153">
        <f t="shared" si="0"/>
        <v>374.88</v>
      </c>
      <c r="N46" s="92" t="str">
        <f>VLOOKUP(C46,'Trips&amp;Operators'!$C$1:$E$99999,3,FALSE)</f>
        <v>YANAI</v>
      </c>
      <c r="O46" s="174" t="s">
        <v>86</v>
      </c>
      <c r="P46" s="10"/>
      <c r="Q46" s="33"/>
      <c r="R46" s="108" t="str">
        <f>VLOOKUP(C46,'Train Runs'!$A$13:$AE$10010,31,0)</f>
        <v>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 &amp; 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</v>
      </c>
      <c r="S46" s="111" t="str">
        <f>VLOOKUP(C46,'Train Runs'!$A$13:$AE$10010,22,0)</f>
        <v>https://search-rtdc-monitor-bjffxe2xuh6vdkpspy63sjmuny.us-east-1.es.amazonaws.com/_plugin/kibana/#/discover/Steve-Slow-Train-Analysis-(2080s-and-2083s)?_g=(refreshInterval:(display:Off,section:0,value:0),time:(from:'2016-09-22 14:45:54-0600',mode:absolute,to:'2016-09-22 17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6" s="113" t="str">
        <f t="shared" si="1"/>
        <v>"C:\Program Files (x86)\AstroGrep\AstroGrep.exe" /spath="%USERPROFILE%\AppData\Local\Temp\OnboardLogs" /stypes="*4011*201609222*" /stext=" 22:.+((SYSTEM_STATE.+slice.+state.+changed )|(ment ac)|(system.+state.+changed )|(\|lc)|(penalty)|(\[timeout)|(PRM\|1\|D)|(kpr)|(kdp))" /e /r /s</v>
      </c>
      <c r="U46" s="9" t="str">
        <f t="shared" si="2"/>
        <v>4011</v>
      </c>
      <c r="V46" s="38">
        <f t="shared" si="3"/>
        <v>42635.919131944444</v>
      </c>
      <c r="W46" s="52" t="str">
        <f t="shared" si="4"/>
        <v>NW</v>
      </c>
      <c r="X46" s="52" t="str">
        <f t="shared" si="5"/>
        <v>KEEP</v>
      </c>
      <c r="Y46" s="134" t="str">
        <f t="shared" si="6"/>
        <v>echo {"issue":{"subject":"","project_id":79,"tracker_id":40,"status_id":1,"priority_id":2,"assigned_to_id":23,"start_date":"2016-09-22","description":"","custom_fields":[{"id":1,"name":"Subdivision","value":"NW"},{"id":4,"name":"Milepost","value":"5.9048"},{"id":17,"name":"Train ID","value":"827-22"},{"id":16,"name":"Locomotive ID","value":"4011"},{"id":130,"name":"Impact","value":""},{"id":150,"name":"Time of Event (Mountain Time)","value":"16:03:33"},{"id":151,"name":"Denver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5" t="str">
        <f t="shared" si="7"/>
        <v>grep -hSE -A100 "Enforcement Action" "%USERPROFILE%\AppData\Local\Temp\OnboardLogs"\RTDC4011\*4011*201609222* | grep -SE "((Enforcement Ac)|(PRM))" -</v>
      </c>
    </row>
    <row r="47" spans="1:29" x14ac:dyDescent="0.25">
      <c r="A47" s="38">
        <v>42635.448865740742</v>
      </c>
      <c r="B47" s="33" t="s">
        <v>279</v>
      </c>
      <c r="C47" s="33" t="s">
        <v>465</v>
      </c>
      <c r="D47" s="33" t="s">
        <v>49</v>
      </c>
      <c r="E47" s="33" t="s">
        <v>50</v>
      </c>
      <c r="F47" s="49">
        <v>0</v>
      </c>
      <c r="G47" s="49">
        <v>41</v>
      </c>
      <c r="H47" s="49">
        <v>111</v>
      </c>
      <c r="I47" s="49">
        <v>82</v>
      </c>
      <c r="J47" s="33" t="s">
        <v>51</v>
      </c>
      <c r="K47" s="49">
        <v>1</v>
      </c>
      <c r="L47" s="150" t="s">
        <v>53</v>
      </c>
      <c r="M47" s="153">
        <f t="shared" si="0"/>
        <v>42.768000000000001</v>
      </c>
      <c r="N47" s="92" t="str">
        <f>VLOOKUP(C47,'Trips&amp;Operators'!$C$1:$E$99999,3,FALSE)</f>
        <v>STAMBAUGH</v>
      </c>
      <c r="O47" s="174" t="s">
        <v>86</v>
      </c>
      <c r="P47" s="10"/>
      <c r="Q47" s="33"/>
      <c r="R47" s="108" t="str">
        <f>VLOOKUP(C47,'Train Runs'!$A$13:$AE$10010,31,0)</f>
        <v>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 &amp; aws s3 cp s3://rtdc.mdm.uploadarchive/RTDC4008/2016-09-23/ "%USERPROFILE%\AppData\Local\Temp\OnboardLogs"\RTDC4008\2016-09-23 --recursive &amp; "%USERPROFILE%\Documents\GitHub\mrs-test-scripts\Headless Mode &amp; Sideloading\WalkAndUnGZ.bat" "%USERPROFILE%\AppData\Local\Temp\OnboardLogs"\RTDC4008\2016-09-23</v>
      </c>
      <c r="S47" s="111" t="str">
        <f>VLOOKUP(C47,'Train Runs'!$A$13:$AE$10010,22,0)</f>
        <v>https://search-rtdc-monitor-bjffxe2xuh6vdkpspy63sjmuny.us-east-1.es.amazonaws.com/_plugin/kibana/#/discover/Steve-Slow-Train-Analysis-(2080s-and-2083s)?_g=(refreshInterval:(display:Off,section:0,value:0),time:(from:'2016-09-22 09:36:45-0600',mode:absolute,to:'2016-09-22 11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47" s="113" t="str">
        <f t="shared" si="1"/>
        <v>"C:\Program Files (x86)\AstroGrep\AstroGrep.exe" /spath="%USERPROFILE%\AppData\Local\Temp\OnboardLogs" /stypes="*4008*201609221*" /stext=" 16:.+((SYSTEM_STATE.+slice.+state.+changed )|(ment ac)|(system.+state.+changed )|(\|lc)|(penalty)|(\[timeout)|(PRM\|1\|D)|(kpr)|(kdp))" /e /r /s</v>
      </c>
      <c r="U47" s="9" t="str">
        <f t="shared" si="2"/>
        <v>4008</v>
      </c>
      <c r="V47" s="38">
        <f t="shared" si="3"/>
        <v>42635.698865740742</v>
      </c>
      <c r="W47" s="52" t="str">
        <f t="shared" si="4"/>
        <v>Other</v>
      </c>
      <c r="X47" s="52" t="str">
        <f t="shared" si="5"/>
        <v>KEEP</v>
      </c>
      <c r="Y47" s="134" t="str">
        <f t="shared" si="6"/>
        <v>echo {"issue":{"subject":"","project_id":79,"tracker_id":40,"status_id":1,"priority_id":2,"assigned_to_id":23,"start_date":"2016-09-22","description":"","custom_fields":[{"id":1,"name":"Subdivision","value":"Other"},{"id":4,"name":"Milepost","value":"0.0001"},{"id":17,"name":"Train ID","value":"50-22"},{"id":16,"name":"Locomotive ID","value":"4008"},{"id":130,"name":"Impact","value":""},{"id":150,"name":"Time of Event (Mountain Time)","value":"10:46:22"},{"id":151,"name":"Denver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7"/>
        <v>grep -hSE -A100 "Enforcement Action" "%USERPROFILE%\AppData\Local\Temp\OnboardLogs"\RTDC4008\*4008*201609221* | grep -SE "((Enforcement Ac)|(PRM))" -</v>
      </c>
    </row>
    <row r="48" spans="1:29" x14ac:dyDescent="0.25">
      <c r="A48" s="38">
        <v>42635.642280092594</v>
      </c>
      <c r="B48" s="33" t="s">
        <v>261</v>
      </c>
      <c r="C48" s="33" t="s">
        <v>518</v>
      </c>
      <c r="D48" s="33" t="s">
        <v>49</v>
      </c>
      <c r="E48" s="33" t="s">
        <v>50</v>
      </c>
      <c r="F48" s="49">
        <v>0</v>
      </c>
      <c r="G48" s="49">
        <v>42</v>
      </c>
      <c r="H48" s="49">
        <v>659</v>
      </c>
      <c r="I48" s="49">
        <v>624</v>
      </c>
      <c r="J48" s="33" t="s">
        <v>51</v>
      </c>
      <c r="K48" s="49">
        <v>575</v>
      </c>
      <c r="L48" s="150" t="s">
        <v>53</v>
      </c>
      <c r="M48" s="153">
        <f t="shared" si="0"/>
        <v>25.872</v>
      </c>
      <c r="N48" s="92" t="str">
        <f>VLOOKUP(C48,'Trips&amp;Operators'!$C$1:$E$99999,3,FALSE)</f>
        <v>YANAI</v>
      </c>
      <c r="O48" s="174" t="s">
        <v>86</v>
      </c>
      <c r="P48" s="10"/>
      <c r="Q48" s="33"/>
      <c r="R48" s="108" t="str">
        <f>VLOOKUP(C48,'Train Runs'!$A$13:$AE$10010,31,0)</f>
        <v>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 &amp; 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</v>
      </c>
      <c r="S48" s="111" t="str">
        <f>VLOOKUP(C48,'Train Runs'!$A$13:$AE$10010,22,0)</f>
        <v>https://search-rtdc-monitor-bjffxe2xuh6vdkpspy63sjmuny.us-east-1.es.amazonaws.com/_plugin/kibana/#/discover/Steve-Slow-Train-Analysis-(2080s-and-2083s)?_g=(refreshInterval:(display:Off,section:0,value:0),time:(from:'2016-09-22 14:10:45-0600',mode:absolute,to:'2016-09-22 16:24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48" s="113" t="str">
        <f t="shared" si="1"/>
        <v>"C:\Program Files (x86)\AstroGrep\AstroGrep.exe" /spath="%USERPROFILE%\AppData\Local\Temp\OnboardLogs" /stypes="*4012*201609222*" /stext=" 21:.+((SYSTEM_STATE.+slice.+state.+changed )|(ment ac)|(system.+state.+changed )|(\|lc)|(penalty)|(\[timeout)|(PRM\|1\|D)|(kpr)|(kdp))" /e /r /s</v>
      </c>
      <c r="U48" s="9" t="str">
        <f t="shared" si="2"/>
        <v>4012</v>
      </c>
      <c r="V48" s="38">
        <f t="shared" si="3"/>
        <v>42635.892280092594</v>
      </c>
      <c r="W48" s="52" t="str">
        <f t="shared" si="4"/>
        <v>Other</v>
      </c>
      <c r="X48" s="52" t="str">
        <f t="shared" si="5"/>
        <v>KEEP</v>
      </c>
      <c r="Y48" s="134" t="str">
        <f t="shared" si="6"/>
        <v>echo {"issue":{"subject":"","project_id":79,"tracker_id":40,"status_id":1,"priority_id":2,"assigned_to_id":23,"start_date":"2016-09-22","description":"","custom_fields":[{"id":1,"name":"Subdivision","value":"Other"},{"id":4,"name":"Milepost","value":"0.0575"},{"id":17,"name":"Train ID","value":"904-22"},{"id":16,"name":"Locomotive ID","value":"4012"},{"id":130,"name":"Impact","value":""},{"id":150,"name":"Time of Event (Mountain Time)","value":"15:24:53"},{"id":151,"name":"Denver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7"/>
        <v>grep -hSE -A100 "Enforcement Action" "%USERPROFILE%\AppData\Local\Temp\OnboardLogs"\RTDC4012\*4012*201609222* | grep -SE "((Enforcement Ac)|(PRM))" -</v>
      </c>
    </row>
    <row r="49" spans="1:29" x14ac:dyDescent="0.25">
      <c r="A49" s="38">
        <v>42635.462893518517</v>
      </c>
      <c r="B49" s="33" t="s">
        <v>307</v>
      </c>
      <c r="C49" s="33" t="s">
        <v>469</v>
      </c>
      <c r="D49" s="33" t="s">
        <v>49</v>
      </c>
      <c r="E49" s="33" t="s">
        <v>50</v>
      </c>
      <c r="F49" s="49">
        <v>0</v>
      </c>
      <c r="G49" s="49">
        <v>24</v>
      </c>
      <c r="H49" s="49">
        <v>867</v>
      </c>
      <c r="I49" s="49">
        <v>856</v>
      </c>
      <c r="J49" s="33" t="s">
        <v>51</v>
      </c>
      <c r="K49" s="49">
        <v>826</v>
      </c>
      <c r="L49" s="150" t="s">
        <v>53</v>
      </c>
      <c r="M49" s="153">
        <f t="shared" si="0"/>
        <v>15.84</v>
      </c>
      <c r="N49" s="92" t="str">
        <f>VLOOKUP(C49,'Trips&amp;Operators'!$C$1:$E$99999,3,FALSE)</f>
        <v>NEWELL</v>
      </c>
      <c r="O49" s="174" t="s">
        <v>86</v>
      </c>
      <c r="P49" s="10"/>
      <c r="Q49" s="33"/>
      <c r="R49" s="108" t="str">
        <f>VLOOKUP(C49,'Train Runs'!$A$13:$AE$10010,31,0)</f>
        <v>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 &amp; aws s3 cp s3://rtdc.mdm.uploadarchive/RTDC4005/2016-09-23/ "%USERPROFILE%\AppData\Local\Temp\OnboardLogs"\RTDC4005\2016-09-23 --recursive &amp; "%USERPROFILE%\Documents\GitHub\mrs-test-scripts\Headless Mode &amp; Sideloading\WalkAndUnGZ.bat" "%USERPROFILE%\AppData\Local\Temp\OnboardLogs"\RTDC4005\2016-09-23</v>
      </c>
      <c r="S49" s="111" t="str">
        <f>VLOOKUP(C49,'Train Runs'!$A$13:$AE$10010,22,0)</f>
        <v>https://search-rtdc-monitor-bjffxe2xuh6vdkpspy63sjmuny.us-east-1.es.amazonaws.com/_plugin/kibana/#/discover/Steve-Slow-Train-Analysis-(2080s-and-2083s)?_g=(refreshInterval:(display:Off,section:0,value:0),time:(from:'2016-09-22 09:55:35-0600',mode:absolute,to:'2016-09-22 12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9" s="113" t="str">
        <f t="shared" si="1"/>
        <v>"C:\Program Files (x86)\AstroGrep\AstroGrep.exe" /spath="%USERPROFILE%\AppData\Local\Temp\OnboardLogs" /stypes="*4005*201609221*" /stext=" 17:.+((SYSTEM_STATE.+slice.+state.+changed )|(ment ac)|(system.+state.+changed )|(\|lc)|(penalty)|(\[timeout)|(PRM\|1\|D)|(kpr)|(kdp))" /e /r /s</v>
      </c>
      <c r="U49" s="9" t="str">
        <f t="shared" si="2"/>
        <v>4005</v>
      </c>
      <c r="V49" s="38">
        <f t="shared" si="3"/>
        <v>42635.712893518517</v>
      </c>
      <c r="W49" s="52" t="str">
        <f t="shared" si="4"/>
        <v>Other</v>
      </c>
      <c r="X49" s="52" t="str">
        <f t="shared" si="5"/>
        <v>KEEP</v>
      </c>
      <c r="Y49" s="134" t="str">
        <f t="shared" si="6"/>
        <v>echo {"issue":{"subject":"","project_id":79,"tracker_id":40,"status_id":1,"priority_id":2,"assigned_to_id":23,"start_date":"2016-09-22","description":"","custom_fields":[{"id":1,"name":"Subdivision","value":"Other"},{"id":4,"name":"Milepost","value":"0.0826"},{"id":17,"name":"Train ID","value":"52-22"},{"id":16,"name":"Locomotive ID","value":"4005"},{"id":130,"name":"Impact","value":""},{"id":150,"name":"Time of Event (Mountain Time)","value":"11:06:34"},{"id":151,"name":"Denver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5" t="str">
        <f t="shared" si="7"/>
        <v>grep -hSE -A100 "Enforcement Action" "%USERPROFILE%\AppData\Local\Temp\OnboardLogs"\RTDC4005\*4005*201609221* | grep -SE "((Enforcement Ac)|(PRM))" -</v>
      </c>
    </row>
    <row r="50" spans="1:29" x14ac:dyDescent="0.25">
      <c r="A50" s="38">
        <v>42635.752430555556</v>
      </c>
      <c r="B50" s="33" t="s">
        <v>176</v>
      </c>
      <c r="C50" s="33" t="s">
        <v>553</v>
      </c>
      <c r="D50" s="33" t="s">
        <v>105</v>
      </c>
      <c r="E50" s="33" t="s">
        <v>50</v>
      </c>
      <c r="F50" s="49">
        <v>0</v>
      </c>
      <c r="G50" s="49">
        <v>8</v>
      </c>
      <c r="H50" s="49">
        <v>839</v>
      </c>
      <c r="I50" s="49">
        <v>0</v>
      </c>
      <c r="J50" s="33" t="s">
        <v>51</v>
      </c>
      <c r="K50" s="49">
        <v>839</v>
      </c>
      <c r="L50" s="150" t="s">
        <v>53</v>
      </c>
      <c r="M50" s="153">
        <f t="shared" si="0"/>
        <v>-442.99200000000002</v>
      </c>
      <c r="N50" s="92" t="str">
        <f>VLOOKUP(C50,'Trips&amp;Operators'!$C$1:$E$99999,3,FALSE)</f>
        <v>ARVIDSON</v>
      </c>
      <c r="O50" s="174" t="s">
        <v>86</v>
      </c>
      <c r="P50" s="10"/>
      <c r="Q50" s="33"/>
      <c r="R50" s="108" t="str">
        <f>VLOOKUP(C50,'Train Runs'!$A$13:$AE$10010,31,0)</f>
        <v>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 &amp; aws s3 cp s3://rtdc.mdm.uploadarchive/RTDC4041/2016-09-23/ "%USERPROFILE%\AppData\Local\Temp\OnboardLogs"\RTDC4041\2016-09-23 --recursive &amp; "%USERPROFILE%\Documents\GitHub\mrs-test-scripts\Headless Mode &amp; Sideloading\WalkAndUnGZ.bat" "%USERPROFILE%\AppData\Local\Temp\OnboardLogs"\RTDC4041\2016-09-23</v>
      </c>
      <c r="S50" s="111" t="str">
        <f>VLOOKUP(C50,'Train Runs'!$A$13:$AE$10010,22,0)</f>
        <v>https://search-rtdc-monitor-bjffxe2xuh6vdkpspy63sjmuny.us-east-1.es.amazonaws.com/_plugin/kibana/#/discover/Steve-Slow-Train-Analysis-(2080s-and-2083s)?_g=(refreshInterval:(display:Off,section:0,value:0),time:(from:'2016-09-22 16:45:43-0600',mode:absolute,to:'2016-09-22 19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0" s="113" t="str">
        <f t="shared" si="1"/>
        <v>"C:\Program Files (x86)\AstroGrep\AstroGrep.exe" /spath="%USERPROFILE%\AppData\Local\Temp\OnboardLogs" /stypes="*4041*201609230*" /stext=" 00:.+((SYSTEM_STATE.+slice.+state.+changed )|(ment ac)|(system.+state.+changed )|(\|lc)|(penalty)|(\[timeout)|(PRM\|1\|D)|(kpr)|(kdp))" /e /r /s</v>
      </c>
      <c r="U50" s="9" t="str">
        <f t="shared" si="2"/>
        <v>4041</v>
      </c>
      <c r="V50" s="38">
        <f t="shared" si="3"/>
        <v>42636.002430555556</v>
      </c>
      <c r="W50" s="52" t="str">
        <f t="shared" si="4"/>
        <v>Other</v>
      </c>
      <c r="X50" s="52" t="str">
        <f t="shared" si="5"/>
        <v>OMIT</v>
      </c>
      <c r="Y50" s="134" t="str">
        <f t="shared" si="6"/>
        <v>echo {"issue":{"subject":"","project_id":79,"tracker_id":40,"status_id":1,"priority_id":2,"assigned_to_id":23,"start_date":"2016-09-22","description":"","custom_fields":[{"id":1,"name":"Subdivision","value":"Other"},{"id":4,"name":"Milepost","value":"0.0839"},{"id":17,"name":"Train ID","value":"56-22"},{"id":16,"name":"Locomotive ID","value":"4041"},{"id":130,"name":"Impact","value":""},{"id":150,"name":"Time of Event (Mountain Time)","value":"18:03:30"},{"id":151,"name":"Denver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 t="shared" si="7"/>
        <v>grep -hSE -A100 "Enforcement Action" "%USERPROFILE%\AppData\Local\Temp\OnboardLogs"\RTDC4041\*4041*201609230* | grep -SE "((Enforcement Ac)|(PRM))" -</v>
      </c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E5" sqref="E5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2016-09-22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61">
        <v>149</v>
      </c>
      <c r="B3" s="2" t="str">
        <f>A3&amp;"-"&amp;IF(DAY(Variables!$A$2)&lt;10,0,"")&amp;DAY(Variables!$A$2)</f>
        <v>149-22</v>
      </c>
      <c r="C3" s="119"/>
      <c r="D3" s="119"/>
      <c r="E3" s="33" t="s">
        <v>764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22149-22%22)),sort:!(Time,asc))</v>
      </c>
      <c r="J3" s="23"/>
      <c r="K3" s="23"/>
    </row>
    <row r="4" spans="1:11" x14ac:dyDescent="0.25">
      <c r="A4" s="161">
        <v>150</v>
      </c>
      <c r="B4" s="2" t="str">
        <f>A4&amp;"-"&amp;IF(DAY(Variables!$A$2)&lt;10,0,"")&amp;DAY(Variables!$A$2)</f>
        <v>150-22</v>
      </c>
      <c r="C4" s="119"/>
      <c r="D4" s="119"/>
      <c r="E4" s="33" t="s">
        <v>764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22150-22%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-22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-22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-22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332</v>
      </c>
      <c r="B1" s="23" t="s">
        <v>333</v>
      </c>
      <c r="C1" s="23" t="s">
        <v>0</v>
      </c>
      <c r="D1" s="23" t="s">
        <v>334</v>
      </c>
      <c r="E1" s="23" t="s">
        <v>335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42635.032557870371</v>
      </c>
      <c r="B2" s="23" t="s">
        <v>342</v>
      </c>
      <c r="C2" s="23" t="s">
        <v>346</v>
      </c>
      <c r="D2" s="23">
        <v>1300000</v>
      </c>
      <c r="E2" s="23" t="s">
        <v>121</v>
      </c>
      <c r="F2" s="23" t="str">
        <f t="shared" ref="F2:F65" si="0">B2</f>
        <v>rtdc.l.rtdc.4028:itc</v>
      </c>
      <c r="G2" s="8">
        <f t="shared" ref="G2:G65" si="1">A2</f>
        <v>42635.032557870371</v>
      </c>
    </row>
    <row r="3" spans="1:7" x14ac:dyDescent="0.25">
      <c r="A3" s="8">
        <v>42635.046412037038</v>
      </c>
      <c r="B3" s="23" t="s">
        <v>337</v>
      </c>
      <c r="C3" s="23" t="s">
        <v>347</v>
      </c>
      <c r="D3" s="23">
        <v>1230000</v>
      </c>
      <c r="E3" s="23" t="s">
        <v>252</v>
      </c>
      <c r="F3" s="23" t="str">
        <f t="shared" si="0"/>
        <v>rtdc.l.rtdc.4016:itc</v>
      </c>
      <c r="G3" s="8">
        <f t="shared" si="1"/>
        <v>42635.046412037038</v>
      </c>
    </row>
    <row r="4" spans="1:7" x14ac:dyDescent="0.25">
      <c r="A4" s="8">
        <v>42635.055613425924</v>
      </c>
      <c r="B4" s="23" t="s">
        <v>176</v>
      </c>
      <c r="C4" s="23" t="s">
        <v>348</v>
      </c>
      <c r="D4" s="23">
        <v>1290000</v>
      </c>
      <c r="E4" s="23" t="s">
        <v>173</v>
      </c>
      <c r="F4" s="23" t="str">
        <f t="shared" si="0"/>
        <v>rtdc.l.rtdc.4041:itc</v>
      </c>
      <c r="G4" s="8">
        <f t="shared" si="1"/>
        <v>42635.055613425924</v>
      </c>
    </row>
    <row r="5" spans="1:7" x14ac:dyDescent="0.25">
      <c r="A5" s="8">
        <v>42635.067523148151</v>
      </c>
      <c r="B5" s="23" t="s">
        <v>338</v>
      </c>
      <c r="C5" s="23" t="s">
        <v>349</v>
      </c>
      <c r="D5" s="23">
        <v>1300000</v>
      </c>
      <c r="E5" s="23" t="s">
        <v>121</v>
      </c>
      <c r="F5" s="23" t="str">
        <f t="shared" si="0"/>
        <v>rtdc.l.rtdc.4027:itc</v>
      </c>
      <c r="G5" s="8">
        <f t="shared" si="1"/>
        <v>42635.067523148151</v>
      </c>
    </row>
    <row r="6" spans="1:7" x14ac:dyDescent="0.25">
      <c r="A6" s="8">
        <v>42635.088993055557</v>
      </c>
      <c r="B6" s="23" t="s">
        <v>178</v>
      </c>
      <c r="C6" s="23" t="s">
        <v>350</v>
      </c>
      <c r="D6" s="23">
        <v>1290000</v>
      </c>
      <c r="E6" s="23" t="s">
        <v>173</v>
      </c>
      <c r="F6" s="23" t="str">
        <f t="shared" si="0"/>
        <v>rtdc.l.rtdc.4042:itc</v>
      </c>
      <c r="G6" s="8">
        <f t="shared" si="1"/>
        <v>42635.088993055557</v>
      </c>
    </row>
    <row r="7" spans="1:7" x14ac:dyDescent="0.25">
      <c r="A7" s="8">
        <v>42635.131886574076</v>
      </c>
      <c r="B7" s="23" t="s">
        <v>250</v>
      </c>
      <c r="C7" s="23" t="s">
        <v>388</v>
      </c>
      <c r="D7" s="23">
        <v>2010000</v>
      </c>
      <c r="E7" s="23" t="s">
        <v>336</v>
      </c>
      <c r="F7" s="23" t="str">
        <f t="shared" si="0"/>
        <v>rtdc.l.rtdc.4003:itc</v>
      </c>
      <c r="G7" s="8">
        <f t="shared" si="1"/>
        <v>42635.131886574076</v>
      </c>
    </row>
    <row r="8" spans="1:7" x14ac:dyDescent="0.25">
      <c r="A8" s="8">
        <v>42635.15116898148</v>
      </c>
      <c r="B8" s="23" t="s">
        <v>181</v>
      </c>
      <c r="C8" s="23" t="s">
        <v>389</v>
      </c>
      <c r="D8" s="23">
        <v>1090000</v>
      </c>
      <c r="E8" s="23" t="s">
        <v>277</v>
      </c>
      <c r="F8" s="23" t="str">
        <f t="shared" si="0"/>
        <v>rtdc.l.rtdc.4046:itc</v>
      </c>
      <c r="G8" s="8">
        <f t="shared" si="1"/>
        <v>42635.15116898148</v>
      </c>
    </row>
    <row r="9" spans="1:7" ht="15.75" thickBot="1" x14ac:dyDescent="0.3">
      <c r="A9" s="27">
        <v>42635.170520833337</v>
      </c>
      <c r="B9" s="23" t="s">
        <v>340</v>
      </c>
      <c r="C9" s="23" t="s">
        <v>390</v>
      </c>
      <c r="D9" s="23">
        <v>2010000</v>
      </c>
      <c r="E9" s="23" t="s">
        <v>336</v>
      </c>
      <c r="F9" s="23" t="str">
        <f t="shared" si="0"/>
        <v>rtdc.l.rtdc.4032:itc</v>
      </c>
      <c r="G9" s="8">
        <f t="shared" si="1"/>
        <v>42635.170520833337</v>
      </c>
    </row>
    <row r="10" spans="1:7" x14ac:dyDescent="0.25">
      <c r="A10" s="8">
        <v>42635.176805555559</v>
      </c>
      <c r="B10" s="23" t="s">
        <v>391</v>
      </c>
      <c r="C10" s="23" t="s">
        <v>392</v>
      </c>
      <c r="D10" s="23">
        <v>1310000</v>
      </c>
      <c r="E10" s="23" t="s">
        <v>393</v>
      </c>
      <c r="F10" s="23" t="str">
        <f t="shared" si="0"/>
        <v>rtdc.l.rtdc.4029:itc</v>
      </c>
      <c r="G10" s="8">
        <f t="shared" si="1"/>
        <v>42635.176805555559</v>
      </c>
    </row>
    <row r="11" spans="1:7" x14ac:dyDescent="0.25">
      <c r="A11" s="8">
        <v>42635.181226851855</v>
      </c>
      <c r="B11" s="23" t="s">
        <v>240</v>
      </c>
      <c r="C11" s="23" t="s">
        <v>394</v>
      </c>
      <c r="D11" s="23">
        <v>1760000</v>
      </c>
      <c r="E11" s="23" t="s">
        <v>339</v>
      </c>
      <c r="F11" s="23" t="str">
        <f t="shared" si="0"/>
        <v>rtdc.l.rtdc.4044:itc</v>
      </c>
      <c r="G11" s="8">
        <f t="shared" si="1"/>
        <v>42635.181226851855</v>
      </c>
    </row>
    <row r="12" spans="1:7" x14ac:dyDescent="0.25">
      <c r="A12" s="8">
        <v>42635.194432870368</v>
      </c>
      <c r="B12" s="23" t="s">
        <v>276</v>
      </c>
      <c r="C12" s="23" t="s">
        <v>395</v>
      </c>
      <c r="D12" s="23">
        <v>900000</v>
      </c>
      <c r="E12" s="23" t="s">
        <v>302</v>
      </c>
      <c r="F12" s="23" t="str">
        <f t="shared" si="0"/>
        <v>rtdc.l.rtdc.4002:itc</v>
      </c>
      <c r="G12" s="8">
        <f t="shared" si="1"/>
        <v>42635.194432870368</v>
      </c>
    </row>
    <row r="13" spans="1:7" x14ac:dyDescent="0.25">
      <c r="A13" s="8">
        <v>42635.195671296293</v>
      </c>
      <c r="B13" s="23" t="s">
        <v>396</v>
      </c>
      <c r="C13" s="23" t="s">
        <v>397</v>
      </c>
      <c r="D13" s="23">
        <v>1090000</v>
      </c>
      <c r="E13" s="23" t="s">
        <v>277</v>
      </c>
      <c r="F13" s="23" t="str">
        <f t="shared" si="0"/>
        <v>rtdc.l.rtdc.4054:itc</v>
      </c>
      <c r="G13" s="8">
        <f t="shared" si="1"/>
        <v>42635.195671296293</v>
      </c>
    </row>
    <row r="14" spans="1:7" x14ac:dyDescent="0.25">
      <c r="A14" s="8">
        <v>42635.196400462963</v>
      </c>
      <c r="B14" s="23" t="s">
        <v>276</v>
      </c>
      <c r="C14" s="23" t="s">
        <v>395</v>
      </c>
      <c r="D14" s="23">
        <v>900000</v>
      </c>
      <c r="E14" s="23" t="s">
        <v>302</v>
      </c>
      <c r="F14" s="23" t="str">
        <f t="shared" si="0"/>
        <v>rtdc.l.rtdc.4002:itc</v>
      </c>
      <c r="G14" s="8">
        <f t="shared" si="1"/>
        <v>42635.196400462963</v>
      </c>
    </row>
    <row r="15" spans="1:7" x14ac:dyDescent="0.25">
      <c r="A15" s="8">
        <v>42635.197245370371</v>
      </c>
      <c r="B15" s="23" t="s">
        <v>276</v>
      </c>
      <c r="C15" s="23" t="s">
        <v>395</v>
      </c>
      <c r="D15" s="23">
        <v>900000</v>
      </c>
      <c r="E15" s="23" t="s">
        <v>302</v>
      </c>
      <c r="F15" s="23" t="str">
        <f t="shared" si="0"/>
        <v>rtdc.l.rtdc.4002:itc</v>
      </c>
      <c r="G15" s="8">
        <f t="shared" si="1"/>
        <v>42635.197245370371</v>
      </c>
    </row>
    <row r="16" spans="1:7" x14ac:dyDescent="0.25">
      <c r="A16" s="8">
        <v>42635.206979166665</v>
      </c>
      <c r="B16" s="23" t="s">
        <v>250</v>
      </c>
      <c r="C16" s="23" t="s">
        <v>398</v>
      </c>
      <c r="D16" s="23">
        <v>1110000</v>
      </c>
      <c r="E16" s="23" t="s">
        <v>267</v>
      </c>
      <c r="F16" s="23" t="str">
        <f t="shared" si="0"/>
        <v>rtdc.l.rtdc.4003:itc</v>
      </c>
      <c r="G16" s="8">
        <f t="shared" si="1"/>
        <v>42635.206979166665</v>
      </c>
    </row>
    <row r="17" spans="1:7" x14ac:dyDescent="0.25">
      <c r="A17" s="8">
        <v>42635.209513888891</v>
      </c>
      <c r="B17" s="23" t="s">
        <v>261</v>
      </c>
      <c r="C17" s="23" t="s">
        <v>399</v>
      </c>
      <c r="D17" s="23">
        <v>1830000</v>
      </c>
      <c r="E17" s="23" t="s">
        <v>400</v>
      </c>
      <c r="F17" s="23" t="str">
        <f t="shared" si="0"/>
        <v>rtdc.l.rtdc.4012:itc</v>
      </c>
      <c r="G17" s="8">
        <f t="shared" si="1"/>
        <v>42635.209513888891</v>
      </c>
    </row>
    <row r="18" spans="1:7" x14ac:dyDescent="0.25">
      <c r="A18" s="8">
        <v>42635.213877314818</v>
      </c>
      <c r="B18" s="23" t="s">
        <v>341</v>
      </c>
      <c r="C18" s="23" t="s">
        <v>401</v>
      </c>
      <c r="D18" s="23">
        <v>2010000</v>
      </c>
      <c r="E18" s="23" t="s">
        <v>336</v>
      </c>
      <c r="F18" s="23" t="str">
        <f t="shared" si="0"/>
        <v>rtdc.l.rtdc.4031:itc</v>
      </c>
      <c r="G18" s="8">
        <f t="shared" si="1"/>
        <v>42635.213877314818</v>
      </c>
    </row>
    <row r="19" spans="1:7" x14ac:dyDescent="0.25">
      <c r="A19" s="8">
        <v>42635.215092592596</v>
      </c>
      <c r="B19" s="23" t="s">
        <v>303</v>
      </c>
      <c r="C19" s="23" t="s">
        <v>402</v>
      </c>
      <c r="D19" s="23">
        <v>1310000</v>
      </c>
      <c r="E19" s="23" t="s">
        <v>393</v>
      </c>
      <c r="F19" s="23" t="str">
        <f t="shared" si="0"/>
        <v>rtdc.l.rtdc.4013:itc</v>
      </c>
      <c r="G19" s="8">
        <f t="shared" si="1"/>
        <v>42635.215092592596</v>
      </c>
    </row>
    <row r="20" spans="1:7" x14ac:dyDescent="0.25">
      <c r="A20" s="8">
        <v>42635.216134259259</v>
      </c>
      <c r="B20" s="23" t="s">
        <v>303</v>
      </c>
      <c r="C20" s="23" t="s">
        <v>402</v>
      </c>
      <c r="D20" s="23">
        <v>1310000</v>
      </c>
      <c r="E20" s="23" t="s">
        <v>393</v>
      </c>
      <c r="F20" s="23" t="str">
        <f t="shared" si="0"/>
        <v>rtdc.l.rtdc.4013:itc</v>
      </c>
      <c r="G20" s="8">
        <f t="shared" si="1"/>
        <v>42635.216134259259</v>
      </c>
    </row>
    <row r="21" spans="1:7" x14ac:dyDescent="0.25">
      <c r="A21" s="8">
        <v>42635.223217592589</v>
      </c>
      <c r="B21" s="23" t="s">
        <v>241</v>
      </c>
      <c r="C21" s="23" t="s">
        <v>403</v>
      </c>
      <c r="D21" s="23">
        <v>1760000</v>
      </c>
      <c r="E21" s="23" t="s">
        <v>339</v>
      </c>
      <c r="F21" s="23" t="str">
        <f t="shared" si="0"/>
        <v>rtdc.l.rtdc.4043:itc</v>
      </c>
      <c r="G21" s="8">
        <f t="shared" si="1"/>
        <v>42635.223217592589</v>
      </c>
    </row>
    <row r="22" spans="1:7" x14ac:dyDescent="0.25">
      <c r="A22" s="29">
        <v>42635.227870370371</v>
      </c>
      <c r="B22" s="23" t="s">
        <v>260</v>
      </c>
      <c r="C22" s="23" t="s">
        <v>404</v>
      </c>
      <c r="D22" s="23">
        <v>1830000</v>
      </c>
      <c r="E22" s="23" t="s">
        <v>400</v>
      </c>
      <c r="F22" s="23" t="str">
        <f t="shared" si="0"/>
        <v>rtdc.l.rtdc.4011:itc</v>
      </c>
      <c r="G22" s="8">
        <f t="shared" si="1"/>
        <v>42635.227870370371</v>
      </c>
    </row>
    <row r="23" spans="1:7" x14ac:dyDescent="0.25">
      <c r="A23" s="8">
        <v>42635.229201388887</v>
      </c>
      <c r="B23" s="23" t="s">
        <v>181</v>
      </c>
      <c r="C23" s="23" t="s">
        <v>405</v>
      </c>
      <c r="D23" s="23">
        <v>1340000</v>
      </c>
      <c r="E23" s="23" t="s">
        <v>406</v>
      </c>
      <c r="F23" s="23" t="str">
        <f t="shared" si="0"/>
        <v>rtdc.l.rtdc.4046:itc</v>
      </c>
      <c r="G23" s="8">
        <f t="shared" si="1"/>
        <v>42635.229201388887</v>
      </c>
    </row>
    <row r="24" spans="1:7" x14ac:dyDescent="0.25">
      <c r="A24" s="8">
        <v>42635.233148148145</v>
      </c>
      <c r="B24" s="23" t="s">
        <v>407</v>
      </c>
      <c r="C24" s="23" t="s">
        <v>408</v>
      </c>
      <c r="D24" s="23">
        <v>1090000</v>
      </c>
      <c r="E24" s="23" t="s">
        <v>277</v>
      </c>
      <c r="F24" s="23" t="str">
        <f t="shared" si="0"/>
        <v>rtdc.l.rtdc.4053:itc</v>
      </c>
      <c r="G24" s="8">
        <f t="shared" si="1"/>
        <v>42635.233148148145</v>
      </c>
    </row>
    <row r="25" spans="1:7" x14ac:dyDescent="0.25">
      <c r="A25" s="8">
        <v>42635.234039351853</v>
      </c>
      <c r="B25" s="23" t="s">
        <v>278</v>
      </c>
      <c r="C25" s="23" t="s">
        <v>409</v>
      </c>
      <c r="D25" s="23">
        <v>900000</v>
      </c>
      <c r="E25" s="23" t="s">
        <v>302</v>
      </c>
      <c r="F25" s="23" t="str">
        <f t="shared" si="0"/>
        <v>rtdc.l.rtdc.4001:itc</v>
      </c>
      <c r="G25" s="8">
        <f t="shared" si="1"/>
        <v>42635.234039351853</v>
      </c>
    </row>
    <row r="26" spans="1:7" x14ac:dyDescent="0.25">
      <c r="A26" s="8">
        <v>42635.245949074073</v>
      </c>
      <c r="B26" s="23" t="s">
        <v>251</v>
      </c>
      <c r="C26" s="23" t="s">
        <v>410</v>
      </c>
      <c r="D26" s="23">
        <v>1110000</v>
      </c>
      <c r="E26" s="23" t="s">
        <v>267</v>
      </c>
      <c r="F26" s="23" t="str">
        <f t="shared" si="0"/>
        <v>rtdc.l.rtdc.4004:itc</v>
      </c>
      <c r="G26" s="8">
        <f t="shared" si="1"/>
        <v>42635.245949074073</v>
      </c>
    </row>
    <row r="27" spans="1:7" x14ac:dyDescent="0.25">
      <c r="A27" s="8">
        <v>42635.249293981484</v>
      </c>
      <c r="B27" s="23" t="s">
        <v>391</v>
      </c>
      <c r="C27" s="23" t="s">
        <v>411</v>
      </c>
      <c r="D27" s="23">
        <v>1310000</v>
      </c>
      <c r="E27" s="23" t="s">
        <v>393</v>
      </c>
      <c r="F27" s="23" t="str">
        <f t="shared" si="0"/>
        <v>rtdc.l.rtdc.4029:itc</v>
      </c>
      <c r="G27" s="8">
        <f t="shared" si="1"/>
        <v>42635.249293981484</v>
      </c>
    </row>
    <row r="28" spans="1:7" x14ac:dyDescent="0.25">
      <c r="A28" s="8">
        <v>42635.249780092592</v>
      </c>
      <c r="B28" s="23" t="s">
        <v>391</v>
      </c>
      <c r="C28" s="23" t="s">
        <v>411</v>
      </c>
      <c r="D28" s="23">
        <v>1310000</v>
      </c>
      <c r="E28" s="23" t="s">
        <v>393</v>
      </c>
      <c r="F28" s="23" t="str">
        <f t="shared" si="0"/>
        <v>rtdc.l.rtdc.4029:itc</v>
      </c>
      <c r="G28" s="8">
        <f t="shared" si="1"/>
        <v>42635.249780092592</v>
      </c>
    </row>
    <row r="29" spans="1:7" x14ac:dyDescent="0.25">
      <c r="A29" s="8">
        <v>42635.251527777778</v>
      </c>
      <c r="B29" s="23" t="s">
        <v>340</v>
      </c>
      <c r="C29" s="23" t="s">
        <v>412</v>
      </c>
      <c r="D29" s="23">
        <v>2010000</v>
      </c>
      <c r="E29" s="23" t="s">
        <v>336</v>
      </c>
      <c r="F29" s="23" t="str">
        <f t="shared" si="0"/>
        <v>rtdc.l.rtdc.4032:itc</v>
      </c>
      <c r="G29" s="8">
        <f t="shared" si="1"/>
        <v>42635.251527777778</v>
      </c>
    </row>
    <row r="30" spans="1:7" x14ac:dyDescent="0.25">
      <c r="A30" s="8">
        <v>42635.254606481481</v>
      </c>
      <c r="B30" s="23" t="s">
        <v>261</v>
      </c>
      <c r="C30" s="23" t="s">
        <v>413</v>
      </c>
      <c r="D30" s="23">
        <v>1830000</v>
      </c>
      <c r="E30" s="23" t="s">
        <v>400</v>
      </c>
      <c r="F30" s="23" t="str">
        <f t="shared" si="0"/>
        <v>rtdc.l.rtdc.4012:itc</v>
      </c>
      <c r="G30" s="8">
        <f t="shared" si="1"/>
        <v>42635.254606481481</v>
      </c>
    </row>
    <row r="31" spans="1:7" x14ac:dyDescent="0.25">
      <c r="A31" s="8">
        <v>42635.257511574076</v>
      </c>
      <c r="B31" s="23" t="s">
        <v>240</v>
      </c>
      <c r="C31" s="23" t="s">
        <v>414</v>
      </c>
      <c r="D31" s="23">
        <v>1760000</v>
      </c>
      <c r="E31" s="23" t="s">
        <v>339</v>
      </c>
      <c r="F31" s="23" t="str">
        <f t="shared" si="0"/>
        <v>rtdc.l.rtdc.4044:itc</v>
      </c>
      <c r="G31" s="8">
        <f t="shared" si="1"/>
        <v>42635.257511574076</v>
      </c>
    </row>
    <row r="32" spans="1:7" x14ac:dyDescent="0.25">
      <c r="A32" s="8">
        <v>42635.258472222224</v>
      </c>
      <c r="B32" s="23" t="s">
        <v>171</v>
      </c>
      <c r="C32" s="23" t="s">
        <v>415</v>
      </c>
      <c r="D32" s="23">
        <v>1100000</v>
      </c>
      <c r="E32" s="23" t="s">
        <v>301</v>
      </c>
      <c r="F32" s="23" t="str">
        <f t="shared" si="0"/>
        <v>rtdc.l.rtdc.4025:itc</v>
      </c>
      <c r="G32" s="8">
        <f t="shared" si="1"/>
        <v>42635.258472222224</v>
      </c>
    </row>
    <row r="33" spans="1:7" x14ac:dyDescent="0.25">
      <c r="A33" s="8">
        <v>42635.265034722222</v>
      </c>
      <c r="B33" s="23" t="s">
        <v>249</v>
      </c>
      <c r="C33" s="23" t="s">
        <v>416</v>
      </c>
      <c r="D33" s="23">
        <v>1340000</v>
      </c>
      <c r="E33" s="23" t="s">
        <v>406</v>
      </c>
      <c r="F33" s="23" t="str">
        <f t="shared" si="0"/>
        <v>rtdc.l.rtdc.4045:itc</v>
      </c>
      <c r="G33" s="8">
        <f t="shared" si="1"/>
        <v>42635.265034722222</v>
      </c>
    </row>
    <row r="34" spans="1:7" x14ac:dyDescent="0.25">
      <c r="A34" s="8">
        <v>42635.270567129628</v>
      </c>
      <c r="B34" s="23" t="s">
        <v>276</v>
      </c>
      <c r="C34" s="23" t="s">
        <v>417</v>
      </c>
      <c r="D34" s="23">
        <v>900000</v>
      </c>
      <c r="E34" s="23" t="s">
        <v>302</v>
      </c>
      <c r="F34" s="23" t="str">
        <f t="shared" si="0"/>
        <v>rtdc.l.rtdc.4002:itc</v>
      </c>
      <c r="G34" s="8">
        <f t="shared" si="1"/>
        <v>42635.270567129628</v>
      </c>
    </row>
    <row r="35" spans="1:7" x14ac:dyDescent="0.25">
      <c r="A35" s="8">
        <v>42635.271180555559</v>
      </c>
      <c r="B35" s="23" t="s">
        <v>260</v>
      </c>
      <c r="C35" s="23" t="s">
        <v>418</v>
      </c>
      <c r="D35" s="23">
        <v>1830000</v>
      </c>
      <c r="E35" s="23" t="s">
        <v>400</v>
      </c>
      <c r="F35" s="23" t="str">
        <f t="shared" si="0"/>
        <v>rtdc.l.rtdc.4011:itc</v>
      </c>
      <c r="G35" s="8">
        <f t="shared" si="1"/>
        <v>42635.271180555559</v>
      </c>
    </row>
    <row r="36" spans="1:7" x14ac:dyDescent="0.25">
      <c r="A36" s="8">
        <v>42635.275497685187</v>
      </c>
      <c r="B36" s="23" t="s">
        <v>396</v>
      </c>
      <c r="C36" s="23" t="s">
        <v>419</v>
      </c>
      <c r="D36" s="23">
        <v>1090000</v>
      </c>
      <c r="E36" s="23" t="s">
        <v>277</v>
      </c>
      <c r="F36" s="23" t="str">
        <f t="shared" si="0"/>
        <v>rtdc.l.rtdc.4054:itc</v>
      </c>
      <c r="G36" s="8">
        <f t="shared" si="1"/>
        <v>42635.275497685187</v>
      </c>
    </row>
    <row r="37" spans="1:7" x14ac:dyDescent="0.25">
      <c r="A37" s="8">
        <v>42635.277013888888</v>
      </c>
      <c r="B37" s="23" t="s">
        <v>172</v>
      </c>
      <c r="C37" s="23" t="s">
        <v>420</v>
      </c>
      <c r="D37" s="23">
        <v>1100000</v>
      </c>
      <c r="E37" s="23" t="s">
        <v>301</v>
      </c>
      <c r="F37" s="23" t="str">
        <f t="shared" si="0"/>
        <v>rtdc.l.rtdc.4026:itc</v>
      </c>
      <c r="G37" s="8">
        <f t="shared" si="1"/>
        <v>42635.277013888888</v>
      </c>
    </row>
    <row r="38" spans="1:7" x14ac:dyDescent="0.25">
      <c r="A38" s="8">
        <v>42635.278171296297</v>
      </c>
      <c r="B38" s="23" t="s">
        <v>250</v>
      </c>
      <c r="C38" s="23" t="s">
        <v>421</v>
      </c>
      <c r="D38" s="23">
        <v>1110000</v>
      </c>
      <c r="E38" s="23" t="s">
        <v>267</v>
      </c>
      <c r="F38" s="23" t="str">
        <f t="shared" si="0"/>
        <v>rtdc.l.rtdc.4003:itc</v>
      </c>
      <c r="G38" s="8">
        <f t="shared" si="1"/>
        <v>42635.278171296297</v>
      </c>
    </row>
    <row r="39" spans="1:7" x14ac:dyDescent="0.25">
      <c r="A39" s="8">
        <v>42635.288449074076</v>
      </c>
      <c r="B39" s="23" t="s">
        <v>422</v>
      </c>
      <c r="C39" s="23" t="s">
        <v>423</v>
      </c>
      <c r="D39" s="23">
        <v>1310000</v>
      </c>
      <c r="E39" s="23" t="s">
        <v>393</v>
      </c>
      <c r="F39" s="23" t="str">
        <f t="shared" si="0"/>
        <v>rtdc.l.rtdc.4030:itc</v>
      </c>
      <c r="G39" s="8">
        <f t="shared" si="1"/>
        <v>42635.288449074076</v>
      </c>
    </row>
    <row r="40" spans="1:7" x14ac:dyDescent="0.25">
      <c r="A40" s="8">
        <v>42635.289780092593</v>
      </c>
      <c r="B40" s="28" t="s">
        <v>341</v>
      </c>
      <c r="C40" s="23" t="s">
        <v>424</v>
      </c>
      <c r="D40" s="23">
        <v>2010000</v>
      </c>
      <c r="E40" s="23" t="s">
        <v>336</v>
      </c>
      <c r="F40" s="23" t="str">
        <f t="shared" si="0"/>
        <v>rtdc.l.rtdc.4031:itc</v>
      </c>
      <c r="G40" s="8">
        <f t="shared" si="1"/>
        <v>42635.289780092593</v>
      </c>
    </row>
    <row r="41" spans="1:7" x14ac:dyDescent="0.25">
      <c r="A41" s="8">
        <v>42635.29614583333</v>
      </c>
      <c r="B41" s="23" t="s">
        <v>241</v>
      </c>
      <c r="C41" s="23" t="s">
        <v>425</v>
      </c>
      <c r="D41" s="23">
        <v>1760000</v>
      </c>
      <c r="E41" s="23" t="s">
        <v>339</v>
      </c>
      <c r="F41" s="23" t="str">
        <f t="shared" si="0"/>
        <v>rtdc.l.rtdc.4043:itc</v>
      </c>
      <c r="G41" s="8">
        <f t="shared" si="1"/>
        <v>42635.29614583333</v>
      </c>
    </row>
    <row r="42" spans="1:7" x14ac:dyDescent="0.25">
      <c r="A42" s="8">
        <v>42635.298148148147</v>
      </c>
      <c r="B42" s="23" t="s">
        <v>261</v>
      </c>
      <c r="C42" s="23" t="s">
        <v>426</v>
      </c>
      <c r="D42" s="23">
        <v>1830000</v>
      </c>
      <c r="E42" s="23" t="s">
        <v>400</v>
      </c>
      <c r="F42" s="23" t="str">
        <f t="shared" si="0"/>
        <v>rtdc.l.rtdc.4012:itc</v>
      </c>
      <c r="G42" s="8">
        <f t="shared" si="1"/>
        <v>42635.298148148147</v>
      </c>
    </row>
    <row r="43" spans="1:7" x14ac:dyDescent="0.25">
      <c r="A43" s="8">
        <v>42635.299027777779</v>
      </c>
      <c r="B43" s="23" t="s">
        <v>181</v>
      </c>
      <c r="C43" s="23" t="s">
        <v>427</v>
      </c>
      <c r="D43" s="23">
        <v>1360000</v>
      </c>
      <c r="E43" s="23" t="s">
        <v>343</v>
      </c>
      <c r="F43" s="23" t="str">
        <f t="shared" si="0"/>
        <v>rtdc.l.rtdc.4046:itc</v>
      </c>
      <c r="G43" s="8">
        <f t="shared" si="1"/>
        <v>42635.299027777779</v>
      </c>
    </row>
    <row r="44" spans="1:7" x14ac:dyDescent="0.25">
      <c r="A44" s="8">
        <v>42635.300208333334</v>
      </c>
      <c r="B44" s="23" t="s">
        <v>278</v>
      </c>
      <c r="C44" s="23" t="s">
        <v>428</v>
      </c>
      <c r="D44" s="23">
        <v>900000</v>
      </c>
      <c r="E44" s="23" t="s">
        <v>302</v>
      </c>
      <c r="F44" s="23" t="str">
        <f t="shared" si="0"/>
        <v>rtdc.l.rtdc.4001:itc</v>
      </c>
      <c r="G44" s="8">
        <f t="shared" si="1"/>
        <v>42635.300208333334</v>
      </c>
    </row>
    <row r="45" spans="1:7" x14ac:dyDescent="0.25">
      <c r="A45" s="8">
        <v>42635.300567129627</v>
      </c>
      <c r="B45" s="23" t="s">
        <v>171</v>
      </c>
      <c r="C45" s="23" t="s">
        <v>429</v>
      </c>
      <c r="D45" s="23">
        <v>1100000</v>
      </c>
      <c r="E45" s="23" t="s">
        <v>301</v>
      </c>
      <c r="F45" s="23" t="str">
        <f t="shared" si="0"/>
        <v>rtdc.l.rtdc.4025:itc</v>
      </c>
      <c r="G45" s="8">
        <f t="shared" si="1"/>
        <v>42635.300567129627</v>
      </c>
    </row>
    <row r="46" spans="1:7" x14ac:dyDescent="0.25">
      <c r="A46" s="8">
        <v>42635.308576388888</v>
      </c>
      <c r="B46" s="23" t="s">
        <v>251</v>
      </c>
      <c r="C46" s="23" t="s">
        <v>430</v>
      </c>
      <c r="D46" s="23">
        <v>1110000</v>
      </c>
      <c r="E46" s="23" t="s">
        <v>267</v>
      </c>
      <c r="F46" s="23" t="str">
        <f t="shared" si="0"/>
        <v>rtdc.l.rtdc.4004:itc</v>
      </c>
      <c r="G46" s="8">
        <f t="shared" si="1"/>
        <v>42635.308576388888</v>
      </c>
    </row>
    <row r="47" spans="1:7" x14ac:dyDescent="0.25">
      <c r="A47" s="8">
        <v>42635.311261574076</v>
      </c>
      <c r="B47" s="23" t="s">
        <v>260</v>
      </c>
      <c r="C47" s="23" t="s">
        <v>431</v>
      </c>
      <c r="D47" s="23">
        <v>1830000</v>
      </c>
      <c r="E47" s="23" t="s">
        <v>400</v>
      </c>
      <c r="F47" s="23" t="str">
        <f t="shared" si="0"/>
        <v>rtdc.l.rtdc.4011:itc</v>
      </c>
      <c r="G47" s="8">
        <f t="shared" si="1"/>
        <v>42635.311261574076</v>
      </c>
    </row>
    <row r="48" spans="1:7" x14ac:dyDescent="0.25">
      <c r="A48" s="8">
        <v>42635.311481481483</v>
      </c>
      <c r="B48" s="23" t="s">
        <v>407</v>
      </c>
      <c r="C48" s="23" t="s">
        <v>432</v>
      </c>
      <c r="D48" s="23">
        <v>1090000</v>
      </c>
      <c r="E48" s="23" t="s">
        <v>277</v>
      </c>
      <c r="F48" s="23" t="str">
        <f t="shared" si="0"/>
        <v>rtdc.l.rtdc.4053:itc</v>
      </c>
      <c r="G48" s="8">
        <f t="shared" si="1"/>
        <v>42635.311481481483</v>
      </c>
    </row>
    <row r="49" spans="1:7" x14ac:dyDescent="0.25">
      <c r="A49" s="8">
        <v>42635.318136574075</v>
      </c>
      <c r="B49" s="23" t="s">
        <v>172</v>
      </c>
      <c r="C49" s="23" t="s">
        <v>433</v>
      </c>
      <c r="D49" s="23">
        <v>1100000</v>
      </c>
      <c r="E49" s="23" t="s">
        <v>301</v>
      </c>
      <c r="F49" s="23" t="str">
        <f t="shared" si="0"/>
        <v>rtdc.l.rtdc.4026:itc</v>
      </c>
      <c r="G49" s="8">
        <f t="shared" si="1"/>
        <v>42635.318136574075</v>
      </c>
    </row>
    <row r="50" spans="1:7" x14ac:dyDescent="0.25">
      <c r="A50" s="8">
        <v>42635.321620370371</v>
      </c>
      <c r="B50" s="23" t="s">
        <v>391</v>
      </c>
      <c r="C50" s="23" t="s">
        <v>434</v>
      </c>
      <c r="D50" s="23">
        <v>1310000</v>
      </c>
      <c r="E50" s="23" t="s">
        <v>393</v>
      </c>
      <c r="F50" s="23" t="str">
        <f t="shared" si="0"/>
        <v>rtdc.l.rtdc.4029:itc</v>
      </c>
      <c r="G50" s="8">
        <f t="shared" si="1"/>
        <v>42635.321620370371</v>
      </c>
    </row>
    <row r="51" spans="1:7" x14ac:dyDescent="0.25">
      <c r="A51" s="8">
        <v>42635.322696759256</v>
      </c>
      <c r="B51" s="23" t="s">
        <v>172</v>
      </c>
      <c r="C51" s="23" t="s">
        <v>433</v>
      </c>
      <c r="D51" s="23">
        <v>1100000</v>
      </c>
      <c r="E51" s="23" t="s">
        <v>301</v>
      </c>
      <c r="F51" s="23" t="str">
        <f t="shared" si="0"/>
        <v>rtdc.l.rtdc.4026:itc</v>
      </c>
      <c r="G51" s="8">
        <f t="shared" si="1"/>
        <v>42635.322696759256</v>
      </c>
    </row>
    <row r="52" spans="1:7" x14ac:dyDescent="0.25">
      <c r="A52" s="8">
        <v>42635.326736111114</v>
      </c>
      <c r="B52" s="23" t="s">
        <v>340</v>
      </c>
      <c r="C52" s="23" t="s">
        <v>435</v>
      </c>
      <c r="D52" s="23">
        <v>2010000</v>
      </c>
      <c r="E52" s="23" t="s">
        <v>336</v>
      </c>
      <c r="F52" s="23" t="str">
        <f t="shared" si="0"/>
        <v>rtdc.l.rtdc.4032:itc</v>
      </c>
      <c r="G52" s="8">
        <f t="shared" si="1"/>
        <v>42635.326736111114</v>
      </c>
    </row>
    <row r="53" spans="1:7" x14ac:dyDescent="0.25">
      <c r="A53" s="8">
        <v>42635.330092592594</v>
      </c>
      <c r="B53" s="23" t="s">
        <v>249</v>
      </c>
      <c r="C53" s="23" t="s">
        <v>436</v>
      </c>
      <c r="D53" s="23">
        <v>1360000</v>
      </c>
      <c r="E53" s="23" t="s">
        <v>343</v>
      </c>
      <c r="F53" s="23" t="str">
        <f t="shared" si="0"/>
        <v>rtdc.l.rtdc.4045:itc</v>
      </c>
      <c r="G53" s="8">
        <f t="shared" si="1"/>
        <v>42635.330092592594</v>
      </c>
    </row>
    <row r="54" spans="1:7" x14ac:dyDescent="0.25">
      <c r="A54" s="8">
        <v>42635.330868055556</v>
      </c>
      <c r="B54" s="23" t="s">
        <v>240</v>
      </c>
      <c r="C54" s="23" t="s">
        <v>437</v>
      </c>
      <c r="D54" s="23">
        <v>1760000</v>
      </c>
      <c r="E54" s="23" t="s">
        <v>339</v>
      </c>
      <c r="F54" s="23" t="str">
        <f t="shared" si="0"/>
        <v>rtdc.l.rtdc.4044:itc</v>
      </c>
      <c r="G54" s="8">
        <f t="shared" si="1"/>
        <v>42635.330868055556</v>
      </c>
    </row>
    <row r="55" spans="1:7" x14ac:dyDescent="0.25">
      <c r="A55" s="8">
        <v>42635.339143518519</v>
      </c>
      <c r="B55" s="23" t="s">
        <v>261</v>
      </c>
      <c r="C55" s="23" t="s">
        <v>438</v>
      </c>
      <c r="D55" s="23">
        <v>1830000</v>
      </c>
      <c r="E55" s="23" t="s">
        <v>400</v>
      </c>
      <c r="F55" s="23" t="str">
        <f t="shared" si="0"/>
        <v>rtdc.l.rtdc.4012:itc</v>
      </c>
      <c r="G55" s="8">
        <f t="shared" si="1"/>
        <v>42635.339143518519</v>
      </c>
    </row>
    <row r="56" spans="1:7" x14ac:dyDescent="0.25">
      <c r="A56" s="8">
        <v>42635.34097222222</v>
      </c>
      <c r="B56" s="23" t="s">
        <v>276</v>
      </c>
      <c r="C56" s="23" t="s">
        <v>439</v>
      </c>
      <c r="D56" s="23">
        <v>900000</v>
      </c>
      <c r="E56" s="23" t="s">
        <v>302</v>
      </c>
      <c r="F56" s="23" t="str">
        <f t="shared" si="0"/>
        <v>rtdc.l.rtdc.4002:itc</v>
      </c>
      <c r="G56" s="8">
        <f t="shared" si="1"/>
        <v>42635.34097222222</v>
      </c>
    </row>
    <row r="57" spans="1:7" x14ac:dyDescent="0.25">
      <c r="A57" s="8">
        <v>42635.343738425923</v>
      </c>
      <c r="B57" s="23" t="s">
        <v>171</v>
      </c>
      <c r="C57" s="23" t="s">
        <v>440</v>
      </c>
      <c r="D57" s="23">
        <v>1100000</v>
      </c>
      <c r="E57" s="23" t="s">
        <v>301</v>
      </c>
      <c r="F57" s="23" t="str">
        <f t="shared" si="0"/>
        <v>rtdc.l.rtdc.4025:itc</v>
      </c>
      <c r="G57" s="8">
        <f t="shared" si="1"/>
        <v>42635.343738425923</v>
      </c>
    </row>
    <row r="58" spans="1:7" x14ac:dyDescent="0.25">
      <c r="A58" s="8">
        <v>42635.350069444445</v>
      </c>
      <c r="B58" s="23" t="s">
        <v>396</v>
      </c>
      <c r="C58" s="23" t="s">
        <v>441</v>
      </c>
      <c r="D58" s="23">
        <v>1090000</v>
      </c>
      <c r="E58" s="23" t="s">
        <v>277</v>
      </c>
      <c r="F58" s="23" t="str">
        <f t="shared" si="0"/>
        <v>rtdc.l.rtdc.4054:itc</v>
      </c>
      <c r="G58" s="8">
        <f t="shared" si="1"/>
        <v>42635.350069444445</v>
      </c>
    </row>
    <row r="59" spans="1:7" x14ac:dyDescent="0.25">
      <c r="A59" s="8">
        <v>42635.351006944446</v>
      </c>
      <c r="B59" s="23" t="s">
        <v>250</v>
      </c>
      <c r="C59" s="23" t="s">
        <v>442</v>
      </c>
      <c r="D59" s="23">
        <v>1110000</v>
      </c>
      <c r="E59" s="23" t="s">
        <v>267</v>
      </c>
      <c r="F59" s="23" t="str">
        <f t="shared" si="0"/>
        <v>rtdc.l.rtdc.4003:itc</v>
      </c>
      <c r="G59" s="8">
        <f t="shared" si="1"/>
        <v>42635.351006944446</v>
      </c>
    </row>
    <row r="60" spans="1:7" x14ac:dyDescent="0.25">
      <c r="A60" s="8">
        <v>42635.35596064815</v>
      </c>
      <c r="B60" s="23" t="s">
        <v>260</v>
      </c>
      <c r="C60" s="23" t="s">
        <v>443</v>
      </c>
      <c r="D60" s="23">
        <v>1830000</v>
      </c>
      <c r="E60" s="23" t="s">
        <v>400</v>
      </c>
      <c r="F60" s="23" t="str">
        <f t="shared" si="0"/>
        <v>rtdc.l.rtdc.4011:itc</v>
      </c>
      <c r="G60" s="8">
        <f t="shared" si="1"/>
        <v>42635.35596064815</v>
      </c>
    </row>
    <row r="61" spans="1:7" x14ac:dyDescent="0.25">
      <c r="A61" s="8">
        <v>42635.360266203701</v>
      </c>
      <c r="B61" s="23" t="s">
        <v>172</v>
      </c>
      <c r="C61" s="23" t="s">
        <v>444</v>
      </c>
      <c r="D61" s="23">
        <v>1100000</v>
      </c>
      <c r="E61" s="23" t="s">
        <v>301</v>
      </c>
      <c r="F61" s="23" t="str">
        <f t="shared" si="0"/>
        <v>rtdc.l.rtdc.4026:itc</v>
      </c>
      <c r="G61" s="8">
        <f t="shared" si="1"/>
        <v>42635.360266203701</v>
      </c>
    </row>
    <row r="62" spans="1:7" x14ac:dyDescent="0.25">
      <c r="A62" s="8">
        <v>42635.361076388886</v>
      </c>
      <c r="B62" s="23" t="s">
        <v>341</v>
      </c>
      <c r="C62" s="23" t="s">
        <v>445</v>
      </c>
      <c r="D62" s="23">
        <v>2010000</v>
      </c>
      <c r="E62" s="23" t="s">
        <v>336</v>
      </c>
      <c r="F62" s="23" t="str">
        <f t="shared" si="0"/>
        <v>rtdc.l.rtdc.4031:itc</v>
      </c>
      <c r="G62" s="8">
        <f t="shared" si="1"/>
        <v>42635.361076388886</v>
      </c>
    </row>
    <row r="63" spans="1:7" x14ac:dyDescent="0.25">
      <c r="A63" s="8">
        <v>42635.361111111109</v>
      </c>
      <c r="B63" s="23" t="s">
        <v>422</v>
      </c>
      <c r="C63" s="23" t="s">
        <v>446</v>
      </c>
      <c r="D63" s="23">
        <v>1310000</v>
      </c>
      <c r="E63" s="23" t="s">
        <v>393</v>
      </c>
      <c r="F63" s="23" t="str">
        <f t="shared" si="0"/>
        <v>rtdc.l.rtdc.4030:itc</v>
      </c>
      <c r="G63" s="8">
        <f t="shared" si="1"/>
        <v>42635.361111111109</v>
      </c>
    </row>
    <row r="64" spans="1:7" x14ac:dyDescent="0.25">
      <c r="A64" s="29">
        <v>42635.368923611109</v>
      </c>
      <c r="B64" s="23" t="s">
        <v>241</v>
      </c>
      <c r="C64" s="23" t="s">
        <v>447</v>
      </c>
      <c r="D64" s="23">
        <v>1760000</v>
      </c>
      <c r="E64" s="23" t="s">
        <v>339</v>
      </c>
      <c r="F64" s="23" t="str">
        <f t="shared" si="0"/>
        <v>rtdc.l.rtdc.4043:itc</v>
      </c>
      <c r="G64" s="8">
        <f t="shared" si="1"/>
        <v>42635.368923611109</v>
      </c>
    </row>
    <row r="65" spans="1:7" x14ac:dyDescent="0.25">
      <c r="A65" s="8">
        <v>42635.37259259259</v>
      </c>
      <c r="B65" s="23" t="s">
        <v>181</v>
      </c>
      <c r="C65" s="23" t="s">
        <v>448</v>
      </c>
      <c r="D65" s="23">
        <v>1360000</v>
      </c>
      <c r="E65" s="23" t="s">
        <v>343</v>
      </c>
      <c r="F65" s="23" t="str">
        <f t="shared" si="0"/>
        <v>rtdc.l.rtdc.4046:itc</v>
      </c>
      <c r="G65" s="8">
        <f t="shared" si="1"/>
        <v>42635.37259259259</v>
      </c>
    </row>
    <row r="66" spans="1:7" x14ac:dyDescent="0.25">
      <c r="A66" s="8">
        <v>42635.374328703707</v>
      </c>
      <c r="B66" s="23" t="s">
        <v>278</v>
      </c>
      <c r="C66" s="23" t="s">
        <v>449</v>
      </c>
      <c r="D66" s="23">
        <v>900000</v>
      </c>
      <c r="E66" s="23" t="s">
        <v>302</v>
      </c>
      <c r="F66" s="23" t="str">
        <f t="shared" ref="F66:F129" si="2">B66</f>
        <v>rtdc.l.rtdc.4001:itc</v>
      </c>
      <c r="G66" s="8">
        <f t="shared" ref="G66:G129" si="3">A66</f>
        <v>42635.374328703707</v>
      </c>
    </row>
    <row r="67" spans="1:7" x14ac:dyDescent="0.25">
      <c r="A67" s="8">
        <v>42635.382199074076</v>
      </c>
      <c r="B67" s="23" t="s">
        <v>251</v>
      </c>
      <c r="C67" s="23" t="s">
        <v>450</v>
      </c>
      <c r="D67" s="23">
        <v>1110000</v>
      </c>
      <c r="E67" s="23" t="s">
        <v>267</v>
      </c>
      <c r="F67" s="23" t="str">
        <f t="shared" si="2"/>
        <v>rtdc.l.rtdc.4004:itc</v>
      </c>
      <c r="G67" s="8">
        <f t="shared" si="3"/>
        <v>42635.382199074076</v>
      </c>
    </row>
    <row r="68" spans="1:7" x14ac:dyDescent="0.25">
      <c r="A68" s="8">
        <v>42635.384027777778</v>
      </c>
      <c r="B68" s="23" t="s">
        <v>300</v>
      </c>
      <c r="C68" s="23" t="s">
        <v>451</v>
      </c>
      <c r="D68" s="23">
        <v>1240000</v>
      </c>
      <c r="E68" s="23" t="s">
        <v>452</v>
      </c>
      <c r="F68" s="23" t="str">
        <f t="shared" si="2"/>
        <v>rtdc.l.rtdc.4014:itc</v>
      </c>
      <c r="G68" s="8">
        <f t="shared" si="3"/>
        <v>42635.384027777778</v>
      </c>
    </row>
    <row r="69" spans="1:7" x14ac:dyDescent="0.25">
      <c r="A69" s="8">
        <v>42635.384143518517</v>
      </c>
      <c r="B69" s="23" t="s">
        <v>171</v>
      </c>
      <c r="C69" s="23" t="s">
        <v>453</v>
      </c>
      <c r="D69" s="23">
        <v>1100000</v>
      </c>
      <c r="E69" s="23" t="s">
        <v>301</v>
      </c>
      <c r="F69" s="23" t="str">
        <f t="shared" si="2"/>
        <v>rtdc.l.rtdc.4025:itc</v>
      </c>
      <c r="G69" s="8">
        <f t="shared" si="3"/>
        <v>42635.384143518517</v>
      </c>
    </row>
    <row r="70" spans="1:7" x14ac:dyDescent="0.25">
      <c r="A70" s="8">
        <v>42635.385127314818</v>
      </c>
      <c r="B70" s="23" t="s">
        <v>300</v>
      </c>
      <c r="C70" s="23" t="s">
        <v>451</v>
      </c>
      <c r="D70" s="23">
        <v>1240000</v>
      </c>
      <c r="E70" s="23" t="s">
        <v>452</v>
      </c>
      <c r="F70" s="23" t="str">
        <f t="shared" si="2"/>
        <v>rtdc.l.rtdc.4014:itc</v>
      </c>
      <c r="G70" s="8">
        <f t="shared" si="3"/>
        <v>42635.385127314818</v>
      </c>
    </row>
    <row r="71" spans="1:7" x14ac:dyDescent="0.25">
      <c r="A71" s="8">
        <v>42635.387685185182</v>
      </c>
      <c r="B71" s="23" t="s">
        <v>300</v>
      </c>
      <c r="C71" s="23" t="s">
        <v>451</v>
      </c>
      <c r="D71" s="23">
        <v>1240000</v>
      </c>
      <c r="E71" s="23" t="s">
        <v>452</v>
      </c>
      <c r="F71" s="23" t="str">
        <f t="shared" si="2"/>
        <v>rtdc.l.rtdc.4014:itc</v>
      </c>
      <c r="G71" s="8">
        <f t="shared" si="3"/>
        <v>42635.387685185182</v>
      </c>
    </row>
    <row r="72" spans="1:7" x14ac:dyDescent="0.25">
      <c r="A72" s="8">
        <v>42635.396527777775</v>
      </c>
      <c r="B72" s="23" t="s">
        <v>181</v>
      </c>
      <c r="C72" s="23" t="s">
        <v>448</v>
      </c>
      <c r="D72" s="23">
        <v>1360000</v>
      </c>
      <c r="E72" s="23" t="s">
        <v>343</v>
      </c>
      <c r="F72" s="23" t="str">
        <f t="shared" si="2"/>
        <v>rtdc.l.rtdc.4046:itc</v>
      </c>
      <c r="G72" s="8">
        <f t="shared" si="3"/>
        <v>42635.396527777775</v>
      </c>
    </row>
    <row r="73" spans="1:7" x14ac:dyDescent="0.25">
      <c r="A73" s="8">
        <v>42635.400729166664</v>
      </c>
      <c r="B73" s="23" t="s">
        <v>340</v>
      </c>
      <c r="C73" s="23" t="s">
        <v>454</v>
      </c>
      <c r="D73" s="23">
        <v>2010000</v>
      </c>
      <c r="E73" s="23" t="s">
        <v>336</v>
      </c>
      <c r="F73" s="23" t="str">
        <f t="shared" si="2"/>
        <v>rtdc.l.rtdc.4032:itc</v>
      </c>
      <c r="G73" s="8">
        <f t="shared" si="3"/>
        <v>42635.400729166664</v>
      </c>
    </row>
    <row r="74" spans="1:7" x14ac:dyDescent="0.25">
      <c r="A74" s="8">
        <v>42635.401770833334</v>
      </c>
      <c r="B74" s="23" t="s">
        <v>172</v>
      </c>
      <c r="C74" s="23" t="s">
        <v>455</v>
      </c>
      <c r="D74" s="23">
        <v>1100000</v>
      </c>
      <c r="E74" s="23" t="s">
        <v>301</v>
      </c>
      <c r="F74" s="23" t="str">
        <f t="shared" si="2"/>
        <v>rtdc.l.rtdc.4026:itc</v>
      </c>
      <c r="G74" s="8">
        <f t="shared" si="3"/>
        <v>42635.401770833334</v>
      </c>
    </row>
    <row r="75" spans="1:7" x14ac:dyDescent="0.25">
      <c r="A75" s="8">
        <v>42635.403275462966</v>
      </c>
      <c r="B75" s="23" t="s">
        <v>407</v>
      </c>
      <c r="C75" s="23" t="s">
        <v>456</v>
      </c>
      <c r="D75" s="23">
        <v>1090000</v>
      </c>
      <c r="E75" s="23" t="s">
        <v>277</v>
      </c>
      <c r="F75" s="23" t="str">
        <f t="shared" si="2"/>
        <v>rtdc.l.rtdc.4053:itc</v>
      </c>
      <c r="G75" s="8">
        <f t="shared" si="3"/>
        <v>42635.403275462966</v>
      </c>
    </row>
    <row r="76" spans="1:7" x14ac:dyDescent="0.25">
      <c r="A76" s="8">
        <v>42635.413599537038</v>
      </c>
      <c r="B76" s="23" t="s">
        <v>249</v>
      </c>
      <c r="C76" s="23" t="s">
        <v>457</v>
      </c>
      <c r="D76" s="23">
        <v>1360000</v>
      </c>
      <c r="E76" s="23" t="s">
        <v>343</v>
      </c>
      <c r="F76" s="23" t="str">
        <f t="shared" si="2"/>
        <v>rtdc.l.rtdc.4045:itc</v>
      </c>
      <c r="G76" s="8">
        <f t="shared" si="3"/>
        <v>42635.413599537038</v>
      </c>
    </row>
    <row r="77" spans="1:7" x14ac:dyDescent="0.25">
      <c r="A77" s="8">
        <v>42635.413703703707</v>
      </c>
      <c r="B77" s="23" t="s">
        <v>391</v>
      </c>
      <c r="C77" s="23" t="s">
        <v>458</v>
      </c>
      <c r="D77" s="23">
        <v>1310000</v>
      </c>
      <c r="E77" s="23" t="s">
        <v>393</v>
      </c>
      <c r="F77" s="23" t="str">
        <f t="shared" si="2"/>
        <v>rtdc.l.rtdc.4029:itc</v>
      </c>
      <c r="G77" s="8">
        <f t="shared" si="3"/>
        <v>42635.413703703707</v>
      </c>
    </row>
    <row r="78" spans="1:7" x14ac:dyDescent="0.25">
      <c r="A78" s="8">
        <v>42635.4215625</v>
      </c>
      <c r="B78" s="23" t="s">
        <v>276</v>
      </c>
      <c r="C78" s="23" t="s">
        <v>459</v>
      </c>
      <c r="D78" s="23">
        <v>900000</v>
      </c>
      <c r="E78" s="23" t="s">
        <v>302</v>
      </c>
      <c r="F78" s="23" t="str">
        <f t="shared" si="2"/>
        <v>rtdc.l.rtdc.4002:itc</v>
      </c>
      <c r="G78" s="8">
        <f t="shared" si="3"/>
        <v>42635.4215625</v>
      </c>
    </row>
    <row r="79" spans="1:7" x14ac:dyDescent="0.25">
      <c r="A79" s="8">
        <v>42635.424050925925</v>
      </c>
      <c r="B79" s="23" t="s">
        <v>303</v>
      </c>
      <c r="C79" s="23" t="s">
        <v>460</v>
      </c>
      <c r="D79" s="23">
        <v>1240000</v>
      </c>
      <c r="E79" s="23" t="s">
        <v>452</v>
      </c>
      <c r="F79" s="23" t="str">
        <f t="shared" si="2"/>
        <v>rtdc.l.rtdc.4013:itc</v>
      </c>
      <c r="G79" s="8">
        <f t="shared" si="3"/>
        <v>42635.424050925925</v>
      </c>
    </row>
    <row r="80" spans="1:7" x14ac:dyDescent="0.25">
      <c r="A80" s="8">
        <v>42635.426018518519</v>
      </c>
      <c r="B80" s="23" t="s">
        <v>250</v>
      </c>
      <c r="C80" s="23" t="s">
        <v>461</v>
      </c>
      <c r="D80" s="23">
        <v>1830000</v>
      </c>
      <c r="E80" s="23" t="s">
        <v>400</v>
      </c>
      <c r="F80" s="23" t="str">
        <f t="shared" si="2"/>
        <v>rtdc.l.rtdc.4003:itc</v>
      </c>
      <c r="G80" s="8">
        <f t="shared" si="3"/>
        <v>42635.426018518519</v>
      </c>
    </row>
    <row r="81" spans="1:7" x14ac:dyDescent="0.25">
      <c r="A81" s="8">
        <v>42635.426990740743</v>
      </c>
      <c r="B81" s="23" t="s">
        <v>171</v>
      </c>
      <c r="C81" s="23" t="s">
        <v>462</v>
      </c>
      <c r="D81" s="23">
        <v>1100000</v>
      </c>
      <c r="E81" s="23" t="s">
        <v>301</v>
      </c>
      <c r="F81" s="23" t="str">
        <f t="shared" si="2"/>
        <v>rtdc.l.rtdc.4025:itc</v>
      </c>
      <c r="G81" s="8">
        <f t="shared" si="3"/>
        <v>42635.426990740743</v>
      </c>
    </row>
    <row r="82" spans="1:7" x14ac:dyDescent="0.25">
      <c r="A82" s="8">
        <v>42635.43513888889</v>
      </c>
      <c r="B82" s="23" t="s">
        <v>396</v>
      </c>
      <c r="C82" s="23" t="s">
        <v>463</v>
      </c>
      <c r="D82" s="23">
        <v>1090000</v>
      </c>
      <c r="E82" s="23" t="s">
        <v>277</v>
      </c>
      <c r="F82" s="23" t="str">
        <f t="shared" si="2"/>
        <v>rtdc.l.rtdc.4054:itc</v>
      </c>
      <c r="G82" s="8">
        <f t="shared" si="3"/>
        <v>42635.43513888889</v>
      </c>
    </row>
    <row r="83" spans="1:7" x14ac:dyDescent="0.25">
      <c r="A83" s="8">
        <v>42635.436782407407</v>
      </c>
      <c r="B83" s="23" t="s">
        <v>341</v>
      </c>
      <c r="C83" s="23" t="s">
        <v>464</v>
      </c>
      <c r="D83" s="23">
        <v>1110000</v>
      </c>
      <c r="E83" s="23" t="s">
        <v>267</v>
      </c>
      <c r="F83" s="23" t="str">
        <f t="shared" si="2"/>
        <v>rtdc.l.rtdc.4031:itc</v>
      </c>
      <c r="G83" s="8">
        <f t="shared" si="3"/>
        <v>42635.436782407407</v>
      </c>
    </row>
    <row r="84" spans="1:7" x14ac:dyDescent="0.25">
      <c r="A84" s="8">
        <v>42635.441030092596</v>
      </c>
      <c r="B84" s="23" t="s">
        <v>279</v>
      </c>
      <c r="C84" s="23" t="s">
        <v>465</v>
      </c>
      <c r="D84" s="23">
        <v>2000000</v>
      </c>
      <c r="E84" s="23" t="s">
        <v>122</v>
      </c>
      <c r="F84" s="23" t="str">
        <f t="shared" si="2"/>
        <v>rtdc.l.rtdc.4008:itc</v>
      </c>
      <c r="G84" s="8">
        <f t="shared" si="3"/>
        <v>42635.441030092596</v>
      </c>
    </row>
    <row r="85" spans="1:7" x14ac:dyDescent="0.25">
      <c r="A85" s="8">
        <v>42635.44190972222</v>
      </c>
      <c r="B85" s="23" t="s">
        <v>279</v>
      </c>
      <c r="C85" s="23" t="s">
        <v>465</v>
      </c>
      <c r="D85" s="23">
        <v>2000000</v>
      </c>
      <c r="E85" s="23" t="s">
        <v>122</v>
      </c>
      <c r="F85" s="23" t="str">
        <f t="shared" si="2"/>
        <v>rtdc.l.rtdc.4008:itc</v>
      </c>
      <c r="G85" s="8">
        <f t="shared" si="3"/>
        <v>42635.44190972222</v>
      </c>
    </row>
    <row r="86" spans="1:7" x14ac:dyDescent="0.25">
      <c r="A86" s="8">
        <v>42635.442465277774</v>
      </c>
      <c r="B86" s="23" t="s">
        <v>279</v>
      </c>
      <c r="C86" s="23" t="s">
        <v>465</v>
      </c>
      <c r="D86" s="23">
        <v>2000000</v>
      </c>
      <c r="E86" s="23" t="s">
        <v>122</v>
      </c>
      <c r="F86" s="23" t="str">
        <f t="shared" si="2"/>
        <v>rtdc.l.rtdc.4008:itc</v>
      </c>
      <c r="G86" s="8">
        <f t="shared" si="3"/>
        <v>42635.442465277774</v>
      </c>
    </row>
    <row r="87" spans="1:7" x14ac:dyDescent="0.25">
      <c r="A87" s="8">
        <v>42635.442743055559</v>
      </c>
      <c r="B87" s="23" t="s">
        <v>172</v>
      </c>
      <c r="C87" s="23" t="s">
        <v>466</v>
      </c>
      <c r="D87" s="23">
        <v>1100000</v>
      </c>
      <c r="E87" s="23" t="s">
        <v>301</v>
      </c>
      <c r="F87" s="23" t="str">
        <f t="shared" si="2"/>
        <v>rtdc.l.rtdc.4026:itc</v>
      </c>
      <c r="G87" s="8">
        <f t="shared" si="3"/>
        <v>42635.442743055559</v>
      </c>
    </row>
    <row r="88" spans="1:7" x14ac:dyDescent="0.25">
      <c r="A88" s="8">
        <v>42635.452187499999</v>
      </c>
      <c r="B88" s="23" t="s">
        <v>181</v>
      </c>
      <c r="C88" s="23" t="s">
        <v>467</v>
      </c>
      <c r="D88" s="23">
        <v>1340000</v>
      </c>
      <c r="E88" s="23" t="s">
        <v>406</v>
      </c>
      <c r="F88" s="23" t="str">
        <f t="shared" si="2"/>
        <v>rtdc.l.rtdc.4046:itc</v>
      </c>
      <c r="G88" s="8">
        <f t="shared" si="3"/>
        <v>42635.452187499999</v>
      </c>
    </row>
    <row r="89" spans="1:7" x14ac:dyDescent="0.25">
      <c r="A89" s="8">
        <v>42635.453969907408</v>
      </c>
      <c r="B89" s="23" t="s">
        <v>422</v>
      </c>
      <c r="C89" s="23" t="s">
        <v>468</v>
      </c>
      <c r="D89" s="23">
        <v>1310000</v>
      </c>
      <c r="E89" s="23" t="s">
        <v>393</v>
      </c>
      <c r="F89" s="23" t="str">
        <f t="shared" si="2"/>
        <v>rtdc.l.rtdc.4030:itc</v>
      </c>
      <c r="G89" s="8">
        <f t="shared" si="3"/>
        <v>42635.453969907408</v>
      </c>
    </row>
    <row r="90" spans="1:7" x14ac:dyDescent="0.25">
      <c r="A90" s="8">
        <v>42635.45579861111</v>
      </c>
      <c r="B90" s="23" t="s">
        <v>307</v>
      </c>
      <c r="C90" s="23" t="s">
        <v>469</v>
      </c>
      <c r="D90" s="23">
        <v>1810000</v>
      </c>
      <c r="E90" s="23" t="s">
        <v>470</v>
      </c>
      <c r="F90" s="23" t="str">
        <f t="shared" si="2"/>
        <v>rtdc.l.rtdc.4005:itc</v>
      </c>
      <c r="G90" s="8">
        <f t="shared" si="3"/>
        <v>42635.45579861111</v>
      </c>
    </row>
    <row r="91" spans="1:7" x14ac:dyDescent="0.25">
      <c r="A91" s="8">
        <v>42635.456747685188</v>
      </c>
      <c r="B91" s="23" t="s">
        <v>181</v>
      </c>
      <c r="C91" s="23" t="s">
        <v>467</v>
      </c>
      <c r="D91" s="23">
        <v>2000000</v>
      </c>
      <c r="E91" s="23" t="s">
        <v>122</v>
      </c>
      <c r="F91" s="23" t="str">
        <f t="shared" si="2"/>
        <v>rtdc.l.rtdc.4046:itc</v>
      </c>
      <c r="G91" s="8">
        <f t="shared" si="3"/>
        <v>42635.456747685188</v>
      </c>
    </row>
    <row r="92" spans="1:7" x14ac:dyDescent="0.25">
      <c r="A92" s="8">
        <v>42635.458506944444</v>
      </c>
      <c r="B92" s="23" t="s">
        <v>278</v>
      </c>
      <c r="C92" s="23" t="s">
        <v>471</v>
      </c>
      <c r="D92" s="23">
        <v>900000</v>
      </c>
      <c r="E92" s="23" t="s">
        <v>302</v>
      </c>
      <c r="F92" s="23" t="str">
        <f t="shared" si="2"/>
        <v>rtdc.l.rtdc.4001:itc</v>
      </c>
      <c r="G92" s="8">
        <f t="shared" si="3"/>
        <v>42635.458506944444</v>
      </c>
    </row>
    <row r="93" spans="1:7" x14ac:dyDescent="0.25">
      <c r="A93" s="8">
        <v>42635.463148148148</v>
      </c>
      <c r="B93" s="23" t="s">
        <v>300</v>
      </c>
      <c r="C93" s="23" t="s">
        <v>472</v>
      </c>
      <c r="D93" s="23">
        <v>1360000</v>
      </c>
      <c r="E93" s="23" t="s">
        <v>343</v>
      </c>
      <c r="F93" s="23" t="str">
        <f t="shared" si="2"/>
        <v>rtdc.l.rtdc.4014:itc</v>
      </c>
      <c r="G93" s="8">
        <f t="shared" si="3"/>
        <v>42635.463148148148</v>
      </c>
    </row>
    <row r="94" spans="1:7" x14ac:dyDescent="0.25">
      <c r="A94" s="8">
        <v>42635.463368055556</v>
      </c>
      <c r="B94" s="23" t="s">
        <v>251</v>
      </c>
      <c r="C94" s="23" t="s">
        <v>473</v>
      </c>
      <c r="D94" s="23">
        <v>1830000</v>
      </c>
      <c r="E94" s="23" t="s">
        <v>400</v>
      </c>
      <c r="F94" s="23" t="str">
        <f t="shared" si="2"/>
        <v>rtdc.l.rtdc.4004:itc</v>
      </c>
      <c r="G94" s="8">
        <f t="shared" si="3"/>
        <v>42635.463368055556</v>
      </c>
    </row>
    <row r="95" spans="1:7" x14ac:dyDescent="0.25">
      <c r="A95" s="8">
        <v>42635.467673611114</v>
      </c>
      <c r="B95" s="23" t="s">
        <v>171</v>
      </c>
      <c r="C95" s="23" t="s">
        <v>474</v>
      </c>
      <c r="D95" s="23">
        <v>1100000</v>
      </c>
      <c r="E95" s="23" t="s">
        <v>301</v>
      </c>
      <c r="F95" s="23" t="str">
        <f t="shared" si="2"/>
        <v>rtdc.l.rtdc.4025:itc</v>
      </c>
      <c r="G95" s="8">
        <f t="shared" si="3"/>
        <v>42635.467673611114</v>
      </c>
    </row>
    <row r="96" spans="1:7" x14ac:dyDescent="0.25">
      <c r="A96" s="8">
        <v>42635.472824074073</v>
      </c>
      <c r="B96" s="23" t="s">
        <v>407</v>
      </c>
      <c r="C96" s="23" t="s">
        <v>475</v>
      </c>
      <c r="D96" s="23">
        <v>2040000</v>
      </c>
      <c r="E96" s="23" t="s">
        <v>345</v>
      </c>
      <c r="F96" s="23" t="str">
        <f t="shared" si="2"/>
        <v>rtdc.l.rtdc.4053:itc</v>
      </c>
      <c r="G96" s="8">
        <f t="shared" si="3"/>
        <v>42635.472824074073</v>
      </c>
    </row>
    <row r="97" spans="1:7" x14ac:dyDescent="0.25">
      <c r="A97" s="8">
        <v>42635.4762962963</v>
      </c>
      <c r="B97" s="23" t="s">
        <v>340</v>
      </c>
      <c r="C97" s="23" t="s">
        <v>476</v>
      </c>
      <c r="D97" s="23">
        <v>1110000</v>
      </c>
      <c r="E97" s="23" t="s">
        <v>267</v>
      </c>
      <c r="F97" s="23" t="str">
        <f t="shared" si="2"/>
        <v>rtdc.l.rtdc.4032:itc</v>
      </c>
      <c r="G97" s="8">
        <f t="shared" si="3"/>
        <v>42635.4762962963</v>
      </c>
    </row>
    <row r="98" spans="1:7" x14ac:dyDescent="0.25">
      <c r="A98" s="8">
        <v>42635.484583333331</v>
      </c>
      <c r="B98" s="23" t="s">
        <v>275</v>
      </c>
      <c r="C98" s="23" t="s">
        <v>477</v>
      </c>
      <c r="D98" s="23">
        <v>1760000</v>
      </c>
      <c r="E98" s="23" t="s">
        <v>339</v>
      </c>
      <c r="F98" s="23" t="str">
        <f t="shared" si="2"/>
        <v>rtdc.l.rtdc.4007:itc</v>
      </c>
      <c r="G98" s="8">
        <f t="shared" si="3"/>
        <v>42635.484583333331</v>
      </c>
    </row>
    <row r="99" spans="1:7" x14ac:dyDescent="0.25">
      <c r="A99" s="8">
        <v>42635.485011574077</v>
      </c>
      <c r="B99" s="23" t="s">
        <v>172</v>
      </c>
      <c r="C99" s="23" t="s">
        <v>478</v>
      </c>
      <c r="D99" s="23">
        <v>1100000</v>
      </c>
      <c r="E99" s="23" t="s">
        <v>301</v>
      </c>
      <c r="F99" s="23" t="str">
        <f t="shared" si="2"/>
        <v>rtdc.l.rtdc.4026:itc</v>
      </c>
      <c r="G99" s="8">
        <f t="shared" si="3"/>
        <v>42635.485011574077</v>
      </c>
    </row>
    <row r="100" spans="1:7" x14ac:dyDescent="0.25">
      <c r="A100" s="8">
        <v>42635.48537037037</v>
      </c>
      <c r="B100" s="23" t="s">
        <v>275</v>
      </c>
      <c r="C100" s="23" t="s">
        <v>477</v>
      </c>
      <c r="D100" s="23">
        <v>1760000</v>
      </c>
      <c r="E100" s="23" t="s">
        <v>339</v>
      </c>
      <c r="F100" s="23" t="str">
        <f t="shared" si="2"/>
        <v>rtdc.l.rtdc.4007:itc</v>
      </c>
      <c r="G100" s="8">
        <f t="shared" si="3"/>
        <v>42635.48537037037</v>
      </c>
    </row>
    <row r="101" spans="1:7" x14ac:dyDescent="0.25">
      <c r="A101" s="8">
        <v>42635.485648148147</v>
      </c>
      <c r="B101" s="23" t="s">
        <v>391</v>
      </c>
      <c r="C101" s="23" t="s">
        <v>479</v>
      </c>
      <c r="D101" s="23">
        <v>1810000</v>
      </c>
      <c r="E101" s="23" t="s">
        <v>470</v>
      </c>
      <c r="F101" s="23" t="str">
        <f t="shared" si="2"/>
        <v>rtdc.l.rtdc.4029:itc</v>
      </c>
      <c r="G101" s="8">
        <f t="shared" si="3"/>
        <v>42635.485648148147</v>
      </c>
    </row>
    <row r="102" spans="1:7" x14ac:dyDescent="0.25">
      <c r="A102" s="8">
        <v>42635.494259259256</v>
      </c>
      <c r="B102" s="23" t="s">
        <v>249</v>
      </c>
      <c r="C102" s="23" t="s">
        <v>480</v>
      </c>
      <c r="D102" s="23">
        <v>2000000</v>
      </c>
      <c r="E102" s="23" t="s">
        <v>122</v>
      </c>
      <c r="F102" s="23" t="str">
        <f t="shared" si="2"/>
        <v>rtdc.l.rtdc.4045:itc</v>
      </c>
      <c r="G102" s="8">
        <f t="shared" si="3"/>
        <v>42635.494259259256</v>
      </c>
    </row>
    <row r="103" spans="1:7" x14ac:dyDescent="0.25">
      <c r="A103" s="8">
        <v>42635.496168981481</v>
      </c>
      <c r="B103" s="23" t="s">
        <v>303</v>
      </c>
      <c r="C103" s="23" t="s">
        <v>481</v>
      </c>
      <c r="D103" s="23">
        <v>1360000</v>
      </c>
      <c r="E103" s="23" t="s">
        <v>343</v>
      </c>
      <c r="F103" s="23" t="str">
        <f t="shared" si="2"/>
        <v>rtdc.l.rtdc.4013:itc</v>
      </c>
      <c r="G103" s="8">
        <f t="shared" si="3"/>
        <v>42635.496168981481</v>
      </c>
    </row>
    <row r="104" spans="1:7" x14ac:dyDescent="0.25">
      <c r="A104" s="8">
        <v>42635.498032407406</v>
      </c>
      <c r="B104" s="23" t="s">
        <v>276</v>
      </c>
      <c r="C104" s="23" t="s">
        <v>482</v>
      </c>
      <c r="D104" s="23">
        <v>1140000</v>
      </c>
      <c r="E104" s="23" t="s">
        <v>280</v>
      </c>
      <c r="F104" s="23" t="str">
        <f t="shared" si="2"/>
        <v>rtdc.l.rtdc.4002:itc</v>
      </c>
      <c r="G104" s="8">
        <f t="shared" si="3"/>
        <v>42635.498032407406</v>
      </c>
    </row>
    <row r="105" spans="1:7" x14ac:dyDescent="0.25">
      <c r="A105" s="8">
        <v>42635.50203703704</v>
      </c>
      <c r="B105" s="23" t="s">
        <v>305</v>
      </c>
      <c r="C105" s="23" t="s">
        <v>483</v>
      </c>
      <c r="D105" s="23">
        <v>1340000</v>
      </c>
      <c r="E105" s="23" t="s">
        <v>406</v>
      </c>
      <c r="F105" s="23" t="str">
        <f t="shared" si="2"/>
        <v>rtdc.l.rtdc.4006:itc</v>
      </c>
      <c r="G105" s="8">
        <f t="shared" si="3"/>
        <v>42635.50203703704</v>
      </c>
    </row>
    <row r="106" spans="1:7" x14ac:dyDescent="0.25">
      <c r="A106" s="8">
        <v>42635.50545138889</v>
      </c>
      <c r="B106" s="23" t="s">
        <v>250</v>
      </c>
      <c r="C106" s="23" t="s">
        <v>484</v>
      </c>
      <c r="D106" s="23">
        <v>2220000</v>
      </c>
      <c r="E106" s="23" t="s">
        <v>344</v>
      </c>
      <c r="F106" s="23" t="str">
        <f t="shared" si="2"/>
        <v>rtdc.l.rtdc.4003:itc</v>
      </c>
      <c r="G106" s="8">
        <f t="shared" si="3"/>
        <v>42635.50545138889</v>
      </c>
    </row>
    <row r="107" spans="1:7" x14ac:dyDescent="0.25">
      <c r="A107" s="8">
        <v>42635.509027777778</v>
      </c>
      <c r="B107" s="23" t="s">
        <v>171</v>
      </c>
      <c r="C107" s="23" t="s">
        <v>485</v>
      </c>
      <c r="D107" s="23">
        <v>1100000</v>
      </c>
      <c r="E107" s="23" t="s">
        <v>301</v>
      </c>
      <c r="F107" s="23" t="str">
        <f t="shared" si="2"/>
        <v>rtdc.l.rtdc.4025:itc</v>
      </c>
      <c r="G107" s="8">
        <f t="shared" si="3"/>
        <v>42635.509027777778</v>
      </c>
    </row>
    <row r="108" spans="1:7" x14ac:dyDescent="0.25">
      <c r="A108" s="8">
        <v>42635.516932870371</v>
      </c>
      <c r="B108" s="23" t="s">
        <v>396</v>
      </c>
      <c r="C108" s="23" t="s">
        <v>486</v>
      </c>
      <c r="D108" s="23">
        <v>2040000</v>
      </c>
      <c r="E108" s="23" t="s">
        <v>345</v>
      </c>
      <c r="F108" s="23" t="str">
        <f t="shared" si="2"/>
        <v>rtdc.l.rtdc.4054:itc</v>
      </c>
      <c r="G108" s="8">
        <f t="shared" si="3"/>
        <v>42635.516932870371</v>
      </c>
    </row>
    <row r="109" spans="1:7" x14ac:dyDescent="0.25">
      <c r="A109" s="8">
        <v>42635.517326388886</v>
      </c>
      <c r="B109" s="23" t="s">
        <v>341</v>
      </c>
      <c r="C109" s="23" t="s">
        <v>487</v>
      </c>
      <c r="D109" s="23">
        <v>1470000</v>
      </c>
      <c r="E109" s="23" t="s">
        <v>488</v>
      </c>
      <c r="F109" s="23" t="str">
        <f t="shared" si="2"/>
        <v>rtdc.l.rtdc.4031:itc</v>
      </c>
      <c r="G109" s="8">
        <f t="shared" si="3"/>
        <v>42635.517326388886</v>
      </c>
    </row>
    <row r="110" spans="1:7" x14ac:dyDescent="0.25">
      <c r="A110" s="8">
        <v>42635.517627314817</v>
      </c>
      <c r="B110" s="23" t="s">
        <v>422</v>
      </c>
      <c r="C110" s="23" t="s">
        <v>489</v>
      </c>
      <c r="D110" s="23">
        <v>1810000</v>
      </c>
      <c r="E110" s="23" t="s">
        <v>470</v>
      </c>
      <c r="F110" s="23" t="str">
        <f t="shared" si="2"/>
        <v>rtdc.l.rtdc.4030:itc</v>
      </c>
      <c r="G110" s="8">
        <f t="shared" si="3"/>
        <v>42635.517627314817</v>
      </c>
    </row>
    <row r="111" spans="1:7" x14ac:dyDescent="0.25">
      <c r="A111" s="8">
        <v>42635.525925925926</v>
      </c>
      <c r="B111" s="23" t="s">
        <v>172</v>
      </c>
      <c r="C111" s="23" t="s">
        <v>490</v>
      </c>
      <c r="D111" s="23">
        <v>1100000</v>
      </c>
      <c r="E111" s="23" t="s">
        <v>301</v>
      </c>
      <c r="F111" s="23" t="str">
        <f t="shared" si="2"/>
        <v>rtdc.l.rtdc.4026:itc</v>
      </c>
      <c r="G111" s="8">
        <f t="shared" si="3"/>
        <v>42635.525925925926</v>
      </c>
    </row>
    <row r="112" spans="1:7" x14ac:dyDescent="0.25">
      <c r="A112" s="8">
        <v>42635.526875000003</v>
      </c>
      <c r="B112" s="23" t="s">
        <v>181</v>
      </c>
      <c r="C112" s="23" t="s">
        <v>491</v>
      </c>
      <c r="D112" s="23">
        <v>2000000</v>
      </c>
      <c r="E112" s="23" t="s">
        <v>122</v>
      </c>
      <c r="F112" s="23" t="str">
        <f t="shared" si="2"/>
        <v>rtdc.l.rtdc.4046:itc</v>
      </c>
      <c r="G112" s="8">
        <f t="shared" si="3"/>
        <v>42635.526875000003</v>
      </c>
    </row>
    <row r="113" spans="1:7" x14ac:dyDescent="0.25">
      <c r="A113" s="8">
        <v>42635.530543981484</v>
      </c>
      <c r="B113" s="23" t="s">
        <v>278</v>
      </c>
      <c r="C113" s="23" t="s">
        <v>492</v>
      </c>
      <c r="D113" s="23">
        <v>1140000</v>
      </c>
      <c r="E113" s="23" t="s">
        <v>280</v>
      </c>
      <c r="F113" s="23" t="str">
        <f t="shared" si="2"/>
        <v>rtdc.l.rtdc.4001:itc</v>
      </c>
      <c r="G113" s="8">
        <f t="shared" si="3"/>
        <v>42635.530543981484</v>
      </c>
    </row>
    <row r="114" spans="1:7" x14ac:dyDescent="0.25">
      <c r="A114" s="8">
        <v>42635.539085648146</v>
      </c>
      <c r="B114" s="23" t="s">
        <v>251</v>
      </c>
      <c r="C114" s="23" t="s">
        <v>493</v>
      </c>
      <c r="D114" s="23">
        <v>2220000</v>
      </c>
      <c r="E114" s="23" t="s">
        <v>344</v>
      </c>
      <c r="F114" s="23" t="str">
        <f t="shared" si="2"/>
        <v>rtdc.l.rtdc.4004:itc</v>
      </c>
      <c r="G114" s="8">
        <f t="shared" si="3"/>
        <v>42635.539085648146</v>
      </c>
    </row>
    <row r="115" spans="1:7" x14ac:dyDescent="0.25">
      <c r="A115" s="8">
        <v>42635.540034722224</v>
      </c>
      <c r="B115" s="23" t="s">
        <v>300</v>
      </c>
      <c r="C115" s="23" t="s">
        <v>494</v>
      </c>
      <c r="D115" s="23">
        <v>2100000</v>
      </c>
      <c r="E115" s="23" t="s">
        <v>495</v>
      </c>
      <c r="F115" s="23" t="str">
        <f t="shared" si="2"/>
        <v>rtdc.l.rtdc.4014:itc</v>
      </c>
      <c r="G115" s="8">
        <f t="shared" si="3"/>
        <v>42635.540034722224</v>
      </c>
    </row>
    <row r="116" spans="1:7" x14ac:dyDescent="0.25">
      <c r="A116" s="8">
        <v>42635.550347222219</v>
      </c>
      <c r="B116" s="23" t="s">
        <v>407</v>
      </c>
      <c r="C116" s="23" t="s">
        <v>496</v>
      </c>
      <c r="D116" s="23">
        <v>2040000</v>
      </c>
      <c r="E116" s="23" t="s">
        <v>345</v>
      </c>
      <c r="F116" s="23" t="str">
        <f t="shared" si="2"/>
        <v>rtdc.l.rtdc.4053:itc</v>
      </c>
      <c r="G116" s="8">
        <f t="shared" si="3"/>
        <v>42635.550347222219</v>
      </c>
    </row>
    <row r="117" spans="1:7" x14ac:dyDescent="0.25">
      <c r="A117" s="8">
        <v>42635.554039351853</v>
      </c>
      <c r="B117" s="23" t="s">
        <v>171</v>
      </c>
      <c r="C117" s="23" t="s">
        <v>497</v>
      </c>
      <c r="D117" s="23">
        <v>1540000</v>
      </c>
      <c r="E117" s="23" t="s">
        <v>304</v>
      </c>
      <c r="F117" s="23" t="str">
        <f t="shared" si="2"/>
        <v>rtdc.l.rtdc.4025:itc</v>
      </c>
      <c r="G117" s="8">
        <f t="shared" si="3"/>
        <v>42635.554039351853</v>
      </c>
    </row>
    <row r="118" spans="1:7" x14ac:dyDescent="0.25">
      <c r="A118" s="8">
        <v>42635.554062499999</v>
      </c>
      <c r="B118" s="23" t="s">
        <v>340</v>
      </c>
      <c r="C118" s="23" t="s">
        <v>498</v>
      </c>
      <c r="D118" s="23">
        <v>1740000</v>
      </c>
      <c r="E118" s="23" t="s">
        <v>306</v>
      </c>
      <c r="F118" s="23" t="str">
        <f t="shared" si="2"/>
        <v>rtdc.l.rtdc.4032:itc</v>
      </c>
      <c r="G118" s="8">
        <f t="shared" si="3"/>
        <v>42635.554062499999</v>
      </c>
    </row>
    <row r="119" spans="1:7" x14ac:dyDescent="0.25">
      <c r="A119" s="8">
        <v>42635.559502314813</v>
      </c>
      <c r="B119" s="23" t="s">
        <v>391</v>
      </c>
      <c r="C119" s="23" t="s">
        <v>499</v>
      </c>
      <c r="D119" s="23">
        <v>1810000</v>
      </c>
      <c r="E119" s="23" t="s">
        <v>470</v>
      </c>
      <c r="F119" s="23" t="str">
        <f t="shared" si="2"/>
        <v>rtdc.l.rtdc.4029:itc</v>
      </c>
      <c r="G119" s="8">
        <f t="shared" si="3"/>
        <v>42635.559502314813</v>
      </c>
    </row>
    <row r="120" spans="1:7" x14ac:dyDescent="0.25">
      <c r="A120" s="8">
        <v>42635.567094907405</v>
      </c>
      <c r="B120" s="23" t="s">
        <v>249</v>
      </c>
      <c r="C120" s="23" t="s">
        <v>500</v>
      </c>
      <c r="D120" s="23">
        <v>2000000</v>
      </c>
      <c r="E120" s="23" t="s">
        <v>122</v>
      </c>
      <c r="F120" s="23" t="str">
        <f t="shared" si="2"/>
        <v>rtdc.l.rtdc.4045:itc</v>
      </c>
      <c r="G120" s="8">
        <f t="shared" si="3"/>
        <v>42635.567094907405</v>
      </c>
    </row>
    <row r="121" spans="1:7" x14ac:dyDescent="0.25">
      <c r="A121" s="8">
        <v>42635.568854166668</v>
      </c>
      <c r="B121" s="23" t="s">
        <v>172</v>
      </c>
      <c r="C121" s="23" t="s">
        <v>501</v>
      </c>
      <c r="D121" s="23">
        <v>1540000</v>
      </c>
      <c r="E121" s="23" t="s">
        <v>304</v>
      </c>
      <c r="F121" s="23" t="str">
        <f t="shared" si="2"/>
        <v>rtdc.l.rtdc.4026:itc</v>
      </c>
      <c r="G121" s="8">
        <f t="shared" si="3"/>
        <v>42635.568854166668</v>
      </c>
    </row>
    <row r="122" spans="1:7" x14ac:dyDescent="0.25">
      <c r="A122" s="8">
        <v>42635.568865740737</v>
      </c>
      <c r="B122" s="28" t="s">
        <v>276</v>
      </c>
      <c r="C122" s="23" t="s">
        <v>502</v>
      </c>
      <c r="D122" s="23">
        <v>1140000</v>
      </c>
      <c r="E122" s="23" t="s">
        <v>280</v>
      </c>
      <c r="F122" s="23" t="str">
        <f t="shared" si="2"/>
        <v>rtdc.l.rtdc.4002:itc</v>
      </c>
      <c r="G122" s="8">
        <f t="shared" si="3"/>
        <v>42635.568865740737</v>
      </c>
    </row>
    <row r="123" spans="1:7" x14ac:dyDescent="0.25">
      <c r="A123" s="8">
        <v>42635.573252314818</v>
      </c>
      <c r="B123" s="23" t="s">
        <v>303</v>
      </c>
      <c r="C123" s="23" t="s">
        <v>503</v>
      </c>
      <c r="D123" s="23">
        <v>2100000</v>
      </c>
      <c r="E123" s="23" t="s">
        <v>495</v>
      </c>
      <c r="F123" s="23" t="str">
        <f t="shared" si="2"/>
        <v>rtdc.l.rtdc.4013:itc</v>
      </c>
      <c r="G123" s="8">
        <f t="shared" si="3"/>
        <v>42635.573252314818</v>
      </c>
    </row>
    <row r="124" spans="1:7" x14ac:dyDescent="0.25">
      <c r="A124" s="8">
        <v>42635.578865740739</v>
      </c>
      <c r="B124" s="23" t="s">
        <v>250</v>
      </c>
      <c r="C124" s="23" t="s">
        <v>504</v>
      </c>
      <c r="D124" s="23">
        <v>2220000</v>
      </c>
      <c r="E124" s="23" t="s">
        <v>344</v>
      </c>
      <c r="F124" s="23" t="str">
        <f t="shared" si="2"/>
        <v>rtdc.l.rtdc.4003:itc</v>
      </c>
      <c r="G124" s="8">
        <f t="shared" si="3"/>
        <v>42635.578865740739</v>
      </c>
    </row>
    <row r="125" spans="1:7" x14ac:dyDescent="0.25">
      <c r="A125" s="8">
        <v>42635.588796296295</v>
      </c>
      <c r="B125" s="23" t="s">
        <v>396</v>
      </c>
      <c r="C125" s="23" t="s">
        <v>505</v>
      </c>
      <c r="D125" s="23">
        <v>2040000</v>
      </c>
      <c r="E125" s="23" t="s">
        <v>345</v>
      </c>
      <c r="F125" s="23" t="str">
        <f t="shared" si="2"/>
        <v>rtdc.l.rtdc.4054:itc</v>
      </c>
      <c r="G125" s="8">
        <f t="shared" si="3"/>
        <v>42635.588796296295</v>
      </c>
    </row>
    <row r="126" spans="1:7" x14ac:dyDescent="0.25">
      <c r="A126" s="8">
        <v>42635.589502314811</v>
      </c>
      <c r="B126" s="23" t="s">
        <v>422</v>
      </c>
      <c r="C126" s="23" t="s">
        <v>506</v>
      </c>
      <c r="D126" s="23">
        <v>1810000</v>
      </c>
      <c r="E126" s="23" t="s">
        <v>470</v>
      </c>
      <c r="F126" s="23" t="str">
        <f t="shared" si="2"/>
        <v>rtdc.l.rtdc.4030:itc</v>
      </c>
      <c r="G126" s="8">
        <f t="shared" si="3"/>
        <v>42635.589502314811</v>
      </c>
    </row>
    <row r="127" spans="1:7" x14ac:dyDescent="0.25">
      <c r="A127" s="8">
        <v>42635.589513888888</v>
      </c>
      <c r="B127" s="23" t="s">
        <v>341</v>
      </c>
      <c r="C127" s="23" t="s">
        <v>507</v>
      </c>
      <c r="D127" s="23">
        <v>1740000</v>
      </c>
      <c r="E127" s="23" t="s">
        <v>306</v>
      </c>
      <c r="F127" s="23" t="str">
        <f t="shared" si="2"/>
        <v>rtdc.l.rtdc.4031:itc</v>
      </c>
      <c r="G127" s="8">
        <f t="shared" si="3"/>
        <v>42635.589513888888</v>
      </c>
    </row>
    <row r="128" spans="1:7" x14ac:dyDescent="0.25">
      <c r="A128" s="8">
        <v>42635.596666666665</v>
      </c>
      <c r="B128" s="23" t="s">
        <v>171</v>
      </c>
      <c r="C128" s="23" t="s">
        <v>508</v>
      </c>
      <c r="D128" s="23">
        <v>1540000</v>
      </c>
      <c r="E128" s="23" t="s">
        <v>304</v>
      </c>
      <c r="F128" s="23" t="str">
        <f t="shared" si="2"/>
        <v>rtdc.l.rtdc.4025:itc</v>
      </c>
      <c r="G128" s="8">
        <f t="shared" si="3"/>
        <v>42635.596666666665</v>
      </c>
    </row>
    <row r="129" spans="1:7" x14ac:dyDescent="0.25">
      <c r="A129" s="8">
        <v>42635.601319444446</v>
      </c>
      <c r="B129" s="23" t="s">
        <v>181</v>
      </c>
      <c r="C129" s="23" t="s">
        <v>509</v>
      </c>
      <c r="D129" s="23">
        <v>2000000</v>
      </c>
      <c r="E129" s="23" t="s">
        <v>122</v>
      </c>
      <c r="F129" s="23" t="str">
        <f t="shared" si="2"/>
        <v>rtdc.l.rtdc.4046:itc</v>
      </c>
      <c r="G129" s="8">
        <f t="shared" si="3"/>
        <v>42635.601319444446</v>
      </c>
    </row>
    <row r="130" spans="1:7" x14ac:dyDescent="0.25">
      <c r="A130" s="8">
        <v>42635.607731481483</v>
      </c>
      <c r="B130" s="23" t="s">
        <v>278</v>
      </c>
      <c r="C130" s="23" t="s">
        <v>510</v>
      </c>
      <c r="D130" s="23">
        <v>1140000</v>
      </c>
      <c r="E130" s="23" t="s">
        <v>280</v>
      </c>
      <c r="F130" s="23" t="str">
        <f t="shared" ref="F130:F193" si="4">B130</f>
        <v>rtdc.l.rtdc.4001:itc</v>
      </c>
      <c r="G130" s="8">
        <f t="shared" ref="G130:G193" si="5">A130</f>
        <v>42635.607731481483</v>
      </c>
    </row>
    <row r="131" spans="1:7" x14ac:dyDescent="0.25">
      <c r="A131" s="8">
        <v>42635.610069444447</v>
      </c>
      <c r="B131" s="23" t="s">
        <v>172</v>
      </c>
      <c r="C131" s="23" t="s">
        <v>511</v>
      </c>
      <c r="D131" s="23">
        <v>1540000</v>
      </c>
      <c r="E131" s="23" t="s">
        <v>304</v>
      </c>
      <c r="F131" s="23" t="str">
        <f t="shared" si="4"/>
        <v>rtdc.l.rtdc.4026:itc</v>
      </c>
      <c r="G131" s="8">
        <f t="shared" si="5"/>
        <v>42635.610069444447</v>
      </c>
    </row>
    <row r="132" spans="1:7" x14ac:dyDescent="0.25">
      <c r="A132" s="8">
        <v>42635.61078703704</v>
      </c>
      <c r="B132" s="23" t="s">
        <v>251</v>
      </c>
      <c r="C132" s="23" t="s">
        <v>512</v>
      </c>
      <c r="D132" s="23">
        <v>2220000</v>
      </c>
      <c r="E132" s="23" t="s">
        <v>344</v>
      </c>
      <c r="F132" s="23" t="str">
        <f t="shared" si="4"/>
        <v>rtdc.l.rtdc.4004:itc</v>
      </c>
      <c r="G132" s="8">
        <f t="shared" si="5"/>
        <v>42635.61078703704</v>
      </c>
    </row>
    <row r="133" spans="1:7" x14ac:dyDescent="0.25">
      <c r="A133" s="8">
        <v>42635.611574074072</v>
      </c>
      <c r="B133" s="23" t="s">
        <v>300</v>
      </c>
      <c r="C133" s="23" t="s">
        <v>513</v>
      </c>
      <c r="D133" s="23">
        <v>2020000</v>
      </c>
      <c r="E133" s="23" t="s">
        <v>514</v>
      </c>
      <c r="F133" s="23" t="str">
        <f t="shared" si="4"/>
        <v>rtdc.l.rtdc.4014:itc</v>
      </c>
      <c r="G133" s="8">
        <f t="shared" si="5"/>
        <v>42635.611574074072</v>
      </c>
    </row>
    <row r="134" spans="1:7" x14ac:dyDescent="0.25">
      <c r="A134" s="8">
        <v>42635.62222222222</v>
      </c>
      <c r="B134" s="23" t="s">
        <v>407</v>
      </c>
      <c r="C134" s="23" t="s">
        <v>515</v>
      </c>
      <c r="D134" s="23">
        <v>2040000</v>
      </c>
      <c r="E134" s="23" t="s">
        <v>345</v>
      </c>
      <c r="F134" s="23" t="str">
        <f t="shared" si="4"/>
        <v>rtdc.l.rtdc.4053:itc</v>
      </c>
      <c r="G134" s="8">
        <f t="shared" si="5"/>
        <v>42635.62222222222</v>
      </c>
    </row>
    <row r="135" spans="1:7" x14ac:dyDescent="0.25">
      <c r="A135" s="8">
        <v>42635.627939814818</v>
      </c>
      <c r="B135" s="23" t="s">
        <v>340</v>
      </c>
      <c r="C135" s="23" t="s">
        <v>516</v>
      </c>
      <c r="D135" s="23">
        <v>1740000</v>
      </c>
      <c r="E135" s="23" t="s">
        <v>306</v>
      </c>
      <c r="F135" s="23" t="str">
        <f t="shared" si="4"/>
        <v>rtdc.l.rtdc.4032:itc</v>
      </c>
      <c r="G135" s="8">
        <f t="shared" si="5"/>
        <v>42635.627939814818</v>
      </c>
    </row>
    <row r="136" spans="1:7" x14ac:dyDescent="0.25">
      <c r="A136" s="8">
        <v>42635.630856481483</v>
      </c>
      <c r="B136" s="23" t="s">
        <v>391</v>
      </c>
      <c r="C136" s="23" t="s">
        <v>517</v>
      </c>
      <c r="D136" s="23">
        <v>1810000</v>
      </c>
      <c r="E136" s="23" t="s">
        <v>470</v>
      </c>
      <c r="F136" s="23" t="str">
        <f t="shared" si="4"/>
        <v>rtdc.l.rtdc.4029:itc</v>
      </c>
      <c r="G136" s="8">
        <f t="shared" si="5"/>
        <v>42635.630856481483</v>
      </c>
    </row>
    <row r="137" spans="1:7" x14ac:dyDescent="0.25">
      <c r="A137" s="8">
        <v>42635.633020833331</v>
      </c>
      <c r="B137" s="23" t="s">
        <v>261</v>
      </c>
      <c r="C137" s="23" t="s">
        <v>518</v>
      </c>
      <c r="D137" s="23">
        <v>1230000</v>
      </c>
      <c r="E137" s="23" t="s">
        <v>252</v>
      </c>
      <c r="F137" s="23" t="str">
        <f t="shared" si="4"/>
        <v>rtdc.l.rtdc.4012:itc</v>
      </c>
      <c r="G137" s="8">
        <f t="shared" si="5"/>
        <v>42635.633020833331</v>
      </c>
    </row>
    <row r="138" spans="1:7" x14ac:dyDescent="0.25">
      <c r="A138" s="8">
        <v>42635.636608796296</v>
      </c>
      <c r="B138" s="23" t="s">
        <v>171</v>
      </c>
      <c r="C138" s="23" t="s">
        <v>519</v>
      </c>
      <c r="D138" s="23">
        <v>1540000</v>
      </c>
      <c r="E138" s="23" t="s">
        <v>304</v>
      </c>
      <c r="F138" s="23" t="str">
        <f t="shared" si="4"/>
        <v>rtdc.l.rtdc.4025:itc</v>
      </c>
      <c r="G138" s="8">
        <f t="shared" si="5"/>
        <v>42635.636608796296</v>
      </c>
    </row>
    <row r="139" spans="1:7" x14ac:dyDescent="0.25">
      <c r="A139" s="8">
        <v>42635.640532407408</v>
      </c>
      <c r="B139" s="23" t="s">
        <v>249</v>
      </c>
      <c r="C139" s="23" t="s">
        <v>520</v>
      </c>
      <c r="D139" s="23">
        <v>2000000</v>
      </c>
      <c r="E139" s="23" t="s">
        <v>122</v>
      </c>
      <c r="F139" s="23" t="str">
        <f t="shared" si="4"/>
        <v>rtdc.l.rtdc.4045:itc</v>
      </c>
      <c r="G139" s="8">
        <f t="shared" si="5"/>
        <v>42635.640532407408</v>
      </c>
    </row>
    <row r="140" spans="1:7" x14ac:dyDescent="0.25">
      <c r="A140" s="8">
        <v>42635.643831018519</v>
      </c>
      <c r="B140" s="23" t="s">
        <v>276</v>
      </c>
      <c r="C140" s="23" t="s">
        <v>521</v>
      </c>
      <c r="D140" s="23">
        <v>1140000</v>
      </c>
      <c r="E140" s="23" t="s">
        <v>280</v>
      </c>
      <c r="F140" s="23" t="str">
        <f t="shared" si="4"/>
        <v>rtdc.l.rtdc.4002:itc</v>
      </c>
      <c r="G140" s="8">
        <f t="shared" si="5"/>
        <v>42635.643831018519</v>
      </c>
    </row>
    <row r="141" spans="1:7" x14ac:dyDescent="0.25">
      <c r="A141" s="8">
        <v>42635.650416666664</v>
      </c>
      <c r="B141" s="23" t="s">
        <v>303</v>
      </c>
      <c r="C141" s="23" t="s">
        <v>522</v>
      </c>
      <c r="D141" s="23">
        <v>2020000</v>
      </c>
      <c r="E141" s="23" t="s">
        <v>514</v>
      </c>
      <c r="F141" s="23" t="str">
        <f t="shared" si="4"/>
        <v>rtdc.l.rtdc.4013:itc</v>
      </c>
      <c r="G141" s="8">
        <f t="shared" si="5"/>
        <v>42635.650416666664</v>
      </c>
    </row>
    <row r="142" spans="1:7" x14ac:dyDescent="0.25">
      <c r="A142" s="8">
        <v>42635.65111111111</v>
      </c>
      <c r="B142" s="23" t="s">
        <v>172</v>
      </c>
      <c r="C142" s="23" t="s">
        <v>523</v>
      </c>
      <c r="D142" s="23">
        <v>1540000</v>
      </c>
      <c r="E142" s="23" t="s">
        <v>304</v>
      </c>
      <c r="F142" s="23" t="str">
        <f t="shared" si="4"/>
        <v>rtdc.l.rtdc.4026:itc</v>
      </c>
      <c r="G142" s="8">
        <f t="shared" si="5"/>
        <v>42635.65111111111</v>
      </c>
    </row>
    <row r="143" spans="1:7" x14ac:dyDescent="0.25">
      <c r="A143" s="8">
        <v>42635.651597222219</v>
      </c>
      <c r="B143" s="23" t="s">
        <v>250</v>
      </c>
      <c r="C143" s="23" t="s">
        <v>524</v>
      </c>
      <c r="D143" s="23">
        <v>2220000</v>
      </c>
      <c r="E143" s="23" t="s">
        <v>344</v>
      </c>
      <c r="F143" s="23" t="str">
        <f t="shared" si="4"/>
        <v>rtdc.l.rtdc.4003:itc</v>
      </c>
      <c r="G143" s="8">
        <f t="shared" si="5"/>
        <v>42635.651597222219</v>
      </c>
    </row>
    <row r="144" spans="1:7" x14ac:dyDescent="0.25">
      <c r="A144" s="8">
        <v>42635.657569444447</v>
      </c>
      <c r="B144" s="23" t="s">
        <v>260</v>
      </c>
      <c r="C144" s="23" t="s">
        <v>525</v>
      </c>
      <c r="D144" s="23">
        <v>1230000</v>
      </c>
      <c r="E144" s="23" t="s">
        <v>252</v>
      </c>
      <c r="F144" s="23" t="str">
        <f t="shared" si="4"/>
        <v>rtdc.l.rtdc.4011:itc</v>
      </c>
      <c r="G144" s="8">
        <f t="shared" si="5"/>
        <v>42635.657569444447</v>
      </c>
    </row>
    <row r="145" spans="1:7" x14ac:dyDescent="0.25">
      <c r="A145" s="8">
        <v>42635.660381944443</v>
      </c>
      <c r="B145" s="23" t="s">
        <v>396</v>
      </c>
      <c r="C145" s="23" t="s">
        <v>526</v>
      </c>
      <c r="D145" s="23">
        <v>2040000</v>
      </c>
      <c r="E145" s="23" t="s">
        <v>345</v>
      </c>
      <c r="F145" s="23" t="str">
        <f t="shared" si="4"/>
        <v>rtdc.l.rtdc.4054:itc</v>
      </c>
      <c r="G145" s="8">
        <f t="shared" si="5"/>
        <v>42635.660381944443</v>
      </c>
    </row>
    <row r="146" spans="1:7" x14ac:dyDescent="0.25">
      <c r="A146" s="8">
        <v>42635.663113425922</v>
      </c>
      <c r="B146" s="23" t="s">
        <v>341</v>
      </c>
      <c r="C146" s="23" t="s">
        <v>527</v>
      </c>
      <c r="D146" s="23">
        <v>1740000</v>
      </c>
      <c r="E146" s="23" t="s">
        <v>306</v>
      </c>
      <c r="F146" s="23" t="str">
        <f t="shared" si="4"/>
        <v>rtdc.l.rtdc.4031:itc</v>
      </c>
      <c r="G146" s="8">
        <f t="shared" si="5"/>
        <v>42635.663113425922</v>
      </c>
    </row>
    <row r="147" spans="1:7" x14ac:dyDescent="0.25">
      <c r="A147" s="8">
        <v>42635.668113425927</v>
      </c>
      <c r="B147" s="23" t="s">
        <v>422</v>
      </c>
      <c r="C147" s="23" t="s">
        <v>528</v>
      </c>
      <c r="D147" s="23">
        <v>1810000</v>
      </c>
      <c r="E147" s="23" t="s">
        <v>470</v>
      </c>
      <c r="F147" s="23" t="str">
        <f t="shared" si="4"/>
        <v>rtdc.l.rtdc.4030:itc</v>
      </c>
      <c r="G147" s="8">
        <f t="shared" si="5"/>
        <v>42635.668113425927</v>
      </c>
    </row>
    <row r="148" spans="1:7" x14ac:dyDescent="0.25">
      <c r="A148" s="8">
        <v>42635.671064814815</v>
      </c>
      <c r="B148" s="23" t="s">
        <v>261</v>
      </c>
      <c r="C148" s="23" t="s">
        <v>529</v>
      </c>
      <c r="D148" s="23">
        <v>1230000</v>
      </c>
      <c r="E148" s="23" t="s">
        <v>252</v>
      </c>
      <c r="F148" s="23" t="str">
        <f t="shared" si="4"/>
        <v>rtdc.l.rtdc.4012:itc</v>
      </c>
      <c r="G148" s="8">
        <f t="shared" si="5"/>
        <v>42635.671064814815</v>
      </c>
    </row>
    <row r="149" spans="1:7" x14ac:dyDescent="0.25">
      <c r="A149" s="8">
        <v>42635.673981481479</v>
      </c>
      <c r="B149" s="23" t="s">
        <v>181</v>
      </c>
      <c r="C149" s="23" t="s">
        <v>530</v>
      </c>
      <c r="D149" s="23">
        <v>2000000</v>
      </c>
      <c r="E149" s="23" t="s">
        <v>122</v>
      </c>
      <c r="F149" s="23" t="str">
        <f t="shared" si="4"/>
        <v>rtdc.l.rtdc.4046:itc</v>
      </c>
      <c r="G149" s="8">
        <f t="shared" si="5"/>
        <v>42635.673981481479</v>
      </c>
    </row>
    <row r="150" spans="1:7" x14ac:dyDescent="0.25">
      <c r="A150" s="8">
        <v>42635.675775462965</v>
      </c>
      <c r="B150" s="23" t="s">
        <v>278</v>
      </c>
      <c r="C150" s="23" t="s">
        <v>531</v>
      </c>
      <c r="D150" s="23">
        <v>1140000</v>
      </c>
      <c r="E150" s="23" t="s">
        <v>280</v>
      </c>
      <c r="F150" s="23" t="str">
        <f t="shared" si="4"/>
        <v>rtdc.l.rtdc.4001:itc</v>
      </c>
      <c r="G150" s="8">
        <f t="shared" si="5"/>
        <v>42635.675775462965</v>
      </c>
    </row>
    <row r="151" spans="1:7" x14ac:dyDescent="0.25">
      <c r="A151" s="8">
        <v>42635.678032407406</v>
      </c>
      <c r="B151" s="23" t="s">
        <v>171</v>
      </c>
      <c r="C151" s="23" t="s">
        <v>532</v>
      </c>
      <c r="D151" s="23">
        <v>1540000</v>
      </c>
      <c r="E151" s="23" t="s">
        <v>304</v>
      </c>
      <c r="F151" s="23" t="str">
        <f t="shared" si="4"/>
        <v>rtdc.l.rtdc.4025:itc</v>
      </c>
      <c r="G151" s="8">
        <f t="shared" si="5"/>
        <v>42635.678032407406</v>
      </c>
    </row>
    <row r="152" spans="1:7" x14ac:dyDescent="0.25">
      <c r="A152" s="8">
        <v>42635.682384259257</v>
      </c>
      <c r="B152" s="23" t="s">
        <v>300</v>
      </c>
      <c r="C152" s="23" t="s">
        <v>533</v>
      </c>
      <c r="D152" s="23">
        <v>2020000</v>
      </c>
      <c r="E152" s="23" t="s">
        <v>514</v>
      </c>
      <c r="F152" s="23" t="str">
        <f t="shared" si="4"/>
        <v>rtdc.l.rtdc.4014:itc</v>
      </c>
      <c r="G152" s="8">
        <f t="shared" si="5"/>
        <v>42635.682384259257</v>
      </c>
    </row>
    <row r="153" spans="1:7" x14ac:dyDescent="0.25">
      <c r="A153" s="8">
        <v>42635.685983796298</v>
      </c>
      <c r="B153" s="23" t="s">
        <v>251</v>
      </c>
      <c r="C153" s="23" t="s">
        <v>534</v>
      </c>
      <c r="D153" s="23">
        <v>2220000</v>
      </c>
      <c r="E153" s="23" t="s">
        <v>344</v>
      </c>
      <c r="F153" s="23" t="str">
        <f t="shared" si="4"/>
        <v>rtdc.l.rtdc.4004:itc</v>
      </c>
      <c r="G153" s="8">
        <f t="shared" si="5"/>
        <v>42635.685983796298</v>
      </c>
    </row>
    <row r="154" spans="1:7" x14ac:dyDescent="0.25">
      <c r="A154" s="8">
        <v>42635.692858796298</v>
      </c>
      <c r="B154" s="23" t="s">
        <v>172</v>
      </c>
      <c r="C154" s="23" t="s">
        <v>535</v>
      </c>
      <c r="D154" s="23">
        <v>1540000</v>
      </c>
      <c r="E154" s="23" t="s">
        <v>304</v>
      </c>
      <c r="F154" s="23" t="str">
        <f t="shared" si="4"/>
        <v>rtdc.l.rtdc.4026:itc</v>
      </c>
      <c r="G154" s="8">
        <f t="shared" si="5"/>
        <v>42635.692858796298</v>
      </c>
    </row>
    <row r="155" spans="1:7" x14ac:dyDescent="0.25">
      <c r="A155" s="8">
        <v>42635.695775462962</v>
      </c>
      <c r="B155" s="23" t="s">
        <v>407</v>
      </c>
      <c r="C155" s="23" t="s">
        <v>536</v>
      </c>
      <c r="D155" s="23">
        <v>2040000</v>
      </c>
      <c r="E155" s="23" t="s">
        <v>345</v>
      </c>
      <c r="F155" s="23" t="str">
        <f t="shared" si="4"/>
        <v>rtdc.l.rtdc.4053:itc</v>
      </c>
      <c r="G155" s="8">
        <f t="shared" si="5"/>
        <v>42635.695775462962</v>
      </c>
    </row>
    <row r="156" spans="1:7" x14ac:dyDescent="0.25">
      <c r="A156" s="8">
        <v>42635.698379629626</v>
      </c>
      <c r="B156" s="23" t="s">
        <v>340</v>
      </c>
      <c r="C156" s="23" t="s">
        <v>537</v>
      </c>
      <c r="D156" s="23">
        <v>1740000</v>
      </c>
      <c r="E156" s="23" t="s">
        <v>306</v>
      </c>
      <c r="F156" s="23" t="str">
        <f t="shared" si="4"/>
        <v>rtdc.l.rtdc.4032:itc</v>
      </c>
      <c r="G156" s="8">
        <f t="shared" si="5"/>
        <v>42635.698379629626</v>
      </c>
    </row>
    <row r="157" spans="1:7" x14ac:dyDescent="0.25">
      <c r="A157" s="8">
        <v>42635.699687499997</v>
      </c>
      <c r="B157" s="23" t="s">
        <v>260</v>
      </c>
      <c r="C157" s="23" t="s">
        <v>538</v>
      </c>
      <c r="D157" s="23">
        <v>1230000</v>
      </c>
      <c r="E157" s="23" t="s">
        <v>252</v>
      </c>
      <c r="F157" s="23" t="str">
        <f t="shared" si="4"/>
        <v>rtdc.l.rtdc.4011:itc</v>
      </c>
      <c r="G157" s="8">
        <f t="shared" si="5"/>
        <v>42635.699687499997</v>
      </c>
    </row>
    <row r="158" spans="1:7" x14ac:dyDescent="0.25">
      <c r="A158" s="8">
        <v>42635.704259259262</v>
      </c>
      <c r="B158" s="23" t="s">
        <v>391</v>
      </c>
      <c r="C158" s="23" t="s">
        <v>539</v>
      </c>
      <c r="D158" s="23">
        <v>1810000</v>
      </c>
      <c r="E158" s="23" t="s">
        <v>470</v>
      </c>
      <c r="F158" s="23" t="str">
        <f t="shared" si="4"/>
        <v>rtdc.l.rtdc.4029:itc</v>
      </c>
      <c r="G158" s="8">
        <f t="shared" si="5"/>
        <v>42635.704259259262</v>
      </c>
    </row>
    <row r="159" spans="1:7" x14ac:dyDescent="0.25">
      <c r="A159" s="8">
        <v>42635.712106481478</v>
      </c>
      <c r="B159" s="23" t="s">
        <v>249</v>
      </c>
      <c r="C159" s="23" t="s">
        <v>540</v>
      </c>
      <c r="D159" s="23">
        <v>2000000</v>
      </c>
      <c r="E159" s="23" t="s">
        <v>122</v>
      </c>
      <c r="F159" s="23" t="str">
        <f t="shared" si="4"/>
        <v>rtdc.l.rtdc.4045:itc</v>
      </c>
      <c r="G159" s="8">
        <f t="shared" si="5"/>
        <v>42635.712106481478</v>
      </c>
    </row>
    <row r="160" spans="1:7" x14ac:dyDescent="0.25">
      <c r="A160" s="8">
        <v>42635.712291666663</v>
      </c>
      <c r="B160" s="23" t="s">
        <v>261</v>
      </c>
      <c r="C160" s="23" t="s">
        <v>541</v>
      </c>
      <c r="D160" s="23">
        <v>1230000</v>
      </c>
      <c r="E160" s="23" t="s">
        <v>252</v>
      </c>
      <c r="F160" s="23" t="str">
        <f t="shared" si="4"/>
        <v>rtdc.l.rtdc.4012:itc</v>
      </c>
      <c r="G160" s="8">
        <f t="shared" si="5"/>
        <v>42635.712291666663</v>
      </c>
    </row>
    <row r="161" spans="1:7" x14ac:dyDescent="0.25">
      <c r="A161" s="8">
        <v>42635.716782407406</v>
      </c>
      <c r="B161" s="23" t="s">
        <v>276</v>
      </c>
      <c r="C161" s="23" t="s">
        <v>542</v>
      </c>
      <c r="D161" s="23">
        <v>1180000</v>
      </c>
      <c r="E161" s="23" t="s">
        <v>268</v>
      </c>
      <c r="F161" s="23" t="str">
        <f t="shared" si="4"/>
        <v>rtdc.l.rtdc.4002:itc</v>
      </c>
      <c r="G161" s="8">
        <f t="shared" si="5"/>
        <v>42635.716782407406</v>
      </c>
    </row>
    <row r="162" spans="1:7" x14ac:dyDescent="0.25">
      <c r="A162" s="8">
        <v>42635.721979166665</v>
      </c>
      <c r="B162" s="23" t="s">
        <v>171</v>
      </c>
      <c r="C162" s="23" t="s">
        <v>543</v>
      </c>
      <c r="D162" s="23">
        <v>1540000</v>
      </c>
      <c r="E162" s="23" t="s">
        <v>304</v>
      </c>
      <c r="F162" s="23" t="str">
        <f t="shared" si="4"/>
        <v>rtdc.l.rtdc.4025:itc</v>
      </c>
      <c r="G162" s="8">
        <f t="shared" si="5"/>
        <v>42635.721979166665</v>
      </c>
    </row>
    <row r="163" spans="1:7" x14ac:dyDescent="0.25">
      <c r="A163" s="8">
        <v>42635.722071759257</v>
      </c>
      <c r="B163" s="23" t="s">
        <v>240</v>
      </c>
      <c r="C163" s="23" t="s">
        <v>544</v>
      </c>
      <c r="D163" s="23">
        <v>2100000</v>
      </c>
      <c r="E163" s="23" t="s">
        <v>495</v>
      </c>
      <c r="F163" s="23" t="str">
        <f t="shared" si="4"/>
        <v>rtdc.l.rtdc.4044:itc</v>
      </c>
      <c r="G163" s="8">
        <f t="shared" si="5"/>
        <v>42635.722071759257</v>
      </c>
    </row>
    <row r="164" spans="1:7" x14ac:dyDescent="0.25">
      <c r="A164" s="8">
        <v>42635.723229166666</v>
      </c>
      <c r="B164" s="23" t="s">
        <v>303</v>
      </c>
      <c r="C164" s="23" t="s">
        <v>545</v>
      </c>
      <c r="D164" s="23">
        <v>2020000</v>
      </c>
      <c r="E164" s="23" t="s">
        <v>514</v>
      </c>
      <c r="F164" s="23" t="str">
        <f t="shared" si="4"/>
        <v>rtdc.l.rtdc.4013:itc</v>
      </c>
      <c r="G164" s="8">
        <f t="shared" si="5"/>
        <v>42635.723229166666</v>
      </c>
    </row>
    <row r="165" spans="1:7" x14ac:dyDescent="0.25">
      <c r="A165" s="8">
        <v>42635.725925925923</v>
      </c>
      <c r="B165" s="23" t="s">
        <v>250</v>
      </c>
      <c r="C165" s="23" t="s">
        <v>546</v>
      </c>
      <c r="D165" s="23">
        <v>1140000</v>
      </c>
      <c r="E165" s="23" t="s">
        <v>280</v>
      </c>
      <c r="F165" s="23" t="str">
        <f t="shared" si="4"/>
        <v>rtdc.l.rtdc.4003:itc</v>
      </c>
      <c r="G165" s="8">
        <f t="shared" si="5"/>
        <v>42635.725925925923</v>
      </c>
    </row>
    <row r="166" spans="1:7" x14ac:dyDescent="0.25">
      <c r="A166" s="8">
        <v>42635.730486111112</v>
      </c>
      <c r="B166" s="23" t="s">
        <v>307</v>
      </c>
      <c r="C166" s="23" t="s">
        <v>547</v>
      </c>
      <c r="D166" s="23">
        <v>1300000</v>
      </c>
      <c r="E166" s="23" t="s">
        <v>121</v>
      </c>
      <c r="F166" s="23" t="str">
        <f t="shared" si="4"/>
        <v>rtdc.l.rtdc.4005:itc</v>
      </c>
      <c r="G166" s="8">
        <f t="shared" si="5"/>
        <v>42635.730486111112</v>
      </c>
    </row>
    <row r="167" spans="1:7" x14ac:dyDescent="0.25">
      <c r="A167" s="8">
        <v>42635.732881944445</v>
      </c>
      <c r="B167" s="23" t="s">
        <v>396</v>
      </c>
      <c r="C167" s="23" t="s">
        <v>548</v>
      </c>
      <c r="D167" s="23">
        <v>2040000</v>
      </c>
      <c r="E167" s="23" t="s">
        <v>345</v>
      </c>
      <c r="F167" s="23" t="str">
        <f t="shared" si="4"/>
        <v>rtdc.l.rtdc.4054:itc</v>
      </c>
      <c r="G167" s="8">
        <f t="shared" si="5"/>
        <v>42635.732881944445</v>
      </c>
    </row>
    <row r="168" spans="1:7" x14ac:dyDescent="0.25">
      <c r="A168" s="8">
        <v>42635.735046296293</v>
      </c>
      <c r="B168" s="23" t="s">
        <v>172</v>
      </c>
      <c r="C168" s="23" t="s">
        <v>549</v>
      </c>
      <c r="D168" s="23">
        <v>1540000</v>
      </c>
      <c r="E168" s="23" t="s">
        <v>304</v>
      </c>
      <c r="F168" s="23" t="str">
        <f t="shared" si="4"/>
        <v>rtdc.l.rtdc.4026:itc</v>
      </c>
      <c r="G168" s="8">
        <f t="shared" si="5"/>
        <v>42635.735046296293</v>
      </c>
    </row>
    <row r="169" spans="1:7" x14ac:dyDescent="0.25">
      <c r="A169" s="8">
        <v>42635.736805555556</v>
      </c>
      <c r="B169" s="23" t="s">
        <v>341</v>
      </c>
      <c r="C169" s="23" t="s">
        <v>550</v>
      </c>
      <c r="D169" s="23">
        <v>1290000</v>
      </c>
      <c r="E169" s="23" t="s">
        <v>173</v>
      </c>
      <c r="F169" s="23" t="str">
        <f t="shared" si="4"/>
        <v>rtdc.l.rtdc.4031:itc</v>
      </c>
      <c r="G169" s="8">
        <f t="shared" si="5"/>
        <v>42635.736805555556</v>
      </c>
    </row>
    <row r="170" spans="1:7" x14ac:dyDescent="0.25">
      <c r="A170" s="8">
        <v>42635.737847222219</v>
      </c>
      <c r="B170" s="23" t="s">
        <v>422</v>
      </c>
      <c r="C170" s="23" t="s">
        <v>551</v>
      </c>
      <c r="D170" s="23">
        <v>1810000</v>
      </c>
      <c r="E170" s="23" t="s">
        <v>470</v>
      </c>
      <c r="F170" s="23" t="str">
        <f t="shared" si="4"/>
        <v>rtdc.l.rtdc.4030:itc</v>
      </c>
      <c r="G170" s="8">
        <f t="shared" si="5"/>
        <v>42635.737847222219</v>
      </c>
    </row>
    <row r="171" spans="1:7" x14ac:dyDescent="0.25">
      <c r="A171" s="8">
        <v>42635.739270833335</v>
      </c>
      <c r="B171" s="23" t="s">
        <v>260</v>
      </c>
      <c r="C171" s="23" t="s">
        <v>552</v>
      </c>
      <c r="D171" s="23">
        <v>1230000</v>
      </c>
      <c r="E171" s="23" t="s">
        <v>252</v>
      </c>
      <c r="F171" s="23" t="str">
        <f t="shared" si="4"/>
        <v>rtdc.l.rtdc.4011:itc</v>
      </c>
      <c r="G171" s="8">
        <f t="shared" si="5"/>
        <v>42635.739270833335</v>
      </c>
    </row>
    <row r="172" spans="1:7" x14ac:dyDescent="0.25">
      <c r="A172" s="8">
        <v>42635.74082175926</v>
      </c>
      <c r="B172" s="23" t="s">
        <v>176</v>
      </c>
      <c r="C172" s="23" t="s">
        <v>553</v>
      </c>
      <c r="D172" s="23">
        <v>2260000</v>
      </c>
      <c r="E172" s="23" t="s">
        <v>130</v>
      </c>
      <c r="F172" s="23" t="str">
        <f t="shared" si="4"/>
        <v>rtdc.l.rtdc.4041:itc</v>
      </c>
      <c r="G172" s="8">
        <f t="shared" si="5"/>
        <v>42635.74082175926</v>
      </c>
    </row>
    <row r="173" spans="1:7" x14ac:dyDescent="0.25">
      <c r="A173" s="8">
        <v>42635.747442129628</v>
      </c>
      <c r="B173" s="23" t="s">
        <v>181</v>
      </c>
      <c r="C173" s="23" t="s">
        <v>554</v>
      </c>
      <c r="D173" s="23">
        <v>1740000</v>
      </c>
      <c r="E173" s="23" t="s">
        <v>306</v>
      </c>
      <c r="F173" s="23" t="str">
        <f t="shared" si="4"/>
        <v>rtdc.l.rtdc.4046:itc</v>
      </c>
      <c r="G173" s="8">
        <f t="shared" si="5"/>
        <v>42635.747442129628</v>
      </c>
    </row>
    <row r="174" spans="1:7" x14ac:dyDescent="0.25">
      <c r="A174" s="8">
        <v>42635.749189814815</v>
      </c>
      <c r="B174" s="23" t="s">
        <v>279</v>
      </c>
      <c r="C174" s="23" t="s">
        <v>555</v>
      </c>
      <c r="D174" s="23">
        <v>1480000</v>
      </c>
      <c r="E174" s="23" t="s">
        <v>242</v>
      </c>
      <c r="F174" s="23" t="str">
        <f t="shared" si="4"/>
        <v>rtdc.l.rtdc.4008:itc</v>
      </c>
      <c r="G174" s="8">
        <f t="shared" si="5"/>
        <v>42635.749189814815</v>
      </c>
    </row>
    <row r="175" spans="1:7" x14ac:dyDescent="0.25">
      <c r="A175" s="8">
        <v>42635.751921296294</v>
      </c>
      <c r="B175" s="23" t="s">
        <v>278</v>
      </c>
      <c r="C175" s="23" t="s">
        <v>556</v>
      </c>
      <c r="D175" s="23">
        <v>1180000</v>
      </c>
      <c r="E175" s="23" t="s">
        <v>268</v>
      </c>
      <c r="F175" s="23" t="str">
        <f t="shared" si="4"/>
        <v>rtdc.l.rtdc.4001:itc</v>
      </c>
      <c r="G175" s="8">
        <f t="shared" si="5"/>
        <v>42635.751921296294</v>
      </c>
    </row>
    <row r="176" spans="1:7" x14ac:dyDescent="0.25">
      <c r="A176" s="8">
        <v>42635.754953703705</v>
      </c>
      <c r="B176" s="23" t="s">
        <v>261</v>
      </c>
      <c r="C176" s="23" t="s">
        <v>557</v>
      </c>
      <c r="D176" s="23">
        <v>1230000</v>
      </c>
      <c r="E176" s="23" t="s">
        <v>252</v>
      </c>
      <c r="F176" s="23" t="str">
        <f t="shared" si="4"/>
        <v>rtdc.l.rtdc.4012:itc</v>
      </c>
      <c r="G176" s="8">
        <f t="shared" si="5"/>
        <v>42635.754953703705</v>
      </c>
    </row>
    <row r="177" spans="1:7" x14ac:dyDescent="0.25">
      <c r="A177" s="8">
        <v>42635.757106481484</v>
      </c>
      <c r="B177" s="23" t="s">
        <v>300</v>
      </c>
      <c r="C177" s="23" t="s">
        <v>558</v>
      </c>
      <c r="D177" s="23">
        <v>1300000</v>
      </c>
      <c r="E177" s="23" t="s">
        <v>121</v>
      </c>
      <c r="F177" s="23" t="str">
        <f t="shared" si="4"/>
        <v>rtdc.l.rtdc.4014:itc</v>
      </c>
      <c r="G177" s="8">
        <f t="shared" si="5"/>
        <v>42635.757106481484</v>
      </c>
    </row>
    <row r="178" spans="1:7" x14ac:dyDescent="0.25">
      <c r="A178" s="8">
        <v>42635.761157407411</v>
      </c>
      <c r="B178" s="23" t="s">
        <v>305</v>
      </c>
      <c r="C178" s="23" t="s">
        <v>559</v>
      </c>
      <c r="D178" s="23">
        <v>2020000</v>
      </c>
      <c r="E178" s="23" t="s">
        <v>514</v>
      </c>
      <c r="F178" s="23" t="str">
        <f t="shared" si="4"/>
        <v>rtdc.l.rtdc.4006:itc</v>
      </c>
      <c r="G178" s="8">
        <f t="shared" si="5"/>
        <v>42635.761157407411</v>
      </c>
    </row>
    <row r="179" spans="1:7" x14ac:dyDescent="0.25">
      <c r="A179" s="8">
        <v>42635.761643518519</v>
      </c>
      <c r="B179" s="23" t="s">
        <v>171</v>
      </c>
      <c r="C179" s="23" t="s">
        <v>560</v>
      </c>
      <c r="D179" s="23">
        <v>1540000</v>
      </c>
      <c r="E179" s="23" t="s">
        <v>304</v>
      </c>
      <c r="F179" s="23" t="str">
        <f t="shared" si="4"/>
        <v>rtdc.l.rtdc.4025:itc</v>
      </c>
      <c r="G179" s="8">
        <f t="shared" si="5"/>
        <v>42635.761643518519</v>
      </c>
    </row>
    <row r="180" spans="1:7" x14ac:dyDescent="0.25">
      <c r="A180" s="8">
        <v>42635.763113425928</v>
      </c>
      <c r="B180" s="23" t="s">
        <v>251</v>
      </c>
      <c r="C180" s="23" t="s">
        <v>561</v>
      </c>
      <c r="D180" s="23">
        <v>1140000</v>
      </c>
      <c r="E180" s="23" t="s">
        <v>280</v>
      </c>
      <c r="F180" s="23" t="str">
        <f t="shared" si="4"/>
        <v>rtdc.l.rtdc.4004:itc</v>
      </c>
      <c r="G180" s="8">
        <f t="shared" si="5"/>
        <v>42635.763113425928</v>
      </c>
    </row>
    <row r="181" spans="1:7" x14ac:dyDescent="0.25">
      <c r="A181" s="8">
        <v>42635.769108796296</v>
      </c>
      <c r="B181" s="23" t="s">
        <v>407</v>
      </c>
      <c r="C181" s="23" t="s">
        <v>562</v>
      </c>
      <c r="D181" s="23">
        <v>1480000</v>
      </c>
      <c r="E181" s="23" t="s">
        <v>242</v>
      </c>
      <c r="F181" s="23" t="str">
        <f t="shared" si="4"/>
        <v>rtdc.l.rtdc.4053:itc</v>
      </c>
      <c r="G181" s="8">
        <f t="shared" si="5"/>
        <v>42635.769108796296</v>
      </c>
    </row>
    <row r="182" spans="1:7" x14ac:dyDescent="0.25">
      <c r="A182" s="8">
        <v>42635.774224537039</v>
      </c>
      <c r="B182" s="23" t="s">
        <v>340</v>
      </c>
      <c r="C182" s="23" t="s">
        <v>563</v>
      </c>
      <c r="D182" s="23">
        <v>1290000</v>
      </c>
      <c r="E182" s="23" t="s">
        <v>173</v>
      </c>
      <c r="F182" s="23" t="str">
        <f t="shared" si="4"/>
        <v>rtdc.l.rtdc.4032:itc</v>
      </c>
      <c r="G182" s="8">
        <f t="shared" si="5"/>
        <v>42635.774224537039</v>
      </c>
    </row>
    <row r="183" spans="1:7" x14ac:dyDescent="0.25">
      <c r="A183" s="8">
        <v>42635.776377314818</v>
      </c>
      <c r="B183" s="23" t="s">
        <v>275</v>
      </c>
      <c r="C183" s="23" t="s">
        <v>564</v>
      </c>
      <c r="D183" s="23">
        <v>2040000</v>
      </c>
      <c r="E183" s="23" t="s">
        <v>345</v>
      </c>
      <c r="F183" s="23" t="str">
        <f t="shared" si="4"/>
        <v>rtdc.l.rtdc.4007:itc</v>
      </c>
      <c r="G183" s="8">
        <f t="shared" si="5"/>
        <v>42635.776377314818</v>
      </c>
    </row>
    <row r="184" spans="1:7" x14ac:dyDescent="0.25">
      <c r="A184" s="8">
        <v>42635.778043981481</v>
      </c>
      <c r="B184" s="23" t="s">
        <v>172</v>
      </c>
      <c r="C184" s="23" t="s">
        <v>565</v>
      </c>
      <c r="D184" s="23">
        <v>1540000</v>
      </c>
      <c r="E184" s="23" t="s">
        <v>304</v>
      </c>
      <c r="F184" s="23" t="str">
        <f t="shared" si="4"/>
        <v>rtdc.l.rtdc.4026:itc</v>
      </c>
      <c r="G184" s="8">
        <f t="shared" si="5"/>
        <v>42635.778043981481</v>
      </c>
    </row>
    <row r="185" spans="1:7" x14ac:dyDescent="0.25">
      <c r="A185" s="8">
        <v>42635.779652777775</v>
      </c>
      <c r="B185" s="23" t="s">
        <v>391</v>
      </c>
      <c r="C185" s="23" t="s">
        <v>566</v>
      </c>
      <c r="D185" s="23">
        <v>1810000</v>
      </c>
      <c r="E185" s="23" t="s">
        <v>470</v>
      </c>
      <c r="F185" s="23" t="str">
        <f t="shared" si="4"/>
        <v>rtdc.l.rtdc.4029:itc</v>
      </c>
      <c r="G185" s="8">
        <f t="shared" si="5"/>
        <v>42635.779652777775</v>
      </c>
    </row>
    <row r="186" spans="1:7" x14ac:dyDescent="0.25">
      <c r="A186" s="8">
        <v>42635.782731481479</v>
      </c>
      <c r="B186" s="23" t="s">
        <v>260</v>
      </c>
      <c r="C186" s="23" t="s">
        <v>567</v>
      </c>
      <c r="D186" s="23">
        <v>1230000</v>
      </c>
      <c r="E186" s="23" t="s">
        <v>252</v>
      </c>
      <c r="F186" s="23" t="str">
        <f t="shared" si="4"/>
        <v>rtdc.l.rtdc.4011:itc</v>
      </c>
      <c r="G186" s="8">
        <f t="shared" si="5"/>
        <v>42635.782731481479</v>
      </c>
    </row>
    <row r="187" spans="1:7" x14ac:dyDescent="0.25">
      <c r="A187" s="8">
        <v>42635.784351851849</v>
      </c>
      <c r="B187" s="23" t="s">
        <v>249</v>
      </c>
      <c r="C187" s="23" t="s">
        <v>568</v>
      </c>
      <c r="D187" s="23">
        <v>1740000</v>
      </c>
      <c r="E187" s="23" t="s">
        <v>306</v>
      </c>
      <c r="F187" s="23" t="str">
        <f t="shared" si="4"/>
        <v>rtdc.l.rtdc.4045:itc</v>
      </c>
      <c r="G187" s="8">
        <f t="shared" si="5"/>
        <v>42635.784351851849</v>
      </c>
    </row>
    <row r="188" spans="1:7" x14ac:dyDescent="0.25">
      <c r="A188" s="8">
        <v>42635.786041666666</v>
      </c>
      <c r="B188" s="23" t="s">
        <v>260</v>
      </c>
      <c r="C188" s="23" t="s">
        <v>567</v>
      </c>
      <c r="D188" s="23">
        <v>1230000</v>
      </c>
      <c r="E188" s="23" t="s">
        <v>252</v>
      </c>
      <c r="F188" s="23" t="str">
        <f t="shared" si="4"/>
        <v>rtdc.l.rtdc.4011:itc</v>
      </c>
      <c r="G188" s="8">
        <f t="shared" si="5"/>
        <v>42635.786041666666</v>
      </c>
    </row>
    <row r="189" spans="1:7" x14ac:dyDescent="0.25">
      <c r="A189" s="8">
        <v>42635.787245370368</v>
      </c>
      <c r="B189" s="23" t="s">
        <v>276</v>
      </c>
      <c r="C189" s="23" t="s">
        <v>569</v>
      </c>
      <c r="D189" s="23">
        <v>1180000</v>
      </c>
      <c r="E189" s="23" t="s">
        <v>268</v>
      </c>
      <c r="F189" s="23" t="str">
        <f t="shared" si="4"/>
        <v>rtdc.l.rtdc.4002:itc</v>
      </c>
      <c r="G189" s="8">
        <f t="shared" si="5"/>
        <v>42635.787245370368</v>
      </c>
    </row>
    <row r="190" spans="1:7" x14ac:dyDescent="0.25">
      <c r="A190" s="8">
        <v>42635.795335648145</v>
      </c>
      <c r="B190" s="23" t="s">
        <v>260</v>
      </c>
      <c r="C190" s="23" t="s">
        <v>567</v>
      </c>
      <c r="D190" s="23">
        <v>1230000</v>
      </c>
      <c r="E190" s="23" t="s">
        <v>252</v>
      </c>
      <c r="F190" s="23" t="str">
        <f t="shared" si="4"/>
        <v>rtdc.l.rtdc.4011:itc</v>
      </c>
      <c r="G190" s="8">
        <f t="shared" si="5"/>
        <v>42635.795335648145</v>
      </c>
    </row>
    <row r="191" spans="1:7" x14ac:dyDescent="0.25">
      <c r="A191" s="8">
        <v>42635.795370370368</v>
      </c>
      <c r="B191" s="23" t="s">
        <v>303</v>
      </c>
      <c r="C191" s="23" t="s">
        <v>570</v>
      </c>
      <c r="D191" s="23">
        <v>1300000</v>
      </c>
      <c r="E191" s="23" t="s">
        <v>121</v>
      </c>
      <c r="F191" s="23" t="str">
        <f t="shared" si="4"/>
        <v>rtdc.l.rtdc.4013:itc</v>
      </c>
      <c r="G191" s="8">
        <f t="shared" si="5"/>
        <v>42635.795370370368</v>
      </c>
    </row>
    <row r="192" spans="1:7" x14ac:dyDescent="0.25">
      <c r="A192" s="8">
        <v>42635.7968287037</v>
      </c>
      <c r="B192" s="23" t="s">
        <v>261</v>
      </c>
      <c r="C192" s="23" t="s">
        <v>571</v>
      </c>
      <c r="D192" s="23">
        <v>1230000</v>
      </c>
      <c r="E192" s="23" t="s">
        <v>252</v>
      </c>
      <c r="F192" s="23" t="str">
        <f t="shared" si="4"/>
        <v>rtdc.l.rtdc.4012:itc</v>
      </c>
      <c r="G192" s="8">
        <f t="shared" si="5"/>
        <v>42635.7968287037</v>
      </c>
    </row>
    <row r="193" spans="1:7" x14ac:dyDescent="0.25">
      <c r="A193" s="8">
        <v>42635.803252314814</v>
      </c>
      <c r="B193" s="23" t="s">
        <v>396</v>
      </c>
      <c r="C193" s="23" t="s">
        <v>572</v>
      </c>
      <c r="D193" s="23">
        <v>1480000</v>
      </c>
      <c r="E193" s="23" t="s">
        <v>242</v>
      </c>
      <c r="F193" s="23" t="str">
        <f t="shared" si="4"/>
        <v>rtdc.l.rtdc.4054:itc</v>
      </c>
      <c r="G193" s="8">
        <f t="shared" si="5"/>
        <v>42635.803252314814</v>
      </c>
    </row>
    <row r="194" spans="1:7" x14ac:dyDescent="0.25">
      <c r="A194" s="8">
        <v>42635.804097222222</v>
      </c>
      <c r="B194" s="23" t="s">
        <v>171</v>
      </c>
      <c r="C194" s="23" t="s">
        <v>573</v>
      </c>
      <c r="D194" s="23">
        <v>1540000</v>
      </c>
      <c r="E194" s="23" t="s">
        <v>304</v>
      </c>
      <c r="F194" s="23" t="str">
        <f t="shared" ref="F194:F235" si="6">B194</f>
        <v>rtdc.l.rtdc.4025:itc</v>
      </c>
      <c r="G194" s="8">
        <f t="shared" ref="G194:G235" si="7">A194</f>
        <v>42635.804097222222</v>
      </c>
    </row>
    <row r="195" spans="1:7" x14ac:dyDescent="0.25">
      <c r="A195" s="8">
        <v>42635.808171296296</v>
      </c>
      <c r="B195" s="23" t="s">
        <v>341</v>
      </c>
      <c r="C195" s="23" t="s">
        <v>574</v>
      </c>
      <c r="D195" s="23">
        <v>1290000</v>
      </c>
      <c r="E195" s="23" t="s">
        <v>173</v>
      </c>
      <c r="F195" s="23" t="str">
        <f t="shared" si="6"/>
        <v>rtdc.l.rtdc.4031:itc</v>
      </c>
      <c r="G195" s="8">
        <f t="shared" si="7"/>
        <v>42635.808171296296</v>
      </c>
    </row>
    <row r="196" spans="1:7" x14ac:dyDescent="0.25">
      <c r="A196" s="8">
        <v>42635.817835648151</v>
      </c>
      <c r="B196" s="23" t="s">
        <v>172</v>
      </c>
      <c r="C196" s="23" t="s">
        <v>575</v>
      </c>
      <c r="D196" s="23">
        <v>1540000</v>
      </c>
      <c r="E196" s="23" t="s">
        <v>304</v>
      </c>
      <c r="F196" s="23" t="str">
        <f t="shared" si="6"/>
        <v>rtdc.l.rtdc.4026:itc</v>
      </c>
      <c r="G196" s="8">
        <f t="shared" si="7"/>
        <v>42635.817835648151</v>
      </c>
    </row>
    <row r="197" spans="1:7" x14ac:dyDescent="0.25">
      <c r="A197" s="8">
        <v>42635.819895833331</v>
      </c>
      <c r="B197" s="23" t="s">
        <v>181</v>
      </c>
      <c r="C197" s="23" t="s">
        <v>576</v>
      </c>
      <c r="D197" s="23">
        <v>1740000</v>
      </c>
      <c r="E197" s="23" t="s">
        <v>306</v>
      </c>
      <c r="F197" s="23" t="str">
        <f t="shared" si="6"/>
        <v>rtdc.l.rtdc.4046:itc</v>
      </c>
      <c r="G197" s="8">
        <f t="shared" si="7"/>
        <v>42635.819895833331</v>
      </c>
    </row>
    <row r="198" spans="1:7" x14ac:dyDescent="0.25">
      <c r="A198" s="8">
        <v>42635.8280787037</v>
      </c>
      <c r="B198" s="23" t="s">
        <v>278</v>
      </c>
      <c r="C198" s="23" t="s">
        <v>577</v>
      </c>
      <c r="D198" s="23">
        <v>1180000</v>
      </c>
      <c r="E198" s="23" t="s">
        <v>268</v>
      </c>
      <c r="F198" s="23" t="str">
        <f t="shared" si="6"/>
        <v>rtdc.l.rtdc.4001:itc</v>
      </c>
      <c r="G198" s="8">
        <f t="shared" si="7"/>
        <v>42635.8280787037</v>
      </c>
    </row>
    <row r="199" spans="1:7" x14ac:dyDescent="0.25">
      <c r="A199" s="8">
        <v>42635.830312500002</v>
      </c>
      <c r="B199" s="23" t="s">
        <v>300</v>
      </c>
      <c r="C199" s="23" t="s">
        <v>578</v>
      </c>
      <c r="D199" s="23">
        <v>1300000</v>
      </c>
      <c r="E199" s="23" t="s">
        <v>121</v>
      </c>
      <c r="F199" s="23" t="str">
        <f t="shared" si="6"/>
        <v>rtdc.l.rtdc.4014:itc</v>
      </c>
      <c r="G199" s="8">
        <f t="shared" si="7"/>
        <v>42635.830312500002</v>
      </c>
    </row>
    <row r="200" spans="1:7" x14ac:dyDescent="0.25">
      <c r="A200" s="8">
        <v>42635.843229166669</v>
      </c>
      <c r="B200" s="23" t="s">
        <v>171</v>
      </c>
      <c r="C200" s="23" t="s">
        <v>579</v>
      </c>
      <c r="D200" s="23">
        <v>1540000</v>
      </c>
      <c r="E200" s="23" t="s">
        <v>304</v>
      </c>
      <c r="F200" s="23" t="str">
        <f t="shared" si="6"/>
        <v>rtdc.l.rtdc.4025:itc</v>
      </c>
      <c r="G200" s="8">
        <f t="shared" si="7"/>
        <v>42635.843229166669</v>
      </c>
    </row>
    <row r="201" spans="1:7" x14ac:dyDescent="0.25">
      <c r="A201" s="8">
        <v>42635.845891203702</v>
      </c>
      <c r="B201" s="23" t="s">
        <v>407</v>
      </c>
      <c r="C201" s="23" t="s">
        <v>580</v>
      </c>
      <c r="D201" s="23">
        <v>1480000</v>
      </c>
      <c r="E201" s="23" t="s">
        <v>242</v>
      </c>
      <c r="F201" s="23" t="str">
        <f t="shared" si="6"/>
        <v>rtdc.l.rtdc.4053:itc</v>
      </c>
      <c r="G201" s="8">
        <f t="shared" si="7"/>
        <v>42635.845891203702</v>
      </c>
    </row>
    <row r="202" spans="1:7" x14ac:dyDescent="0.25">
      <c r="A202" s="29">
        <v>42635.847951388889</v>
      </c>
      <c r="B202" s="23" t="s">
        <v>407</v>
      </c>
      <c r="C202" s="23" t="s">
        <v>580</v>
      </c>
      <c r="D202" s="23">
        <v>1480000</v>
      </c>
      <c r="E202" s="23" t="s">
        <v>242</v>
      </c>
      <c r="F202" s="23" t="str">
        <f t="shared" si="6"/>
        <v>rtdc.l.rtdc.4053:itc</v>
      </c>
      <c r="G202" s="8">
        <f t="shared" si="7"/>
        <v>42635.847951388889</v>
      </c>
    </row>
    <row r="203" spans="1:7" x14ac:dyDescent="0.25">
      <c r="A203" s="8">
        <v>42635.847962962966</v>
      </c>
      <c r="B203" s="23" t="s">
        <v>340</v>
      </c>
      <c r="C203" s="23" t="s">
        <v>581</v>
      </c>
      <c r="D203" s="23">
        <v>1290000</v>
      </c>
      <c r="E203" s="23" t="s">
        <v>173</v>
      </c>
      <c r="F203" s="23" t="str">
        <f t="shared" si="6"/>
        <v>rtdc.l.rtdc.4032:itc</v>
      </c>
      <c r="G203" s="8">
        <f t="shared" si="7"/>
        <v>42635.847962962966</v>
      </c>
    </row>
    <row r="204" spans="1:7" x14ac:dyDescent="0.25">
      <c r="A204" s="8">
        <v>42635.86042824074</v>
      </c>
      <c r="B204" s="23" t="s">
        <v>172</v>
      </c>
      <c r="C204" s="23" t="s">
        <v>582</v>
      </c>
      <c r="D204" s="23">
        <v>1540000</v>
      </c>
      <c r="E204" s="23" t="s">
        <v>304</v>
      </c>
      <c r="F204" s="23" t="str">
        <f t="shared" si="6"/>
        <v>rtdc.l.rtdc.4026:itc</v>
      </c>
      <c r="G204" s="8">
        <f t="shared" si="7"/>
        <v>42635.86042824074</v>
      </c>
    </row>
    <row r="205" spans="1:7" x14ac:dyDescent="0.25">
      <c r="A205" s="8">
        <v>42635.868368055555</v>
      </c>
      <c r="B205" s="23" t="s">
        <v>276</v>
      </c>
      <c r="C205" s="23" t="s">
        <v>583</v>
      </c>
      <c r="D205" s="23">
        <v>1180000</v>
      </c>
      <c r="E205" s="23" t="s">
        <v>268</v>
      </c>
      <c r="F205" s="23" t="str">
        <f t="shared" si="6"/>
        <v>rtdc.l.rtdc.4002:itc</v>
      </c>
      <c r="G205" s="8">
        <f t="shared" si="7"/>
        <v>42635.868368055555</v>
      </c>
    </row>
    <row r="206" spans="1:7" x14ac:dyDescent="0.25">
      <c r="A206" s="8">
        <v>42635.870347222219</v>
      </c>
      <c r="B206" s="23" t="s">
        <v>303</v>
      </c>
      <c r="C206" s="23" t="s">
        <v>584</v>
      </c>
      <c r="D206" s="23">
        <v>1300000</v>
      </c>
      <c r="E206" s="23" t="s">
        <v>121</v>
      </c>
      <c r="F206" s="23" t="str">
        <f t="shared" si="6"/>
        <v>rtdc.l.rtdc.4013:itc</v>
      </c>
      <c r="G206" s="8">
        <f t="shared" si="7"/>
        <v>42635.870347222219</v>
      </c>
    </row>
    <row r="207" spans="1:7" x14ac:dyDescent="0.25">
      <c r="A207" s="8">
        <v>42635.885648148149</v>
      </c>
      <c r="B207" s="23" t="s">
        <v>396</v>
      </c>
      <c r="C207" s="23" t="s">
        <v>585</v>
      </c>
      <c r="D207" s="23">
        <v>1480000</v>
      </c>
      <c r="E207" s="23" t="s">
        <v>242</v>
      </c>
      <c r="F207" s="23" t="str">
        <f t="shared" si="6"/>
        <v>rtdc.l.rtdc.4054:itc</v>
      </c>
      <c r="G207" s="8">
        <f t="shared" si="7"/>
        <v>42635.885648148149</v>
      </c>
    </row>
    <row r="208" spans="1:7" x14ac:dyDescent="0.25">
      <c r="A208" s="8">
        <v>42635.891689814816</v>
      </c>
      <c r="B208" s="23" t="s">
        <v>341</v>
      </c>
      <c r="C208" s="23" t="s">
        <v>586</v>
      </c>
      <c r="D208" s="23">
        <v>1290000</v>
      </c>
      <c r="E208" s="23" t="s">
        <v>173</v>
      </c>
      <c r="F208" s="23" t="str">
        <f t="shared" si="6"/>
        <v>rtdc.l.rtdc.4031:itc</v>
      </c>
      <c r="G208" s="8">
        <f t="shared" si="7"/>
        <v>42635.891689814816</v>
      </c>
    </row>
    <row r="209" spans="1:7" x14ac:dyDescent="0.25">
      <c r="A209" s="8">
        <v>42635.908680555556</v>
      </c>
      <c r="B209" s="23" t="s">
        <v>278</v>
      </c>
      <c r="C209" s="23" t="s">
        <v>587</v>
      </c>
      <c r="D209" s="23">
        <v>1180000</v>
      </c>
      <c r="E209" s="23" t="s">
        <v>268</v>
      </c>
      <c r="F209" s="23" t="str">
        <f t="shared" si="6"/>
        <v>rtdc.l.rtdc.4001:itc</v>
      </c>
      <c r="G209" s="8">
        <f t="shared" si="7"/>
        <v>42635.908680555556</v>
      </c>
    </row>
    <row r="210" spans="1:7" x14ac:dyDescent="0.25">
      <c r="A210" s="8">
        <v>42635.913356481484</v>
      </c>
      <c r="B210" s="23" t="s">
        <v>300</v>
      </c>
      <c r="C210" s="23" t="s">
        <v>588</v>
      </c>
      <c r="D210" s="23">
        <v>1300000</v>
      </c>
      <c r="E210" s="23" t="s">
        <v>121</v>
      </c>
      <c r="F210" s="23" t="str">
        <f t="shared" si="6"/>
        <v>rtdc.l.rtdc.4014:itc</v>
      </c>
      <c r="G210" s="8">
        <f t="shared" si="7"/>
        <v>42635.913356481484</v>
      </c>
    </row>
    <row r="211" spans="1:7" x14ac:dyDescent="0.25">
      <c r="A211" s="8">
        <v>42635.931261574071</v>
      </c>
      <c r="B211" s="23" t="s">
        <v>340</v>
      </c>
      <c r="C211" s="23" t="s">
        <v>589</v>
      </c>
      <c r="D211" s="23">
        <v>1290000</v>
      </c>
      <c r="E211" s="23" t="s">
        <v>173</v>
      </c>
      <c r="F211" s="23" t="str">
        <f t="shared" si="6"/>
        <v>rtdc.l.rtdc.4032:itc</v>
      </c>
      <c r="G211" s="8">
        <f t="shared" si="7"/>
        <v>42635.931261574071</v>
      </c>
    </row>
    <row r="212" spans="1:7" x14ac:dyDescent="0.25">
      <c r="A212" s="8">
        <v>42635.931805555556</v>
      </c>
      <c r="B212" s="23" t="s">
        <v>407</v>
      </c>
      <c r="C212" s="23" t="s">
        <v>590</v>
      </c>
      <c r="D212" s="23">
        <v>1480000</v>
      </c>
      <c r="E212" s="23" t="s">
        <v>242</v>
      </c>
      <c r="F212" s="23" t="str">
        <f t="shared" si="6"/>
        <v>rtdc.l.rtdc.4053:itc</v>
      </c>
      <c r="G212" s="8">
        <f t="shared" si="7"/>
        <v>42635.931805555556</v>
      </c>
    </row>
    <row r="213" spans="1:7" x14ac:dyDescent="0.25">
      <c r="A213" s="8">
        <v>42635.932256944441</v>
      </c>
      <c r="B213" s="23" t="s">
        <v>171</v>
      </c>
      <c r="C213" s="23" t="s">
        <v>591</v>
      </c>
      <c r="D213" s="23">
        <v>1230000</v>
      </c>
      <c r="E213" s="23" t="s">
        <v>252</v>
      </c>
      <c r="F213" s="23" t="str">
        <f t="shared" si="6"/>
        <v>rtdc.l.rtdc.4025:itc</v>
      </c>
      <c r="G213" s="8">
        <f t="shared" si="7"/>
        <v>42635.932256944441</v>
      </c>
    </row>
    <row r="214" spans="1:7" x14ac:dyDescent="0.25">
      <c r="A214" s="8">
        <v>42635.942835648151</v>
      </c>
      <c r="B214" s="23" t="s">
        <v>172</v>
      </c>
      <c r="C214" s="23" t="s">
        <v>592</v>
      </c>
      <c r="D214" s="23">
        <v>1230000</v>
      </c>
      <c r="E214" s="23" t="s">
        <v>252</v>
      </c>
      <c r="F214" s="23" t="str">
        <f t="shared" si="6"/>
        <v>rtdc.l.rtdc.4026:itc</v>
      </c>
      <c r="G214" s="8">
        <f t="shared" si="7"/>
        <v>42635.942835648151</v>
      </c>
    </row>
    <row r="215" spans="1:7" x14ac:dyDescent="0.25">
      <c r="A215" s="8">
        <v>42635.950868055559</v>
      </c>
      <c r="B215" s="23" t="s">
        <v>303</v>
      </c>
      <c r="C215" s="23" t="s">
        <v>593</v>
      </c>
      <c r="D215" s="23">
        <v>1300000</v>
      </c>
      <c r="E215" s="23" t="s">
        <v>121</v>
      </c>
      <c r="F215" s="23" t="str">
        <f t="shared" si="6"/>
        <v>rtdc.l.rtdc.4013:itc</v>
      </c>
      <c r="G215" s="8">
        <f t="shared" si="7"/>
        <v>42635.950868055559</v>
      </c>
    </row>
    <row r="216" spans="1:7" x14ac:dyDescent="0.25">
      <c r="A216" s="8">
        <v>42635.954756944448</v>
      </c>
      <c r="B216" s="23" t="s">
        <v>276</v>
      </c>
      <c r="C216" s="23" t="s">
        <v>594</v>
      </c>
      <c r="D216" s="23">
        <v>1180000</v>
      </c>
      <c r="E216" s="23" t="s">
        <v>268</v>
      </c>
      <c r="F216" s="23" t="str">
        <f t="shared" si="6"/>
        <v>rtdc.l.rtdc.4002:itc</v>
      </c>
      <c r="G216" s="8">
        <f t="shared" si="7"/>
        <v>42635.954756944448</v>
      </c>
    </row>
    <row r="217" spans="1:7" x14ac:dyDescent="0.25">
      <c r="A217" s="8">
        <v>42635.965520833335</v>
      </c>
      <c r="B217" s="23" t="s">
        <v>396</v>
      </c>
      <c r="C217" s="23" t="s">
        <v>595</v>
      </c>
      <c r="D217" s="23">
        <v>1480000</v>
      </c>
      <c r="E217" s="23" t="s">
        <v>242</v>
      </c>
      <c r="F217" s="23" t="str">
        <f t="shared" si="6"/>
        <v>rtdc.l.rtdc.4054:itc</v>
      </c>
      <c r="G217" s="8">
        <f t="shared" si="7"/>
        <v>42635.965520833335</v>
      </c>
    </row>
    <row r="218" spans="1:7" x14ac:dyDescent="0.25">
      <c r="A218" s="8">
        <v>42635.97384259259</v>
      </c>
      <c r="B218" s="23" t="s">
        <v>341</v>
      </c>
      <c r="C218" s="23" t="s">
        <v>596</v>
      </c>
      <c r="D218" s="23">
        <v>1290000</v>
      </c>
      <c r="E218" s="23" t="s">
        <v>173</v>
      </c>
      <c r="F218" s="23" t="str">
        <f t="shared" si="6"/>
        <v>rtdc.l.rtdc.4031:itc</v>
      </c>
      <c r="G218" s="8">
        <f t="shared" si="7"/>
        <v>42635.97384259259</v>
      </c>
    </row>
    <row r="219" spans="1:7" x14ac:dyDescent="0.25">
      <c r="A219" s="8">
        <v>42635.993680555555</v>
      </c>
      <c r="B219" s="23" t="s">
        <v>278</v>
      </c>
      <c r="C219" s="23" t="s">
        <v>597</v>
      </c>
      <c r="D219" s="23">
        <v>1180000</v>
      </c>
      <c r="E219" s="23" t="s">
        <v>268</v>
      </c>
      <c r="F219" s="23" t="str">
        <f t="shared" si="6"/>
        <v>rtdc.l.rtdc.4001:itc</v>
      </c>
      <c r="G219" s="8">
        <f t="shared" si="7"/>
        <v>42635.993680555555</v>
      </c>
    </row>
    <row r="220" spans="1:7" x14ac:dyDescent="0.25">
      <c r="A220" s="8">
        <v>42635.995625000003</v>
      </c>
      <c r="B220" s="23" t="s">
        <v>300</v>
      </c>
      <c r="C220" s="23" t="s">
        <v>598</v>
      </c>
      <c r="D220" s="23">
        <v>1300000</v>
      </c>
      <c r="E220" s="23" t="s">
        <v>121</v>
      </c>
      <c r="F220" s="23" t="str">
        <f t="shared" si="6"/>
        <v>rtdc.l.rtdc.4014:itc</v>
      </c>
      <c r="G220" s="8">
        <f t="shared" si="7"/>
        <v>42635.995625000003</v>
      </c>
    </row>
    <row r="221" spans="1:7" x14ac:dyDescent="0.25">
      <c r="A221" s="8">
        <v>42636.013495370367</v>
      </c>
      <c r="B221" s="23" t="s">
        <v>407</v>
      </c>
      <c r="C221" s="23" t="s">
        <v>599</v>
      </c>
      <c r="D221" s="23">
        <v>1480000</v>
      </c>
      <c r="E221" s="23" t="s">
        <v>242</v>
      </c>
      <c r="F221" s="23" t="str">
        <f t="shared" si="6"/>
        <v>rtdc.l.rtdc.4053:itc</v>
      </c>
      <c r="G221" s="8">
        <f t="shared" si="7"/>
        <v>42636.013495370367</v>
      </c>
    </row>
    <row r="222" spans="1:7" x14ac:dyDescent="0.25">
      <c r="A222" s="8">
        <v>42636.014641203707</v>
      </c>
      <c r="B222" s="23" t="s">
        <v>340</v>
      </c>
      <c r="C222" s="23" t="s">
        <v>600</v>
      </c>
      <c r="D222" s="23">
        <v>1290000</v>
      </c>
      <c r="E222" s="23" t="s">
        <v>173</v>
      </c>
      <c r="F222" s="23" t="str">
        <f t="shared" si="6"/>
        <v>rtdc.l.rtdc.4032:itc</v>
      </c>
      <c r="G222" s="8">
        <f t="shared" si="7"/>
        <v>42636.014641203707</v>
      </c>
    </row>
    <row r="223" spans="1:7" x14ac:dyDescent="0.25">
      <c r="A223" s="8">
        <v>42636.027905092589</v>
      </c>
      <c r="B223" s="23" t="s">
        <v>276</v>
      </c>
      <c r="C223" s="23" t="s">
        <v>601</v>
      </c>
      <c r="D223" s="23">
        <v>1180000</v>
      </c>
      <c r="E223" s="23" t="s">
        <v>268</v>
      </c>
      <c r="F223" s="23" t="str">
        <f t="shared" si="6"/>
        <v>rtdc.l.rtdc.4002:itc</v>
      </c>
      <c r="G223" s="8">
        <f t="shared" si="7"/>
        <v>42636.027905092589</v>
      </c>
    </row>
    <row r="224" spans="1:7" x14ac:dyDescent="0.25">
      <c r="A224" s="8">
        <v>42636.033668981479</v>
      </c>
      <c r="B224" t="s">
        <v>303</v>
      </c>
      <c r="C224" t="s">
        <v>602</v>
      </c>
      <c r="D224">
        <v>1300000</v>
      </c>
      <c r="E224" t="s">
        <v>121</v>
      </c>
      <c r="F224" s="23" t="str">
        <f t="shared" si="6"/>
        <v>rtdc.l.rtdc.4013:itc</v>
      </c>
      <c r="G224" s="8">
        <f t="shared" si="7"/>
        <v>42636.033668981479</v>
      </c>
    </row>
    <row r="225" spans="1:7" x14ac:dyDescent="0.25">
      <c r="A225" s="8">
        <v>42636.047650462962</v>
      </c>
      <c r="B225" t="s">
        <v>341</v>
      </c>
      <c r="C225" t="s">
        <v>603</v>
      </c>
      <c r="D225">
        <v>1290000</v>
      </c>
      <c r="E225" t="s">
        <v>173</v>
      </c>
      <c r="F225" s="23" t="str">
        <f t="shared" si="6"/>
        <v>rtdc.l.rtdc.4031:itc</v>
      </c>
      <c r="G225" s="8">
        <f t="shared" si="7"/>
        <v>42636.047650462962</v>
      </c>
    </row>
    <row r="226" spans="1:7" x14ac:dyDescent="0.25">
      <c r="A226" s="8">
        <v>42636.049907407411</v>
      </c>
      <c r="B226" t="s">
        <v>396</v>
      </c>
      <c r="C226" t="s">
        <v>604</v>
      </c>
      <c r="D226">
        <v>1480000</v>
      </c>
      <c r="E226" t="s">
        <v>242</v>
      </c>
      <c r="F226" s="23" t="str">
        <f t="shared" si="6"/>
        <v>rtdc.l.rtdc.4054:itc</v>
      </c>
      <c r="G226" s="8">
        <f t="shared" si="7"/>
        <v>42636.049907407411</v>
      </c>
    </row>
    <row r="227" spans="1:7" x14ac:dyDescent="0.25">
      <c r="A227" s="8">
        <v>42636.055277777778</v>
      </c>
      <c r="B227" t="s">
        <v>341</v>
      </c>
      <c r="C227" t="s">
        <v>603</v>
      </c>
      <c r="D227">
        <v>1290000</v>
      </c>
      <c r="E227" t="s">
        <v>173</v>
      </c>
      <c r="F227" s="23" t="str">
        <f t="shared" si="6"/>
        <v>rtdc.l.rtdc.4031:itc</v>
      </c>
      <c r="G227" s="8">
        <f t="shared" si="7"/>
        <v>42636.055277777778</v>
      </c>
    </row>
    <row r="228" spans="1:7" x14ac:dyDescent="0.25">
      <c r="A228" s="8">
        <v>42636.067916666667</v>
      </c>
      <c r="B228" t="s">
        <v>300</v>
      </c>
      <c r="C228" t="s">
        <v>605</v>
      </c>
      <c r="D228">
        <v>1300000</v>
      </c>
      <c r="E228" t="s">
        <v>121</v>
      </c>
      <c r="F228" s="23" t="str">
        <f t="shared" si="6"/>
        <v>rtdc.l.rtdc.4014:itc</v>
      </c>
      <c r="G228" s="8">
        <f t="shared" si="7"/>
        <v>42636.067916666667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42635.046412037038</v>
      </c>
      <c r="B230" t="s">
        <v>337</v>
      </c>
      <c r="C230" t="s">
        <v>347</v>
      </c>
      <c r="D230">
        <v>1230000</v>
      </c>
      <c r="E230" t="s">
        <v>252</v>
      </c>
      <c r="F230" s="23" t="str">
        <f t="shared" si="6"/>
        <v>rtdc.l.rtdc.4016:itc</v>
      </c>
      <c r="G230" s="8">
        <f t="shared" si="7"/>
        <v>42635.046412037038</v>
      </c>
    </row>
    <row r="231" spans="1:7" x14ac:dyDescent="0.25">
      <c r="A231" s="8">
        <v>42635.055613425924</v>
      </c>
      <c r="B231" t="s">
        <v>176</v>
      </c>
      <c r="C231" t="s">
        <v>348</v>
      </c>
      <c r="D231">
        <v>1290000</v>
      </c>
      <c r="E231" t="s">
        <v>173</v>
      </c>
      <c r="F231" s="23" t="str">
        <f t="shared" si="6"/>
        <v>rtdc.l.rtdc.4041:itc</v>
      </c>
      <c r="G231" s="8">
        <f t="shared" si="7"/>
        <v>42635.055613425924</v>
      </c>
    </row>
    <row r="232" spans="1:7" x14ac:dyDescent="0.25">
      <c r="A232" s="8">
        <v>42635.067523148151</v>
      </c>
      <c r="B232" t="s">
        <v>338</v>
      </c>
      <c r="C232" t="s">
        <v>349</v>
      </c>
      <c r="D232">
        <v>1300000</v>
      </c>
      <c r="E232" t="s">
        <v>121</v>
      </c>
      <c r="F232" s="23" t="str">
        <f t="shared" si="6"/>
        <v>rtdc.l.rtdc.4027:itc</v>
      </c>
      <c r="G232" s="8">
        <f t="shared" si="7"/>
        <v>42635.067523148151</v>
      </c>
    </row>
    <row r="233" spans="1:7" x14ac:dyDescent="0.25">
      <c r="A233" s="8">
        <v>42635.088993055557</v>
      </c>
      <c r="B233" t="s">
        <v>178</v>
      </c>
      <c r="C233" t="s">
        <v>350</v>
      </c>
      <c r="D233">
        <v>1290000</v>
      </c>
      <c r="E233" t="s">
        <v>173</v>
      </c>
      <c r="F233" s="23" t="str">
        <f t="shared" si="6"/>
        <v>rtdc.l.rtdc.4042:itc</v>
      </c>
      <c r="G233" s="8">
        <f t="shared" si="7"/>
        <v>42635.088993055557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42630.078773148147</v>
      </c>
      <c r="B235" t="s">
        <v>251</v>
      </c>
      <c r="C235" t="s">
        <v>254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240</v>
      </c>
      <c r="C236" t="s">
        <v>255</v>
      </c>
      <c r="D236">
        <v>1800000</v>
      </c>
      <c r="E236" t="s">
        <v>253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256</v>
      </c>
      <c r="D237">
        <v>1480000</v>
      </c>
      <c r="E237" t="s">
        <v>242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250</v>
      </c>
      <c r="C238" t="s">
        <v>257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34" sqref="H34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232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294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61.57</v>
      </c>
      <c r="B2" s="154">
        <v>0.37</v>
      </c>
      <c r="C2" s="154">
        <v>47.37</v>
      </c>
      <c r="D2" s="169">
        <v>42635</v>
      </c>
      <c r="E2" s="154">
        <v>0.6</v>
      </c>
      <c r="F2" s="154" t="s">
        <v>329</v>
      </c>
      <c r="G2" s="154">
        <v>255.25</v>
      </c>
      <c r="H2" s="154">
        <v>0</v>
      </c>
      <c r="I2" s="154">
        <v>0</v>
      </c>
      <c r="K2" s="154">
        <v>1012.47</v>
      </c>
      <c r="L2" s="154" t="s">
        <v>330</v>
      </c>
      <c r="M2" s="154">
        <v>61.57</v>
      </c>
      <c r="N2" s="154">
        <v>1474524000</v>
      </c>
      <c r="O2" s="154">
        <v>1.24</v>
      </c>
      <c r="P2" s="154">
        <v>219</v>
      </c>
      <c r="Q2" s="154">
        <v>0.91</v>
      </c>
    </row>
    <row r="3" spans="1:17" x14ac:dyDescent="0.25">
      <c r="A3" s="154">
        <v>59.95</v>
      </c>
      <c r="B3" s="154">
        <v>0.37</v>
      </c>
      <c r="C3" s="154">
        <v>47.01</v>
      </c>
      <c r="D3" s="169">
        <v>42635.041666666664</v>
      </c>
      <c r="E3" s="154">
        <v>0.62</v>
      </c>
      <c r="F3" s="154" t="s">
        <v>329</v>
      </c>
      <c r="G3" s="154">
        <v>255.12</v>
      </c>
      <c r="H3" s="154">
        <v>0</v>
      </c>
      <c r="I3" s="154">
        <v>0</v>
      </c>
      <c r="K3" s="154">
        <v>1012.7</v>
      </c>
      <c r="L3" s="154" t="s">
        <v>330</v>
      </c>
      <c r="M3" s="154">
        <v>59.95</v>
      </c>
      <c r="N3" s="154">
        <v>1474527600</v>
      </c>
      <c r="O3" s="154">
        <v>1.24</v>
      </c>
      <c r="P3" s="154">
        <v>236</v>
      </c>
      <c r="Q3" s="154">
        <v>1.1399999999999999</v>
      </c>
    </row>
    <row r="4" spans="1:17" x14ac:dyDescent="0.25">
      <c r="A4" s="154">
        <v>59.47</v>
      </c>
      <c r="B4" s="154">
        <v>0.37</v>
      </c>
      <c r="C4" s="154">
        <v>47.55</v>
      </c>
      <c r="D4" s="169">
        <v>42635.083333333336</v>
      </c>
      <c r="E4" s="154">
        <v>0.65</v>
      </c>
      <c r="F4" s="154" t="s">
        <v>329</v>
      </c>
      <c r="G4" s="154">
        <v>254.99</v>
      </c>
      <c r="H4" s="154">
        <v>0</v>
      </c>
      <c r="I4" s="154">
        <v>0</v>
      </c>
      <c r="K4" s="154">
        <v>1012.97</v>
      </c>
      <c r="L4" s="154" t="s">
        <v>330</v>
      </c>
      <c r="M4" s="154">
        <v>59.47</v>
      </c>
      <c r="N4" s="154">
        <v>1474531200</v>
      </c>
      <c r="O4" s="154">
        <v>1.24</v>
      </c>
      <c r="P4" s="154">
        <v>232</v>
      </c>
      <c r="Q4" s="154">
        <v>1.43</v>
      </c>
    </row>
    <row r="5" spans="1:17" x14ac:dyDescent="0.25">
      <c r="A5" s="154">
        <v>58.54</v>
      </c>
      <c r="B5" s="154">
        <v>0.33</v>
      </c>
      <c r="C5" s="154">
        <v>46.38</v>
      </c>
      <c r="D5" s="169">
        <v>42635.125</v>
      </c>
      <c r="E5" s="154">
        <v>0.64</v>
      </c>
      <c r="F5" s="154" t="s">
        <v>329</v>
      </c>
      <c r="G5" s="154">
        <v>254.86</v>
      </c>
      <c r="H5" s="154">
        <v>0</v>
      </c>
      <c r="I5" s="154">
        <v>0</v>
      </c>
      <c r="K5" s="154">
        <v>1013.35</v>
      </c>
      <c r="L5" s="154" t="s">
        <v>330</v>
      </c>
      <c r="M5" s="154">
        <v>58.54</v>
      </c>
      <c r="N5" s="154">
        <v>1474534800</v>
      </c>
      <c r="O5" s="154">
        <v>1.24</v>
      </c>
      <c r="P5" s="154">
        <v>302</v>
      </c>
      <c r="Q5" s="154">
        <v>2</v>
      </c>
    </row>
    <row r="6" spans="1:17" x14ac:dyDescent="0.25">
      <c r="A6" s="154">
        <v>57.19</v>
      </c>
      <c r="B6" s="154">
        <v>0.34</v>
      </c>
      <c r="C6" s="154">
        <v>45.28</v>
      </c>
      <c r="D6" s="169">
        <v>42635.166666666664</v>
      </c>
      <c r="E6" s="154">
        <v>0.64</v>
      </c>
      <c r="F6" s="154" t="s">
        <v>329</v>
      </c>
      <c r="G6" s="154">
        <v>254.65</v>
      </c>
      <c r="H6" s="154">
        <v>0</v>
      </c>
      <c r="I6" s="154">
        <v>0</v>
      </c>
      <c r="K6" s="154">
        <v>1013.61</v>
      </c>
      <c r="L6" s="154" t="s">
        <v>330</v>
      </c>
      <c r="M6" s="154">
        <v>57.19</v>
      </c>
      <c r="N6" s="154">
        <v>1474538400</v>
      </c>
      <c r="O6" s="154">
        <v>1.24</v>
      </c>
      <c r="P6" s="154">
        <v>317</v>
      </c>
      <c r="Q6" s="154">
        <v>2.2400000000000002</v>
      </c>
    </row>
    <row r="7" spans="1:17" x14ac:dyDescent="0.25">
      <c r="A7" s="154">
        <v>56.64</v>
      </c>
      <c r="B7" s="154">
        <v>0.34</v>
      </c>
      <c r="C7" s="154">
        <v>46.35</v>
      </c>
      <c r="D7" s="169">
        <v>42635.208333333336</v>
      </c>
      <c r="E7" s="154">
        <v>0.68</v>
      </c>
      <c r="F7" s="154" t="s">
        <v>329</v>
      </c>
      <c r="G7" s="154">
        <v>254.43</v>
      </c>
      <c r="H7" s="154">
        <v>0</v>
      </c>
      <c r="I7" s="154">
        <v>0</v>
      </c>
      <c r="K7" s="154">
        <v>1013.78</v>
      </c>
      <c r="L7" s="154" t="s">
        <v>330</v>
      </c>
      <c r="M7" s="154">
        <v>56.64</v>
      </c>
      <c r="N7" s="154">
        <v>1474542000</v>
      </c>
      <c r="O7" s="154">
        <v>1.24</v>
      </c>
      <c r="P7" s="154">
        <v>315</v>
      </c>
      <c r="Q7" s="154">
        <v>1.79</v>
      </c>
    </row>
    <row r="8" spans="1:17" x14ac:dyDescent="0.25">
      <c r="A8" s="154">
        <v>55.33</v>
      </c>
      <c r="B8" s="154">
        <v>0.36</v>
      </c>
      <c r="C8" s="154">
        <v>47.05</v>
      </c>
      <c r="D8" s="169">
        <v>42635.25</v>
      </c>
      <c r="E8" s="154">
        <v>0.74</v>
      </c>
      <c r="F8" s="154" t="s">
        <v>329</v>
      </c>
      <c r="G8" s="154">
        <v>254.36</v>
      </c>
      <c r="H8" s="154">
        <v>0</v>
      </c>
      <c r="I8" s="154">
        <v>0</v>
      </c>
      <c r="K8" s="154">
        <v>1013.83</v>
      </c>
      <c r="L8" s="154" t="s">
        <v>330</v>
      </c>
      <c r="M8" s="154">
        <v>55.33</v>
      </c>
      <c r="N8" s="154">
        <v>1474545600</v>
      </c>
      <c r="O8" s="154">
        <v>1.24</v>
      </c>
      <c r="P8" s="154">
        <v>305</v>
      </c>
      <c r="Q8" s="154">
        <v>1.24</v>
      </c>
    </row>
    <row r="9" spans="1:17" x14ac:dyDescent="0.25">
      <c r="A9" s="154">
        <v>56.14</v>
      </c>
      <c r="B9" s="154">
        <v>0.42</v>
      </c>
      <c r="C9" s="154">
        <v>47.68</v>
      </c>
      <c r="D9" s="169">
        <v>42635.291666666664</v>
      </c>
      <c r="E9" s="154">
        <v>0.73</v>
      </c>
      <c r="F9" s="154" t="s">
        <v>329</v>
      </c>
      <c r="G9" s="154">
        <v>254.61</v>
      </c>
      <c r="H9" s="154">
        <v>0</v>
      </c>
      <c r="I9" s="154">
        <v>0</v>
      </c>
      <c r="K9" s="154">
        <v>1013.82</v>
      </c>
      <c r="L9" s="154" t="s">
        <v>330</v>
      </c>
      <c r="M9" s="154">
        <v>56.14</v>
      </c>
      <c r="N9" s="154">
        <v>1474549200</v>
      </c>
      <c r="O9" s="154">
        <v>1.24</v>
      </c>
      <c r="P9" s="154">
        <v>339</v>
      </c>
      <c r="Q9" s="154">
        <v>1.42</v>
      </c>
    </row>
    <row r="10" spans="1:17" x14ac:dyDescent="0.25">
      <c r="A10" s="154">
        <v>57.9</v>
      </c>
      <c r="B10" s="154">
        <v>0.41</v>
      </c>
      <c r="C10" s="154">
        <v>48.3</v>
      </c>
      <c r="D10" s="169">
        <v>42635.333333333336</v>
      </c>
      <c r="E10" s="154">
        <v>0.7</v>
      </c>
      <c r="F10" s="154" t="s">
        <v>329</v>
      </c>
      <c r="G10" s="154">
        <v>255.02</v>
      </c>
      <c r="H10" s="154">
        <v>0</v>
      </c>
      <c r="I10" s="154">
        <v>0</v>
      </c>
      <c r="K10" s="154">
        <v>1013.71</v>
      </c>
      <c r="L10" s="154" t="s">
        <v>330</v>
      </c>
      <c r="M10" s="154">
        <v>57.9</v>
      </c>
      <c r="N10" s="154">
        <v>1474552800</v>
      </c>
      <c r="O10" s="154">
        <v>1.24</v>
      </c>
      <c r="P10" s="154">
        <v>25</v>
      </c>
      <c r="Q10" s="154">
        <v>2.15</v>
      </c>
    </row>
    <row r="11" spans="1:17" x14ac:dyDescent="0.25">
      <c r="A11" s="154">
        <v>60</v>
      </c>
      <c r="B11" s="154">
        <v>0.46</v>
      </c>
      <c r="C11" s="154">
        <v>48.9</v>
      </c>
      <c r="D11" s="169">
        <v>42635.375</v>
      </c>
      <c r="E11" s="154">
        <v>0.67</v>
      </c>
      <c r="F11" s="154" t="s">
        <v>329</v>
      </c>
      <c r="G11" s="154">
        <v>255.2</v>
      </c>
      <c r="H11" s="154">
        <v>0</v>
      </c>
      <c r="I11" s="154">
        <v>0</v>
      </c>
      <c r="K11" s="154">
        <v>1013.36</v>
      </c>
      <c r="L11" s="154" t="s">
        <v>330</v>
      </c>
      <c r="M11" s="154">
        <v>60</v>
      </c>
      <c r="N11" s="154">
        <v>1474556400</v>
      </c>
      <c r="O11" s="154">
        <v>1.24</v>
      </c>
      <c r="P11" s="154">
        <v>57</v>
      </c>
      <c r="Q11" s="154">
        <v>2.9</v>
      </c>
    </row>
    <row r="12" spans="1:17" x14ac:dyDescent="0.25">
      <c r="A12" s="154">
        <v>62.14</v>
      </c>
      <c r="B12" s="154">
        <v>0.49</v>
      </c>
      <c r="C12" s="154">
        <v>49.73</v>
      </c>
      <c r="D12" s="169">
        <v>42635.416666666664</v>
      </c>
      <c r="E12" s="154">
        <v>0.64</v>
      </c>
      <c r="F12" s="154" t="s">
        <v>329</v>
      </c>
      <c r="G12" s="154">
        <v>254.96</v>
      </c>
      <c r="H12" s="154">
        <v>0</v>
      </c>
      <c r="I12" s="154">
        <v>0</v>
      </c>
      <c r="K12" s="154">
        <v>1012.78</v>
      </c>
      <c r="L12" s="154" t="s">
        <v>330</v>
      </c>
      <c r="M12" s="154">
        <v>62.14</v>
      </c>
      <c r="N12" s="154">
        <v>1474560000</v>
      </c>
      <c r="O12" s="154">
        <v>1.24</v>
      </c>
      <c r="P12" s="154">
        <v>61</v>
      </c>
      <c r="Q12" s="154">
        <v>2.19</v>
      </c>
    </row>
    <row r="13" spans="1:17" x14ac:dyDescent="0.25">
      <c r="A13" s="154">
        <v>65.069999999999993</v>
      </c>
      <c r="B13" s="154">
        <v>0.6</v>
      </c>
      <c r="C13" s="154">
        <v>49.85</v>
      </c>
      <c r="D13" s="169">
        <v>42635.458333333336</v>
      </c>
      <c r="E13" s="154">
        <v>0.57999999999999996</v>
      </c>
      <c r="F13" s="154" t="s">
        <v>329</v>
      </c>
      <c r="G13" s="154">
        <v>254.49</v>
      </c>
      <c r="H13" s="154">
        <v>0</v>
      </c>
      <c r="I13" s="154">
        <v>0</v>
      </c>
      <c r="K13" s="154">
        <v>1012.04</v>
      </c>
      <c r="L13" s="154" t="s">
        <v>330</v>
      </c>
      <c r="M13" s="154">
        <v>65.069999999999993</v>
      </c>
      <c r="N13" s="154">
        <v>1474563600</v>
      </c>
      <c r="O13" s="154">
        <v>1.24</v>
      </c>
      <c r="P13" s="154">
        <v>45</v>
      </c>
      <c r="Q13" s="154">
        <v>1.94</v>
      </c>
    </row>
    <row r="14" spans="1:17" x14ac:dyDescent="0.25">
      <c r="A14" s="154">
        <v>67.81</v>
      </c>
      <c r="B14" s="154">
        <v>0.61</v>
      </c>
      <c r="C14" s="154">
        <v>49.47</v>
      </c>
      <c r="D14" s="169">
        <v>42635.5</v>
      </c>
      <c r="E14" s="154">
        <v>0.52</v>
      </c>
      <c r="F14" s="154" t="s">
        <v>329</v>
      </c>
      <c r="G14" s="154">
        <v>254.1</v>
      </c>
      <c r="H14" s="154">
        <v>0</v>
      </c>
      <c r="I14" s="154">
        <v>0</v>
      </c>
      <c r="K14" s="154">
        <v>1011.18</v>
      </c>
      <c r="L14" s="154" t="s">
        <v>330</v>
      </c>
      <c r="M14" s="154">
        <v>67.81</v>
      </c>
      <c r="N14" s="154">
        <v>1474567200</v>
      </c>
      <c r="O14" s="154">
        <v>1.24</v>
      </c>
      <c r="P14" s="154">
        <v>60</v>
      </c>
      <c r="Q14" s="154">
        <v>2.97</v>
      </c>
    </row>
    <row r="15" spans="1:17" x14ac:dyDescent="0.25">
      <c r="A15" s="154">
        <v>70.97</v>
      </c>
      <c r="B15" s="154">
        <v>0.57999999999999996</v>
      </c>
      <c r="C15" s="154">
        <v>49.64</v>
      </c>
      <c r="D15" s="169">
        <v>42635.541666666664</v>
      </c>
      <c r="E15" s="154">
        <v>0.47</v>
      </c>
      <c r="F15" s="154" t="s">
        <v>329</v>
      </c>
      <c r="G15" s="154">
        <v>253.87</v>
      </c>
      <c r="H15" s="154">
        <v>0</v>
      </c>
      <c r="I15" s="154">
        <v>0</v>
      </c>
      <c r="K15" s="154">
        <v>1009.8</v>
      </c>
      <c r="L15" s="154" t="s">
        <v>330</v>
      </c>
      <c r="M15" s="154">
        <v>70.97</v>
      </c>
      <c r="N15" s="154">
        <v>1474570800</v>
      </c>
      <c r="O15" s="154">
        <v>1.24</v>
      </c>
      <c r="P15" s="154">
        <v>65</v>
      </c>
      <c r="Q15" s="154">
        <v>3.61</v>
      </c>
    </row>
    <row r="16" spans="1:17" x14ac:dyDescent="0.25">
      <c r="A16" s="154">
        <v>72.209999999999994</v>
      </c>
      <c r="B16" s="154">
        <v>0.52</v>
      </c>
      <c r="C16" s="154">
        <v>48.75</v>
      </c>
      <c r="D16" s="169">
        <v>42635.583333333336</v>
      </c>
      <c r="E16" s="154">
        <v>0.43</v>
      </c>
      <c r="F16" s="154" t="s">
        <v>329</v>
      </c>
      <c r="G16" s="154">
        <v>253.72</v>
      </c>
      <c r="H16" s="154">
        <v>0</v>
      </c>
      <c r="I16" s="154">
        <v>0</v>
      </c>
      <c r="K16" s="154">
        <v>1008.3</v>
      </c>
      <c r="L16" s="154" t="s">
        <v>330</v>
      </c>
      <c r="M16" s="154">
        <v>72.209999999999994</v>
      </c>
      <c r="N16" s="154">
        <v>1474574400</v>
      </c>
      <c r="O16" s="154">
        <v>1.24</v>
      </c>
      <c r="P16" s="154">
        <v>44</v>
      </c>
      <c r="Q16" s="154">
        <v>3.81</v>
      </c>
    </row>
    <row r="17" spans="1:17" x14ac:dyDescent="0.25">
      <c r="A17" s="154">
        <v>73.5</v>
      </c>
      <c r="B17" s="154">
        <v>0.35</v>
      </c>
      <c r="C17" s="154">
        <v>49.82</v>
      </c>
      <c r="D17" s="169">
        <v>42635.625</v>
      </c>
      <c r="E17" s="154">
        <v>0.43</v>
      </c>
      <c r="F17" s="154" t="s">
        <v>295</v>
      </c>
      <c r="G17" s="154">
        <v>253.71</v>
      </c>
      <c r="H17" s="154">
        <v>0</v>
      </c>
      <c r="I17" s="154">
        <v>0</v>
      </c>
      <c r="K17" s="154">
        <v>1007.24</v>
      </c>
      <c r="L17" s="154" t="s">
        <v>331</v>
      </c>
      <c r="M17" s="154">
        <v>73.5</v>
      </c>
      <c r="N17" s="154">
        <v>1474578000</v>
      </c>
      <c r="O17" s="154">
        <v>5.14</v>
      </c>
      <c r="P17" s="154">
        <v>53</v>
      </c>
      <c r="Q17" s="154">
        <v>4.68</v>
      </c>
    </row>
    <row r="18" spans="1:17" x14ac:dyDescent="0.25">
      <c r="A18" s="154">
        <v>73.58</v>
      </c>
      <c r="B18" s="154">
        <v>0.36</v>
      </c>
      <c r="C18" s="154">
        <v>50.43</v>
      </c>
      <c r="D18" s="169">
        <v>42635.666666666664</v>
      </c>
      <c r="E18" s="154">
        <v>0.44</v>
      </c>
      <c r="F18" s="154" t="s">
        <v>295</v>
      </c>
      <c r="G18" s="154">
        <v>253.98</v>
      </c>
      <c r="H18" s="154">
        <v>0</v>
      </c>
      <c r="I18" s="154">
        <v>0</v>
      </c>
      <c r="K18" s="154">
        <v>1006.77</v>
      </c>
      <c r="L18" s="154" t="s">
        <v>331</v>
      </c>
      <c r="M18" s="154">
        <v>73.58</v>
      </c>
      <c r="N18" s="154">
        <v>1474581600</v>
      </c>
      <c r="O18" s="154">
        <v>5.07</v>
      </c>
      <c r="P18" s="154">
        <v>35</v>
      </c>
      <c r="Q18" s="154">
        <v>4.8</v>
      </c>
    </row>
    <row r="19" spans="1:17" x14ac:dyDescent="0.25">
      <c r="A19" s="154">
        <v>72.81</v>
      </c>
      <c r="B19" s="154">
        <v>0.37</v>
      </c>
      <c r="C19" s="154">
        <v>51.5</v>
      </c>
      <c r="D19" s="169">
        <v>42635.708333333336</v>
      </c>
      <c r="E19" s="154">
        <v>0.47</v>
      </c>
      <c r="F19" s="154" t="s">
        <v>295</v>
      </c>
      <c r="G19" s="154">
        <v>254.38</v>
      </c>
      <c r="H19" s="154">
        <v>0</v>
      </c>
      <c r="I19" s="154">
        <v>0</v>
      </c>
      <c r="K19" s="154">
        <v>1006.66</v>
      </c>
      <c r="L19" s="154" t="s">
        <v>331</v>
      </c>
      <c r="M19" s="154">
        <v>72.81</v>
      </c>
      <c r="N19" s="154">
        <v>1474585200</v>
      </c>
      <c r="O19" s="154">
        <v>7.83</v>
      </c>
      <c r="P19" s="154">
        <v>31</v>
      </c>
      <c r="Q19" s="154">
        <v>6.11</v>
      </c>
    </row>
    <row r="20" spans="1:17" x14ac:dyDescent="0.25">
      <c r="A20" s="154">
        <v>70.23</v>
      </c>
      <c r="B20" s="154">
        <v>0.31</v>
      </c>
      <c r="C20" s="154">
        <v>52.79</v>
      </c>
      <c r="D20" s="169">
        <v>42635.75</v>
      </c>
      <c r="E20" s="154">
        <v>0.54</v>
      </c>
      <c r="F20" s="154" t="s">
        <v>295</v>
      </c>
      <c r="G20" s="154">
        <v>254.56</v>
      </c>
      <c r="H20" s="154">
        <v>8.9999999999999998E-4</v>
      </c>
      <c r="I20" s="154">
        <v>0.01</v>
      </c>
      <c r="J20" s="154" t="s">
        <v>296</v>
      </c>
      <c r="K20" s="154">
        <v>1006.83</v>
      </c>
      <c r="L20" s="154" t="s">
        <v>331</v>
      </c>
      <c r="M20" s="154">
        <v>70.23</v>
      </c>
      <c r="N20" s="154">
        <v>1474588800</v>
      </c>
      <c r="O20" s="154">
        <v>8.2200000000000006</v>
      </c>
      <c r="P20" s="154">
        <v>16</v>
      </c>
      <c r="Q20" s="154">
        <v>5.96</v>
      </c>
    </row>
    <row r="21" spans="1:17" x14ac:dyDescent="0.25">
      <c r="A21" s="154">
        <v>67.290000000000006</v>
      </c>
      <c r="B21" s="154">
        <v>0.39</v>
      </c>
      <c r="C21" s="154">
        <v>54.02</v>
      </c>
      <c r="D21" s="169">
        <v>42635.791666666664</v>
      </c>
      <c r="E21" s="154">
        <v>0.62</v>
      </c>
      <c r="F21" s="154" t="s">
        <v>297</v>
      </c>
      <c r="G21" s="154">
        <v>254.27</v>
      </c>
      <c r="H21" s="154">
        <v>1.5E-3</v>
      </c>
      <c r="I21" s="154">
        <v>0.03</v>
      </c>
      <c r="J21" s="154" t="s">
        <v>296</v>
      </c>
      <c r="K21" s="154">
        <v>1007.44</v>
      </c>
      <c r="L21" s="154" t="s">
        <v>331</v>
      </c>
      <c r="M21" s="154">
        <v>67.290000000000006</v>
      </c>
      <c r="N21" s="154">
        <v>1474592400</v>
      </c>
      <c r="O21" s="154">
        <v>8.5399999999999991</v>
      </c>
      <c r="P21" s="154">
        <v>9</v>
      </c>
      <c r="Q21" s="154">
        <v>4.45</v>
      </c>
    </row>
    <row r="22" spans="1:17" x14ac:dyDescent="0.25">
      <c r="A22" s="154">
        <v>64.430000000000007</v>
      </c>
      <c r="B22" s="154">
        <v>0.49</v>
      </c>
      <c r="C22" s="154">
        <v>53.82</v>
      </c>
      <c r="D22" s="169">
        <v>42635.833333333336</v>
      </c>
      <c r="E22" s="154">
        <v>0.68</v>
      </c>
      <c r="F22" s="154" t="s">
        <v>297</v>
      </c>
      <c r="G22" s="154">
        <v>253.75</v>
      </c>
      <c r="H22" s="154">
        <v>1.1999999999999999E-3</v>
      </c>
      <c r="I22" s="154">
        <v>0.02</v>
      </c>
      <c r="J22" s="154" t="s">
        <v>296</v>
      </c>
      <c r="K22" s="154">
        <v>1008.65</v>
      </c>
      <c r="L22" s="154" t="s">
        <v>331</v>
      </c>
      <c r="M22" s="154">
        <v>64.430000000000007</v>
      </c>
      <c r="N22" s="154">
        <v>1474596000</v>
      </c>
      <c r="O22" s="154">
        <v>8.69</v>
      </c>
      <c r="P22" s="154">
        <v>13</v>
      </c>
      <c r="Q22" s="154">
        <v>4.1100000000000003</v>
      </c>
    </row>
    <row r="23" spans="1:17" x14ac:dyDescent="0.25">
      <c r="A23" s="154">
        <v>62.21</v>
      </c>
      <c r="B23" s="154">
        <v>0.49</v>
      </c>
      <c r="C23" s="154">
        <v>53.41</v>
      </c>
      <c r="D23" s="169">
        <v>42635.875</v>
      </c>
      <c r="E23" s="154">
        <v>0.73</v>
      </c>
      <c r="F23" s="154" t="s">
        <v>296</v>
      </c>
      <c r="G23" s="154">
        <v>253.41</v>
      </c>
      <c r="H23" s="154">
        <v>7.6E-3</v>
      </c>
      <c r="I23" s="154">
        <v>0.31</v>
      </c>
      <c r="J23" s="154" t="s">
        <v>296</v>
      </c>
      <c r="K23" s="154">
        <v>1009.43</v>
      </c>
      <c r="L23" s="154" t="s">
        <v>753</v>
      </c>
      <c r="M23" s="154">
        <v>62.21</v>
      </c>
      <c r="N23" s="154">
        <v>1474599600</v>
      </c>
      <c r="O23" s="154">
        <v>8.7100000000000009</v>
      </c>
      <c r="P23" s="154">
        <v>357</v>
      </c>
      <c r="Q23" s="154">
        <v>2.59</v>
      </c>
    </row>
    <row r="24" spans="1:17" x14ac:dyDescent="0.25">
      <c r="A24" s="154">
        <v>61.5</v>
      </c>
      <c r="B24" s="154">
        <v>0.73</v>
      </c>
      <c r="C24" s="154">
        <v>53.29</v>
      </c>
      <c r="D24" s="169">
        <v>42635.916666666664</v>
      </c>
      <c r="E24" s="154">
        <v>0.74</v>
      </c>
      <c r="F24" s="154" t="s">
        <v>297</v>
      </c>
      <c r="G24" s="154">
        <v>253.41</v>
      </c>
      <c r="H24" s="154">
        <v>0</v>
      </c>
      <c r="I24" s="154">
        <v>0</v>
      </c>
      <c r="K24" s="154">
        <v>1009.08</v>
      </c>
      <c r="L24" s="154" t="s">
        <v>298</v>
      </c>
      <c r="M24" s="154">
        <v>61.5</v>
      </c>
      <c r="N24" s="154">
        <v>1474603200</v>
      </c>
      <c r="O24" s="154">
        <v>7.33</v>
      </c>
      <c r="P24" s="154">
        <v>352</v>
      </c>
      <c r="Q24" s="154">
        <v>1.85</v>
      </c>
    </row>
    <row r="25" spans="1:17" x14ac:dyDescent="0.25">
      <c r="A25" s="154">
        <v>60.28</v>
      </c>
      <c r="B25" s="154">
        <v>0.67</v>
      </c>
      <c r="C25" s="154">
        <v>53.22</v>
      </c>
      <c r="D25" s="169">
        <v>42635.958333333336</v>
      </c>
      <c r="E25" s="154">
        <v>0.78</v>
      </c>
      <c r="F25" s="154" t="s">
        <v>297</v>
      </c>
      <c r="G25" s="154">
        <v>253.59</v>
      </c>
      <c r="H25" s="154">
        <v>0</v>
      </c>
      <c r="I25" s="154">
        <v>0</v>
      </c>
      <c r="K25" s="154">
        <v>1008.22</v>
      </c>
      <c r="L25" s="154" t="s">
        <v>298</v>
      </c>
      <c r="M25" s="154">
        <v>60.28</v>
      </c>
      <c r="N25" s="154">
        <v>1474606800</v>
      </c>
      <c r="O25" s="154">
        <v>7.09</v>
      </c>
      <c r="P25" s="154">
        <v>278</v>
      </c>
      <c r="Q25" s="154">
        <v>1.47</v>
      </c>
    </row>
    <row r="26" spans="1:17" x14ac:dyDescent="0.25">
      <c r="A26" s="154">
        <v>59.15</v>
      </c>
      <c r="B26" s="154">
        <v>0.69</v>
      </c>
      <c r="C26" s="154">
        <v>52.61</v>
      </c>
      <c r="D26" s="169">
        <v>42636</v>
      </c>
      <c r="E26" s="154">
        <v>0.79</v>
      </c>
      <c r="F26" s="154" t="s">
        <v>297</v>
      </c>
      <c r="G26" s="154">
        <v>253.86</v>
      </c>
      <c r="H26" s="154">
        <v>0</v>
      </c>
      <c r="I26" s="154">
        <v>0</v>
      </c>
      <c r="K26" s="154">
        <v>1007.5</v>
      </c>
      <c r="L26" s="154" t="s">
        <v>298</v>
      </c>
      <c r="M26" s="154">
        <v>59.15</v>
      </c>
      <c r="N26" s="154">
        <v>1474610400</v>
      </c>
      <c r="O26" s="154">
        <v>6.95</v>
      </c>
      <c r="P26" s="154">
        <v>232</v>
      </c>
      <c r="Q26" s="154">
        <v>1.05</v>
      </c>
    </row>
    <row r="27" spans="1:17" x14ac:dyDescent="0.25">
      <c r="A27" s="154">
        <v>57.32</v>
      </c>
      <c r="B27" s="154">
        <v>0.51</v>
      </c>
      <c r="C27" s="154">
        <v>51.43</v>
      </c>
      <c r="D27" s="169">
        <v>42636.041666666664</v>
      </c>
      <c r="E27" s="154">
        <v>0.81</v>
      </c>
      <c r="F27" s="154" t="s">
        <v>297</v>
      </c>
      <c r="G27" s="154">
        <v>254.28</v>
      </c>
      <c r="H27" s="154">
        <v>0</v>
      </c>
      <c r="I27" s="154">
        <v>0</v>
      </c>
      <c r="K27" s="154">
        <v>1007.24</v>
      </c>
      <c r="L27" s="154" t="s">
        <v>331</v>
      </c>
      <c r="M27" s="154">
        <v>57.32</v>
      </c>
      <c r="N27" s="154">
        <v>1474614000</v>
      </c>
      <c r="O27" s="154">
        <v>6.89</v>
      </c>
      <c r="P27" s="154">
        <v>232</v>
      </c>
      <c r="Q27" s="154">
        <v>1.99</v>
      </c>
    </row>
    <row r="28" spans="1:17" x14ac:dyDescent="0.25">
      <c r="A28" s="154">
        <v>57.11</v>
      </c>
      <c r="B28" s="154">
        <v>0.48</v>
      </c>
      <c r="C28" s="154">
        <v>51.21</v>
      </c>
      <c r="D28" s="169">
        <v>42636.083333333336</v>
      </c>
      <c r="E28" s="154">
        <v>0.81</v>
      </c>
      <c r="F28" s="154" t="s">
        <v>297</v>
      </c>
      <c r="G28" s="154">
        <v>254.69</v>
      </c>
      <c r="H28" s="154">
        <v>0</v>
      </c>
      <c r="I28" s="154">
        <v>0</v>
      </c>
      <c r="K28" s="154">
        <v>1006.96</v>
      </c>
      <c r="L28" s="154" t="s">
        <v>331</v>
      </c>
      <c r="M28" s="154">
        <v>57.11</v>
      </c>
      <c r="N28" s="154">
        <v>1474617600</v>
      </c>
      <c r="O28" s="154">
        <v>6.76</v>
      </c>
      <c r="P28" s="154">
        <v>212</v>
      </c>
      <c r="Q28" s="154">
        <v>2.12</v>
      </c>
    </row>
    <row r="29" spans="1:17" x14ac:dyDescent="0.25">
      <c r="A29" s="154">
        <v>56.39</v>
      </c>
      <c r="B29" s="154">
        <v>0.43</v>
      </c>
      <c r="C29" s="154">
        <v>50.39</v>
      </c>
      <c r="D29" s="169">
        <v>42636.125</v>
      </c>
      <c r="E29" s="154">
        <v>0.8</v>
      </c>
      <c r="F29" s="154" t="s">
        <v>297</v>
      </c>
      <c r="G29" s="154">
        <v>255.11</v>
      </c>
      <c r="H29" s="154">
        <v>0</v>
      </c>
      <c r="I29" s="154">
        <v>0</v>
      </c>
      <c r="K29" s="154">
        <v>1006.66</v>
      </c>
      <c r="L29" s="154" t="s">
        <v>331</v>
      </c>
      <c r="M29" s="154">
        <v>56.39</v>
      </c>
      <c r="N29" s="154">
        <v>1474621200</v>
      </c>
      <c r="O29" s="154">
        <v>6.97</v>
      </c>
      <c r="P29" s="154">
        <v>188</v>
      </c>
      <c r="Q29" s="154">
        <v>2.25</v>
      </c>
    </row>
    <row r="31" spans="1:17" x14ac:dyDescent="0.25">
      <c r="A31" s="154" t="s">
        <v>754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42635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C:\Users\stu\Documents\GitHub\eaglep3-reporting\EC\2016-09-22-refined-times.txt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245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246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2016-09-23T18:30:49Z</dcterms:modified>
</cp:coreProperties>
</file>