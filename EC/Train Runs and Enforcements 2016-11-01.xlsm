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Enforcements!$A$6:$AC$36</definedName>
    <definedName name="_xlnm._FilterDatabase" localSheetId="2" hidden="1">'Missing Trips'!$B$2:$I$2</definedName>
    <definedName name="_xlnm._FilterDatabase" localSheetId="0" hidden="1">'Train Runs'!$A$12:$AG$267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9" i="1" l="1"/>
  <c r="L69" i="1"/>
  <c r="M69" i="1"/>
  <c r="P69" i="1" s="1"/>
  <c r="V69" i="1"/>
  <c r="Y69" i="1"/>
  <c r="Z69" i="1"/>
  <c r="AA69" i="1" s="1"/>
  <c r="AB69" i="1"/>
  <c r="AC69" i="1"/>
  <c r="AD69" i="1"/>
  <c r="T69" i="1" s="1"/>
  <c r="AE69" i="1"/>
  <c r="AF69" i="1"/>
  <c r="AH69" i="1"/>
  <c r="K14" i="1"/>
  <c r="L14" i="1"/>
  <c r="M14" i="1"/>
  <c r="V14" i="1"/>
  <c r="Y14" i="1"/>
  <c r="AA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G15" i="1"/>
  <c r="AH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R22" i="3" s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15" i="3" s="1"/>
  <c r="Y24" i="1"/>
  <c r="Z24" i="1"/>
  <c r="AB24" i="1"/>
  <c r="AC24" i="1"/>
  <c r="AD24" i="1"/>
  <c r="AG24" i="1" s="1"/>
  <c r="AE24" i="1"/>
  <c r="R15" i="3" s="1"/>
  <c r="AF24" i="1"/>
  <c r="AH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S14" i="3" s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S9" i="3" s="1"/>
  <c r="Y34" i="1"/>
  <c r="Z34" i="1"/>
  <c r="AB34" i="1"/>
  <c r="AC34" i="1"/>
  <c r="AD34" i="1"/>
  <c r="AE34" i="1"/>
  <c r="R24" i="3" s="1"/>
  <c r="AF34" i="1"/>
  <c r="AH34" i="1"/>
  <c r="K35" i="1"/>
  <c r="L35" i="1"/>
  <c r="M35" i="1"/>
  <c r="N35" i="1" s="1"/>
  <c r="V35" i="1"/>
  <c r="S8" i="3" s="1"/>
  <c r="Y35" i="1"/>
  <c r="Z35" i="1"/>
  <c r="AB35" i="1"/>
  <c r="AC35" i="1"/>
  <c r="AD35" i="1"/>
  <c r="T35" i="1" s="1"/>
  <c r="AE35" i="1"/>
  <c r="R8" i="3" s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S13" i="3" s="1"/>
  <c r="Y46" i="1"/>
  <c r="Z46" i="1"/>
  <c r="AB46" i="1"/>
  <c r="AC46" i="1"/>
  <c r="AD46" i="1"/>
  <c r="AG46" i="1" s="1"/>
  <c r="AE46" i="1"/>
  <c r="R13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S10" i="3" s="1"/>
  <c r="Y48" i="1"/>
  <c r="Z48" i="1"/>
  <c r="AB48" i="1"/>
  <c r="AC48" i="1"/>
  <c r="AD48" i="1"/>
  <c r="T48" i="1" s="1"/>
  <c r="AE48" i="1"/>
  <c r="R12" i="3" s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S20" i="3" s="1"/>
  <c r="Y54" i="1"/>
  <c r="Z54" i="1"/>
  <c r="AB54" i="1"/>
  <c r="AC54" i="1"/>
  <c r="AD54" i="1"/>
  <c r="AG54" i="1" s="1"/>
  <c r="AE54" i="1"/>
  <c r="R20" i="3" s="1"/>
  <c r="AF54" i="1"/>
  <c r="AH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V59" i="1"/>
  <c r="Y59" i="1"/>
  <c r="Z59" i="1"/>
  <c r="AB59" i="1"/>
  <c r="AC59" i="1"/>
  <c r="AD59" i="1"/>
  <c r="X59" i="1" s="1"/>
  <c r="AE59" i="1"/>
  <c r="AF59" i="1"/>
  <c r="AH59" i="1"/>
  <c r="K60" i="1"/>
  <c r="L60" i="1"/>
  <c r="M60" i="1"/>
  <c r="N60" i="1" s="1"/>
  <c r="V60" i="1"/>
  <c r="S26" i="3" s="1"/>
  <c r="Y60" i="1"/>
  <c r="Z60" i="1"/>
  <c r="AB60" i="1"/>
  <c r="AC60" i="1"/>
  <c r="AD60" i="1"/>
  <c r="AG60" i="1" s="1"/>
  <c r="AE60" i="1"/>
  <c r="R26" i="3" s="1"/>
  <c r="AF60" i="1"/>
  <c r="AH60" i="1"/>
  <c r="K61" i="1"/>
  <c r="L61" i="1"/>
  <c r="M61" i="1"/>
  <c r="N61" i="1" s="1"/>
  <c r="V61" i="1"/>
  <c r="S11" i="3" s="1"/>
  <c r="Y61" i="1"/>
  <c r="Z61" i="1"/>
  <c r="AB61" i="1"/>
  <c r="AC61" i="1"/>
  <c r="AD61" i="1"/>
  <c r="T61" i="1" s="1"/>
  <c r="AE61" i="1"/>
  <c r="R11" i="3" s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S19" i="3" s="1"/>
  <c r="Y72" i="1"/>
  <c r="Z72" i="1"/>
  <c r="AB72" i="1"/>
  <c r="AC72" i="1"/>
  <c r="AD72" i="1"/>
  <c r="AG72" i="1" s="1"/>
  <c r="AE72" i="1"/>
  <c r="R19" i="3" s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K76" i="1"/>
  <c r="L76" i="1"/>
  <c r="M76" i="1"/>
  <c r="N76" i="1"/>
  <c r="V76" i="1"/>
  <c r="S7" i="3" s="1"/>
  <c r="Y76" i="1"/>
  <c r="Z76" i="1"/>
  <c r="AB76" i="1"/>
  <c r="AC76" i="1"/>
  <c r="AD76" i="1"/>
  <c r="AG76" i="1" s="1"/>
  <c r="AE76" i="1"/>
  <c r="R7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X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S23" i="3" s="1"/>
  <c r="Y86" i="1"/>
  <c r="Z86" i="1"/>
  <c r="AB86" i="1"/>
  <c r="AC86" i="1"/>
  <c r="AD86" i="1"/>
  <c r="AG86" i="1" s="1"/>
  <c r="AE86" i="1"/>
  <c r="R17" i="3" s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21" i="3" s="1"/>
  <c r="Y90" i="1"/>
  <c r="Z90" i="1"/>
  <c r="AB90" i="1"/>
  <c r="AC90" i="1"/>
  <c r="AD90" i="1"/>
  <c r="AG90" i="1" s="1"/>
  <c r="AE90" i="1"/>
  <c r="R21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K93" i="1"/>
  <c r="L93" i="1"/>
  <c r="M93" i="1"/>
  <c r="P93" i="1" s="1"/>
  <c r="V93" i="1"/>
  <c r="Y93" i="1"/>
  <c r="Z93" i="1"/>
  <c r="AB93" i="1"/>
  <c r="AC93" i="1"/>
  <c r="AD93" i="1"/>
  <c r="X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S27" i="3" s="1"/>
  <c r="Y98" i="1"/>
  <c r="Z98" i="1"/>
  <c r="AB98" i="1"/>
  <c r="AC98" i="1"/>
  <c r="AD98" i="1"/>
  <c r="T98" i="1" s="1"/>
  <c r="AE98" i="1"/>
  <c r="R27" i="3" s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X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L209" i="1"/>
  <c r="M209" i="1"/>
  <c r="N209" i="1" s="1"/>
  <c r="V209" i="1"/>
  <c r="S40" i="3" s="1"/>
  <c r="Y209" i="1"/>
  <c r="Z209" i="1"/>
  <c r="AB209" i="1"/>
  <c r="AC209" i="1"/>
  <c r="AD209" i="1"/>
  <c r="T209" i="1" s="1"/>
  <c r="AE209" i="1"/>
  <c r="R40" i="3" s="1"/>
  <c r="AF209" i="1"/>
  <c r="AH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S37" i="3" s="1"/>
  <c r="Y212" i="1"/>
  <c r="Z212" i="1"/>
  <c r="AB212" i="1"/>
  <c r="AC212" i="1"/>
  <c r="AD212" i="1"/>
  <c r="AG212" i="1" s="1"/>
  <c r="AE212" i="1"/>
  <c r="R37" i="3" s="1"/>
  <c r="AF212" i="1"/>
  <c r="AH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21" i="1"/>
  <c r="L221" i="1"/>
  <c r="M221" i="1"/>
  <c r="N221" i="1" s="1"/>
  <c r="V221" i="1"/>
  <c r="S38" i="3" s="1"/>
  <c r="Y221" i="1"/>
  <c r="Z221" i="1"/>
  <c r="AB221" i="1"/>
  <c r="AC221" i="1"/>
  <c r="AD221" i="1"/>
  <c r="T221" i="1" s="1"/>
  <c r="AE221" i="1"/>
  <c r="R36" i="3" s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K242" i="1"/>
  <c r="L242" i="1"/>
  <c r="M242" i="1"/>
  <c r="N242" i="1" s="1"/>
  <c r="V242" i="1"/>
  <c r="S35" i="3" s="1"/>
  <c r="Y242" i="1"/>
  <c r="Z242" i="1"/>
  <c r="AB242" i="1"/>
  <c r="AC242" i="1"/>
  <c r="AD242" i="1"/>
  <c r="AG242" i="1" s="1"/>
  <c r="AE242" i="1"/>
  <c r="R35" i="3" s="1"/>
  <c r="AF242" i="1"/>
  <c r="AH189" i="1"/>
  <c r="K243" i="1"/>
  <c r="L243" i="1"/>
  <c r="M243" i="1"/>
  <c r="N243" i="1" s="1"/>
  <c r="V243" i="1"/>
  <c r="S41" i="3" s="1"/>
  <c r="Y243" i="1"/>
  <c r="Z243" i="1"/>
  <c r="AB243" i="1"/>
  <c r="AC243" i="1"/>
  <c r="AD243" i="1"/>
  <c r="AG243" i="1" s="1"/>
  <c r="AE243" i="1"/>
  <c r="R41" i="3" s="1"/>
  <c r="AF243" i="1"/>
  <c r="AH190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AH191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2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3" i="1"/>
  <c r="K247" i="1"/>
  <c r="L247" i="1"/>
  <c r="M247" i="1"/>
  <c r="N247" i="1" s="1"/>
  <c r="V247" i="1"/>
  <c r="S42" i="3" s="1"/>
  <c r="Y247" i="1"/>
  <c r="Z247" i="1"/>
  <c r="AB247" i="1"/>
  <c r="AC247" i="1"/>
  <c r="AD247" i="1"/>
  <c r="AG247" i="1" s="1"/>
  <c r="AE247" i="1"/>
  <c r="R42" i="3" s="1"/>
  <c r="AF247" i="1"/>
  <c r="AH194" i="1"/>
  <c r="K157" i="1"/>
  <c r="L157" i="1"/>
  <c r="M157" i="1"/>
  <c r="P157" i="1" s="1"/>
  <c r="V157" i="1"/>
  <c r="S28" i="3" s="1"/>
  <c r="Y157" i="1"/>
  <c r="Z157" i="1"/>
  <c r="AB157" i="1"/>
  <c r="AC157" i="1"/>
  <c r="AD157" i="1"/>
  <c r="AG157" i="1" s="1"/>
  <c r="AE157" i="1"/>
  <c r="R28" i="3" s="1"/>
  <c r="AF157" i="1"/>
  <c r="AH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7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98" i="1"/>
  <c r="K161" i="1"/>
  <c r="L161" i="1"/>
  <c r="M161" i="1"/>
  <c r="N161" i="1" s="1"/>
  <c r="V161" i="1"/>
  <c r="S31" i="3" s="1"/>
  <c r="Y161" i="1"/>
  <c r="Z161" i="1"/>
  <c r="AB161" i="1"/>
  <c r="AC161" i="1"/>
  <c r="AD161" i="1"/>
  <c r="T161" i="1" s="1"/>
  <c r="AE161" i="1"/>
  <c r="R31" i="3" s="1"/>
  <c r="AF161" i="1"/>
  <c r="AH19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0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20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20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4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205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6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207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8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9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0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13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14" i="1"/>
  <c r="K177" i="1"/>
  <c r="L177" i="1"/>
  <c r="M177" i="1"/>
  <c r="N177" i="1" s="1"/>
  <c r="V177" i="1"/>
  <c r="Y177" i="1"/>
  <c r="Z177" i="1"/>
  <c r="AB177" i="1"/>
  <c r="AC177" i="1"/>
  <c r="AD177" i="1"/>
  <c r="X177" i="1" s="1"/>
  <c r="AE177" i="1"/>
  <c r="AF177" i="1"/>
  <c r="AH215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6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8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9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0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1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22" i="1"/>
  <c r="K185" i="1"/>
  <c r="L185" i="1"/>
  <c r="M185" i="1"/>
  <c r="N185" i="1" s="1"/>
  <c r="V185" i="1"/>
  <c r="Y185" i="1"/>
  <c r="Z185" i="1"/>
  <c r="AB185" i="1"/>
  <c r="AC185" i="1"/>
  <c r="AD185" i="1"/>
  <c r="X185" i="1" s="1"/>
  <c r="AE185" i="1"/>
  <c r="AF185" i="1"/>
  <c r="AH223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24" i="1"/>
  <c r="K187" i="1"/>
  <c r="L187" i="1"/>
  <c r="M187" i="1"/>
  <c r="N187" i="1" s="1"/>
  <c r="V187" i="1"/>
  <c r="S32" i="3" s="1"/>
  <c r="Y187" i="1"/>
  <c r="Z187" i="1"/>
  <c r="AB187" i="1"/>
  <c r="AC187" i="1"/>
  <c r="AD187" i="1"/>
  <c r="T187" i="1" s="1"/>
  <c r="AE187" i="1"/>
  <c r="R32" i="3" s="1"/>
  <c r="AF187" i="1"/>
  <c r="AH225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6" i="1"/>
  <c r="K189" i="1"/>
  <c r="L189" i="1"/>
  <c r="M189" i="1"/>
  <c r="N189" i="1" s="1"/>
  <c r="V189" i="1"/>
  <c r="S33" i="3" s="1"/>
  <c r="Y189" i="1"/>
  <c r="Z189" i="1"/>
  <c r="AB189" i="1"/>
  <c r="AC189" i="1"/>
  <c r="AD189" i="1"/>
  <c r="T189" i="1" s="1"/>
  <c r="AE189" i="1"/>
  <c r="R33" i="3" s="1"/>
  <c r="AF189" i="1"/>
  <c r="AH2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8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29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30" i="1"/>
  <c r="K193" i="1"/>
  <c r="L193" i="1"/>
  <c r="M193" i="1"/>
  <c r="N193" i="1" s="1"/>
  <c r="V193" i="1"/>
  <c r="S34" i="3" s="1"/>
  <c r="Y193" i="1"/>
  <c r="Z193" i="1"/>
  <c r="AB193" i="1"/>
  <c r="AC193" i="1"/>
  <c r="AD193" i="1"/>
  <c r="AE193" i="1"/>
  <c r="R34" i="3" s="1"/>
  <c r="AF193" i="1"/>
  <c r="AH231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2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3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4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3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7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3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1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42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243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44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24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4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7" i="1"/>
  <c r="M40" i="3"/>
  <c r="N40" i="3"/>
  <c r="U40" i="3"/>
  <c r="T40" i="3" s="1"/>
  <c r="V40" i="3"/>
  <c r="W40" i="3"/>
  <c r="X40" i="3"/>
  <c r="M28" i="3"/>
  <c r="N28" i="3"/>
  <c r="U28" i="3"/>
  <c r="T28" i="3" s="1"/>
  <c r="V28" i="3"/>
  <c r="W28" i="3"/>
  <c r="X28" i="3"/>
  <c r="M29" i="3"/>
  <c r="N29" i="3"/>
  <c r="U29" i="3"/>
  <c r="AC29" i="3" s="1"/>
  <c r="V29" i="3"/>
  <c r="W29" i="3"/>
  <c r="X29" i="3"/>
  <c r="M30" i="3"/>
  <c r="N30" i="3"/>
  <c r="U30" i="3"/>
  <c r="T30" i="3" s="1"/>
  <c r="V30" i="3"/>
  <c r="W30" i="3"/>
  <c r="X30" i="3"/>
  <c r="M22" i="3"/>
  <c r="N22" i="3"/>
  <c r="S22" i="3"/>
  <c r="U22" i="3"/>
  <c r="T22" i="3" s="1"/>
  <c r="V22" i="3"/>
  <c r="W22" i="3"/>
  <c r="X22" i="3"/>
  <c r="M15" i="3"/>
  <c r="N15" i="3"/>
  <c r="U15" i="3"/>
  <c r="T15" i="3" s="1"/>
  <c r="V15" i="3"/>
  <c r="W15" i="3"/>
  <c r="X15" i="3"/>
  <c r="M8" i="3"/>
  <c r="N8" i="3"/>
  <c r="U8" i="3"/>
  <c r="AC8" i="3" s="1"/>
  <c r="V8" i="3"/>
  <c r="W8" i="3"/>
  <c r="X8" i="3"/>
  <c r="M31" i="3"/>
  <c r="N31" i="3"/>
  <c r="U31" i="3"/>
  <c r="T31" i="3" s="1"/>
  <c r="V31" i="3"/>
  <c r="W31" i="3"/>
  <c r="X31" i="3"/>
  <c r="M14" i="3"/>
  <c r="N14" i="3"/>
  <c r="R14" i="3"/>
  <c r="U14" i="3"/>
  <c r="T14" i="3" s="1"/>
  <c r="V14" i="3"/>
  <c r="W14" i="3"/>
  <c r="X14" i="3"/>
  <c r="AC14" i="3"/>
  <c r="M9" i="3"/>
  <c r="N9" i="3"/>
  <c r="U9" i="3"/>
  <c r="T9" i="3" s="1"/>
  <c r="V9" i="3"/>
  <c r="W9" i="3"/>
  <c r="X9" i="3"/>
  <c r="AC9" i="3"/>
  <c r="M24" i="3"/>
  <c r="N24" i="3"/>
  <c r="U24" i="3"/>
  <c r="AC24" i="3" s="1"/>
  <c r="V24" i="3"/>
  <c r="W24" i="3"/>
  <c r="X24" i="3"/>
  <c r="M13" i="3"/>
  <c r="N13" i="3"/>
  <c r="U13" i="3"/>
  <c r="T13" i="3" s="1"/>
  <c r="V13" i="3"/>
  <c r="W13" i="3"/>
  <c r="X13" i="3"/>
  <c r="M12" i="3"/>
  <c r="N12" i="3"/>
  <c r="U12" i="3"/>
  <c r="T12" i="3" s="1"/>
  <c r="V12" i="3"/>
  <c r="W12" i="3"/>
  <c r="X12" i="3"/>
  <c r="M10" i="3"/>
  <c r="N10" i="3"/>
  <c r="U10" i="3"/>
  <c r="T10" i="3" s="1"/>
  <c r="V10" i="3"/>
  <c r="W10" i="3"/>
  <c r="X10" i="3"/>
  <c r="AC10" i="3"/>
  <c r="M25" i="3"/>
  <c r="N25" i="3"/>
  <c r="U25" i="3"/>
  <c r="AC25" i="3" s="1"/>
  <c r="V25" i="3"/>
  <c r="W25" i="3"/>
  <c r="X25" i="3"/>
  <c r="M36" i="3"/>
  <c r="N36" i="3"/>
  <c r="U36" i="3"/>
  <c r="T36" i="3" s="1"/>
  <c r="V36" i="3"/>
  <c r="W36" i="3"/>
  <c r="X36" i="3"/>
  <c r="M20" i="3"/>
  <c r="N20" i="3"/>
  <c r="U20" i="3"/>
  <c r="T20" i="3" s="1"/>
  <c r="V20" i="3"/>
  <c r="W20" i="3"/>
  <c r="X20" i="3"/>
  <c r="AC20" i="3"/>
  <c r="M11" i="3"/>
  <c r="N11" i="3"/>
  <c r="U11" i="3"/>
  <c r="T11" i="3" s="1"/>
  <c r="V11" i="3"/>
  <c r="W11" i="3"/>
  <c r="X11" i="3"/>
  <c r="AC11" i="3"/>
  <c r="M16" i="3"/>
  <c r="N16" i="3"/>
  <c r="U16" i="3"/>
  <c r="AC16" i="3" s="1"/>
  <c r="V16" i="3"/>
  <c r="W16" i="3"/>
  <c r="X16" i="3"/>
  <c r="M26" i="3"/>
  <c r="N26" i="3"/>
  <c r="U26" i="3"/>
  <c r="T26" i="3" s="1"/>
  <c r="V26" i="3"/>
  <c r="W26" i="3"/>
  <c r="X26" i="3"/>
  <c r="M41" i="3"/>
  <c r="N41" i="3"/>
  <c r="U41" i="3"/>
  <c r="T41" i="3" s="1"/>
  <c r="V41" i="3"/>
  <c r="W41" i="3"/>
  <c r="X41" i="3"/>
  <c r="M35" i="3"/>
  <c r="N35" i="3"/>
  <c r="U35" i="3"/>
  <c r="T35" i="3" s="1"/>
  <c r="V35" i="3"/>
  <c r="W35" i="3"/>
  <c r="X35" i="3"/>
  <c r="AC35" i="3"/>
  <c r="M38" i="3"/>
  <c r="N38" i="3"/>
  <c r="U38" i="3"/>
  <c r="AC38" i="3" s="1"/>
  <c r="V38" i="3"/>
  <c r="W38" i="3"/>
  <c r="X38" i="3"/>
  <c r="M19" i="3"/>
  <c r="N19" i="3"/>
  <c r="U19" i="3"/>
  <c r="T19" i="3" s="1"/>
  <c r="V19" i="3"/>
  <c r="W19" i="3"/>
  <c r="X19" i="3"/>
  <c r="M7" i="3"/>
  <c r="N7" i="3"/>
  <c r="U7" i="3"/>
  <c r="T7" i="3" s="1"/>
  <c r="V7" i="3"/>
  <c r="W7" i="3"/>
  <c r="X7" i="3"/>
  <c r="AC7" i="3"/>
  <c r="M23" i="3"/>
  <c r="N23" i="3"/>
  <c r="U23" i="3"/>
  <c r="T23" i="3" s="1"/>
  <c r="V23" i="3"/>
  <c r="W23" i="3"/>
  <c r="X23" i="3"/>
  <c r="AC23" i="3"/>
  <c r="M17" i="3"/>
  <c r="N17" i="3"/>
  <c r="U17" i="3"/>
  <c r="AC17" i="3" s="1"/>
  <c r="V17" i="3"/>
  <c r="W17" i="3"/>
  <c r="X17" i="3"/>
  <c r="M18" i="3"/>
  <c r="N18" i="3"/>
  <c r="U18" i="3"/>
  <c r="T18" i="3" s="1"/>
  <c r="V18" i="3"/>
  <c r="W18" i="3"/>
  <c r="X18" i="3"/>
  <c r="M21" i="3"/>
  <c r="N21" i="3"/>
  <c r="U21" i="3"/>
  <c r="T21" i="3" s="1"/>
  <c r="V21" i="3"/>
  <c r="W21" i="3"/>
  <c r="X21" i="3"/>
  <c r="M27" i="3"/>
  <c r="N27" i="3"/>
  <c r="U27" i="3"/>
  <c r="T27" i="3" s="1"/>
  <c r="V27" i="3"/>
  <c r="W27" i="3"/>
  <c r="X27" i="3"/>
  <c r="M32" i="3"/>
  <c r="N32" i="3"/>
  <c r="U32" i="3"/>
  <c r="AC32" i="3" s="1"/>
  <c r="V32" i="3"/>
  <c r="W32" i="3"/>
  <c r="X32" i="3"/>
  <c r="M33" i="3"/>
  <c r="N33" i="3"/>
  <c r="U33" i="3"/>
  <c r="AC33" i="3" s="1"/>
  <c r="V33" i="3"/>
  <c r="W33" i="3"/>
  <c r="X33" i="3"/>
  <c r="M42" i="3"/>
  <c r="N42" i="3"/>
  <c r="U42" i="3"/>
  <c r="T42" i="3" s="1"/>
  <c r="V42" i="3"/>
  <c r="W42" i="3"/>
  <c r="X42" i="3"/>
  <c r="AC42" i="3"/>
  <c r="M34" i="3"/>
  <c r="N34" i="3"/>
  <c r="U34" i="3"/>
  <c r="T34" i="3" s="1"/>
  <c r="V34" i="3"/>
  <c r="W34" i="3"/>
  <c r="X34" i="3"/>
  <c r="AC34" i="3"/>
  <c r="M37" i="3"/>
  <c r="N37" i="3"/>
  <c r="U37" i="3"/>
  <c r="AC37" i="3" s="1"/>
  <c r="V37" i="3"/>
  <c r="W37" i="3"/>
  <c r="X37" i="3"/>
  <c r="AA16" i="1" l="1"/>
  <c r="AG16" i="1"/>
  <c r="AI16" i="1" s="1"/>
  <c r="AA17" i="1"/>
  <c r="W17" i="1" s="1"/>
  <c r="T16" i="1"/>
  <c r="X17" i="1"/>
  <c r="T17" i="1"/>
  <c r="W16" i="1"/>
  <c r="X70" i="1"/>
  <c r="AG69" i="1"/>
  <c r="U69" i="1" s="1"/>
  <c r="S69" i="1" s="1"/>
  <c r="X69" i="1"/>
  <c r="W15" i="1"/>
  <c r="U15" i="1"/>
  <c r="S15" i="1" s="1"/>
  <c r="X15" i="1"/>
  <c r="AG14" i="1"/>
  <c r="AI15" i="1"/>
  <c r="AI17" i="1"/>
  <c r="U17" i="1"/>
  <c r="S17" i="1" s="1"/>
  <c r="U16" i="1"/>
  <c r="S16" i="1" s="1"/>
  <c r="AC27" i="3"/>
  <c r="AA220" i="1"/>
  <c r="AA193" i="1"/>
  <c r="AA188" i="1"/>
  <c r="AA183" i="1"/>
  <c r="AA182" i="1"/>
  <c r="AA181" i="1"/>
  <c r="X154" i="1"/>
  <c r="X95" i="1"/>
  <c r="X153" i="1"/>
  <c r="X156" i="1"/>
  <c r="X152" i="1"/>
  <c r="X155" i="1"/>
  <c r="X97" i="1"/>
  <c r="X48" i="1"/>
  <c r="AA45" i="1"/>
  <c r="W45" i="1" s="1"/>
  <c r="X96" i="1"/>
  <c r="X94" i="1"/>
  <c r="AI109" i="1"/>
  <c r="AI105" i="1"/>
  <c r="AA84" i="1"/>
  <c r="AA83" i="1"/>
  <c r="AA82" i="1"/>
  <c r="W82" i="1" s="1"/>
  <c r="AI79" i="1"/>
  <c r="X82" i="1"/>
  <c r="AC28" i="3"/>
  <c r="X83" i="1"/>
  <c r="S24" i="3"/>
  <c r="Y31" i="3"/>
  <c r="AI235" i="1"/>
  <c r="AI49" i="1"/>
  <c r="AI25" i="1"/>
  <c r="AA22" i="1"/>
  <c r="AI21" i="1"/>
  <c r="AG48" i="1"/>
  <c r="AI48" i="1" s="1"/>
  <c r="X68" i="1"/>
  <c r="S16" i="3"/>
  <c r="AC40" i="3"/>
  <c r="T235" i="1"/>
  <c r="U235" i="1" s="1"/>
  <c r="S235" i="1" s="1"/>
  <c r="S36" i="3"/>
  <c r="S30" i="3"/>
  <c r="AA173" i="1"/>
  <c r="AI243" i="1"/>
  <c r="AA241" i="1"/>
  <c r="AA240" i="1"/>
  <c r="T155" i="1"/>
  <c r="U155" i="1" s="1"/>
  <c r="S155" i="1" s="1"/>
  <c r="AA142" i="1"/>
  <c r="AI62" i="1"/>
  <c r="AG36" i="1"/>
  <c r="AC15" i="3"/>
  <c r="AG179" i="1"/>
  <c r="S29" i="3"/>
  <c r="X67" i="1"/>
  <c r="X61" i="1"/>
  <c r="X172" i="1"/>
  <c r="AG214" i="1"/>
  <c r="U214" i="1" s="1"/>
  <c r="S214" i="1" s="1"/>
  <c r="X214" i="1"/>
  <c r="AG99" i="1"/>
  <c r="U99" i="1" s="1"/>
  <c r="S99" i="1" s="1"/>
  <c r="AG65" i="1"/>
  <c r="AA25" i="1"/>
  <c r="W25" i="1" s="1"/>
  <c r="R23" i="3"/>
  <c r="S12" i="3"/>
  <c r="R30" i="3"/>
  <c r="R29" i="3"/>
  <c r="R18" i="3"/>
  <c r="Y19" i="3"/>
  <c r="Y41" i="3"/>
  <c r="S25" i="3"/>
  <c r="Y22" i="3"/>
  <c r="AI227" i="1"/>
  <c r="T213" i="1"/>
  <c r="AA150" i="1"/>
  <c r="X129" i="1"/>
  <c r="AA99" i="1"/>
  <c r="AA98" i="1"/>
  <c r="AA97" i="1"/>
  <c r="W97" i="1" s="1"/>
  <c r="AA92" i="1"/>
  <c r="AA65" i="1"/>
  <c r="AA63" i="1"/>
  <c r="T54" i="1"/>
  <c r="U54" i="1" s="1"/>
  <c r="S54" i="1" s="1"/>
  <c r="T44" i="1"/>
  <c r="U44" i="1" s="1"/>
  <c r="S44" i="1" s="1"/>
  <c r="X62" i="1"/>
  <c r="AG172" i="1"/>
  <c r="U172" i="1" s="1"/>
  <c r="S172" i="1" s="1"/>
  <c r="X60" i="1"/>
  <c r="T55" i="1"/>
  <c r="AI50" i="1"/>
  <c r="AA50" i="1"/>
  <c r="AI33" i="1"/>
  <c r="X18" i="1"/>
  <c r="S18" i="3"/>
  <c r="S17" i="3"/>
  <c r="T192" i="1"/>
  <c r="U192" i="1" s="1"/>
  <c r="S192" i="1" s="1"/>
  <c r="T62" i="1"/>
  <c r="U62" i="1" s="1"/>
  <c r="S62" i="1" s="1"/>
  <c r="R16" i="3"/>
  <c r="R9" i="3"/>
  <c r="T218" i="1"/>
  <c r="U218" i="1" s="1"/>
  <c r="S218" i="1" s="1"/>
  <c r="X193" i="1"/>
  <c r="AA163" i="1"/>
  <c r="AA225" i="1"/>
  <c r="AA224" i="1"/>
  <c r="AA222" i="1"/>
  <c r="W222" i="1" s="1"/>
  <c r="AA221" i="1"/>
  <c r="X145" i="1"/>
  <c r="AG138" i="1"/>
  <c r="AI138" i="1" s="1"/>
  <c r="AA136" i="1"/>
  <c r="T125" i="1"/>
  <c r="AA107" i="1"/>
  <c r="T73" i="1"/>
  <c r="U73" i="1" s="1"/>
  <c r="S73" i="1" s="1"/>
  <c r="AA41" i="1"/>
  <c r="W41" i="1" s="1"/>
  <c r="AG31" i="1"/>
  <c r="U31" i="1" s="1"/>
  <c r="AG20" i="1"/>
  <c r="X20" i="1"/>
  <c r="AA138" i="1"/>
  <c r="AA119" i="1"/>
  <c r="AA118" i="1"/>
  <c r="W118" i="1" s="1"/>
  <c r="AI117" i="1"/>
  <c r="AG107" i="1"/>
  <c r="U107" i="1" s="1"/>
  <c r="S107" i="1" s="1"/>
  <c r="AI101" i="1"/>
  <c r="AG96" i="1"/>
  <c r="AA59" i="1"/>
  <c r="P59" i="1"/>
  <c r="Y42" i="3"/>
  <c r="R38" i="3"/>
  <c r="R25" i="3"/>
  <c r="AG195" i="1"/>
  <c r="AI195" i="1" s="1"/>
  <c r="AG189" i="1"/>
  <c r="U189" i="1" s="1"/>
  <c r="S189" i="1" s="1"/>
  <c r="Y21" i="3"/>
  <c r="Y18" i="3"/>
  <c r="Y17" i="3"/>
  <c r="Y35" i="3"/>
  <c r="R10" i="3"/>
  <c r="Y12" i="3"/>
  <c r="Y13" i="3"/>
  <c r="Y24" i="3"/>
  <c r="Y15" i="3"/>
  <c r="AA216" i="1"/>
  <c r="AA215" i="1"/>
  <c r="AG201" i="1"/>
  <c r="U201" i="1" s="1"/>
  <c r="S201" i="1" s="1"/>
  <c r="AA199" i="1"/>
  <c r="AA190" i="1"/>
  <c r="AG188" i="1"/>
  <c r="AA179" i="1"/>
  <c r="W179" i="1" s="1"/>
  <c r="AA178" i="1"/>
  <c r="AA177" i="1"/>
  <c r="AA171" i="1"/>
  <c r="AA170" i="1"/>
  <c r="AA169" i="1"/>
  <c r="AA161" i="1"/>
  <c r="T160" i="1"/>
  <c r="U160" i="1" s="1"/>
  <c r="S160" i="1" s="1"/>
  <c r="T227" i="1"/>
  <c r="U227" i="1" s="1"/>
  <c r="S227" i="1" s="1"/>
  <c r="AG206" i="1"/>
  <c r="U206" i="1" s="1"/>
  <c r="S206" i="1" s="1"/>
  <c r="X206" i="1"/>
  <c r="AG144" i="1"/>
  <c r="AI144" i="1" s="1"/>
  <c r="AA134" i="1"/>
  <c r="AA131" i="1"/>
  <c r="AA130" i="1"/>
  <c r="AA129" i="1"/>
  <c r="W129" i="1" s="1"/>
  <c r="T129" i="1"/>
  <c r="U129" i="1" s="1"/>
  <c r="S129" i="1" s="1"/>
  <c r="AA125" i="1"/>
  <c r="W125" i="1" s="1"/>
  <c r="AG120" i="1"/>
  <c r="AI120" i="1" s="1"/>
  <c r="X120" i="1"/>
  <c r="AA114" i="1"/>
  <c r="AA113" i="1"/>
  <c r="T104" i="1"/>
  <c r="AA93" i="1"/>
  <c r="X89" i="1"/>
  <c r="AG84" i="1"/>
  <c r="W84" i="1" s="1"/>
  <c r="AG78" i="1"/>
  <c r="AI78" i="1" s="1"/>
  <c r="AA29" i="1"/>
  <c r="W29" i="1" s="1"/>
  <c r="T24" i="1"/>
  <c r="U24" i="1" s="1"/>
  <c r="S24" i="1" s="1"/>
  <c r="AA189" i="1"/>
  <c r="X168" i="1"/>
  <c r="T164" i="1"/>
  <c r="U164" i="1" s="1"/>
  <c r="S164" i="1" s="1"/>
  <c r="X161" i="1"/>
  <c r="T243" i="1"/>
  <c r="U243" i="1" s="1"/>
  <c r="S243" i="1" s="1"/>
  <c r="AA211" i="1"/>
  <c r="AA210" i="1"/>
  <c r="AA208" i="1"/>
  <c r="AA207" i="1"/>
  <c r="AG150" i="1"/>
  <c r="U150" i="1" s="1"/>
  <c r="S150" i="1" s="1"/>
  <c r="AA148" i="1"/>
  <c r="T128" i="1"/>
  <c r="U128" i="1" s="1"/>
  <c r="S128" i="1" s="1"/>
  <c r="AA79" i="1"/>
  <c r="W79" i="1" s="1"/>
  <c r="AA74" i="1"/>
  <c r="AA72" i="1"/>
  <c r="W72" i="1" s="1"/>
  <c r="AA71" i="1"/>
  <c r="AA70" i="1"/>
  <c r="W70" i="1" s="1"/>
  <c r="AA58" i="1"/>
  <c r="W58" i="1" s="1"/>
  <c r="AA44" i="1"/>
  <c r="AA42" i="1"/>
  <c r="AG40" i="1"/>
  <c r="AI40" i="1" s="1"/>
  <c r="X40" i="1"/>
  <c r="AA37" i="1"/>
  <c r="W37" i="1" s="1"/>
  <c r="AA19" i="1"/>
  <c r="Y33" i="3"/>
  <c r="Y20" i="3"/>
  <c r="Y36" i="3"/>
  <c r="Y40" i="3"/>
  <c r="AG175" i="1"/>
  <c r="AI175" i="1" s="1"/>
  <c r="AG167" i="1"/>
  <c r="AI167" i="1" s="1"/>
  <c r="AA165" i="1"/>
  <c r="AI159" i="1"/>
  <c r="AG142" i="1"/>
  <c r="U142" i="1" s="1"/>
  <c r="S142" i="1" s="1"/>
  <c r="AA140" i="1"/>
  <c r="W140" i="1" s="1"/>
  <c r="AG111" i="1"/>
  <c r="U111" i="1" s="1"/>
  <c r="S111" i="1" s="1"/>
  <c r="AA109" i="1"/>
  <c r="W109" i="1" s="1"/>
  <c r="AA66" i="1"/>
  <c r="AI41" i="1"/>
  <c r="AG39" i="1"/>
  <c r="AI39" i="1" s="1"/>
  <c r="AA32" i="1"/>
  <c r="AG28" i="1"/>
  <c r="U28" i="1" s="1"/>
  <c r="S28" i="1" s="1"/>
  <c r="X28" i="1"/>
  <c r="AG196" i="1"/>
  <c r="X196" i="1"/>
  <c r="T196" i="1"/>
  <c r="AG203" i="1"/>
  <c r="AI203" i="1" s="1"/>
  <c r="AG215" i="1"/>
  <c r="AI215" i="1" s="1"/>
  <c r="X215" i="1"/>
  <c r="AI219" i="1"/>
  <c r="AA218" i="1"/>
  <c r="W218" i="1" s="1"/>
  <c r="AA217" i="1"/>
  <c r="AA201" i="1"/>
  <c r="AA198" i="1"/>
  <c r="AG193" i="1"/>
  <c r="W193" i="1" s="1"/>
  <c r="AA186" i="1"/>
  <c r="AA185" i="1"/>
  <c r="X176" i="1"/>
  <c r="AA175" i="1"/>
  <c r="AA174" i="1"/>
  <c r="X173" i="1"/>
  <c r="AG171" i="1"/>
  <c r="W171" i="1" s="1"/>
  <c r="AA159" i="1"/>
  <c r="W159" i="1" s="1"/>
  <c r="AA158" i="1"/>
  <c r="AA157" i="1"/>
  <c r="W157" i="1" s="1"/>
  <c r="T157" i="1"/>
  <c r="U157" i="1" s="1"/>
  <c r="S157" i="1" s="1"/>
  <c r="X244" i="1"/>
  <c r="AA233" i="1"/>
  <c r="AA232" i="1"/>
  <c r="AA230" i="1"/>
  <c r="W230" i="1" s="1"/>
  <c r="AA229" i="1"/>
  <c r="AA228" i="1"/>
  <c r="W228" i="1" s="1"/>
  <c r="AA214" i="1"/>
  <c r="AA206" i="1"/>
  <c r="W206" i="1" s="1"/>
  <c r="AG152" i="1"/>
  <c r="U152" i="1" s="1"/>
  <c r="S152" i="1" s="1"/>
  <c r="AA147" i="1"/>
  <c r="AA146" i="1"/>
  <c r="AA145" i="1"/>
  <c r="W145" i="1" s="1"/>
  <c r="T145" i="1"/>
  <c r="U145" i="1" s="1"/>
  <c r="S145" i="1" s="1"/>
  <c r="T140" i="1"/>
  <c r="U140" i="1" s="1"/>
  <c r="S140" i="1" s="1"/>
  <c r="AG134" i="1"/>
  <c r="U134" i="1" s="1"/>
  <c r="S134" i="1" s="1"/>
  <c r="AA132" i="1"/>
  <c r="AG126" i="1"/>
  <c r="AI126" i="1" s="1"/>
  <c r="X125" i="1"/>
  <c r="T124" i="1"/>
  <c r="U124" i="1" s="1"/>
  <c r="S124" i="1" s="1"/>
  <c r="AA116" i="1"/>
  <c r="AA112" i="1"/>
  <c r="AA110" i="1"/>
  <c r="AG104" i="1"/>
  <c r="AI104" i="1" s="1"/>
  <c r="AA102" i="1"/>
  <c r="AG89" i="1"/>
  <c r="U89" i="1" s="1"/>
  <c r="S89" i="1" s="1"/>
  <c r="AA60" i="1"/>
  <c r="W60" i="1" s="1"/>
  <c r="T58" i="1"/>
  <c r="U58" i="1" s="1"/>
  <c r="S58" i="1" s="1"/>
  <c r="AA56" i="1"/>
  <c r="AA53" i="1"/>
  <c r="W53" i="1" s="1"/>
  <c r="AA52" i="1"/>
  <c r="AA40" i="1"/>
  <c r="AI37" i="1"/>
  <c r="AA31" i="1"/>
  <c r="W31" i="1" s="1"/>
  <c r="X29" i="1"/>
  <c r="AA21" i="1"/>
  <c r="W21" i="1" s="1"/>
  <c r="AA197" i="1"/>
  <c r="AA196" i="1"/>
  <c r="AA238" i="1"/>
  <c r="W238" i="1" s="1"/>
  <c r="AA237" i="1"/>
  <c r="AA236" i="1"/>
  <c r="W236" i="1" s="1"/>
  <c r="AA205" i="1"/>
  <c r="AA204" i="1"/>
  <c r="AA121" i="1"/>
  <c r="W121" i="1" s="1"/>
  <c r="T121" i="1"/>
  <c r="U121" i="1" s="1"/>
  <c r="S121" i="1" s="1"/>
  <c r="AA105" i="1"/>
  <c r="W105" i="1" s="1"/>
  <c r="AA91" i="1"/>
  <c r="AA90" i="1"/>
  <c r="W90" i="1" s="1"/>
  <c r="T81" i="1"/>
  <c r="AA67" i="1"/>
  <c r="W67" i="1" s="1"/>
  <c r="AA34" i="1"/>
  <c r="AA20" i="1"/>
  <c r="W20" i="1" s="1"/>
  <c r="X157" i="1"/>
  <c r="AA246" i="1"/>
  <c r="W246" i="1" s="1"/>
  <c r="AA245" i="1"/>
  <c r="AA244" i="1"/>
  <c r="W244" i="1" s="1"/>
  <c r="X228" i="1"/>
  <c r="AA101" i="1"/>
  <c r="W101" i="1" s="1"/>
  <c r="AA86" i="1"/>
  <c r="AI45" i="1"/>
  <c r="AA26" i="1"/>
  <c r="X189" i="1"/>
  <c r="AG183" i="1"/>
  <c r="AI183" i="1" s="1"/>
  <c r="X181" i="1"/>
  <c r="AG165" i="1"/>
  <c r="AI165" i="1" s="1"/>
  <c r="X165" i="1"/>
  <c r="AG161" i="1"/>
  <c r="X236" i="1"/>
  <c r="AA155" i="1"/>
  <c r="W155" i="1" s="1"/>
  <c r="AA152" i="1"/>
  <c r="W152" i="1" s="1"/>
  <c r="AG136" i="1"/>
  <c r="U136" i="1" s="1"/>
  <c r="S136" i="1" s="1"/>
  <c r="AG122" i="1"/>
  <c r="AI122" i="1" s="1"/>
  <c r="X121" i="1"/>
  <c r="AA108" i="1"/>
  <c r="AA100" i="1"/>
  <c r="AG92" i="1"/>
  <c r="AI92" i="1" s="1"/>
  <c r="AA85" i="1"/>
  <c r="AG81" i="1"/>
  <c r="AG74" i="1"/>
  <c r="AI74" i="1" s="1"/>
  <c r="T68" i="1"/>
  <c r="U68" i="1" s="1"/>
  <c r="S68" i="1" s="1"/>
  <c r="AG55" i="1"/>
  <c r="AI55" i="1" s="1"/>
  <c r="X41" i="1"/>
  <c r="AA33" i="1"/>
  <c r="W33" i="1" s="1"/>
  <c r="AI29" i="1"/>
  <c r="AA219" i="1"/>
  <c r="W219" i="1" s="1"/>
  <c r="T219" i="1"/>
  <c r="U219" i="1" s="1"/>
  <c r="S219" i="1" s="1"/>
  <c r="X200" i="1"/>
  <c r="AG199" i="1"/>
  <c r="AI199" i="1" s="1"/>
  <c r="AG197" i="1"/>
  <c r="U197" i="1" s="1"/>
  <c r="S197" i="1" s="1"/>
  <c r="AA195" i="1"/>
  <c r="AA194" i="1"/>
  <c r="T193" i="1"/>
  <c r="AA187" i="1"/>
  <c r="AA184" i="1"/>
  <c r="T184" i="1"/>
  <c r="AG181" i="1"/>
  <c r="U181" i="1" s="1"/>
  <c r="S181" i="1" s="1"/>
  <c r="AG180" i="1"/>
  <c r="U180" i="1" s="1"/>
  <c r="S180" i="1" s="1"/>
  <c r="X180" i="1"/>
  <c r="AA176" i="1"/>
  <c r="T176" i="1"/>
  <c r="AG173" i="1"/>
  <c r="U173" i="1" s="1"/>
  <c r="S173" i="1" s="1"/>
  <c r="AA168" i="1"/>
  <c r="T168" i="1"/>
  <c r="AI157" i="1"/>
  <c r="T247" i="1"/>
  <c r="U247" i="1" s="1"/>
  <c r="S247" i="1" s="1"/>
  <c r="T185" i="1"/>
  <c r="T177" i="1"/>
  <c r="T169" i="1"/>
  <c r="AA164" i="1"/>
  <c r="W164" i="1" s="1"/>
  <c r="X219" i="1"/>
  <c r="AG216" i="1"/>
  <c r="U216" i="1" s="1"/>
  <c r="S216" i="1" s="1"/>
  <c r="AA203" i="1"/>
  <c r="AA202" i="1"/>
  <c r="AA200" i="1"/>
  <c r="W200" i="1" s="1"/>
  <c r="T200" i="1"/>
  <c r="U200" i="1" s="1"/>
  <c r="S200" i="1" s="1"/>
  <c r="AG187" i="1"/>
  <c r="AG185" i="1"/>
  <c r="AI185" i="1" s="1"/>
  <c r="AG184" i="1"/>
  <c r="AA180" i="1"/>
  <c r="AG177" i="1"/>
  <c r="AI177" i="1" s="1"/>
  <c r="AG176" i="1"/>
  <c r="AA172" i="1"/>
  <c r="W172" i="1" s="1"/>
  <c r="AG169" i="1"/>
  <c r="AI169" i="1" s="1"/>
  <c r="AG168" i="1"/>
  <c r="X188" i="1"/>
  <c r="AI179" i="1"/>
  <c r="AA167" i="1"/>
  <c r="AA166" i="1"/>
  <c r="AI163" i="1"/>
  <c r="AA162" i="1"/>
  <c r="AA160" i="1"/>
  <c r="W160" i="1" s="1"/>
  <c r="AA243" i="1"/>
  <c r="W243" i="1" s="1"/>
  <c r="AG240" i="1"/>
  <c r="U240" i="1" s="1"/>
  <c r="S240" i="1" s="1"/>
  <c r="AG239" i="1"/>
  <c r="AA235" i="1"/>
  <c r="W235" i="1" s="1"/>
  <c r="AG232" i="1"/>
  <c r="U232" i="1" s="1"/>
  <c r="S232" i="1" s="1"/>
  <c r="AG231" i="1"/>
  <c r="AA227" i="1"/>
  <c r="W227" i="1" s="1"/>
  <c r="AG224" i="1"/>
  <c r="U224" i="1" s="1"/>
  <c r="S224" i="1" s="1"/>
  <c r="AG223" i="1"/>
  <c r="AA213" i="1"/>
  <c r="W213" i="1" s="1"/>
  <c r="AG210" i="1"/>
  <c r="U210" i="1" s="1"/>
  <c r="S210" i="1" s="1"/>
  <c r="AG209" i="1"/>
  <c r="U209" i="1" s="1"/>
  <c r="AG204" i="1"/>
  <c r="U204" i="1" s="1"/>
  <c r="S204" i="1" s="1"/>
  <c r="AA156" i="1"/>
  <c r="W156" i="1" s="1"/>
  <c r="T156" i="1"/>
  <c r="U156" i="1" s="1"/>
  <c r="S156" i="1" s="1"/>
  <c r="X149" i="1"/>
  <c r="AG148" i="1"/>
  <c r="U148" i="1" s="1"/>
  <c r="S148" i="1" s="1"/>
  <c r="AG146" i="1"/>
  <c r="AI146" i="1" s="1"/>
  <c r="AA144" i="1"/>
  <c r="AA143" i="1"/>
  <c r="AA141" i="1"/>
  <c r="W141" i="1" s="1"/>
  <c r="T141" i="1"/>
  <c r="U141" i="1" s="1"/>
  <c r="S141" i="1" s="1"/>
  <c r="X133" i="1"/>
  <c r="AG132" i="1"/>
  <c r="U132" i="1" s="1"/>
  <c r="S132" i="1" s="1"/>
  <c r="AG130" i="1"/>
  <c r="AI130" i="1" s="1"/>
  <c r="AA128" i="1"/>
  <c r="W128" i="1" s="1"/>
  <c r="AA127" i="1"/>
  <c r="AA126" i="1"/>
  <c r="AA124" i="1"/>
  <c r="W124" i="1" s="1"/>
  <c r="AA123" i="1"/>
  <c r="AA122" i="1"/>
  <c r="AA120" i="1"/>
  <c r="AG119" i="1"/>
  <c r="U119" i="1" s="1"/>
  <c r="S119" i="1" s="1"/>
  <c r="X119" i="1"/>
  <c r="AA117" i="1"/>
  <c r="W117" i="1" s="1"/>
  <c r="X116" i="1"/>
  <c r="AG116" i="1"/>
  <c r="AI70" i="1"/>
  <c r="T244" i="1"/>
  <c r="U244" i="1" s="1"/>
  <c r="S244" i="1" s="1"/>
  <c r="AA242" i="1"/>
  <c r="X240" i="1"/>
  <c r="T236" i="1"/>
  <c r="U236" i="1" s="1"/>
  <c r="S236" i="1" s="1"/>
  <c r="AA234" i="1"/>
  <c r="W234" i="1" s="1"/>
  <c r="X232" i="1"/>
  <c r="T228" i="1"/>
  <c r="U228" i="1" s="1"/>
  <c r="S228" i="1" s="1"/>
  <c r="AA226" i="1"/>
  <c r="W226" i="1" s="1"/>
  <c r="X224" i="1"/>
  <c r="AA212" i="1"/>
  <c r="W212" i="1" s="1"/>
  <c r="X210" i="1"/>
  <c r="AA154" i="1"/>
  <c r="AA153" i="1"/>
  <c r="W153" i="1" s="1"/>
  <c r="T153" i="1"/>
  <c r="U153" i="1" s="1"/>
  <c r="S153" i="1" s="1"/>
  <c r="U144" i="1"/>
  <c r="S144" i="1" s="1"/>
  <c r="AA139" i="1"/>
  <c r="AA137" i="1"/>
  <c r="W137" i="1" s="1"/>
  <c r="T137" i="1"/>
  <c r="AA115" i="1"/>
  <c r="T112" i="1"/>
  <c r="X112" i="1"/>
  <c r="AG112" i="1"/>
  <c r="X108" i="1"/>
  <c r="AG108" i="1"/>
  <c r="AI108" i="1" s="1"/>
  <c r="X109" i="1"/>
  <c r="T108" i="1"/>
  <c r="X105" i="1"/>
  <c r="AA247" i="1"/>
  <c r="W247" i="1" s="1"/>
  <c r="AA239" i="1"/>
  <c r="AA231" i="1"/>
  <c r="AA223" i="1"/>
  <c r="U213" i="1"/>
  <c r="S213" i="1" s="1"/>
  <c r="AA209" i="1"/>
  <c r="AA151" i="1"/>
  <c r="AA149" i="1"/>
  <c r="W149" i="1" s="1"/>
  <c r="T149" i="1"/>
  <c r="U149" i="1" s="1"/>
  <c r="S149" i="1" s="1"/>
  <c r="X141" i="1"/>
  <c r="AA135" i="1"/>
  <c r="AA133" i="1"/>
  <c r="W133" i="1" s="1"/>
  <c r="T133" i="1"/>
  <c r="U133" i="1" s="1"/>
  <c r="S133" i="1" s="1"/>
  <c r="X117" i="1"/>
  <c r="AG113" i="1"/>
  <c r="AI113" i="1" s="1"/>
  <c r="X113" i="1"/>
  <c r="X137" i="1"/>
  <c r="AG115" i="1"/>
  <c r="AI115" i="1" s="1"/>
  <c r="X115" i="1"/>
  <c r="T105" i="1"/>
  <c r="U105" i="1" s="1"/>
  <c r="S105" i="1" s="1"/>
  <c r="T97" i="1"/>
  <c r="U97" i="1" s="1"/>
  <c r="S97" i="1" s="1"/>
  <c r="X90" i="1"/>
  <c r="T82" i="1"/>
  <c r="X78" i="1"/>
  <c r="U65" i="1"/>
  <c r="S65" i="1" s="1"/>
  <c r="W50" i="1"/>
  <c r="T45" i="1"/>
  <c r="U45" i="1" s="1"/>
  <c r="S45" i="1" s="1"/>
  <c r="T37" i="1"/>
  <c r="U37" i="1" s="1"/>
  <c r="S37" i="1" s="1"/>
  <c r="T109" i="1"/>
  <c r="U109" i="1" s="1"/>
  <c r="S109" i="1" s="1"/>
  <c r="AA106" i="1"/>
  <c r="AA104" i="1"/>
  <c r="AG103" i="1"/>
  <c r="U103" i="1" s="1"/>
  <c r="S103" i="1" s="1"/>
  <c r="X101" i="1"/>
  <c r="AG100" i="1"/>
  <c r="AI100" i="1" s="1"/>
  <c r="X100" i="1"/>
  <c r="AA96" i="1"/>
  <c r="W96" i="1" s="1"/>
  <c r="AG95" i="1"/>
  <c r="U95" i="1" s="1"/>
  <c r="S95" i="1" s="1"/>
  <c r="T93" i="1"/>
  <c r="AA88" i="1"/>
  <c r="AA87" i="1"/>
  <c r="X86" i="1"/>
  <c r="AG85" i="1"/>
  <c r="AI85" i="1" s="1"/>
  <c r="X85" i="1"/>
  <c r="AA81" i="1"/>
  <c r="T79" i="1"/>
  <c r="U79" i="1" s="1"/>
  <c r="S79" i="1" s="1"/>
  <c r="AA77" i="1"/>
  <c r="AA76" i="1"/>
  <c r="W76" i="1" s="1"/>
  <c r="X74" i="1"/>
  <c r="AA68" i="1"/>
  <c r="W68" i="1" s="1"/>
  <c r="AG66" i="1"/>
  <c r="AI66" i="1" s="1"/>
  <c r="X66" i="1"/>
  <c r="AA62" i="1"/>
  <c r="W62" i="1" s="1"/>
  <c r="AG61" i="1"/>
  <c r="U61" i="1" s="1"/>
  <c r="S61" i="1" s="1"/>
  <c r="T59" i="1"/>
  <c r="AA57" i="1"/>
  <c r="W57" i="1" s="1"/>
  <c r="AA54" i="1"/>
  <c r="W54" i="1" s="1"/>
  <c r="X51" i="1"/>
  <c r="AA49" i="1"/>
  <c r="W49" i="1" s="1"/>
  <c r="AA48" i="1"/>
  <c r="AG47" i="1"/>
  <c r="U47" i="1" s="1"/>
  <c r="S47" i="1" s="1"/>
  <c r="X47" i="1"/>
  <c r="AA46" i="1"/>
  <c r="W46" i="1" s="1"/>
  <c r="T41" i="1"/>
  <c r="U41" i="1" s="1"/>
  <c r="S41" i="1" s="1"/>
  <c r="AA38" i="1"/>
  <c r="AA36" i="1"/>
  <c r="W36" i="1" s="1"/>
  <c r="AG35" i="1"/>
  <c r="U35" i="1" s="1"/>
  <c r="S35" i="1" s="1"/>
  <c r="X33" i="1"/>
  <c r="AG32" i="1"/>
  <c r="X32" i="1"/>
  <c r="AA27" i="1"/>
  <c r="AA24" i="1"/>
  <c r="W24" i="1" s="1"/>
  <c r="AG23" i="1"/>
  <c r="U23" i="1" s="1"/>
  <c r="AA18" i="1"/>
  <c r="T90" i="1"/>
  <c r="U90" i="1" s="1"/>
  <c r="S90" i="1" s="1"/>
  <c r="T77" i="1"/>
  <c r="T70" i="1"/>
  <c r="U70" i="1" s="1"/>
  <c r="S70" i="1" s="1"/>
  <c r="W65" i="1"/>
  <c r="X45" i="1"/>
  <c r="W44" i="1"/>
  <c r="X37" i="1"/>
  <c r="X36" i="1"/>
  <c r="T29" i="1"/>
  <c r="U29" i="1" s="1"/>
  <c r="S29" i="1" s="1"/>
  <c r="X24" i="1"/>
  <c r="AG19" i="1"/>
  <c r="U19" i="1" s="1"/>
  <c r="T101" i="1"/>
  <c r="U101" i="1" s="1"/>
  <c r="S101" i="1" s="1"/>
  <c r="AA95" i="1"/>
  <c r="AA94" i="1"/>
  <c r="AG93" i="1"/>
  <c r="W93" i="1" s="1"/>
  <c r="AA89" i="1"/>
  <c r="AG88" i="1"/>
  <c r="AI88" i="1" s="1"/>
  <c r="T86" i="1"/>
  <c r="U86" i="1" s="1"/>
  <c r="S86" i="1" s="1"/>
  <c r="AA80" i="1"/>
  <c r="X79" i="1"/>
  <c r="AA78" i="1"/>
  <c r="AG77" i="1"/>
  <c r="AA64" i="1"/>
  <c r="W64" i="1" s="1"/>
  <c r="AA61" i="1"/>
  <c r="AG59" i="1"/>
  <c r="AI59" i="1" s="1"/>
  <c r="AA55" i="1"/>
  <c r="AA47" i="1"/>
  <c r="AA35" i="1"/>
  <c r="T33" i="1"/>
  <c r="U33" i="1" s="1"/>
  <c r="S33" i="1" s="1"/>
  <c r="AA30" i="1"/>
  <c r="AA28" i="1"/>
  <c r="AG27" i="1"/>
  <c r="U27" i="1" s="1"/>
  <c r="S27" i="1" s="1"/>
  <c r="AI246" i="1"/>
  <c r="AI238" i="1"/>
  <c r="AI242" i="1"/>
  <c r="U215" i="1"/>
  <c r="S215" i="1" s="1"/>
  <c r="AI234" i="1"/>
  <c r="AG220" i="1"/>
  <c r="W220" i="1" s="1"/>
  <c r="X220" i="1"/>
  <c r="X216" i="1"/>
  <c r="X201" i="1"/>
  <c r="X197" i="1"/>
  <c r="AA192" i="1"/>
  <c r="W192" i="1" s="1"/>
  <c r="AA191" i="1"/>
  <c r="T190" i="1"/>
  <c r="X190" i="1"/>
  <c r="AG190" i="1"/>
  <c r="AI190" i="1" s="1"/>
  <c r="U183" i="1"/>
  <c r="S183" i="1" s="1"/>
  <c r="W242" i="1"/>
  <c r="T194" i="1"/>
  <c r="X194" i="1"/>
  <c r="T191" i="1"/>
  <c r="X191" i="1"/>
  <c r="AI226" i="1"/>
  <c r="T186" i="1"/>
  <c r="X186" i="1"/>
  <c r="AG186" i="1"/>
  <c r="AI186" i="1" s="1"/>
  <c r="AI189" i="1"/>
  <c r="X218" i="1"/>
  <c r="AG217" i="1"/>
  <c r="AI217" i="1" s="1"/>
  <c r="X203" i="1"/>
  <c r="AG202" i="1"/>
  <c r="X199" i="1"/>
  <c r="AG198" i="1"/>
  <c r="AI198" i="1" s="1"/>
  <c r="X195" i="1"/>
  <c r="AG194" i="1"/>
  <c r="AI230" i="1"/>
  <c r="X192" i="1"/>
  <c r="AG191" i="1"/>
  <c r="AI191" i="1" s="1"/>
  <c r="U179" i="1"/>
  <c r="S179" i="1" s="1"/>
  <c r="W163" i="1"/>
  <c r="W208" i="1"/>
  <c r="X217" i="1"/>
  <c r="X202" i="1"/>
  <c r="X198" i="1"/>
  <c r="AI201" i="1"/>
  <c r="X187" i="1"/>
  <c r="AI222" i="1"/>
  <c r="X183" i="1"/>
  <c r="AG182" i="1"/>
  <c r="W182" i="1" s="1"/>
  <c r="AI218" i="1"/>
  <c r="X179" i="1"/>
  <c r="AG178" i="1"/>
  <c r="AI178" i="1" s="1"/>
  <c r="X175" i="1"/>
  <c r="AG174" i="1"/>
  <c r="AI174" i="1" s="1"/>
  <c r="X171" i="1"/>
  <c r="AG170" i="1"/>
  <c r="AI170" i="1" s="1"/>
  <c r="X167" i="1"/>
  <c r="AG166" i="1"/>
  <c r="X163" i="1"/>
  <c r="T163" i="1"/>
  <c r="U163" i="1" s="1"/>
  <c r="S163" i="1" s="1"/>
  <c r="AG162" i="1"/>
  <c r="AI162" i="1" s="1"/>
  <c r="X159" i="1"/>
  <c r="T159" i="1"/>
  <c r="U159" i="1" s="1"/>
  <c r="S159" i="1" s="1"/>
  <c r="AG158" i="1"/>
  <c r="X246" i="1"/>
  <c r="T246" i="1"/>
  <c r="U246" i="1" s="1"/>
  <c r="S246" i="1" s="1"/>
  <c r="AG245" i="1"/>
  <c r="AI245" i="1" s="1"/>
  <c r="X242" i="1"/>
  <c r="T242" i="1"/>
  <c r="U242" i="1" s="1"/>
  <c r="S242" i="1" s="1"/>
  <c r="AG241" i="1"/>
  <c r="X238" i="1"/>
  <c r="T238" i="1"/>
  <c r="U238" i="1" s="1"/>
  <c r="S238" i="1" s="1"/>
  <c r="AG237" i="1"/>
  <c r="AI237" i="1" s="1"/>
  <c r="X234" i="1"/>
  <c r="T234" i="1"/>
  <c r="U234" i="1" s="1"/>
  <c r="S234" i="1" s="1"/>
  <c r="AG233" i="1"/>
  <c r="AI233" i="1" s="1"/>
  <c r="X230" i="1"/>
  <c r="T230" i="1"/>
  <c r="U230" i="1" s="1"/>
  <c r="S230" i="1" s="1"/>
  <c r="AG229" i="1"/>
  <c r="X226" i="1"/>
  <c r="T226" i="1"/>
  <c r="U226" i="1" s="1"/>
  <c r="S226" i="1" s="1"/>
  <c r="AG225" i="1"/>
  <c r="W225" i="1" s="1"/>
  <c r="X222" i="1"/>
  <c r="T222" i="1"/>
  <c r="U222" i="1" s="1"/>
  <c r="S222" i="1" s="1"/>
  <c r="AG221" i="1"/>
  <c r="AI221" i="1" s="1"/>
  <c r="X212" i="1"/>
  <c r="T212" i="1"/>
  <c r="U212" i="1" s="1"/>
  <c r="S212" i="1" s="1"/>
  <c r="AG211" i="1"/>
  <c r="AI211" i="1" s="1"/>
  <c r="S209" i="1"/>
  <c r="X208" i="1"/>
  <c r="T208" i="1"/>
  <c r="U208" i="1" s="1"/>
  <c r="S208" i="1" s="1"/>
  <c r="AG207" i="1"/>
  <c r="AI207" i="1" s="1"/>
  <c r="AG205" i="1"/>
  <c r="AI205" i="1" s="1"/>
  <c r="X205" i="1"/>
  <c r="AI155" i="1"/>
  <c r="AI141" i="1"/>
  <c r="X182" i="1"/>
  <c r="X178" i="1"/>
  <c r="AI213" i="1"/>
  <c r="X174" i="1"/>
  <c r="AI209" i="1"/>
  <c r="X170" i="1"/>
  <c r="X166" i="1"/>
  <c r="X162" i="1"/>
  <c r="X158" i="1"/>
  <c r="X245" i="1"/>
  <c r="X241" i="1"/>
  <c r="X237" i="1"/>
  <c r="X233" i="1"/>
  <c r="X229" i="1"/>
  <c r="X225" i="1"/>
  <c r="X221" i="1"/>
  <c r="X211" i="1"/>
  <c r="X207" i="1"/>
  <c r="AI153" i="1"/>
  <c r="U137" i="1"/>
  <c r="S137" i="1" s="1"/>
  <c r="AI137" i="1"/>
  <c r="AI149" i="1"/>
  <c r="AI133" i="1"/>
  <c r="X164" i="1"/>
  <c r="X160" i="1"/>
  <c r="X247" i="1"/>
  <c r="X243" i="1"/>
  <c r="X239" i="1"/>
  <c r="X235" i="1"/>
  <c r="X231" i="1"/>
  <c r="X227" i="1"/>
  <c r="X223" i="1"/>
  <c r="X213" i="1"/>
  <c r="X209" i="1"/>
  <c r="AI156" i="1"/>
  <c r="U146" i="1"/>
  <c r="S146" i="1" s="1"/>
  <c r="AI145" i="1"/>
  <c r="AI129" i="1"/>
  <c r="U125" i="1"/>
  <c r="S125" i="1" s="1"/>
  <c r="AI125" i="1"/>
  <c r="AI121" i="1"/>
  <c r="AI118" i="1"/>
  <c r="AG154" i="1"/>
  <c r="AG151" i="1"/>
  <c r="X148" i="1"/>
  <c r="AG147" i="1"/>
  <c r="X144" i="1"/>
  <c r="AG143" i="1"/>
  <c r="X140" i="1"/>
  <c r="AG139" i="1"/>
  <c r="X136" i="1"/>
  <c r="AG135" i="1"/>
  <c r="X132" i="1"/>
  <c r="AG131" i="1"/>
  <c r="X128" i="1"/>
  <c r="AG127" i="1"/>
  <c r="X124" i="1"/>
  <c r="AG123" i="1"/>
  <c r="T114" i="1"/>
  <c r="X114" i="1"/>
  <c r="AG114" i="1"/>
  <c r="AI111" i="1"/>
  <c r="T110" i="1"/>
  <c r="X110" i="1"/>
  <c r="AG110" i="1"/>
  <c r="AA103" i="1"/>
  <c r="AI97" i="1"/>
  <c r="U82" i="1"/>
  <c r="S82" i="1" s="1"/>
  <c r="AI82" i="1"/>
  <c r="X151" i="1"/>
  <c r="X147" i="1"/>
  <c r="X143" i="1"/>
  <c r="AI140" i="1"/>
  <c r="X139" i="1"/>
  <c r="X135" i="1"/>
  <c r="X131" i="1"/>
  <c r="AI128" i="1"/>
  <c r="X127" i="1"/>
  <c r="AI124" i="1"/>
  <c r="X123" i="1"/>
  <c r="U122" i="1"/>
  <c r="S122" i="1" s="1"/>
  <c r="U113" i="1"/>
  <c r="S113" i="1" s="1"/>
  <c r="T106" i="1"/>
  <c r="X106" i="1"/>
  <c r="AG106" i="1"/>
  <c r="X204" i="1"/>
  <c r="X150" i="1"/>
  <c r="X146" i="1"/>
  <c r="X142" i="1"/>
  <c r="X138" i="1"/>
  <c r="X134" i="1"/>
  <c r="X130" i="1"/>
  <c r="X126" i="1"/>
  <c r="X122" i="1"/>
  <c r="T117" i="1"/>
  <c r="U117" i="1" s="1"/>
  <c r="S117" i="1" s="1"/>
  <c r="AA111" i="1"/>
  <c r="T102" i="1"/>
  <c r="X102" i="1"/>
  <c r="AG102" i="1"/>
  <c r="AI90" i="1"/>
  <c r="W86" i="1"/>
  <c r="T118" i="1"/>
  <c r="U118" i="1" s="1"/>
  <c r="S118" i="1" s="1"/>
  <c r="X118" i="1"/>
  <c r="AI86" i="1"/>
  <c r="U96" i="1"/>
  <c r="S96" i="1" s="1"/>
  <c r="AI73" i="1"/>
  <c r="AI64" i="1"/>
  <c r="U92" i="1"/>
  <c r="S92" i="1" s="1"/>
  <c r="U84" i="1"/>
  <c r="S84" i="1" s="1"/>
  <c r="T80" i="1"/>
  <c r="AI72" i="1"/>
  <c r="AI60" i="1"/>
  <c r="AI112" i="1"/>
  <c r="X111" i="1"/>
  <c r="X107" i="1"/>
  <c r="X103" i="1"/>
  <c r="X99" i="1"/>
  <c r="AG98" i="1"/>
  <c r="AI96" i="1"/>
  <c r="AG94" i="1"/>
  <c r="AI93" i="1"/>
  <c r="X92" i="1"/>
  <c r="AG91" i="1"/>
  <c r="X88" i="1"/>
  <c r="AG87" i="1"/>
  <c r="X84" i="1"/>
  <c r="AG83" i="1"/>
  <c r="AG80" i="1"/>
  <c r="T76" i="1"/>
  <c r="U76" i="1" s="1"/>
  <c r="S76" i="1" s="1"/>
  <c r="X76" i="1"/>
  <c r="AA73" i="1"/>
  <c r="W73" i="1" s="1"/>
  <c r="AI57" i="1"/>
  <c r="X98" i="1"/>
  <c r="X91" i="1"/>
  <c r="X87" i="1"/>
  <c r="AI84" i="1"/>
  <c r="AI77" i="1"/>
  <c r="AI76" i="1"/>
  <c r="AI67" i="1"/>
  <c r="AI53" i="1"/>
  <c r="AG75" i="1"/>
  <c r="X72" i="1"/>
  <c r="T72" i="1"/>
  <c r="U72" i="1" s="1"/>
  <c r="S72" i="1" s="1"/>
  <c r="AG71" i="1"/>
  <c r="AI68" i="1"/>
  <c r="T67" i="1"/>
  <c r="U67" i="1" s="1"/>
  <c r="S67" i="1" s="1"/>
  <c r="AI65" i="1"/>
  <c r="X64" i="1"/>
  <c r="T64" i="1"/>
  <c r="U64" i="1" s="1"/>
  <c r="S64" i="1" s="1"/>
  <c r="AG63" i="1"/>
  <c r="T60" i="1"/>
  <c r="U60" i="1" s="1"/>
  <c r="S60" i="1" s="1"/>
  <c r="AI58" i="1"/>
  <c r="X57" i="1"/>
  <c r="T57" i="1"/>
  <c r="U57" i="1" s="1"/>
  <c r="S57" i="1" s="1"/>
  <c r="AG56" i="1"/>
  <c r="AI54" i="1"/>
  <c r="X53" i="1"/>
  <c r="T53" i="1"/>
  <c r="U53" i="1" s="1"/>
  <c r="S53" i="1" s="1"/>
  <c r="AG52" i="1"/>
  <c r="T50" i="1"/>
  <c r="U50" i="1" s="1"/>
  <c r="S50" i="1" s="1"/>
  <c r="X50" i="1"/>
  <c r="X49" i="1"/>
  <c r="T43" i="1"/>
  <c r="X43" i="1"/>
  <c r="T38" i="1"/>
  <c r="X38" i="1"/>
  <c r="AG38" i="1"/>
  <c r="AA23" i="1"/>
  <c r="S19" i="1"/>
  <c r="AI19" i="1"/>
  <c r="T18" i="1"/>
  <c r="AG18" i="1"/>
  <c r="X75" i="1"/>
  <c r="X71" i="1"/>
  <c r="X63" i="1"/>
  <c r="X56" i="1"/>
  <c r="X52" i="1"/>
  <c r="AA51" i="1"/>
  <c r="AI44" i="1"/>
  <c r="X44" i="1"/>
  <c r="AG43" i="1"/>
  <c r="T34" i="1"/>
  <c r="X34" i="1"/>
  <c r="AG34" i="1"/>
  <c r="T51" i="1"/>
  <c r="AI46" i="1"/>
  <c r="AA39" i="1"/>
  <c r="S31" i="1"/>
  <c r="T30" i="1"/>
  <c r="X30" i="1"/>
  <c r="AG30" i="1"/>
  <c r="W30" i="1" s="1"/>
  <c r="S23" i="1"/>
  <c r="T22" i="1"/>
  <c r="X22" i="1"/>
  <c r="AG22" i="1"/>
  <c r="X73" i="1"/>
  <c r="X65" i="1"/>
  <c r="X58" i="1"/>
  <c r="X54" i="1"/>
  <c r="AG51" i="1"/>
  <c r="T49" i="1"/>
  <c r="U49" i="1" s="1"/>
  <c r="S49" i="1" s="1"/>
  <c r="T46" i="1"/>
  <c r="U46" i="1" s="1"/>
  <c r="S46" i="1" s="1"/>
  <c r="X46" i="1"/>
  <c r="AA43" i="1"/>
  <c r="T42" i="1"/>
  <c r="X42" i="1"/>
  <c r="AG42" i="1"/>
  <c r="T26" i="1"/>
  <c r="X26" i="1"/>
  <c r="AG26" i="1"/>
  <c r="U36" i="1"/>
  <c r="S36" i="1" s="1"/>
  <c r="X25" i="1"/>
  <c r="T25" i="1"/>
  <c r="U25" i="1" s="1"/>
  <c r="S25" i="1" s="1"/>
  <c r="X21" i="1"/>
  <c r="T21" i="1"/>
  <c r="U21" i="1" s="1"/>
  <c r="S21" i="1" s="1"/>
  <c r="U20" i="1"/>
  <c r="S20" i="1" s="1"/>
  <c r="X39" i="1"/>
  <c r="AI36" i="1"/>
  <c r="X35" i="1"/>
  <c r="AI32" i="1"/>
  <c r="X31" i="1"/>
  <c r="X27" i="1"/>
  <c r="AI24" i="1"/>
  <c r="X23" i="1"/>
  <c r="AI20" i="1"/>
  <c r="X19" i="1"/>
  <c r="Y37" i="3"/>
  <c r="Y27" i="3"/>
  <c r="Y7" i="3"/>
  <c r="AC41" i="3"/>
  <c r="AC22" i="3"/>
  <c r="AC21" i="3"/>
  <c r="AC12" i="3"/>
  <c r="Y26" i="3"/>
  <c r="Y16" i="3"/>
  <c r="Y10" i="3"/>
  <c r="Y14" i="3"/>
  <c r="Y30" i="3"/>
  <c r="Y29" i="3"/>
  <c r="Y34" i="3"/>
  <c r="Y32" i="3"/>
  <c r="Y23" i="3"/>
  <c r="Y11" i="3"/>
  <c r="Y25" i="3"/>
  <c r="T37" i="3"/>
  <c r="T17" i="3"/>
  <c r="T16" i="3"/>
  <c r="T24" i="3"/>
  <c r="T29" i="3"/>
  <c r="T32" i="3"/>
  <c r="T38" i="3"/>
  <c r="T25" i="3"/>
  <c r="T8" i="3"/>
  <c r="Y38" i="3"/>
  <c r="Y9" i="3"/>
  <c r="Y8" i="3"/>
  <c r="Y28" i="3"/>
  <c r="T33" i="3"/>
  <c r="AC18" i="3"/>
  <c r="AC19" i="3"/>
  <c r="AC26" i="3"/>
  <c r="AC36" i="3"/>
  <c r="AC13" i="3"/>
  <c r="AC31" i="3"/>
  <c r="AC30" i="3"/>
  <c r="R39" i="3"/>
  <c r="M39" i="3"/>
  <c r="N39" i="3"/>
  <c r="S39" i="3"/>
  <c r="U39" i="3"/>
  <c r="AC39" i="3" s="1"/>
  <c r="V39" i="3"/>
  <c r="W39" i="3"/>
  <c r="X39" i="3"/>
  <c r="U85" i="1" l="1"/>
  <c r="S85" i="1" s="1"/>
  <c r="U126" i="1"/>
  <c r="S126" i="1" s="1"/>
  <c r="AI69" i="1"/>
  <c r="AI152" i="1"/>
  <c r="W69" i="1"/>
  <c r="W112" i="1"/>
  <c r="AI14" i="1"/>
  <c r="U14" i="1"/>
  <c r="S14" i="1" s="1"/>
  <c r="W14" i="1"/>
  <c r="W183" i="1"/>
  <c r="W143" i="1"/>
  <c r="W241" i="1"/>
  <c r="W188" i="1"/>
  <c r="W138" i="1"/>
  <c r="U138" i="1"/>
  <c r="S138" i="1" s="1"/>
  <c r="W209" i="1"/>
  <c r="U100" i="1"/>
  <c r="S100" i="1" s="1"/>
  <c r="AI132" i="1"/>
  <c r="U112" i="1"/>
  <c r="S112" i="1" s="1"/>
  <c r="AI119" i="1"/>
  <c r="W32" i="1"/>
  <c r="U120" i="1"/>
  <c r="S120" i="1" s="1"/>
  <c r="U78" i="1"/>
  <c r="S78" i="1" s="1"/>
  <c r="W119" i="1"/>
  <c r="W92" i="1"/>
  <c r="W142" i="1"/>
  <c r="W61" i="1"/>
  <c r="U32" i="1"/>
  <c r="S32" i="1" s="1"/>
  <c r="U48" i="1"/>
  <c r="S48" i="1" s="1"/>
  <c r="W48" i="1"/>
  <c r="AI23" i="1"/>
  <c r="AI47" i="1"/>
  <c r="W18" i="1"/>
  <c r="W23" i="1"/>
  <c r="AI61" i="1"/>
  <c r="U167" i="1"/>
  <c r="S167" i="1" s="1"/>
  <c r="W55" i="1"/>
  <c r="U93" i="1"/>
  <c r="S93" i="1" s="1"/>
  <c r="W231" i="1"/>
  <c r="U81" i="1"/>
  <c r="S81" i="1" s="1"/>
  <c r="W94" i="1"/>
  <c r="AI28" i="1"/>
  <c r="U115" i="1"/>
  <c r="S115" i="1" s="1"/>
  <c r="W99" i="1"/>
  <c r="AI107" i="1"/>
  <c r="AI182" i="1"/>
  <c r="AI206" i="1"/>
  <c r="AI210" i="1"/>
  <c r="AI197" i="1"/>
  <c r="W167" i="1"/>
  <c r="W175" i="1"/>
  <c r="W27" i="1"/>
  <c r="W205" i="1"/>
  <c r="AI99" i="1"/>
  <c r="W107" i="1"/>
  <c r="AI27" i="1"/>
  <c r="U108" i="1"/>
  <c r="S108" i="1" s="1"/>
  <c r="W151" i="1"/>
  <c r="AI134" i="1"/>
  <c r="AI142" i="1"/>
  <c r="AI31" i="1"/>
  <c r="AI214" i="1"/>
  <c r="W35" i="1"/>
  <c r="W136" i="1"/>
  <c r="W132" i="1"/>
  <c r="W196" i="1"/>
  <c r="W194" i="1"/>
  <c r="W104" i="1"/>
  <c r="U184" i="1"/>
  <c r="S184" i="1" s="1"/>
  <c r="W108" i="1"/>
  <c r="W214" i="1"/>
  <c r="U74" i="1"/>
  <c r="S74" i="1" s="1"/>
  <c r="AI136" i="1"/>
  <c r="U130" i="1"/>
  <c r="S130" i="1" s="1"/>
  <c r="W166" i="1"/>
  <c r="W100" i="1"/>
  <c r="AI171" i="1"/>
  <c r="W161" i="1"/>
  <c r="W40" i="1"/>
  <c r="W103" i="1"/>
  <c r="W47" i="1"/>
  <c r="U39" i="1"/>
  <c r="S39" i="1" s="1"/>
  <c r="U165" i="1"/>
  <c r="S165" i="1" s="1"/>
  <c r="W187" i="1"/>
  <c r="W189" i="1"/>
  <c r="W215" i="1"/>
  <c r="W165" i="1"/>
  <c r="W39" i="1"/>
  <c r="U88" i="1"/>
  <c r="S88" i="1" s="1"/>
  <c r="AI103" i="1"/>
  <c r="W114" i="1"/>
  <c r="W170" i="1"/>
  <c r="W150" i="1"/>
  <c r="W110" i="1"/>
  <c r="U196" i="1"/>
  <c r="S196" i="1" s="1"/>
  <c r="U104" i="1"/>
  <c r="S104" i="1" s="1"/>
  <c r="AI35" i="1"/>
  <c r="AI81" i="1"/>
  <c r="W202" i="1"/>
  <c r="U175" i="1"/>
  <c r="S175" i="1" s="1"/>
  <c r="W81" i="1"/>
  <c r="AI150" i="1"/>
  <c r="W116" i="1"/>
  <c r="W173" i="1"/>
  <c r="W201" i="1"/>
  <c r="U40" i="1"/>
  <c r="S40" i="1" s="1"/>
  <c r="U55" i="1"/>
  <c r="S55" i="1" s="1"/>
  <c r="AI89" i="1"/>
  <c r="AI194" i="1"/>
  <c r="AI95" i="1"/>
  <c r="W91" i="1"/>
  <c r="W111" i="1"/>
  <c r="AI148" i="1"/>
  <c r="U188" i="1"/>
  <c r="S188" i="1" s="1"/>
  <c r="U171" i="1"/>
  <c r="S171" i="1" s="1"/>
  <c r="W198" i="1"/>
  <c r="AI181" i="1"/>
  <c r="U199" i="1"/>
  <c r="S199" i="1" s="1"/>
  <c r="W28" i="1"/>
  <c r="W85" i="1"/>
  <c r="W120" i="1"/>
  <c r="W126" i="1"/>
  <c r="U169" i="1"/>
  <c r="S169" i="1" s="1"/>
  <c r="W203" i="1"/>
  <c r="W56" i="1"/>
  <c r="AI166" i="1"/>
  <c r="AI173" i="1"/>
  <c r="U195" i="1"/>
  <c r="S195" i="1" s="1"/>
  <c r="W78" i="1"/>
  <c r="U193" i="1"/>
  <c r="S193" i="1" s="1"/>
  <c r="U59" i="1"/>
  <c r="S59" i="1" s="1"/>
  <c r="U66" i="1"/>
  <c r="S66" i="1" s="1"/>
  <c r="W87" i="1"/>
  <c r="AI202" i="1"/>
  <c r="AI161" i="1"/>
  <c r="AI193" i="1"/>
  <c r="U203" i="1"/>
  <c r="S203" i="1" s="1"/>
  <c r="W89" i="1"/>
  <c r="W95" i="1"/>
  <c r="W122" i="1"/>
  <c r="W144" i="1"/>
  <c r="W224" i="1"/>
  <c r="U161" i="1"/>
  <c r="S161" i="1" s="1"/>
  <c r="W180" i="1"/>
  <c r="W195" i="1"/>
  <c r="W74" i="1"/>
  <c r="U77" i="1"/>
  <c r="S77" i="1" s="1"/>
  <c r="W148" i="1"/>
  <c r="W223" i="1"/>
  <c r="W239" i="1"/>
  <c r="W199" i="1"/>
  <c r="U168" i="1"/>
  <c r="S168" i="1" s="1"/>
  <c r="U176" i="1"/>
  <c r="S176" i="1" s="1"/>
  <c r="U185" i="1"/>
  <c r="S185" i="1" s="1"/>
  <c r="W134" i="1"/>
  <c r="W181" i="1"/>
  <c r="W51" i="1"/>
  <c r="W59" i="1"/>
  <c r="W66" i="1"/>
  <c r="U239" i="1"/>
  <c r="S239" i="1" s="1"/>
  <c r="AI239" i="1"/>
  <c r="W130" i="1"/>
  <c r="W184" i="1"/>
  <c r="AI241" i="1"/>
  <c r="AI225" i="1"/>
  <c r="W77" i="1"/>
  <c r="W88" i="1"/>
  <c r="U231" i="1"/>
  <c r="S231" i="1" s="1"/>
  <c r="AI231" i="1"/>
  <c r="W210" i="1"/>
  <c r="U177" i="1"/>
  <c r="S177" i="1" s="1"/>
  <c r="AI187" i="1"/>
  <c r="U187" i="1"/>
  <c r="S187" i="1" s="1"/>
  <c r="W240" i="1"/>
  <c r="W232" i="1"/>
  <c r="W197" i="1"/>
  <c r="W19" i="1"/>
  <c r="W115" i="1"/>
  <c r="U116" i="1"/>
  <c r="S116" i="1" s="1"/>
  <c r="AI116" i="1"/>
  <c r="U223" i="1"/>
  <c r="S223" i="1" s="1"/>
  <c r="AI223" i="1"/>
  <c r="W204" i="1"/>
  <c r="W177" i="1"/>
  <c r="W216" i="1"/>
  <c r="W113" i="1"/>
  <c r="W146" i="1"/>
  <c r="W168" i="1"/>
  <c r="W176" i="1"/>
  <c r="W169" i="1"/>
  <c r="W185" i="1"/>
  <c r="U26" i="1"/>
  <c r="S26" i="1" s="1"/>
  <c r="AI26" i="1"/>
  <c r="U30" i="1"/>
  <c r="S30" i="1" s="1"/>
  <c r="AI30" i="1"/>
  <c r="AI63" i="1"/>
  <c r="U63" i="1"/>
  <c r="S63" i="1" s="1"/>
  <c r="U83" i="1"/>
  <c r="S83" i="1" s="1"/>
  <c r="AI83" i="1"/>
  <c r="U98" i="1"/>
  <c r="S98" i="1" s="1"/>
  <c r="AI98" i="1"/>
  <c r="W63" i="1"/>
  <c r="W98" i="1"/>
  <c r="U106" i="1"/>
  <c r="S106" i="1" s="1"/>
  <c r="AI106" i="1"/>
  <c r="W106" i="1"/>
  <c r="AI123" i="1"/>
  <c r="U123" i="1"/>
  <c r="S123" i="1" s="1"/>
  <c r="AI131" i="1"/>
  <c r="U131" i="1"/>
  <c r="S131" i="1" s="1"/>
  <c r="AI139" i="1"/>
  <c r="U139" i="1"/>
  <c r="S139" i="1" s="1"/>
  <c r="AI147" i="1"/>
  <c r="U147" i="1"/>
  <c r="S147" i="1" s="1"/>
  <c r="AI154" i="1"/>
  <c r="U154" i="1"/>
  <c r="S154" i="1" s="1"/>
  <c r="W131" i="1"/>
  <c r="W147" i="1"/>
  <c r="AI164" i="1"/>
  <c r="U211" i="1"/>
  <c r="S211" i="1" s="1"/>
  <c r="AI180" i="1"/>
  <c r="U233" i="1"/>
  <c r="S233" i="1" s="1"/>
  <c r="AI196" i="1"/>
  <c r="U158" i="1"/>
  <c r="S158" i="1" s="1"/>
  <c r="U34" i="1"/>
  <c r="S34" i="1" s="1"/>
  <c r="AI34" i="1"/>
  <c r="U38" i="1"/>
  <c r="S38" i="1" s="1"/>
  <c r="AI38" i="1"/>
  <c r="AI52" i="1"/>
  <c r="U52" i="1"/>
  <c r="S52" i="1" s="1"/>
  <c r="U75" i="1"/>
  <c r="S75" i="1" s="1"/>
  <c r="W75" i="1"/>
  <c r="AI75" i="1"/>
  <c r="U80" i="1"/>
  <c r="S80" i="1" s="1"/>
  <c r="AI80" i="1"/>
  <c r="U94" i="1"/>
  <c r="S94" i="1" s="1"/>
  <c r="AI94" i="1"/>
  <c r="W83" i="1"/>
  <c r="AI168" i="1"/>
  <c r="U221" i="1"/>
  <c r="S221" i="1" s="1"/>
  <c r="AI184" i="1"/>
  <c r="U237" i="1"/>
  <c r="S237" i="1" s="1"/>
  <c r="AI200" i="1"/>
  <c r="U162" i="1"/>
  <c r="S162" i="1" s="1"/>
  <c r="AI229" i="1"/>
  <c r="U191" i="1"/>
  <c r="S191" i="1" s="1"/>
  <c r="U194" i="1"/>
  <c r="S194" i="1" s="1"/>
  <c r="AI232" i="1"/>
  <c r="U202" i="1"/>
  <c r="S202" i="1" s="1"/>
  <c r="AI240" i="1"/>
  <c r="W211" i="1"/>
  <c r="W233" i="1"/>
  <c r="W158" i="1"/>
  <c r="AI224" i="1"/>
  <c r="U186" i="1"/>
  <c r="S186" i="1" s="1"/>
  <c r="W186" i="1"/>
  <c r="W191" i="1"/>
  <c r="U22" i="1"/>
  <c r="S22" i="1" s="1"/>
  <c r="AI22" i="1"/>
  <c r="W38" i="1"/>
  <c r="W43" i="1"/>
  <c r="AI51" i="1"/>
  <c r="U51" i="1"/>
  <c r="S51" i="1" s="1"/>
  <c r="W26" i="1"/>
  <c r="U18" i="1"/>
  <c r="S18" i="1" s="1"/>
  <c r="AI18" i="1"/>
  <c r="AI56" i="1"/>
  <c r="U56" i="1"/>
  <c r="S56" i="1" s="1"/>
  <c r="AI71" i="1"/>
  <c r="U71" i="1"/>
  <c r="S71" i="1" s="1"/>
  <c r="U91" i="1"/>
  <c r="S91" i="1" s="1"/>
  <c r="AI91" i="1"/>
  <c r="W80" i="1"/>
  <c r="U102" i="1"/>
  <c r="S102" i="1" s="1"/>
  <c r="AI102" i="1"/>
  <c r="W102" i="1"/>
  <c r="U110" i="1"/>
  <c r="S110" i="1" s="1"/>
  <c r="AI110" i="1"/>
  <c r="AI127" i="1"/>
  <c r="U127" i="1"/>
  <c r="S127" i="1" s="1"/>
  <c r="AI135" i="1"/>
  <c r="U135" i="1"/>
  <c r="S135" i="1" s="1"/>
  <c r="AI143" i="1"/>
  <c r="U143" i="1"/>
  <c r="S143" i="1" s="1"/>
  <c r="AI151" i="1"/>
  <c r="U151" i="1"/>
  <c r="S151" i="1" s="1"/>
  <c r="W123" i="1"/>
  <c r="W127" i="1"/>
  <c r="W135" i="1"/>
  <c r="W139" i="1"/>
  <c r="W154" i="1"/>
  <c r="AI158" i="1"/>
  <c r="U205" i="1"/>
  <c r="S205" i="1" s="1"/>
  <c r="AI172" i="1"/>
  <c r="U225" i="1"/>
  <c r="S225" i="1" s="1"/>
  <c r="AI188" i="1"/>
  <c r="U241" i="1"/>
  <c r="S241" i="1" s="1"/>
  <c r="AI204" i="1"/>
  <c r="U166" i="1"/>
  <c r="S166" i="1" s="1"/>
  <c r="AI208" i="1"/>
  <c r="U170" i="1"/>
  <c r="S170" i="1" s="1"/>
  <c r="AI212" i="1"/>
  <c r="U174" i="1"/>
  <c r="S174" i="1" s="1"/>
  <c r="AI216" i="1"/>
  <c r="U178" i="1"/>
  <c r="S178" i="1" s="1"/>
  <c r="AI220" i="1"/>
  <c r="U182" i="1"/>
  <c r="S182" i="1" s="1"/>
  <c r="W174" i="1"/>
  <c r="U190" i="1"/>
  <c r="S190" i="1" s="1"/>
  <c r="W190" i="1"/>
  <c r="AI228" i="1"/>
  <c r="U42" i="1"/>
  <c r="S42" i="1" s="1"/>
  <c r="AI42" i="1"/>
  <c r="W42" i="1"/>
  <c r="W22" i="1"/>
  <c r="AI43" i="1"/>
  <c r="U43" i="1"/>
  <c r="S43" i="1" s="1"/>
  <c r="W34" i="1"/>
  <c r="W52" i="1"/>
  <c r="U87" i="1"/>
  <c r="S87" i="1" s="1"/>
  <c r="AI87" i="1"/>
  <c r="W71" i="1"/>
  <c r="U114" i="1"/>
  <c r="S114" i="1" s="1"/>
  <c r="AI114" i="1"/>
  <c r="AI160" i="1"/>
  <c r="U207" i="1"/>
  <c r="S207" i="1" s="1"/>
  <c r="AI176" i="1"/>
  <c r="U229" i="1"/>
  <c r="S229" i="1" s="1"/>
  <c r="AI192" i="1"/>
  <c r="U245" i="1"/>
  <c r="S245" i="1" s="1"/>
  <c r="W207" i="1"/>
  <c r="W221" i="1"/>
  <c r="W229" i="1"/>
  <c r="W237" i="1"/>
  <c r="W245" i="1"/>
  <c r="W162" i="1"/>
  <c r="U198" i="1"/>
  <c r="S198" i="1" s="1"/>
  <c r="AI236" i="1"/>
  <c r="U217" i="1"/>
  <c r="S217" i="1" s="1"/>
  <c r="AI244" i="1"/>
  <c r="W178" i="1"/>
  <c r="AI247" i="1"/>
  <c r="U220" i="1"/>
  <c r="S220" i="1" s="1"/>
  <c r="W217" i="1"/>
  <c r="Y39" i="3"/>
  <c r="M30" i="5" l="1"/>
  <c r="M29" i="5"/>
  <c r="M28" i="5"/>
  <c r="M27" i="5"/>
  <c r="K13" i="6" l="1"/>
  <c r="B13" i="6"/>
  <c r="K12" i="6"/>
  <c r="B12" i="6"/>
  <c r="J12" i="6" s="1"/>
  <c r="K11" i="6"/>
  <c r="B11" i="6"/>
  <c r="I11" i="6" s="1"/>
  <c r="K10" i="6"/>
  <c r="B10" i="6"/>
  <c r="I10" i="6" s="1"/>
  <c r="K9" i="6"/>
  <c r="B9" i="6"/>
  <c r="K8" i="6"/>
  <c r="B8" i="6"/>
  <c r="J8" i="6" s="1"/>
  <c r="K7" i="6"/>
  <c r="B7" i="6"/>
  <c r="I7" i="6" s="1"/>
  <c r="K6" i="6"/>
  <c r="B6" i="6"/>
  <c r="I6" i="6" s="1"/>
  <c r="K5" i="6"/>
  <c r="B5" i="6"/>
  <c r="K4" i="6"/>
  <c r="B4" i="6"/>
  <c r="J4" i="6" s="1"/>
  <c r="K3" i="6"/>
  <c r="B3" i="6"/>
  <c r="I3" i="6" s="1"/>
  <c r="AE13" i="1"/>
  <c r="AD13" i="1"/>
  <c r="AC13" i="1"/>
  <c r="AB13" i="1"/>
  <c r="Y13" i="1"/>
  <c r="V13" i="1"/>
  <c r="M13" i="1"/>
  <c r="L13" i="1"/>
  <c r="K13" i="1"/>
  <c r="X14" i="1" l="1"/>
  <c r="F6" i="6"/>
  <c r="AA13" i="1"/>
  <c r="F10" i="6"/>
  <c r="AG13" i="1"/>
  <c r="AI13" i="1" s="1"/>
  <c r="J10" i="6"/>
  <c r="J6" i="6"/>
  <c r="I5" i="6"/>
  <c r="I9" i="6"/>
  <c r="I4" i="6"/>
  <c r="F5" i="6"/>
  <c r="J5" i="6"/>
  <c r="J13" i="6"/>
  <c r="F3" i="6"/>
  <c r="J3" i="6"/>
  <c r="F7" i="6"/>
  <c r="J7" i="6"/>
  <c r="F11" i="6"/>
  <c r="J11" i="6"/>
  <c r="I13" i="6"/>
  <c r="I8" i="6"/>
  <c r="F9" i="6"/>
  <c r="J9" i="6"/>
  <c r="I12" i="6"/>
  <c r="F13" i="6"/>
  <c r="F4" i="6"/>
  <c r="F8" i="6"/>
  <c r="F12" i="6"/>
  <c r="T13" i="1"/>
  <c r="X13" i="1"/>
  <c r="W13" i="1" l="1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4" i="6" s="1"/>
  <c r="G54" i="4"/>
  <c r="H4" i="6" s="1"/>
  <c r="F55" i="4"/>
  <c r="G55" i="4"/>
  <c r="F56" i="4"/>
  <c r="G56" i="4"/>
  <c r="F57" i="4"/>
  <c r="G57" i="4"/>
  <c r="F58" i="4"/>
  <c r="G5" i="6" s="1"/>
  <c r="G58" i="4"/>
  <c r="H5" i="6" s="1"/>
  <c r="F59" i="4"/>
  <c r="G59" i="4"/>
  <c r="F60" i="4"/>
  <c r="G3" i="6" s="1"/>
  <c r="G60" i="4"/>
  <c r="H3" i="6" s="1"/>
  <c r="F61" i="4"/>
  <c r="G61" i="4"/>
  <c r="F62" i="4"/>
  <c r="G62" i="4"/>
  <c r="F63" i="4"/>
  <c r="G63" i="4"/>
  <c r="F64" i="4"/>
  <c r="G7" i="6" s="1"/>
  <c r="G64" i="4"/>
  <c r="H7" i="6" s="1"/>
  <c r="F65" i="4"/>
  <c r="G65" i="4"/>
  <c r="F66" i="4"/>
  <c r="G66" i="4"/>
  <c r="F67" i="4"/>
  <c r="G67" i="4"/>
  <c r="F68" i="4"/>
  <c r="G68" i="4"/>
  <c r="F69" i="4"/>
  <c r="G6" i="6" s="1"/>
  <c r="G69" i="4"/>
  <c r="H6" i="6" s="1"/>
  <c r="F70" i="4"/>
  <c r="G10" i="6" s="1"/>
  <c r="G70" i="4"/>
  <c r="H10" i="6" s="1"/>
  <c r="F71" i="4"/>
  <c r="G71" i="4"/>
  <c r="F72" i="4"/>
  <c r="G72" i="4"/>
  <c r="F73" i="4"/>
  <c r="G73" i="4"/>
  <c r="F74" i="4"/>
  <c r="G8" i="6" s="1"/>
  <c r="G74" i="4"/>
  <c r="H8" i="6" s="1"/>
  <c r="F75" i="4"/>
  <c r="G11" i="6" s="1"/>
  <c r="G75" i="4"/>
  <c r="H11" i="6" s="1"/>
  <c r="F76" i="4"/>
  <c r="G9" i="6" s="1"/>
  <c r="G76" i="4"/>
  <c r="H9" i="6" s="1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12" i="6" s="1"/>
  <c r="G84" i="4"/>
  <c r="H12" i="6" s="1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13" i="6" s="1"/>
  <c r="G223" i="4"/>
  <c r="H13" i="6" s="1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9" i="3" l="1"/>
  <c r="AF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2" i="4" l="1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<sst xmlns="http://schemas.openxmlformats.org/spreadsheetml/2006/main" count="2330" uniqueCount="809">
  <si>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</si>
  <si>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</si>
  <si>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</si>
  <si>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</si>
  <si>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</si>
  <si>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</si>
  <si>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</si>
  <si>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</si>
  <si>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</si>
  <si>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</si>
  <si>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</si>
  <si>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</si>
  <si>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</si>
  <si>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</si>
  <si>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</si>
  <si>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</si>
  <si>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</si>
  <si>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</si>
  <si>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</si>
  <si>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</si>
  <si>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</si>
  <si>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</si>
  <si>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</si>
  <si>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</si>
  <si>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</si>
  <si>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</si>
  <si>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</si>
  <si>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</si>
  <si>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</si>
  <si>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</si>
  <si>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</si>
  <si>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</si>
  <si>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</si>
  <si>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</si>
  <si>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</si>
  <si>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</si>
  <si>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</si>
  <si>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</si>
  <si>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</si>
  <si>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</si>
  <si>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</si>
  <si>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</si>
  <si>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</si>
  <si>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</si>
  <si>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</si>
  <si>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</si>
  <si>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</si>
  <si>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</si>
  <si>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</si>
  <si>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</si>
  <si>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</si>
  <si>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</si>
  <si>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</si>
  <si>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</si>
  <si>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</si>
  <si>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</si>
  <si>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</si>
  <si>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</si>
  <si>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</si>
  <si>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</si>
  <si>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</si>
  <si>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</si>
  <si>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</si>
  <si>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</si>
  <si>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</si>
  <si>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</si>
  <si>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</si>
  <si>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</si>
  <si>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</si>
  <si>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</si>
  <si>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</si>
  <si>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</si>
  <si>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</si>
  <si>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</si>
  <si>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</si>
  <si>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</si>
  <si>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</si>
  <si>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</si>
  <si>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</si>
  <si>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</si>
  <si>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</si>
  <si>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</si>
  <si>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</si>
  <si>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</si>
  <si>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</si>
  <si>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</si>
  <si>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</si>
  <si>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</si>
  <si>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</si>
  <si>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</si>
  <si>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</si>
  <si>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</si>
  <si>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</si>
  <si>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</si>
  <si>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</si>
  <si>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</si>
  <si>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</si>
  <si>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</si>
  <si>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</si>
  <si>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</si>
  <si>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</si>
  <si>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</si>
  <si>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</si>
  <si>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</si>
  <si>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</si>
  <si>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</si>
  <si>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</si>
  <si>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</si>
  <si>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</si>
  <si>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</si>
  <si>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</si>
  <si>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</si>
  <si>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</si>
  <si>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</si>
  <si>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</si>
  <si>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</si>
  <si>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</si>
  <si>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</si>
  <si>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</si>
  <si>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</si>
  <si>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</si>
  <si>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</si>
  <si>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</si>
  <si>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</si>
  <si>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</si>
  <si>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</si>
  <si>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</si>
  <si>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</si>
  <si>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</si>
  <si>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</si>
  <si>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</si>
  <si>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</si>
  <si>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</si>
  <si>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</si>
  <si>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</si>
  <si>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</si>
  <si>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</si>
  <si>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</si>
  <si>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</si>
  <si>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</si>
  <si>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</si>
  <si>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</si>
  <si>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</si>
  <si>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</si>
  <si>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</si>
  <si>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</si>
  <si>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</si>
  <si>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</si>
  <si>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</si>
  <si>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</si>
  <si>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</si>
  <si>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</si>
  <si>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</si>
  <si>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</si>
  <si>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</si>
  <si>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</si>
  <si>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</si>
  <si>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</si>
  <si>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</si>
  <si>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</si>
  <si>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</si>
  <si>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</si>
  <si>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</si>
  <si>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</si>
  <si>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</si>
  <si>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</si>
  <si>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</si>
  <si>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</si>
  <si>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</si>
  <si>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</si>
  <si>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</si>
  <si>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</si>
  <si>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</si>
  <si>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</si>
  <si>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</si>
  <si>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204:147</t>
  </si>
  <si>
    <t>204:152</t>
  </si>
  <si>
    <t>human_readable_time</t>
  </si>
  <si>
    <t>Loco - PTC</t>
  </si>
  <si>
    <t>Power</t>
  </si>
  <si>
    <t>CLI Grep</t>
  </si>
  <si>
    <t>204:141</t>
  </si>
  <si>
    <t>Time (US/Mountain)</t>
  </si>
  <si>
    <t>Source</t>
  </si>
  <si>
    <t>Employee Identifier</t>
  </si>
  <si>
    <t>Employee Last Name</t>
  </si>
  <si>
    <t>:.+((SYSTEM_STATE.+slice.+state.+changed )|(ment ac)|(system.+state.+changed )|(\[timeout)|(PRM\|1\|D)|(kpr)|(kdp)|(\|lc)|(penalty))</t>
  </si>
  <si>
    <t>STURGEON</t>
  </si>
  <si>
    <t>s3://rtdc.mdm.uploadarchive.raw</t>
  </si>
  <si>
    <t>rtdc.l.rtdc.4010:itc</t>
  </si>
  <si>
    <t>rtdc.l.rtdc.4009:itc</t>
  </si>
  <si>
    <t>204:233297</t>
  </si>
  <si>
    <t>rtdc.l.rtdc.4044:itc</t>
  </si>
  <si>
    <t>rtdc.l.rtdc.4007:itc</t>
  </si>
  <si>
    <t>56-06</t>
  </si>
  <si>
    <t>244-06</t>
  </si>
  <si>
    <t>311-06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</si>
  <si>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</si>
  <si>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</si>
  <si>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</si>
  <si>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</si>
  <si>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</si>
  <si>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</si>
  <si>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204:154</t>
  </si>
  <si>
    <t>204:145</t>
  </si>
  <si>
    <t>204:149</t>
  </si>
  <si>
    <t>204:233293</t>
  </si>
  <si>
    <t>204:143</t>
  </si>
  <si>
    <t>204:150</t>
  </si>
  <si>
    <t>204:447</t>
  </si>
  <si>
    <t>204:453</t>
  </si>
  <si>
    <t>204:455</t>
  </si>
  <si>
    <t>204:466</t>
  </si>
  <si>
    <t>204:233295</t>
  </si>
  <si>
    <t>204:446</t>
  </si>
  <si>
    <t>204:460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</si>
  <si>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</si>
  <si>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</si>
  <si>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</si>
  <si>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</si>
  <si>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</si>
  <si>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</si>
  <si>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</si>
  <si>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</si>
  <si>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rtdc.l.rtdc.4028:itc</t>
  </si>
  <si>
    <t>Summary for DUS 2016-10-12: Partly cloudy until night.</t>
  </si>
  <si>
    <t>204:232977</t>
  </si>
  <si>
    <t>AWS CP Commands</t>
  </si>
  <si>
    <t>204:156</t>
  </si>
  <si>
    <t>rtdc.l.rtdc.4029:itc</t>
  </si>
  <si>
    <t>rtdc.l.rtdc.4030:itc</t>
  </si>
  <si>
    <t>DELGADO</t>
  </si>
  <si>
    <t>204:449</t>
  </si>
  <si>
    <t>204:138</t>
  </si>
  <si>
    <t>rtdc.l.rtdc.4016:itc</t>
  </si>
  <si>
    <t>rtdc.l.rtdc.4015:itc</t>
  </si>
  <si>
    <t>204:462</t>
  </si>
  <si>
    <t>YOUNG</t>
  </si>
  <si>
    <t>rtdc.l.rtdc.4037:itc</t>
  </si>
  <si>
    <t>204:233291</t>
  </si>
  <si>
    <t>204:232985</t>
  </si>
  <si>
    <t>rtdc.l.rtdc.4011:itc</t>
  </si>
  <si>
    <t>204:457</t>
  </si>
  <si>
    <t>204:167</t>
  </si>
  <si>
    <t>rtdc.l.rtdc.4021:itc</t>
  </si>
  <si>
    <t>rtdc.l.rtdc.4002:itc</t>
  </si>
  <si>
    <t>rtdc.l.rtdc.4001:itc</t>
  </si>
  <si>
    <t>204:161</t>
  </si>
  <si>
    <t>204:464</t>
  </si>
  <si>
    <t>204:233301</t>
  </si>
  <si>
    <t>204:232969</t>
  </si>
  <si>
    <t>204:232981</t>
  </si>
  <si>
    <t>204:232978</t>
  </si>
  <si>
    <t>DE.1.0.8.0</t>
  </si>
  <si>
    <t>rtdc.l.rtdc.4040:itc</t>
  </si>
  <si>
    <t>rtdc.l.rtdc.4038:itc</t>
  </si>
  <si>
    <t>204:232983</t>
  </si>
  <si>
    <t>204:233287</t>
  </si>
  <si>
    <t>204:233288</t>
  </si>
  <si>
    <t>204:458</t>
  </si>
  <si>
    <t>rtdc.l.rtdc.4013:itc</t>
  </si>
  <si>
    <t>rtdc.l.rtdc.4014:itc</t>
  </si>
  <si>
    <t>rtdc.l.rtdc.4022:itc</t>
  </si>
  <si>
    <t>rtdc.l.rtdc.4027:itc</t>
  </si>
  <si>
    <t>partly-cloudy-night</t>
  </si>
  <si>
    <t>Partly Cloudy</t>
  </si>
  <si>
    <t>partly-cloudy-day</t>
  </si>
  <si>
    <t>Mostly Cloudy</t>
  </si>
  <si>
    <t>204:233280</t>
  </si>
  <si>
    <t>204:136</t>
  </si>
  <si>
    <t>204:438</t>
  </si>
  <si>
    <t>204:233289</t>
  </si>
  <si>
    <t>204:233010</t>
  </si>
  <si>
    <t>204:473</t>
  </si>
  <si>
    <t>204:482</t>
  </si>
  <si>
    <t>204:232975</t>
  </si>
  <si>
    <t>204:233278</t>
  </si>
  <si>
    <t>204:444</t>
  </si>
  <si>
    <t>300:58613</t>
  </si>
  <si>
    <t>300:58926</t>
  </si>
  <si>
    <t>rtdc.l.rtdc.4012:itc</t>
  </si>
  <si>
    <t>DAVIS</t>
  </si>
  <si>
    <t>CLARK</t>
  </si>
  <si>
    <t>CHANDLER</t>
  </si>
  <si>
    <t>204:232973</t>
  </si>
  <si>
    <t>204:233285</t>
  </si>
  <si>
    <t>204:233303</t>
  </si>
  <si>
    <t>204:232972</t>
  </si>
  <si>
    <t>204:160</t>
  </si>
  <si>
    <t>204:232984</t>
  </si>
  <si>
    <t>204:129</t>
  </si>
  <si>
    <t>204:158</t>
  </si>
  <si>
    <t>204:475</t>
  </si>
  <si>
    <t>204:233320</t>
  </si>
  <si>
    <t>204:232976</t>
  </si>
  <si>
    <t>300:58929</t>
  </si>
  <si>
    <t>rtdc.l.rtdc.4045:itc</t>
  </si>
  <si>
    <t>rtdc.l.rtdc.4046:itc</t>
  </si>
  <si>
    <t>STARKS</t>
  </si>
  <si>
    <t>BARTLETT</t>
  </si>
  <si>
    <t>CRAYTON</t>
  </si>
  <si>
    <t>rtdc.l.rtdc.4003:itc</t>
  </si>
  <si>
    <t>clear-night</t>
  </si>
  <si>
    <t>Clear</t>
  </si>
  <si>
    <t>204:232996</t>
  </si>
  <si>
    <t>204:232980</t>
  </si>
  <si>
    <t>204:442</t>
  </si>
  <si>
    <t>204:232967</t>
  </si>
  <si>
    <t>300:58617</t>
  </si>
  <si>
    <t>300:58626</t>
  </si>
  <si>
    <t>300:58941</t>
  </si>
  <si>
    <t>300:58623</t>
  </si>
  <si>
    <t>204:233332</t>
  </si>
  <si>
    <t>204:233276</t>
  </si>
  <si>
    <t>204:232965</t>
  </si>
  <si>
    <t>204:233328</t>
  </si>
  <si>
    <t>rtdc.l.rtdc.4039:itc</t>
  </si>
  <si>
    <t>rtdc.l.rtdc.4032:itc</t>
  </si>
  <si>
    <t>Y</t>
  </si>
  <si>
    <t>MACDONALD</t>
  </si>
  <si>
    <t>LALONDE</t>
  </si>
  <si>
    <t>BADERTSCHER</t>
  </si>
  <si>
    <t>SPECTOR</t>
  </si>
  <si>
    <t>rtdc.l.rtdc.4004:itc</t>
  </si>
  <si>
    <t>NELSON</t>
  </si>
  <si>
    <t>HOLCOMB</t>
  </si>
  <si>
    <t>MCREYNOLDS</t>
  </si>
  <si>
    <t>HELVIE</t>
  </si>
  <si>
    <t>NICHOLSON</t>
  </si>
  <si>
    <t>BONDS</t>
  </si>
  <si>
    <t>JOHNSON</t>
  </si>
  <si>
    <t>ROMERO</t>
  </si>
  <si>
    <t>WHITED</t>
  </si>
  <si>
    <t>242-31</t>
  </si>
  <si>
    <t>244-31</t>
  </si>
  <si>
    <t>315-31</t>
  </si>
  <si>
    <t>204:786</t>
  </si>
  <si>
    <t>204:233006</t>
  </si>
  <si>
    <t>204:163</t>
  </si>
  <si>
    <t>204:232974</t>
  </si>
  <si>
    <t>204:232970</t>
  </si>
  <si>
    <t>204:233302</t>
  </si>
  <si>
    <t>204:233272</t>
  </si>
  <si>
    <t>204:232953</t>
  </si>
  <si>
    <t>204:232971</t>
  </si>
  <si>
    <t>204:467</t>
  </si>
  <si>
    <t>204:233298</t>
  </si>
  <si>
    <t>204:232982</t>
  </si>
  <si>
    <t>204:233310</t>
  </si>
  <si>
    <t>204:233312</t>
  </si>
  <si>
    <t>204:233340</t>
  </si>
  <si>
    <t>204:170</t>
  </si>
  <si>
    <t>300:23299</t>
  </si>
  <si>
    <t>204:1242</t>
  </si>
  <si>
    <t>300:23022</t>
  </si>
  <si>
    <t>204:971</t>
  </si>
  <si>
    <t>300:58640</t>
  </si>
  <si>
    <t>300:58598</t>
  </si>
  <si>
    <t>300:58641</t>
  </si>
  <si>
    <t>204:720</t>
  </si>
  <si>
    <t>300:58954</t>
  </si>
  <si>
    <t>204:675</t>
  </si>
  <si>
    <t>204:682</t>
  </si>
  <si>
    <t>300:58943</t>
  </si>
  <si>
    <t>300:58624</t>
  </si>
  <si>
    <t>204:710</t>
  </si>
  <si>
    <t>204:969</t>
  </si>
  <si>
    <t>204:997</t>
  </si>
  <si>
    <t>300:58609</t>
  </si>
  <si>
    <t>204:1016</t>
  </si>
  <si>
    <t>204:649</t>
  </si>
  <si>
    <t>204:974</t>
  </si>
  <si>
    <t>Human Factors</t>
  </si>
  <si>
    <t>308-01</t>
  </si>
  <si>
    <t>800-01</t>
  </si>
  <si>
    <t>110-01</t>
  </si>
  <si>
    <t>112-01</t>
  </si>
  <si>
    <t>123-01</t>
  </si>
  <si>
    <t>804-01</t>
  </si>
  <si>
    <t>rtdc.l.rtdc.4041:itc</t>
  </si>
  <si>
    <t>120-01</t>
  </si>
  <si>
    <t>122-01</t>
  </si>
  <si>
    <t>134-01</t>
  </si>
  <si>
    <t>136-01</t>
  </si>
  <si>
    <t>50-01</t>
  </si>
  <si>
    <t>142-01</t>
  </si>
  <si>
    <t>149-01</t>
  </si>
  <si>
    <t>148-01</t>
  </si>
  <si>
    <t>54-01</t>
  </si>
  <si>
    <t>53-01</t>
  </si>
  <si>
    <t>rtdc.l.rtdc.4008:itc</t>
  </si>
  <si>
    <t>160-01</t>
  </si>
  <si>
    <t>164-01</t>
  </si>
  <si>
    <t>EQUIPMENT RESTRICTION</t>
  </si>
  <si>
    <t>174-01</t>
  </si>
  <si>
    <t>SWITCH UNKNOWN</t>
  </si>
  <si>
    <t>Track device (7)</t>
  </si>
  <si>
    <t>178-01</t>
  </si>
  <si>
    <t>186-01</t>
  </si>
  <si>
    <t>830-01</t>
  </si>
  <si>
    <t>832-01</t>
  </si>
  <si>
    <t>60-01</t>
  </si>
  <si>
    <t>836-01</t>
  </si>
  <si>
    <t>311-01</t>
  </si>
  <si>
    <t>304-01</t>
  </si>
  <si>
    <t>103-01</t>
  </si>
  <si>
    <t>306-01</t>
  </si>
  <si>
    <t>rtdc.l.rtdc.4042:itc</t>
  </si>
  <si>
    <t>105-01</t>
  </si>
  <si>
    <t>310-01</t>
  </si>
  <si>
    <t>104-01</t>
  </si>
  <si>
    <t>107-01</t>
  </si>
  <si>
    <t>RICHARDSON</t>
  </si>
  <si>
    <t>109-01</t>
  </si>
  <si>
    <t>901-01</t>
  </si>
  <si>
    <t>106-01</t>
  </si>
  <si>
    <t>111-01</t>
  </si>
  <si>
    <t>LOPES</t>
  </si>
  <si>
    <t>113-01</t>
  </si>
  <si>
    <t>108-01</t>
  </si>
  <si>
    <t>115-01</t>
  </si>
  <si>
    <t>801-01</t>
  </si>
  <si>
    <t>117-01</t>
  </si>
  <si>
    <t>902-01</t>
  </si>
  <si>
    <t>119-01</t>
  </si>
  <si>
    <t>114-01</t>
  </si>
  <si>
    <t>116-01</t>
  </si>
  <si>
    <t>121-01</t>
  </si>
  <si>
    <t>802-01</t>
  </si>
  <si>
    <t>803-01</t>
  </si>
  <si>
    <t>118-01</t>
  </si>
  <si>
    <t>125-01</t>
  </si>
  <si>
    <t>805-01</t>
  </si>
  <si>
    <t>127-01</t>
  </si>
  <si>
    <t>806-01</t>
  </si>
  <si>
    <t>129-01</t>
  </si>
  <si>
    <t>807-01</t>
  </si>
  <si>
    <t>124-01</t>
  </si>
  <si>
    <t>131-01</t>
  </si>
  <si>
    <t>126-01</t>
  </si>
  <si>
    <t>808-01</t>
  </si>
  <si>
    <t>133-01</t>
  </si>
  <si>
    <t>128-01</t>
  </si>
  <si>
    <t>809-01</t>
  </si>
  <si>
    <t>135-01</t>
  </si>
  <si>
    <t>810-01</t>
  </si>
  <si>
    <t>130-01</t>
  </si>
  <si>
    <t>137-01</t>
  </si>
  <si>
    <t>132-01</t>
  </si>
  <si>
    <t>811-01</t>
  </si>
  <si>
    <t>139-01</t>
  </si>
  <si>
    <t>903-01</t>
  </si>
  <si>
    <t>812-01</t>
  </si>
  <si>
    <t>PELLITIER</t>
  </si>
  <si>
    <t>141-01</t>
  </si>
  <si>
    <t>143-01</t>
  </si>
  <si>
    <t>138-01</t>
  </si>
  <si>
    <t>140-01</t>
  </si>
  <si>
    <t>145-01</t>
  </si>
  <si>
    <t>813-01</t>
  </si>
  <si>
    <t>147-01</t>
  </si>
  <si>
    <t>814-01</t>
  </si>
  <si>
    <t>151-01</t>
  </si>
  <si>
    <t>144-01</t>
  </si>
  <si>
    <t>146-01</t>
  </si>
  <si>
    <t>153-01</t>
  </si>
  <si>
    <t>815-01</t>
  </si>
  <si>
    <t>155-01</t>
  </si>
  <si>
    <t>52-01</t>
  </si>
  <si>
    <t>150-01</t>
  </si>
  <si>
    <t>816-01</t>
  </si>
  <si>
    <t>157-01</t>
  </si>
  <si>
    <t>152-01</t>
  </si>
  <si>
    <t>159-01</t>
  </si>
  <si>
    <t>154-01</t>
  </si>
  <si>
    <t>161-01</t>
  </si>
  <si>
    <t>BRANNON</t>
  </si>
  <si>
    <t>817-01</t>
  </si>
  <si>
    <t>156-01</t>
  </si>
  <si>
    <t>163-01</t>
  </si>
  <si>
    <t>818-01</t>
  </si>
  <si>
    <t>158-01</t>
  </si>
  <si>
    <t>55-01</t>
  </si>
  <si>
    <t>165-01</t>
  </si>
  <si>
    <t>167-01</t>
  </si>
  <si>
    <t>162-01</t>
  </si>
  <si>
    <t>169-01</t>
  </si>
  <si>
    <t>819-01</t>
  </si>
  <si>
    <t>171-01</t>
  </si>
  <si>
    <t>166-01</t>
  </si>
  <si>
    <t>820-01</t>
  </si>
  <si>
    <t>173-01</t>
  </si>
  <si>
    <t>168-01</t>
  </si>
  <si>
    <t>175-01</t>
  </si>
  <si>
    <t>170-01</t>
  </si>
  <si>
    <t>172-01</t>
  </si>
  <si>
    <t>177-01</t>
  </si>
  <si>
    <t>821-01</t>
  </si>
  <si>
    <t>179-01</t>
  </si>
  <si>
    <t>822-01</t>
  </si>
  <si>
    <t>181-01</t>
  </si>
  <si>
    <t>176-01</t>
  </si>
  <si>
    <t>823-01</t>
  </si>
  <si>
    <t>183-01</t>
  </si>
  <si>
    <t>185-01</t>
  </si>
  <si>
    <t>180-01</t>
  </si>
  <si>
    <t>187-01</t>
  </si>
  <si>
    <t>182-01</t>
  </si>
  <si>
    <t>824-01</t>
  </si>
  <si>
    <t>189-01</t>
  </si>
  <si>
    <t>184-01</t>
  </si>
  <si>
    <t>191-01</t>
  </si>
  <si>
    <t>825-01</t>
  </si>
  <si>
    <t>193-01</t>
  </si>
  <si>
    <t>188-01</t>
  </si>
  <si>
    <t>904-01</t>
  </si>
  <si>
    <t>STAMBAUGH</t>
  </si>
  <si>
    <t>195-01</t>
  </si>
  <si>
    <t>190-01</t>
  </si>
  <si>
    <t>826-01</t>
  </si>
  <si>
    <t>827-01</t>
  </si>
  <si>
    <t>197-01</t>
  </si>
  <si>
    <t>192-01</t>
  </si>
  <si>
    <t>199-01</t>
  </si>
  <si>
    <t>194-01</t>
  </si>
  <si>
    <t>829-01</t>
  </si>
  <si>
    <t>828-01</t>
  </si>
  <si>
    <t>201-01</t>
  </si>
  <si>
    <t>196-01</t>
  </si>
  <si>
    <t>831-01</t>
  </si>
  <si>
    <t>203-01</t>
  </si>
  <si>
    <t>198-01</t>
  </si>
  <si>
    <t>205-01</t>
  </si>
  <si>
    <t>200-01</t>
  </si>
  <si>
    <t>202-01</t>
  </si>
  <si>
    <t>207-01</t>
  </si>
  <si>
    <t>833-01</t>
  </si>
  <si>
    <t>209-01</t>
  </si>
  <si>
    <t>204-01</t>
  </si>
  <si>
    <t>211-01</t>
  </si>
  <si>
    <t>835-01</t>
  </si>
  <si>
    <t>206-01</t>
  </si>
  <si>
    <t>834-01</t>
  </si>
  <si>
    <t>213-01</t>
  </si>
  <si>
    <t>58-01</t>
  </si>
  <si>
    <t>YANAI</t>
  </si>
  <si>
    <t>208-01</t>
  </si>
  <si>
    <t>215-01</t>
  </si>
  <si>
    <t>837-01</t>
  </si>
  <si>
    <t>210-01</t>
  </si>
  <si>
    <t>217-01</t>
  </si>
  <si>
    <t>212-01</t>
  </si>
  <si>
    <t>219-01</t>
  </si>
  <si>
    <t>839-01</t>
  </si>
  <si>
    <t>214-01</t>
  </si>
  <si>
    <t>838-01</t>
  </si>
  <si>
    <t>303-01</t>
  </si>
  <si>
    <t>216-01</t>
  </si>
  <si>
    <t>221-01</t>
  </si>
  <si>
    <t>841-01</t>
  </si>
  <si>
    <t>218-01</t>
  </si>
  <si>
    <t>906-01</t>
  </si>
  <si>
    <t>305-01</t>
  </si>
  <si>
    <t>223-01</t>
  </si>
  <si>
    <t>220-01</t>
  </si>
  <si>
    <t>307-01</t>
  </si>
  <si>
    <t>840-01</t>
  </si>
  <si>
    <t>222-01</t>
  </si>
  <si>
    <t>225-01</t>
  </si>
  <si>
    <t>843-01</t>
  </si>
  <si>
    <t>224-01</t>
  </si>
  <si>
    <t>227-01</t>
  </si>
  <si>
    <t>842-01</t>
  </si>
  <si>
    <t>226-01</t>
  </si>
  <si>
    <t>229-01</t>
  </si>
  <si>
    <t>845-01</t>
  </si>
  <si>
    <t>59-01</t>
  </si>
  <si>
    <t>BRUDER</t>
  </si>
  <si>
    <t>231-01</t>
  </si>
  <si>
    <t>228-01</t>
  </si>
  <si>
    <t>233-01</t>
  </si>
  <si>
    <t>847-01</t>
  </si>
  <si>
    <t>844-01</t>
  </si>
  <si>
    <t>230-01</t>
  </si>
  <si>
    <t>232-01</t>
  </si>
  <si>
    <t>235-01</t>
  </si>
  <si>
    <t>908-01</t>
  </si>
  <si>
    <t>234-01</t>
  </si>
  <si>
    <t>237-01</t>
  </si>
  <si>
    <t>239-01</t>
  </si>
  <si>
    <t>236-01</t>
  </si>
  <si>
    <t>241-01</t>
  </si>
  <si>
    <t>238-01</t>
  </si>
  <si>
    <t>240-01</t>
  </si>
  <si>
    <t>243-01</t>
  </si>
  <si>
    <t>309-01</t>
  </si>
  <si>
    <t>242-01</t>
  </si>
  <si>
    <t>244-01</t>
  </si>
  <si>
    <t>313-01</t>
  </si>
  <si>
    <t>315-01</t>
  </si>
  <si>
    <t>precipType</t>
  </si>
  <si>
    <t>rain</t>
  </si>
  <si>
    <t>204:723</t>
  </si>
  <si>
    <t>204:232689</t>
  </si>
  <si>
    <t>204:730</t>
  </si>
  <si>
    <t>204:232644</t>
  </si>
  <si>
    <t>204:562</t>
  </si>
  <si>
    <t>204:233329</t>
  </si>
  <si>
    <t>204:232987</t>
  </si>
  <si>
    <t>204:165</t>
  </si>
  <si>
    <t>204:233299</t>
  </si>
  <si>
    <t>204:772</t>
  </si>
  <si>
    <t>204:233336</t>
  </si>
  <si>
    <t>204:232998</t>
  </si>
  <si>
    <t>204:232964</t>
  </si>
  <si>
    <t>204:211</t>
  </si>
  <si>
    <t>204:233000</t>
  </si>
  <si>
    <t>204:429</t>
  </si>
  <si>
    <t>204:233314</t>
  </si>
  <si>
    <t>204:233308</t>
  </si>
  <si>
    <t>204:531</t>
  </si>
  <si>
    <t>204:178</t>
  </si>
  <si>
    <t>204:127</t>
  </si>
  <si>
    <t>204:187</t>
  </si>
  <si>
    <t>204:19583</t>
  </si>
  <si>
    <t>204:233257</t>
  </si>
  <si>
    <t>204:232932</t>
  </si>
  <si>
    <t>204:227</t>
  </si>
  <si>
    <t>204:493</t>
  </si>
  <si>
    <t>204:232990</t>
  </si>
  <si>
    <t>204:233317</t>
  </si>
  <si>
    <t>204:134</t>
  </si>
  <si>
    <t>204:1173</t>
  </si>
  <si>
    <t>204:233391</t>
  </si>
  <si>
    <t>204:233074</t>
  </si>
  <si>
    <t>204:537</t>
  </si>
  <si>
    <t>204:232993</t>
  </si>
  <si>
    <t>204:4583</t>
  </si>
  <si>
    <t>204:469</t>
  </si>
  <si>
    <t>204:233304</t>
  </si>
  <si>
    <t>204:233311</t>
  </si>
  <si>
    <t>204:19134</t>
  </si>
  <si>
    <t>204:181</t>
  </si>
  <si>
    <t>204:267</t>
  </si>
  <si>
    <t>204:233378</t>
  </si>
  <si>
    <t>204:233070</t>
  </si>
  <si>
    <t>204:233013</t>
  </si>
  <si>
    <t>204:232988</t>
  </si>
  <si>
    <t>204:564</t>
  </si>
  <si>
    <t>204:233327</t>
  </si>
  <si>
    <t>204:233316</t>
  </si>
  <si>
    <t>204:233306</t>
  </si>
  <si>
    <t>204:233004</t>
  </si>
  <si>
    <t>204:233325</t>
  </si>
  <si>
    <t>204:233286</t>
  </si>
  <si>
    <t>204:440</t>
  </si>
  <si>
    <t>204:426</t>
  </si>
  <si>
    <t>204:233319</t>
  </si>
  <si>
    <t>204:233002</t>
  </si>
  <si>
    <t>204:233236</t>
  </si>
  <si>
    <t>204:232917</t>
  </si>
  <si>
    <t>204:232961</t>
  </si>
  <si>
    <t>204:489</t>
  </si>
  <si>
    <t>204:232991</t>
  </si>
  <si>
    <t>204:318</t>
  </si>
  <si>
    <t>204:100</t>
  </si>
  <si>
    <t>300:22338</t>
  </si>
  <si>
    <t>204:118</t>
  </si>
  <si>
    <t>300:22975</t>
  </si>
  <si>
    <t>300:22274</t>
  </si>
  <si>
    <t>300:23306</t>
  </si>
  <si>
    <t>300:23374</t>
  </si>
  <si>
    <t>204:85</t>
  </si>
  <si>
    <t>300:22841</t>
  </si>
  <si>
    <t>300:21807</t>
  </si>
  <si>
    <t>300:22563</t>
  </si>
  <si>
    <t>204:388</t>
  </si>
  <si>
    <t>300:22231</t>
  </si>
  <si>
    <t>300:19951</t>
  </si>
  <si>
    <t>300:25124</t>
  </si>
  <si>
    <t>300:41924</t>
  </si>
  <si>
    <t>204:155</t>
  </si>
  <si>
    <t>300:42047</t>
  </si>
  <si>
    <t>204:157</t>
  </si>
  <si>
    <t>300:42055</t>
  </si>
  <si>
    <t>204:186</t>
  </si>
  <si>
    <t>300:42119</t>
  </si>
  <si>
    <t>300:42136</t>
  </si>
  <si>
    <t>204:973</t>
  </si>
  <si>
    <t>300:42153</t>
  </si>
  <si>
    <t>300:42184</t>
  </si>
  <si>
    <t>300:42222</t>
  </si>
  <si>
    <t>204:128</t>
  </si>
  <si>
    <t>300:42237</t>
  </si>
  <si>
    <t>204:162</t>
  </si>
  <si>
    <t>204:1289</t>
  </si>
  <si>
    <t>300:42337</t>
  </si>
  <si>
    <t>204:433</t>
  </si>
  <si>
    <t>300:42542</t>
  </si>
  <si>
    <t>300:42456</t>
  </si>
  <si>
    <t>300:42525</t>
  </si>
  <si>
    <t>300:42242</t>
  </si>
  <si>
    <t>204:470</t>
  </si>
  <si>
    <t>300:42402</t>
  </si>
  <si>
    <t>300:42504</t>
  </si>
  <si>
    <t>204:479</t>
  </si>
  <si>
    <t>300:42364</t>
  </si>
  <si>
    <t>204:488</t>
  </si>
  <si>
    <t>300:42415</t>
  </si>
  <si>
    <t>300:21943</t>
  </si>
  <si>
    <t>204:122</t>
  </si>
  <si>
    <t>204:430</t>
  </si>
  <si>
    <t>300:24226</t>
  </si>
  <si>
    <t>300:22174</t>
  </si>
  <si>
    <t>204:900</t>
  </si>
  <si>
    <t>204:1212</t>
  </si>
  <si>
    <t>300:24243</t>
  </si>
  <si>
    <t>300:23235</t>
  </si>
  <si>
    <t>204:370</t>
  </si>
  <si>
    <t>300:23312</t>
  </si>
  <si>
    <t>300:21914</t>
  </si>
  <si>
    <t>204:1725</t>
  </si>
  <si>
    <t>300:58600</t>
  </si>
  <si>
    <t>300:57747</t>
  </si>
  <si>
    <t>204:1007</t>
  </si>
  <si>
    <t>300:58935</t>
  </si>
  <si>
    <t>204:712</t>
  </si>
  <si>
    <t>204:1000</t>
  </si>
  <si>
    <t>300:58920</t>
  </si>
  <si>
    <t>300:58602</t>
  </si>
  <si>
    <t>204:1020</t>
  </si>
  <si>
    <t>204:731</t>
  </si>
  <si>
    <t>204:1018</t>
  </si>
  <si>
    <t>204:715</t>
  </si>
  <si>
    <t>204:1011</t>
  </si>
  <si>
    <t>204:748</t>
  </si>
  <si>
    <t>204:1002</t>
  </si>
  <si>
    <t>300:58608</t>
  </si>
  <si>
    <t>204:729</t>
  </si>
  <si>
    <t>300:58931</t>
  </si>
  <si>
    <t>204:983</t>
  </si>
  <si>
    <t>300:58928</t>
  </si>
  <si>
    <t>204:694</t>
  </si>
  <si>
    <t>300:58615</t>
  </si>
  <si>
    <t>204:985</t>
  </si>
  <si>
    <t>204:706</t>
  </si>
  <si>
    <t>204:988</t>
  </si>
  <si>
    <t>300:58965</t>
  </si>
  <si>
    <t>300:58660</t>
  </si>
  <si>
    <t>204:684</t>
  </si>
  <si>
    <t>300:58628</t>
  </si>
  <si>
    <t>204:979</t>
  </si>
  <si>
    <t>300:58963</t>
  </si>
  <si>
    <t>300:58647</t>
  </si>
  <si>
    <t>204:678</t>
  </si>
  <si>
    <t>204:962</t>
  </si>
  <si>
    <t>300:58924</t>
  </si>
  <si>
    <t>204:687</t>
  </si>
  <si>
    <t>204:967</t>
  </si>
  <si>
    <t>300:58611</t>
  </si>
  <si>
    <t>204:787</t>
  </si>
  <si>
    <t>204:1062</t>
  </si>
  <si>
    <t>300:58916</t>
  </si>
  <si>
    <t>204:708</t>
  </si>
  <si>
    <t>300:58950</t>
  </si>
  <si>
    <t>300:58645</t>
  </si>
  <si>
    <t>204:673</t>
  </si>
  <si>
    <t>204:701</t>
  </si>
  <si>
    <t>204:976</t>
  </si>
  <si>
    <t>300:58927</t>
  </si>
  <si>
    <t>300:29778</t>
  </si>
  <si>
    <t>300:22202</t>
  </si>
  <si>
    <t>204:717</t>
  </si>
  <si>
    <t>300:24227</t>
  </si>
  <si>
    <t>300:23578</t>
  </si>
  <si>
    <t>204:670</t>
  </si>
  <si>
    <t>300:58606</t>
  </si>
  <si>
    <t>300:28780</t>
  </si>
  <si>
    <t>300:58604</t>
  </si>
  <si>
    <t>300:21490</t>
  </si>
  <si>
    <t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t>
  </si>
  <si>
    <t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t>
  </si>
  <si>
    <t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t>
  </si>
  <si>
    <t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t>
  </si>
  <si>
    <t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t>
  </si>
  <si>
    <t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t>
  </si>
  <si>
    <t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t>
  </si>
  <si>
    <t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t>
  </si>
  <si>
    <t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t>
  </si>
  <si>
    <t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t>
  </si>
  <si>
    <t>DUS 2N STOP due to 20N STOP</t>
  </si>
  <si>
    <t>Run couldn't leave DUS, had to go ATC. See title</t>
  </si>
  <si>
    <t>Wi-MAX outage</t>
  </si>
  <si>
    <t>http://stevetu21.github.io/eaglep3/load_kml.html?kml=http://rtdc.gmaps-snips.s3.amazonaws.com/dc80d510-4c0c-48e3-b47a-03ed747ffb27.kml</t>
  </si>
  <si>
    <t>Wi-MAX outage at DUS 20S</t>
  </si>
  <si>
    <t>DUS 9A/9B were reverse, route not ready</t>
  </si>
  <si>
    <t>Direction of travel kept changing - most likely reverser handle wasn't set to FORWARD</t>
  </si>
  <si>
    <t>101-01</t>
  </si>
  <si>
    <t>102-01</t>
  </si>
  <si>
    <t>From 11/01/2016 11:08:46 onward, RTDC 4027 was offline. Came back online around 21:16:17</t>
  </si>
  <si>
    <t>Extended Wi-MAX outage (from 11/01/2016 11:08:46 to 21:16:17)</t>
  </si>
  <si>
    <t>Legitimate overspeed</t>
  </si>
  <si>
    <t>Early arrival</t>
  </si>
  <si>
    <t>40th 4S STOP, cleared afterward</t>
  </si>
  <si>
    <t>Pena 4S STOP, cleared afterward</t>
  </si>
  <si>
    <t>Overspeed</t>
  </si>
  <si>
    <t>Extended Wi-MAX outage (from 2016-11-01 01:38:19 to 2016-11-01 03:58:33)</t>
  </si>
  <si>
    <t>See title, this prevented init</t>
  </si>
  <si>
    <t>Departure delayed by CCROC/crew/equipment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</si>
</sst>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9" fontId="0" fillId="0" borderId="5" xfId="0" applyNumberFormat="1" applyBorder="1" applyAlignment="1">
      <alignment horizontal="left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1" fillId="0" borderId="0" xfId="0" applyNumberFormat="1" applyFont="1"/>
    <xf numFmtId="0" fontId="0" fillId="0" borderId="0" xfId="0" applyNumberFormat="1" applyBorder="1"/>
    <xf numFmtId="0" fontId="0" fillId="0" borderId="5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3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dc80d510-4c0c-48e3-b47a-03ed747ffb27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67"/>
  <sheetViews>
    <sheetView tabSelected="1" zoomScaleNormal="100" workbookViewId="0">
      <selection activeCell="J15" sqref="J15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28515625" style="28" customWidth="1"/>
    <col min="13" max="13" width="9.5703125" style="40" customWidth="1"/>
    <col min="14" max="14" width="3" style="41" customWidth="1"/>
    <col min="15" max="15" width="2.85546875" style="2" customWidth="1"/>
    <col min="16" max="16" width="3.140625" style="2" customWidth="1"/>
    <col min="17" max="17" width="0.85546875" hidden="1" customWidth="1"/>
    <col min="18" max="18" width="40.1406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4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42675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42675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COUNTIFS($N$13:$N$9400,"&gt;0",$AG$13:$AG$9400,I1)</f>
        <v>139</v>
      </c>
      <c r="K5" s="44"/>
      <c r="L5" s="44"/>
      <c r="M5" s="45">
        <f>AVERAGEIFS($N$13:$N$9400,$AG$13:$AG$9400,I1)</f>
        <v>38.995683453474598</v>
      </c>
      <c r="N5" s="43">
        <f t="array" ref="N5">MIN(IF($AG$13:$AG$9400=I1,IF(ISNUMBER($N$13:$N$9400),IF($N$13:$N$9400&gt;0,$N$13:$N$9400))))</f>
        <v>34.049999996786937</v>
      </c>
      <c r="O5" s="3">
        <f t="array" ref="O5">MAX(IF($AG$13:$AG$9400=I1,IF(ISNUMBER($N$13:$N$9400),IF($N$13:$N$9400&gt;0,$N$13:$N$9400))))</f>
        <v>50.866666676010936</v>
      </c>
      <c r="P5" s="2"/>
      <c r="R5" s="80" t="s">
        <v>17</v>
      </c>
      <c r="S5" s="55">
        <f>COUNTIFS($N$13:$N$9400,"&gt;0",$AG$13:$AG$9400,R1)</f>
        <v>46</v>
      </c>
      <c r="T5" s="44"/>
      <c r="U5" s="168"/>
      <c r="V5" s="45">
        <f>AVERAGEIFS($N$13:$N$9400,$AG$13:$AG$9400,R1)</f>
        <v>15.169565217093686</v>
      </c>
      <c r="W5" s="43">
        <f t="array" ref="W5">MIN(IF($AG$13:$AG$9400=R1,IF(ISNUMBER($N$13:$N$9400),IF($N$13:$N$9400&gt;0,$N$13:$N$9400))))</f>
        <v>12.433333337539807</v>
      </c>
      <c r="X5" s="173">
        <f t="array" ref="X5">MAX(IF($AG$13:$AG$9400=R1,IF(ISNUMBER($N$13:$N$9400),IF($N$13:$N$9400&gt;0,$N$13:$N$9400))))</f>
        <v>18.699999991804361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COUNT($O$13:$O$172)</f>
        <v>0</v>
      </c>
      <c r="K6" s="44"/>
      <c r="L6" s="44"/>
      <c r="M6" s="45">
        <f>IFERROR(AVERAGE($O$13:$O$172),0)</f>
        <v>0</v>
      </c>
      <c r="N6" s="43">
        <f>MIN($O$13:$O$172)</f>
        <v>0</v>
      </c>
      <c r="O6" s="3">
        <f>MAX($O$13:$O$172)</f>
        <v>0</v>
      </c>
      <c r="P6" s="2"/>
      <c r="R6" s="81" t="s">
        <v>43</v>
      </c>
      <c r="S6" s="55">
        <f>COUNT($O$13:$O$172)</f>
        <v>0</v>
      </c>
      <c r="T6" s="44"/>
      <c r="U6" s="168"/>
      <c r="V6" s="45">
        <f>IFERROR(AVERAGE($O$13:$O$172),0)</f>
        <v>0</v>
      </c>
      <c r="W6" s="43">
        <f>MIN($O$13:$O$172)</f>
        <v>0</v>
      </c>
      <c r="X6" s="173">
        <f>MAX($O$13:$O$172)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COUNTIFS($P$13:$P$9400,"&gt;0",$AG$13:$AG$9400,I1)</f>
        <v>5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COUNTIFS($P$13:$P$9400,"&gt;0",$AG$13:$AG$9400,R1)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139</v>
      </c>
      <c r="K8" s="44"/>
      <c r="L8" s="44"/>
      <c r="M8" s="45">
        <f>M5</f>
        <v>38.995683453474598</v>
      </c>
      <c r="N8" s="43">
        <f>N5</f>
        <v>34.049999996786937</v>
      </c>
      <c r="O8" s="3">
        <f>O5</f>
        <v>50.866666676010936</v>
      </c>
      <c r="P8" s="2"/>
      <c r="R8" s="80" t="s">
        <v>16</v>
      </c>
      <c r="S8" s="55">
        <f>S5</f>
        <v>46</v>
      </c>
      <c r="T8" s="44"/>
      <c r="U8" s="168"/>
      <c r="V8" s="45">
        <f>V5</f>
        <v>15.169565217093686</v>
      </c>
      <c r="W8" s="43">
        <f>W5</f>
        <v>12.433333337539807</v>
      </c>
      <c r="X8" s="173">
        <f>X5</f>
        <v>18.699999991804361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9">
        <f>J8/J4</f>
        <v>0.96527777777777779</v>
      </c>
      <c r="K9" s="46"/>
      <c r="L9" s="46"/>
      <c r="M9" s="83"/>
      <c r="N9" s="41"/>
      <c r="O9" s="84"/>
      <c r="P9" s="2"/>
      <c r="R9" s="80" t="s">
        <v>19</v>
      </c>
      <c r="S9" s="149">
        <f>S8/S4</f>
        <v>0.97872340425531912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- 2016-11-01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AVERAGE(S13:S111)</f>
        <v>0.96969696969696972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21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797</v>
      </c>
      <c r="B13" s="7">
        <v>4022</v>
      </c>
      <c r="C13" s="22"/>
      <c r="D13" s="22"/>
      <c r="E13" s="13"/>
      <c r="F13" s="13">
        <v>42675.136805555558</v>
      </c>
      <c r="G13" s="7"/>
      <c r="H13" s="13"/>
      <c r="I13" s="13">
        <v>42675.136805555558</v>
      </c>
      <c r="J13" s="7">
        <v>0</v>
      </c>
      <c r="K13" s="112" t="str">
        <f>IF(ISEVEN(B13),(B13-1)&amp;"/"&amp;B13,B13&amp;"/"&amp;(B13+1))</f>
        <v>4021/4022</v>
      </c>
      <c r="L13" s="22" t="e">
        <f>VLOOKUP(A13,'Trips&amp;Operators'!$C$1:$E$10000,3,FALSE)</f>
        <v>#N/A</v>
      </c>
      <c r="M13" s="6">
        <f>I13-F13</f>
        <v>0</v>
      </c>
      <c r="N13" s="7"/>
      <c r="O13" s="7"/>
      <c r="P13" s="7">
        <v>1</v>
      </c>
      <c r="Q13" s="23"/>
      <c r="R13" s="23" t="s">
        <v>806</v>
      </c>
      <c r="S13" s="35">
        <f>SUM(U13:U13)/IF(AG13="EC",12,1)</f>
        <v>0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98" t="e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#VALUE!</v>
      </c>
      <c r="W13" s="52" t="e">
        <f>IF(AA13&lt;IF(AG13="EC",23,5.65),"Y","N")</f>
        <v>#VALUE!</v>
      </c>
      <c r="X13" s="177" t="e">
        <f>VALUE(LEFT(AD13,4))-VALUE(LEFT(AD12,4))</f>
        <v>#VALUE!</v>
      </c>
      <c r="Y13" s="67" t="e">
        <f>RIGHT(D13,LEN(D13)-4)/10000</f>
        <v>#VALUE!</v>
      </c>
      <c r="Z13" s="67">
        <v>0.01</v>
      </c>
      <c r="AA13" s="67" t="e">
        <f>ABS(Z13-Y13)</f>
        <v>#VALUE!</v>
      </c>
      <c r="AB13" s="64" t="e">
        <f>VLOOKUP(A13,Enforcements!$C$7:$K$21,8,0)</f>
        <v>#N/A</v>
      </c>
      <c r="AC13" s="60" t="e">
        <f>VLOOKUP(A13,Enforcements!$C$7:$E$21,3,0)</f>
        <v>#N/A</v>
      </c>
      <c r="AD13" s="61" t="str">
        <f>IF(LEN(A13)=6,"0"&amp;A13,A13)</f>
        <v>0101-01</v>
      </c>
      <c r="AE13" s="91" t="str">
        <f t="shared" ref="AE13:AE76" si="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3" s="88" t="str">
        <f t="shared" ref="AF13:AF76" si="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/stypes="app*4022*20161101*"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4022 --swversion  --startMP  --initTime 1900-01-00T00:00:00 --startdatetime 2016-11-01T03:17:00 --delay  --endMP  --enddatetime 2016-11-01T03:17:00 --enforcementcount 0 &gt;&gt;C:\Users\stu\Documents\GitHub\eaglep3-reporting\EC\2016-11-01-refined-times.txt</v>
      </c>
      <c r="AI13" s="122" t="str">
        <f t="shared" ref="AI13:AI15" si="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{"issue":{"subject":"Extended Wi-MAX outage (from 2016-11-01 01:38:19 to 2016-11-01 03:58:33)","project_id":79,"tracker_id":40,"status_id":1,"priority_id":2,"assigned_to_id":23,"start_date":"2016-11-01","description":"See title, this prevented init","custom_fields":[{"id":1,"name":"Subdivision","value":"EC"},{"id":4,"name":"Milepost","value":"0.01"},{"id":17,"name":"Train ID","value":"101-01"},{"id":16,"name":"Locomotive ID","value":"4022"},{"id":130,"name":"Impact","value":"Initialization Problem"},{"id":150,"name":"Time of Event (Mountain Time)","value":"03:17:00"},{"id":151,"name":"Denver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3" s="53" t="s">
        <v>807</v>
      </c>
      <c r="AK13" s="53" t="s">
        <v>133</v>
      </c>
      <c r="AL13" s="53" t="s">
        <v>138</v>
      </c>
    </row>
    <row r="14" spans="1:91" s="1" customFormat="1" x14ac:dyDescent="0.25">
      <c r="A14" s="37" t="s">
        <v>798</v>
      </c>
      <c r="B14" s="7">
        <v>4021</v>
      </c>
      <c r="C14" s="22"/>
      <c r="D14" s="22"/>
      <c r="E14" s="13"/>
      <c r="F14" s="13">
        <v>42675.136805555558</v>
      </c>
      <c r="G14" s="7"/>
      <c r="H14" s="13"/>
      <c r="I14" s="13">
        <v>42675.136805555558</v>
      </c>
      <c r="J14" s="7">
        <v>0</v>
      </c>
      <c r="K14" s="112" t="str">
        <f t="shared" ref="K14:K15" si="4">IF(ISEVEN(B14),(B14-1)&amp;"/"&amp;B14,B14&amp;"/"&amp;(B14+1))</f>
        <v>4021/4022</v>
      </c>
      <c r="L14" s="22" t="e">
        <f>VLOOKUP(A14,'Trips&amp;Operators'!$C$1:$E$10000,3,FALSE)</f>
        <v>#N/A</v>
      </c>
      <c r="M14" s="6">
        <f t="shared" ref="M14:M15" si="5">I14-F14</f>
        <v>0</v>
      </c>
      <c r="N14" s="7"/>
      <c r="O14" s="7"/>
      <c r="P14" s="7">
        <v>1</v>
      </c>
      <c r="Q14" s="23"/>
      <c r="R14" s="23" t="s">
        <v>806</v>
      </c>
      <c r="S14" s="35">
        <f t="shared" ref="S14:S15" si="6">SUM(U14:U14)/IF(AG14="EC",12,1)</f>
        <v>0</v>
      </c>
      <c r="T14" s="50" t="str">
        <f t="shared" ref="T14:T15" si="7"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98" t="e">
        <f t="shared" ref="V14:V15" si="8"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#VALUE!</v>
      </c>
      <c r="W14" s="52" t="e">
        <f t="shared" ref="W14:W15" si="9">IF(AA14&lt;IF(AG14="EC",23,5.65),"Y","N")</f>
        <v>#VALUE!</v>
      </c>
      <c r="X14" s="177">
        <f t="shared" ref="X14:X16" si="10">VALUE(LEFT(AD14,4))-VALUE(LEFT(AD13,4))</f>
        <v>1</v>
      </c>
      <c r="Y14" s="67" t="e">
        <f t="shared" ref="Y14:Y15" si="11">RIGHT(D14,LEN(D14)-4)/10000</f>
        <v>#VALUE!</v>
      </c>
      <c r="Z14" s="67">
        <v>0.01</v>
      </c>
      <c r="AA14" s="67" t="e">
        <f t="shared" ref="AA14:AA15" si="12">ABS(Z14-Y14)</f>
        <v>#VALUE!</v>
      </c>
      <c r="AB14" s="64" t="e">
        <f>VLOOKUP(A14,Enforcements!$C$7:$K$21,8,0)</f>
        <v>#N/A</v>
      </c>
      <c r="AC14" s="60" t="e">
        <f>VLOOKUP(A14,Enforcements!$C$7:$E$21,3,0)</f>
        <v>#N/A</v>
      </c>
      <c r="AD14" s="61" t="str">
        <f t="shared" ref="AD14:AD15" si="13">IF(LEN(A14)=6,"0"&amp;A14,A14)</f>
        <v>0102-01</v>
      </c>
      <c r="AE14" s="91" t="str">
        <f t="shared" si="0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4" s="88" t="str">
        <f t="shared" si="1"/>
        <v>"C:\Program Files (x86)\AstroGrep\AstroGrep.exe" /spath="%USERPROFILE%\AppData\Local\Temp\OnboardLogs" /stypes="app*4021*20161101*" /stext=" 09:.+((SYSTEM_STATE.+slice.+state.+changed )|(ment ac)|(system.+state.+changed )|(\[timeout)|(PRM\|1\|D)|(kpr)|(kdp)|(\|lc)|(penalty))" /e /r /s</v>
      </c>
      <c r="AG14" s="1" t="str">
        <f t="shared" ref="AG14:AG15" si="14">IFERROR(IF(VALUE(LEFT(AD14,2))&lt;=2,"EC",IF(OR(VALUE(LEFT(AD14,2))=8,VALUE(LEFT(AD14,2))=18),"NW","Other")),"Other")</f>
        <v>EC</v>
      </c>
      <c r="AH14" s="92" t="str">
        <f t="shared" ref="AH14:AH15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4021 --swversion  --startMP  --initTime 1900-01-00T00:00:00 --startdatetime 2016-11-01T03:17:00 --delay  --endMP  --enddatetime 2016-11-01T03:17:00 --enforcementcount 0 &gt;&gt;C:\Users\stu\Documents\GitHub\eaglep3-reporting\EC\2016-11-01-refined-times.txt</v>
      </c>
      <c r="AI14" s="122" t="str">
        <f t="shared" si="3"/>
        <v>echo {"issue":{"subject":"Extended Wi-MAX outage (from 2016-11-01 01:38:19 to 2016-11-01 03:58:33)","project_id":79,"tracker_id":40,"status_id":1,"priority_id":2,"assigned_to_id":23,"start_date":"2016-11-01","description":"See title, this prevented init","custom_fields":[{"id":1,"name":"Subdivision","value":"EC"},{"id":4,"name":"Milepost","value":"0.01"},{"id":17,"name":"Train ID","value":"102-01"},{"id":16,"name":"Locomotive ID","value":"4021"},{"id":130,"name":"Impact","value":"Initialization Problem"},{"id":150,"name":"Time of Event (Mountain Time)","value":"03:17:00"},{"id":151,"name":"Denver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" s="53" t="s">
        <v>807</v>
      </c>
      <c r="AK14" s="53" t="s">
        <v>133</v>
      </c>
      <c r="AL14" s="53" t="s">
        <v>138</v>
      </c>
    </row>
    <row r="15" spans="1:91" s="1" customFormat="1" x14ac:dyDescent="0.25">
      <c r="A15" s="37" t="s">
        <v>405</v>
      </c>
      <c r="B15" s="7">
        <v>4027</v>
      </c>
      <c r="C15" s="22" t="s">
        <v>253</v>
      </c>
      <c r="D15" s="22" t="s">
        <v>602</v>
      </c>
      <c r="E15" s="13">
        <v>42675.153634259259</v>
      </c>
      <c r="F15" s="13">
        <v>42675.156446759262</v>
      </c>
      <c r="G15" s="7">
        <v>1</v>
      </c>
      <c r="H15" s="13" t="s">
        <v>315</v>
      </c>
      <c r="I15" s="13">
        <v>42675.182384259257</v>
      </c>
      <c r="J15" s="7">
        <v>0</v>
      </c>
      <c r="K15" s="112" t="str">
        <f t="shared" si="4"/>
        <v>4027/4028</v>
      </c>
      <c r="L15" s="22" t="str">
        <f>VLOOKUP(A15,'Trips&amp;Operators'!$C$1:$E$10000,3,FALSE)</f>
        <v>LALONDE</v>
      </c>
      <c r="M15" s="6">
        <f t="shared" si="5"/>
        <v>2.5937499995052349E-2</v>
      </c>
      <c r="N15" s="7">
        <f t="shared" ref="N15" si="16">24*60*SUM($M15:$M15)</f>
        <v>37.349999992875382</v>
      </c>
      <c r="O15" s="7"/>
      <c r="P15" s="7"/>
      <c r="Q15" s="23"/>
      <c r="R15" s="23"/>
      <c r="S15" s="35">
        <f t="shared" si="6"/>
        <v>1</v>
      </c>
      <c r="T15" s="50" t="str">
        <f t="shared" si="7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8"/>
        <v>https://search-rtdc-monitor-bjffxe2xuh6vdkpspy63sjmuny.us-east-1.es.amazonaws.com/_plugin/kibana/#/discover/Steve-Slow-Train-Analysis-(2080s-and-2083s)?_g=(refreshInterval:(display:Off,section:0,value:0),time:(from:'2016-11-01 02:41:14-0600',mode:absolute,to:'2016-11-01 05:22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" s="52" t="str">
        <f t="shared" si="9"/>
        <v>N</v>
      </c>
      <c r="X15" s="177">
        <f t="shared" si="10"/>
        <v>1</v>
      </c>
      <c r="Y15" s="67">
        <f t="shared" si="11"/>
        <v>7.2300000000000003E-2</v>
      </c>
      <c r="Z15" s="67">
        <f t="shared" ref="Z14:Z15" si="17">RIGHT(H15,LEN(H15)-4)/10000</f>
        <v>23.332799999999999</v>
      </c>
      <c r="AA15" s="67">
        <f t="shared" si="12"/>
        <v>23.2605</v>
      </c>
      <c r="AB15" s="64" t="e">
        <f>VLOOKUP(A15,Enforcements!$C$7:$K$21,8,0)</f>
        <v>#N/A</v>
      </c>
      <c r="AC15" s="60" t="e">
        <f>VLOOKUP(A15,Enforcements!$C$7:$E$21,3,0)</f>
        <v>#N/A</v>
      </c>
      <c r="AD15" s="61" t="str">
        <f t="shared" si="13"/>
        <v>0103-01</v>
      </c>
      <c r="AE15" s="91" t="str">
        <f t="shared" si="0"/>
        <v>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 &amp; aws s3 cp s3://rtdc.mdm.uploadarchive.raw/RTDC4027/ "%USERPROFILE%\AppData\Local\Temp\OnboardLogs"\RTDC4027\2016-11-02 --exclude "*" --recursive --include "*20161102*" &amp; "%USERPROFILE%\Documents\GitHub\mrs-test-scripts\Headless Mode &amp; Sideloading\WalkAndUnGZ.bat" "%USERPROFILE%\AppData\Local\Temp\OnboardLogs"\RTDC4027\2016-11-02</v>
      </c>
      <c r="AF15" s="88" t="str">
        <f t="shared" si="1"/>
        <v>"C:\Program Files (x86)\AstroGrep\AstroGrep.exe" /spath="%USERPROFILE%\AppData\Local\Temp\OnboardLogs" /stypes="app*4027*20161101*"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2" t="str">
        <f t="shared" si="15"/>
        <v>"%USERPROFILE%\Documents\GitHub\eaglep3\Utilities\RefineRTDCRunTimes.py" --tripid 103-01 --locoid 4027 --swversion DE.1.0.8.0 --startMP 204:723 --initTime 2016-11-01T03:41:14 --startdatetime 2016-11-01T03:45:17 --delay 1 --endMP 204:233328 --enddatetime 2016-11-01T04:22:38 --enforcementcount 0 &gt;&gt;C:\Users\stu\Documents\GitHub\eaglep3-reporting\EC\2016-11-01-refined-times.txt</v>
      </c>
      <c r="AI15" s="122" t="str">
        <f t="shared" si="3"/>
        <v>echo {"issue":{"subject":"","project_id":79,"tracker_id":40,"status_id":1,"priority_id":2,"assigned_to_id":23,"start_date":"2016-11-01","description":"","custom_fields":[{"id":1,"name":"Subdivision","value":"EC"},{"id":4,"name":"Milepost","value":"23.3328"},{"id":17,"name":"Train ID","value":"103-01"},{"id":16,"name":"Locomotive ID","value":"4027"},{"id":130,"name":"Impact","value":""},{"id":150,"name":"Time of Event (Mountain Time)","value":"04:22:38"},{"id":151,"name":"Denver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</row>
    <row r="16" spans="1:91" s="1" customFormat="1" x14ac:dyDescent="0.25">
      <c r="A16" s="37" t="s">
        <v>410</v>
      </c>
      <c r="B16" s="7">
        <v>4008</v>
      </c>
      <c r="C16" s="22" t="s">
        <v>253</v>
      </c>
      <c r="D16" s="22" t="s">
        <v>603</v>
      </c>
      <c r="E16" s="13">
        <v>42675.185543981483</v>
      </c>
      <c r="F16" s="13">
        <v>42675.195335648146</v>
      </c>
      <c r="G16" s="7">
        <v>1</v>
      </c>
      <c r="H16" s="13" t="s">
        <v>338</v>
      </c>
      <c r="I16" s="13">
        <v>42675.224479166667</v>
      </c>
      <c r="J16" s="7">
        <v>0</v>
      </c>
      <c r="K16" s="112" t="str">
        <f t="shared" ref="K16:K79" si="18">IF(ISEVEN(B16),(B16-1)&amp;"/"&amp;B16,B16&amp;"/"&amp;(B16+1))</f>
        <v>4007/4008</v>
      </c>
      <c r="L16" s="22" t="str">
        <f>VLOOKUP(A16,'Trips&amp;Operators'!$C$1:$E$10000,3,FALSE)</f>
        <v>LALONDE</v>
      </c>
      <c r="M16" s="6">
        <f t="shared" ref="M16:M79" si="19">I16-F16</f>
        <v>2.9143518520868383E-2</v>
      </c>
      <c r="N16" s="7">
        <f t="shared" ref="N16:N58" si="20">24*60*SUM($M16:$M16)</f>
        <v>41.966666670050472</v>
      </c>
      <c r="O16" s="7"/>
      <c r="P16" s="7"/>
      <c r="Q16" s="23"/>
      <c r="R16" s="23"/>
      <c r="S16" s="35">
        <f t="shared" ref="S16:S79" si="21">SUM(U16:U16)/IF(AG16="EC",12,1)</f>
        <v>1</v>
      </c>
      <c r="T16" s="50" t="str">
        <f t="shared" ref="T16:T79" si="22"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ref="V16:V79" si="23"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https://search-rtdc-monitor-bjffxe2xuh6vdkpspy63sjmuny.us-east-1.es.amazonaws.com/_plugin/kibana/#/discover/Steve-Slow-Train-Analysis-(2080s-and-2083s)?_g=(refreshInterval:(display:Off,section:0,value:0),time:(from:'2016-11-01 03:27:11-0600',mode:absolute,to:'2016-11-01 06:23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2" t="str">
        <f t="shared" ref="W16:W79" si="24">IF(AA16&lt;IF(AG16="EC",23,5.65),"Y","N")</f>
        <v>N</v>
      </c>
      <c r="X16" s="177">
        <f t="shared" si="10"/>
        <v>1</v>
      </c>
      <c r="Y16" s="67">
        <f t="shared" ref="Y16:Y79" si="25">RIGHT(D16,LEN(D16)-4)/10000</f>
        <v>23.268899999999999</v>
      </c>
      <c r="Z16" s="67">
        <f t="shared" ref="Z16:Z79" si="26">RIGHT(H16,LEN(H16)-4)/10000</f>
        <v>1.6299999999999999E-2</v>
      </c>
      <c r="AA16" s="67">
        <f t="shared" ref="AA16:AA79" si="27">ABS(Z16-Y16)</f>
        <v>23.252599999999997</v>
      </c>
      <c r="AB16" s="64" t="e">
        <f>VLOOKUP(A16,Enforcements!$C$7:$K$21,8,0)</f>
        <v>#N/A</v>
      </c>
      <c r="AC16" s="60" t="e">
        <f>VLOOKUP(A16,Enforcements!$C$7:$E$21,3,0)</f>
        <v>#N/A</v>
      </c>
      <c r="AD16" s="61" t="str">
        <f t="shared" ref="AD16:AD79" si="28">IF(LEN(A16)=6,"0"&amp;A16,A16)</f>
        <v>0104-01</v>
      </c>
      <c r="AE16" s="91" t="str">
        <f t="shared" si="0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16" s="88" t="str">
        <f t="shared" si="1"/>
        <v>"C:\Program Files (x86)\AstroGrep\AstroGrep.exe" /spath="%USERPROFILE%\AppData\Local\Temp\OnboardLogs" /stypes="app*4008*20161101*" /stext=" 11:.+((SYSTEM_STATE.+slice.+state.+changed )|(ment ac)|(system.+state.+changed )|(\[timeout)|(PRM\|1\|D)|(kpr)|(kdp)|(\|lc)|(penalty))" /e /r /s</v>
      </c>
      <c r="AG16" s="1" t="str">
        <f t="shared" ref="AG16:AG79" si="29">IFERROR(IF(VALUE(LEFT(AD16,2))&lt;=2,"EC",IF(OR(VALUE(LEFT(AD16,2))=8,VALUE(LEFT(AD16,2))=18),"NW","Other")),"Other")</f>
        <v>EC</v>
      </c>
      <c r="AH16" s="92" t="str">
        <f t="shared" ref="AH16:AH77" si="30"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104-01 --locoid 4008 --swversion DE.1.0.8.0 --startMP 204:232689 --initTime 2016-11-01T04:27:11 --startdatetime 2016-11-01T04:41:17 --delay 1 --endMP 204:163 --enddatetime 2016-11-01T05:23:15 --enforcementcount 0 &gt;&gt;C:\Users\stu\Documents\GitHub\eaglep3-reporting\EC\2016-11-01-refined-times.txt</v>
      </c>
      <c r="AI16" s="122" t="str">
        <f t="shared" ref="AI16:AI77" si="31"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{"issue":{"subject":"","project_id":79,"tracker_id":40,"status_id":1,"priority_id":2,"assigned_to_id":23,"start_date":"2016-11-01","description":"","custom_fields":[{"id":1,"name":"Subdivision","value":"EC"},{"id":4,"name":"Milepost","value":"0.0163"},{"id":17,"name":"Train ID","value":"104-01"},{"id":16,"name":"Locomotive ID","value":"4008"},{"id":130,"name":"Impact","value":""},{"id":150,"name":"Time of Event (Mountain Time)","value":"05:23:15"},{"id":151,"name":"Denver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408</v>
      </c>
      <c r="B17" s="7">
        <v>4042</v>
      </c>
      <c r="C17" s="22" t="s">
        <v>253</v>
      </c>
      <c r="D17" s="22" t="s">
        <v>604</v>
      </c>
      <c r="E17" s="13">
        <v>42675.171689814815</v>
      </c>
      <c r="F17" s="13">
        <v>42675.177256944444</v>
      </c>
      <c r="G17" s="7">
        <v>2</v>
      </c>
      <c r="H17" s="13" t="s">
        <v>276</v>
      </c>
      <c r="I17" s="13">
        <v>42675.202986111108</v>
      </c>
      <c r="J17" s="7">
        <v>0</v>
      </c>
      <c r="K17" s="112" t="str">
        <f t="shared" si="18"/>
        <v>4041/4042</v>
      </c>
      <c r="L17" s="22" t="str">
        <f>VLOOKUP(A17,'Trips&amp;Operators'!$C$1:$E$10000,3,FALSE)</f>
        <v>BADERTSCHER</v>
      </c>
      <c r="M17" s="6">
        <f t="shared" si="19"/>
        <v>2.5729166663950309E-2</v>
      </c>
      <c r="N17" s="7">
        <f t="shared" si="20"/>
        <v>37.049999996088445</v>
      </c>
      <c r="O17" s="7"/>
      <c r="P17" s="7"/>
      <c r="Q17" s="23"/>
      <c r="R17" s="23"/>
      <c r="S17" s="35">
        <f t="shared" si="21"/>
        <v>1</v>
      </c>
      <c r="T17" s="50" t="str">
        <f t="shared" si="22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03:07:14-0600',mode:absolute,to:'2016-11-01 05:52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" s="52" t="str">
        <f t="shared" si="24"/>
        <v>N</v>
      </c>
      <c r="X17" s="177">
        <f t="shared" ref="X17" si="32">VALUE(LEFT(AD17,4))-VALUE(LEFT(AD16,4))</f>
        <v>1</v>
      </c>
      <c r="Y17" s="67">
        <f t="shared" si="25"/>
        <v>7.2999999999999995E-2</v>
      </c>
      <c r="Z17" s="67">
        <f t="shared" si="26"/>
        <v>23.3278</v>
      </c>
      <c r="AA17" s="67">
        <f t="shared" si="27"/>
        <v>23.254799999999999</v>
      </c>
      <c r="AB17" s="64" t="e">
        <f>VLOOKUP(A17,Enforcements!$C$7:$K$21,8,0)</f>
        <v>#N/A</v>
      </c>
      <c r="AC17" s="60" t="e">
        <f>VLOOKUP(A17,Enforcements!$C$7:$E$21,3,0)</f>
        <v>#N/A</v>
      </c>
      <c r="AD17" s="61" t="str">
        <f t="shared" si="28"/>
        <v>0105-01</v>
      </c>
      <c r="AE17" s="91" t="str">
        <f t="shared" si="0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7" s="88" t="str">
        <f t="shared" si="1"/>
        <v>"C:\Program Files (x86)\AstroGrep\AstroGrep.exe" /spath="%USERPROFILE%\AppData\Local\Temp\OnboardLogs" /stypes="app*4042*20161101*" /stext=" 10:.+((SYSTEM_STATE.+slice.+state.+changed )|(ment ac)|(system.+state.+changed )|(\[timeout)|(PRM\|1\|D)|(kpr)|(kdp)|(\|lc)|(penalty))" /e /r /s</v>
      </c>
      <c r="AG17" s="1" t="str">
        <f t="shared" si="29"/>
        <v>EC</v>
      </c>
      <c r="AH17" s="92" t="str">
        <f t="shared" si="30"/>
        <v>"%USERPROFILE%\Documents\GitHub\eaglep3\Utilities\RefineRTDCRunTimes.py" --tripid 105-01 --locoid 4042 --swversion DE.1.0.8.0 --startMP 204:730 --initTime 2016-11-01T04:07:14 --startdatetime 2016-11-01T04:15:15 --delay 2 --endMP 204:233278 --enddatetime 2016-11-01T04:52:18 --enforcementcount 0 &gt;&gt;C:\Users\stu\Documents\GitHub\eaglep3-reporting\EC\2016-11-01-refined-times.txt</v>
      </c>
      <c r="AI1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{"issue":{"subject":"","project_id":79,"tracker_id":40,"status_id":1,"priority_id":2,"assigned_to_id":23,"start_date":"2016-11-01","description":"","custom_fields":[{"id":1,"name":"Subdivision","value":"EC"},{"id":4,"name":"Milepost","value":"23.3278"},{"id":17,"name":"Train ID","value":"105-01"},{"id":16,"name":"Locomotive ID","value":"4042"},{"id":130,"name":"Impact","value":""},{"id":150,"name":"Time of Event (Mountain Time)","value":"04:52:18"},{"id":151,"name":"Denver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415</v>
      </c>
      <c r="B18" s="7">
        <v>4030</v>
      </c>
      <c r="C18" s="22" t="s">
        <v>253</v>
      </c>
      <c r="D18" s="22" t="s">
        <v>605</v>
      </c>
      <c r="E18" s="13">
        <v>42675.204768518517</v>
      </c>
      <c r="F18" s="13">
        <v>42675.216192129628</v>
      </c>
      <c r="G18" s="7">
        <v>1</v>
      </c>
      <c r="H18" s="13" t="s">
        <v>208</v>
      </c>
      <c r="I18" s="13">
        <v>42675.2419212963</v>
      </c>
      <c r="J18" s="7">
        <v>0</v>
      </c>
      <c r="K18" s="112" t="str">
        <f t="shared" si="18"/>
        <v>4029/4030</v>
      </c>
      <c r="L18" s="22" t="str">
        <f>VLOOKUP(A18,'Trips&amp;Operators'!$C$1:$E$10000,3,FALSE)</f>
        <v>BADERTSCHER</v>
      </c>
      <c r="M18" s="6">
        <f t="shared" si="19"/>
        <v>2.5729166671226267E-2</v>
      </c>
      <c r="N18" s="7">
        <f t="shared" si="20"/>
        <v>37.050000006565824</v>
      </c>
      <c r="O18" s="7"/>
      <c r="P18" s="7"/>
      <c r="Q18" s="23"/>
      <c r="R18" s="23"/>
      <c r="S18" s="35">
        <f t="shared" si="21"/>
        <v>1</v>
      </c>
      <c r="T18" s="50" t="str">
        <f t="shared" si="22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03:54:52-0600',mode:absolute,to:'2016-11-01 06:48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24"/>
        <v>N</v>
      </c>
      <c r="X18" s="177">
        <f t="shared" ref="X18:X58" si="33">VALUE(LEFT(AD18,4))-VALUE(LEFT(AD17,4))</f>
        <v>1</v>
      </c>
      <c r="Y18" s="67">
        <f t="shared" si="25"/>
        <v>23.264399999999998</v>
      </c>
      <c r="Z18" s="67">
        <f t="shared" si="26"/>
        <v>1.4999999999999999E-2</v>
      </c>
      <c r="AA18" s="67">
        <f t="shared" si="27"/>
        <v>23.249399999999998</v>
      </c>
      <c r="AB18" s="64" t="e">
        <f>VLOOKUP(A18,Enforcements!$C$7:$K$21,8,0)</f>
        <v>#N/A</v>
      </c>
      <c r="AC18" s="60" t="e">
        <f>VLOOKUP(A18,Enforcements!$C$7:$E$21,3,0)</f>
        <v>#N/A</v>
      </c>
      <c r="AD18" s="61" t="str">
        <f t="shared" si="28"/>
        <v>0106-01</v>
      </c>
      <c r="AE18" s="91" t="str">
        <f t="shared" si="0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18" s="88" t="str">
        <f t="shared" si="1"/>
        <v>"C:\Program Files (x86)\AstroGrep\AstroGrep.exe" /spath="%USERPROFILE%\AppData\Local\Temp\OnboardLogs" /stypes="app*4030*20161101*" /stext=" 11:.+((SYSTEM_STATE.+slice.+state.+changed )|(ment ac)|(system.+state.+changed )|(\[timeout)|(PRM\|1\|D)|(kpr)|(kdp)|(\|lc)|(penalty))" /e /r /s</v>
      </c>
      <c r="AG18" s="1" t="str">
        <f t="shared" si="29"/>
        <v>EC</v>
      </c>
      <c r="AH18" s="92" t="str">
        <f t="shared" si="30"/>
        <v>"%USERPROFILE%\Documents\GitHub\eaglep3\Utilities\RefineRTDCRunTimes.py" --tripid 106-01 --locoid 4030 --swversion DE.1.0.8.0 --startMP 204:232644 --initTime 2016-11-01T04:54:52 --startdatetime 2016-11-01T05:11:19 --delay 1 --endMP 204:150 --enddatetime 2016-11-01T05:48:22 --enforcementcount 0 &gt;&gt;C:\Users\stu\Documents\GitHub\eaglep3-reporting\EC\2016-11-01-refined-times.txt</v>
      </c>
      <c r="AI1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ID","value":"106-01"},{"id":16,"name":"Locomotive ID","value":"4030"},{"id":130,"name":"Impact","value":""},{"id":150,"name":"Time of Event (Mountain Time)","value":"05:48:22"},{"id":151,"name":"Denver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411</v>
      </c>
      <c r="B19" s="7">
        <v>4040</v>
      </c>
      <c r="C19" s="22" t="s">
        <v>253</v>
      </c>
      <c r="D19" s="22" t="s">
        <v>606</v>
      </c>
      <c r="E19" s="13">
        <v>42675.189398148148</v>
      </c>
      <c r="F19" s="13">
        <v>42675.187326388892</v>
      </c>
      <c r="G19" s="7">
        <v>1</v>
      </c>
      <c r="H19" s="13" t="s">
        <v>607</v>
      </c>
      <c r="I19" s="13">
        <v>42675.216087962966</v>
      </c>
      <c r="J19" s="7">
        <v>0</v>
      </c>
      <c r="K19" s="112" t="str">
        <f t="shared" si="18"/>
        <v>4039/4040</v>
      </c>
      <c r="L19" s="22" t="str">
        <f>VLOOKUP(A19,'Trips&amp;Operators'!$C$1:$E$10000,3,FALSE)</f>
        <v>SPECTOR</v>
      </c>
      <c r="M19" s="6">
        <f t="shared" si="19"/>
        <v>2.8761574074451346E-2</v>
      </c>
      <c r="N19" s="7">
        <f t="shared" si="20"/>
        <v>41.416666667209938</v>
      </c>
      <c r="O19" s="7"/>
      <c r="P19" s="7"/>
      <c r="Q19" s="23"/>
      <c r="R19" s="23" t="s">
        <v>808</v>
      </c>
      <c r="S19" s="35">
        <f t="shared" si="21"/>
        <v>1</v>
      </c>
      <c r="T19" s="50" t="str">
        <f t="shared" si="22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03:32:44-0600',mode:absolute,to:'2016-11-01 06:11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 t="shared" si="24"/>
        <v>N</v>
      </c>
      <c r="X19" s="177">
        <f t="shared" si="33"/>
        <v>1</v>
      </c>
      <c r="Y19" s="67">
        <f t="shared" si="25"/>
        <v>5.62E-2</v>
      </c>
      <c r="Z19" s="67">
        <f t="shared" si="26"/>
        <v>23.332899999999999</v>
      </c>
      <c r="AA19" s="67">
        <f t="shared" si="27"/>
        <v>23.276699999999998</v>
      </c>
      <c r="AB19" s="64" t="e">
        <f>VLOOKUP(A19,Enforcements!$C$7:$K$21,8,0)</f>
        <v>#N/A</v>
      </c>
      <c r="AC19" s="60" t="e">
        <f>VLOOKUP(A19,Enforcements!$C$7:$E$21,3,0)</f>
        <v>#N/A</v>
      </c>
      <c r="AD19" s="61" t="str">
        <f t="shared" si="28"/>
        <v>0107-01</v>
      </c>
      <c r="AE19" s="91" t="str">
        <f t="shared" si="0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9" s="88" t="str">
        <f t="shared" si="1"/>
        <v>"C:\Program Files (x86)\AstroGrep\AstroGrep.exe" /spath="%USERPROFILE%\AppData\Local\Temp\OnboardLogs" /stypes="app*4040*20161101*" /stext=" 11:.+((SYSTEM_STATE.+slice.+state.+changed )|(ment ac)|(system.+state.+changed )|(\[timeout)|(PRM\|1\|D)|(kpr)|(kdp)|(\|lc)|(penalty))" /e /r /s</v>
      </c>
      <c r="AG19" s="1" t="str">
        <f t="shared" si="29"/>
        <v>EC</v>
      </c>
      <c r="AH19" s="92" t="str">
        <f t="shared" si="30"/>
        <v>"%USERPROFILE%\Documents\GitHub\eaglep3\Utilities\RefineRTDCRunTimes.py" --tripid 107-01 --locoid 4040 --swversion DE.1.0.8.0 --startMP 204:562 --initTime 2016-11-01T04:32:44 --startdatetime 2016-11-01T04:29:45 --delay 1 --endMP 204:233329 --enddatetime 2016-11-01T05:11:10 --enforcementcount 0 &gt;&gt;C:\Users\stu\Documents\GitHub\eaglep3-reporting\EC\2016-11-01-refined-times.txt</v>
      </c>
      <c r="AI19" s="122" t="str">
        <f t="shared" si="31"/>
        <v>echo {"issue":{"subject":"Departure delayed by CCROC/crew/equipment mismatch","project_id":79,"tracker_id":40,"status_id":1,"priority_id":2,"assigned_to_id":23,"start_date":"2016-11-01","description":"","custom_fields":[{"id":1,"name":"Subdivision","value":"EC"},{"id":4,"name":"Milepost","value":"23.3329"},{"id":17,"name":"Train ID","value":"107-01"},{"id":16,"name":"Locomotive ID","value":"4040"},{"id":130,"name":"Impact","value":""},{"id":150,"name":"Time of Event (Mountain Time)","value":"05:11:10"},{"id":151,"name":"Denver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419</v>
      </c>
      <c r="B20" s="7">
        <v>4039</v>
      </c>
      <c r="C20" s="22" t="s">
        <v>253</v>
      </c>
      <c r="D20" s="22" t="s">
        <v>608</v>
      </c>
      <c r="E20" s="13">
        <v>42675.223796296297</v>
      </c>
      <c r="F20" s="13">
        <v>42675.226574074077</v>
      </c>
      <c r="G20" s="7">
        <v>1</v>
      </c>
      <c r="H20" s="13" t="s">
        <v>609</v>
      </c>
      <c r="I20" s="13">
        <v>42675.252824074072</v>
      </c>
      <c r="J20" s="7">
        <v>0</v>
      </c>
      <c r="K20" s="112" t="str">
        <f t="shared" si="18"/>
        <v>4039/4040</v>
      </c>
      <c r="L20" s="22" t="str">
        <f>VLOOKUP(A20,'Trips&amp;Operators'!$C$1:$E$10000,3,FALSE)</f>
        <v>RICHARDSON</v>
      </c>
      <c r="M20" s="6">
        <f t="shared" si="19"/>
        <v>2.6249999995343387E-2</v>
      </c>
      <c r="N20" s="7">
        <f t="shared" si="20"/>
        <v>37.799999993294477</v>
      </c>
      <c r="O20" s="7"/>
      <c r="P20" s="7"/>
      <c r="Q20" s="23"/>
      <c r="R20" s="23"/>
      <c r="S20" s="35">
        <f t="shared" si="21"/>
        <v>1</v>
      </c>
      <c r="T20" s="50" t="str">
        <f t="shared" si="22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04:22:16-0600',mode:absolute,to:'2016-11-01 07:04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24"/>
        <v>N</v>
      </c>
      <c r="X20" s="177">
        <f t="shared" si="33"/>
        <v>1</v>
      </c>
      <c r="Y20" s="67">
        <f t="shared" si="25"/>
        <v>23.2987</v>
      </c>
      <c r="Z20" s="67">
        <f t="shared" si="26"/>
        <v>1.6500000000000001E-2</v>
      </c>
      <c r="AA20" s="67">
        <f t="shared" si="27"/>
        <v>23.2822</v>
      </c>
      <c r="AB20" s="64" t="e">
        <f>VLOOKUP(A20,Enforcements!$C$7:$K$21,8,0)</f>
        <v>#N/A</v>
      </c>
      <c r="AC20" s="60" t="e">
        <f>VLOOKUP(A20,Enforcements!$C$7:$E$21,3,0)</f>
        <v>#N/A</v>
      </c>
      <c r="AD20" s="61" t="str">
        <f t="shared" si="28"/>
        <v>0108-01</v>
      </c>
      <c r="AE20" s="91" t="str">
        <f t="shared" si="0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20" s="88" t="str">
        <f t="shared" si="1"/>
        <v>"C:\Program Files (x86)\AstroGrep\AstroGrep.exe" /spath="%USERPROFILE%\AppData\Local\Temp\OnboardLogs" /stypes="app*4039*20161101*" /stext=" 12:.+((SYSTEM_STATE.+slice.+state.+changed )|(ment ac)|(system.+state.+changed )|(\[timeout)|(PRM\|1\|D)|(kpr)|(kdp)|(\|lc)|(penalty))" /e /r /s</v>
      </c>
      <c r="AG20" s="1" t="str">
        <f t="shared" si="29"/>
        <v>EC</v>
      </c>
      <c r="AH20" s="92" t="str">
        <f t="shared" si="30"/>
        <v>"%USERPROFILE%\Documents\GitHub\eaglep3\Utilities\RefineRTDCRunTimes.py" --tripid 108-01 --locoid 4039 --swversion DE.1.0.8.0 --startMP 204:232987 --initTime 2016-11-01T05:22:16 --startdatetime 2016-11-01T05:26:16 --delay 1 --endMP 204:165 --enddatetime 2016-11-01T06:04:04 --enforcementcount 0 &gt;&gt;C:\Users\stu\Documents\GitHub\eaglep3-reporting\EC\2016-11-01-refined-times.txt</v>
      </c>
      <c r="AI2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{"issue":{"subject":"","project_id":79,"tracker_id":40,"status_id":1,"priority_id":2,"assigned_to_id":23,"start_date":"2016-11-01","description":"","custom_fields":[{"id":1,"name":"Subdivision","value":"EC"},{"id":4,"name":"Milepost","value":"0.0165"},{"id":17,"name":"Train ID","value":"108-01"},{"id":16,"name":"Locomotive ID","value":"4039"},{"id":130,"name":"Impact","value":""},{"id":150,"name":"Time of Event (Mountain Time)","value":"06:04:04"},{"id":151,"name":"Denver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413</v>
      </c>
      <c r="B21" s="7">
        <v>4014</v>
      </c>
      <c r="C21" s="22" t="s">
        <v>253</v>
      </c>
      <c r="D21" s="22" t="s">
        <v>306</v>
      </c>
      <c r="E21" s="13">
        <v>42675.19635416667</v>
      </c>
      <c r="F21" s="13">
        <v>42675.198101851849</v>
      </c>
      <c r="G21" s="7">
        <v>1</v>
      </c>
      <c r="H21" s="13" t="s">
        <v>268</v>
      </c>
      <c r="I21" s="13">
        <v>42675.223807870374</v>
      </c>
      <c r="J21" s="7">
        <v>0</v>
      </c>
      <c r="K21" s="112" t="str">
        <f t="shared" si="18"/>
        <v>4013/4014</v>
      </c>
      <c r="L21" s="22" t="str">
        <f>VLOOKUP(A21,'Trips&amp;Operators'!$C$1:$E$10000,3,FALSE)</f>
        <v>DAVIS</v>
      </c>
      <c r="M21" s="6">
        <f t="shared" si="19"/>
        <v>2.570601852494292E-2</v>
      </c>
      <c r="N21" s="7">
        <f t="shared" si="20"/>
        <v>37.016666675917804</v>
      </c>
      <c r="O21" s="7"/>
      <c r="P21" s="7"/>
      <c r="Q21" s="23"/>
      <c r="R21" s="23"/>
      <c r="S21" s="35">
        <f t="shared" si="21"/>
        <v>1</v>
      </c>
      <c r="T21" s="50" t="str">
        <f t="shared" si="22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03:42:45-0600',mode:absolute,to:'2016-11-01 06:22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52" t="str">
        <f t="shared" si="24"/>
        <v>N</v>
      </c>
      <c r="X21" s="177">
        <f t="shared" si="33"/>
        <v>1</v>
      </c>
      <c r="Y21" s="67">
        <f t="shared" si="25"/>
        <v>4.4200000000000003E-2</v>
      </c>
      <c r="Z21" s="67">
        <f t="shared" si="26"/>
        <v>23.327999999999999</v>
      </c>
      <c r="AA21" s="67">
        <f t="shared" si="27"/>
        <v>23.283799999999999</v>
      </c>
      <c r="AB21" s="64" t="e">
        <f>VLOOKUP(A21,Enforcements!$C$7:$K$21,8,0)</f>
        <v>#N/A</v>
      </c>
      <c r="AC21" s="60" t="e">
        <f>VLOOKUP(A21,Enforcements!$C$7:$E$21,3,0)</f>
        <v>#N/A</v>
      </c>
      <c r="AD21" s="61" t="str">
        <f t="shared" si="28"/>
        <v>0109-01</v>
      </c>
      <c r="AE21" s="91" t="str">
        <f t="shared" si="0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21" s="88" t="str">
        <f t="shared" si="1"/>
        <v>"C:\Program Files (x86)\AstroGrep\AstroGrep.exe" /spath="%USERPROFILE%\AppData\Local\Temp\OnboardLogs" /stypes="app*4014*20161101*" /stext=" 11:.+((SYSTEM_STATE.+slice.+state.+changed )|(ment ac)|(system.+state.+changed )|(\[timeout)|(PRM\|1\|D)|(kpr)|(kdp)|(\|lc)|(penalty))" /e /r /s</v>
      </c>
      <c r="AG21" s="1" t="str">
        <f t="shared" si="29"/>
        <v>EC</v>
      </c>
      <c r="AH21" s="92" t="str">
        <f t="shared" si="30"/>
        <v>"%USERPROFILE%\Documents\GitHub\eaglep3\Utilities\RefineRTDCRunTimes.py" --tripid 109-01 --locoid 4014 --swversion DE.1.0.8.0 --startMP 204:442 --initTime 2016-11-01T04:42:45 --startdatetime 2016-11-01T04:45:16 --delay 1 --endMP 204:233280 --enddatetime 2016-11-01T05:22:17 --enforcementcount 0 &gt;&gt;C:\Users\stu\Documents\GitHub\eaglep3-reporting\EC\2016-11-01-refined-times.txt</v>
      </c>
      <c r="AI2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{"issue":{"subject":"","project_id":79,"tracker_id":40,"status_id":1,"priority_id":2,"assigned_to_id":23,"start_date":"2016-11-01","description":"","custom_fields":[{"id":1,"name":"Subdivision","value":"EC"},{"id":4,"name":"Milepost","value":"23.328"},{"id":17,"name":"Train ID","value":"109-01"},{"id":16,"name":"Locomotive ID","value":"4014"},{"id":130,"name":"Impact","value":""},{"id":150,"name":"Time of Event (Mountain Time)","value":"05:22:17"},{"id":151,"name":"Denver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375</v>
      </c>
      <c r="B22" s="7">
        <v>4013</v>
      </c>
      <c r="C22" s="22" t="s">
        <v>253</v>
      </c>
      <c r="D22" s="22" t="s">
        <v>252</v>
      </c>
      <c r="E22" s="13">
        <v>42675.233842592592</v>
      </c>
      <c r="F22" s="13">
        <v>42675.236967592595</v>
      </c>
      <c r="G22" s="7">
        <v>1</v>
      </c>
      <c r="H22" s="13" t="s">
        <v>176</v>
      </c>
      <c r="I22" s="13">
        <v>42675.264861111114</v>
      </c>
      <c r="J22" s="7">
        <v>0</v>
      </c>
      <c r="K22" s="112" t="str">
        <f t="shared" si="18"/>
        <v>4013/4014</v>
      </c>
      <c r="L22" s="22" t="str">
        <f>VLOOKUP(A22,'Trips&amp;Operators'!$C$1:$E$10000,3,FALSE)</f>
        <v>DAVIS</v>
      </c>
      <c r="M22" s="6">
        <f t="shared" si="19"/>
        <v>2.789351851970423E-2</v>
      </c>
      <c r="N22" s="7">
        <f t="shared" si="20"/>
        <v>40.166666668374091</v>
      </c>
      <c r="O22" s="7"/>
      <c r="P22" s="7"/>
      <c r="Q22" s="23"/>
      <c r="R22" s="23"/>
      <c r="S22" s="35">
        <f t="shared" si="21"/>
        <v>1</v>
      </c>
      <c r="T22" s="50" t="str">
        <f t="shared" si="22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04:36:44-0600',mode:absolute,to:'2016-11-01 07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" s="52" t="str">
        <f t="shared" si="24"/>
        <v>N</v>
      </c>
      <c r="X22" s="177">
        <f t="shared" si="33"/>
        <v>1</v>
      </c>
      <c r="Y22" s="67">
        <f t="shared" si="25"/>
        <v>23.297799999999999</v>
      </c>
      <c r="Z22" s="67">
        <f t="shared" si="26"/>
        <v>1.52E-2</v>
      </c>
      <c r="AA22" s="67">
        <f t="shared" si="27"/>
        <v>23.282599999999999</v>
      </c>
      <c r="AB22" s="64" t="e">
        <f>VLOOKUP(A22,Enforcements!$C$7:$K$21,8,0)</f>
        <v>#N/A</v>
      </c>
      <c r="AC22" s="60" t="e">
        <f>VLOOKUP(A22,Enforcements!$C$7:$E$21,3,0)</f>
        <v>#N/A</v>
      </c>
      <c r="AD22" s="61" t="str">
        <f t="shared" si="28"/>
        <v>0110-01</v>
      </c>
      <c r="AE22" s="91" t="str">
        <f t="shared" si="0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22" s="88" t="str">
        <f t="shared" si="1"/>
        <v>"C:\Program Files (x86)\AstroGrep\AstroGrep.exe" /spath="%USERPROFILE%\AppData\Local\Temp\OnboardLogs" /stypes="app*4013*20161101*" /stext=" 12:.+((SYSTEM_STATE.+slice.+state.+changed )|(ment ac)|(system.+state.+changed )|(\[timeout)|(PRM\|1\|D)|(kpr)|(kdp)|(\|lc)|(penalty))" /e /r /s</v>
      </c>
      <c r="AG22" s="1" t="str">
        <f t="shared" si="29"/>
        <v>EC</v>
      </c>
      <c r="AH22" s="92" t="str">
        <f t="shared" si="30"/>
        <v>"%USERPROFILE%\Documents\GitHub\eaglep3\Utilities\RefineRTDCRunTimes.py" --tripid 110-01 --locoid 4013 --swversion DE.1.0.8.0 --startMP 204:232978 --initTime 2016-11-01T05:36:44 --startdatetime 2016-11-01T05:41:14 --delay 1 --endMP 204:152 --enddatetime 2016-11-01T06:21:24 --enforcementcount 0 &gt;&gt;C:\Users\stu\Documents\GitHub\eaglep3-reporting\EC\2016-11-01-refined-times.txt</v>
      </c>
      <c r="AI2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{"issue":{"subject":"","project_id":79,"tracker_id":40,"status_id":1,"priority_id":2,"assigned_to_id":23,"start_date":"2016-11-01","description":"","custom_fields":[{"id":1,"name":"Subdivision","value":"EC"},{"id":4,"name":"Milepost","value":"0.0152"},{"id":17,"name":"Train ID","value":"110-01"},{"id":16,"name":"Locomotive ID","value":"4013"},{"id":130,"name":"Impact","value":""},{"id":150,"name":"Time of Event (Mountain Time)","value":"06:21:24"},{"id":151,"name":"Denver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416</v>
      </c>
      <c r="B23" s="7">
        <v>4022</v>
      </c>
      <c r="C23" s="22" t="s">
        <v>253</v>
      </c>
      <c r="D23" s="22" t="s">
        <v>336</v>
      </c>
      <c r="E23" s="13">
        <v>42675.20585648148</v>
      </c>
      <c r="F23" s="13">
        <v>42675.208518518521</v>
      </c>
      <c r="G23" s="7">
        <v>1</v>
      </c>
      <c r="H23" s="13" t="s">
        <v>348</v>
      </c>
      <c r="I23" s="13">
        <v>42675.233067129629</v>
      </c>
      <c r="J23" s="7">
        <v>0</v>
      </c>
      <c r="K23" s="112" t="str">
        <f t="shared" si="18"/>
        <v>4021/4022</v>
      </c>
      <c r="L23" s="22" t="str">
        <f>VLOOKUP(A23,'Trips&amp;Operators'!$C$1:$E$10000,3,FALSE)</f>
        <v>LOPES</v>
      </c>
      <c r="M23" s="6">
        <f t="shared" si="19"/>
        <v>2.4548611108912155E-2</v>
      </c>
      <c r="N23" s="7">
        <f t="shared" si="20"/>
        <v>35.349999996833503</v>
      </c>
      <c r="O23" s="7"/>
      <c r="P23" s="7"/>
      <c r="Q23" s="23"/>
      <c r="R23" s="23"/>
      <c r="S23" s="35">
        <f t="shared" si="21"/>
        <v>1</v>
      </c>
      <c r="T23" s="50" t="str">
        <f t="shared" si="22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03:56:26-0600',mode:absolute,to:'2016-11-01 06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24"/>
        <v>N</v>
      </c>
      <c r="X23" s="177">
        <f t="shared" si="33"/>
        <v>1</v>
      </c>
      <c r="Y23" s="67">
        <f t="shared" si="25"/>
        <v>7.8600000000000003E-2</v>
      </c>
      <c r="Z23" s="67">
        <f t="shared" si="26"/>
        <v>23.331</v>
      </c>
      <c r="AA23" s="67">
        <f t="shared" si="27"/>
        <v>23.252399999999998</v>
      </c>
      <c r="AB23" s="64" t="e">
        <f>VLOOKUP(A23,Enforcements!$C$7:$K$21,8,0)</f>
        <v>#N/A</v>
      </c>
      <c r="AC23" s="60" t="e">
        <f>VLOOKUP(A23,Enforcements!$C$7:$E$21,3,0)</f>
        <v>#N/A</v>
      </c>
      <c r="AD23" s="61" t="str">
        <f t="shared" si="28"/>
        <v>0111-01</v>
      </c>
      <c r="AE23" s="91" t="str">
        <f t="shared" si="0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23" s="88" t="str">
        <f t="shared" si="1"/>
        <v>"C:\Program Files (x86)\AstroGrep\AstroGrep.exe" /spath="%USERPROFILE%\AppData\Local\Temp\OnboardLogs" /stypes="app*4022*20161101*" /stext=" 11:.+((SYSTEM_STATE.+slice.+state.+changed )|(ment ac)|(system.+state.+changed )|(\[timeout)|(PRM\|1\|D)|(kpr)|(kdp)|(\|lc)|(penalty))" /e /r /s</v>
      </c>
      <c r="AG23" s="1" t="str">
        <f t="shared" si="29"/>
        <v>EC</v>
      </c>
      <c r="AH23" s="92" t="str">
        <f t="shared" si="30"/>
        <v>"%USERPROFILE%\Documents\GitHub\eaglep3\Utilities\RefineRTDCRunTimes.py" --tripid 111-01 --locoid 4022 --swversion DE.1.0.8.0 --startMP 204:786 --initTime 2016-11-01T04:56:26 --startdatetime 2016-11-01T05:00:16 --delay 1 --endMP 204:233310 --enddatetime 2016-11-01T05:35:37 --enforcementcount 0 &gt;&gt;C:\Users\stu\Documents\GitHub\eaglep3-reporting\EC\2016-11-01-refined-times.txt</v>
      </c>
      <c r="AI2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{"issue":{"subject":"","project_id":79,"tracker_id":40,"status_id":1,"priority_id":2,"assigned_to_id":23,"start_date":"2016-11-01","description":"","custom_fields":[{"id":1,"name":"Subdivision","value":"EC"},{"id":4,"name":"Milepost","value":"23.331"},{"id":17,"name":"Train ID","value":"111-01"},{"id":16,"name":"Locomotive ID","value":"4022"},{"id":130,"name":"Impact","value":""},{"id":150,"name":"Time of Event (Mountain Time)","value":"05:35:37"},{"id":151,"name":"Denver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376</v>
      </c>
      <c r="B24" s="7">
        <v>4021</v>
      </c>
      <c r="C24" s="22" t="s">
        <v>253</v>
      </c>
      <c r="D24" s="22" t="s">
        <v>337</v>
      </c>
      <c r="E24" s="13">
        <v>42675.242650462962</v>
      </c>
      <c r="F24" s="13">
        <v>42675.247476851851</v>
      </c>
      <c r="G24" s="7">
        <v>1</v>
      </c>
      <c r="H24" s="13" t="s">
        <v>208</v>
      </c>
      <c r="I24" s="13">
        <v>42675.274340277778</v>
      </c>
      <c r="J24" s="7">
        <v>0</v>
      </c>
      <c r="K24" s="112" t="str">
        <f t="shared" si="18"/>
        <v>4021/4022</v>
      </c>
      <c r="L24" s="22" t="str">
        <f>VLOOKUP(A24,'Trips&amp;Operators'!$C$1:$E$10000,3,FALSE)</f>
        <v>LOPES</v>
      </c>
      <c r="M24" s="6">
        <f t="shared" si="19"/>
        <v>2.6863425926421769E-2</v>
      </c>
      <c r="N24" s="7">
        <f t="shared" si="20"/>
        <v>38.683333334047347</v>
      </c>
      <c r="O24" s="7"/>
      <c r="P24" s="7"/>
      <c r="Q24" s="23"/>
      <c r="R24" s="23"/>
      <c r="S24" s="35">
        <f t="shared" si="21"/>
        <v>1</v>
      </c>
      <c r="T24" s="50" t="str">
        <f t="shared" si="2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04:49:25-0600',mode:absolute,to:'2016-11-01 07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24"/>
        <v>N</v>
      </c>
      <c r="X24" s="177">
        <f t="shared" si="33"/>
        <v>1</v>
      </c>
      <c r="Y24" s="67">
        <f t="shared" si="25"/>
        <v>23.300599999999999</v>
      </c>
      <c r="Z24" s="67">
        <f t="shared" si="26"/>
        <v>1.4999999999999999E-2</v>
      </c>
      <c r="AA24" s="67">
        <f t="shared" si="27"/>
        <v>23.285599999999999</v>
      </c>
      <c r="AB24" s="64" t="str">
        <f>VLOOKUP(A24,Enforcements!$C$7:$K$21,8,0)</f>
        <v>Speed (6)</v>
      </c>
      <c r="AC24" s="60" t="str">
        <f>VLOOKUP(A24,Enforcements!$C$7:$E$21,3,0)</f>
        <v>PERMANENT SPEED RESTRICTION</v>
      </c>
      <c r="AD24" s="61" t="str">
        <f t="shared" si="28"/>
        <v>0112-01</v>
      </c>
      <c r="AE24" s="91" t="str">
        <f t="shared" si="0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24" s="88" t="str">
        <f t="shared" si="1"/>
        <v>"C:\Program Files (x86)\AstroGrep\AstroGrep.exe" /spath="%USERPROFILE%\AppData\Local\Temp\OnboardLogs" /stypes="app*4021*20161101*" /stext=" 12:.+((SYSTEM_STATE.+slice.+state.+changed )|(ment ac)|(system.+state.+changed )|(\[timeout)|(PRM\|1\|D)|(kpr)|(kdp)|(\|lc)|(penalty))" /e /r /s</v>
      </c>
      <c r="AG24" s="1" t="str">
        <f t="shared" si="29"/>
        <v>EC</v>
      </c>
      <c r="AH24" s="92" t="str">
        <f t="shared" si="30"/>
        <v>"%USERPROFILE%\Documents\GitHub\eaglep3\Utilities\RefineRTDCRunTimes.py" --tripid 112-01 --locoid 4021 --swversion DE.1.0.8.0 --startMP 204:233006 --initTime 2016-11-01T05:49:25 --startdatetime 2016-11-01T05:56:22 --delay 1 --endMP 204:150 --enddatetime 2016-11-01T06:35:03 --enforcementcount 0 &gt;&gt;C:\Users\stu\Documents\GitHub\eaglep3-reporting\EC\2016-11-01-refined-times.txt</v>
      </c>
      <c r="AI2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ID","value":"112-01"},{"id":16,"name":"Locomotive ID","value":"4021"},{"id":130,"name":"Impact","value":""},{"id":150,"name":"Time of Event (Mountain Time)","value":"06:35:03"},{"id":151,"name":"Denver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418</v>
      </c>
      <c r="B25" s="7">
        <v>4038</v>
      </c>
      <c r="C25" s="22" t="s">
        <v>253</v>
      </c>
      <c r="D25" s="22" t="s">
        <v>259</v>
      </c>
      <c r="E25" s="13">
        <v>42675.20994212963</v>
      </c>
      <c r="F25" s="13">
        <v>42675.2190625</v>
      </c>
      <c r="G25" s="7">
        <v>2</v>
      </c>
      <c r="H25" s="13" t="s">
        <v>610</v>
      </c>
      <c r="I25" s="13">
        <v>42675.244293981479</v>
      </c>
      <c r="J25" s="7">
        <v>0</v>
      </c>
      <c r="K25" s="112" t="str">
        <f t="shared" si="18"/>
        <v>4037/4038</v>
      </c>
      <c r="L25" s="22" t="str">
        <f>VLOOKUP(A25,'Trips&amp;Operators'!$C$1:$E$10000,3,FALSE)</f>
        <v>MACDONALD</v>
      </c>
      <c r="M25" s="6">
        <f t="shared" si="19"/>
        <v>2.5231481478840578E-2</v>
      </c>
      <c r="N25" s="7">
        <f t="shared" si="20"/>
        <v>36.333333329530433</v>
      </c>
      <c r="O25" s="7"/>
      <c r="P25" s="7"/>
      <c r="Q25" s="23"/>
      <c r="R25" s="23"/>
      <c r="S25" s="35">
        <f t="shared" si="21"/>
        <v>1</v>
      </c>
      <c r="T25" s="50" t="str">
        <f t="shared" si="2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04:02:19-0600',mode:absolute,to:'2016-11-01 06:51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5" s="52" t="str">
        <f t="shared" si="24"/>
        <v>N</v>
      </c>
      <c r="X25" s="177">
        <f t="shared" si="33"/>
        <v>1</v>
      </c>
      <c r="Y25" s="67">
        <f t="shared" si="25"/>
        <v>4.58E-2</v>
      </c>
      <c r="Z25" s="67">
        <f t="shared" si="26"/>
        <v>23.329899999999999</v>
      </c>
      <c r="AA25" s="67">
        <f t="shared" si="27"/>
        <v>23.284099999999999</v>
      </c>
      <c r="AB25" s="64" t="e">
        <f>VLOOKUP(A25,Enforcements!$C$7:$K$21,8,0)</f>
        <v>#N/A</v>
      </c>
      <c r="AC25" s="60" t="e">
        <f>VLOOKUP(A25,Enforcements!$C$7:$E$21,3,0)</f>
        <v>#N/A</v>
      </c>
      <c r="AD25" s="61" t="str">
        <f t="shared" si="28"/>
        <v>0113-01</v>
      </c>
      <c r="AE25" s="91" t="str">
        <f t="shared" si="0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25" s="88" t="str">
        <f t="shared" si="1"/>
        <v>"C:\Program Files (x86)\AstroGrep\AstroGrep.exe" /spath="%USERPROFILE%\AppData\Local\Temp\OnboardLogs" /stypes="app*4038*20161101*" /stext=" 11:.+((SYSTEM_STATE.+slice.+state.+changed )|(ment ac)|(system.+state.+changed )|(\[timeout)|(PRM\|1\|D)|(kpr)|(kdp)|(\|lc)|(penalty))" /e /r /s</v>
      </c>
      <c r="AG25" s="1" t="str">
        <f t="shared" si="29"/>
        <v>EC</v>
      </c>
      <c r="AH25" s="92" t="str">
        <f t="shared" si="30"/>
        <v>"%USERPROFILE%\Documents\GitHub\eaglep3\Utilities\RefineRTDCRunTimes.py" --tripid 113-01 --locoid 4038 --swversion DE.1.0.8.0 --startMP 204:458 --initTime 2016-11-01T05:02:19 --startdatetime 2016-11-01T05:15:27 --delay 2 --endMP 204:233299 --enddatetime 2016-11-01T05:51:47 --enforcementcount 0 &gt;&gt;C:\Users\stu\Documents\GitHub\eaglep3-reporting\EC\2016-11-01-refined-times.txt</v>
      </c>
      <c r="AI2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{"issue":{"subject":"","project_id":79,"tracker_id":40,"status_id":1,"priority_id":2,"assigned_to_id":23,"start_date":"2016-11-01","description":"","custom_fields":[{"id":1,"name":"Subdivision","value":"EC"},{"id":4,"name":"Milepost","value":"23.3299"},{"id":17,"name":"Train ID","value":"113-01"},{"id":16,"name":"Locomotive ID","value":"4038"},{"id":130,"name":"Impact","value":""},{"id":150,"name":"Time of Event (Mountain Time)","value":"05:51:47"},{"id":151,"name":"Denver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425</v>
      </c>
      <c r="B26" s="7">
        <v>4037</v>
      </c>
      <c r="C26" s="22" t="s">
        <v>253</v>
      </c>
      <c r="D26" s="22" t="s">
        <v>226</v>
      </c>
      <c r="E26" s="13">
        <v>42675.254687499997</v>
      </c>
      <c r="F26" s="13">
        <v>42675.257835648146</v>
      </c>
      <c r="G26" s="7">
        <v>1</v>
      </c>
      <c r="H26" s="13" t="s">
        <v>176</v>
      </c>
      <c r="I26" s="13">
        <v>42675.284733796296</v>
      </c>
      <c r="J26" s="7">
        <v>0</v>
      </c>
      <c r="K26" s="112" t="str">
        <f t="shared" si="18"/>
        <v>4037/4038</v>
      </c>
      <c r="L26" s="22" t="str">
        <f>VLOOKUP(A26,'Trips&amp;Operators'!$C$1:$E$10000,3,FALSE)</f>
        <v>MACDONALD</v>
      </c>
      <c r="M26" s="6">
        <f t="shared" si="19"/>
        <v>2.6898148149484769E-2</v>
      </c>
      <c r="N26" s="7">
        <f t="shared" si="20"/>
        <v>38.733333335258067</v>
      </c>
      <c r="O26" s="7"/>
      <c r="P26" s="7"/>
      <c r="Q26" s="23"/>
      <c r="R26" s="23"/>
      <c r="S26" s="35">
        <f t="shared" si="21"/>
        <v>1</v>
      </c>
      <c r="T26" s="50" t="str">
        <f t="shared" si="2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05:06:45-0600',mode:absolute,to:'2016-11-01 07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6" s="52" t="str">
        <f t="shared" si="24"/>
        <v>N</v>
      </c>
      <c r="X26" s="177">
        <f t="shared" si="33"/>
        <v>1</v>
      </c>
      <c r="Y26" s="67">
        <f t="shared" si="25"/>
        <v>23.297699999999999</v>
      </c>
      <c r="Z26" s="67">
        <f t="shared" si="26"/>
        <v>1.52E-2</v>
      </c>
      <c r="AA26" s="67">
        <f t="shared" si="27"/>
        <v>23.282499999999999</v>
      </c>
      <c r="AB26" s="64" t="e">
        <f>VLOOKUP(A26,Enforcements!$C$7:$K$21,8,0)</f>
        <v>#N/A</v>
      </c>
      <c r="AC26" s="60" t="e">
        <f>VLOOKUP(A26,Enforcements!$C$7:$E$21,3,0)</f>
        <v>#N/A</v>
      </c>
      <c r="AD26" s="61" t="str">
        <f t="shared" si="28"/>
        <v>0114-01</v>
      </c>
      <c r="AE26" s="91" t="str">
        <f t="shared" si="0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26" s="88" t="str">
        <f t="shared" si="1"/>
        <v>"C:\Program Files (x86)\AstroGrep\AstroGrep.exe" /spath="%USERPROFILE%\AppData\Local\Temp\OnboardLogs" /stypes="app*4037*20161101*" /stext=" 12:.+((SYSTEM_STATE.+slice.+state.+changed )|(ment ac)|(system.+state.+changed )|(\[timeout)|(PRM\|1\|D)|(kpr)|(kdp)|(\|lc)|(penalty))" /e /r /s</v>
      </c>
      <c r="AG26" s="1" t="str">
        <f t="shared" si="29"/>
        <v>EC</v>
      </c>
      <c r="AH26" s="92" t="str">
        <f t="shared" si="30"/>
        <v>"%USERPROFILE%\Documents\GitHub\eaglep3\Utilities\RefineRTDCRunTimes.py" --tripid 114-01 --locoid 4037 --swversion DE.1.0.8.0 --startMP 204:232977 --initTime 2016-11-01T06:06:45 --startdatetime 2016-11-01T06:11:17 --delay 1 --endMP 204:152 --enddatetime 2016-11-01T06:50:01 --enforcementcount 0 &gt;&gt;C:\Users\stu\Documents\GitHub\eaglep3-reporting\EC\2016-11-01-refined-times.txt</v>
      </c>
      <c r="AI2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{"issue":{"subject":"","project_id":79,"tracker_id":40,"status_id":1,"priority_id":2,"assigned_to_id":23,"start_date":"2016-11-01","description":"","custom_fields":[{"id":1,"name":"Subdivision","value":"EC"},{"id":4,"name":"Milepost","value":"0.0152"},{"id":17,"name":"Train ID","value":"114-01"},{"id":16,"name":"Locomotive ID","value":"4037"},{"id":130,"name":"Impact","value":""},{"id":150,"name":"Time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420</v>
      </c>
      <c r="B27" s="7">
        <v>4027</v>
      </c>
      <c r="C27" s="22" t="s">
        <v>253</v>
      </c>
      <c r="D27" s="22" t="s">
        <v>611</v>
      </c>
      <c r="E27" s="13">
        <v>42675.226527777777</v>
      </c>
      <c r="F27" s="13">
        <v>42675.229803240742</v>
      </c>
      <c r="G27" s="7">
        <v>1</v>
      </c>
      <c r="H27" s="13" t="s">
        <v>612</v>
      </c>
      <c r="I27" s="13">
        <v>42675.253657407404</v>
      </c>
      <c r="J27" s="7">
        <v>0</v>
      </c>
      <c r="K27" s="112" t="str">
        <f t="shared" si="18"/>
        <v>4027/4028</v>
      </c>
      <c r="L27" s="22" t="str">
        <f>VLOOKUP(A27,'Trips&amp;Operators'!$C$1:$E$10000,3,FALSE)</f>
        <v>NELSON</v>
      </c>
      <c r="M27" s="6">
        <f t="shared" si="19"/>
        <v>2.3854166662204079E-2</v>
      </c>
      <c r="N27" s="7">
        <f t="shared" si="20"/>
        <v>34.349999993573874</v>
      </c>
      <c r="O27" s="7"/>
      <c r="P27" s="7"/>
      <c r="Q27" s="23"/>
      <c r="R27" s="23"/>
      <c r="S27" s="35">
        <f t="shared" si="21"/>
        <v>1</v>
      </c>
      <c r="T27" s="50" t="str">
        <f t="shared" si="2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04:26:12-0600',mode:absolute,to:'2016-11-01 07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7" s="52" t="str">
        <f t="shared" si="24"/>
        <v>N</v>
      </c>
      <c r="X27" s="177">
        <f t="shared" si="33"/>
        <v>1</v>
      </c>
      <c r="Y27" s="67">
        <f t="shared" si="25"/>
        <v>7.7200000000000005E-2</v>
      </c>
      <c r="Z27" s="67">
        <f t="shared" si="26"/>
        <v>23.333600000000001</v>
      </c>
      <c r="AA27" s="67">
        <f t="shared" si="27"/>
        <v>23.256399999999999</v>
      </c>
      <c r="AB27" s="64" t="e">
        <f>VLOOKUP(A27,Enforcements!$C$7:$K$21,8,0)</f>
        <v>#N/A</v>
      </c>
      <c r="AC27" s="60" t="e">
        <f>VLOOKUP(A27,Enforcements!$C$7:$E$21,3,0)</f>
        <v>#N/A</v>
      </c>
      <c r="AD27" s="61" t="str">
        <f t="shared" si="28"/>
        <v>0115-01</v>
      </c>
      <c r="AE27" s="91" t="str">
        <f t="shared" si="0"/>
        <v>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 &amp; aws s3 cp s3://rtdc.mdm.uploadarchive.raw/RTDC4027/ "%USERPROFILE%\AppData\Local\Temp\OnboardLogs"\RTDC4027\2016-11-02 --exclude "*" --recursive --include "*20161102*" &amp; "%USERPROFILE%\Documents\GitHub\mrs-test-scripts\Headless Mode &amp; Sideloading\WalkAndUnGZ.bat" "%USERPROFILE%\AppData\Local\Temp\OnboardLogs"\RTDC4027\2016-11-02</v>
      </c>
      <c r="AF27" s="88" t="str">
        <f t="shared" si="1"/>
        <v>"C:\Program Files (x86)\AstroGrep\AstroGrep.exe" /spath="%USERPROFILE%\AppData\Local\Temp\OnboardLogs" /stypes="app*4027*20161101*" /stext=" 12:.+((SYSTEM_STATE.+slice.+state.+changed )|(ment ac)|(system.+state.+changed )|(\[timeout)|(PRM\|1\|D)|(kpr)|(kdp)|(\|lc)|(penalty))" /e /r /s</v>
      </c>
      <c r="AG27" s="1" t="str">
        <f t="shared" si="29"/>
        <v>EC</v>
      </c>
      <c r="AH27" s="92" t="str">
        <f t="shared" si="30"/>
        <v>"%USERPROFILE%\Documents\GitHub\eaglep3\Utilities\RefineRTDCRunTimes.py" --tripid 115-01 --locoid 4027 --swversion DE.1.0.8.0 --startMP 204:772 --initTime 2016-11-01T05:26:12 --startdatetime 2016-11-01T05:30:55 --delay 1 --endMP 204:233336 --enddatetime 2016-11-01T06:05:16 --enforcementcount 0 &gt;&gt;C:\Users\stu\Documents\GitHub\eaglep3-reporting\EC\2016-11-01-refined-times.txt</v>
      </c>
      <c r="AI2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{"issue":{"subject":"","project_id":79,"tracker_id":40,"status_id":1,"priority_id":2,"assigned_to_id":23,"start_date":"2016-11-01","description":"","custom_fields":[{"id":1,"name":"Subdivision","value":"EC"},{"id":4,"name":"Milepost","value":"23.3336"},{"id":17,"name":"Train ID","value":"115-01"},{"id":16,"name":"Locomotive ID","value":"4027"},{"id":130,"name":"Impact","value":""},{"id":150,"name":"Time of Event (Mountain Time)","value":"06:05:16"},{"id":151,"name":"Denver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426</v>
      </c>
      <c r="B28" s="7">
        <v>4028</v>
      </c>
      <c r="C28" s="22" t="s">
        <v>253</v>
      </c>
      <c r="D28" s="22" t="s">
        <v>613</v>
      </c>
      <c r="E28" s="13">
        <v>42675.255543981482</v>
      </c>
      <c r="F28" s="13">
        <v>42675.268240740741</v>
      </c>
      <c r="G28" s="7">
        <v>1</v>
      </c>
      <c r="H28" s="13" t="s">
        <v>203</v>
      </c>
      <c r="I28" s="13">
        <v>42675.294606481482</v>
      </c>
      <c r="J28" s="7">
        <v>0</v>
      </c>
      <c r="K28" s="112" t="str">
        <f t="shared" si="18"/>
        <v>4027/4028</v>
      </c>
      <c r="L28" s="22" t="str">
        <f>VLOOKUP(A28,'Trips&amp;Operators'!$C$1:$E$10000,3,FALSE)</f>
        <v>NELSON</v>
      </c>
      <c r="M28" s="6">
        <f t="shared" si="19"/>
        <v>2.6365740741312038E-2</v>
      </c>
      <c r="N28" s="7">
        <f t="shared" si="20"/>
        <v>37.966666667489335</v>
      </c>
      <c r="O28" s="7"/>
      <c r="P28" s="7"/>
      <c r="Q28" s="23"/>
      <c r="R28" s="23"/>
      <c r="S28" s="35">
        <f t="shared" si="21"/>
        <v>1</v>
      </c>
      <c r="T28" s="50" t="str">
        <f t="shared" si="2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05:07:59-0600',mode:absolute,to:'2016-11-01 08:04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8" s="52" t="str">
        <f t="shared" si="24"/>
        <v>N</v>
      </c>
      <c r="X28" s="177">
        <f t="shared" si="33"/>
        <v>1</v>
      </c>
      <c r="Y28" s="67">
        <f t="shared" si="25"/>
        <v>23.299800000000001</v>
      </c>
      <c r="Z28" s="67">
        <f t="shared" si="26"/>
        <v>1.54E-2</v>
      </c>
      <c r="AA28" s="67">
        <f t="shared" si="27"/>
        <v>23.284400000000002</v>
      </c>
      <c r="AB28" s="64" t="e">
        <f>VLOOKUP(A28,Enforcements!$C$7:$K$21,8,0)</f>
        <v>#N/A</v>
      </c>
      <c r="AC28" s="60" t="e">
        <f>VLOOKUP(A28,Enforcements!$C$7:$E$21,3,0)</f>
        <v>#N/A</v>
      </c>
      <c r="AD28" s="61" t="str">
        <f t="shared" si="28"/>
        <v>0116-01</v>
      </c>
      <c r="AE28" s="91" t="str">
        <f t="shared" si="0"/>
        <v>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 &amp; aws s3 cp s3://rtdc.mdm.uploadarchive.raw/RTDC4028/ "%USERPROFILE%\AppData\Local\Temp\OnboardLogs"\RTDC4028\2016-11-02 --exclude "*" --recursive --include "*20161102*" &amp; "%USERPROFILE%\Documents\GitHub\mrs-test-scripts\Headless Mode &amp; Sideloading\WalkAndUnGZ.bat" "%USERPROFILE%\AppData\Local\Temp\OnboardLogs"\RTDC4028\2016-11-02</v>
      </c>
      <c r="AF28" s="88" t="str">
        <f t="shared" si="1"/>
        <v>"C:\Program Files (x86)\AstroGrep\AstroGrep.exe" /spath="%USERPROFILE%\AppData\Local\Temp\OnboardLogs" /stypes="app*4028*20161101*" /stext=" 13:.+((SYSTEM_STATE.+slice.+state.+changed )|(ment ac)|(system.+state.+changed )|(\[timeout)|(PRM\|1\|D)|(kpr)|(kdp)|(\|lc)|(penalty))" /e /r /s</v>
      </c>
      <c r="AG28" s="1" t="str">
        <f t="shared" si="29"/>
        <v>EC</v>
      </c>
      <c r="AH28" s="92" t="str">
        <f t="shared" si="30"/>
        <v>"%USERPROFILE%\Documents\GitHub\eaglep3\Utilities\RefineRTDCRunTimes.py" --tripid 116-01 --locoid 4028 --swversion DE.1.0.8.0 --startMP 204:232998 --initTime 2016-11-01T06:07:59 --startdatetime 2016-11-01T06:26:16 --delay 1 --endMP 204:154 --enddatetime 2016-11-01T07:04:14 --enforcementcount 0 &gt;&gt;C:\Users\stu\Documents\GitHub\eaglep3-reporting\EC\2016-11-01-refined-times.txt</v>
      </c>
      <c r="AI2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{"issue":{"subject":"","project_id":79,"tracker_id":40,"status_id":1,"priority_id":2,"assigned_to_id":23,"start_date":"2016-11-01","description":"","custom_fields":[{"id":1,"name":"Subdivision","value":"EC"},{"id":4,"name":"Milepost","value":"0.0154"},{"id":17,"name":"Train ID","value":"116-01"},{"id":16,"name":"Locomotive ID","value":"4028"},{"id":130,"name":"Impact","value":""},{"id":150,"name":"Time of Event (Mountain Time)","value":"07:04:14"},{"id":151,"name":"Denver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422</v>
      </c>
      <c r="B29" s="7">
        <v>4007</v>
      </c>
      <c r="C29" s="22" t="s">
        <v>253</v>
      </c>
      <c r="D29" s="22" t="s">
        <v>292</v>
      </c>
      <c r="E29" s="13">
        <v>42675.234467592592</v>
      </c>
      <c r="F29" s="13">
        <v>42675.239756944444</v>
      </c>
      <c r="G29" s="7">
        <v>1</v>
      </c>
      <c r="H29" s="13" t="s">
        <v>239</v>
      </c>
      <c r="I29" s="13">
        <v>42675.265196759261</v>
      </c>
      <c r="J29" s="7">
        <v>0</v>
      </c>
      <c r="K29" s="112" t="str">
        <f t="shared" si="18"/>
        <v>4007/4008</v>
      </c>
      <c r="L29" s="22" t="str">
        <f>VLOOKUP(A29,'Trips&amp;Operators'!$C$1:$E$10000,3,FALSE)</f>
        <v>LALONDE</v>
      </c>
      <c r="M29" s="6">
        <f t="shared" si="19"/>
        <v>2.5439814817218576E-2</v>
      </c>
      <c r="N29" s="7">
        <f t="shared" si="20"/>
        <v>36.633333336794749</v>
      </c>
      <c r="O29" s="7"/>
      <c r="P29" s="7"/>
      <c r="Q29" s="23"/>
      <c r="R29" s="23"/>
      <c r="S29" s="35">
        <f t="shared" si="21"/>
        <v>1</v>
      </c>
      <c r="T29" s="50" t="str">
        <f t="shared" si="2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04:37:38-0600',mode:absolute,to:'2016-11-01 07:21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2" t="str">
        <f t="shared" si="24"/>
        <v>N</v>
      </c>
      <c r="X29" s="177">
        <f t="shared" si="33"/>
        <v>1</v>
      </c>
      <c r="Y29" s="67">
        <f t="shared" si="25"/>
        <v>4.7500000000000001E-2</v>
      </c>
      <c r="Z29" s="67">
        <f t="shared" si="26"/>
        <v>23.3291</v>
      </c>
      <c r="AA29" s="67">
        <f t="shared" si="27"/>
        <v>23.281600000000001</v>
      </c>
      <c r="AB29" s="64" t="e">
        <f>VLOOKUP(A29,Enforcements!$C$7:$K$21,8,0)</f>
        <v>#N/A</v>
      </c>
      <c r="AC29" s="60" t="e">
        <f>VLOOKUP(A29,Enforcements!$C$7:$E$21,3,0)</f>
        <v>#N/A</v>
      </c>
      <c r="AD29" s="61" t="str">
        <f t="shared" si="28"/>
        <v>0117-01</v>
      </c>
      <c r="AE29" s="91" t="str">
        <f t="shared" si="0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29" s="88" t="str">
        <f t="shared" si="1"/>
        <v>"C:\Program Files (x86)\AstroGrep\AstroGrep.exe" /spath="%USERPROFILE%\AppData\Local\Temp\OnboardLogs" /stypes="app*4007*20161101*" /stext=" 12:.+((SYSTEM_STATE.+slice.+state.+changed )|(ment ac)|(system.+state.+changed )|(\[timeout)|(PRM\|1\|D)|(kpr)|(kdp)|(\|lc)|(penalty))" /e /r /s</v>
      </c>
      <c r="AG29" s="1" t="str">
        <f t="shared" si="29"/>
        <v>EC</v>
      </c>
      <c r="AH29" s="92" t="str">
        <f t="shared" si="30"/>
        <v>"%USERPROFILE%\Documents\GitHub\eaglep3\Utilities\RefineRTDCRunTimes.py" --tripid 117-01 --locoid 4007 --swversion DE.1.0.8.0 --startMP 204:475 --initTime 2016-11-01T05:37:38 --startdatetime 2016-11-01T05:45:15 --delay 1 --endMP 204:233291 --enddatetime 2016-11-01T06:21:53 --enforcementcount 0 &gt;&gt;C:\Users\stu\Documents\GitHub\eaglep3-reporting\EC\2016-11-01-refined-times.txt</v>
      </c>
      <c r="AI29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{"issue":{"subject":"","project_id":79,"tracker_id":40,"status_id":1,"priority_id":2,"assigned_to_id":23,"start_date":"2016-11-01","description":"","custom_fields":[{"id":1,"name":"Subdivision","value":"EC"},{"id":4,"name":"Milepost","value":"23.3291"},{"id":17,"name":"Train ID","value":"117-01"},{"id":16,"name":"Locomotive ID","value":"4007"},{"id":130,"name":"Impact","value":""},{"id":150,"name":"Time of Event (Mountain Time)","value":"06:21:53"},{"id":151,"name":"Denver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430</v>
      </c>
      <c r="B30" s="7">
        <v>4008</v>
      </c>
      <c r="C30" s="22" t="s">
        <v>253</v>
      </c>
      <c r="D30" s="22" t="s">
        <v>252</v>
      </c>
      <c r="E30" s="13">
        <v>42675.267002314817</v>
      </c>
      <c r="F30" s="13">
        <v>42675.278645833336</v>
      </c>
      <c r="G30" s="7">
        <v>1</v>
      </c>
      <c r="H30" s="13" t="s">
        <v>205</v>
      </c>
      <c r="I30" s="13">
        <v>42675.305937500001</v>
      </c>
      <c r="J30" s="7">
        <v>0</v>
      </c>
      <c r="K30" s="112" t="str">
        <f t="shared" si="18"/>
        <v>4007/4008</v>
      </c>
      <c r="L30" s="22" t="str">
        <f>VLOOKUP(A30,'Trips&amp;Operators'!$C$1:$E$10000,3,FALSE)</f>
        <v>LALONDE</v>
      </c>
      <c r="M30" s="6">
        <f t="shared" si="19"/>
        <v>2.7291666665405501E-2</v>
      </c>
      <c r="N30" s="7">
        <f t="shared" si="20"/>
        <v>39.299999998183921</v>
      </c>
      <c r="O30" s="7"/>
      <c r="P30" s="7"/>
      <c r="Q30" s="23"/>
      <c r="R30" s="23"/>
      <c r="S30" s="35">
        <f t="shared" si="21"/>
        <v>1</v>
      </c>
      <c r="T30" s="50" t="str">
        <f t="shared" si="2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05:24:29-0600',mode:absolute,to:'2016-11-01 08:20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2" t="str">
        <f t="shared" si="24"/>
        <v>N</v>
      </c>
      <c r="X30" s="177">
        <f t="shared" si="33"/>
        <v>1</v>
      </c>
      <c r="Y30" s="67">
        <f t="shared" si="25"/>
        <v>23.297799999999999</v>
      </c>
      <c r="Z30" s="67">
        <f t="shared" si="26"/>
        <v>1.49E-2</v>
      </c>
      <c r="AA30" s="67">
        <f t="shared" si="27"/>
        <v>23.282899999999998</v>
      </c>
      <c r="AB30" s="64" t="e">
        <f>VLOOKUP(A30,Enforcements!$C$7:$K$21,8,0)</f>
        <v>#N/A</v>
      </c>
      <c r="AC30" s="60" t="e">
        <f>VLOOKUP(A30,Enforcements!$C$7:$E$21,3,0)</f>
        <v>#N/A</v>
      </c>
      <c r="AD30" s="61" t="str">
        <f t="shared" si="28"/>
        <v>0118-01</v>
      </c>
      <c r="AE30" s="91" t="str">
        <f t="shared" si="0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30" s="88" t="str">
        <f t="shared" si="1"/>
        <v>"C:\Program Files (x86)\AstroGrep\AstroGrep.exe" /spath="%USERPROFILE%\AppData\Local\Temp\OnboardLogs" /stypes="app*4008*20161101*" /stext=" 13:.+((SYSTEM_STATE.+slice.+state.+changed )|(ment ac)|(system.+state.+changed )|(\[timeout)|(PRM\|1\|D)|(kpr)|(kdp)|(\|lc)|(penalty))" /e /r /s</v>
      </c>
      <c r="AG30" s="1" t="str">
        <f t="shared" si="29"/>
        <v>EC</v>
      </c>
      <c r="AH30" s="92" t="str">
        <f t="shared" si="30"/>
        <v>"%USERPROFILE%\Documents\GitHub\eaglep3\Utilities\RefineRTDCRunTimes.py" --tripid 118-01 --locoid 4008 --swversion DE.1.0.8.0 --startMP 204:232978 --initTime 2016-11-01T06:24:29 --startdatetime 2016-11-01T06:41:15 --delay 1 --endMP 204:149 --enddatetime 2016-11-01T07:20:33 --enforcementcount 0 &gt;&gt;C:\Users\stu\Documents\GitHub\eaglep3-reporting\EC\2016-11-01-refined-times.txt</v>
      </c>
      <c r="AI3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{"issue":{"subject":"","project_id":79,"tracker_id":40,"status_id":1,"priority_id":2,"assigned_to_id":23,"start_date":"2016-11-01","description":"","custom_fields":[{"id":1,"name":"Subdivision","value":"EC"},{"id":4,"name":"Milepost","value":"0.0149"},{"id":17,"name":"Train ID","value":"118-01"},{"id":16,"name":"Locomotive ID","value":"4008"},{"id":130,"name":"Impact","value":""},{"id":150,"name":"Time of Event (Mountain Time)","value":"07:20:33"},{"id":151,"name":"Denver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424</v>
      </c>
      <c r="B31" s="7">
        <v>4042</v>
      </c>
      <c r="C31" s="22" t="s">
        <v>253</v>
      </c>
      <c r="D31" s="22" t="s">
        <v>611</v>
      </c>
      <c r="E31" s="13">
        <v>42675.245833333334</v>
      </c>
      <c r="F31" s="13">
        <v>42675.250208333331</v>
      </c>
      <c r="G31" s="7">
        <v>2</v>
      </c>
      <c r="H31" s="13" t="s">
        <v>271</v>
      </c>
      <c r="I31" s="13">
        <v>42675.277094907404</v>
      </c>
      <c r="J31" s="7">
        <v>0</v>
      </c>
      <c r="K31" s="112" t="str">
        <f t="shared" si="18"/>
        <v>4041/4042</v>
      </c>
      <c r="L31" s="22" t="str">
        <f>VLOOKUP(A31,'Trips&amp;Operators'!$C$1:$E$10000,3,FALSE)</f>
        <v>BADERTSCHER</v>
      </c>
      <c r="M31" s="6">
        <f t="shared" si="19"/>
        <v>2.6886574072705116E-2</v>
      </c>
      <c r="N31" s="7">
        <f t="shared" si="20"/>
        <v>38.716666664695367</v>
      </c>
      <c r="O31" s="7"/>
      <c r="P31" s="7"/>
      <c r="Q31" s="23"/>
      <c r="R31" s="23"/>
      <c r="S31" s="35">
        <f t="shared" si="21"/>
        <v>1</v>
      </c>
      <c r="T31" s="50" t="str">
        <f t="shared" si="2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04:54:00-0600',mode:absolute,to:'2016-11-01 07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1" s="52" t="str">
        <f t="shared" si="24"/>
        <v>N</v>
      </c>
      <c r="X31" s="177">
        <f t="shared" si="33"/>
        <v>1</v>
      </c>
      <c r="Y31" s="67">
        <f t="shared" si="25"/>
        <v>7.7200000000000005E-2</v>
      </c>
      <c r="Z31" s="67">
        <f t="shared" si="26"/>
        <v>23.328900000000001</v>
      </c>
      <c r="AA31" s="67">
        <f t="shared" si="27"/>
        <v>23.2517</v>
      </c>
      <c r="AB31" s="64" t="e">
        <f>VLOOKUP(A31,Enforcements!$C$7:$K$21,8,0)</f>
        <v>#N/A</v>
      </c>
      <c r="AC31" s="60" t="e">
        <f>VLOOKUP(A31,Enforcements!$C$7:$E$21,3,0)</f>
        <v>#N/A</v>
      </c>
      <c r="AD31" s="61" t="str">
        <f t="shared" si="28"/>
        <v>0119-01</v>
      </c>
      <c r="AE31" s="91" t="str">
        <f t="shared" si="0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31" s="88" t="str">
        <f t="shared" si="1"/>
        <v>"C:\Program Files (x86)\AstroGrep\AstroGrep.exe" /spath="%USERPROFILE%\AppData\Local\Temp\OnboardLogs" /stypes="app*4042*20161101*" /stext=" 12:.+((SYSTEM_STATE.+slice.+state.+changed )|(ment ac)|(system.+state.+changed )|(\[timeout)|(PRM\|1\|D)|(kpr)|(kdp)|(\|lc)|(penalty))" /e /r /s</v>
      </c>
      <c r="AG31" s="1" t="str">
        <f t="shared" si="29"/>
        <v>EC</v>
      </c>
      <c r="AH31" s="92" t="str">
        <f t="shared" si="30"/>
        <v>"%USERPROFILE%\Documents\GitHub\eaglep3\Utilities\RefineRTDCRunTimes.py" --tripid 119-01 --locoid 4042 --swversion DE.1.0.8.0 --startMP 204:772 --initTime 2016-11-01T05:54:00 --startdatetime 2016-11-01T06:00:18 --delay 2 --endMP 204:233289 --enddatetime 2016-11-01T06:39:01 --enforcementcount 0 &gt;&gt;C:\Users\stu\Documents\GitHub\eaglep3-reporting\EC\2016-11-01-refined-times.txt</v>
      </c>
      <c r="AI3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{"issue":{"subject":"","project_id":79,"tracker_id":40,"status_id":1,"priority_id":2,"assigned_to_id":23,"start_date":"2016-11-01","description":"","custom_fields":[{"id":1,"name":"Subdivision","value":"EC"},{"id":4,"name":"Milepost","value":"23.3289"},{"id":17,"name":"Train ID","value":"119-01"},{"id":16,"name":"Locomotive ID","value":"4042"},{"id":130,"name":"Impact","value":""},{"id":150,"name":"Time of Event (Mountain Time)","value":"06:39:01"},{"id":151,"name":"Denver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380</v>
      </c>
      <c r="B32" s="7">
        <v>4041</v>
      </c>
      <c r="C32" s="22" t="s">
        <v>253</v>
      </c>
      <c r="D32" s="22" t="s">
        <v>614</v>
      </c>
      <c r="E32" s="13">
        <v>42675.282222222224</v>
      </c>
      <c r="F32" s="13">
        <v>42675.289085648146</v>
      </c>
      <c r="G32" s="7">
        <v>1</v>
      </c>
      <c r="H32" s="13" t="s">
        <v>204</v>
      </c>
      <c r="I32" s="13">
        <v>42675.31759259259</v>
      </c>
      <c r="J32" s="7">
        <v>0</v>
      </c>
      <c r="K32" s="112" t="str">
        <f t="shared" si="18"/>
        <v>4041/4042</v>
      </c>
      <c r="L32" s="22" t="str">
        <f>VLOOKUP(A32,'Trips&amp;Operators'!$C$1:$E$10000,3,FALSE)</f>
        <v>BADERTSCHER</v>
      </c>
      <c r="M32" s="6">
        <f t="shared" si="19"/>
        <v>2.8506944443506654E-2</v>
      </c>
      <c r="N32" s="7">
        <f t="shared" si="20"/>
        <v>41.049999998649582</v>
      </c>
      <c r="O32" s="7"/>
      <c r="P32" s="7"/>
      <c r="Q32" s="23"/>
      <c r="R32" s="23"/>
      <c r="S32" s="35">
        <f t="shared" si="21"/>
        <v>1</v>
      </c>
      <c r="T32" s="50" t="str">
        <f t="shared" si="2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05:46:24-0600',mode:absolute,to:'2016-11-01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2" s="52" t="str">
        <f t="shared" si="24"/>
        <v>N</v>
      </c>
      <c r="X32" s="177">
        <f t="shared" si="33"/>
        <v>1</v>
      </c>
      <c r="Y32" s="67">
        <f t="shared" si="25"/>
        <v>23.296399999999998</v>
      </c>
      <c r="Z32" s="67">
        <f t="shared" si="26"/>
        <v>1.4500000000000001E-2</v>
      </c>
      <c r="AA32" s="67">
        <f t="shared" si="27"/>
        <v>23.281899999999997</v>
      </c>
      <c r="AB32" s="64" t="str">
        <f>VLOOKUP(A32,Enforcements!$C$7:$K$21,8,0)</f>
        <v>Speed (6)</v>
      </c>
      <c r="AC32" s="60" t="str">
        <f>VLOOKUP(A32,Enforcements!$C$7:$E$21,3,0)</f>
        <v>PERMANENT SPEED RESTRICTION</v>
      </c>
      <c r="AD32" s="61" t="str">
        <f t="shared" si="28"/>
        <v>0120-01</v>
      </c>
      <c r="AE32" s="91" t="str">
        <f t="shared" si="0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32" s="88" t="str">
        <f t="shared" si="1"/>
        <v>"C:\Program Files (x86)\AstroGrep\AstroGrep.exe" /spath="%USERPROFILE%\AppData\Local\Temp\OnboardLogs" /stypes="app*4041*20161101*" /stext=" 13:.+((SYSTEM_STATE.+slice.+state.+changed )|(ment ac)|(system.+state.+changed )|(\[timeout)|(PRM\|1\|D)|(kpr)|(kdp)|(\|lc)|(penalty))" /e /r /s</v>
      </c>
      <c r="AG32" s="1" t="str">
        <f t="shared" si="29"/>
        <v>EC</v>
      </c>
      <c r="AH32" s="92" t="str">
        <f t="shared" si="30"/>
        <v>"%USERPROFILE%\Documents\GitHub\eaglep3\Utilities\RefineRTDCRunTimes.py" --tripid 120-01 --locoid 4041 --swversion DE.1.0.8.0 --startMP 204:232964 --initTime 2016-11-01T06:46:24 --startdatetime 2016-11-01T06:56:17 --delay 1 --endMP 204:145 --enddatetime 2016-11-01T07:37:20 --enforcementcount 0 &gt;&gt;C:\Users\stu\Documents\GitHub\eaglep3-reporting\EC\2016-11-01-refined-times.txt</v>
      </c>
      <c r="AI3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{"issue":{"subject":"","project_id":79,"tracker_id":40,"status_id":1,"priority_id":2,"assigned_to_id":23,"start_date":"2016-11-01","description":"","custom_fields":[{"id":1,"name":"Subdivision","value":"EC"},{"id":4,"name":"Milepost","value":"0.0145"},{"id":17,"name":"Train ID","value":"120-01"},{"id":16,"name":"Locomotive ID","value":"4041"},{"id":130,"name":"Impact","value":""},{"id":150,"name":"Time of Event (Mountain Time)","value":"07:37:20"},{"id":151,"name":"Denver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427</v>
      </c>
      <c r="B33" s="7">
        <v>4040</v>
      </c>
      <c r="C33" s="22" t="s">
        <v>253</v>
      </c>
      <c r="D33" s="22" t="s">
        <v>274</v>
      </c>
      <c r="E33" s="13">
        <v>42675.255706018521</v>
      </c>
      <c r="F33" s="13">
        <v>42675.260671296295</v>
      </c>
      <c r="G33" s="7">
        <v>2</v>
      </c>
      <c r="H33" s="13" t="s">
        <v>206</v>
      </c>
      <c r="I33" s="13">
        <v>42675.286226851851</v>
      </c>
      <c r="J33" s="7">
        <v>0</v>
      </c>
      <c r="K33" s="112" t="str">
        <f t="shared" si="18"/>
        <v>4039/4040</v>
      </c>
      <c r="L33" s="22" t="str">
        <f>VLOOKUP(A33,'Trips&amp;Operators'!$C$1:$E$10000,3,FALSE)</f>
        <v>RICHARDSON</v>
      </c>
      <c r="M33" s="6">
        <f t="shared" si="19"/>
        <v>2.5555555555911269E-2</v>
      </c>
      <c r="N33" s="7">
        <f t="shared" si="20"/>
        <v>36.800000000512227</v>
      </c>
      <c r="O33" s="7"/>
      <c r="P33" s="7"/>
      <c r="Q33" s="23"/>
      <c r="R33" s="23"/>
      <c r="S33" s="35">
        <f t="shared" si="21"/>
        <v>1</v>
      </c>
      <c r="T33" s="50" t="str">
        <f t="shared" si="2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05:08:13-0600',mode:absolute,to:'2016-11-01 07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24"/>
        <v>N</v>
      </c>
      <c r="X33" s="177">
        <f t="shared" si="33"/>
        <v>1</v>
      </c>
      <c r="Y33" s="67">
        <f t="shared" si="25"/>
        <v>4.82E-2</v>
      </c>
      <c r="Z33" s="67">
        <f t="shared" si="26"/>
        <v>23.3293</v>
      </c>
      <c r="AA33" s="67">
        <f t="shared" si="27"/>
        <v>23.281099999999999</v>
      </c>
      <c r="AB33" s="64" t="e">
        <f>VLOOKUP(A33,Enforcements!$C$7:$K$21,8,0)</f>
        <v>#N/A</v>
      </c>
      <c r="AC33" s="60" t="e">
        <f>VLOOKUP(A33,Enforcements!$C$7:$E$21,3,0)</f>
        <v>#N/A</v>
      </c>
      <c r="AD33" s="61" t="str">
        <f t="shared" si="28"/>
        <v>0121-01</v>
      </c>
      <c r="AE33" s="91" t="str">
        <f t="shared" si="0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33" s="88" t="str">
        <f t="shared" si="1"/>
        <v>"C:\Program Files (x86)\AstroGrep\AstroGrep.exe" /spath="%USERPROFILE%\AppData\Local\Temp\OnboardLogs" /stypes="app*4040*20161101*" /stext=" 12:.+((SYSTEM_STATE.+slice.+state.+changed )|(ment ac)|(system.+state.+changed )|(\[timeout)|(PRM\|1\|D)|(kpr)|(kdp)|(\|lc)|(penalty))" /e /r /s</v>
      </c>
      <c r="AG33" s="1" t="str">
        <f t="shared" si="29"/>
        <v>EC</v>
      </c>
      <c r="AH33" s="92" t="str">
        <f t="shared" si="30"/>
        <v>"%USERPROFILE%\Documents\GitHub\eaglep3\Utilities\RefineRTDCRunTimes.py" --tripid 121-01 --locoid 4040 --swversion DE.1.0.8.0 --startMP 204:482 --initTime 2016-11-01T06:08:13 --startdatetime 2016-11-01T06:15:22 --delay 2 --endMP 204:233293 --enddatetime 2016-11-01T06:52:10 --enforcementcount 0 &gt;&gt;C:\Users\stu\Documents\GitHub\eaglep3-reporting\EC\2016-11-01-refined-times.txt</v>
      </c>
      <c r="AI3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{"issue":{"subject":"","project_id":79,"tracker_id":40,"status_id":1,"priority_id":2,"assigned_to_id":23,"start_date":"2016-11-01","description":"","custom_fields":[{"id":1,"name":"Subdivision","value":"EC"},{"id":4,"name":"Milepost","value":"23.3293"},{"id":17,"name":"Train ID","value":"121-01"},{"id":16,"name":"Locomotive ID","value":"4040"},{"id":130,"name":"Impact","value":""},{"id":150,"name":"Time of Event (Mountain Time)","value":"06:52:10"},{"id":151,"name":"Denver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381</v>
      </c>
      <c r="B34" s="7">
        <v>4039</v>
      </c>
      <c r="C34" s="22" t="s">
        <v>253</v>
      </c>
      <c r="D34" s="22" t="s">
        <v>347</v>
      </c>
      <c r="E34" s="13">
        <v>42675.293124999997</v>
      </c>
      <c r="F34" s="13">
        <v>42675.299641203703</v>
      </c>
      <c r="G34" s="7">
        <v>1</v>
      </c>
      <c r="H34" s="13" t="s">
        <v>615</v>
      </c>
      <c r="I34" s="13">
        <v>42675.331678240742</v>
      </c>
      <c r="J34" s="7">
        <v>0</v>
      </c>
      <c r="K34" s="112" t="str">
        <f t="shared" si="18"/>
        <v>4039/4040</v>
      </c>
      <c r="L34" s="22" t="str">
        <f>VLOOKUP(A34,'Trips&amp;Operators'!$C$1:$E$10000,3,FALSE)</f>
        <v>RICHARDSON</v>
      </c>
      <c r="M34" s="6">
        <f t="shared" si="19"/>
        <v>3.2037037039117422E-2</v>
      </c>
      <c r="N34" s="7">
        <f t="shared" si="20"/>
        <v>46.133333336329088</v>
      </c>
      <c r="O34" s="7"/>
      <c r="P34" s="7"/>
      <c r="Q34" s="23"/>
      <c r="R34" s="23"/>
      <c r="S34" s="35">
        <f t="shared" si="21"/>
        <v>1</v>
      </c>
      <c r="T34" s="50" t="str">
        <f t="shared" si="2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06:02:06-0600',mode:absolute,to:'2016-11-01 08:57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 t="shared" si="24"/>
        <v>N</v>
      </c>
      <c r="X34" s="177">
        <f t="shared" si="33"/>
        <v>1</v>
      </c>
      <c r="Y34" s="67">
        <f t="shared" si="25"/>
        <v>23.298200000000001</v>
      </c>
      <c r="Z34" s="67">
        <f t="shared" si="26"/>
        <v>2.1100000000000001E-2</v>
      </c>
      <c r="AA34" s="67">
        <f t="shared" si="27"/>
        <v>23.277100000000001</v>
      </c>
      <c r="AB34" s="64" t="str">
        <f>VLOOKUP(A34,Enforcements!$C$7:$K$21,8,0)</f>
        <v>Bulletin (2)</v>
      </c>
      <c r="AC34" s="60" t="str">
        <f>VLOOKUP(A34,Enforcements!$C$7:$E$21,3,0)</f>
        <v>GRADE CROSSING</v>
      </c>
      <c r="AD34" s="61" t="str">
        <f t="shared" si="28"/>
        <v>0122-01</v>
      </c>
      <c r="AE34" s="91" t="str">
        <f t="shared" si="0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34" s="88" t="str">
        <f t="shared" si="1"/>
        <v>"C:\Program Files (x86)\AstroGrep\AstroGrep.exe" /spath="%USERPROFILE%\AppData\Local\Temp\OnboardLogs" /stypes="app*4039*20161101*" /stext=" 13:.+((SYSTEM_STATE.+slice.+state.+changed )|(ment ac)|(system.+state.+changed )|(\[timeout)|(PRM\|1\|D)|(kpr)|(kdp)|(\|lc)|(penalty))" /e /r /s</v>
      </c>
      <c r="AG34" s="1" t="str">
        <f t="shared" si="29"/>
        <v>EC</v>
      </c>
      <c r="AH34" s="92" t="str">
        <f t="shared" si="30"/>
        <v>"%USERPROFILE%\Documents\GitHub\eaglep3\Utilities\RefineRTDCRunTimes.py" --tripid 122-01 --locoid 4039 --swversion DE.1.0.8.0 --startMP 204:232982 --initTime 2016-11-01T07:02:06 --startdatetime 2016-11-01T07:11:29 --delay 1 --endMP 204:211 --enddatetime 2016-11-01T07:57:37 --enforcementcount 0 &gt;&gt;C:\Users\stu\Documents\GitHub\eaglep3-reporting\EC\2016-11-01-refined-times.txt</v>
      </c>
      <c r="AI3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{"issue":{"subject":"","project_id":79,"tracker_id":40,"status_id":1,"priority_id":2,"assigned_to_id":23,"start_date":"2016-11-01","description":"","custom_fields":[{"id":1,"name":"Subdivision","value":"EC"},{"id":4,"name":"Milepost","value":"0.0211"},{"id":17,"name":"Train ID","value":"122-01"},{"id":16,"name":"Locomotive ID","value":"4039"},{"id":130,"name":"Impact","value":""},{"id":150,"name":"Time of Event (Mountain Time)","value":"07:57:37"},{"id":151,"name":"Denver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377</v>
      </c>
      <c r="B35" s="7">
        <v>4014</v>
      </c>
      <c r="C35" s="22" t="s">
        <v>253</v>
      </c>
      <c r="D35" s="22" t="s">
        <v>216</v>
      </c>
      <c r="E35" s="13">
        <v>42675.268148148149</v>
      </c>
      <c r="F35" s="13">
        <v>42675.27103009259</v>
      </c>
      <c r="G35" s="7">
        <v>1</v>
      </c>
      <c r="H35" s="13" t="s">
        <v>349</v>
      </c>
      <c r="I35" s="13">
        <v>42675.297777777778</v>
      </c>
      <c r="J35" s="7">
        <v>0</v>
      </c>
      <c r="K35" s="112" t="str">
        <f t="shared" si="18"/>
        <v>4013/4014</v>
      </c>
      <c r="L35" s="22" t="str">
        <f>VLOOKUP(A35,'Trips&amp;Operators'!$C$1:$E$10000,3,FALSE)</f>
        <v>DAVIS</v>
      </c>
      <c r="M35" s="6">
        <f t="shared" si="19"/>
        <v>2.6747685187729076E-2</v>
      </c>
      <c r="N35" s="7">
        <f t="shared" si="20"/>
        <v>38.516666670329869</v>
      </c>
      <c r="O35" s="7"/>
      <c r="P35" s="7"/>
      <c r="Q35" s="23"/>
      <c r="R35" s="23"/>
      <c r="S35" s="35">
        <f t="shared" si="21"/>
        <v>1</v>
      </c>
      <c r="T35" s="50" t="str">
        <f t="shared" si="2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05:26:08-0600',mode:absolute,to:'2016-11-01 08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5" s="52" t="str">
        <f t="shared" si="24"/>
        <v>N</v>
      </c>
      <c r="X35" s="177">
        <f t="shared" si="33"/>
        <v>1</v>
      </c>
      <c r="Y35" s="67">
        <f t="shared" si="25"/>
        <v>4.5100000000000001E-2</v>
      </c>
      <c r="Z35" s="67">
        <f t="shared" si="26"/>
        <v>23.331199999999999</v>
      </c>
      <c r="AA35" s="67">
        <f t="shared" si="27"/>
        <v>23.286099999999998</v>
      </c>
      <c r="AB35" s="64" t="str">
        <f>VLOOKUP(A35,Enforcements!$C$7:$K$21,8,0)</f>
        <v>Bulletin (2)</v>
      </c>
      <c r="AC35" s="60" t="str">
        <f>VLOOKUP(A35,Enforcements!$C$7:$E$21,3,0)</f>
        <v>GRADE CROSSING</v>
      </c>
      <c r="AD35" s="61" t="str">
        <f t="shared" si="28"/>
        <v>0123-01</v>
      </c>
      <c r="AE35" s="91" t="str">
        <f t="shared" si="0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35" s="88" t="str">
        <f t="shared" si="1"/>
        <v>"C:\Program Files (x86)\AstroGrep\AstroGrep.exe" /spath="%USERPROFILE%\AppData\Local\Temp\OnboardLogs" /stypes="app*4014*20161101*" /stext=" 13:.+((SYSTEM_STATE.+slice.+state.+changed )|(ment ac)|(system.+state.+changed )|(\[timeout)|(PRM\|1\|D)|(kpr)|(kdp)|(\|lc)|(penalty))" /e /r /s</v>
      </c>
      <c r="AG35" s="1" t="str">
        <f t="shared" si="29"/>
        <v>EC</v>
      </c>
      <c r="AH35" s="92" t="str">
        <f t="shared" si="30"/>
        <v>"%USERPROFILE%\Documents\GitHub\eaglep3\Utilities\RefineRTDCRunTimes.py" --tripid 123-01 --locoid 4014 --swversion DE.1.0.8.0 --startMP 204:451 --initTime 2016-11-01T06:26:08 --startdatetime 2016-11-01T06:30:17 --delay 1 --endMP 204:233312 --enddatetime 2016-11-01T07:08:48 --enforcementcount 0 &gt;&gt;C:\Users\stu\Documents\GitHub\eaglep3-reporting\EC\2016-11-01-refined-times.txt</v>
      </c>
      <c r="AI3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{"issue":{"subject":"","project_id":79,"tracker_id":40,"status_id":1,"priority_id":2,"assigned_to_id":23,"start_date":"2016-11-01","description":"","custom_fields":[{"id":1,"name":"Subdivision","value":"EC"},{"id":4,"name":"Milepost","value":"23.3312"},{"id":17,"name":"Train ID","value":"123-01"},{"id":16,"name":"Locomotive ID","value":"4014"},{"id":130,"name":"Impact","value":""},{"id":150,"name":"Time of Event (Mountain Time)","value":"07:08:48"},{"id":151,"name":"Denver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437</v>
      </c>
      <c r="B36" s="7">
        <v>4013</v>
      </c>
      <c r="C36" s="22" t="s">
        <v>253</v>
      </c>
      <c r="D36" s="22" t="s">
        <v>616</v>
      </c>
      <c r="E36" s="13">
        <v>42675.305474537039</v>
      </c>
      <c r="F36" s="13">
        <v>42675.309918981482</v>
      </c>
      <c r="G36" s="7">
        <v>1</v>
      </c>
      <c r="H36" s="13" t="s">
        <v>203</v>
      </c>
      <c r="I36" s="13">
        <v>42675.338460648149</v>
      </c>
      <c r="J36" s="7">
        <v>0</v>
      </c>
      <c r="K36" s="112" t="str">
        <f t="shared" si="18"/>
        <v>4013/4014</v>
      </c>
      <c r="L36" s="22" t="str">
        <f>VLOOKUP(A36,'Trips&amp;Operators'!$C$1:$E$10000,3,FALSE)</f>
        <v>DAVIS</v>
      </c>
      <c r="M36" s="6">
        <f t="shared" si="19"/>
        <v>2.8541666666569654E-2</v>
      </c>
      <c r="N36" s="7">
        <f t="shared" si="20"/>
        <v>41.099999999860302</v>
      </c>
      <c r="O36" s="7"/>
      <c r="P36" s="7"/>
      <c r="Q36" s="23"/>
      <c r="R36" s="23"/>
      <c r="S36" s="35">
        <f t="shared" si="21"/>
        <v>1</v>
      </c>
      <c r="T36" s="50" t="str">
        <f t="shared" si="22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06:19:53-0600',mode:absolute,to:'2016-11-01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6" s="52" t="str">
        <f t="shared" si="24"/>
        <v>N</v>
      </c>
      <c r="X36" s="177">
        <f t="shared" si="33"/>
        <v>1</v>
      </c>
      <c r="Y36" s="67">
        <f t="shared" si="25"/>
        <v>23.3</v>
      </c>
      <c r="Z36" s="67">
        <f t="shared" si="26"/>
        <v>1.54E-2</v>
      </c>
      <c r="AA36" s="67">
        <f t="shared" si="27"/>
        <v>23.284600000000001</v>
      </c>
      <c r="AB36" s="64" t="e">
        <f>VLOOKUP(A36,Enforcements!$C$7:$K$21,8,0)</f>
        <v>#N/A</v>
      </c>
      <c r="AC36" s="60" t="e">
        <f>VLOOKUP(A36,Enforcements!$C$7:$E$21,3,0)</f>
        <v>#N/A</v>
      </c>
      <c r="AD36" s="61" t="str">
        <f t="shared" si="28"/>
        <v>0124-01</v>
      </c>
      <c r="AE36" s="91" t="str">
        <f t="shared" si="0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36" s="88" t="str">
        <f t="shared" si="1"/>
        <v>"C:\Program Files (x86)\AstroGrep\AstroGrep.exe" /spath="%USERPROFILE%\AppData\Local\Temp\OnboardLogs" /stypes="app*4013*20161101*" /stext=" 14:.+((SYSTEM_STATE.+slice.+state.+changed )|(ment ac)|(system.+state.+changed )|(\[timeout)|(PRM\|1\|D)|(kpr)|(kdp)|(\|lc)|(penalty))" /e /r /s</v>
      </c>
      <c r="AG36" s="1" t="str">
        <f t="shared" si="29"/>
        <v>EC</v>
      </c>
      <c r="AH36" s="92" t="str">
        <f t="shared" si="30"/>
        <v>"%USERPROFILE%\Documents\GitHub\eaglep3\Utilities\RefineRTDCRunTimes.py" --tripid 124-01 --locoid 4013 --swversion DE.1.0.8.0 --startMP 204:233000 --initTime 2016-11-01T07:19:53 --startdatetime 2016-11-01T07:26:17 --delay 1 --endMP 204:154 --enddatetime 2016-11-01T08:07:23 --enforcementcount 0 &gt;&gt;C:\Users\stu\Documents\GitHub\eaglep3-reporting\EC\2016-11-01-refined-times.txt</v>
      </c>
      <c r="AI3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{"issue":{"subject":"","project_id":79,"tracker_id":40,"status_id":1,"priority_id":2,"assigned_to_id":23,"start_date":"2016-11-01","description":"","custom_fields":[{"id":1,"name":"Subdivision","value":"EC"},{"id":4,"name":"Milepost","value":"0.0154"},{"id":17,"name":"Train ID","value":"124-01"},{"id":16,"name":"Locomotive ID","value":"4013"},{"id":130,"name":"Impact","value":""},{"id":150,"name":"Time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431</v>
      </c>
      <c r="B37" s="7">
        <v>4022</v>
      </c>
      <c r="C37" s="22" t="s">
        <v>253</v>
      </c>
      <c r="D37" s="22" t="s">
        <v>617</v>
      </c>
      <c r="E37" s="13">
        <v>42675.27753472222</v>
      </c>
      <c r="F37" s="13">
        <v>42675.281481481485</v>
      </c>
      <c r="G37" s="7">
        <v>5</v>
      </c>
      <c r="H37" s="13" t="s">
        <v>618</v>
      </c>
      <c r="I37" s="13">
        <v>42675.308368055557</v>
      </c>
      <c r="J37" s="7">
        <v>0</v>
      </c>
      <c r="K37" s="112" t="str">
        <f t="shared" si="18"/>
        <v>4021/4022</v>
      </c>
      <c r="L37" s="22" t="str">
        <f>VLOOKUP(A37,'Trips&amp;Operators'!$C$1:$E$10000,3,FALSE)</f>
        <v>LOPES</v>
      </c>
      <c r="M37" s="6">
        <f t="shared" si="19"/>
        <v>2.6886574072705116E-2</v>
      </c>
      <c r="N37" s="7">
        <f t="shared" si="20"/>
        <v>38.716666664695367</v>
      </c>
      <c r="O37" s="7"/>
      <c r="P37" s="7"/>
      <c r="Q37" s="23"/>
      <c r="R37" s="23"/>
      <c r="S37" s="35">
        <f t="shared" si="21"/>
        <v>1</v>
      </c>
      <c r="T37" s="50" t="str">
        <f t="shared" si="22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05:39:39-0600',mode:absolute,to:'2016-11-01 08:24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7" s="52" t="str">
        <f t="shared" si="24"/>
        <v>N</v>
      </c>
      <c r="X37" s="177">
        <f t="shared" si="33"/>
        <v>1</v>
      </c>
      <c r="Y37" s="67">
        <f t="shared" si="25"/>
        <v>4.2900000000000001E-2</v>
      </c>
      <c r="Z37" s="67">
        <f t="shared" si="26"/>
        <v>23.331399999999999</v>
      </c>
      <c r="AA37" s="67">
        <f t="shared" si="27"/>
        <v>23.288499999999999</v>
      </c>
      <c r="AB37" s="64" t="e">
        <f>VLOOKUP(A37,Enforcements!$C$7:$K$21,8,0)</f>
        <v>#N/A</v>
      </c>
      <c r="AC37" s="60" t="e">
        <f>VLOOKUP(A37,Enforcements!$C$7:$E$21,3,0)</f>
        <v>#N/A</v>
      </c>
      <c r="AD37" s="61" t="str">
        <f t="shared" si="28"/>
        <v>0125-01</v>
      </c>
      <c r="AE37" s="91" t="str">
        <f t="shared" si="0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37" s="88" t="str">
        <f t="shared" si="1"/>
        <v>"C:\Program Files (x86)\AstroGrep\AstroGrep.exe" /spath="%USERPROFILE%\AppData\Local\Temp\OnboardLogs" /stypes="app*4022*20161101*" /stext=" 13:.+((SYSTEM_STATE.+slice.+state.+changed )|(ment ac)|(system.+state.+changed )|(\[timeout)|(PRM\|1\|D)|(kpr)|(kdp)|(\|lc)|(penalty))" /e /r /s</v>
      </c>
      <c r="AG37" s="1" t="str">
        <f t="shared" si="29"/>
        <v>EC</v>
      </c>
      <c r="AH37" s="92" t="str">
        <f t="shared" si="30"/>
        <v>"%USERPROFILE%\Documents\GitHub\eaglep3\Utilities\RefineRTDCRunTimes.py" --tripid 125-01 --locoid 4022 --swversion DE.1.0.8.0 --startMP 204:429 --initTime 2016-11-01T06:39:39 --startdatetime 2016-11-01T06:45:20 --delay 5 --endMP 204:233314 --enddatetime 2016-11-01T07:24:03 --enforcementcount 0 &gt;&gt;C:\Users\stu\Documents\GitHub\eaglep3-reporting\EC\2016-11-01-refined-times.txt</v>
      </c>
      <c r="AI3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{"issue":{"subject":"","project_id":79,"tracker_id":40,"status_id":1,"priority_id":2,"assigned_to_id":23,"start_date":"2016-11-01","description":"","custom_fields":[{"id":1,"name":"Subdivision","value":"EC"},{"id":4,"name":"Milepost","value":"23.3314"},{"id":17,"name":"Train ID","value":"125-01"},{"id":16,"name":"Locomotive ID","value":"4022"},{"id":130,"name":"Impact","value":""},{"id":150,"name":"Time of Event (Mountain Time)","value":"07:24:03"},{"id":151,"name":"Denver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439</v>
      </c>
      <c r="B38" s="7">
        <v>4021</v>
      </c>
      <c r="C38" s="22" t="s">
        <v>253</v>
      </c>
      <c r="D38" s="22" t="s">
        <v>305</v>
      </c>
      <c r="E38" s="13">
        <v>42675.310416666667</v>
      </c>
      <c r="F38" s="13">
        <v>42675.320694444446</v>
      </c>
      <c r="G38" s="7">
        <v>1</v>
      </c>
      <c r="H38" s="13" t="s">
        <v>204</v>
      </c>
      <c r="I38" s="13">
        <v>42675.349965277775</v>
      </c>
      <c r="J38" s="7">
        <v>0</v>
      </c>
      <c r="K38" s="112" t="str">
        <f t="shared" si="18"/>
        <v>4021/4022</v>
      </c>
      <c r="L38" s="22" t="str">
        <f>VLOOKUP(A38,'Trips&amp;Operators'!$C$1:$E$10000,3,FALSE)</f>
        <v>LOPES</v>
      </c>
      <c r="M38" s="6">
        <f t="shared" si="19"/>
        <v>2.9270833329064772E-2</v>
      </c>
      <c r="N38" s="7">
        <f t="shared" si="20"/>
        <v>42.149999993853271</v>
      </c>
      <c r="O38" s="7"/>
      <c r="P38" s="7"/>
      <c r="Q38" s="23"/>
      <c r="R38" s="23"/>
      <c r="S38" s="35">
        <f t="shared" si="21"/>
        <v>1</v>
      </c>
      <c r="T38" s="50" t="str">
        <f t="shared" si="22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06:27:00-0600',mode:absolute,to:'2016-11-01 09:23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8" s="52" t="str">
        <f t="shared" si="24"/>
        <v>N</v>
      </c>
      <c r="X38" s="177">
        <f t="shared" si="33"/>
        <v>1</v>
      </c>
      <c r="Y38" s="67">
        <f t="shared" si="25"/>
        <v>23.297999999999998</v>
      </c>
      <c r="Z38" s="67">
        <f t="shared" si="26"/>
        <v>1.4500000000000001E-2</v>
      </c>
      <c r="AA38" s="67">
        <f t="shared" si="27"/>
        <v>23.283499999999997</v>
      </c>
      <c r="AB38" s="64" t="e">
        <f>VLOOKUP(A38,Enforcements!$C$7:$K$21,8,0)</f>
        <v>#N/A</v>
      </c>
      <c r="AC38" s="60" t="e">
        <f>VLOOKUP(A38,Enforcements!$C$7:$E$21,3,0)</f>
        <v>#N/A</v>
      </c>
      <c r="AD38" s="61" t="str">
        <f t="shared" si="28"/>
        <v>0126-01</v>
      </c>
      <c r="AE38" s="91" t="str">
        <f t="shared" si="0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38" s="88" t="str">
        <f t="shared" si="1"/>
        <v>"C:\Program Files (x86)\AstroGrep\AstroGrep.exe" /spath="%USERPROFILE%\AppData\Local\Temp\OnboardLogs" /stypes="app*4021*20161101*" /stext=" 14:.+((SYSTEM_STATE.+slice.+state.+changed )|(ment ac)|(system.+state.+changed )|(\[timeout)|(PRM\|1\|D)|(kpr)|(kdp)|(\|lc)|(penalty))" /e /r /s</v>
      </c>
      <c r="AG38" s="1" t="str">
        <f t="shared" si="29"/>
        <v>EC</v>
      </c>
      <c r="AH38" s="92" t="str">
        <f t="shared" si="30"/>
        <v>"%USERPROFILE%\Documents\GitHub\eaglep3\Utilities\RefineRTDCRunTimes.py" --tripid 126-01 --locoid 4021 --swversion DE.1.0.8.0 --startMP 204:232980 --initTime 2016-11-01T07:27:00 --startdatetime 2016-11-01T07:41:48 --delay 1 --endMP 204:145 --enddatetime 2016-11-01T08:23:57 --enforcementcount 0 &gt;&gt;C:\Users\stu\Documents\GitHub\eaglep3-reporting\EC\2016-11-01-refined-times.txt</v>
      </c>
      <c r="AI3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{"issue":{"subject":"","project_id":79,"tracker_id":40,"status_id":1,"priority_id":2,"assigned_to_id":23,"start_date":"2016-11-01","description":"","custom_fields":[{"id":1,"name":"Subdivision","value":"EC"},{"id":4,"name":"Milepost","value":"0.0145"},{"id":17,"name":"Train ID","value":"126-01"},{"id":16,"name":"Locomotive ID","value":"4021"},{"id":130,"name":"Impact","value":""},{"id":150,"name":"Time of Event (Mountain Time)","value":"08:23:57"},{"id":151,"name":"Denver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433</v>
      </c>
      <c r="B39" s="7">
        <v>4038</v>
      </c>
      <c r="C39" s="22" t="s">
        <v>253</v>
      </c>
      <c r="D39" s="22" t="s">
        <v>292</v>
      </c>
      <c r="E39" s="13">
        <v>42675.287083333336</v>
      </c>
      <c r="F39" s="13">
        <v>42675.292013888888</v>
      </c>
      <c r="G39" s="7">
        <v>2</v>
      </c>
      <c r="H39" s="13" t="s">
        <v>619</v>
      </c>
      <c r="I39" s="13">
        <v>42675.317731481482</v>
      </c>
      <c r="J39" s="7">
        <v>0</v>
      </c>
      <c r="K39" s="112" t="str">
        <f t="shared" si="18"/>
        <v>4037/4038</v>
      </c>
      <c r="L39" s="22" t="str">
        <f>VLOOKUP(A39,'Trips&amp;Operators'!$C$1:$E$10000,3,FALSE)</f>
        <v>MACDONALD</v>
      </c>
      <c r="M39" s="6">
        <f t="shared" si="19"/>
        <v>2.5717592594446614E-2</v>
      </c>
      <c r="N39" s="7">
        <f t="shared" si="20"/>
        <v>37.033333336003125</v>
      </c>
      <c r="O39" s="7"/>
      <c r="P39" s="7"/>
      <c r="Q39" s="23"/>
      <c r="R39" s="23"/>
      <c r="S39" s="35">
        <f t="shared" si="21"/>
        <v>1</v>
      </c>
      <c r="T39" s="50" t="str">
        <f t="shared" si="22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05:53:24-0600',mode:absolute,to:'2016-11-01 08:37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9" s="52" t="str">
        <f t="shared" si="24"/>
        <v>N</v>
      </c>
      <c r="X39" s="177">
        <f t="shared" si="33"/>
        <v>1</v>
      </c>
      <c r="Y39" s="67">
        <f t="shared" si="25"/>
        <v>4.7500000000000001E-2</v>
      </c>
      <c r="Z39" s="67">
        <f t="shared" si="26"/>
        <v>23.3308</v>
      </c>
      <c r="AA39" s="67">
        <f t="shared" si="27"/>
        <v>23.283300000000001</v>
      </c>
      <c r="AB39" s="64" t="e">
        <f>VLOOKUP(A39,Enforcements!$C$7:$K$21,8,0)</f>
        <v>#N/A</v>
      </c>
      <c r="AC39" s="60" t="e">
        <f>VLOOKUP(A39,Enforcements!$C$7:$E$21,3,0)</f>
        <v>#N/A</v>
      </c>
      <c r="AD39" s="61" t="str">
        <f t="shared" si="28"/>
        <v>0127-01</v>
      </c>
      <c r="AE39" s="91" t="str">
        <f t="shared" si="0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39" s="88" t="str">
        <f t="shared" si="1"/>
        <v>"C:\Program Files (x86)\AstroGrep\AstroGrep.exe" /spath="%USERPROFILE%\AppData\Local\Temp\OnboardLogs" /stypes="app*4038*20161101*" /stext=" 13:.+((SYSTEM_STATE.+slice.+state.+changed )|(ment ac)|(system.+state.+changed )|(\[timeout)|(PRM\|1\|D)|(kpr)|(kdp)|(\|lc)|(penalty))" /e /r /s</v>
      </c>
      <c r="AG39" s="1" t="str">
        <f t="shared" si="29"/>
        <v>EC</v>
      </c>
      <c r="AH39" s="92" t="str">
        <f t="shared" si="30"/>
        <v>"%USERPROFILE%\Documents\GitHub\eaglep3\Utilities\RefineRTDCRunTimes.py" --tripid 127-01 --locoid 4038 --swversion DE.1.0.8.0 --startMP 204:475 --initTime 2016-11-01T06:53:24 --startdatetime 2016-11-01T07:00:30 --delay 2 --endMP 204:233308 --enddatetime 2016-11-01T07:37:32 --enforcementcount 0 &gt;&gt;C:\Users\stu\Documents\GitHub\eaglep3-reporting\EC\2016-11-01-refined-times.txt</v>
      </c>
      <c r="AI39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{"issue":{"subject":"","project_id":79,"tracker_id":40,"status_id":1,"priority_id":2,"assigned_to_id":23,"start_date":"2016-11-01","description":"","custom_fields":[{"id":1,"name":"Subdivision","value":"EC"},{"id":4,"name":"Milepost","value":"23.3308"},{"id":17,"name":"Train ID","value":"127-01"},{"id":16,"name":"Locomotive ID","value":"4038"},{"id":130,"name":"Impact","value":""},{"id":150,"name":"Time of Event (Mountain Time)","value":"07:37:32"},{"id":151,"name":"Denver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442</v>
      </c>
      <c r="B40" s="7">
        <v>4037</v>
      </c>
      <c r="C40" s="22" t="s">
        <v>253</v>
      </c>
      <c r="D40" s="22" t="s">
        <v>339</v>
      </c>
      <c r="E40" s="13">
        <v>42675.323831018519</v>
      </c>
      <c r="F40" s="13">
        <v>42675.331157407411</v>
      </c>
      <c r="G40" s="7">
        <v>1</v>
      </c>
      <c r="H40" s="13" t="s">
        <v>233</v>
      </c>
      <c r="I40" s="13">
        <v>42675.358969907407</v>
      </c>
      <c r="J40" s="7">
        <v>0</v>
      </c>
      <c r="K40" s="112" t="str">
        <f t="shared" si="18"/>
        <v>4037/4038</v>
      </c>
      <c r="L40" s="22" t="str">
        <f>VLOOKUP(A40,'Trips&amp;Operators'!$C$1:$E$10000,3,FALSE)</f>
        <v>MACDONALD</v>
      </c>
      <c r="M40" s="6">
        <f t="shared" si="19"/>
        <v>2.7812499996798579E-2</v>
      </c>
      <c r="N40" s="7">
        <f t="shared" si="20"/>
        <v>40.049999995389953</v>
      </c>
      <c r="O40" s="7"/>
      <c r="P40" s="7"/>
      <c r="Q40" s="23"/>
      <c r="R40" s="23"/>
      <c r="S40" s="35">
        <f t="shared" si="21"/>
        <v>1</v>
      </c>
      <c r="T40" s="50" t="str">
        <f t="shared" si="2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06:46:19-0600',mode:absolute,to:'2016-11-01 09:36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40" s="52" t="str">
        <f t="shared" si="24"/>
        <v>N</v>
      </c>
      <c r="X40" s="177">
        <f t="shared" si="33"/>
        <v>1</v>
      </c>
      <c r="Y40" s="67">
        <f t="shared" si="25"/>
        <v>23.2974</v>
      </c>
      <c r="Z40" s="67">
        <f t="shared" si="26"/>
        <v>1.38E-2</v>
      </c>
      <c r="AA40" s="67">
        <f t="shared" si="27"/>
        <v>23.2836</v>
      </c>
      <c r="AB40" s="64" t="e">
        <f>VLOOKUP(A40,Enforcements!$C$7:$K$21,8,0)</f>
        <v>#N/A</v>
      </c>
      <c r="AC40" s="60" t="e">
        <f>VLOOKUP(A40,Enforcements!$C$7:$E$21,3,0)</f>
        <v>#N/A</v>
      </c>
      <c r="AD40" s="61" t="str">
        <f t="shared" si="28"/>
        <v>0128-01</v>
      </c>
      <c r="AE40" s="91" t="str">
        <f t="shared" si="0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40" s="88" t="str">
        <f t="shared" si="1"/>
        <v>"C:\Program Files (x86)\AstroGrep\AstroGrep.exe" /spath="%USERPROFILE%\AppData\Local\Temp\OnboardLogs" /stypes="app*4037*20161101*" /stext=" 14:.+((SYSTEM_STATE.+slice.+state.+changed )|(ment ac)|(system.+state.+changed )|(\[timeout)|(PRM\|1\|D)|(kpr)|(kdp)|(\|lc)|(penalty))" /e /r /s</v>
      </c>
      <c r="AG40" s="1" t="str">
        <f t="shared" si="29"/>
        <v>EC</v>
      </c>
      <c r="AH40" s="92" t="str">
        <f t="shared" si="30"/>
        <v>"%USERPROFILE%\Documents\GitHub\eaglep3\Utilities\RefineRTDCRunTimes.py" --tripid 128-01 --locoid 4037 --swversion DE.1.0.8.0 --startMP 204:232974 --initTime 2016-11-01T07:46:19 --startdatetime 2016-11-01T07:56:52 --delay 1 --endMP 204:138 --enddatetime 2016-11-01T08:36:55 --enforcementcount 0 &gt;&gt;C:\Users\stu\Documents\GitHub\eaglep3-reporting\EC\2016-11-01-refined-times.txt</v>
      </c>
      <c r="AI4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{"issue":{"subject":"","project_id":79,"tracker_id":40,"status_id":1,"priority_id":2,"assigned_to_id":23,"start_date":"2016-11-01","description":"","custom_fields":[{"id":1,"name":"Subdivision","value":"EC"},{"id":4,"name":"Milepost","value":"0.0138"},{"id":17,"name":"Train ID","value":"128-01"},{"id":16,"name":"Locomotive ID","value":"4037"},{"id":130,"name":"Impact","value":""},{"id":150,"name":"Time of Event (Mountain Time)","value":"08:36:55"},{"id":151,"name":"Denver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435</v>
      </c>
      <c r="B41" s="7">
        <v>4027</v>
      </c>
      <c r="C41" s="22" t="s">
        <v>253</v>
      </c>
      <c r="D41" s="22" t="s">
        <v>242</v>
      </c>
      <c r="E41" s="13">
        <v>42675.297222222223</v>
      </c>
      <c r="F41" s="13">
        <v>42675.302627314813</v>
      </c>
      <c r="G41" s="7">
        <v>2</v>
      </c>
      <c r="H41" s="13" t="s">
        <v>286</v>
      </c>
      <c r="I41" s="13">
        <v>42675.329837962963</v>
      </c>
      <c r="J41" s="7">
        <v>0</v>
      </c>
      <c r="K41" s="112" t="str">
        <f t="shared" si="18"/>
        <v>4027/4028</v>
      </c>
      <c r="L41" s="22" t="str">
        <f>VLOOKUP(A41,'Trips&amp;Operators'!$C$1:$E$10000,3,FALSE)</f>
        <v>NELSON</v>
      </c>
      <c r="M41" s="6">
        <f t="shared" si="19"/>
        <v>2.7210648149775807E-2</v>
      </c>
      <c r="N41" s="7">
        <f t="shared" si="20"/>
        <v>39.183333335677162</v>
      </c>
      <c r="O41" s="7"/>
      <c r="P41" s="7"/>
      <c r="Q41" s="23"/>
      <c r="R41" s="23"/>
      <c r="S41" s="35">
        <f t="shared" si="21"/>
        <v>1</v>
      </c>
      <c r="T41" s="50" t="str">
        <f t="shared" si="22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06:08:00-0600',mode:absolute,to:'2016-11-01 08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1" s="52" t="str">
        <f t="shared" si="24"/>
        <v>N</v>
      </c>
      <c r="X41" s="177">
        <f t="shared" si="33"/>
        <v>1</v>
      </c>
      <c r="Y41" s="67">
        <f t="shared" si="25"/>
        <v>4.5699999999999998E-2</v>
      </c>
      <c r="Z41" s="67">
        <f t="shared" si="26"/>
        <v>23.330300000000001</v>
      </c>
      <c r="AA41" s="67">
        <f t="shared" si="27"/>
        <v>23.284600000000001</v>
      </c>
      <c r="AB41" s="64" t="e">
        <f>VLOOKUP(A41,Enforcements!$C$7:$K$21,8,0)</f>
        <v>#N/A</v>
      </c>
      <c r="AC41" s="60" t="e">
        <f>VLOOKUP(A41,Enforcements!$C$7:$E$21,3,0)</f>
        <v>#N/A</v>
      </c>
      <c r="AD41" s="61" t="str">
        <f t="shared" si="28"/>
        <v>0129-01</v>
      </c>
      <c r="AE41" s="91" t="str">
        <f t="shared" si="0"/>
        <v>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 &amp; aws s3 cp s3://rtdc.mdm.uploadarchive.raw/RTDC4027/ "%USERPROFILE%\AppData\Local\Temp\OnboardLogs"\RTDC4027\2016-11-02 --exclude "*" --recursive --include "*20161102*" &amp; "%USERPROFILE%\Documents\GitHub\mrs-test-scripts\Headless Mode &amp; Sideloading\WalkAndUnGZ.bat" "%USERPROFILE%\AppData\Local\Temp\OnboardLogs"\RTDC4027\2016-11-02</v>
      </c>
      <c r="AF41" s="88" t="str">
        <f t="shared" si="1"/>
        <v>"C:\Program Files (x86)\AstroGrep\AstroGrep.exe" /spath="%USERPROFILE%\AppData\Local\Temp\OnboardLogs" /stypes="app*4027*20161101*" /stext=" 13:.+((SYSTEM_STATE.+slice.+state.+changed )|(ment ac)|(system.+state.+changed )|(\[timeout)|(PRM\|1\|D)|(kpr)|(kdp)|(\|lc)|(penalty))" /e /r /s</v>
      </c>
      <c r="AG41" s="1" t="str">
        <f t="shared" si="29"/>
        <v>EC</v>
      </c>
      <c r="AH41" s="92" t="str">
        <f t="shared" si="30"/>
        <v>"%USERPROFILE%\Documents\GitHub\eaglep3\Utilities\RefineRTDCRunTimes.py" --tripid 129-01 --locoid 4027 --swversion DE.1.0.8.0 --startMP 204:457 --initTime 2016-11-01T07:08:00 --startdatetime 2016-11-01T07:15:47 --delay 2 --endMP 204:233303 --enddatetime 2016-11-01T07:54:58 --enforcementcount 0 &gt;&gt;C:\Users\stu\Documents\GitHub\eaglep3-reporting\EC\2016-11-01-refined-times.txt</v>
      </c>
      <c r="AI4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{"issue":{"subject":"","project_id":79,"tracker_id":40,"status_id":1,"priority_id":2,"assigned_to_id":23,"start_date":"2016-11-01","description":"","custom_fields":[{"id":1,"name":"Subdivision","value":"EC"},{"id":4,"name":"Milepost","value":"23.3303"},{"id":17,"name":"Train ID","value":"129-01"},{"id":16,"name":"Locomotive ID","value":"4027"},{"id":130,"name":"Impact","value":""},{"id":150,"name":"Time of Event (Mountain Time)","value":"07:54:58"},{"id":151,"name":"Denver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446</v>
      </c>
      <c r="B42" s="7">
        <v>4028</v>
      </c>
      <c r="C42" s="22" t="s">
        <v>253</v>
      </c>
      <c r="D42" s="22" t="s">
        <v>275</v>
      </c>
      <c r="E42" s="13">
        <v>42675.339386574073</v>
      </c>
      <c r="F42" s="13">
        <v>42675.34134259259</v>
      </c>
      <c r="G42" s="7">
        <v>2</v>
      </c>
      <c r="H42" s="13" t="s">
        <v>205</v>
      </c>
      <c r="I42" s="13">
        <v>42675.370671296296</v>
      </c>
      <c r="J42" s="7">
        <v>0</v>
      </c>
      <c r="K42" s="112" t="str">
        <f t="shared" si="18"/>
        <v>4027/4028</v>
      </c>
      <c r="L42" s="22" t="str">
        <f>VLOOKUP(A42,'Trips&amp;Operators'!$C$1:$E$10000,3,FALSE)</f>
        <v>NELSON</v>
      </c>
      <c r="M42" s="6">
        <f t="shared" si="19"/>
        <v>2.9328703705687076E-2</v>
      </c>
      <c r="N42" s="7">
        <f t="shared" si="20"/>
        <v>42.233333336189389</v>
      </c>
      <c r="O42" s="7"/>
      <c r="P42" s="7"/>
      <c r="Q42" s="23"/>
      <c r="R42" s="23"/>
      <c r="S42" s="35">
        <f t="shared" si="21"/>
        <v>1</v>
      </c>
      <c r="T42" s="50" t="str">
        <f t="shared" si="22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07:08:43-0600',mode:absolute,to:'2016-11-01 09:53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2" s="52" t="str">
        <f t="shared" si="24"/>
        <v>N</v>
      </c>
      <c r="X42" s="177">
        <f t="shared" si="33"/>
        <v>1</v>
      </c>
      <c r="Y42" s="67">
        <f t="shared" si="25"/>
        <v>23.297499999999999</v>
      </c>
      <c r="Z42" s="67">
        <f t="shared" si="26"/>
        <v>1.49E-2</v>
      </c>
      <c r="AA42" s="67">
        <f t="shared" si="27"/>
        <v>23.282599999999999</v>
      </c>
      <c r="AB42" s="64" t="e">
        <f>VLOOKUP(A42,Enforcements!$C$7:$K$21,8,0)</f>
        <v>#N/A</v>
      </c>
      <c r="AC42" s="60" t="e">
        <f>VLOOKUP(A42,Enforcements!$C$7:$E$21,3,0)</f>
        <v>#N/A</v>
      </c>
      <c r="AD42" s="61" t="str">
        <f t="shared" si="28"/>
        <v>0130-01</v>
      </c>
      <c r="AE42" s="91" t="str">
        <f t="shared" si="0"/>
        <v>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 &amp; aws s3 cp s3://rtdc.mdm.uploadarchive.raw/RTDC4028/ "%USERPROFILE%\AppData\Local\Temp\OnboardLogs"\RTDC4028\2016-11-02 --exclude "*" --recursive --include "*20161102*" &amp; "%USERPROFILE%\Documents\GitHub\mrs-test-scripts\Headless Mode &amp; Sideloading\WalkAndUnGZ.bat" "%USERPROFILE%\AppData\Local\Temp\OnboardLogs"\RTDC4028\2016-11-02</v>
      </c>
      <c r="AF42" s="88" t="str">
        <f t="shared" si="1"/>
        <v>"C:\Program Files (x86)\AstroGrep\AstroGrep.exe" /spath="%USERPROFILE%\AppData\Local\Temp\OnboardLogs" /stypes="app*4028*20161101*" /stext=" 14:.+((SYSTEM_STATE.+slice.+state.+changed )|(ment ac)|(system.+state.+changed )|(\[timeout)|(PRM\|1\|D)|(kpr)|(kdp)|(\|lc)|(penalty))" /e /r /s</v>
      </c>
      <c r="AG42" s="1" t="str">
        <f t="shared" si="29"/>
        <v>EC</v>
      </c>
      <c r="AH42" s="92" t="str">
        <f t="shared" si="30"/>
        <v>"%USERPROFILE%\Documents\GitHub\eaglep3\Utilities\RefineRTDCRunTimes.py" --tripid 130-01 --locoid 4028 --swversion DE.1.0.8.0 --startMP 204:232975 --initTime 2016-11-01T08:08:43 --startdatetime 2016-11-01T08:11:32 --delay 2 --endMP 204:149 --enddatetime 2016-11-01T08:53:46 --enforcementcount 0 &gt;&gt;C:\Users\stu\Documents\GitHub\eaglep3-reporting\EC\2016-11-01-refined-times.txt</v>
      </c>
      <c r="AI4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{"issue":{"subject":"","project_id":79,"tracker_id":40,"status_id":1,"priority_id":2,"assigned_to_id":23,"start_date":"2016-11-01","description":"","custom_fields":[{"id":1,"name":"Subdivision","value":"EC"},{"id":4,"name":"Milepost","value":"0.0149"},{"id":17,"name":"Train ID","value":"130-01"},{"id":16,"name":"Locomotive ID","value":"4028"},{"id":130,"name":"Impact","value":""},{"id":150,"name":"Time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438</v>
      </c>
      <c r="B43" s="7">
        <v>4007</v>
      </c>
      <c r="C43" s="22" t="s">
        <v>253</v>
      </c>
      <c r="D43" s="22" t="s">
        <v>270</v>
      </c>
      <c r="E43" s="13">
        <v>42675.30740740741</v>
      </c>
      <c r="F43" s="13">
        <v>42675.312824074077</v>
      </c>
      <c r="G43" s="7">
        <v>1</v>
      </c>
      <c r="H43" s="13" t="s">
        <v>346</v>
      </c>
      <c r="I43" s="13">
        <v>42675.339930555558</v>
      </c>
      <c r="J43" s="7">
        <v>0</v>
      </c>
      <c r="K43" s="112" t="str">
        <f t="shared" si="18"/>
        <v>4007/4008</v>
      </c>
      <c r="L43" s="22" t="str">
        <f>VLOOKUP(A43,'Trips&amp;Operators'!$C$1:$E$10000,3,FALSE)</f>
        <v>LALONDE</v>
      </c>
      <c r="M43" s="6">
        <f t="shared" si="19"/>
        <v>2.7106481480586808E-2</v>
      </c>
      <c r="N43" s="7">
        <f t="shared" si="20"/>
        <v>39.033333332045004</v>
      </c>
      <c r="O43" s="7"/>
      <c r="P43" s="7"/>
      <c r="Q43" s="23"/>
      <c r="R43" s="23"/>
      <c r="S43" s="35">
        <f t="shared" si="21"/>
        <v>1</v>
      </c>
      <c r="T43" s="50" t="str">
        <f t="shared" si="22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06:22:40-0600',mode:absolute,to:'2016-11-01 09:09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3" s="52" t="str">
        <f t="shared" si="24"/>
        <v>N</v>
      </c>
      <c r="X43" s="177">
        <f t="shared" si="33"/>
        <v>1</v>
      </c>
      <c r="Y43" s="67">
        <f t="shared" si="25"/>
        <v>4.3799999999999999E-2</v>
      </c>
      <c r="Z43" s="67">
        <f t="shared" si="26"/>
        <v>23.329799999999999</v>
      </c>
      <c r="AA43" s="67">
        <f t="shared" si="27"/>
        <v>23.285999999999998</v>
      </c>
      <c r="AB43" s="64" t="e">
        <f>VLOOKUP(A43,Enforcements!$C$7:$K$21,8,0)</f>
        <v>#N/A</v>
      </c>
      <c r="AC43" s="60" t="e">
        <f>VLOOKUP(A43,Enforcements!$C$7:$E$21,3,0)</f>
        <v>#N/A</v>
      </c>
      <c r="AD43" s="61" t="str">
        <f t="shared" si="28"/>
        <v>0131-01</v>
      </c>
      <c r="AE43" s="91" t="str">
        <f t="shared" si="0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43" s="88" t="str">
        <f t="shared" si="1"/>
        <v>"C:\Program Files (x86)\AstroGrep\AstroGrep.exe" /spath="%USERPROFILE%\AppData\Local\Temp\OnboardLogs" /stypes="app*4007*20161101*" /stext=" 14:.+((SYSTEM_STATE.+slice.+state.+changed )|(ment ac)|(system.+state.+changed )|(\[timeout)|(PRM\|1\|D)|(kpr)|(kdp)|(\|lc)|(penalty))" /e /r /s</v>
      </c>
      <c r="AG43" s="1" t="str">
        <f t="shared" si="29"/>
        <v>EC</v>
      </c>
      <c r="AH43" s="92" t="str">
        <f t="shared" si="30"/>
        <v>"%USERPROFILE%\Documents\GitHub\eaglep3\Utilities\RefineRTDCRunTimes.py" --tripid 131-01 --locoid 4007 --swversion DE.1.0.8.0 --startMP 204:438 --initTime 2016-11-01T07:22:40 --startdatetime 2016-11-01T07:30:28 --delay 1 --endMP 204:233298 --enddatetime 2016-11-01T08:09:30 --enforcementcount 0 &gt;&gt;C:\Users\stu\Documents\GitHub\eaglep3-reporting\EC\2016-11-01-refined-times.txt</v>
      </c>
      <c r="AI4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{"issue":{"subject":"","project_id":79,"tracker_id":40,"status_id":1,"priority_id":2,"assigned_to_id":23,"start_date":"2016-11-01","description":"","custom_fields":[{"id":1,"name":"Subdivision","value":"EC"},{"id":4,"name":"Milepost","value":"23.3298"},{"id":17,"name":"Train ID","value":"131-01"},{"id":16,"name":"Locomotive ID","value":"4007"},{"id":130,"name":"Impact","value":""},{"id":150,"name":"Time of Event (Mountain Time)","value":"08:09:30"},{"id":151,"name":"Denver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448</v>
      </c>
      <c r="B44" s="7">
        <v>4008</v>
      </c>
      <c r="C44" s="22" t="s">
        <v>253</v>
      </c>
      <c r="D44" s="22" t="s">
        <v>240</v>
      </c>
      <c r="E44" s="13">
        <v>42675.341793981483</v>
      </c>
      <c r="F44" s="13">
        <v>42675.351712962962</v>
      </c>
      <c r="G44" s="7">
        <v>1</v>
      </c>
      <c r="H44" s="13" t="s">
        <v>228</v>
      </c>
      <c r="I44" s="13">
        <v>42675.381215277775</v>
      </c>
      <c r="J44" s="7">
        <v>0</v>
      </c>
      <c r="K44" s="112" t="str">
        <f t="shared" si="18"/>
        <v>4007/4008</v>
      </c>
      <c r="L44" s="22" t="str">
        <f>VLOOKUP(A44,'Trips&amp;Operators'!$C$1:$E$10000,3,FALSE)</f>
        <v>LALONDE</v>
      </c>
      <c r="M44" s="6">
        <f t="shared" si="19"/>
        <v>2.9502314813726116E-2</v>
      </c>
      <c r="N44" s="7">
        <f t="shared" si="20"/>
        <v>42.483333331765607</v>
      </c>
      <c r="O44" s="7"/>
      <c r="P44" s="7"/>
      <c r="Q44" s="23"/>
      <c r="R44" s="23"/>
      <c r="S44" s="35">
        <f t="shared" si="21"/>
        <v>1</v>
      </c>
      <c r="T44" s="50" t="str">
        <f t="shared" si="22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07:12:11-0600',mode:absolute,to:'2016-11-01 10:08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4" s="52" t="str">
        <f t="shared" si="24"/>
        <v>N</v>
      </c>
      <c r="X44" s="177">
        <f t="shared" si="33"/>
        <v>1</v>
      </c>
      <c r="Y44" s="67">
        <f t="shared" si="25"/>
        <v>23.298500000000001</v>
      </c>
      <c r="Z44" s="67">
        <f t="shared" si="26"/>
        <v>1.5599999999999999E-2</v>
      </c>
      <c r="AA44" s="67">
        <f t="shared" si="27"/>
        <v>23.282900000000001</v>
      </c>
      <c r="AB44" s="64" t="e">
        <f>VLOOKUP(A44,Enforcements!$C$7:$K$21,8,0)</f>
        <v>#N/A</v>
      </c>
      <c r="AC44" s="60" t="e">
        <f>VLOOKUP(A44,Enforcements!$C$7:$E$21,3,0)</f>
        <v>#N/A</v>
      </c>
      <c r="AD44" s="61" t="str">
        <f t="shared" si="28"/>
        <v>0132-01</v>
      </c>
      <c r="AE44" s="91" t="str">
        <f t="shared" si="0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44" s="88" t="str">
        <f t="shared" si="1"/>
        <v>"C:\Program Files (x86)\AstroGrep\AstroGrep.exe" /spath="%USERPROFILE%\AppData\Local\Temp\OnboardLogs" /stypes="app*4008*20161101*" /stext=" 15:.+((SYSTEM_STATE.+slice.+state.+changed )|(ment ac)|(system.+state.+changed )|(\[timeout)|(PRM\|1\|D)|(kpr)|(kdp)|(\|lc)|(penalty))" /e /r /s</v>
      </c>
      <c r="AG44" s="1" t="str">
        <f t="shared" si="29"/>
        <v>EC</v>
      </c>
      <c r="AH44" s="92" t="str">
        <f t="shared" si="30"/>
        <v>"%USERPROFILE%\Documents\GitHub\eaglep3\Utilities\RefineRTDCRunTimes.py" --tripid 132-01 --locoid 4008 --swversion DE.1.0.8.0 --startMP 204:232985 --initTime 2016-11-01T08:12:11 --startdatetime 2016-11-01T08:26:28 --delay 1 --endMP 204:156 --enddatetime 2016-11-01T09:08:57 --enforcementcount 0 &gt;&gt;C:\Users\stu\Documents\GitHub\eaglep3-reporting\EC\2016-11-01-refined-times.txt</v>
      </c>
      <c r="AI4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{"issue":{"subject":"","project_id":79,"tracker_id":40,"status_id":1,"priority_id":2,"assigned_to_id":23,"start_date":"2016-11-01","description":"","custom_fields":[{"id":1,"name":"Subdivision","value":"EC"},{"id":4,"name":"Milepost","value":"0.0156"},{"id":17,"name":"Train ID","value":"132-01"},{"id":16,"name":"Locomotive ID","value":"4008"},{"id":130,"name":"Impact","value":""},{"id":150,"name":"Time of Event (Mountain Time)","value":"09:08:57"},{"id":151,"name":"Denver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441</v>
      </c>
      <c r="B45" s="7">
        <v>4042</v>
      </c>
      <c r="C45" s="22" t="s">
        <v>253</v>
      </c>
      <c r="D45" s="22" t="s">
        <v>292</v>
      </c>
      <c r="E45" s="13">
        <v>42675.319027777776</v>
      </c>
      <c r="F45" s="13">
        <v>42675.323101851849</v>
      </c>
      <c r="G45" s="7">
        <v>1</v>
      </c>
      <c r="H45" s="13" t="s">
        <v>610</v>
      </c>
      <c r="I45" s="13">
        <v>42675.34851851852</v>
      </c>
      <c r="J45" s="7">
        <v>0</v>
      </c>
      <c r="K45" s="112" t="str">
        <f t="shared" si="18"/>
        <v>4041/4042</v>
      </c>
      <c r="L45" s="22" t="str">
        <f>VLOOKUP(A45,'Trips&amp;Operators'!$C$1:$E$10000,3,FALSE)</f>
        <v>BADERTSCHER</v>
      </c>
      <c r="M45" s="6">
        <f t="shared" si="19"/>
        <v>2.5416666670935228E-2</v>
      </c>
      <c r="N45" s="7">
        <f t="shared" si="20"/>
        <v>36.600000006146729</v>
      </c>
      <c r="O45" s="7"/>
      <c r="P45" s="7"/>
      <c r="Q45" s="23"/>
      <c r="R45" s="23"/>
      <c r="S45" s="35">
        <f t="shared" si="21"/>
        <v>1</v>
      </c>
      <c r="T45" s="50" t="str">
        <f t="shared" si="22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06:39:24-0600',mode:absolute,to:'2016-11-01 09:21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5" s="52" t="str">
        <f t="shared" si="24"/>
        <v>N</v>
      </c>
      <c r="X45" s="177">
        <f t="shared" si="33"/>
        <v>1</v>
      </c>
      <c r="Y45" s="67">
        <f t="shared" si="25"/>
        <v>4.7500000000000001E-2</v>
      </c>
      <c r="Z45" s="67">
        <f t="shared" si="26"/>
        <v>23.329899999999999</v>
      </c>
      <c r="AA45" s="67">
        <f t="shared" si="27"/>
        <v>23.282399999999999</v>
      </c>
      <c r="AB45" s="64" t="e">
        <f>VLOOKUP(A45,Enforcements!$C$7:$K$21,8,0)</f>
        <v>#N/A</v>
      </c>
      <c r="AC45" s="60" t="e">
        <f>VLOOKUP(A45,Enforcements!$C$7:$E$21,3,0)</f>
        <v>#N/A</v>
      </c>
      <c r="AD45" s="61" t="str">
        <f t="shared" si="28"/>
        <v>0133-01</v>
      </c>
      <c r="AE45" s="91" t="str">
        <f t="shared" si="0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45" s="88" t="str">
        <f t="shared" si="1"/>
        <v>"C:\Program Files (x86)\AstroGrep\AstroGrep.exe" /spath="%USERPROFILE%\AppData\Local\Temp\OnboardLogs" /stypes="app*4042*20161101*" /stext=" 14:.+((SYSTEM_STATE.+slice.+state.+changed )|(ment ac)|(system.+state.+changed )|(\[timeout)|(PRM\|1\|D)|(kpr)|(kdp)|(\|lc)|(penalty))" /e /r /s</v>
      </c>
      <c r="AG45" s="1" t="str">
        <f t="shared" si="29"/>
        <v>EC</v>
      </c>
      <c r="AH45" s="92" t="str">
        <f t="shared" si="30"/>
        <v>"%USERPROFILE%\Documents\GitHub\eaglep3\Utilities\RefineRTDCRunTimes.py" --tripid 133-01 --locoid 4042 --swversion DE.1.0.8.0 --startMP 204:475 --initTime 2016-11-01T07:39:24 --startdatetime 2016-11-01T07:45:16 --delay 1 --endMP 204:233299 --enddatetime 2016-11-01T08:21:52 --enforcementcount 0 &gt;&gt;C:\Users\stu\Documents\GitHub\eaglep3-reporting\EC\2016-11-01-refined-times.txt</v>
      </c>
      <c r="AI4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{"issue":{"subject":"","project_id":79,"tracker_id":40,"status_id":1,"priority_id":2,"assigned_to_id":23,"start_date":"2016-11-01","description":"","custom_fields":[{"id":1,"name":"Subdivision","value":"EC"},{"id":4,"name":"Milepost","value":"23.3299"},{"id":17,"name":"Train ID","value":"133-01"},{"id":16,"name":"Locomotive ID","value":"4042"},{"id":130,"name":"Impact","value":""},{"id":150,"name":"Time of Event (Mountain Time)","value":"08:21:52"},{"id":151,"name":"Denver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382</v>
      </c>
      <c r="B46" s="7">
        <v>4041</v>
      </c>
      <c r="C46" s="22" t="s">
        <v>253</v>
      </c>
      <c r="D46" s="22" t="s">
        <v>226</v>
      </c>
      <c r="E46" s="13">
        <v>42675.354525462964</v>
      </c>
      <c r="F46" s="13">
        <v>42675.362013888887</v>
      </c>
      <c r="G46" s="7">
        <v>1</v>
      </c>
      <c r="H46" s="13" t="s">
        <v>175</v>
      </c>
      <c r="I46" s="13">
        <v>42675.38858796296</v>
      </c>
      <c r="J46" s="7">
        <v>0</v>
      </c>
      <c r="K46" s="112" t="str">
        <f t="shared" si="18"/>
        <v>4041/4042</v>
      </c>
      <c r="L46" s="22" t="str">
        <f>VLOOKUP(A46,'Trips&amp;Operators'!$C$1:$E$10000,3,FALSE)</f>
        <v>BADERTSCHER</v>
      </c>
      <c r="M46" s="6">
        <f t="shared" si="19"/>
        <v>2.6574074072414078E-2</v>
      </c>
      <c r="N46" s="7">
        <f t="shared" si="20"/>
        <v>38.266666664276272</v>
      </c>
      <c r="O46" s="7"/>
      <c r="P46" s="7"/>
      <c r="Q46" s="23"/>
      <c r="R46" s="23"/>
      <c r="S46" s="35">
        <f t="shared" si="21"/>
        <v>1</v>
      </c>
      <c r="T46" s="50" t="str">
        <f t="shared" si="2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07:30:31-0600',mode:absolute,to:'2016-11-01 10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6" s="52" t="str">
        <f t="shared" si="24"/>
        <v>N</v>
      </c>
      <c r="X46" s="177">
        <f t="shared" si="33"/>
        <v>1</v>
      </c>
      <c r="Y46" s="67">
        <f t="shared" si="25"/>
        <v>23.297699999999999</v>
      </c>
      <c r="Z46" s="67">
        <f t="shared" si="26"/>
        <v>1.47E-2</v>
      </c>
      <c r="AA46" s="67">
        <f t="shared" si="27"/>
        <v>23.282999999999998</v>
      </c>
      <c r="AB46" s="64" t="str">
        <f>VLOOKUP(A46,Enforcements!$C$7:$K$21,8,0)</f>
        <v>Bulletin (2)</v>
      </c>
      <c r="AC46" s="60" t="str">
        <f>VLOOKUP(A46,Enforcements!$C$7:$E$21,3,0)</f>
        <v>GRADE CROSSING</v>
      </c>
      <c r="AD46" s="61" t="str">
        <f t="shared" si="28"/>
        <v>0134-01</v>
      </c>
      <c r="AE46" s="91" t="str">
        <f t="shared" si="0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46" s="88" t="str">
        <f t="shared" si="1"/>
        <v>"C:\Program Files (x86)\AstroGrep\AstroGrep.exe" /spath="%USERPROFILE%\AppData\Local\Temp\OnboardLogs" /stypes="app*4041*20161101*" /stext=" 15:.+((SYSTEM_STATE.+slice.+state.+changed )|(ment ac)|(system.+state.+changed )|(\[timeout)|(PRM\|1\|D)|(kpr)|(kdp)|(\|lc)|(penalty))" /e /r /s</v>
      </c>
      <c r="AG46" s="1" t="str">
        <f t="shared" si="29"/>
        <v>EC</v>
      </c>
      <c r="AH46" s="92" t="str">
        <f t="shared" si="30"/>
        <v>"%USERPROFILE%\Documents\GitHub\eaglep3\Utilities\RefineRTDCRunTimes.py" --tripid 134-01 --locoid 4041 --swversion DE.1.0.8.0 --startMP 204:232977 --initTime 2016-11-01T08:30:31 --startdatetime 2016-11-01T08:41:18 --delay 1 --endMP 204:147 --enddatetime 2016-11-01T09:19:34 --enforcementcount 0 &gt;&gt;C:\Users\stu\Documents\GitHub\eaglep3-reporting\EC\2016-11-01-refined-times.txt</v>
      </c>
      <c r="AI4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{"issue":{"subject":"","project_id":79,"tracker_id":40,"status_id":1,"priority_id":2,"assigned_to_id":23,"start_date":"2016-11-01","description":"","custom_fields":[{"id":1,"name":"Subdivision","value":"EC"},{"id":4,"name":"Milepost","value":"0.0147"},{"id":17,"name":"Train ID","value":"134-01"},{"id":16,"name":"Locomotive ID","value":"4041"},{"id":130,"name":"Impact","value":""},{"id":150,"name":"Time of Event (Mountain Time)","value":"09:19:34"},{"id":151,"name":"Denver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444</v>
      </c>
      <c r="B47" s="7">
        <v>4040</v>
      </c>
      <c r="C47" s="22" t="s">
        <v>253</v>
      </c>
      <c r="D47" s="22" t="s">
        <v>620</v>
      </c>
      <c r="E47" s="13">
        <v>42675.33390046296</v>
      </c>
      <c r="F47" s="13">
        <v>42675.335949074077</v>
      </c>
      <c r="G47" s="7">
        <v>1</v>
      </c>
      <c r="H47" s="13" t="s">
        <v>346</v>
      </c>
      <c r="I47" s="13">
        <v>42675.361863425926</v>
      </c>
      <c r="J47" s="7">
        <v>0</v>
      </c>
      <c r="K47" s="112" t="str">
        <f t="shared" si="18"/>
        <v>4039/4040</v>
      </c>
      <c r="L47" s="22" t="str">
        <f>VLOOKUP(A47,'Trips&amp;Operators'!$C$1:$E$10000,3,FALSE)</f>
        <v>RICHARDSON</v>
      </c>
      <c r="M47" s="6">
        <f t="shared" si="19"/>
        <v>2.5914351848769002E-2</v>
      </c>
      <c r="N47" s="7">
        <f t="shared" si="20"/>
        <v>37.316666662227362</v>
      </c>
      <c r="O47" s="7"/>
      <c r="P47" s="7"/>
      <c r="Q47" s="23"/>
      <c r="R47" s="23"/>
      <c r="S47" s="35">
        <f t="shared" si="21"/>
        <v>1</v>
      </c>
      <c r="T47" s="50" t="str">
        <f t="shared" si="22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07:00:49-0600',mode:absolute,to:'2016-11-01 09:41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7" s="52" t="str">
        <f t="shared" si="24"/>
        <v>N</v>
      </c>
      <c r="X47" s="177">
        <f t="shared" si="33"/>
        <v>1</v>
      </c>
      <c r="Y47" s="67">
        <f t="shared" si="25"/>
        <v>5.3100000000000001E-2</v>
      </c>
      <c r="Z47" s="67">
        <f t="shared" si="26"/>
        <v>23.329799999999999</v>
      </c>
      <c r="AA47" s="67">
        <f t="shared" si="27"/>
        <v>23.276699999999998</v>
      </c>
      <c r="AB47" s="64" t="e">
        <f>VLOOKUP(A47,Enforcements!$C$7:$K$21,8,0)</f>
        <v>#N/A</v>
      </c>
      <c r="AC47" s="60" t="e">
        <f>VLOOKUP(A47,Enforcements!$C$7:$E$21,3,0)</f>
        <v>#N/A</v>
      </c>
      <c r="AD47" s="61" t="str">
        <f t="shared" si="28"/>
        <v>0135-01</v>
      </c>
      <c r="AE47" s="91" t="str">
        <f t="shared" si="0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47" s="88" t="str">
        <f t="shared" si="1"/>
        <v>"C:\Program Files (x86)\AstroGrep\AstroGrep.exe" /spath="%USERPROFILE%\AppData\Local\Temp\OnboardLogs" /stypes="app*4040*20161101*" /stext=" 14:.+((SYSTEM_STATE.+slice.+state.+changed )|(ment ac)|(system.+state.+changed )|(\[timeout)|(PRM\|1\|D)|(kpr)|(kdp)|(\|lc)|(penalty))" /e /r /s</v>
      </c>
      <c r="AG47" s="1" t="str">
        <f t="shared" si="29"/>
        <v>EC</v>
      </c>
      <c r="AH47" s="92" t="str">
        <f t="shared" si="30"/>
        <v>"%USERPROFILE%\Documents\GitHub\eaglep3\Utilities\RefineRTDCRunTimes.py" --tripid 135-01 --locoid 4040 --swversion DE.1.0.8.0 --startMP 204:531 --initTime 2016-11-01T08:00:49 --startdatetime 2016-11-01T08:03:46 --delay 1 --endMP 204:233298 --enddatetime 2016-11-01T08:41:05 --enforcementcount 0 &gt;&gt;C:\Users\stu\Documents\GitHub\eaglep3-reporting\EC\2016-11-01-refined-times.txt</v>
      </c>
      <c r="AI4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{"issue":{"subject":"","project_id":79,"tracker_id":40,"status_id":1,"priority_id":2,"assigned_to_id":23,"start_date":"2016-11-01","description":"","custom_fields":[{"id":1,"name":"Subdivision","value":"EC"},{"id":4,"name":"Milepost","value":"23.3298"},{"id":17,"name":"Train ID","value":"135-01"},{"id":16,"name":"Locomotive ID","value":"4040"},{"id":130,"name":"Impact","value":""},{"id":150,"name":"Time of Event (Mountain Time)","value":"08:41:05"},{"id":151,"name":"Denver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383</v>
      </c>
      <c r="B48" s="7">
        <v>4039</v>
      </c>
      <c r="C48" s="22" t="s">
        <v>253</v>
      </c>
      <c r="D48" s="22" t="s">
        <v>240</v>
      </c>
      <c r="E48" s="13">
        <v>42675.368541666663</v>
      </c>
      <c r="F48" s="13">
        <v>42675.372418981482</v>
      </c>
      <c r="G48" s="7">
        <v>1</v>
      </c>
      <c r="H48" s="13" t="s">
        <v>621</v>
      </c>
      <c r="I48" s="13">
        <v>42675.40215277778</v>
      </c>
      <c r="J48" s="7">
        <v>0</v>
      </c>
      <c r="K48" s="112" t="str">
        <f t="shared" si="18"/>
        <v>4039/4040</v>
      </c>
      <c r="L48" s="22" t="str">
        <f>VLOOKUP(A48,'Trips&amp;Operators'!$C$1:$E$10000,3,FALSE)</f>
        <v>RICHARDSON</v>
      </c>
      <c r="M48" s="6">
        <f t="shared" si="19"/>
        <v>2.973379629838746E-2</v>
      </c>
      <c r="N48" s="7">
        <f t="shared" si="20"/>
        <v>42.816666669677943</v>
      </c>
      <c r="O48" s="7"/>
      <c r="P48" s="7"/>
      <c r="Q48" s="23"/>
      <c r="R48" s="23"/>
      <c r="S48" s="35">
        <f t="shared" si="21"/>
        <v>1</v>
      </c>
      <c r="T48" s="50" t="str">
        <f t="shared" si="2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07:50:42-0600',mode:absolute,to:'2016-11-01 10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8" s="52" t="str">
        <f t="shared" si="24"/>
        <v>N</v>
      </c>
      <c r="X48" s="177">
        <f t="shared" si="33"/>
        <v>1</v>
      </c>
      <c r="Y48" s="67">
        <f t="shared" si="25"/>
        <v>23.298500000000001</v>
      </c>
      <c r="Z48" s="67">
        <f t="shared" si="26"/>
        <v>1.78E-2</v>
      </c>
      <c r="AA48" s="67">
        <f t="shared" si="27"/>
        <v>23.2807</v>
      </c>
      <c r="AB48" s="64" t="str">
        <f>VLOOKUP(A48,Enforcements!$C$7:$K$21,8,0)</f>
        <v>Bulletin (2)</v>
      </c>
      <c r="AC48" s="60" t="str">
        <f>VLOOKUP(A48,Enforcements!$C$7:$E$21,3,0)</f>
        <v>GRADE CROSSING</v>
      </c>
      <c r="AD48" s="61" t="str">
        <f t="shared" si="28"/>
        <v>0136-01</v>
      </c>
      <c r="AE48" s="91" t="str">
        <f t="shared" si="0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48" s="88" t="str">
        <f t="shared" si="1"/>
        <v>"C:\Program Files (x86)\AstroGrep\AstroGrep.exe" /spath="%USERPROFILE%\AppData\Local\Temp\OnboardLogs" /stypes="app*4039*20161101*" /stext=" 15:.+((SYSTEM_STATE.+slice.+state.+changed )|(ment ac)|(system.+state.+changed )|(\[timeout)|(PRM\|1\|D)|(kpr)|(kdp)|(\|lc)|(penalty))" /e /r /s</v>
      </c>
      <c r="AG48" s="1" t="str">
        <f t="shared" si="29"/>
        <v>EC</v>
      </c>
      <c r="AH48" s="92" t="str">
        <f t="shared" si="30"/>
        <v>"%USERPROFILE%\Documents\GitHub\eaglep3\Utilities\RefineRTDCRunTimes.py" --tripid 136-01 --locoid 4039 --swversion DE.1.0.8.0 --startMP 204:232985 --initTime 2016-11-01T08:50:42 --startdatetime 2016-11-01T08:56:17 --delay 1 --endMP 204:178 --enddatetime 2016-11-01T09:39:06 --enforcementcount 0 &gt;&gt;C:\Users\stu\Documents\GitHub\eaglep3-reporting\EC\2016-11-01-refined-times.txt</v>
      </c>
      <c r="AI4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{"issue":{"subject":"","project_id":79,"tracker_id":40,"status_id":1,"priority_id":2,"assigned_to_id":23,"start_date":"2016-11-01","description":"","custom_fields":[{"id":1,"name":"Subdivision","value":"EC"},{"id":4,"name":"Milepost","value":"0.0178"},{"id":17,"name":"Train ID","value":"136-01"},{"id":16,"name":"Locomotive ID","value":"4039"},{"id":130,"name":"Impact","value":""},{"id":150,"name":"Time of Event (Mountain Time)","value":"09:39:06"},{"id":151,"name":"Denver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447</v>
      </c>
      <c r="B49" s="7">
        <v>4014</v>
      </c>
      <c r="C49" s="22" t="s">
        <v>253</v>
      </c>
      <c r="D49" s="22" t="s">
        <v>259</v>
      </c>
      <c r="E49" s="13">
        <v>42675.340428240743</v>
      </c>
      <c r="F49" s="13">
        <v>42675.343912037039</v>
      </c>
      <c r="G49" s="7">
        <v>1</v>
      </c>
      <c r="H49" s="13" t="s">
        <v>342</v>
      </c>
      <c r="I49" s="13">
        <v>42675.369259259256</v>
      </c>
      <c r="J49" s="7">
        <v>0</v>
      </c>
      <c r="K49" s="112" t="str">
        <f t="shared" si="18"/>
        <v>4013/4014</v>
      </c>
      <c r="L49" s="22" t="str">
        <f>VLOOKUP(A49,'Trips&amp;Operators'!$C$1:$E$10000,3,FALSE)</f>
        <v>DAVIS</v>
      </c>
      <c r="M49" s="6">
        <f t="shared" si="19"/>
        <v>2.5347222217533272E-2</v>
      </c>
      <c r="N49" s="7">
        <f t="shared" si="20"/>
        <v>36.499999993247911</v>
      </c>
      <c r="O49" s="7"/>
      <c r="P49" s="7"/>
      <c r="Q49" s="23"/>
      <c r="R49" s="23"/>
      <c r="S49" s="35">
        <f t="shared" si="21"/>
        <v>1</v>
      </c>
      <c r="T49" s="50" t="str">
        <f t="shared" si="2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07:10:13-0600',mode:absolute,to:'2016-11-01 09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9" s="52" t="str">
        <f t="shared" si="24"/>
        <v>N</v>
      </c>
      <c r="X49" s="177">
        <f t="shared" si="33"/>
        <v>1</v>
      </c>
      <c r="Y49" s="67">
        <f t="shared" si="25"/>
        <v>4.58E-2</v>
      </c>
      <c r="Z49" s="67">
        <f t="shared" si="26"/>
        <v>23.327200000000001</v>
      </c>
      <c r="AA49" s="67">
        <f t="shared" si="27"/>
        <v>23.281400000000001</v>
      </c>
      <c r="AB49" s="64" t="e">
        <f>VLOOKUP(A49,Enforcements!$C$7:$K$21,8,0)</f>
        <v>#N/A</v>
      </c>
      <c r="AC49" s="60" t="e">
        <f>VLOOKUP(A49,Enforcements!$C$7:$E$21,3,0)</f>
        <v>#N/A</v>
      </c>
      <c r="AD49" s="61" t="str">
        <f t="shared" si="28"/>
        <v>0137-01</v>
      </c>
      <c r="AE49" s="91" t="str">
        <f t="shared" si="0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49" s="88" t="str">
        <f t="shared" si="1"/>
        <v>"C:\Program Files (x86)\AstroGrep\AstroGrep.exe" /spath="%USERPROFILE%\AppData\Local\Temp\OnboardLogs" /stypes="app*4014*20161101*" /stext=" 14:.+((SYSTEM_STATE.+slice.+state.+changed )|(ment ac)|(system.+state.+changed )|(\[timeout)|(PRM\|1\|D)|(kpr)|(kdp)|(\|lc)|(penalty))" /e /r /s</v>
      </c>
      <c r="AG49" s="1" t="str">
        <f t="shared" si="29"/>
        <v>EC</v>
      </c>
      <c r="AH49" s="92" t="str">
        <f t="shared" si="30"/>
        <v>"%USERPROFILE%\Documents\GitHub\eaglep3\Utilities\RefineRTDCRunTimes.py" --tripid 137-01 --locoid 4014 --swversion DE.1.0.8.0 --startMP 204:458 --initTime 2016-11-01T08:10:13 --startdatetime 2016-11-01T08:15:14 --delay 1 --endMP 204:233272 --enddatetime 2016-11-01T08:51:44 --enforcementcount 0 &gt;&gt;C:\Users\stu\Documents\GitHub\eaglep3-reporting\EC\2016-11-01-refined-times.txt</v>
      </c>
      <c r="AI49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{"issue":{"subject":"","project_id":79,"tracker_id":40,"status_id":1,"priority_id":2,"assigned_to_id":23,"start_date":"2016-11-01","description":"","custom_fields":[{"id":1,"name":"Subdivision","value":"EC"},{"id":4,"name":"Milepost","value":"23.3272"},{"id":17,"name":"Train ID","value":"137-01"},{"id":16,"name":"Locomotive ID","value":"4014"},{"id":130,"name":"Impact","value":""},{"id":150,"name":"Time of Event (Mountain Time)","value":"08:51:44"},{"id":151,"name":"Denver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456</v>
      </c>
      <c r="B50" s="7">
        <v>4013</v>
      </c>
      <c r="C50" s="22" t="s">
        <v>253</v>
      </c>
      <c r="D50" s="22" t="s">
        <v>252</v>
      </c>
      <c r="E50" s="13">
        <v>42675.379548611112</v>
      </c>
      <c r="F50" s="13">
        <v>42675.382824074077</v>
      </c>
      <c r="G50" s="7">
        <v>1</v>
      </c>
      <c r="H50" s="13" t="s">
        <v>622</v>
      </c>
      <c r="I50" s="13">
        <v>42675.410231481481</v>
      </c>
      <c r="J50" s="7">
        <v>0</v>
      </c>
      <c r="K50" s="112" t="str">
        <f t="shared" si="18"/>
        <v>4013/4014</v>
      </c>
      <c r="L50" s="22" t="str">
        <f>VLOOKUP(A50,'Trips&amp;Operators'!$C$1:$E$10000,3,FALSE)</f>
        <v>DAVIS</v>
      </c>
      <c r="M50" s="6">
        <f t="shared" si="19"/>
        <v>2.7407407404098194E-2</v>
      </c>
      <c r="N50" s="7">
        <f t="shared" si="20"/>
        <v>39.466666661901399</v>
      </c>
      <c r="O50" s="7"/>
      <c r="P50" s="7"/>
      <c r="Q50" s="23"/>
      <c r="R50" s="23"/>
      <c r="S50" s="35">
        <f t="shared" si="21"/>
        <v>1</v>
      </c>
      <c r="T50" s="50" t="str">
        <f t="shared" si="2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08:06:33-0600',mode:absolute,to:'2016-11-01 10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0" s="52" t="str">
        <f t="shared" si="24"/>
        <v>N</v>
      </c>
      <c r="X50" s="177">
        <f t="shared" si="33"/>
        <v>1</v>
      </c>
      <c r="Y50" s="67">
        <f t="shared" si="25"/>
        <v>23.297799999999999</v>
      </c>
      <c r="Z50" s="67">
        <f t="shared" si="26"/>
        <v>1.2699999999999999E-2</v>
      </c>
      <c r="AA50" s="67">
        <f t="shared" si="27"/>
        <v>23.2851</v>
      </c>
      <c r="AB50" s="64" t="e">
        <f>VLOOKUP(A50,Enforcements!$C$7:$K$21,8,0)</f>
        <v>#N/A</v>
      </c>
      <c r="AC50" s="60" t="e">
        <f>VLOOKUP(A50,Enforcements!$C$7:$E$21,3,0)</f>
        <v>#N/A</v>
      </c>
      <c r="AD50" s="61" t="str">
        <f t="shared" si="28"/>
        <v>0138-01</v>
      </c>
      <c r="AE50" s="91" t="str">
        <f t="shared" si="0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50" s="88" t="str">
        <f t="shared" si="1"/>
        <v>"C:\Program Files (x86)\AstroGrep\AstroGrep.exe" /spath="%USERPROFILE%\AppData\Local\Temp\OnboardLogs" /stypes="app*4013*20161101*" /stext=" 15:.+((SYSTEM_STATE.+slice.+state.+changed )|(ment ac)|(system.+state.+changed )|(\[timeout)|(PRM\|1\|D)|(kpr)|(kdp)|(\|lc)|(penalty))" /e /r /s</v>
      </c>
      <c r="AG50" s="1" t="str">
        <f t="shared" si="29"/>
        <v>EC</v>
      </c>
      <c r="AH50" s="92" t="str">
        <f t="shared" si="30"/>
        <v>"%USERPROFILE%\Documents\GitHub\eaglep3\Utilities\RefineRTDCRunTimes.py" --tripid 138-01 --locoid 4013 --swversion DE.1.0.8.0 --startMP 204:232978 --initTime 2016-11-01T09:06:33 --startdatetime 2016-11-01T09:11:16 --delay 1 --endMP 204:127 --enddatetime 2016-11-01T09:50:44 --enforcementcount 0 &gt;&gt;C:\Users\stu\Documents\GitHub\eaglep3-reporting\EC\2016-11-01-refined-times.txt</v>
      </c>
      <c r="AI5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{"issue":{"subject":"","project_id":79,"tracker_id":40,"status_id":1,"priority_id":2,"assigned_to_id":23,"start_date":"2016-11-01","description":"","custom_fields":[{"id":1,"name":"Subdivision","value":"EC"},{"id":4,"name":"Milepost","value":"0.0127"},{"id":17,"name":"Train ID","value":"138-01"},{"id":16,"name":"Locomotive ID","value":"4013"},{"id":130,"name":"Impact","value":""},{"id":150,"name":"Time of Event (Mountain Time)","value":"09:50:44"},{"id":151,"name":"Denver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450</v>
      </c>
      <c r="B51" s="7">
        <v>4022</v>
      </c>
      <c r="C51" s="22" t="s">
        <v>253</v>
      </c>
      <c r="D51" s="22" t="s">
        <v>248</v>
      </c>
      <c r="E51" s="13">
        <v>42675.351481481484</v>
      </c>
      <c r="F51" s="13">
        <v>42675.35434027778</v>
      </c>
      <c r="G51" s="7">
        <v>2</v>
      </c>
      <c r="H51" s="13" t="s">
        <v>257</v>
      </c>
      <c r="I51" s="13">
        <v>42675.378958333335</v>
      </c>
      <c r="J51" s="7">
        <v>0</v>
      </c>
      <c r="K51" s="112" t="str">
        <f t="shared" si="18"/>
        <v>4021/4022</v>
      </c>
      <c r="L51" s="22" t="str">
        <f>VLOOKUP(A51,'Trips&amp;Operators'!$C$1:$E$10000,3,FALSE)</f>
        <v>LOPES</v>
      </c>
      <c r="M51" s="6">
        <f t="shared" si="19"/>
        <v>2.4618055555038154E-2</v>
      </c>
      <c r="N51" s="7">
        <f t="shared" si="20"/>
        <v>35.449999999254942</v>
      </c>
      <c r="O51" s="7"/>
      <c r="P51" s="7"/>
      <c r="Q51" s="23"/>
      <c r="R51" s="23"/>
      <c r="S51" s="35">
        <f t="shared" si="21"/>
        <v>1</v>
      </c>
      <c r="T51" s="50" t="str">
        <f t="shared" si="2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07:26:08-0600',mode:absolute,to:'2016-11-01 10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1" s="52" t="str">
        <f t="shared" si="24"/>
        <v>N</v>
      </c>
      <c r="X51" s="177">
        <f t="shared" si="33"/>
        <v>1</v>
      </c>
      <c r="Y51" s="67">
        <f t="shared" si="25"/>
        <v>4.6399999999999997E-2</v>
      </c>
      <c r="Z51" s="67">
        <f t="shared" si="26"/>
        <v>23.328700000000001</v>
      </c>
      <c r="AA51" s="67">
        <f t="shared" si="27"/>
        <v>23.282300000000003</v>
      </c>
      <c r="AB51" s="64" t="e">
        <f>VLOOKUP(A51,Enforcements!$C$7:$K$21,8,0)</f>
        <v>#N/A</v>
      </c>
      <c r="AC51" s="60" t="e">
        <f>VLOOKUP(A51,Enforcements!$C$7:$E$21,3,0)</f>
        <v>#N/A</v>
      </c>
      <c r="AD51" s="61" t="str">
        <f t="shared" si="28"/>
        <v>0139-01</v>
      </c>
      <c r="AE51" s="91" t="str">
        <f t="shared" si="0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51" s="88" t="str">
        <f t="shared" si="1"/>
        <v>"C:\Program Files (x86)\AstroGrep\AstroGrep.exe" /spath="%USERPROFILE%\AppData\Local\Temp\OnboardLogs" /stypes="app*4022*20161101*" /stext=" 15:.+((SYSTEM_STATE.+slice.+state.+changed )|(ment ac)|(system.+state.+changed )|(\[timeout)|(PRM\|1\|D)|(kpr)|(kdp)|(\|lc)|(penalty))" /e /r /s</v>
      </c>
      <c r="AG51" s="1" t="str">
        <f t="shared" si="29"/>
        <v>EC</v>
      </c>
      <c r="AH51" s="92" t="str">
        <f t="shared" si="30"/>
        <v>"%USERPROFILE%\Documents\GitHub\eaglep3\Utilities\RefineRTDCRunTimes.py" --tripid 139-01 --locoid 4022 --swversion DE.1.0.8.0 --startMP 204:464 --initTime 2016-11-01T08:26:08 --startdatetime 2016-11-01T08:30:15 --delay 2 --endMP 204:233287 --enddatetime 2016-11-01T09:05:42 --enforcementcount 0 &gt;&gt;C:\Users\stu\Documents\GitHub\eaglep3-reporting\EC\2016-11-01-refined-times.txt</v>
      </c>
      <c r="AI5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{"issue":{"subject":"","project_id":79,"tracker_id":40,"status_id":1,"priority_id":2,"assigned_to_id":23,"start_date":"2016-11-01","description":"","custom_fields":[{"id":1,"name":"Subdivision","value":"EC"},{"id":4,"name":"Milepost","value":"23.3287"},{"id":17,"name":"Train ID","value":"139-01"},{"id":16,"name":"Locomotive ID","value":"4022"},{"id":130,"name":"Impact","value":""},{"id":150,"name":"Time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457</v>
      </c>
      <c r="B52" s="7">
        <v>4021</v>
      </c>
      <c r="C52" s="22" t="s">
        <v>253</v>
      </c>
      <c r="D52" s="22" t="s">
        <v>616</v>
      </c>
      <c r="E52" s="13">
        <v>42675.380289351851</v>
      </c>
      <c r="F52" s="13">
        <v>42675.393229166664</v>
      </c>
      <c r="G52" s="7">
        <v>1</v>
      </c>
      <c r="H52" s="13" t="s">
        <v>291</v>
      </c>
      <c r="I52" s="13">
        <v>42675.419398148151</v>
      </c>
      <c r="J52" s="7">
        <v>0</v>
      </c>
      <c r="K52" s="112" t="str">
        <f t="shared" si="18"/>
        <v>4021/4022</v>
      </c>
      <c r="L52" s="22" t="str">
        <f>VLOOKUP(A52,'Trips&amp;Operators'!$C$1:$E$10000,3,FALSE)</f>
        <v>LOPES</v>
      </c>
      <c r="M52" s="6">
        <f t="shared" si="19"/>
        <v>2.6168981486989651E-2</v>
      </c>
      <c r="N52" s="7">
        <f t="shared" si="20"/>
        <v>37.683333341265097</v>
      </c>
      <c r="O52" s="7"/>
      <c r="P52" s="7"/>
      <c r="Q52" s="23"/>
      <c r="R52" s="23"/>
      <c r="S52" s="35">
        <f t="shared" si="21"/>
        <v>1</v>
      </c>
      <c r="T52" s="50" t="str">
        <f t="shared" si="2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08:07:37-0600',mode:absolute,to:'2016-11-01 11:03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2" s="52" t="str">
        <f t="shared" si="24"/>
        <v>N</v>
      </c>
      <c r="X52" s="177">
        <f t="shared" si="33"/>
        <v>1</v>
      </c>
      <c r="Y52" s="67">
        <f t="shared" si="25"/>
        <v>23.3</v>
      </c>
      <c r="Z52" s="67">
        <f t="shared" si="26"/>
        <v>1.5800000000000002E-2</v>
      </c>
      <c r="AA52" s="67">
        <f t="shared" si="27"/>
        <v>23.284200000000002</v>
      </c>
      <c r="AB52" s="64" t="e">
        <f>VLOOKUP(A52,Enforcements!$C$7:$K$21,8,0)</f>
        <v>#N/A</v>
      </c>
      <c r="AC52" s="60" t="e">
        <f>VLOOKUP(A52,Enforcements!$C$7:$E$21,3,0)</f>
        <v>#N/A</v>
      </c>
      <c r="AD52" s="61" t="str">
        <f t="shared" si="28"/>
        <v>0140-01</v>
      </c>
      <c r="AE52" s="91" t="str">
        <f t="shared" si="0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52" s="88" t="str">
        <f t="shared" si="1"/>
        <v>"C:\Program Files (x86)\AstroGrep\AstroGrep.exe" /spath="%USERPROFILE%\AppData\Local\Temp\OnboardLogs" /stypes="app*4021*20161101*" /stext=" 16:.+((SYSTEM_STATE.+slice.+state.+changed )|(ment ac)|(system.+state.+changed )|(\[timeout)|(PRM\|1\|D)|(kpr)|(kdp)|(\|lc)|(penalty))" /e /r /s</v>
      </c>
      <c r="AG52" s="1" t="str">
        <f t="shared" si="29"/>
        <v>EC</v>
      </c>
      <c r="AH52" s="92" t="str">
        <f t="shared" si="30"/>
        <v>"%USERPROFILE%\Documents\GitHub\eaglep3\Utilities\RefineRTDCRunTimes.py" --tripid 140-01 --locoid 4021 --swversion DE.1.0.8.0 --startMP 204:233000 --initTime 2016-11-01T09:07:37 --startdatetime 2016-11-01T09:26:15 --delay 1 --endMP 204:158 --enddatetime 2016-11-01T10:03:56 --enforcementcount 0 &gt;&gt;C:\Users\stu\Documents\GitHub\eaglep3-reporting\EC\2016-11-01-refined-times.txt</v>
      </c>
      <c r="AI5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{"issue":{"subject":"","project_id":79,"tracker_id":40,"status_id":1,"priority_id":2,"assigned_to_id":23,"start_date":"2016-11-01","description":"","custom_fields":[{"id":1,"name":"Subdivision","value":"EC"},{"id":4,"name":"Milepost","value":"0.0158"},{"id":17,"name":"Train ID","value":"140-01"},{"id":16,"name":"Locomotive ID","value":"4021"},{"id":130,"name":"Impact","value":""},{"id":150,"name":"Time of Event (Mountain Time)","value":"10:03:56"},{"id":151,"name":"Denver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454</v>
      </c>
      <c r="B53" s="7">
        <v>4038</v>
      </c>
      <c r="C53" s="22" t="s">
        <v>253</v>
      </c>
      <c r="D53" s="22" t="s">
        <v>248</v>
      </c>
      <c r="E53" s="13">
        <v>42675.360393518517</v>
      </c>
      <c r="F53" s="13">
        <v>42675.364791666667</v>
      </c>
      <c r="G53" s="7">
        <v>2</v>
      </c>
      <c r="H53" s="13" t="s">
        <v>276</v>
      </c>
      <c r="I53" s="13">
        <v>42675.389548611114</v>
      </c>
      <c r="J53" s="7">
        <v>0</v>
      </c>
      <c r="K53" s="112" t="str">
        <f t="shared" si="18"/>
        <v>4037/4038</v>
      </c>
      <c r="L53" s="22" t="str">
        <f>VLOOKUP(A53,'Trips&amp;Operators'!$C$1:$E$10000,3,FALSE)</f>
        <v>MACDONALD</v>
      </c>
      <c r="M53" s="6">
        <f t="shared" si="19"/>
        <v>2.4756944447290152E-2</v>
      </c>
      <c r="N53" s="7">
        <f t="shared" si="20"/>
        <v>35.650000004097819</v>
      </c>
      <c r="O53" s="7"/>
      <c r="P53" s="7"/>
      <c r="Q53" s="23"/>
      <c r="R53" s="23"/>
      <c r="S53" s="35">
        <f t="shared" si="21"/>
        <v>1</v>
      </c>
      <c r="T53" s="50" t="str">
        <f t="shared" si="2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07:38:58-0600',mode:absolute,to:'2016-11-01 10:20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3" s="52" t="str">
        <f t="shared" si="24"/>
        <v>N</v>
      </c>
      <c r="X53" s="177">
        <f t="shared" si="33"/>
        <v>1</v>
      </c>
      <c r="Y53" s="67">
        <f t="shared" si="25"/>
        <v>4.6399999999999997E-2</v>
      </c>
      <c r="Z53" s="67">
        <f t="shared" si="26"/>
        <v>23.3278</v>
      </c>
      <c r="AA53" s="67">
        <f t="shared" si="27"/>
        <v>23.281400000000001</v>
      </c>
      <c r="AB53" s="64" t="e">
        <f>VLOOKUP(A53,Enforcements!$C$7:$K$21,8,0)</f>
        <v>#N/A</v>
      </c>
      <c r="AC53" s="60" t="e">
        <f>VLOOKUP(A53,Enforcements!$C$7:$E$21,3,0)</f>
        <v>#N/A</v>
      </c>
      <c r="AD53" s="61" t="str">
        <f t="shared" si="28"/>
        <v>0141-01</v>
      </c>
      <c r="AE53" s="91" t="str">
        <f t="shared" si="0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53" s="88" t="str">
        <f t="shared" si="1"/>
        <v>"C:\Program Files (x86)\AstroGrep\AstroGrep.exe" /spath="%USERPROFILE%\AppData\Local\Temp\OnboardLogs" /stypes="app*4038*20161101*" /stext=" 15:.+((SYSTEM_STATE.+slice.+state.+changed )|(ment ac)|(system.+state.+changed )|(\[timeout)|(PRM\|1\|D)|(kpr)|(kdp)|(\|lc)|(penalty))" /e /r /s</v>
      </c>
      <c r="AG53" s="1" t="str">
        <f t="shared" si="29"/>
        <v>EC</v>
      </c>
      <c r="AH53" s="92" t="str">
        <f t="shared" si="30"/>
        <v>"%USERPROFILE%\Documents\GitHub\eaglep3\Utilities\RefineRTDCRunTimes.py" --tripid 141-01 --locoid 4038 --swversion DE.1.0.8.0 --startMP 204:464 --initTime 2016-11-01T08:38:58 --startdatetime 2016-11-01T08:45:18 --delay 2 --endMP 204:233278 --enddatetime 2016-11-01T09:20:57 --enforcementcount 0 &gt;&gt;C:\Users\stu\Documents\GitHub\eaglep3-reporting\EC\2016-11-01-refined-times.txt</v>
      </c>
      <c r="AI5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{"issue":{"subject":"","project_id":79,"tracker_id":40,"status_id":1,"priority_id":2,"assigned_to_id":23,"start_date":"2016-11-01","description":"","custom_fields":[{"id":1,"name":"Subdivision","value":"EC"},{"id":4,"name":"Milepost","value":"23.3278"},{"id":17,"name":"Train ID","value":"141-01"},{"id":16,"name":"Locomotive ID","value":"4038"},{"id":130,"name":"Impact","value":""},{"id":150,"name":"Time of Event (Mountain Time)","value":"09:20:57"},{"id":151,"name":"Denver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29" customFormat="1" x14ac:dyDescent="0.25">
      <c r="A54" s="37" t="s">
        <v>385</v>
      </c>
      <c r="B54" s="7">
        <v>4037</v>
      </c>
      <c r="C54" s="22" t="s">
        <v>253</v>
      </c>
      <c r="D54" s="22" t="s">
        <v>307</v>
      </c>
      <c r="E54" s="13">
        <v>42675.395405092589</v>
      </c>
      <c r="F54" s="13">
        <v>42675.403773148151</v>
      </c>
      <c r="G54" s="7">
        <v>1</v>
      </c>
      <c r="H54" s="13" t="s">
        <v>228</v>
      </c>
      <c r="I54" s="13">
        <v>42675.430833333332</v>
      </c>
      <c r="J54" s="7">
        <v>0</v>
      </c>
      <c r="K54" s="112" t="str">
        <f t="shared" si="18"/>
        <v>4037/4038</v>
      </c>
      <c r="L54" s="22" t="str">
        <f>VLOOKUP(A54,'Trips&amp;Operators'!$C$1:$E$10000,3,FALSE)</f>
        <v>MACDONALD</v>
      </c>
      <c r="M54" s="6">
        <f t="shared" si="19"/>
        <v>2.7060185180744156E-2</v>
      </c>
      <c r="N54" s="7">
        <f t="shared" si="20"/>
        <v>38.966666660271585</v>
      </c>
      <c r="O54" s="7"/>
      <c r="P54" s="7"/>
      <c r="Q54" s="23"/>
      <c r="R54" s="23"/>
      <c r="S54" s="35">
        <f t="shared" si="21"/>
        <v>1</v>
      </c>
      <c r="T54" s="50" t="str">
        <f t="shared" si="2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08:29:23-0600',mode:absolute,to:'2016-11-01 11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4" s="52" t="str">
        <f t="shared" si="24"/>
        <v>N</v>
      </c>
      <c r="X54" s="177">
        <f t="shared" si="33"/>
        <v>1</v>
      </c>
      <c r="Y54" s="67">
        <f t="shared" si="25"/>
        <v>23.296700000000001</v>
      </c>
      <c r="Z54" s="67">
        <f t="shared" si="26"/>
        <v>1.5599999999999999E-2</v>
      </c>
      <c r="AA54" s="67">
        <f t="shared" si="27"/>
        <v>23.281100000000002</v>
      </c>
      <c r="AB54" s="64" t="str">
        <f>VLOOKUP(A54,Enforcements!$C$7:$K$21,8,0)</f>
        <v>Signal based authority (5)</v>
      </c>
      <c r="AC54" s="60" t="str">
        <f>VLOOKUP(A54,Enforcements!$C$7:$E$21,3,0)</f>
        <v>SIGNAL</v>
      </c>
      <c r="AD54" s="61" t="str">
        <f t="shared" si="28"/>
        <v>0142-01</v>
      </c>
      <c r="AE54" s="91" t="str">
        <f t="shared" si="0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54" s="88" t="str">
        <f t="shared" si="1"/>
        <v>"C:\Program Files (x86)\AstroGrep\AstroGrep.exe" /spath="%USERPROFILE%\AppData\Local\Temp\OnboardLogs" /stypes="app*4037*20161101*" /stext=" 16:.+((SYSTEM_STATE.+slice.+state.+changed )|(ment ac)|(system.+state.+changed )|(\[timeout)|(PRM\|1\|D)|(kpr)|(kdp)|(\|lc)|(penalty))" /e /r /s</v>
      </c>
      <c r="AG54" s="1" t="str">
        <f t="shared" si="29"/>
        <v>EC</v>
      </c>
      <c r="AH54" s="92" t="str">
        <f t="shared" si="30"/>
        <v>"%USERPROFILE%\Documents\GitHub\eaglep3\Utilities\RefineRTDCRunTimes.py" --tripid 142-01 --locoid 4037 --swversion DE.1.0.8.0 --startMP 204:232967 --initTime 2016-11-01T09:29:23 --startdatetime 2016-11-01T09:41:26 --delay 1 --endMP 204:156 --enddatetime 2016-11-01T10:20:24 --enforcementcount 0 &gt;&gt;C:\Users\stu\Documents\GitHub\eaglep3-reporting\EC\2016-11-01-refined-times.txt</v>
      </c>
      <c r="AI5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{"issue":{"subject":"","project_id":79,"tracker_id":40,"status_id":1,"priority_id":2,"assigned_to_id":23,"start_date":"2016-11-01","description":"","custom_fields":[{"id":1,"name":"Subdivision","value":"EC"},{"id":4,"name":"Milepost","value":"0.0156"},{"id":17,"name":"Train ID","value":"142-01"},{"id":16,"name":"Locomotive ID","value":"4037"},{"id":130,"name":"Impact","value":""},{"id":150,"name":"Time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29" customFormat="1" x14ac:dyDescent="0.25">
      <c r="A55" s="37" t="s">
        <v>455</v>
      </c>
      <c r="B55" s="7">
        <v>4027</v>
      </c>
      <c r="C55" s="22" t="s">
        <v>253</v>
      </c>
      <c r="D55" s="22" t="s">
        <v>216</v>
      </c>
      <c r="E55" s="13">
        <v>42675.372060185182</v>
      </c>
      <c r="F55" s="13">
        <v>42675.375381944446</v>
      </c>
      <c r="G55" s="7">
        <v>4</v>
      </c>
      <c r="H55" s="13" t="s">
        <v>619</v>
      </c>
      <c r="I55" s="13">
        <v>42675.399375000001</v>
      </c>
      <c r="J55" s="7">
        <v>0</v>
      </c>
      <c r="K55" s="112" t="str">
        <f t="shared" si="18"/>
        <v>4027/4028</v>
      </c>
      <c r="L55" s="22" t="str">
        <f>VLOOKUP(A55,'Trips&amp;Operators'!$C$1:$E$10000,3,FALSE)</f>
        <v>NELSON</v>
      </c>
      <c r="M55" s="6">
        <f t="shared" si="19"/>
        <v>2.3993055554456078E-2</v>
      </c>
      <c r="N55" s="7">
        <f t="shared" si="20"/>
        <v>34.549999998416752</v>
      </c>
      <c r="O55" s="7"/>
      <c r="P55" s="7"/>
      <c r="Q55" s="23"/>
      <c r="R55" s="23"/>
      <c r="S55" s="35">
        <f t="shared" si="21"/>
        <v>1</v>
      </c>
      <c r="T55" s="50" t="str">
        <f t="shared" si="2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07:55:46-0600',mode:absolute,to:'2016-11-01 10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5" s="52" t="str">
        <f t="shared" si="24"/>
        <v>N</v>
      </c>
      <c r="X55" s="177">
        <f t="shared" si="33"/>
        <v>1</v>
      </c>
      <c r="Y55" s="67">
        <f t="shared" si="25"/>
        <v>4.5100000000000001E-2</v>
      </c>
      <c r="Z55" s="67">
        <f t="shared" si="26"/>
        <v>23.3308</v>
      </c>
      <c r="AA55" s="67">
        <f t="shared" si="27"/>
        <v>23.285699999999999</v>
      </c>
      <c r="AB55" s="64" t="e">
        <f>VLOOKUP(A55,Enforcements!$C$7:$K$21,8,0)</f>
        <v>#N/A</v>
      </c>
      <c r="AC55" s="60" t="e">
        <f>VLOOKUP(A55,Enforcements!$C$7:$E$21,3,0)</f>
        <v>#N/A</v>
      </c>
      <c r="AD55" s="61" t="str">
        <f t="shared" si="28"/>
        <v>0143-01</v>
      </c>
      <c r="AE55" s="91" t="str">
        <f t="shared" si="0"/>
        <v>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 &amp; aws s3 cp s3://rtdc.mdm.uploadarchive.raw/RTDC4027/ "%USERPROFILE%\AppData\Local\Temp\OnboardLogs"\RTDC4027\2016-11-02 --exclude "*" --recursive --include "*20161102*" &amp; "%USERPROFILE%\Documents\GitHub\mrs-test-scripts\Headless Mode &amp; Sideloading\WalkAndUnGZ.bat" "%USERPROFILE%\AppData\Local\Temp\OnboardLogs"\RTDC4027\2016-11-02</v>
      </c>
      <c r="AF55" s="88" t="str">
        <f t="shared" si="1"/>
        <v>"C:\Program Files (x86)\AstroGrep\AstroGrep.exe" /spath="%USERPROFILE%\AppData\Local\Temp\OnboardLogs" /stypes="app*4027*20161101*" /stext=" 15:.+((SYSTEM_STATE.+slice.+state.+changed )|(ment ac)|(system.+state.+changed )|(\[timeout)|(PRM\|1\|D)|(kpr)|(kdp)|(\|lc)|(penalty))" /e /r /s</v>
      </c>
      <c r="AG55" s="1" t="str">
        <f t="shared" si="29"/>
        <v>EC</v>
      </c>
      <c r="AH55" s="92" t="str">
        <f t="shared" si="30"/>
        <v>"%USERPROFILE%\Documents\GitHub\eaglep3\Utilities\RefineRTDCRunTimes.py" --tripid 143-01 --locoid 4027 --swversion DE.1.0.8.0 --startMP 204:451 --initTime 2016-11-01T08:55:46 --startdatetime 2016-11-01T09:00:33 --delay 4 --endMP 204:233308 --enddatetime 2016-11-01T09:35:06 --enforcementcount 0 &gt;&gt;C:\Users\stu\Documents\GitHub\eaglep3-reporting\EC\2016-11-01-refined-times.txt</v>
      </c>
      <c r="AI5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{"issue":{"subject":"","project_id":79,"tracker_id":40,"status_id":1,"priority_id":2,"assigned_to_id":23,"start_date":"2016-11-01","description":"","custom_fields":[{"id":1,"name":"Subdivision","value":"EC"},{"id":4,"name":"Milepost","value":"23.3308"},{"id":17,"name":"Train ID","value":"143-01"},{"id":16,"name":"Locomotive ID","value":"4027"},{"id":130,"name":"Impact","value":""},{"id":150,"name":"Time of Event (Mountain Time)","value":"09:35:06"},{"id":151,"name":"Denver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463</v>
      </c>
      <c r="B56" s="7">
        <v>4028</v>
      </c>
      <c r="C56" s="22" t="s">
        <v>253</v>
      </c>
      <c r="D56" s="22" t="s">
        <v>287</v>
      </c>
      <c r="E56" s="13">
        <v>42675.412962962961</v>
      </c>
      <c r="F56" s="13">
        <v>42675.41443287037</v>
      </c>
      <c r="G56" s="7">
        <v>1</v>
      </c>
      <c r="H56" s="13" t="s">
        <v>623</v>
      </c>
      <c r="I56" s="13">
        <v>42675.441458333335</v>
      </c>
      <c r="J56" s="7">
        <v>0</v>
      </c>
      <c r="K56" s="112" t="str">
        <f t="shared" si="18"/>
        <v>4027/4028</v>
      </c>
      <c r="L56" s="22" t="str">
        <f>VLOOKUP(A56,'Trips&amp;Operators'!$C$1:$E$10000,3,FALSE)</f>
        <v>NELSON</v>
      </c>
      <c r="M56" s="6">
        <f t="shared" si="19"/>
        <v>2.7025462964957114E-2</v>
      </c>
      <c r="N56" s="7">
        <f t="shared" si="20"/>
        <v>38.916666669538245</v>
      </c>
      <c r="O56" s="7"/>
      <c r="P56" s="7"/>
      <c r="Q56" s="23"/>
      <c r="R56" s="23"/>
      <c r="S56" s="35">
        <f t="shared" si="21"/>
        <v>1</v>
      </c>
      <c r="T56" s="50" t="str">
        <f t="shared" si="2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08:54:40-0600',mode:absolute,to:'2016-11-01 11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6" s="52" t="str">
        <f t="shared" si="24"/>
        <v>N</v>
      </c>
      <c r="X56" s="177">
        <f t="shared" si="33"/>
        <v>1</v>
      </c>
      <c r="Y56" s="67">
        <f t="shared" si="25"/>
        <v>23.2972</v>
      </c>
      <c r="Z56" s="67">
        <f t="shared" si="26"/>
        <v>1.8700000000000001E-2</v>
      </c>
      <c r="AA56" s="67">
        <f t="shared" si="27"/>
        <v>23.278500000000001</v>
      </c>
      <c r="AB56" s="64" t="e">
        <f>VLOOKUP(A56,Enforcements!$C$7:$K$21,8,0)</f>
        <v>#N/A</v>
      </c>
      <c r="AC56" s="60" t="e">
        <f>VLOOKUP(A56,Enforcements!$C$7:$E$21,3,0)</f>
        <v>#N/A</v>
      </c>
      <c r="AD56" s="61" t="str">
        <f t="shared" si="28"/>
        <v>0144-01</v>
      </c>
      <c r="AE56" s="91" t="str">
        <f t="shared" si="0"/>
        <v>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 &amp; aws s3 cp s3://rtdc.mdm.uploadarchive.raw/RTDC4028/ "%USERPROFILE%\AppData\Local\Temp\OnboardLogs"\RTDC4028\2016-11-02 --exclude "*" --recursive --include "*20161102*" &amp; "%USERPROFILE%\Documents\GitHub\mrs-test-scripts\Headless Mode &amp; Sideloading\WalkAndUnGZ.bat" "%USERPROFILE%\AppData\Local\Temp\OnboardLogs"\RTDC4028\2016-11-02</v>
      </c>
      <c r="AF56" s="88" t="str">
        <f t="shared" si="1"/>
        <v>"C:\Program Files (x86)\AstroGrep\AstroGrep.exe" /spath="%USERPROFILE%\AppData\Local\Temp\OnboardLogs" /stypes="app*4028*20161101*" /stext=" 16:.+((SYSTEM_STATE.+slice.+state.+changed )|(ment ac)|(system.+state.+changed )|(\[timeout)|(PRM\|1\|D)|(kpr)|(kdp)|(\|lc)|(penalty))" /e /r /s</v>
      </c>
      <c r="AG56" s="1" t="str">
        <f t="shared" si="29"/>
        <v>EC</v>
      </c>
      <c r="AH56" s="92" t="str">
        <f t="shared" si="30"/>
        <v>"%USERPROFILE%\Documents\GitHub\eaglep3\Utilities\RefineRTDCRunTimes.py" --tripid 144-01 --locoid 4028 --swversion DE.1.0.8.0 --startMP 204:232972 --initTime 2016-11-01T09:54:40 --startdatetime 2016-11-01T09:56:47 --delay 1 --endMP 204:187 --enddatetime 2016-11-01T10:35:42 --enforcementcount 0 &gt;&gt;C:\Users\stu\Documents\GitHub\eaglep3-reporting\EC\2016-11-01-refined-times.txt</v>
      </c>
      <c r="AI5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{"issue":{"subject":"","project_id":79,"tracker_id":40,"status_id":1,"priority_id":2,"assigned_to_id":23,"start_date":"2016-11-01","description":"","custom_fields":[{"id":1,"name":"Subdivision","value":"EC"},{"id":4,"name":"Milepost","value":"0.0187"},{"id":17,"name":"Train ID","value":"144-01"},{"id":16,"name":"Locomotive ID","value":"4028"},{"id":130,"name":"Impact","value":""},{"id":150,"name":"Time of Event (Mountain Time)","value":"10:35:42"},{"id":151,"name":"Denver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458</v>
      </c>
      <c r="B57" s="7">
        <v>4007</v>
      </c>
      <c r="C57" s="22" t="s">
        <v>253</v>
      </c>
      <c r="D57" s="22" t="s">
        <v>345</v>
      </c>
      <c r="E57" s="13">
        <v>42675.3828125</v>
      </c>
      <c r="F57" s="13">
        <v>42675.385625000003</v>
      </c>
      <c r="G57" s="7">
        <v>1</v>
      </c>
      <c r="H57" s="13" t="s">
        <v>206</v>
      </c>
      <c r="I57" s="13">
        <v>42675.410613425927</v>
      </c>
      <c r="J57" s="7">
        <v>0</v>
      </c>
      <c r="K57" s="112" t="str">
        <f t="shared" si="18"/>
        <v>4007/4008</v>
      </c>
      <c r="L57" s="22" t="str">
        <f>VLOOKUP(A57,'Trips&amp;Operators'!$C$1:$E$10000,3,FALSE)</f>
        <v>LALONDE</v>
      </c>
      <c r="M57" s="6">
        <f t="shared" si="19"/>
        <v>2.4988425924675539E-2</v>
      </c>
      <c r="N57" s="7">
        <f t="shared" si="20"/>
        <v>35.983333331532776</v>
      </c>
      <c r="O57" s="7"/>
      <c r="P57" s="7"/>
      <c r="Q57" s="23"/>
      <c r="R57" s="23"/>
      <c r="S57" s="35">
        <f t="shared" si="21"/>
        <v>1</v>
      </c>
      <c r="T57" s="50" t="str">
        <f t="shared" si="2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08:11:15-0600',mode:absolute,to:'2016-11-01 10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57" s="52" t="str">
        <f t="shared" si="24"/>
        <v>N</v>
      </c>
      <c r="X57" s="177">
        <f t="shared" si="33"/>
        <v>1</v>
      </c>
      <c r="Y57" s="67">
        <f t="shared" si="25"/>
        <v>4.6699999999999998E-2</v>
      </c>
      <c r="Z57" s="67">
        <f t="shared" si="26"/>
        <v>23.3293</v>
      </c>
      <c r="AA57" s="67">
        <f t="shared" si="27"/>
        <v>23.282599999999999</v>
      </c>
      <c r="AB57" s="64" t="e">
        <f>VLOOKUP(A57,Enforcements!$C$7:$K$21,8,0)</f>
        <v>#N/A</v>
      </c>
      <c r="AC57" s="60" t="e">
        <f>VLOOKUP(A57,Enforcements!$C$7:$E$21,3,0)</f>
        <v>#N/A</v>
      </c>
      <c r="AD57" s="61" t="str">
        <f t="shared" si="28"/>
        <v>0145-01</v>
      </c>
      <c r="AE57" s="91" t="str">
        <f t="shared" si="0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57" s="88" t="str">
        <f t="shared" si="1"/>
        <v>"C:\Program Files (x86)\AstroGrep\AstroGrep.exe" /spath="%USERPROFILE%\AppData\Local\Temp\OnboardLogs" /stypes="app*4007*20161101*" /stext=" 15:.+((SYSTEM_STATE.+slice.+state.+changed )|(ment ac)|(system.+state.+changed )|(\[timeout)|(PRM\|1\|D)|(kpr)|(kdp)|(\|lc)|(penalty))" /e /r /s</v>
      </c>
      <c r="AG57" s="1" t="str">
        <f t="shared" si="29"/>
        <v>EC</v>
      </c>
      <c r="AH57" s="92" t="str">
        <f t="shared" si="30"/>
        <v>"%USERPROFILE%\Documents\GitHub\eaglep3\Utilities\RefineRTDCRunTimes.py" --tripid 145-01 --locoid 4007 --swversion DE.1.0.8.0 --startMP 204:467 --initTime 2016-11-01T09:11:15 --startdatetime 2016-11-01T09:15:18 --delay 1 --endMP 204:233293 --enddatetime 2016-11-01T09:51:17 --enforcementcount 0 &gt;&gt;C:\Users\stu\Documents\GitHub\eaglep3-reporting\EC\2016-11-01-refined-times.txt</v>
      </c>
      <c r="AI5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{"issue":{"subject":"","project_id":79,"tracker_id":40,"status_id":1,"priority_id":2,"assigned_to_id":23,"start_date":"2016-11-01","description":"","custom_fields":[{"id":1,"name":"Subdivision","value":"EC"},{"id":4,"name":"Milepost","value":"23.3293"},{"id":17,"name":"Train ID","value":"145-01"},{"id":16,"name":"Locomotive ID","value":"4007"},{"id":130,"name":"Impact","value":""},{"id":150,"name":"Time of Event (Mountain Time)","value":"09:51:17"},{"id":151,"name":"Denver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464</v>
      </c>
      <c r="B58" s="7">
        <v>4008</v>
      </c>
      <c r="C58" s="22" t="s">
        <v>253</v>
      </c>
      <c r="D58" s="22" t="s">
        <v>284</v>
      </c>
      <c r="E58" s="13">
        <v>42675.415590277778</v>
      </c>
      <c r="F58" s="13">
        <v>42675.424502314818</v>
      </c>
      <c r="G58" s="7">
        <v>1</v>
      </c>
      <c r="H58" s="13" t="s">
        <v>208</v>
      </c>
      <c r="I58" s="13">
        <v>42675.450972222221</v>
      </c>
      <c r="J58" s="7">
        <v>0</v>
      </c>
      <c r="K58" s="112" t="str">
        <f t="shared" si="18"/>
        <v>4007/4008</v>
      </c>
      <c r="L58" s="22" t="str">
        <f>VLOOKUP(A58,'Trips&amp;Operators'!$C$1:$E$10000,3,FALSE)</f>
        <v>LALONDE</v>
      </c>
      <c r="M58" s="6">
        <f t="shared" si="19"/>
        <v>2.6469907403225079E-2</v>
      </c>
      <c r="N58" s="7">
        <f t="shared" si="20"/>
        <v>38.116666660644114</v>
      </c>
      <c r="O58" s="7"/>
      <c r="P58" s="7"/>
      <c r="Q58" s="23"/>
      <c r="R58" s="23"/>
      <c r="S58" s="35">
        <f t="shared" si="21"/>
        <v>1</v>
      </c>
      <c r="T58" s="50" t="str">
        <f t="shared" si="2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08:58:27-0600',mode:absolute,to:'2016-11-01 11:49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58" s="52" t="str">
        <f t="shared" si="24"/>
        <v>N</v>
      </c>
      <c r="X58" s="177">
        <f t="shared" si="33"/>
        <v>1</v>
      </c>
      <c r="Y58" s="67">
        <f t="shared" si="25"/>
        <v>23.2973</v>
      </c>
      <c r="Z58" s="67">
        <f t="shared" si="26"/>
        <v>1.4999999999999999E-2</v>
      </c>
      <c r="AA58" s="67">
        <f t="shared" si="27"/>
        <v>23.282299999999999</v>
      </c>
      <c r="AB58" s="64" t="e">
        <f>VLOOKUP(A58,Enforcements!$C$7:$K$21,8,0)</f>
        <v>#N/A</v>
      </c>
      <c r="AC58" s="60" t="e">
        <f>VLOOKUP(A58,Enforcements!$C$7:$E$21,3,0)</f>
        <v>#N/A</v>
      </c>
      <c r="AD58" s="61" t="str">
        <f t="shared" si="28"/>
        <v>0146-01</v>
      </c>
      <c r="AE58" s="91" t="str">
        <f t="shared" si="0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58" s="88" t="str">
        <f t="shared" si="1"/>
        <v>"C:\Program Files (x86)\AstroGrep\AstroGrep.exe" /spath="%USERPROFILE%\AppData\Local\Temp\OnboardLogs" /stypes="app*4008*20161101*" /stext=" 16:.+((SYSTEM_STATE.+slice.+state.+changed )|(ment ac)|(system.+state.+changed )|(\[timeout)|(PRM\|1\|D)|(kpr)|(kdp)|(\|lc)|(penalty))" /e /r /s</v>
      </c>
      <c r="AG58" s="1" t="str">
        <f t="shared" si="29"/>
        <v>EC</v>
      </c>
      <c r="AH58" s="92" t="str">
        <f t="shared" si="30"/>
        <v>"%USERPROFILE%\Documents\GitHub\eaglep3\Utilities\RefineRTDCRunTimes.py" --tripid 146-01 --locoid 4008 --swversion DE.1.0.8.0 --startMP 204:232973 --initTime 2016-11-01T09:58:27 --startdatetime 2016-11-01T10:11:17 --delay 1 --endMP 204:150 --enddatetime 2016-11-01T10:49:24 --enforcementcount 0 &gt;&gt;C:\Users\stu\Documents\GitHub\eaglep3-reporting\EC\2016-11-01-refined-times.txt</v>
      </c>
      <c r="AI5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ID","value":"146-01"},{"id":16,"name":"Locomotive ID","value":"4008"},{"id":130,"name":"Impact","value":""},{"id":150,"name":"Time of Event (Mountain Time)","value":"10:49:24"},{"id":151,"name":"Denver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460</v>
      </c>
      <c r="B59" s="7">
        <v>4042</v>
      </c>
      <c r="C59" s="22" t="s">
        <v>253</v>
      </c>
      <c r="D59" s="22" t="s">
        <v>624</v>
      </c>
      <c r="E59" s="13">
        <v>42675.401944444442</v>
      </c>
      <c r="F59" s="13">
        <v>42675.402708333335</v>
      </c>
      <c r="G59" s="7">
        <v>1</v>
      </c>
      <c r="H59" s="13" t="s">
        <v>625</v>
      </c>
      <c r="I59" s="13">
        <v>42675.423946759256</v>
      </c>
      <c r="J59" s="7">
        <v>0</v>
      </c>
      <c r="K59" s="112" t="str">
        <f t="shared" si="18"/>
        <v>4041/4042</v>
      </c>
      <c r="L59" s="22" t="str">
        <f>VLOOKUP(A59,'Trips&amp;Operators'!$C$1:$E$10000,3,FALSE)</f>
        <v>BADERTSCHER</v>
      </c>
      <c r="M59" s="6">
        <f t="shared" si="19"/>
        <v>2.1238425921183079E-2</v>
      </c>
      <c r="N59" s="7"/>
      <c r="O59" s="7"/>
      <c r="P59" s="7">
        <f>24*60*SUM($M59:$M59)</f>
        <v>30.583333326503634</v>
      </c>
      <c r="Q59" s="23"/>
      <c r="R59" s="23" t="s">
        <v>790</v>
      </c>
      <c r="S59" s="35">
        <f t="shared" si="21"/>
        <v>1</v>
      </c>
      <c r="T59" s="50" t="str">
        <f t="shared" si="2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08:38:48-0600',mode:absolute,to:'2016-11-01 11:10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9" s="52" t="str">
        <f t="shared" si="24"/>
        <v>Y</v>
      </c>
      <c r="X59" s="177">
        <f t="shared" ref="X59:X62" si="34">VALUE(LEFT(AD59,4))-VALUE(LEFT(AD58,4))</f>
        <v>1</v>
      </c>
      <c r="Y59" s="67">
        <f t="shared" si="25"/>
        <v>1.9582999999999999</v>
      </c>
      <c r="Z59" s="67">
        <f t="shared" si="26"/>
        <v>23.325700000000001</v>
      </c>
      <c r="AA59" s="67">
        <f t="shared" si="27"/>
        <v>21.3674</v>
      </c>
      <c r="AB59" s="64" t="e">
        <f>VLOOKUP(A59,Enforcements!$C$7:$K$21,8,0)</f>
        <v>#N/A</v>
      </c>
      <c r="AC59" s="60" t="e">
        <f>VLOOKUP(A59,Enforcements!$C$7:$E$21,3,0)</f>
        <v>#N/A</v>
      </c>
      <c r="AD59" s="61" t="str">
        <f t="shared" si="28"/>
        <v>0147-01</v>
      </c>
      <c r="AE59" s="91" t="str">
        <f t="shared" si="0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59" s="88" t="str">
        <f t="shared" si="1"/>
        <v>"C:\Program Files (x86)\AstroGrep\AstroGrep.exe" /spath="%USERPROFILE%\AppData\Local\Temp\OnboardLogs" /stypes="app*4042*20161101*" /stext=" 16:.+((SYSTEM_STATE.+slice.+state.+changed )|(ment ac)|(system.+state.+changed )|(\[timeout)|(PRM\|1\|D)|(kpr)|(kdp)|(\|lc)|(penalty))" /e /r /s</v>
      </c>
      <c r="AG59" s="1" t="str">
        <f t="shared" si="29"/>
        <v>EC</v>
      </c>
      <c r="AH59" s="92" t="str">
        <f t="shared" si="30"/>
        <v>"%USERPROFILE%\Documents\GitHub\eaglep3\Utilities\RefineRTDCRunTimes.py" --tripid 147-01 --locoid 4042 --swversion DE.1.0.8.0 --startMP 204:19583 --initTime 2016-11-01T09:38:48 --startdatetime 2016-11-01T09:39:54 --delay 1 --endMP 204:233257 --enddatetime 2016-11-01T10:10:29 --enforcementcount 0 &gt;&gt;C:\Users\stu\Documents\GitHub\eaglep3-reporting\EC\2016-11-01-refined-times.txt</v>
      </c>
      <c r="AI59" s="122" t="str">
        <f t="shared" si="31"/>
        <v>echo {"issue":{"subject":"DUS 2N STOP due to 20N STOP","project_id":79,"tracker_id":40,"status_id":1,"priority_id":2,"assigned_to_id":23,"start_date":"2016-11-01","description":"Run couldn't leave DUS, had to go ATC. See title","custom_fields":[{"id":1,"name":"Subdivision","value":"EC"},{"id":4,"name":"Milepost","value":"23.3257"},{"id":17,"name":"Train ID","value":"147-01"},{"id":16,"name":"Locomotive ID","value":"4042"},{"id":130,"name":"Impact","value":"Unexpected Cut-Out or Disengaged"},{"id":150,"name":"Time of Event (Mountain Time)","value":"10:10:29"},{"id":151,"name":"Denver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59" s="53" t="s">
        <v>791</v>
      </c>
      <c r="AK59" s="53" t="s">
        <v>131</v>
      </c>
      <c r="AL59" s="53" t="s">
        <v>130</v>
      </c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387</v>
      </c>
      <c r="B60" s="7">
        <v>4041</v>
      </c>
      <c r="C60" s="22" t="s">
        <v>253</v>
      </c>
      <c r="D60" s="22" t="s">
        <v>626</v>
      </c>
      <c r="E60" s="13">
        <v>42675.429837962962</v>
      </c>
      <c r="F60" s="13">
        <v>42675.434884259259</v>
      </c>
      <c r="G60" s="7">
        <v>1</v>
      </c>
      <c r="H60" s="13" t="s">
        <v>627</v>
      </c>
      <c r="I60" s="13">
        <v>42675.460219907407</v>
      </c>
      <c r="J60" s="7">
        <v>0</v>
      </c>
      <c r="K60" s="112" t="str">
        <f t="shared" si="18"/>
        <v>4041/4042</v>
      </c>
      <c r="L60" s="22" t="str">
        <f>VLOOKUP(A60,'Trips&amp;Operators'!$C$1:$E$10000,3,FALSE)</f>
        <v>BADERTSCHER</v>
      </c>
      <c r="M60" s="6">
        <f t="shared" si="19"/>
        <v>2.5335648148029577E-2</v>
      </c>
      <c r="N60" s="7">
        <f t="shared" ref="N60:N68" si="35">24*60*SUM($M60:$M60)</f>
        <v>36.483333333162591</v>
      </c>
      <c r="O60" s="7"/>
      <c r="P60" s="7"/>
      <c r="Q60" s="23"/>
      <c r="R60" s="23"/>
      <c r="S60" s="35">
        <f t="shared" si="21"/>
        <v>1</v>
      </c>
      <c r="T60" s="50" t="str">
        <f t="shared" si="2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09:18:58-0600',mode:absolute,to:'2016-11-01 12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0" s="52" t="str">
        <f t="shared" si="24"/>
        <v>N</v>
      </c>
      <c r="X60" s="177">
        <f t="shared" si="34"/>
        <v>1</v>
      </c>
      <c r="Y60" s="67">
        <f t="shared" si="25"/>
        <v>23.293199999999999</v>
      </c>
      <c r="Z60" s="67">
        <f t="shared" si="26"/>
        <v>2.2700000000000001E-2</v>
      </c>
      <c r="AA60" s="67">
        <f t="shared" si="27"/>
        <v>23.270499999999998</v>
      </c>
      <c r="AB60" s="64" t="e">
        <f>VLOOKUP(A60,Enforcements!$C$7:$K$21,8,0)</f>
        <v>#N/A</v>
      </c>
      <c r="AC60" s="60" t="e">
        <f>VLOOKUP(A60,Enforcements!$C$7:$E$21,3,0)</f>
        <v>#N/A</v>
      </c>
      <c r="AD60" s="61" t="str">
        <f t="shared" si="28"/>
        <v>0148-01</v>
      </c>
      <c r="AE60" s="91" t="str">
        <f t="shared" si="0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60" s="88" t="str">
        <f t="shared" si="1"/>
        <v>"C:\Program Files (x86)\AstroGrep\AstroGrep.exe" /spath="%USERPROFILE%\AppData\Local\Temp\OnboardLogs" /stypes="app*4041*20161101*" /stext=" 17:.+((SYSTEM_STATE.+slice.+state.+changed )|(ment ac)|(system.+state.+changed )|(\[timeout)|(PRM\|1\|D)|(kpr)|(kdp)|(\|lc)|(penalty))" /e /r /s</v>
      </c>
      <c r="AG60" s="1" t="str">
        <f t="shared" si="29"/>
        <v>EC</v>
      </c>
      <c r="AH60" s="92" t="str">
        <f t="shared" si="30"/>
        <v>"%USERPROFILE%\Documents\GitHub\eaglep3\Utilities\RefineRTDCRunTimes.py" --tripid 148-01 --locoid 4041 --swversion DE.1.0.8.0 --startMP 204:232932 --initTime 2016-11-01T10:18:58 --startdatetime 2016-11-01T10:26:14 --delay 1 --endMP 204:227 --enddatetime 2016-11-01T11:02:43 --enforcementcount 0 &gt;&gt;C:\Users\stu\Documents\GitHub\eaglep3-reporting\EC\2016-11-01-refined-times.txt</v>
      </c>
      <c r="AI6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{"issue":{"subject":"","project_id":79,"tracker_id":40,"status_id":1,"priority_id":2,"assigned_to_id":23,"start_date":"2016-11-01","description":"","custom_fields":[{"id":1,"name":"Subdivision","value":"EC"},{"id":4,"name":"Milepost","value":"0.0227"},{"id":17,"name":"Train ID","value":"148-01"},{"id":16,"name":"Locomotive ID","value":"4041"},{"id":130,"name":"Impact","value":""},{"id":150,"name":"Time of Event (Mountain Time)","value":"11:02:43"},{"id":151,"name":"Denver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386</v>
      </c>
      <c r="B61" s="7">
        <v>4040</v>
      </c>
      <c r="C61" s="22" t="s">
        <v>253</v>
      </c>
      <c r="D61" s="22" t="s">
        <v>628</v>
      </c>
      <c r="E61" s="13">
        <v>42675.404583333337</v>
      </c>
      <c r="F61" s="13">
        <v>42675.406678240739</v>
      </c>
      <c r="G61" s="7">
        <v>2</v>
      </c>
      <c r="H61" s="13" t="s">
        <v>312</v>
      </c>
      <c r="I61" s="13">
        <v>42675.432546296295</v>
      </c>
      <c r="J61" s="7">
        <v>0</v>
      </c>
      <c r="K61" s="112" t="str">
        <f t="shared" si="18"/>
        <v>4039/4040</v>
      </c>
      <c r="L61" s="22" t="str">
        <f>VLOOKUP(A61,'Trips&amp;Operators'!$C$1:$E$10000,3,FALSE)</f>
        <v>RICHARDSON</v>
      </c>
      <c r="M61" s="6">
        <f t="shared" si="19"/>
        <v>2.5868055556202307E-2</v>
      </c>
      <c r="N61" s="7">
        <f t="shared" si="35"/>
        <v>37.250000000931323</v>
      </c>
      <c r="O61" s="7"/>
      <c r="P61" s="7"/>
      <c r="Q61" s="23"/>
      <c r="R61" s="23"/>
      <c r="S61" s="35">
        <f t="shared" si="21"/>
        <v>1</v>
      </c>
      <c r="T61" s="50" t="str">
        <f t="shared" si="2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08:42:36-0600',mode:absolute,to:'2016-11-01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1" s="52" t="str">
        <f t="shared" si="24"/>
        <v>N</v>
      </c>
      <c r="X61" s="177">
        <f t="shared" si="34"/>
        <v>1</v>
      </c>
      <c r="Y61" s="67">
        <f t="shared" si="25"/>
        <v>4.9299999999999997E-2</v>
      </c>
      <c r="Z61" s="67">
        <f t="shared" si="26"/>
        <v>23.333200000000001</v>
      </c>
      <c r="AA61" s="67">
        <f t="shared" si="27"/>
        <v>23.283900000000003</v>
      </c>
      <c r="AB61" s="64" t="str">
        <f>VLOOKUP(A61,Enforcements!$C$7:$K$21,8,0)</f>
        <v>Bulletin (2)</v>
      </c>
      <c r="AC61" s="60" t="str">
        <f>VLOOKUP(A61,Enforcements!$C$7:$E$21,3,0)</f>
        <v>GRADE CROSSING</v>
      </c>
      <c r="AD61" s="61" t="str">
        <f t="shared" si="28"/>
        <v>0149-01</v>
      </c>
      <c r="AE61" s="91" t="str">
        <f t="shared" si="0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61" s="88" t="str">
        <f t="shared" si="1"/>
        <v>"C:\Program Files (x86)\AstroGrep\AstroGrep.exe" /spath="%USERPROFILE%\AppData\Local\Temp\OnboardLogs" /stypes="app*4040*20161101*" /stext=" 16:.+((SYSTEM_STATE.+slice.+state.+changed )|(ment ac)|(system.+state.+changed )|(\[timeout)|(PRM\|1\|D)|(kpr)|(kdp)|(\|lc)|(penalty))" /e /r /s</v>
      </c>
      <c r="AG61" s="1" t="str">
        <f t="shared" si="29"/>
        <v>EC</v>
      </c>
      <c r="AH61" s="92" t="str">
        <f t="shared" si="30"/>
        <v>"%USERPROFILE%\Documents\GitHub\eaglep3\Utilities\RefineRTDCRunTimes.py" --tripid 149-01 --locoid 4040 --swversion DE.1.0.8.0 --startMP 204:493 --initTime 2016-11-01T09:42:36 --startdatetime 2016-11-01T09:45:37 --delay 2 --endMP 204:233332 --enddatetime 2016-11-01T10:22:52 --enforcementcount 0 &gt;&gt;C:\Users\stu\Documents\GitHub\eaglep3-reporting\EC\2016-11-01-refined-times.txt</v>
      </c>
      <c r="AI6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{"issue":{"subject":"","project_id":79,"tracker_id":40,"status_id":1,"priority_id":2,"assigned_to_id":23,"start_date":"2016-11-01","description":"","custom_fields":[{"id":1,"name":"Subdivision","value":"EC"},{"id":4,"name":"Milepost","value":"23.3332"},{"id":17,"name":"Train ID","value":"149-01"},{"id":16,"name":"Locomotive ID","value":"4040"},{"id":130,"name":"Impact","value":""},{"id":150,"name":"Time of Event (Mountain Time)","value":"10:22:52"},{"id":151,"name":"Denver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469</v>
      </c>
      <c r="B62" s="7">
        <v>4039</v>
      </c>
      <c r="C62" s="22" t="s">
        <v>253</v>
      </c>
      <c r="D62" s="22" t="s">
        <v>629</v>
      </c>
      <c r="E62" s="13">
        <v>42675.440636574072</v>
      </c>
      <c r="F62" s="13">
        <v>42675.445567129631</v>
      </c>
      <c r="G62" s="7">
        <v>1</v>
      </c>
      <c r="H62" s="13" t="s">
        <v>207</v>
      </c>
      <c r="I62" s="13">
        <v>42675.471851851849</v>
      </c>
      <c r="J62" s="7">
        <v>0</v>
      </c>
      <c r="K62" s="112" t="str">
        <f t="shared" si="18"/>
        <v>4039/4040</v>
      </c>
      <c r="L62" s="22" t="str">
        <f>VLOOKUP(A62,'Trips&amp;Operators'!$C$1:$E$10000,3,FALSE)</f>
        <v>RICHARDSON</v>
      </c>
      <c r="M62" s="6">
        <f t="shared" si="19"/>
        <v>2.6284722218406387E-2</v>
      </c>
      <c r="N62" s="7">
        <f t="shared" si="35"/>
        <v>37.849999994505197</v>
      </c>
      <c r="O62" s="7"/>
      <c r="P62" s="7"/>
      <c r="Q62" s="23"/>
      <c r="R62" s="23"/>
      <c r="S62" s="35">
        <f t="shared" si="21"/>
        <v>1</v>
      </c>
      <c r="T62" s="50" t="str">
        <f t="shared" si="2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09:34:31-0600',mode:absolute,to:'2016-11-01 12:19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2" s="52" t="str">
        <f t="shared" si="24"/>
        <v>N</v>
      </c>
      <c r="X62" s="177">
        <f t="shared" si="34"/>
        <v>1</v>
      </c>
      <c r="Y62" s="67">
        <f t="shared" si="25"/>
        <v>23.298999999999999</v>
      </c>
      <c r="Z62" s="67">
        <f t="shared" si="26"/>
        <v>1.43E-2</v>
      </c>
      <c r="AA62" s="67">
        <f t="shared" si="27"/>
        <v>23.284700000000001</v>
      </c>
      <c r="AB62" s="64" t="e">
        <f>VLOOKUP(A62,Enforcements!$C$7:$K$21,8,0)</f>
        <v>#N/A</v>
      </c>
      <c r="AC62" s="60" t="e">
        <f>VLOOKUP(A62,Enforcements!$C$7:$E$21,3,0)</f>
        <v>#N/A</v>
      </c>
      <c r="AD62" s="61" t="str">
        <f t="shared" si="28"/>
        <v>0150-01</v>
      </c>
      <c r="AE62" s="91" t="str">
        <f t="shared" si="0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62" s="88" t="str">
        <f t="shared" si="1"/>
        <v>"C:\Program Files (x86)\AstroGrep\AstroGrep.exe" /spath="%USERPROFILE%\AppData\Local\Temp\OnboardLogs" /stypes="app*4039*20161101*" /stext=" 17:.+((SYSTEM_STATE.+slice.+state.+changed )|(ment ac)|(system.+state.+changed )|(\[timeout)|(PRM\|1\|D)|(kpr)|(kdp)|(\|lc)|(penalty))" /e /r /s</v>
      </c>
      <c r="AG62" s="1" t="str">
        <f t="shared" si="29"/>
        <v>EC</v>
      </c>
      <c r="AH62" s="92" t="str">
        <f t="shared" si="30"/>
        <v>"%USERPROFILE%\Documents\GitHub\eaglep3\Utilities\RefineRTDCRunTimes.py" --tripid 150-01 --locoid 4039 --swversion DE.1.0.8.0 --startMP 204:232990 --initTime 2016-11-01T10:34:31 --startdatetime 2016-11-01T10:41:37 --delay 1 --endMP 204:143 --enddatetime 2016-11-01T11:19:28 --enforcementcount 0 &gt;&gt;C:\Users\stu\Documents\GitHub\eaglep3-reporting\EC\2016-11-01-refined-times.txt</v>
      </c>
      <c r="AI6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{"issue":{"subject":"","project_id":79,"tracker_id":40,"status_id":1,"priority_id":2,"assigned_to_id":23,"start_date":"2016-11-01","description":"","custom_fields":[{"id":1,"name":"Subdivision","value":"EC"},{"id":4,"name":"Milepost","value":"0.0143"},{"id":17,"name":"Train ID","value":"150-01"},{"id":16,"name":"Locomotive ID","value":"4039"},{"id":130,"name":"Impact","value":""},{"id":150,"name":"Time of Event (Mountain Time)","value":"11:19:28"},{"id":151,"name":"Denver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462</v>
      </c>
      <c r="B63" s="7">
        <v>4014</v>
      </c>
      <c r="C63" s="22" t="s">
        <v>253</v>
      </c>
      <c r="D63" s="22" t="s">
        <v>209</v>
      </c>
      <c r="E63" s="13">
        <v>42675.411724537036</v>
      </c>
      <c r="F63" s="13">
        <v>42675.416828703703</v>
      </c>
      <c r="G63" s="7">
        <v>1</v>
      </c>
      <c r="H63" s="13" t="s">
        <v>630</v>
      </c>
      <c r="I63" s="13">
        <v>42675.442106481481</v>
      </c>
      <c r="J63" s="7">
        <v>0</v>
      </c>
      <c r="K63" s="112" t="str">
        <f t="shared" si="18"/>
        <v>4013/4014</v>
      </c>
      <c r="L63" s="22" t="str">
        <f>VLOOKUP(A63,'Trips&amp;Operators'!$C$1:$E$10000,3,FALSE)</f>
        <v>DAVIS</v>
      </c>
      <c r="M63" s="6">
        <f t="shared" si="19"/>
        <v>2.527777777868323E-2</v>
      </c>
      <c r="N63" s="7">
        <f t="shared" si="35"/>
        <v>36.400000001303852</v>
      </c>
      <c r="O63" s="7"/>
      <c r="P63" s="7"/>
      <c r="Q63" s="23"/>
      <c r="R63" s="23"/>
      <c r="S63" s="35">
        <f t="shared" si="21"/>
        <v>1</v>
      </c>
      <c r="T63" s="50" t="str">
        <f t="shared" si="2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08:52:53-0600',mode:absolute,to:'2016-11-01 11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3" s="52" t="str">
        <f t="shared" si="24"/>
        <v>N</v>
      </c>
      <c r="X63" s="177">
        <f>VALUE(LEFT(AD63,4))-VALUE(LEFT(AD62,4))</f>
        <v>1</v>
      </c>
      <c r="Y63" s="67">
        <f t="shared" si="25"/>
        <v>4.4699999999999997E-2</v>
      </c>
      <c r="Z63" s="67">
        <f t="shared" si="26"/>
        <v>23.331700000000001</v>
      </c>
      <c r="AA63" s="67">
        <f t="shared" si="27"/>
        <v>23.287000000000003</v>
      </c>
      <c r="AB63" s="64" t="e">
        <f>VLOOKUP(A63,Enforcements!$C$7:$K$21,8,0)</f>
        <v>#N/A</v>
      </c>
      <c r="AC63" s="60" t="e">
        <f>VLOOKUP(A63,Enforcements!$C$7:$E$21,3,0)</f>
        <v>#N/A</v>
      </c>
      <c r="AD63" s="61" t="str">
        <f t="shared" si="28"/>
        <v>0151-01</v>
      </c>
      <c r="AE63" s="91" t="str">
        <f t="shared" si="0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63" s="88" t="str">
        <f t="shared" si="1"/>
        <v>"C:\Program Files (x86)\AstroGrep\AstroGrep.exe" /spath="%USERPROFILE%\AppData\Local\Temp\OnboardLogs" /stypes="app*4014*20161101*" /stext=" 16:.+((SYSTEM_STATE.+slice.+state.+changed )|(ment ac)|(system.+state.+changed )|(\[timeout)|(PRM\|1\|D)|(kpr)|(kdp)|(\|lc)|(penalty))" /e /r /s</v>
      </c>
      <c r="AG63" s="1" t="str">
        <f t="shared" si="29"/>
        <v>EC</v>
      </c>
      <c r="AH63" s="92" t="str">
        <f t="shared" si="30"/>
        <v>"%USERPROFILE%\Documents\GitHub\eaglep3\Utilities\RefineRTDCRunTimes.py" --tripid 151-01 --locoid 4014 --swversion DE.1.0.8.0 --startMP 204:447 --initTime 2016-11-01T09:52:53 --startdatetime 2016-11-01T10:00:14 --delay 1 --endMP 204:233317 --enddatetime 2016-11-01T10:36:38 --enforcementcount 0 &gt;&gt;C:\Users\stu\Documents\GitHub\eaglep3-reporting\EC\2016-11-01-refined-times.txt</v>
      </c>
      <c r="AI6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{"issue":{"subject":"","project_id":79,"tracker_id":40,"status_id":1,"priority_id":2,"assigned_to_id":23,"start_date":"2016-11-01","description":"","custom_fields":[{"id":1,"name":"Subdivision","value":"EC"},{"id":4,"name":"Milepost","value":"23.3317"},{"id":17,"name":"Train ID","value":"151-01"},{"id":16,"name":"Locomotive ID","value":"4014"},{"id":130,"name":"Impact","value":""},{"id":150,"name":"Time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472</v>
      </c>
      <c r="B64" s="7">
        <v>4013</v>
      </c>
      <c r="C64" s="22" t="s">
        <v>253</v>
      </c>
      <c r="D64" s="22" t="s">
        <v>616</v>
      </c>
      <c r="E64" s="13">
        <v>42675.450960648152</v>
      </c>
      <c r="F64" s="13">
        <v>42675.455717592595</v>
      </c>
      <c r="G64" s="7">
        <v>1</v>
      </c>
      <c r="H64" s="13" t="s">
        <v>631</v>
      </c>
      <c r="I64" s="13">
        <v>42675.483541666668</v>
      </c>
      <c r="J64" s="7">
        <v>0</v>
      </c>
      <c r="K64" s="112" t="str">
        <f t="shared" si="18"/>
        <v>4013/4014</v>
      </c>
      <c r="L64" s="22" t="str">
        <f>VLOOKUP(A64,'Trips&amp;Operators'!$C$1:$E$10000,3,FALSE)</f>
        <v>DAVIS</v>
      </c>
      <c r="M64" s="6">
        <f t="shared" si="19"/>
        <v>2.7824074073578231E-2</v>
      </c>
      <c r="N64" s="7">
        <f t="shared" si="35"/>
        <v>40.066666665952653</v>
      </c>
      <c r="O64" s="7"/>
      <c r="P64" s="7"/>
      <c r="Q64" s="23"/>
      <c r="R64" s="23"/>
      <c r="S64" s="35">
        <f t="shared" si="21"/>
        <v>1</v>
      </c>
      <c r="T64" s="50" t="str">
        <f t="shared" si="2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09:49:23-0600',mode:absolute,to:'2016-11-01 12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4" s="52" t="str">
        <f t="shared" si="24"/>
        <v>N</v>
      </c>
      <c r="X64" s="177">
        <f>VALUE(LEFT(AD64,4))-VALUE(LEFT(AD63,4))</f>
        <v>1</v>
      </c>
      <c r="Y64" s="67">
        <f t="shared" si="25"/>
        <v>23.3</v>
      </c>
      <c r="Z64" s="67">
        <f t="shared" si="26"/>
        <v>1.34E-2</v>
      </c>
      <c r="AA64" s="67">
        <f t="shared" si="27"/>
        <v>23.2866</v>
      </c>
      <c r="AB64" s="64" t="e">
        <f>VLOOKUP(A64,Enforcements!$C$7:$K$21,8,0)</f>
        <v>#N/A</v>
      </c>
      <c r="AC64" s="60" t="e">
        <f>VLOOKUP(A64,Enforcements!$C$7:$E$21,3,0)</f>
        <v>#N/A</v>
      </c>
      <c r="AD64" s="61" t="str">
        <f t="shared" si="28"/>
        <v>0152-01</v>
      </c>
      <c r="AE64" s="91" t="str">
        <f t="shared" si="0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64" s="88" t="str">
        <f t="shared" si="1"/>
        <v>"C:\Program Files (x86)\AstroGrep\AstroGrep.exe" /spath="%USERPROFILE%\AppData\Local\Temp\OnboardLogs" /stypes="app*4013*20161101*" /stext=" 17:.+((SYSTEM_STATE.+slice.+state.+changed )|(ment ac)|(system.+state.+changed )|(\[timeout)|(PRM\|1\|D)|(kpr)|(kdp)|(\|lc)|(penalty))" /e /r /s</v>
      </c>
      <c r="AG64" s="1" t="str">
        <f t="shared" si="29"/>
        <v>EC</v>
      </c>
      <c r="AH64" s="92" t="str">
        <f t="shared" si="30"/>
        <v>"%USERPROFILE%\Documents\GitHub\eaglep3\Utilities\RefineRTDCRunTimes.py" --tripid 152-01 --locoid 4013 --swversion DE.1.0.8.0 --startMP 204:233000 --initTime 2016-11-01T10:49:23 --startdatetime 2016-11-01T10:56:14 --delay 1 --endMP 204:134 --enddatetime 2016-11-01T11:36:18 --enforcementcount 0 &gt;&gt;C:\Users\stu\Documents\GitHub\eaglep3-reporting\EC\2016-11-01-refined-times.txt</v>
      </c>
      <c r="AI6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{"issue":{"subject":"","project_id":79,"tracker_id":40,"status_id":1,"priority_id":2,"assigned_to_id":23,"start_date":"2016-11-01","description":"","custom_fields":[{"id":1,"name":"Subdivision","value":"EC"},{"id":4,"name":"Milepost","value":"0.0134"},{"id":17,"name":"Train ID","value":"152-01"},{"id":16,"name":"Locomotive ID","value":"4013"},{"id":130,"name":"Impact","value":""},{"id":150,"name":"Time of Event (Mountain Time)","value":"11:36:18"},{"id":151,"name":"Denver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465</v>
      </c>
      <c r="B65" s="7">
        <v>4022</v>
      </c>
      <c r="C65" s="22" t="s">
        <v>253</v>
      </c>
      <c r="D65" s="22" t="s">
        <v>211</v>
      </c>
      <c r="E65" s="13">
        <v>42675.420983796299</v>
      </c>
      <c r="F65" s="13">
        <v>42675.427303240744</v>
      </c>
      <c r="G65" s="7">
        <v>1</v>
      </c>
      <c r="H65" s="13" t="s">
        <v>206</v>
      </c>
      <c r="I65" s="13">
        <v>42675.452094907407</v>
      </c>
      <c r="J65" s="7">
        <v>0</v>
      </c>
      <c r="K65" s="112" t="str">
        <f t="shared" si="18"/>
        <v>4021/4022</v>
      </c>
      <c r="L65" s="22" t="str">
        <f>VLOOKUP(A65,'Trips&amp;Operators'!$C$1:$E$10000,3,FALSE)</f>
        <v>LOPES</v>
      </c>
      <c r="M65" s="6">
        <f t="shared" si="19"/>
        <v>2.4791666663077194E-2</v>
      </c>
      <c r="N65" s="7">
        <f t="shared" si="35"/>
        <v>35.69999999483116</v>
      </c>
      <c r="O65" s="7"/>
      <c r="P65" s="7"/>
      <c r="Q65" s="23"/>
      <c r="R65" s="23"/>
      <c r="S65" s="35">
        <f t="shared" si="21"/>
        <v>1</v>
      </c>
      <c r="T65" s="50" t="str">
        <f t="shared" si="2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09:06:13-0600',mode:absolute,to:'2016-11-01 11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5" s="52" t="str">
        <f t="shared" si="24"/>
        <v>N</v>
      </c>
      <c r="X65" s="177">
        <f>VALUE(LEFT(AD65,4))-VALUE(LEFT(AD64,4))</f>
        <v>1</v>
      </c>
      <c r="Y65" s="67">
        <f t="shared" si="25"/>
        <v>4.5499999999999999E-2</v>
      </c>
      <c r="Z65" s="67">
        <f t="shared" si="26"/>
        <v>23.3293</v>
      </c>
      <c r="AA65" s="67">
        <f t="shared" si="27"/>
        <v>23.283799999999999</v>
      </c>
      <c r="AB65" s="64" t="e">
        <f>VLOOKUP(A65,Enforcements!$C$7:$K$21,8,0)</f>
        <v>#N/A</v>
      </c>
      <c r="AC65" s="60" t="e">
        <f>VLOOKUP(A65,Enforcements!$C$7:$E$21,3,0)</f>
        <v>#N/A</v>
      </c>
      <c r="AD65" s="61" t="str">
        <f t="shared" si="28"/>
        <v>0153-01</v>
      </c>
      <c r="AE65" s="91" t="str">
        <f t="shared" si="0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65" s="88" t="str">
        <f t="shared" si="1"/>
        <v>"C:\Program Files (x86)\AstroGrep\AstroGrep.exe" /spath="%USERPROFILE%\AppData\Local\Temp\OnboardLogs" /stypes="app*4022*20161101*" /stext=" 16:.+((SYSTEM_STATE.+slice.+state.+changed )|(ment ac)|(system.+state.+changed )|(\[timeout)|(PRM\|1\|D)|(kpr)|(kdp)|(\|lc)|(penalty))" /e /r /s</v>
      </c>
      <c r="AG65" s="1" t="str">
        <f t="shared" si="29"/>
        <v>EC</v>
      </c>
      <c r="AH65" s="92" t="str">
        <f t="shared" si="30"/>
        <v>"%USERPROFILE%\Documents\GitHub\eaglep3\Utilities\RefineRTDCRunTimes.py" --tripid 153-01 --locoid 4022 --swversion DE.1.0.8.0 --startMP 204:455 --initTime 2016-11-01T10:06:13 --startdatetime 2016-11-01T10:15:19 --delay 1 --endMP 204:233293 --enddatetime 2016-11-01T10:51:01 --enforcementcount 0 &gt;&gt;C:\Users\stu\Documents\GitHub\eaglep3-reporting\EC\2016-11-01-refined-times.txt</v>
      </c>
      <c r="AI6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{"issue":{"subject":"","project_id":79,"tracker_id":40,"status_id":1,"priority_id":2,"assigned_to_id":23,"start_date":"2016-11-01","description":"","custom_fields":[{"id":1,"name":"Subdivision","value":"EC"},{"id":4,"name":"Milepost","value":"23.3293"},{"id":17,"name":"Train ID","value":"153-01"},{"id":16,"name":"Locomotive ID","value":"4022"},{"id":130,"name":"Impact","value":""},{"id":150,"name":"Time of Event (Mountain Time)","value":"10:51:01"},{"id":151,"name":"Denver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474</v>
      </c>
      <c r="B66" s="7">
        <v>4021</v>
      </c>
      <c r="C66" s="22" t="s">
        <v>253</v>
      </c>
      <c r="D66" s="22" t="s">
        <v>226</v>
      </c>
      <c r="E66" s="13">
        <v>42675.454189814816</v>
      </c>
      <c r="F66" s="13">
        <v>42675.466307870367</v>
      </c>
      <c r="G66" s="7">
        <v>12</v>
      </c>
      <c r="H66" s="13" t="s">
        <v>175</v>
      </c>
      <c r="I66" s="13">
        <v>42675.496354166666</v>
      </c>
      <c r="J66" s="7">
        <v>0</v>
      </c>
      <c r="K66" s="112" t="str">
        <f t="shared" si="18"/>
        <v>4021/4022</v>
      </c>
      <c r="L66" s="22" t="str">
        <f>VLOOKUP(A66,'Trips&amp;Operators'!$C$1:$E$10000,3,FALSE)</f>
        <v>LOPES</v>
      </c>
      <c r="M66" s="6">
        <f t="shared" si="19"/>
        <v>3.0046296298678499E-2</v>
      </c>
      <c r="N66" s="7">
        <f t="shared" si="35"/>
        <v>43.266666670097038</v>
      </c>
      <c r="O66" s="7"/>
      <c r="P66" s="7"/>
      <c r="Q66" s="23"/>
      <c r="R66" s="23"/>
      <c r="S66" s="35">
        <f t="shared" si="21"/>
        <v>1</v>
      </c>
      <c r="T66" s="50" t="str">
        <f t="shared" si="2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09:54:02-0600',mode:absolute,to:'2016-11-01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6" s="52" t="str">
        <f t="shared" si="24"/>
        <v>N</v>
      </c>
      <c r="X66" s="177">
        <f>VALUE(LEFT(AD66,4))-VALUE(LEFT(AD65,4))</f>
        <v>1</v>
      </c>
      <c r="Y66" s="67">
        <f t="shared" si="25"/>
        <v>23.297699999999999</v>
      </c>
      <c r="Z66" s="67">
        <f t="shared" si="26"/>
        <v>1.47E-2</v>
      </c>
      <c r="AA66" s="67">
        <f t="shared" si="27"/>
        <v>23.282999999999998</v>
      </c>
      <c r="AB66" s="64" t="e">
        <f>VLOOKUP(A66,Enforcements!$C$7:$K$21,8,0)</f>
        <v>#N/A</v>
      </c>
      <c r="AC66" s="60" t="e">
        <f>VLOOKUP(A66,Enforcements!$C$7:$E$21,3,0)</f>
        <v>#N/A</v>
      </c>
      <c r="AD66" s="61" t="str">
        <f t="shared" si="28"/>
        <v>0154-01</v>
      </c>
      <c r="AE66" s="91" t="str">
        <f t="shared" si="0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66" s="88" t="str">
        <f t="shared" si="1"/>
        <v>"C:\Program Files (x86)\AstroGrep\AstroGrep.exe" /spath="%USERPROFILE%\AppData\Local\Temp\OnboardLogs" /stypes="app*4021*20161101*" /stext=" 17:.+((SYSTEM_STATE.+slice.+state.+changed )|(ment ac)|(system.+state.+changed )|(\[timeout)|(PRM\|1\|D)|(kpr)|(kdp)|(\|lc)|(penalty))" /e /r /s</v>
      </c>
      <c r="AG66" s="1" t="str">
        <f t="shared" si="29"/>
        <v>EC</v>
      </c>
      <c r="AH66" s="92" t="str">
        <f t="shared" si="30"/>
        <v>"%USERPROFILE%\Documents\GitHub\eaglep3\Utilities\RefineRTDCRunTimes.py" --tripid 154-01 --locoid 4021 --swversion DE.1.0.8.0 --startMP 204:232977 --initTime 2016-11-01T10:54:02 --startdatetime 2016-11-01T11:11:29 --delay 12 --endMP 204:147 --enddatetime 2016-11-01T11:54:45 --enforcementcount 0 &gt;&gt;C:\Users\stu\Documents\GitHub\eaglep3-reporting\EC\2016-11-01-refined-times.txt</v>
      </c>
      <c r="AI6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{"issue":{"subject":"","project_id":79,"tracker_id":40,"status_id":1,"priority_id":2,"assigned_to_id":23,"start_date":"2016-11-01","description":"","custom_fields":[{"id":1,"name":"Subdivision","value":"EC"},{"id":4,"name":"Milepost","value":"0.0147"},{"id":17,"name":"Train ID","value":"154-01"},{"id":16,"name":"Locomotive ID","value":"4021"},{"id":130,"name":"Impact","value":""},{"id":150,"name":"Time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467</v>
      </c>
      <c r="B67" s="7">
        <v>4038</v>
      </c>
      <c r="C67" s="22" t="s">
        <v>253</v>
      </c>
      <c r="D67" s="22" t="s">
        <v>211</v>
      </c>
      <c r="E67" s="13">
        <v>42675.432835648149</v>
      </c>
      <c r="F67" s="13">
        <v>42675.437719907408</v>
      </c>
      <c r="G67" s="7">
        <v>2</v>
      </c>
      <c r="H67" s="13" t="s">
        <v>341</v>
      </c>
      <c r="I67" s="13">
        <v>42675.462627314817</v>
      </c>
      <c r="J67" s="7">
        <v>0</v>
      </c>
      <c r="K67" s="112" t="str">
        <f t="shared" si="18"/>
        <v>4037/4038</v>
      </c>
      <c r="L67" s="22" t="str">
        <f>VLOOKUP(A67,'Trips&amp;Operators'!$C$1:$E$10000,3,FALSE)</f>
        <v>STARKS</v>
      </c>
      <c r="M67" s="6">
        <f t="shared" si="19"/>
        <v>2.4907407409045845E-2</v>
      </c>
      <c r="N67" s="7">
        <f t="shared" si="35"/>
        <v>35.866666669026017</v>
      </c>
      <c r="O67" s="7"/>
      <c r="P67" s="7"/>
      <c r="Q67" s="23"/>
      <c r="R67" s="23"/>
      <c r="S67" s="35">
        <f t="shared" si="21"/>
        <v>1</v>
      </c>
      <c r="T67" s="50" t="str">
        <f t="shared" si="2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09:23:17-0600',mode:absolute,to:'2016-11-01 12:06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7" s="52" t="str">
        <f t="shared" si="24"/>
        <v>N</v>
      </c>
      <c r="X67" s="177">
        <f t="shared" ref="X67:X68" si="36">VALUE(LEFT(AD67,4))-VALUE(LEFT(AD66,4))</f>
        <v>1</v>
      </c>
      <c r="Y67" s="67">
        <f t="shared" si="25"/>
        <v>4.5499999999999999E-2</v>
      </c>
      <c r="Z67" s="67">
        <f t="shared" si="26"/>
        <v>23.330200000000001</v>
      </c>
      <c r="AA67" s="67">
        <f t="shared" si="27"/>
        <v>23.284700000000001</v>
      </c>
      <c r="AB67" s="64" t="e">
        <f>VLOOKUP(A67,Enforcements!$C$7:$K$21,8,0)</f>
        <v>#N/A</v>
      </c>
      <c r="AC67" s="60" t="e">
        <f>VLOOKUP(A67,Enforcements!$C$7:$E$21,3,0)</f>
        <v>#N/A</v>
      </c>
      <c r="AD67" s="61" t="str">
        <f t="shared" si="28"/>
        <v>0155-01</v>
      </c>
      <c r="AE67" s="91" t="str">
        <f t="shared" si="0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67" s="88" t="str">
        <f t="shared" si="1"/>
        <v>"C:\Program Files (x86)\AstroGrep\AstroGrep.exe" /spath="%USERPROFILE%\AppData\Local\Temp\OnboardLogs" /stypes="app*4038*20161101*" /stext=" 17:.+((SYSTEM_STATE.+slice.+state.+changed )|(ment ac)|(system.+state.+changed )|(\[timeout)|(PRM\|1\|D)|(kpr)|(kdp)|(\|lc)|(penalty))" /e /r /s</v>
      </c>
      <c r="AG67" s="1" t="str">
        <f t="shared" si="29"/>
        <v>EC</v>
      </c>
      <c r="AH67" s="92" t="str">
        <f t="shared" si="30"/>
        <v>"%USERPROFILE%\Documents\GitHub\eaglep3\Utilities\RefineRTDCRunTimes.py" --tripid 155-01 --locoid 4038 --swversion DE.1.0.8.0 --startMP 204:455 --initTime 2016-11-01T10:23:17 --startdatetime 2016-11-01T10:30:19 --delay 2 --endMP 204:233302 --enddatetime 2016-11-01T11:06:11 --enforcementcount 0 &gt;&gt;C:\Users\stu\Documents\GitHub\eaglep3-reporting\EC\2016-11-01-refined-times.txt</v>
      </c>
      <c r="AI6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{"issue":{"subject":"","project_id":79,"tracker_id":40,"status_id":1,"priority_id":2,"assigned_to_id":23,"start_date":"2016-11-01","description":"","custom_fields":[{"id":1,"name":"Subdivision","value":"EC"},{"id":4,"name":"Milepost","value":"23.3302"},{"id":17,"name":"Train ID","value":"155-01"},{"id":16,"name":"Locomotive ID","value":"4038"},{"id":130,"name":"Impact","value":""},{"id":150,"name":"Time of Event (Mountain Time)","value":"11:06:11"},{"id":151,"name":"Denver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478</v>
      </c>
      <c r="B68" s="7">
        <v>4037</v>
      </c>
      <c r="C68" s="22" t="s">
        <v>253</v>
      </c>
      <c r="D68" s="22" t="s">
        <v>294</v>
      </c>
      <c r="E68" s="13">
        <v>42675.472685185188</v>
      </c>
      <c r="F68" s="13">
        <v>42675.476840277777</v>
      </c>
      <c r="G68" s="7">
        <v>1</v>
      </c>
      <c r="H68" s="13" t="s">
        <v>176</v>
      </c>
      <c r="I68" s="13">
        <v>42675.503761574073</v>
      </c>
      <c r="J68" s="7">
        <v>0</v>
      </c>
      <c r="K68" s="112" t="str">
        <f t="shared" si="18"/>
        <v>4037/4038</v>
      </c>
      <c r="L68" s="22" t="str">
        <f>VLOOKUP(A68,'Trips&amp;Operators'!$C$1:$E$10000,3,FALSE)</f>
        <v>STARKS</v>
      </c>
      <c r="M68" s="6">
        <f t="shared" si="19"/>
        <v>2.6921296295768116E-2</v>
      </c>
      <c r="N68" s="7">
        <f t="shared" si="35"/>
        <v>38.766666665906087</v>
      </c>
      <c r="O68" s="7"/>
      <c r="P68" s="7"/>
      <c r="Q68" s="23"/>
      <c r="R68" s="23"/>
      <c r="S68" s="35">
        <f t="shared" si="21"/>
        <v>1</v>
      </c>
      <c r="T68" s="50" t="str">
        <f t="shared" si="2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10:20:40-0600',mode:absolute,to:'2016-11-01 13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8" s="52" t="str">
        <f t="shared" si="24"/>
        <v>N</v>
      </c>
      <c r="X68" s="177">
        <f t="shared" si="36"/>
        <v>1</v>
      </c>
      <c r="Y68" s="67">
        <f t="shared" si="25"/>
        <v>23.297599999999999</v>
      </c>
      <c r="Z68" s="67">
        <f t="shared" si="26"/>
        <v>1.52E-2</v>
      </c>
      <c r="AA68" s="67">
        <f t="shared" si="27"/>
        <v>23.282399999999999</v>
      </c>
      <c r="AB68" s="64" t="e">
        <f>VLOOKUP(A68,Enforcements!$C$7:$K$21,8,0)</f>
        <v>#N/A</v>
      </c>
      <c r="AC68" s="60" t="e">
        <f>VLOOKUP(A68,Enforcements!$C$7:$E$21,3,0)</f>
        <v>#N/A</v>
      </c>
      <c r="AD68" s="61" t="str">
        <f t="shared" si="28"/>
        <v>0156-01</v>
      </c>
      <c r="AE68" s="91" t="str">
        <f t="shared" si="0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68" s="88" t="str">
        <f t="shared" si="1"/>
        <v>"C:\Program Files (x86)\AstroGrep\AstroGrep.exe" /spath="%USERPROFILE%\AppData\Local\Temp\OnboardLogs" /stypes="app*4037*20161101*" /stext=" 18:.+((SYSTEM_STATE.+slice.+state.+changed )|(ment ac)|(system.+state.+changed )|(\[timeout)|(PRM\|1\|D)|(kpr)|(kdp)|(\|lc)|(penalty))" /e /r /s</v>
      </c>
      <c r="AG68" s="1" t="str">
        <f t="shared" si="29"/>
        <v>EC</v>
      </c>
      <c r="AH68" s="92" t="str">
        <f t="shared" si="30"/>
        <v>"%USERPROFILE%\Documents\GitHub\eaglep3\Utilities\RefineRTDCRunTimes.py" --tripid 156-01 --locoid 4037 --swversion DE.1.0.8.0 --startMP 204:232976 --initTime 2016-11-01T11:20:40 --startdatetime 2016-11-01T11:26:39 --delay 1 --endMP 204:152 --enddatetime 2016-11-01T12:05:25 --enforcementcount 0 &gt;&gt;C:\Users\stu\Documents\GitHub\eaglep3-reporting\EC\2016-11-01-refined-times.txt</v>
      </c>
      <c r="AI68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{"issue":{"subject":"","project_id":79,"tracker_id":40,"status_id":1,"priority_id":2,"assigned_to_id":23,"start_date":"2016-11-01","description":"","custom_fields":[{"id":1,"name":"Subdivision","value":"EC"},{"id":4,"name":"Milepost","value":"0.0152"},{"id":17,"name":"Train ID","value":"156-01"},{"id":16,"name":"Locomotive ID","value":"4037"},{"id":130,"name":"Impact","value":""},{"id":150,"name":"Time of Event (Mountain Time)","value":"12:05:25"},{"id":151,"name":"Denver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471</v>
      </c>
      <c r="B69" s="7">
        <v>4027</v>
      </c>
      <c r="C69" s="22" t="s">
        <v>253</v>
      </c>
      <c r="D69" s="22" t="s">
        <v>294</v>
      </c>
      <c r="E69" s="13">
        <v>42675.472685185188</v>
      </c>
      <c r="F69" s="13">
        <v>42675.445</v>
      </c>
      <c r="G69" s="7">
        <v>1</v>
      </c>
      <c r="H69" s="13" t="s">
        <v>176</v>
      </c>
      <c r="I69" s="13">
        <v>42675.462719907409</v>
      </c>
      <c r="J69" s="7">
        <v>0</v>
      </c>
      <c r="K69" s="112" t="str">
        <f t="shared" si="18"/>
        <v>4027/4028</v>
      </c>
      <c r="L69" s="22" t="str">
        <f>VLOOKUP(A69,'Trips&amp;Operators'!$C$1:$E$10000,3,FALSE)</f>
        <v>NELSON</v>
      </c>
      <c r="M69" s="6">
        <f t="shared" si="19"/>
        <v>1.7719907409627922E-2</v>
      </c>
      <c r="N69" s="7"/>
      <c r="O69" s="7"/>
      <c r="P69" s="7">
        <f>24*60*SUM($M69:$M69)</f>
        <v>25.516666669864208</v>
      </c>
      <c r="Q69" s="23"/>
      <c r="R69" s="23" t="s">
        <v>800</v>
      </c>
      <c r="S69" s="35">
        <f t="shared" si="21"/>
        <v>0</v>
      </c>
      <c r="T69" s="50" t="str">
        <f t="shared" si="2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10:20:40-0600',mode:absolute,to:'2016-11-01 12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9" s="52" t="str">
        <f t="shared" si="24"/>
        <v>N</v>
      </c>
      <c r="X69" s="177">
        <f t="shared" ref="X69:X70" si="37">VALUE(LEFT(AD69,4))-VALUE(LEFT(AD68,4))</f>
        <v>1</v>
      </c>
      <c r="Y69" s="67">
        <f t="shared" si="25"/>
        <v>23.297599999999999</v>
      </c>
      <c r="Z69" s="67">
        <f t="shared" si="26"/>
        <v>1.52E-2</v>
      </c>
      <c r="AA69" s="67">
        <f t="shared" si="27"/>
        <v>23.282399999999999</v>
      </c>
      <c r="AB69" s="64" t="e">
        <f>VLOOKUP(A69,Enforcements!$C$7:$K$21,8,0)</f>
        <v>#N/A</v>
      </c>
      <c r="AC69" s="60" t="e">
        <f>VLOOKUP(A69,Enforcements!$C$7:$E$21,3,0)</f>
        <v>#N/A</v>
      </c>
      <c r="AD69" s="61" t="str">
        <f t="shared" si="28"/>
        <v>0157-01</v>
      </c>
      <c r="AE69" s="91" t="str">
        <f t="shared" si="0"/>
        <v>aws s3 cp s3://rtdc.mdm.uploadarchive.raw/RTDC4027/ "%USERPROFILE%\AppData\Local\Temp\OnboardLogs"\RTDC4027\2016-11-01 --exclude "*" --recursive --include "*20161101*" &amp; "%USERPROFILE%\Documents\GitHub\mrs-test-scripts\Headless Mode &amp; Sideloading\WalkAndUnGZ.bat" "%USERPROFILE%\AppData\Local\Temp\OnboardLogs"\RTDC4027\2016-11-01 &amp; aws s3 cp s3://rtdc.mdm.uploadarchive.raw/RTDC4027/ "%USERPROFILE%\AppData\Local\Temp\OnboardLogs"\RTDC4027\2016-11-02 --exclude "*" --recursive --include "*20161102*" &amp; "%USERPROFILE%\Documents\GitHub\mrs-test-scripts\Headless Mode &amp; Sideloading\WalkAndUnGZ.bat" "%USERPROFILE%\AppData\Local\Temp\OnboardLogs"\RTDC4027\2016-11-02</v>
      </c>
      <c r="AF69" s="88" t="str">
        <f t="shared" si="1"/>
        <v>"C:\Program Files (x86)\AstroGrep\AstroGrep.exe" /spath="%USERPROFILE%\AppData\Local\Temp\OnboardLogs" /stypes="app*4027*20161101*" /stext=" 17:.+((SYSTEM_STATE.+slice.+state.+changed )|(ment ac)|(system.+state.+changed )|(\[timeout)|(PRM\|1\|D)|(kpr)|(kdp)|(\|lc)|(penalty))" /e /r /s</v>
      </c>
      <c r="AG69" s="1" t="str">
        <f t="shared" si="29"/>
        <v>EC</v>
      </c>
      <c r="AH69" s="92" t="str">
        <f t="shared" ref="AH69" si="38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157-01 --locoid 4027 --swversion DE.1.0.8.0 --startMP 204:232976 --initTime 2016-11-01T11:20:40 --startdatetime 2016-11-01T10:40:48 --delay 1 --endMP 204:152 --enddatetime 2016-11-01T11:06:19 --enforcementcount 0 &gt;&gt;C:\Users\stu\Documents\GitHub\eaglep3-reporting\EC\2016-11-01-refined-times.txt</v>
      </c>
      <c r="AI69" s="122" t="str">
        <f t="shared" ref="AI69" si="39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{"issue":{"subject":"Extended Wi-MAX outage (from 11/01/2016 11:08:46 to 21:16:17)","project_id":79,"tracker_id":40,"status_id":1,"priority_id":2,"assigned_to_id":23,"start_date":"2016-11-01","description":"From 11/01/2016 11:08:46 onward, RTDC 4027 was offline. Came back online around 21:16:17","custom_fields":[{"id":1,"name":"Subdivision","value":"EC"},{"id":4,"name":"Milepost","value":"0.0152"},{"id":17,"name":"Train ID","value":"157-01"},{"id":16,"name":"Locomotive ID","value":"4027"},{"id":130,"name":"Impact","value":"Unexpected Cut-Out or Disengaged"},{"id":150,"name":"Time of Event (Mountain Time)","value":"11:06:19"},{"id":151,"name":"Denver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69" s="53" t="s">
        <v>799</v>
      </c>
      <c r="AK69" s="53" t="s">
        <v>131</v>
      </c>
      <c r="AL69" s="53" t="s">
        <v>138</v>
      </c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1"/>
      <c r="CE69" s="21"/>
      <c r="CF69" s="21"/>
      <c r="CG69" s="21"/>
      <c r="CH69" s="21"/>
      <c r="CI69" s="21"/>
      <c r="CJ69" s="21"/>
      <c r="CK69" s="21"/>
      <c r="CL69" s="21"/>
      <c r="CM69" s="21"/>
    </row>
    <row r="70" spans="1:91" s="1" customFormat="1" x14ac:dyDescent="0.25">
      <c r="A70" s="37" t="s">
        <v>481</v>
      </c>
      <c r="B70" s="7">
        <v>4028</v>
      </c>
      <c r="C70" s="22" t="s">
        <v>253</v>
      </c>
      <c r="D70" s="22" t="s">
        <v>344</v>
      </c>
      <c r="E70" s="13">
        <v>42675.485752314817</v>
      </c>
      <c r="F70" s="13">
        <v>42675.487268518518</v>
      </c>
      <c r="G70" s="7">
        <v>2</v>
      </c>
      <c r="H70" s="13" t="s">
        <v>632</v>
      </c>
      <c r="I70" s="13">
        <v>42675.516377314816</v>
      </c>
      <c r="J70" s="7">
        <v>0</v>
      </c>
      <c r="K70" s="112" t="str">
        <f t="shared" si="18"/>
        <v>4027/4028</v>
      </c>
      <c r="L70" s="22" t="str">
        <f>VLOOKUP(A70,'Trips&amp;Operators'!$C$1:$E$10000,3,FALSE)</f>
        <v>NELSON</v>
      </c>
      <c r="M70" s="6">
        <f t="shared" si="19"/>
        <v>2.9108796297805384E-2</v>
      </c>
      <c r="N70" s="7">
        <f t="shared" ref="N70:N92" si="40">24*60*SUM($M70:$M70)</f>
        <v>41.916666668839753</v>
      </c>
      <c r="O70" s="7"/>
      <c r="P70" s="7"/>
      <c r="Q70" s="23"/>
      <c r="R70" s="23"/>
      <c r="S70" s="35">
        <f t="shared" si="21"/>
        <v>1</v>
      </c>
      <c r="T70" s="50" t="str">
        <f t="shared" si="2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10:39:29-0600',mode:absolute,to:'2016-11-01 13:23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0" s="52" t="str">
        <f t="shared" si="24"/>
        <v>N</v>
      </c>
      <c r="X70" s="177">
        <f t="shared" si="37"/>
        <v>1</v>
      </c>
      <c r="Y70" s="67">
        <f t="shared" si="25"/>
        <v>23.2971</v>
      </c>
      <c r="Z70" s="67">
        <f t="shared" si="26"/>
        <v>0.1173</v>
      </c>
      <c r="AA70" s="67">
        <f t="shared" si="27"/>
        <v>23.1798</v>
      </c>
      <c r="AB70" s="64" t="e">
        <f>VLOOKUP(A70,Enforcements!$C$7:$K$21,8,0)</f>
        <v>#N/A</v>
      </c>
      <c r="AC70" s="60" t="e">
        <f>VLOOKUP(A70,Enforcements!$C$7:$E$21,3,0)</f>
        <v>#N/A</v>
      </c>
      <c r="AD70" s="61" t="str">
        <f t="shared" si="28"/>
        <v>0158-01</v>
      </c>
      <c r="AE70" s="91" t="str">
        <f t="shared" si="0"/>
        <v>aws s3 cp s3://rtdc.mdm.uploadarchive.raw/RTDC4028/ "%USERPROFILE%\AppData\Local\Temp\OnboardLogs"\RTDC4028\2016-11-01 --exclude "*" --recursive --include "*20161101*" &amp; "%USERPROFILE%\Documents\GitHub\mrs-test-scripts\Headless Mode &amp; Sideloading\WalkAndUnGZ.bat" "%USERPROFILE%\AppData\Local\Temp\OnboardLogs"\RTDC4028\2016-11-01 &amp; aws s3 cp s3://rtdc.mdm.uploadarchive.raw/RTDC4028/ "%USERPROFILE%\AppData\Local\Temp\OnboardLogs"\RTDC4028\2016-11-02 --exclude "*" --recursive --include "*20161102*" &amp; "%USERPROFILE%\Documents\GitHub\mrs-test-scripts\Headless Mode &amp; Sideloading\WalkAndUnGZ.bat" "%USERPROFILE%\AppData\Local\Temp\OnboardLogs"\RTDC4028\2016-11-02</v>
      </c>
      <c r="AF70" s="88" t="str">
        <f t="shared" si="1"/>
        <v>"C:\Program Files (x86)\AstroGrep\AstroGrep.exe" /spath="%USERPROFILE%\AppData\Local\Temp\OnboardLogs" /stypes="app*4028*20161101*" /stext=" 18:.+((SYSTEM_STATE.+slice.+state.+changed )|(ment ac)|(system.+state.+changed )|(\[timeout)|(PRM\|1\|D)|(kpr)|(kdp)|(\|lc)|(penalty))" /e /r /s</v>
      </c>
      <c r="AG70" s="1" t="str">
        <f t="shared" si="29"/>
        <v>EC</v>
      </c>
      <c r="AH70" s="92" t="str">
        <f t="shared" si="30"/>
        <v>"%USERPROFILE%\Documents\GitHub\eaglep3\Utilities\RefineRTDCRunTimes.py" --tripid 158-01 --locoid 4028 --swversion DE.1.0.8.0 --startMP 204:232971 --initTime 2016-11-01T11:39:29 --startdatetime 2016-11-01T11:41:40 --delay 2 --endMP 204:1173 --enddatetime 2016-11-01T12:23:35 --enforcementcount 0 &gt;&gt;C:\Users\stu\Documents\GitHub\eaglep3-reporting\EC\2016-11-01-refined-times.txt</v>
      </c>
      <c r="AI70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{"issue":{"subject":"","project_id":79,"tracker_id":40,"status_id":1,"priority_id":2,"assigned_to_id":23,"start_date":"2016-11-01","description":"","custom_fields":[{"id":1,"name":"Subdivision","value":"EC"},{"id":4,"name":"Milepost","value":"0.1173"},{"id":17,"name":"Train ID","value":"158-01"},{"id":16,"name":"Locomotive ID","value":"4028"},{"id":130,"name":"Impact","value":""},{"id":150,"name":"Time of Event (Mountain Time)","value":"12:23:35"},{"id":151,"name":"Denver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473</v>
      </c>
      <c r="B71" s="7">
        <v>4007</v>
      </c>
      <c r="C71" s="22" t="s">
        <v>253</v>
      </c>
      <c r="D71" s="22" t="s">
        <v>215</v>
      </c>
      <c r="E71" s="13">
        <v>42675.453622685185</v>
      </c>
      <c r="F71" s="13">
        <v>42675.458668981482</v>
      </c>
      <c r="G71" s="7">
        <v>1</v>
      </c>
      <c r="H71" s="13" t="s">
        <v>633</v>
      </c>
      <c r="I71" s="13">
        <v>42675.484224537038</v>
      </c>
      <c r="J71" s="7">
        <v>0</v>
      </c>
      <c r="K71" s="112" t="str">
        <f t="shared" si="18"/>
        <v>4007/4008</v>
      </c>
      <c r="L71" s="22" t="str">
        <f>VLOOKUP(A71,'Trips&amp;Operators'!$C$1:$E$10000,3,FALSE)</f>
        <v>BARTLETT</v>
      </c>
      <c r="M71" s="6">
        <f t="shared" si="19"/>
        <v>2.5555555555911269E-2</v>
      </c>
      <c r="N71" s="7">
        <f t="shared" si="40"/>
        <v>36.800000000512227</v>
      </c>
      <c r="O71" s="7"/>
      <c r="P71" s="7"/>
      <c r="Q71" s="23"/>
      <c r="R71" s="23"/>
      <c r="S71" s="35">
        <f t="shared" si="21"/>
        <v>1</v>
      </c>
      <c r="T71" s="50" t="str">
        <f t="shared" si="2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09:53:13-0600',mode:absolute,to:'2016-11-01 12:37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1" s="52" t="str">
        <f t="shared" si="24"/>
        <v>N</v>
      </c>
      <c r="X71" s="177">
        <f t="shared" ref="X71:X79" si="41">VALUE(LEFT(AD71,4))-VALUE(LEFT(AD70,4))</f>
        <v>1</v>
      </c>
      <c r="Y71" s="67">
        <f t="shared" si="25"/>
        <v>4.5999999999999999E-2</v>
      </c>
      <c r="Z71" s="67">
        <f t="shared" si="26"/>
        <v>23.339099999999998</v>
      </c>
      <c r="AA71" s="67">
        <f t="shared" si="27"/>
        <v>23.293099999999999</v>
      </c>
      <c r="AB71" s="64" t="e">
        <f>VLOOKUP(A71,Enforcements!$C$7:$K$21,8,0)</f>
        <v>#N/A</v>
      </c>
      <c r="AC71" s="60" t="e">
        <f>VLOOKUP(A71,Enforcements!$C$7:$E$21,3,0)</f>
        <v>#N/A</v>
      </c>
      <c r="AD71" s="61" t="str">
        <f t="shared" si="28"/>
        <v>0159-01</v>
      </c>
      <c r="AE71" s="91" t="str">
        <f t="shared" si="0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71" s="88" t="str">
        <f t="shared" si="1"/>
        <v>"C:\Program Files (x86)\AstroGrep\AstroGrep.exe" /spath="%USERPROFILE%\AppData\Local\Temp\OnboardLogs" /stypes="app*4007*20161101*" /stext=" 17:.+((SYSTEM_STATE.+slice.+state.+changed )|(ment ac)|(system.+state.+changed )|(\[timeout)|(PRM\|1\|D)|(kpr)|(kdp)|(\|lc)|(penalty))" /e /r /s</v>
      </c>
      <c r="AG71" s="1" t="str">
        <f t="shared" si="29"/>
        <v>EC</v>
      </c>
      <c r="AH71" s="92" t="str">
        <f t="shared" si="30"/>
        <v>"%USERPROFILE%\Documents\GitHub\eaglep3\Utilities\RefineRTDCRunTimes.py" --tripid 159-01 --locoid 4007 --swversion DE.1.0.8.0 --startMP 204:460 --initTime 2016-11-01T10:53:13 --startdatetime 2016-11-01T11:00:29 --delay 1 --endMP 204:233391 --enddatetime 2016-11-01T11:37:17 --enforcementcount 0 &gt;&gt;C:\Users\stu\Documents\GitHub\eaglep3-reporting\EC\2016-11-01-refined-times.txt</v>
      </c>
      <c r="AI71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{"issue":{"subject":"","project_id":79,"tracker_id":40,"status_id":1,"priority_id":2,"assigned_to_id":23,"start_date":"2016-11-01","description":"","custom_fields":[{"id":1,"name":"Subdivision","value":"EC"},{"id":4,"name":"Milepost","value":"23.3391"},{"id":17,"name":"Train ID","value":"159-01"},{"id":16,"name":"Locomotive ID","value":"4007"},{"id":130,"name":"Impact","value":""},{"id":150,"name":"Time of Event (Mountain Time)","value":"11:37:17"},{"id":151,"name":"Denver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391</v>
      </c>
      <c r="B72" s="7">
        <v>4008</v>
      </c>
      <c r="C72" s="22" t="s">
        <v>253</v>
      </c>
      <c r="D72" s="22" t="s">
        <v>634</v>
      </c>
      <c r="E72" s="13">
        <v>42675.487025462964</v>
      </c>
      <c r="F72" s="13">
        <v>42675.497557870367</v>
      </c>
      <c r="G72" s="7">
        <v>2</v>
      </c>
      <c r="H72" s="13" t="s">
        <v>203</v>
      </c>
      <c r="I72" s="13">
        <v>42675.532881944448</v>
      </c>
      <c r="J72" s="7">
        <v>0</v>
      </c>
      <c r="K72" s="112" t="str">
        <f t="shared" si="18"/>
        <v>4007/4008</v>
      </c>
      <c r="L72" s="22" t="str">
        <f>VLOOKUP(A72,'Trips&amp;Operators'!$C$1:$E$10000,3,FALSE)</f>
        <v>BARTLETT</v>
      </c>
      <c r="M72" s="6">
        <f t="shared" si="19"/>
        <v>3.532407408056315E-2</v>
      </c>
      <c r="N72" s="7">
        <f t="shared" si="40"/>
        <v>50.866666676010936</v>
      </c>
      <c r="O72" s="7"/>
      <c r="P72" s="7"/>
      <c r="Q72" s="23"/>
      <c r="R72" s="23"/>
      <c r="S72" s="35">
        <f t="shared" si="21"/>
        <v>1</v>
      </c>
      <c r="T72" s="50" t="str">
        <f t="shared" si="2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10:41:19-0600',mode:absolute,to:'2016-11-01 13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2" s="52" t="str">
        <f t="shared" si="24"/>
        <v>N</v>
      </c>
      <c r="X72" s="177">
        <f t="shared" si="41"/>
        <v>1</v>
      </c>
      <c r="Y72" s="67">
        <f t="shared" si="25"/>
        <v>23.307400000000001</v>
      </c>
      <c r="Z72" s="67">
        <f t="shared" si="26"/>
        <v>1.54E-2</v>
      </c>
      <c r="AA72" s="67">
        <f t="shared" si="27"/>
        <v>23.292000000000002</v>
      </c>
      <c r="AB72" s="64" t="str">
        <f>VLOOKUP(A72,Enforcements!$C$7:$K$21,8,0)</f>
        <v>Signal based authority (5)</v>
      </c>
      <c r="AC72" s="60" t="str">
        <f>VLOOKUP(A72,Enforcements!$C$7:$E$21,3,0)</f>
        <v>SIGNAL</v>
      </c>
      <c r="AD72" s="61" t="str">
        <f t="shared" si="28"/>
        <v>0160-01</v>
      </c>
      <c r="AE72" s="91" t="str">
        <f t="shared" si="0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72" s="88" t="str">
        <f t="shared" si="1"/>
        <v>"C:\Program Files (x86)\AstroGrep\AstroGrep.exe" /spath="%USERPROFILE%\AppData\Local\Temp\OnboardLogs" /stypes="app*4008*20161101*" /stext=" 18:.+((SYSTEM_STATE.+slice.+state.+changed )|(ment ac)|(system.+state.+changed )|(\[timeout)|(PRM\|1\|D)|(kpr)|(kdp)|(\|lc)|(penalty))" /e /r /s</v>
      </c>
      <c r="AG72" s="1" t="str">
        <f t="shared" si="29"/>
        <v>EC</v>
      </c>
      <c r="AH72" s="92" t="str">
        <f t="shared" si="30"/>
        <v>"%USERPROFILE%\Documents\GitHub\eaglep3\Utilities\RefineRTDCRunTimes.py" --tripid 160-01 --locoid 4008 --swversion DE.1.0.8.0 --startMP 204:233074 --initTime 2016-11-01T11:41:19 --startdatetime 2016-11-01T11:56:29 --delay 2 --endMP 204:154 --enddatetime 2016-11-01T12:47:21 --enforcementcount 0 &gt;&gt;C:\Users\stu\Documents\GitHub\eaglep3-reporting\EC\2016-11-01-refined-times.txt</v>
      </c>
      <c r="AI72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{"issue":{"subject":"","project_id":79,"tracker_id":40,"status_id":1,"priority_id":2,"assigned_to_id":23,"start_date":"2016-11-01","description":"","custom_fields":[{"id":1,"name":"Subdivision","value":"EC"},{"id":4,"name":"Milepost","value":"0.0154"},{"id":17,"name":"Train ID","value":"160-01"},{"id":16,"name":"Locomotive ID","value":"4008"},{"id":130,"name":"Impact","value":""},{"id":150,"name":"Time of Event (Mountain Time)","value":"12:47:21"},{"id":151,"name":"Denver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475</v>
      </c>
      <c r="B73" s="7">
        <v>4042</v>
      </c>
      <c r="C73" s="22" t="s">
        <v>253</v>
      </c>
      <c r="D73" s="22" t="s">
        <v>635</v>
      </c>
      <c r="E73" s="13">
        <v>42675.46234953704</v>
      </c>
      <c r="F73" s="13">
        <v>42675.4690625</v>
      </c>
      <c r="G73" s="7">
        <v>1</v>
      </c>
      <c r="H73" s="13" t="s">
        <v>610</v>
      </c>
      <c r="I73" s="13">
        <v>42675.496388888889</v>
      </c>
      <c r="J73" s="7">
        <v>0</v>
      </c>
      <c r="K73" s="112" t="str">
        <f t="shared" si="18"/>
        <v>4041/4042</v>
      </c>
      <c r="L73" s="22" t="str">
        <f>VLOOKUP(A73,'Trips&amp;Operators'!$C$1:$E$10000,3,FALSE)</f>
        <v>HOLCOMB</v>
      </c>
      <c r="M73" s="6">
        <f t="shared" si="19"/>
        <v>2.73263888884685E-2</v>
      </c>
      <c r="N73" s="7">
        <f t="shared" si="40"/>
        <v>39.34999999939464</v>
      </c>
      <c r="O73" s="7"/>
      <c r="P73" s="7"/>
      <c r="Q73" s="23"/>
      <c r="R73" s="23"/>
      <c r="S73" s="35">
        <f t="shared" si="21"/>
        <v>1</v>
      </c>
      <c r="T73" s="50" t="str">
        <f t="shared" si="2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10:05:47-0600',mode:absolute,to:'2016-11-01 12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3" s="52" t="str">
        <f t="shared" si="24"/>
        <v>N</v>
      </c>
      <c r="X73" s="177">
        <f t="shared" si="41"/>
        <v>1</v>
      </c>
      <c r="Y73" s="67">
        <f t="shared" si="25"/>
        <v>5.3699999999999998E-2</v>
      </c>
      <c r="Z73" s="67">
        <f t="shared" si="26"/>
        <v>23.329899999999999</v>
      </c>
      <c r="AA73" s="67">
        <f t="shared" si="27"/>
        <v>23.276199999999999</v>
      </c>
      <c r="AB73" s="64" t="e">
        <f>VLOOKUP(A73,Enforcements!$C$7:$K$21,8,0)</f>
        <v>#N/A</v>
      </c>
      <c r="AC73" s="60" t="e">
        <f>VLOOKUP(A73,Enforcements!$C$7:$E$21,3,0)</f>
        <v>#N/A</v>
      </c>
      <c r="AD73" s="61" t="str">
        <f t="shared" si="28"/>
        <v>0161-01</v>
      </c>
      <c r="AE73" s="91" t="str">
        <f t="shared" si="0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73" s="88" t="str">
        <f t="shared" si="1"/>
        <v>"C:\Program Files (x86)\AstroGrep\AstroGrep.exe" /spath="%USERPROFILE%\AppData\Local\Temp\OnboardLogs" /stypes="app*4042*20161101*" /stext=" 17:.+((SYSTEM_STATE.+slice.+state.+changed )|(ment ac)|(system.+state.+changed )|(\[timeout)|(PRM\|1\|D)|(kpr)|(kdp)|(\|lc)|(penalty))" /e /r /s</v>
      </c>
      <c r="AG73" s="1" t="str">
        <f t="shared" si="29"/>
        <v>EC</v>
      </c>
      <c r="AH73" s="92" t="str">
        <f t="shared" si="30"/>
        <v>"%USERPROFILE%\Documents\GitHub\eaglep3\Utilities\RefineRTDCRunTimes.py" --tripid 161-01 --locoid 4042 --swversion DE.1.0.8.0 --startMP 204:537 --initTime 2016-11-01T11:05:47 --startdatetime 2016-11-01T11:15:27 --delay 1 --endMP 204:233299 --enddatetime 2016-11-01T11:54:48 --enforcementcount 0 &gt;&gt;C:\Users\stu\Documents\GitHub\eaglep3-reporting\EC\2016-11-01-refined-times.txt</v>
      </c>
      <c r="AI73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{"issue":{"subject":"","project_id":79,"tracker_id":40,"status_id":1,"priority_id":2,"assigned_to_id":23,"start_date":"2016-11-01","description":"","custom_fields":[{"id":1,"name":"Subdivision","value":"EC"},{"id":4,"name":"Milepost","value":"23.3299"},{"id":17,"name":"Train ID","value":"161-01"},{"id":16,"name":"Locomotive ID","value":"4042"},{"id":130,"name":"Impact","value":""},{"id":150,"name":"Time of Event (Mountain Time)","value":"11:54:48"},{"id":151,"name":"Denver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485</v>
      </c>
      <c r="B74" s="7">
        <v>4041</v>
      </c>
      <c r="C74" s="22" t="s">
        <v>253</v>
      </c>
      <c r="D74" s="22" t="s">
        <v>314</v>
      </c>
      <c r="E74" s="13">
        <v>42675.504652777781</v>
      </c>
      <c r="F74" s="13">
        <v>42675.508067129631</v>
      </c>
      <c r="G74" s="7">
        <v>1</v>
      </c>
      <c r="H74" s="13" t="s">
        <v>291</v>
      </c>
      <c r="I74" s="13">
        <v>42675.543194444443</v>
      </c>
      <c r="J74" s="7">
        <v>0</v>
      </c>
      <c r="K74" s="112" t="str">
        <f t="shared" si="18"/>
        <v>4041/4042</v>
      </c>
      <c r="L74" s="22" t="str">
        <f>VLOOKUP(A74,'Trips&amp;Operators'!$C$1:$E$10000,3,FALSE)</f>
        <v>HOLCOMB</v>
      </c>
      <c r="M74" s="6">
        <f t="shared" si="19"/>
        <v>3.5127314811688848E-2</v>
      </c>
      <c r="N74" s="7">
        <f t="shared" si="40"/>
        <v>50.583333328831941</v>
      </c>
      <c r="O74" s="7"/>
      <c r="P74" s="7"/>
      <c r="Q74" s="23"/>
      <c r="R74" s="23"/>
      <c r="S74" s="35">
        <f t="shared" si="21"/>
        <v>1</v>
      </c>
      <c r="T74" s="50" t="str">
        <f t="shared" si="2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11:06:42-0600',mode:absolute,to:'2016-11-01 14:02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4" s="52" t="str">
        <f t="shared" si="24"/>
        <v>N</v>
      </c>
      <c r="X74" s="177">
        <f t="shared" si="41"/>
        <v>1</v>
      </c>
      <c r="Y74" s="67">
        <f t="shared" si="25"/>
        <v>23.296500000000002</v>
      </c>
      <c r="Z74" s="67">
        <f t="shared" si="26"/>
        <v>1.5800000000000002E-2</v>
      </c>
      <c r="AA74" s="67">
        <f t="shared" si="27"/>
        <v>23.280700000000003</v>
      </c>
      <c r="AB74" s="64" t="e">
        <f>VLOOKUP(A74,Enforcements!$C$7:$K$21,8,0)</f>
        <v>#N/A</v>
      </c>
      <c r="AC74" s="60" t="e">
        <f>VLOOKUP(A74,Enforcements!$C$7:$E$21,3,0)</f>
        <v>#N/A</v>
      </c>
      <c r="AD74" s="61" t="str">
        <f t="shared" si="28"/>
        <v>0162-01</v>
      </c>
      <c r="AE74" s="91" t="str">
        <f t="shared" si="0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74" s="88" t="str">
        <f t="shared" si="1"/>
        <v>"C:\Program Files (x86)\AstroGrep\AstroGrep.exe" /spath="%USERPROFILE%\AppData\Local\Temp\OnboardLogs" /stypes="app*4041*20161101*" /stext=" 19:.+((SYSTEM_STATE.+slice.+state.+changed )|(ment ac)|(system.+state.+changed )|(\[timeout)|(PRM\|1\|D)|(kpr)|(kdp)|(\|lc)|(penalty))" /e /r /s</v>
      </c>
      <c r="AG74" s="1" t="str">
        <f t="shared" si="29"/>
        <v>EC</v>
      </c>
      <c r="AH74" s="92" t="str">
        <f t="shared" si="30"/>
        <v>"%USERPROFILE%\Documents\GitHub\eaglep3\Utilities\RefineRTDCRunTimes.py" --tripid 162-01 --locoid 4041 --swversion DE.1.0.8.0 --startMP 204:232965 --initTime 2016-11-01T12:06:42 --startdatetime 2016-11-01T12:11:37 --delay 1 --endMP 204:158 --enddatetime 2016-11-01T13:02:12 --enforcementcount 0 &gt;&gt;C:\Users\stu\Documents\GitHub\eaglep3-reporting\EC\2016-11-01-refined-times.txt</v>
      </c>
      <c r="AI74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{"issue":{"subject":"","project_id":79,"tracker_id":40,"status_id":1,"priority_id":2,"assigned_to_id":23,"start_date":"2016-11-01","description":"","custom_fields":[{"id":1,"name":"Subdivision","value":"EC"},{"id":4,"name":"Milepost","value":"0.0158"},{"id":17,"name":"Train ID","value":"162-01"},{"id":16,"name":"Locomotive ID","value":"4041"},{"id":130,"name":"Impact","value":""},{"id":150,"name":"Time of Event (Mountain Time)","value":"13:02:12"},{"id":151,"name":"Denver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479</v>
      </c>
      <c r="B75" s="7">
        <v>4040</v>
      </c>
      <c r="C75" s="22" t="s">
        <v>253</v>
      </c>
      <c r="D75" s="22" t="s">
        <v>214</v>
      </c>
      <c r="E75" s="13">
        <v>42675.476493055554</v>
      </c>
      <c r="F75" s="13">
        <v>42675.479502314818</v>
      </c>
      <c r="G75" s="7">
        <v>1</v>
      </c>
      <c r="H75" s="13" t="s">
        <v>206</v>
      </c>
      <c r="I75" s="13">
        <v>42675.503796296296</v>
      </c>
      <c r="J75" s="7">
        <v>0</v>
      </c>
      <c r="K75" s="112" t="str">
        <f t="shared" si="18"/>
        <v>4039/4040</v>
      </c>
      <c r="L75" s="22" t="str">
        <f>VLOOKUP(A75,'Trips&amp;Operators'!$C$1:$E$10000,3,FALSE)</f>
        <v>HELVIE</v>
      </c>
      <c r="M75" s="6">
        <f t="shared" si="19"/>
        <v>2.4293981477967463E-2</v>
      </c>
      <c r="N75" s="7">
        <f t="shared" si="40"/>
        <v>34.983333328273147</v>
      </c>
      <c r="O75" s="7"/>
      <c r="P75" s="7"/>
      <c r="Q75" s="23"/>
      <c r="R75" s="23"/>
      <c r="S75" s="35">
        <f t="shared" si="21"/>
        <v>1</v>
      </c>
      <c r="T75" s="50" t="str">
        <f t="shared" si="2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10:26:09-0600',mode:absolute,to:'2016-11-01 13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5" s="52" t="str">
        <f t="shared" si="24"/>
        <v>N</v>
      </c>
      <c r="X75" s="177">
        <f t="shared" si="41"/>
        <v>1</v>
      </c>
      <c r="Y75" s="67">
        <f t="shared" si="25"/>
        <v>4.4600000000000001E-2</v>
      </c>
      <c r="Z75" s="67">
        <f t="shared" si="26"/>
        <v>23.3293</v>
      </c>
      <c r="AA75" s="67">
        <f t="shared" si="27"/>
        <v>23.284700000000001</v>
      </c>
      <c r="AB75" s="64" t="e">
        <f>VLOOKUP(A75,Enforcements!$C$7:$K$21,8,0)</f>
        <v>#N/A</v>
      </c>
      <c r="AC75" s="60" t="e">
        <f>VLOOKUP(A75,Enforcements!$C$7:$E$21,3,0)</f>
        <v>#N/A</v>
      </c>
      <c r="AD75" s="61" t="str">
        <f t="shared" si="28"/>
        <v>0163-01</v>
      </c>
      <c r="AE75" s="91" t="str">
        <f t="shared" si="0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75" s="88" t="str">
        <f t="shared" si="1"/>
        <v>"C:\Program Files (x86)\AstroGrep\AstroGrep.exe" /spath="%USERPROFILE%\AppData\Local\Temp\OnboardLogs" /stypes="app*4040*20161101*" /stext=" 18:.+((SYSTEM_STATE.+slice.+state.+changed )|(ment ac)|(system.+state.+changed )|(\[timeout)|(PRM\|1\|D)|(kpr)|(kdp)|(\|lc)|(penalty))" /e /r /s</v>
      </c>
      <c r="AG75" s="1" t="str">
        <f t="shared" si="29"/>
        <v>EC</v>
      </c>
      <c r="AH75" s="92" t="str">
        <f t="shared" si="30"/>
        <v>"%USERPROFILE%\Documents\GitHub\eaglep3\Utilities\RefineRTDCRunTimes.py" --tripid 163-01 --locoid 4040 --swversion DE.1.0.8.0 --startMP 204:446 --initTime 2016-11-01T11:26:09 --startdatetime 2016-11-01T11:30:29 --delay 1 --endMP 204:233293 --enddatetime 2016-11-01T12:05:28 --enforcementcount 0 &gt;&gt;C:\Users\stu\Documents\GitHub\eaglep3-reporting\EC\2016-11-01-refined-times.txt</v>
      </c>
      <c r="AI75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{"issue":{"subject":"","project_id":79,"tracker_id":40,"status_id":1,"priority_id":2,"assigned_to_id":23,"start_date":"2016-11-01","description":"","custom_fields":[{"id":1,"name":"Subdivision","value":"EC"},{"id":4,"name":"Milepost","value":"23.3293"},{"id":17,"name":"Train ID","value":"163-01"},{"id":16,"name":"Locomotive ID","value":"4040"},{"id":130,"name":"Impact","value":""},{"id":150,"name":"Time of Event (Mountain Time)","value":"12:05:28"},{"id":151,"name":"Denver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392</v>
      </c>
      <c r="B76" s="7">
        <v>4039</v>
      </c>
      <c r="C76" s="22" t="s">
        <v>253</v>
      </c>
      <c r="D76" s="22" t="s">
        <v>240</v>
      </c>
      <c r="E76" s="13">
        <v>42675.514687499999</v>
      </c>
      <c r="F76" s="13">
        <v>42675.518368055556</v>
      </c>
      <c r="G76" s="7">
        <v>2</v>
      </c>
      <c r="H76" s="13" t="s">
        <v>247</v>
      </c>
      <c r="I76" s="13">
        <v>42675.548009259262</v>
      </c>
      <c r="J76" s="7">
        <v>0</v>
      </c>
      <c r="K76" s="112" t="str">
        <f t="shared" si="18"/>
        <v>4039/4040</v>
      </c>
      <c r="L76" s="22" t="str">
        <f>VLOOKUP(A76,'Trips&amp;Operators'!$C$1:$E$10000,3,FALSE)</f>
        <v>HELVIE</v>
      </c>
      <c r="M76" s="6">
        <f t="shared" si="19"/>
        <v>2.9641203705978114E-2</v>
      </c>
      <c r="N76" s="7">
        <f t="shared" si="40"/>
        <v>42.683333336608484</v>
      </c>
      <c r="O76" s="7"/>
      <c r="P76" s="7"/>
      <c r="Q76" s="23"/>
      <c r="R76" s="23"/>
      <c r="S76" s="35">
        <f t="shared" si="21"/>
        <v>1</v>
      </c>
      <c r="T76" s="50" t="str">
        <f t="shared" si="2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11:21:09-0600',mode:absolute,to:'2016-11-01 14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6" s="52" t="str">
        <f t="shared" si="24"/>
        <v>N</v>
      </c>
      <c r="X76" s="177">
        <f t="shared" si="41"/>
        <v>1</v>
      </c>
      <c r="Y76" s="67">
        <f t="shared" si="25"/>
        <v>23.298500000000001</v>
      </c>
      <c r="Z76" s="67">
        <f t="shared" si="26"/>
        <v>1.61E-2</v>
      </c>
      <c r="AA76" s="67">
        <f t="shared" si="27"/>
        <v>23.282399999999999</v>
      </c>
      <c r="AB76" s="64" t="str">
        <f>VLOOKUP(A76,Enforcements!$C$7:$K$21,8,0)</f>
        <v>Speed (6)</v>
      </c>
      <c r="AC76" s="60" t="str">
        <f>VLOOKUP(A76,Enforcements!$C$7:$E$21,3,0)</f>
        <v>EQUIPMENT RESTRICTION</v>
      </c>
      <c r="AD76" s="61" t="str">
        <f t="shared" si="28"/>
        <v>0164-01</v>
      </c>
      <c r="AE76" s="91" t="str">
        <f t="shared" si="0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76" s="88" t="str">
        <f t="shared" si="1"/>
        <v>"C:\Program Files (x86)\AstroGrep\AstroGrep.exe" /spath="%USERPROFILE%\AppData\Local\Temp\OnboardLogs" /stypes="app*4039*20161101*" /stext=" 19:.+((SYSTEM_STATE.+slice.+state.+changed )|(ment ac)|(system.+state.+changed )|(\[timeout)|(PRM\|1\|D)|(kpr)|(kdp)|(\|lc)|(penalty))" /e /r /s</v>
      </c>
      <c r="AG76" s="1" t="str">
        <f t="shared" si="29"/>
        <v>EC</v>
      </c>
      <c r="AH76" s="92" t="str">
        <f t="shared" si="30"/>
        <v>"%USERPROFILE%\Documents\GitHub\eaglep3\Utilities\RefineRTDCRunTimes.py" --tripid 164-01 --locoid 4039 --swversion DE.1.0.8.0 --startMP 204:232985 --initTime 2016-11-01T12:21:09 --startdatetime 2016-11-01T12:26:27 --delay 2 --endMP 204:161 --enddatetime 2016-11-01T13:09:08 --enforcementcount 0 &gt;&gt;C:\Users\stu\Documents\GitHub\eaglep3-reporting\EC\2016-11-01-refined-times.txt</v>
      </c>
      <c r="AI76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{"issue":{"subject":"","project_id":79,"tracker_id":40,"status_id":1,"priority_id":2,"assigned_to_id":23,"start_date":"2016-11-01","description":"","custom_fields":[{"id":1,"name":"Subdivision","value":"EC"},{"id":4,"name":"Milepost","value":"0.0161"},{"id":17,"name":"Train ID","value":"164-01"},{"id":16,"name":"Locomotive ID","value":"4039"},{"id":130,"name":"Impact","value":""},{"id":150,"name":"Time of Event (Mountain Time)","value":"13:09:08"},{"id":151,"name":"Denver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483</v>
      </c>
      <c r="B77" s="7">
        <v>4014</v>
      </c>
      <c r="C77" s="22" t="s">
        <v>253</v>
      </c>
      <c r="D77" s="22" t="s">
        <v>210</v>
      </c>
      <c r="E77" s="13">
        <v>42675.487071759257</v>
      </c>
      <c r="F77" s="13">
        <v>42675.48978009259</v>
      </c>
      <c r="G77" s="7">
        <v>1</v>
      </c>
      <c r="H77" s="13" t="s">
        <v>293</v>
      </c>
      <c r="I77" s="13">
        <v>42675.514456018522</v>
      </c>
      <c r="J77" s="7">
        <v>0</v>
      </c>
      <c r="K77" s="112" t="str">
        <f t="shared" si="18"/>
        <v>4013/4014</v>
      </c>
      <c r="L77" s="22" t="str">
        <f>VLOOKUP(A77,'Trips&amp;Operators'!$C$1:$E$10000,3,FALSE)</f>
        <v>MCREYNOLDS</v>
      </c>
      <c r="M77" s="6">
        <f t="shared" si="19"/>
        <v>2.4675925931660458E-2</v>
      </c>
      <c r="N77" s="7">
        <f t="shared" si="40"/>
        <v>35.53333334159106</v>
      </c>
      <c r="O77" s="7"/>
      <c r="P77" s="7"/>
      <c r="Q77" s="23"/>
      <c r="R77" s="23"/>
      <c r="S77" s="35">
        <f t="shared" si="21"/>
        <v>1</v>
      </c>
      <c r="T77" s="50" t="str">
        <f t="shared" si="22"/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10:41:23-0600',mode:absolute,to:'2016-11-01 13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7" s="52" t="str">
        <f t="shared" si="24"/>
        <v>N</v>
      </c>
      <c r="X77" s="177">
        <f t="shared" si="41"/>
        <v>1</v>
      </c>
      <c r="Y77" s="67">
        <f t="shared" si="25"/>
        <v>4.53E-2</v>
      </c>
      <c r="Z77" s="67">
        <f t="shared" si="26"/>
        <v>23.332000000000001</v>
      </c>
      <c r="AA77" s="67">
        <f t="shared" si="27"/>
        <v>23.2867</v>
      </c>
      <c r="AB77" s="64" t="e">
        <f>VLOOKUP(A77,Enforcements!$C$7:$K$21,8,0)</f>
        <v>#N/A</v>
      </c>
      <c r="AC77" s="60" t="e">
        <f>VLOOKUP(A77,Enforcements!$C$7:$E$21,3,0)</f>
        <v>#N/A</v>
      </c>
      <c r="AD77" s="61" t="str">
        <f t="shared" si="28"/>
        <v>0165-01</v>
      </c>
      <c r="AE77" s="91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77" s="88" t="str">
        <f t="shared" ref="AF77:AF140" si="43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/stypes="app*4014*20161101*" /stext=" 18:.+((SYSTEM_STATE.+slice.+state.+changed )|(ment ac)|(system.+state.+changed )|(\[timeout)|(PRM\|1\|D)|(kpr)|(kdp)|(\|lc)|(penalty))" /e /r /s</v>
      </c>
      <c r="AG77" s="1" t="str">
        <f t="shared" si="29"/>
        <v>EC</v>
      </c>
      <c r="AH77" s="92" t="str">
        <f t="shared" si="30"/>
        <v>"%USERPROFILE%\Documents\GitHub\eaglep3\Utilities\RefineRTDCRunTimes.py" --tripid 165-01 --locoid 4014 --swversion DE.1.0.8.0 --startMP 204:453 --initTime 2016-11-01T11:41:23 --startdatetime 2016-11-01T11:45:17 --delay 1 --endMP 204:233320 --enddatetime 2016-11-01T12:20:49 --enforcementcount 0 &gt;&gt;C:\Users\stu\Documents\GitHub\eaglep3-reporting\EC\2016-11-01-refined-times.txt</v>
      </c>
      <c r="AI77" s="122" t="str">
        <f t="shared" si="31"/>
        <v>echo {"issue":{"subject":"","project_id":79,"tracker_id":40,"status_id":1,"priority_id":2,"assigned_to_id":23,"start_date":"2016-11-01","description":"","custom_fields":[{"id":1,"name":"Subdivision","value":"EC"},{"id":4,"name":"Milepost","value":"23.332"},{"id":17,"name":"Train ID","value":"165-01"},{"id":16,"name":"Locomotive ID","value":"4014"},{"id":130,"name":"Impact","value":""},{"id":150,"name":"Time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489</v>
      </c>
      <c r="B78" s="7">
        <v>4013</v>
      </c>
      <c r="C78" s="22" t="s">
        <v>253</v>
      </c>
      <c r="D78" s="22" t="s">
        <v>289</v>
      </c>
      <c r="E78" s="13">
        <v>42675.519108796296</v>
      </c>
      <c r="F78" s="13">
        <v>42675.528634259259</v>
      </c>
      <c r="G78" s="7">
        <v>1</v>
      </c>
      <c r="H78" s="13" t="s">
        <v>207</v>
      </c>
      <c r="I78" s="13">
        <v>42675.555752314816</v>
      </c>
      <c r="J78" s="7">
        <v>0</v>
      </c>
      <c r="K78" s="112" t="str">
        <f t="shared" si="18"/>
        <v>4013/4014</v>
      </c>
      <c r="L78" s="22" t="str">
        <f>VLOOKUP(A78,'Trips&amp;Operators'!$C$1:$E$10000,3,FALSE)</f>
        <v>MCREYNOLDS</v>
      </c>
      <c r="M78" s="6">
        <f t="shared" si="19"/>
        <v>2.7118055557366461E-2</v>
      </c>
      <c r="N78" s="7">
        <f t="shared" si="40"/>
        <v>39.050000002607703</v>
      </c>
      <c r="O78" s="7"/>
      <c r="P78" s="7"/>
      <c r="Q78" s="23"/>
      <c r="R78" s="23"/>
      <c r="S78" s="35">
        <f t="shared" si="21"/>
        <v>1</v>
      </c>
      <c r="T78" s="50" t="str">
        <f t="shared" si="22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11:27:31-0600',mode:absolute,to:'2016-11-01 14:20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8" s="52" t="str">
        <f t="shared" si="24"/>
        <v>N</v>
      </c>
      <c r="X78" s="177">
        <f t="shared" si="41"/>
        <v>1</v>
      </c>
      <c r="Y78" s="67">
        <f t="shared" si="25"/>
        <v>23.298400000000001</v>
      </c>
      <c r="Z78" s="67">
        <f t="shared" si="26"/>
        <v>1.43E-2</v>
      </c>
      <c r="AA78" s="67">
        <f t="shared" si="27"/>
        <v>23.284100000000002</v>
      </c>
      <c r="AB78" s="64" t="e">
        <f>VLOOKUP(A78,Enforcements!$C$7:$K$21,8,0)</f>
        <v>#N/A</v>
      </c>
      <c r="AC78" s="60" t="e">
        <f>VLOOKUP(A78,Enforcements!$C$7:$E$21,3,0)</f>
        <v>#N/A</v>
      </c>
      <c r="AD78" s="61" t="str">
        <f t="shared" si="28"/>
        <v>0166-01</v>
      </c>
      <c r="AE78" s="91" t="str">
        <f t="shared" si="42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78" s="88" t="str">
        <f t="shared" si="43"/>
        <v>"C:\Program Files (x86)\AstroGrep\AstroGrep.exe" /spath="%USERPROFILE%\AppData\Local\Temp\OnboardLogs" /stypes="app*4013*20161101*" /stext=" 19:.+((SYSTEM_STATE.+slice.+state.+changed )|(ment ac)|(system.+state.+changed )|(\[timeout)|(PRM\|1\|D)|(kpr)|(kdp)|(\|lc)|(penalty))" /e /r /s</v>
      </c>
      <c r="AG78" s="1" t="str">
        <f t="shared" si="29"/>
        <v>EC</v>
      </c>
      <c r="AH78" s="92" t="str">
        <f t="shared" ref="AH78:AH139" si="4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166-01 --locoid 4013 --swversion DE.1.0.8.0 --startMP 204:232984 --initTime 2016-11-01T12:27:31 --startdatetime 2016-11-01T12:41:14 --delay 1 --endMP 204:143 --enddatetime 2016-11-01T13:20:17 --enforcementcount 0 &gt;&gt;C:\Users\stu\Documents\GitHub\eaglep3-reporting\EC\2016-11-01-refined-times.txt</v>
      </c>
      <c r="AI78" s="122" t="str">
        <f t="shared" ref="AI78:AI139" si="4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{"issue":{"subject":"","project_id":79,"tracker_id":40,"status_id":1,"priority_id":2,"assigned_to_id":23,"start_date":"2016-11-01","description":"","custom_fields":[{"id":1,"name":"Subdivision","value":"EC"},{"id":4,"name":"Milepost","value":"0.0143"},{"id":17,"name":"Train ID","value":"166-01"},{"id":16,"name":"Locomotive ID","value":"4013"},{"id":130,"name":"Impact","value":""},{"id":150,"name":"Time of Event (Mountain Time)","value":"13:20:17"},{"id":151,"name":"Denver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484</v>
      </c>
      <c r="B79" s="7">
        <v>4022</v>
      </c>
      <c r="C79" s="22" t="s">
        <v>253</v>
      </c>
      <c r="D79" s="22" t="s">
        <v>215</v>
      </c>
      <c r="E79" s="13">
        <v>42675.500162037039</v>
      </c>
      <c r="F79" s="13">
        <v>42675.501875000002</v>
      </c>
      <c r="G79" s="7">
        <v>1</v>
      </c>
      <c r="H79" s="13" t="s">
        <v>191</v>
      </c>
      <c r="I79" s="13">
        <v>42675.537152777775</v>
      </c>
      <c r="J79" s="7">
        <v>0</v>
      </c>
      <c r="K79" s="112" t="str">
        <f t="shared" si="18"/>
        <v>4021/4022</v>
      </c>
      <c r="L79" s="22" t="str">
        <f>VLOOKUP(A79,'Trips&amp;Operators'!$C$1:$E$10000,3,FALSE)</f>
        <v>YOUNG</v>
      </c>
      <c r="M79" s="6">
        <f t="shared" si="19"/>
        <v>3.5277777773444541E-2</v>
      </c>
      <c r="N79" s="7">
        <f t="shared" si="40"/>
        <v>50.799999993760139</v>
      </c>
      <c r="O79" s="7"/>
      <c r="P79" s="7"/>
      <c r="Q79" s="23"/>
      <c r="R79" s="23"/>
      <c r="S79" s="35">
        <f t="shared" si="21"/>
        <v>1</v>
      </c>
      <c r="T79" s="50" t="str">
        <f t="shared" si="22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3"/>
        <v>https://search-rtdc-monitor-bjffxe2xuh6vdkpspy63sjmuny.us-east-1.es.amazonaws.com/_plugin/kibana/#/discover/Steve-Slow-Train-Analysis-(2080s-and-2083s)?_g=(refreshInterval:(display:Off,section:0,value:0),time:(from:'2016-11-01 11:00:14-0600',mode:absolute,to:'2016-11-01 13:53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9" s="52" t="str">
        <f t="shared" si="24"/>
        <v>N</v>
      </c>
      <c r="X79" s="177">
        <f t="shared" si="41"/>
        <v>1</v>
      </c>
      <c r="Y79" s="67">
        <f t="shared" si="25"/>
        <v>4.5999999999999999E-2</v>
      </c>
      <c r="Z79" s="67">
        <f t="shared" si="26"/>
        <v>23.329699999999999</v>
      </c>
      <c r="AA79" s="67">
        <f t="shared" si="27"/>
        <v>23.2837</v>
      </c>
      <c r="AB79" s="64" t="e">
        <f>VLOOKUP(A79,Enforcements!$C$7:$K$21,8,0)</f>
        <v>#N/A</v>
      </c>
      <c r="AC79" s="60" t="e">
        <f>VLOOKUP(A79,Enforcements!$C$7:$E$21,3,0)</f>
        <v>#N/A</v>
      </c>
      <c r="AD79" s="61" t="str">
        <f t="shared" si="28"/>
        <v>0167-01</v>
      </c>
      <c r="AE79" s="91" t="str">
        <f t="shared" si="42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79" s="88" t="str">
        <f t="shared" si="43"/>
        <v>"C:\Program Files (x86)\AstroGrep\AstroGrep.exe" /spath="%USERPROFILE%\AppData\Local\Temp\OnboardLogs" /stypes="app*4022*20161101*" /stext=" 18:.+((SYSTEM_STATE.+slice.+state.+changed )|(ment ac)|(system.+state.+changed )|(\[timeout)|(PRM\|1\|D)|(kpr)|(kdp)|(\|lc)|(penalty))" /e /r /s</v>
      </c>
      <c r="AG79" s="1" t="str">
        <f t="shared" si="29"/>
        <v>EC</v>
      </c>
      <c r="AH79" s="92" t="str">
        <f t="shared" si="44"/>
        <v>"%USERPROFILE%\Documents\GitHub\eaglep3\Utilities\RefineRTDCRunTimes.py" --tripid 167-01 --locoid 4022 --swversion DE.1.0.8.0 --startMP 204:460 --initTime 2016-11-01T12:00:14 --startdatetime 2016-11-01T12:02:42 --delay 1 --endMP 204:233297 --enddatetime 2016-11-01T12:53:30 --enforcementcount 0 &gt;&gt;C:\Users\stu\Documents\GitHub\eaglep3-reporting\EC\2016-11-01-refined-times.txt</v>
      </c>
      <c r="AI7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{"issue":{"subject":"","project_id":79,"tracker_id":40,"status_id":1,"priority_id":2,"assigned_to_id":23,"start_date":"2016-11-01","description":"","custom_fields":[{"id":1,"name":"Subdivision","value":"EC"},{"id":4,"name":"Milepost","value":"23.3297"},{"id":17,"name":"Train ID","value":"167-01"},{"id":16,"name":"Locomotive ID","value":"4022"},{"id":130,"name":"Impact","value":""},{"id":150,"name":"Time of Event (Mountain Time)","value":"12:53:30"},{"id":151,"name":"Denver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492</v>
      </c>
      <c r="B80" s="7">
        <v>4021</v>
      </c>
      <c r="C80" s="22" t="s">
        <v>253</v>
      </c>
      <c r="D80" s="22" t="s">
        <v>339</v>
      </c>
      <c r="E80" s="13">
        <v>42675.538518518515</v>
      </c>
      <c r="F80" s="13">
        <v>42675.540949074071</v>
      </c>
      <c r="G80" s="7">
        <v>2</v>
      </c>
      <c r="H80" s="13" t="s">
        <v>290</v>
      </c>
      <c r="I80" s="13">
        <v>42675.571226851855</v>
      </c>
      <c r="J80" s="7">
        <v>0</v>
      </c>
      <c r="K80" s="112" t="str">
        <f t="shared" ref="K80:K143" si="46">IF(ISEVEN(B80),(B80-1)&amp;"/"&amp;B80,B80&amp;"/"&amp;(B80+1))</f>
        <v>4021/4022</v>
      </c>
      <c r="L80" s="22" t="str">
        <f>VLOOKUP(A80,'Trips&amp;Operators'!$C$1:$E$10000,3,FALSE)</f>
        <v>YOUNG</v>
      </c>
      <c r="M80" s="6">
        <f t="shared" ref="M80:M143" si="47">I80-F80</f>
        <v>3.0277777783339843E-2</v>
      </c>
      <c r="N80" s="7">
        <f t="shared" si="40"/>
        <v>43.600000008009374</v>
      </c>
      <c r="O80" s="7"/>
      <c r="P80" s="7"/>
      <c r="Q80" s="23"/>
      <c r="R80" s="23"/>
      <c r="S80" s="35">
        <f t="shared" ref="S80:S143" si="48">SUM(U80:U80)/IF(AG80="EC",12,1)</f>
        <v>1</v>
      </c>
      <c r="T80" s="50" t="str">
        <f t="shared" ref="T80:T143" si="49">IF(ISEVEN(LEFT(AD80,4)),"Southbound","NorthBound")</f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ref="V80:V143" si="50"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https://search-rtdc-monitor-bjffxe2xuh6vdkpspy63sjmuny.us-east-1.es.amazonaws.com/_plugin/kibana/#/discover/Steve-Slow-Train-Analysis-(2080s-and-2083s)?_g=(refreshInterval:(display:Off,section:0,value:0),time:(from:'2016-11-01 11:55:28-0600',mode:absolute,to:'2016-11-01 14:42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0" s="52" t="str">
        <f t="shared" ref="W80:W143" si="51">IF(AA80&lt;IF(AG80="EC",23,5.65),"Y","N")</f>
        <v>N</v>
      </c>
      <c r="X80" s="177">
        <f t="shared" ref="X80:X83" si="52">VALUE(LEFT(AD80,4))-VALUE(LEFT(AD79,4))</f>
        <v>1</v>
      </c>
      <c r="Y80" s="67">
        <f t="shared" ref="Y80:Y143" si="53">RIGHT(D80,LEN(D80)-4)/10000</f>
        <v>23.2974</v>
      </c>
      <c r="Z80" s="67">
        <f t="shared" ref="Z80:Z143" si="54">RIGHT(H80,LEN(H80)-4)/10000</f>
        <v>1.29E-2</v>
      </c>
      <c r="AA80" s="67">
        <f t="shared" ref="AA80:AA143" si="55">ABS(Z80-Y80)</f>
        <v>23.284500000000001</v>
      </c>
      <c r="AB80" s="64" t="e">
        <f>VLOOKUP(A80,Enforcements!$C$7:$K$21,8,0)</f>
        <v>#N/A</v>
      </c>
      <c r="AC80" s="60" t="e">
        <f>VLOOKUP(A80,Enforcements!$C$7:$E$21,3,0)</f>
        <v>#N/A</v>
      </c>
      <c r="AD80" s="61" t="str">
        <f t="shared" ref="AD80:AD143" si="56">IF(LEN(A80)=6,"0"&amp;A80,A80)</f>
        <v>0168-01</v>
      </c>
      <c r="AE80" s="91" t="str">
        <f t="shared" si="42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80" s="88" t="str">
        <f t="shared" si="43"/>
        <v>"C:\Program Files (x86)\AstroGrep\AstroGrep.exe" /spath="%USERPROFILE%\AppData\Local\Temp\OnboardLogs" /stypes="app*4021*20161101*" /stext=" 19:.+((SYSTEM_STATE.+slice.+state.+changed )|(ment ac)|(system.+state.+changed )|(\[timeout)|(PRM\|1\|D)|(kpr)|(kdp)|(\|lc)|(penalty))" /e /r /s</v>
      </c>
      <c r="AG80" s="1" t="str">
        <f t="shared" ref="AG80:AG143" si="57">IFERROR(IF(VALUE(LEFT(AD80,2))&lt;=2,"EC",IF(OR(VALUE(LEFT(AD80,2))=8,VALUE(LEFT(AD80,2))=18),"NW","Other")),"Other")</f>
        <v>EC</v>
      </c>
      <c r="AH80" s="92" t="str">
        <f t="shared" si="44"/>
        <v>"%USERPROFILE%\Documents\GitHub\eaglep3\Utilities\RefineRTDCRunTimes.py" --tripid 168-01 --locoid 4021 --swversion DE.1.0.8.0 --startMP 204:232974 --initTime 2016-11-01T12:55:28 --startdatetime 2016-11-01T12:58:58 --delay 2 --endMP 204:129 --enddatetime 2016-11-01T13:42:34 --enforcementcount 0 &gt;&gt;C:\Users\stu\Documents\GitHub\eaglep3-reporting\EC\2016-11-01-refined-times.txt</v>
      </c>
      <c r="AI8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{"issue":{"subject":"","project_id":79,"tracker_id":40,"status_id":1,"priority_id":2,"assigned_to_id":23,"start_date":"2016-11-01","description":"","custom_fields":[{"id":1,"name":"Subdivision","value":"EC"},{"id":4,"name":"Milepost","value":"0.0129"},{"id":17,"name":"Train ID","value":"168-01"},{"id":16,"name":"Locomotive ID","value":"4021"},{"id":130,"name":"Impact","value":""},{"id":150,"name":"Time of Event (Mountain Time)","value":"13:42:34"},{"id":151,"name":"Denver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486</v>
      </c>
      <c r="B81" s="7">
        <v>4038</v>
      </c>
      <c r="C81" s="22" t="s">
        <v>253</v>
      </c>
      <c r="D81" s="22" t="s">
        <v>214</v>
      </c>
      <c r="E81" s="13">
        <v>42675.507615740738</v>
      </c>
      <c r="F81" s="13">
        <v>42675.512256944443</v>
      </c>
      <c r="G81" s="7">
        <v>1</v>
      </c>
      <c r="H81" s="13" t="s">
        <v>313</v>
      </c>
      <c r="I81" s="13">
        <v>42675.543530092589</v>
      </c>
      <c r="J81" s="7">
        <v>0</v>
      </c>
      <c r="K81" s="112" t="str">
        <f t="shared" si="46"/>
        <v>4037/4038</v>
      </c>
      <c r="L81" s="22" t="str">
        <f>VLOOKUP(A81,'Trips&amp;Operators'!$C$1:$E$10000,3,FALSE)</f>
        <v>CLARK</v>
      </c>
      <c r="M81" s="6">
        <f t="shared" si="47"/>
        <v>3.1273148146283347E-2</v>
      </c>
      <c r="N81" s="7">
        <f t="shared" si="40"/>
        <v>45.03333333064802</v>
      </c>
      <c r="O81" s="7"/>
      <c r="P81" s="7"/>
      <c r="Q81" s="23"/>
      <c r="R81" s="23"/>
      <c r="S81" s="35">
        <f t="shared" si="48"/>
        <v>1</v>
      </c>
      <c r="T81" s="50" t="str">
        <f t="shared" si="4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11:10:58-0600',mode:absolute,to:'2016-11-01 14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1" s="52" t="str">
        <f t="shared" si="51"/>
        <v>N</v>
      </c>
      <c r="X81" s="177">
        <f t="shared" si="52"/>
        <v>1</v>
      </c>
      <c r="Y81" s="67">
        <f t="shared" si="53"/>
        <v>4.4600000000000001E-2</v>
      </c>
      <c r="Z81" s="67">
        <f t="shared" si="54"/>
        <v>23.3276</v>
      </c>
      <c r="AA81" s="67">
        <f t="shared" si="55"/>
        <v>23.283000000000001</v>
      </c>
      <c r="AB81" s="64" t="e">
        <f>VLOOKUP(A81,Enforcements!$C$7:$K$21,8,0)</f>
        <v>#N/A</v>
      </c>
      <c r="AC81" s="60" t="e">
        <f>VLOOKUP(A81,Enforcements!$C$7:$E$21,3,0)</f>
        <v>#N/A</v>
      </c>
      <c r="AD81" s="61" t="str">
        <f t="shared" si="56"/>
        <v>0169-01</v>
      </c>
      <c r="AE81" s="91" t="str">
        <f t="shared" si="42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81" s="88" t="str">
        <f t="shared" si="43"/>
        <v>"C:\Program Files (x86)\AstroGrep\AstroGrep.exe" /spath="%USERPROFILE%\AppData\Local\Temp\OnboardLogs" /stypes="app*4038*20161101*" /stext=" 19:.+((SYSTEM_STATE.+slice.+state.+changed )|(ment ac)|(system.+state.+changed )|(\[timeout)|(PRM\|1\|D)|(kpr)|(kdp)|(\|lc)|(penalty))" /e /r /s</v>
      </c>
      <c r="AG81" s="1" t="str">
        <f t="shared" si="57"/>
        <v>EC</v>
      </c>
      <c r="AH81" s="92" t="str">
        <f t="shared" si="44"/>
        <v>"%USERPROFILE%\Documents\GitHub\eaglep3\Utilities\RefineRTDCRunTimes.py" --tripid 169-01 --locoid 4038 --swversion DE.1.0.8.0 --startMP 204:446 --initTime 2016-11-01T12:10:58 --startdatetime 2016-11-01T12:17:39 --delay 1 --endMP 204:233276 --enddatetime 2016-11-01T13:02:41 --enforcementcount 0 &gt;&gt;C:\Users\stu\Documents\GitHub\eaglep3-reporting\EC\2016-11-01-refined-times.txt</v>
      </c>
      <c r="AI8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{"issue":{"subject":"","project_id":79,"tracker_id":40,"status_id":1,"priority_id":2,"assigned_to_id":23,"start_date":"2016-11-01","description":"","custom_fields":[{"id":1,"name":"Subdivision","value":"EC"},{"id":4,"name":"Milepost","value":"23.3276"},{"id":17,"name":"Train ID","value":"169-01"},{"id":16,"name":"Locomotive ID","value":"4038"},{"id":130,"name":"Impact","value":""},{"id":150,"name":"Time of Event (Mountain Time)","value":"13:02:41"},{"id":151,"name":"Denver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494</v>
      </c>
      <c r="B82" s="7">
        <v>4037</v>
      </c>
      <c r="C82" s="22" t="s">
        <v>253</v>
      </c>
      <c r="D82" s="22" t="s">
        <v>343</v>
      </c>
      <c r="E82" s="13">
        <v>42675.546956018516</v>
      </c>
      <c r="F82" s="13">
        <v>42675.549479166664</v>
      </c>
      <c r="G82" s="7">
        <v>1</v>
      </c>
      <c r="H82" s="13" t="s">
        <v>243</v>
      </c>
      <c r="I82" s="13">
        <v>42675.581979166665</v>
      </c>
      <c r="J82" s="7">
        <v>0</v>
      </c>
      <c r="K82" s="112" t="str">
        <f t="shared" si="46"/>
        <v>4037/4038</v>
      </c>
      <c r="L82" s="22" t="str">
        <f>VLOOKUP(A82,'Trips&amp;Operators'!$C$1:$E$10000,3,FALSE)</f>
        <v>CLARK</v>
      </c>
      <c r="M82" s="6">
        <f t="shared" si="47"/>
        <v>3.2500000001164153E-2</v>
      </c>
      <c r="N82" s="7">
        <f t="shared" si="40"/>
        <v>46.800000001676381</v>
      </c>
      <c r="O82" s="7"/>
      <c r="P82" s="7"/>
      <c r="Q82" s="23"/>
      <c r="R82" s="23"/>
      <c r="S82" s="35">
        <f t="shared" si="48"/>
        <v>1</v>
      </c>
      <c r="T82" s="50" t="str">
        <f t="shared" si="4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12:07:37-0600',mode:absolute,to:'2016-11-01 14:58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2" s="52" t="str">
        <f t="shared" si="51"/>
        <v>N</v>
      </c>
      <c r="X82" s="177">
        <f t="shared" si="52"/>
        <v>1</v>
      </c>
      <c r="Y82" s="67">
        <f t="shared" si="53"/>
        <v>23.295300000000001</v>
      </c>
      <c r="Z82" s="67">
        <f t="shared" si="54"/>
        <v>1.67E-2</v>
      </c>
      <c r="AA82" s="67">
        <f t="shared" si="55"/>
        <v>23.278600000000001</v>
      </c>
      <c r="AB82" s="64" t="e">
        <f>VLOOKUP(A82,Enforcements!$C$7:$K$21,8,0)</f>
        <v>#N/A</v>
      </c>
      <c r="AC82" s="60" t="e">
        <f>VLOOKUP(A82,Enforcements!$C$7:$E$21,3,0)</f>
        <v>#N/A</v>
      </c>
      <c r="AD82" s="61" t="str">
        <f t="shared" si="56"/>
        <v>0170-01</v>
      </c>
      <c r="AE82" s="91" t="str">
        <f t="shared" si="42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82" s="88" t="str">
        <f t="shared" si="43"/>
        <v>"C:\Program Files (x86)\AstroGrep\AstroGrep.exe" /spath="%USERPROFILE%\AppData\Local\Temp\OnboardLogs" /stypes="app*4037*20161101*" /stext=" 19:.+((SYSTEM_STATE.+slice.+state.+changed )|(ment ac)|(system.+state.+changed )|(\[timeout)|(PRM\|1\|D)|(kpr)|(kdp)|(\|lc)|(penalty))" /e /r /s</v>
      </c>
      <c r="AG82" s="1" t="str">
        <f t="shared" si="57"/>
        <v>EC</v>
      </c>
      <c r="AH82" s="92" t="str">
        <f t="shared" si="44"/>
        <v>"%USERPROFILE%\Documents\GitHub\eaglep3\Utilities\RefineRTDCRunTimes.py" --tripid 170-01 --locoid 4037 --swversion DE.1.0.8.0 --startMP 204:232953 --initTime 2016-11-01T13:07:37 --startdatetime 2016-11-01T13:11:15 --delay 1 --endMP 204:167 --enddatetime 2016-11-01T13:58:03 --enforcementcount 0 &gt;&gt;C:\Users\stu\Documents\GitHub\eaglep3-reporting\EC\2016-11-01-refined-times.txt</v>
      </c>
      <c r="AI8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{"issue":{"subject":"","project_id":79,"tracker_id":40,"status_id":1,"priority_id":2,"assigned_to_id":23,"start_date":"2016-11-01","description":"","custom_fields":[{"id":1,"name":"Subdivision","value":"EC"},{"id":4,"name":"Milepost","value":"0.0167"},{"id":17,"name":"Train ID","value":"170-01"},{"id":16,"name":"Locomotive ID","value":"4037"},{"id":130,"name":"Impact","value":""},{"id":150,"name":"Time of Event (Mountain Time)","value":"13:58:03"},{"id":151,"name":"Denver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488</v>
      </c>
      <c r="B83" s="7">
        <v>4029</v>
      </c>
      <c r="C83" s="22" t="s">
        <v>253</v>
      </c>
      <c r="D83" s="22" t="s">
        <v>277</v>
      </c>
      <c r="E83" s="13">
        <v>42675.516782407409</v>
      </c>
      <c r="F83" s="13">
        <v>42675.522476851853</v>
      </c>
      <c r="G83" s="7">
        <v>3</v>
      </c>
      <c r="H83" s="13" t="s">
        <v>619</v>
      </c>
      <c r="I83" s="13">
        <v>42675.546689814815</v>
      </c>
      <c r="J83" s="7">
        <v>0</v>
      </c>
      <c r="K83" s="112" t="str">
        <f t="shared" si="46"/>
        <v>4029/4030</v>
      </c>
      <c r="L83" s="22" t="str">
        <f>VLOOKUP(A83,'Trips&amp;Operators'!$C$1:$E$10000,3,FALSE)</f>
        <v>ROMERO</v>
      </c>
      <c r="M83" s="6">
        <f t="shared" si="47"/>
        <v>2.421296296233777E-2</v>
      </c>
      <c r="N83" s="7">
        <f t="shared" si="40"/>
        <v>34.866666665766388</v>
      </c>
      <c r="O83" s="7"/>
      <c r="P83" s="7"/>
      <c r="Q83" s="23"/>
      <c r="R83" s="23"/>
      <c r="S83" s="35">
        <f t="shared" si="48"/>
        <v>1</v>
      </c>
      <c r="T83" s="50" t="str">
        <f t="shared" si="4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11:24:10-0600',mode:absolute,to:'2016-11-01 14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3" s="52" t="str">
        <f t="shared" si="51"/>
        <v>N</v>
      </c>
      <c r="X83" s="177">
        <f t="shared" si="52"/>
        <v>1</v>
      </c>
      <c r="Y83" s="67">
        <f t="shared" si="53"/>
        <v>4.4400000000000002E-2</v>
      </c>
      <c r="Z83" s="67">
        <f t="shared" si="54"/>
        <v>23.3308</v>
      </c>
      <c r="AA83" s="67">
        <f t="shared" si="55"/>
        <v>23.2864</v>
      </c>
      <c r="AB83" s="64" t="e">
        <f>VLOOKUP(A83,Enforcements!$C$7:$K$21,8,0)</f>
        <v>#N/A</v>
      </c>
      <c r="AC83" s="60" t="e">
        <f>VLOOKUP(A83,Enforcements!$C$7:$E$21,3,0)</f>
        <v>#N/A</v>
      </c>
      <c r="AD83" s="61" t="str">
        <f t="shared" si="56"/>
        <v>0171-01</v>
      </c>
      <c r="AE83" s="91" t="str">
        <f t="shared" si="42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83" s="88" t="str">
        <f t="shared" si="43"/>
        <v>"C:\Program Files (x86)\AstroGrep\AstroGrep.exe" /spath="%USERPROFILE%\AppData\Local\Temp\OnboardLogs" /stypes="app*4029*20161101*" /stext=" 19:.+((SYSTEM_STATE.+slice.+state.+changed )|(ment ac)|(system.+state.+changed )|(\[timeout)|(PRM\|1\|D)|(kpr)|(kdp)|(\|lc)|(penalty))" /e /r /s</v>
      </c>
      <c r="AG83" s="1" t="str">
        <f t="shared" si="57"/>
        <v>EC</v>
      </c>
      <c r="AH83" s="92" t="str">
        <f t="shared" si="44"/>
        <v>"%USERPROFILE%\Documents\GitHub\eaglep3\Utilities\RefineRTDCRunTimes.py" --tripid 171-01 --locoid 4029 --swversion DE.1.0.8.0 --startMP 204:444 --initTime 2016-11-01T12:24:10 --startdatetime 2016-11-01T12:32:22 --delay 3 --endMP 204:233308 --enddatetime 2016-11-01T13:07:14 --enforcementcount 0 &gt;&gt;C:\Users\stu\Documents\GitHub\eaglep3-reporting\EC\2016-11-01-refined-times.txt</v>
      </c>
      <c r="AI83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{"issue":{"subject":"","project_id":79,"tracker_id":40,"status_id":1,"priority_id":2,"assigned_to_id":23,"start_date":"2016-11-01","description":"","custom_fields":[{"id":1,"name":"Subdivision","value":"EC"},{"id":4,"name":"Milepost","value":"23.3308"},{"id":17,"name":"Train ID","value":"171-01"},{"id":16,"name":"Locomotive ID","value":"4029"},{"id":130,"name":"Impact","value":""},{"id":150,"name":"Time of Event (Mountain Time)","value":"13:07:14"},{"id":151,"name":"Denver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495</v>
      </c>
      <c r="B84" s="7">
        <v>4030</v>
      </c>
      <c r="C84" s="22" t="s">
        <v>253</v>
      </c>
      <c r="D84" s="22" t="s">
        <v>636</v>
      </c>
      <c r="E84" s="13">
        <v>42675.559351851851</v>
      </c>
      <c r="F84" s="13">
        <v>42675.560543981483</v>
      </c>
      <c r="G84" s="7">
        <v>1</v>
      </c>
      <c r="H84" s="13" t="s">
        <v>175</v>
      </c>
      <c r="I84" s="13">
        <v>42675.587476851855</v>
      </c>
      <c r="J84" s="7">
        <v>0</v>
      </c>
      <c r="K84" s="112" t="str">
        <f t="shared" si="46"/>
        <v>4029/4030</v>
      </c>
      <c r="L84" s="22" t="str">
        <f>VLOOKUP(A84,'Trips&amp;Operators'!$C$1:$E$10000,3,FALSE)</f>
        <v>ROMERO</v>
      </c>
      <c r="M84" s="6">
        <f t="shared" si="47"/>
        <v>2.6932870372547768E-2</v>
      </c>
      <c r="N84" s="7">
        <f t="shared" si="40"/>
        <v>38.783333336468786</v>
      </c>
      <c r="O84" s="7"/>
      <c r="P84" s="7"/>
      <c r="Q84" s="23"/>
      <c r="R84" s="23"/>
      <c r="S84" s="35">
        <f t="shared" si="48"/>
        <v>1</v>
      </c>
      <c r="T84" s="50" t="str">
        <f t="shared" si="4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12:25:28-0600',mode:absolute,to:'2016-11-01 15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4" s="52" t="str">
        <f t="shared" si="51"/>
        <v>N</v>
      </c>
      <c r="X84" s="177">
        <f t="shared" ref="X84:X92" si="58">VALUE(LEFT(AD84,4))-VALUE(LEFT(AD83,4))</f>
        <v>1</v>
      </c>
      <c r="Y84" s="67">
        <f t="shared" si="53"/>
        <v>23.299299999999999</v>
      </c>
      <c r="Z84" s="67">
        <f t="shared" si="54"/>
        <v>1.47E-2</v>
      </c>
      <c r="AA84" s="67">
        <f t="shared" si="55"/>
        <v>23.284599999999998</v>
      </c>
      <c r="AB84" s="64" t="e">
        <f>VLOOKUP(A84,Enforcements!$C$7:$K$21,8,0)</f>
        <v>#N/A</v>
      </c>
      <c r="AC84" s="60" t="e">
        <f>VLOOKUP(A84,Enforcements!$C$7:$E$21,3,0)</f>
        <v>#N/A</v>
      </c>
      <c r="AD84" s="61" t="str">
        <f t="shared" si="56"/>
        <v>0172-01</v>
      </c>
      <c r="AE84" s="91" t="str">
        <f t="shared" si="42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84" s="88" t="str">
        <f t="shared" si="43"/>
        <v>"C:\Program Files (x86)\AstroGrep\AstroGrep.exe" /spath="%USERPROFILE%\AppData\Local\Temp\OnboardLogs" /stypes="app*4030*20161101*" /stext=" 20:.+((SYSTEM_STATE.+slice.+state.+changed )|(ment ac)|(system.+state.+changed )|(\[timeout)|(PRM\|1\|D)|(kpr)|(kdp)|(\|lc)|(penalty))" /e /r /s</v>
      </c>
      <c r="AG84" s="1" t="str">
        <f t="shared" si="57"/>
        <v>EC</v>
      </c>
      <c r="AH84" s="92" t="str">
        <f t="shared" si="44"/>
        <v>"%USERPROFILE%\Documents\GitHub\eaglep3\Utilities\RefineRTDCRunTimes.py" --tripid 172-01 --locoid 4030 --swversion DE.1.0.8.0 --startMP 204:232993 --initTime 2016-11-01T13:25:28 --startdatetime 2016-11-01T13:27:11 --delay 1 --endMP 204:147 --enddatetime 2016-11-01T14:05:58 --enforcementcount 0 &gt;&gt;C:\Users\stu\Documents\GitHub\eaglep3-reporting\EC\2016-11-01-refined-times.txt</v>
      </c>
      <c r="AI8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{"issue":{"subject":"","project_id":79,"tracker_id":40,"status_id":1,"priority_id":2,"assigned_to_id":23,"start_date":"2016-11-01","description":"","custom_fields":[{"id":1,"name":"Subdivision","value":"EC"},{"id":4,"name":"Milepost","value":"0.0147"},{"id":17,"name":"Train ID","value":"172-01"},{"id":16,"name":"Locomotive ID","value":"4030"},{"id":130,"name":"Impact","value":""},{"id":150,"name":"Time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491</v>
      </c>
      <c r="B85" s="7">
        <v>4007</v>
      </c>
      <c r="C85" s="22" t="s">
        <v>253</v>
      </c>
      <c r="D85" s="22" t="s">
        <v>277</v>
      </c>
      <c r="E85" s="13">
        <v>42675.534224537034</v>
      </c>
      <c r="F85" s="13">
        <v>42675.535752314812</v>
      </c>
      <c r="G85" s="7">
        <v>1</v>
      </c>
      <c r="H85" s="13" t="s">
        <v>349</v>
      </c>
      <c r="I85" s="13">
        <v>42675.560613425929</v>
      </c>
      <c r="J85" s="7">
        <v>0</v>
      </c>
      <c r="K85" s="112" t="str">
        <f t="shared" si="46"/>
        <v>4007/4008</v>
      </c>
      <c r="L85" s="22" t="str">
        <f>VLOOKUP(A85,'Trips&amp;Operators'!$C$1:$E$10000,3,FALSE)</f>
        <v>BARTLETT</v>
      </c>
      <c r="M85" s="6">
        <f t="shared" si="47"/>
        <v>2.4861111116479151E-2</v>
      </c>
      <c r="N85" s="7">
        <f t="shared" si="40"/>
        <v>35.800000007729977</v>
      </c>
      <c r="O85" s="7"/>
      <c r="P85" s="7"/>
      <c r="Q85" s="23"/>
      <c r="R85" s="23"/>
      <c r="S85" s="35">
        <f t="shared" si="48"/>
        <v>1</v>
      </c>
      <c r="T85" s="50" t="str">
        <f t="shared" si="4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11:49:17-0600',mode:absolute,to:'2016-11-01 14:27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5" s="52" t="str">
        <f t="shared" si="51"/>
        <v>N</v>
      </c>
      <c r="X85" s="177">
        <f t="shared" si="58"/>
        <v>1</v>
      </c>
      <c r="Y85" s="67">
        <f t="shared" si="53"/>
        <v>4.4400000000000002E-2</v>
      </c>
      <c r="Z85" s="67">
        <f t="shared" si="54"/>
        <v>23.331199999999999</v>
      </c>
      <c r="AA85" s="67">
        <f t="shared" si="55"/>
        <v>23.286799999999999</v>
      </c>
      <c r="AB85" s="64" t="e">
        <f>VLOOKUP(A85,Enforcements!$C$7:$K$21,8,0)</f>
        <v>#N/A</v>
      </c>
      <c r="AC85" s="60" t="e">
        <f>VLOOKUP(A85,Enforcements!$C$7:$E$21,3,0)</f>
        <v>#N/A</v>
      </c>
      <c r="AD85" s="61" t="str">
        <f t="shared" si="56"/>
        <v>0173-01</v>
      </c>
      <c r="AE85" s="91" t="str">
        <f t="shared" si="42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85" s="88" t="str">
        <f t="shared" si="43"/>
        <v>"C:\Program Files (x86)\AstroGrep\AstroGrep.exe" /spath="%USERPROFILE%\AppData\Local\Temp\OnboardLogs" /stypes="app*4007*20161101*" /stext=" 19:.+((SYSTEM_STATE.+slice.+state.+changed )|(ment ac)|(system.+state.+changed )|(\[timeout)|(PRM\|1\|D)|(kpr)|(kdp)|(\|lc)|(penalty))" /e /r /s</v>
      </c>
      <c r="AG85" s="1" t="str">
        <f t="shared" si="57"/>
        <v>EC</v>
      </c>
      <c r="AH85" s="92" t="str">
        <f t="shared" si="44"/>
        <v>"%USERPROFILE%\Documents\GitHub\eaglep3\Utilities\RefineRTDCRunTimes.py" --tripid 173-01 --locoid 4007 --swversion DE.1.0.8.0 --startMP 204:444 --initTime 2016-11-01T12:49:17 --startdatetime 2016-11-01T12:51:29 --delay 1 --endMP 204:233312 --enddatetime 2016-11-01T13:27:17 --enforcementcount 0 &gt;&gt;C:\Users\stu\Documents\GitHub\eaglep3-reporting\EC\2016-11-01-refined-times.txt</v>
      </c>
      <c r="AI8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{"issue":{"subject":"","project_id":79,"tracker_id":40,"status_id":1,"priority_id":2,"assigned_to_id":23,"start_date":"2016-11-01","description":"","custom_fields":[{"id":1,"name":"Subdivision","value":"EC"},{"id":4,"name":"Milepost","value":"23.3312"},{"id":17,"name":"Train ID","value":"173-01"},{"id":16,"name":"Locomotive ID","value":"4007"},{"id":130,"name":"Impact","value":""},{"id":150,"name":"Time of Event (Mountain Time)","value":"13:27:17"},{"id":151,"name":"Denver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394</v>
      </c>
      <c r="B86" s="7">
        <v>4008</v>
      </c>
      <c r="C86" s="22" t="s">
        <v>253</v>
      </c>
      <c r="D86" s="22" t="s">
        <v>289</v>
      </c>
      <c r="E86" s="13">
        <v>42675.566250000003</v>
      </c>
      <c r="F86" s="13">
        <v>42675.570300925923</v>
      </c>
      <c r="G86" s="7">
        <v>1</v>
      </c>
      <c r="H86" s="13" t="s">
        <v>637</v>
      </c>
      <c r="I86" s="13">
        <v>42675.596458333333</v>
      </c>
      <c r="J86" s="7">
        <v>0</v>
      </c>
      <c r="K86" s="112" t="str">
        <f t="shared" si="46"/>
        <v>4007/4008</v>
      </c>
      <c r="L86" s="22" t="str">
        <f>VLOOKUP(A86,'Trips&amp;Operators'!$C$1:$E$10000,3,FALSE)</f>
        <v>BARTLETT</v>
      </c>
      <c r="M86" s="6">
        <f t="shared" si="47"/>
        <v>2.6157407410209998E-2</v>
      </c>
      <c r="N86" s="7">
        <f t="shared" si="40"/>
        <v>37.666666670702398</v>
      </c>
      <c r="O86" s="7"/>
      <c r="P86" s="7"/>
      <c r="Q86" s="23"/>
      <c r="R86" s="23" t="s">
        <v>794</v>
      </c>
      <c r="S86" s="35">
        <f t="shared" si="48"/>
        <v>1</v>
      </c>
      <c r="T86" s="50" t="str">
        <f t="shared" si="4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12:35:24-0600',mode:absolute,to:'2016-11-01 15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86" s="52" t="str">
        <f t="shared" si="51"/>
        <v>Y</v>
      </c>
      <c r="X86" s="177">
        <f t="shared" si="58"/>
        <v>1</v>
      </c>
      <c r="Y86" s="67">
        <f t="shared" si="53"/>
        <v>23.298400000000001</v>
      </c>
      <c r="Z86" s="67">
        <f t="shared" si="54"/>
        <v>0.45829999999999999</v>
      </c>
      <c r="AA86" s="67">
        <f t="shared" si="55"/>
        <v>22.8401</v>
      </c>
      <c r="AB86" s="64" t="str">
        <f>VLOOKUP(A86,Enforcements!$C$7:$K$21,8,0)</f>
        <v>Signal based authority (5)</v>
      </c>
      <c r="AC86" s="60" t="str">
        <f>VLOOKUP(A86,Enforcements!$C$7:$E$21,3,0)</f>
        <v>SIGNAL</v>
      </c>
      <c r="AD86" s="61" t="str">
        <f t="shared" si="56"/>
        <v>0174-01</v>
      </c>
      <c r="AE86" s="91" t="str">
        <f t="shared" si="42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86" s="88" t="str">
        <f t="shared" si="43"/>
        <v>"C:\Program Files (x86)\AstroGrep\AstroGrep.exe" /spath="%USERPROFILE%\AppData\Local\Temp\OnboardLogs" /stypes="app*4008*20161101*" /stext=" 20:.+((SYSTEM_STATE.+slice.+state.+changed )|(ment ac)|(system.+state.+changed )|(\[timeout)|(PRM\|1\|D)|(kpr)|(kdp)|(\|lc)|(penalty))" /e /r /s</v>
      </c>
      <c r="AG86" s="1" t="str">
        <f t="shared" si="57"/>
        <v>EC</v>
      </c>
      <c r="AH86" s="92" t="str">
        <f t="shared" si="44"/>
        <v>"%USERPROFILE%\Documents\GitHub\eaglep3\Utilities\RefineRTDCRunTimes.py" --tripid 174-01 --locoid 4008 --swversion DE.1.0.8.0 --startMP 204:232984 --initTime 2016-11-01T13:35:24 --startdatetime 2016-11-01T13:41:14 --delay 1 --endMP 204:4583 --enddatetime 2016-11-01T14:18:54 --enforcementcount 0 &gt;&gt;C:\Users\stu\Documents\GitHub\eaglep3-reporting\EC\2016-11-01-refined-times.txt</v>
      </c>
      <c r="AI86" s="122" t="str">
        <f t="shared" si="45"/>
        <v>echo {"issue":{"subject":"Wi-MAX outage at DUS 20S","project_id":79,"tracker_id":40,"status_id":1,"priority_id":2,"assigned_to_id":23,"start_date":"2016-11-01","description":"","custom_fields":[{"id":1,"name":"Subdivision","value":"EC"},{"id":4,"name":"Milepost","value":"0.4583"},{"id":17,"name":"Train ID","value":"174-01"},{"id":16,"name":"Locomotive ID","value":"4008"},{"id":130,"name":"Impact","value":""},{"id":150,"name":"Time of Event (Mountain Time)","value":"14:18:54"},{"id":151,"name":"Denver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493</v>
      </c>
      <c r="B87" s="7">
        <v>4042</v>
      </c>
      <c r="C87" s="22" t="s">
        <v>253</v>
      </c>
      <c r="D87" s="22" t="s">
        <v>638</v>
      </c>
      <c r="E87" s="13">
        <v>42675.545856481483</v>
      </c>
      <c r="F87" s="13">
        <v>42675.547719907408</v>
      </c>
      <c r="G87" s="7">
        <v>1</v>
      </c>
      <c r="H87" s="13" t="s">
        <v>639</v>
      </c>
      <c r="I87" s="13">
        <v>42675.574733796297</v>
      </c>
      <c r="J87" s="7">
        <v>0</v>
      </c>
      <c r="K87" s="112" t="str">
        <f t="shared" si="46"/>
        <v>4041/4042</v>
      </c>
      <c r="L87" s="22" t="str">
        <f>VLOOKUP(A87,'Trips&amp;Operators'!$C$1:$E$10000,3,FALSE)</f>
        <v>HOLCOMB</v>
      </c>
      <c r="M87" s="6">
        <f t="shared" si="47"/>
        <v>2.7013888888177462E-2</v>
      </c>
      <c r="N87" s="7">
        <f t="shared" si="40"/>
        <v>38.899999998975545</v>
      </c>
      <c r="O87" s="7"/>
      <c r="P87" s="7"/>
      <c r="Q87" s="23"/>
      <c r="R87" s="23"/>
      <c r="S87" s="35">
        <f t="shared" si="48"/>
        <v>1</v>
      </c>
      <c r="T87" s="50" t="str">
        <f t="shared" si="4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12:06:02-0600',mode:absolute,to:'2016-11-01 14:47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7" s="52" t="str">
        <f t="shared" si="51"/>
        <v>N</v>
      </c>
      <c r="X87" s="177">
        <f t="shared" si="58"/>
        <v>1</v>
      </c>
      <c r="Y87" s="67">
        <f t="shared" si="53"/>
        <v>4.6899999999999997E-2</v>
      </c>
      <c r="Z87" s="67">
        <f t="shared" si="54"/>
        <v>23.330400000000001</v>
      </c>
      <c r="AA87" s="67">
        <f t="shared" si="55"/>
        <v>23.2835</v>
      </c>
      <c r="AB87" s="64" t="e">
        <f>VLOOKUP(A87,Enforcements!$C$7:$K$21,8,0)</f>
        <v>#N/A</v>
      </c>
      <c r="AC87" s="60" t="e">
        <f>VLOOKUP(A87,Enforcements!$C$7:$E$21,3,0)</f>
        <v>#N/A</v>
      </c>
      <c r="AD87" s="61" t="str">
        <f t="shared" si="56"/>
        <v>0175-01</v>
      </c>
      <c r="AE87" s="91" t="str">
        <f t="shared" si="42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87" s="88" t="str">
        <f t="shared" si="43"/>
        <v>"C:\Program Files (x86)\AstroGrep\AstroGrep.exe" /spath="%USERPROFILE%\AppData\Local\Temp\OnboardLogs" /stypes="app*4042*20161101*" /stext=" 19:.+((SYSTEM_STATE.+slice.+state.+changed )|(ment ac)|(system.+state.+changed )|(\[timeout)|(PRM\|1\|D)|(kpr)|(kdp)|(\|lc)|(penalty))" /e /r /s</v>
      </c>
      <c r="AG87" s="1" t="str">
        <f t="shared" si="57"/>
        <v>EC</v>
      </c>
      <c r="AH87" s="92" t="str">
        <f t="shared" si="44"/>
        <v>"%USERPROFILE%\Documents\GitHub\eaglep3\Utilities\RefineRTDCRunTimes.py" --tripid 175-01 --locoid 4042 --swversion DE.1.0.8.0 --startMP 204:469 --initTime 2016-11-01T13:06:02 --startdatetime 2016-11-01T13:08:43 --delay 1 --endMP 204:233304 --enddatetime 2016-11-01T13:47:37 --enforcementcount 0 &gt;&gt;C:\Users\stu\Documents\GitHub\eaglep3-reporting\EC\2016-11-01-refined-times.txt</v>
      </c>
      <c r="AI8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{"issue":{"subject":"","project_id":79,"tracker_id":40,"status_id":1,"priority_id":2,"assigned_to_id":23,"start_date":"2016-11-01","description":"","custom_fields":[{"id":1,"name":"Subdivision","value":"EC"},{"id":4,"name":"Milepost","value":"23.3304"},{"id":17,"name":"Train ID","value":"175-01"},{"id":16,"name":"Locomotive ID","value":"4042"},{"id":130,"name":"Impact","value":""},{"id":150,"name":"Time of Event (Mountain Time)","value":"13:47:37"},{"id":151,"name":"Denver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501</v>
      </c>
      <c r="B88" s="7">
        <v>4041</v>
      </c>
      <c r="C88" s="22" t="s">
        <v>253</v>
      </c>
      <c r="D88" s="22" t="s">
        <v>636</v>
      </c>
      <c r="E88" s="13">
        <v>42675.576620370368</v>
      </c>
      <c r="F88" s="13">
        <v>42675.581261574072</v>
      </c>
      <c r="G88" s="7">
        <v>1</v>
      </c>
      <c r="H88" s="13" t="s">
        <v>207</v>
      </c>
      <c r="I88" s="13">
        <v>42675.61078703704</v>
      </c>
      <c r="J88" s="7">
        <v>0</v>
      </c>
      <c r="K88" s="112" t="str">
        <f t="shared" si="46"/>
        <v>4041/4042</v>
      </c>
      <c r="L88" s="22" t="str">
        <f>VLOOKUP(A88,'Trips&amp;Operators'!$C$1:$E$10000,3,FALSE)</f>
        <v>HOLCOMB</v>
      </c>
      <c r="M88" s="6">
        <f t="shared" si="47"/>
        <v>2.9525462967285421E-2</v>
      </c>
      <c r="N88" s="7">
        <f t="shared" si="40"/>
        <v>42.516666672891006</v>
      </c>
      <c r="O88" s="7"/>
      <c r="P88" s="7"/>
      <c r="Q88" s="23"/>
      <c r="R88" s="23"/>
      <c r="S88" s="35">
        <f t="shared" si="48"/>
        <v>1</v>
      </c>
      <c r="T88" s="50" t="str">
        <f t="shared" si="4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12:50:20-0600',mode:absolute,to:'2016-11-01 15:39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8" s="52" t="str">
        <f t="shared" si="51"/>
        <v>N</v>
      </c>
      <c r="X88" s="177">
        <f t="shared" si="58"/>
        <v>1</v>
      </c>
      <c r="Y88" s="67">
        <f t="shared" si="53"/>
        <v>23.299299999999999</v>
      </c>
      <c r="Z88" s="67">
        <f t="shared" si="54"/>
        <v>1.43E-2</v>
      </c>
      <c r="AA88" s="67">
        <f t="shared" si="55"/>
        <v>23.285</v>
      </c>
      <c r="AB88" s="64" t="e">
        <f>VLOOKUP(A88,Enforcements!$C$7:$K$21,8,0)</f>
        <v>#N/A</v>
      </c>
      <c r="AC88" s="60" t="e">
        <f>VLOOKUP(A88,Enforcements!$C$7:$E$21,3,0)</f>
        <v>#N/A</v>
      </c>
      <c r="AD88" s="61" t="str">
        <f t="shared" si="56"/>
        <v>0176-01</v>
      </c>
      <c r="AE88" s="91" t="str">
        <f t="shared" si="42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88" s="88" t="str">
        <f t="shared" si="43"/>
        <v>"C:\Program Files (x86)\AstroGrep\AstroGrep.exe" /spath="%USERPROFILE%\AppData\Local\Temp\OnboardLogs" /stypes="app*4041*20161101*" /stext=" 20:.+((SYSTEM_STATE.+slice.+state.+changed )|(ment ac)|(system.+state.+changed )|(\[timeout)|(PRM\|1\|D)|(kpr)|(kdp)|(\|lc)|(penalty))" /e /r /s</v>
      </c>
      <c r="AG88" s="1" t="str">
        <f t="shared" si="57"/>
        <v>EC</v>
      </c>
      <c r="AH88" s="92" t="str">
        <f t="shared" si="44"/>
        <v>"%USERPROFILE%\Documents\GitHub\eaglep3\Utilities\RefineRTDCRunTimes.py" --tripid 176-01 --locoid 4041 --swversion DE.1.0.8.0 --startMP 204:232993 --initTime 2016-11-01T13:50:20 --startdatetime 2016-11-01T13:57:01 --delay 1 --endMP 204:143 --enddatetime 2016-11-01T14:39:32 --enforcementcount 0 &gt;&gt;C:\Users\stu\Documents\GitHub\eaglep3-reporting\EC\2016-11-01-refined-times.txt</v>
      </c>
      <c r="AI8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{"issue":{"subject":"","project_id":79,"tracker_id":40,"status_id":1,"priority_id":2,"assigned_to_id":23,"start_date":"2016-11-01","description":"","custom_fields":[{"id":1,"name":"Subdivision","value":"EC"},{"id":4,"name":"Milepost","value":"0.0143"},{"id":17,"name":"Train ID","value":"176-01"},{"id":16,"name":"Locomotive ID","value":"4041"},{"id":130,"name":"Impact","value":""},{"id":150,"name":"Time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496</v>
      </c>
      <c r="B89" s="7">
        <v>4040</v>
      </c>
      <c r="C89" s="22" t="s">
        <v>253</v>
      </c>
      <c r="D89" s="22" t="s">
        <v>232</v>
      </c>
      <c r="E89" s="13">
        <v>42675.550925925927</v>
      </c>
      <c r="F89" s="13">
        <v>42675.552673611113</v>
      </c>
      <c r="G89" s="7">
        <v>1</v>
      </c>
      <c r="H89" s="13" t="s">
        <v>640</v>
      </c>
      <c r="I89" s="13">
        <v>42675.583287037036</v>
      </c>
      <c r="J89" s="7">
        <v>0</v>
      </c>
      <c r="K89" s="112" t="str">
        <f t="shared" si="46"/>
        <v>4039/4040</v>
      </c>
      <c r="L89" s="22" t="str">
        <f>VLOOKUP(A89,'Trips&amp;Operators'!$C$1:$E$10000,3,FALSE)</f>
        <v>HELVIE</v>
      </c>
      <c r="M89" s="6">
        <f t="shared" si="47"/>
        <v>3.0613425922638271E-2</v>
      </c>
      <c r="N89" s="7">
        <f t="shared" si="40"/>
        <v>44.08333332859911</v>
      </c>
      <c r="O89" s="7"/>
      <c r="P89" s="7"/>
      <c r="Q89" s="23"/>
      <c r="R89" s="23"/>
      <c r="S89" s="35">
        <f t="shared" si="48"/>
        <v>1</v>
      </c>
      <c r="T89" s="50" t="str">
        <f t="shared" si="4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12:13:20-0600',mode:absolute,to:'2016-11-01 14:59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89" s="52" t="str">
        <f t="shared" si="51"/>
        <v>N</v>
      </c>
      <c r="X89" s="177">
        <f t="shared" si="58"/>
        <v>1</v>
      </c>
      <c r="Y89" s="67">
        <f t="shared" si="53"/>
        <v>4.4900000000000002E-2</v>
      </c>
      <c r="Z89" s="67">
        <f t="shared" si="54"/>
        <v>23.331099999999999</v>
      </c>
      <c r="AA89" s="67">
        <f t="shared" si="55"/>
        <v>23.286200000000001</v>
      </c>
      <c r="AB89" s="64" t="e">
        <f>VLOOKUP(A89,Enforcements!$C$7:$K$21,8,0)</f>
        <v>#N/A</v>
      </c>
      <c r="AC89" s="60" t="e">
        <f>VLOOKUP(A89,Enforcements!$C$7:$E$21,3,0)</f>
        <v>#N/A</v>
      </c>
      <c r="AD89" s="61" t="str">
        <f t="shared" si="56"/>
        <v>0177-01</v>
      </c>
      <c r="AE89" s="91" t="str">
        <f t="shared" si="42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89" s="88" t="str">
        <f t="shared" si="43"/>
        <v>"C:\Program Files (x86)\AstroGrep\AstroGrep.exe" /spath="%USERPROFILE%\AppData\Local\Temp\OnboardLogs" /stypes="app*4040*20161101*" /stext=" 19:.+((SYSTEM_STATE.+slice.+state.+changed )|(ment ac)|(system.+state.+changed )|(\[timeout)|(PRM\|1\|D)|(kpr)|(kdp)|(\|lc)|(penalty))" /e /r /s</v>
      </c>
      <c r="AG89" s="1" t="str">
        <f t="shared" si="57"/>
        <v>EC</v>
      </c>
      <c r="AH89" s="92" t="str">
        <f t="shared" si="44"/>
        <v>"%USERPROFILE%\Documents\GitHub\eaglep3\Utilities\RefineRTDCRunTimes.py" --tripid 177-01 --locoid 4040 --swversion DE.1.0.8.0 --startMP 204:449 --initTime 2016-11-01T13:13:20 --startdatetime 2016-11-01T13:15:51 --delay 1 --endMP 204:233311 --enddatetime 2016-11-01T13:59:56 --enforcementcount 0 &gt;&gt;C:\Users\stu\Documents\GitHub\eaglep3-reporting\EC\2016-11-01-refined-times.txt</v>
      </c>
      <c r="AI8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{"issue":{"subject":"","project_id":79,"tracker_id":40,"status_id":1,"priority_id":2,"assigned_to_id":23,"start_date":"2016-11-01","description":"","custom_fields":[{"id":1,"name":"Subdivision","value":"EC"},{"id":4,"name":"Milepost","value":"23.3311"},{"id":17,"name":"Train ID","value":"177-01"},{"id":16,"name":"Locomotive ID","value":"4040"},{"id":130,"name":"Impact","value":""},{"id":150,"name":"Time of Event (Mountain Time)","value":"13:59:56"},{"id":151,"name":"Denver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397</v>
      </c>
      <c r="B90" s="7">
        <v>4039</v>
      </c>
      <c r="C90" s="22" t="s">
        <v>253</v>
      </c>
      <c r="D90" s="22" t="s">
        <v>289</v>
      </c>
      <c r="E90" s="13">
        <v>42675.58761574074</v>
      </c>
      <c r="F90" s="13">
        <v>42675.591192129628</v>
      </c>
      <c r="G90" s="7">
        <v>1</v>
      </c>
      <c r="H90" s="13" t="s">
        <v>181</v>
      </c>
      <c r="I90" s="13">
        <v>42675.617997685185</v>
      </c>
      <c r="J90" s="7">
        <v>0</v>
      </c>
      <c r="K90" s="112" t="str">
        <f t="shared" si="46"/>
        <v>4039/4040</v>
      </c>
      <c r="L90" s="22" t="str">
        <f>VLOOKUP(A90,'Trips&amp;Operators'!$C$1:$E$10000,3,FALSE)</f>
        <v>HELVIE</v>
      </c>
      <c r="M90" s="6">
        <f t="shared" si="47"/>
        <v>2.6805555557075422E-2</v>
      </c>
      <c r="N90" s="7">
        <f t="shared" si="40"/>
        <v>38.600000002188608</v>
      </c>
      <c r="O90" s="7"/>
      <c r="P90" s="7"/>
      <c r="Q90" s="23"/>
      <c r="R90" s="23"/>
      <c r="S90" s="35">
        <f t="shared" si="48"/>
        <v>1</v>
      </c>
      <c r="T90" s="50" t="str">
        <f t="shared" si="4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13:06:10-0600',mode:absolute,to:'2016-11-01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0" s="52" t="str">
        <f t="shared" si="51"/>
        <v>N</v>
      </c>
      <c r="X90" s="177">
        <f t="shared" si="58"/>
        <v>1</v>
      </c>
      <c r="Y90" s="67">
        <f t="shared" si="53"/>
        <v>23.298400000000001</v>
      </c>
      <c r="Z90" s="67">
        <f t="shared" si="54"/>
        <v>1.41E-2</v>
      </c>
      <c r="AA90" s="67">
        <f t="shared" si="55"/>
        <v>23.284300000000002</v>
      </c>
      <c r="AB90" s="64" t="str">
        <f>VLOOKUP(A90,Enforcements!$C$7:$K$21,8,0)</f>
        <v>Signal based authority (5)</v>
      </c>
      <c r="AC90" s="60" t="str">
        <f>VLOOKUP(A90,Enforcements!$C$7:$E$21,3,0)</f>
        <v>SIGNAL</v>
      </c>
      <c r="AD90" s="61" t="str">
        <f t="shared" si="56"/>
        <v>0178-01</v>
      </c>
      <c r="AE90" s="91" t="str">
        <f t="shared" si="42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90" s="88" t="str">
        <f t="shared" si="43"/>
        <v>"C:\Program Files (x86)\AstroGrep\AstroGrep.exe" /spath="%USERPROFILE%\AppData\Local\Temp\OnboardLogs" /stypes="app*4039*20161101*" /stext=" 20:.+((SYSTEM_STATE.+slice.+state.+changed )|(ment ac)|(system.+state.+changed )|(\[timeout)|(PRM\|1\|D)|(kpr)|(kdp)|(\|lc)|(penalty))" /e /r /s</v>
      </c>
      <c r="AG90" s="1" t="str">
        <f t="shared" si="57"/>
        <v>EC</v>
      </c>
      <c r="AH90" s="92" t="str">
        <f t="shared" si="44"/>
        <v>"%USERPROFILE%\Documents\GitHub\eaglep3\Utilities\RefineRTDCRunTimes.py" --tripid 178-01 --locoid 4039 --swversion DE.1.0.8.0 --startMP 204:232984 --initTime 2016-11-01T14:06:10 --startdatetime 2016-11-01T14:11:19 --delay 1 --endMP 204:141 --enddatetime 2016-11-01T14:49:55 --enforcementcount 0 &gt;&gt;C:\Users\stu\Documents\GitHub\eaglep3-reporting\EC\2016-11-01-refined-times.txt</v>
      </c>
      <c r="AI9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{"issue":{"subject":"","project_id":79,"tracker_id":40,"status_id":1,"priority_id":2,"assigned_to_id":23,"start_date":"2016-11-01","description":"","custom_fields":[{"id":1,"name":"Subdivision","value":"EC"},{"id":4,"name":"Milepost","value":"0.0141"},{"id":17,"name":"Train ID","value":"178-01"},{"id":16,"name":"Locomotive ID","value":"4039"},{"id":130,"name":"Impact","value":""},{"id":150,"name":"Time of Event (Mountain Time)","value":"14:49:55"},{"id":151,"name":"Denver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498</v>
      </c>
      <c r="B91" s="7">
        <v>4014</v>
      </c>
      <c r="C91" s="22" t="s">
        <v>253</v>
      </c>
      <c r="D91" s="22" t="s">
        <v>274</v>
      </c>
      <c r="E91" s="13">
        <v>42675.557372685187</v>
      </c>
      <c r="F91" s="13">
        <v>42675.562939814816</v>
      </c>
      <c r="G91" s="7">
        <v>1</v>
      </c>
      <c r="H91" s="13" t="s">
        <v>349</v>
      </c>
      <c r="I91" s="13">
        <v>42675.588252314818</v>
      </c>
      <c r="J91" s="7">
        <v>0</v>
      </c>
      <c r="K91" s="112" t="str">
        <f t="shared" si="46"/>
        <v>4013/4014</v>
      </c>
      <c r="L91" s="22" t="str">
        <f>VLOOKUP(A91,'Trips&amp;Operators'!$C$1:$E$10000,3,FALSE)</f>
        <v>MCREYNOLDS</v>
      </c>
      <c r="M91" s="6">
        <f t="shared" si="47"/>
        <v>2.531250000174623E-2</v>
      </c>
      <c r="N91" s="7">
        <f t="shared" si="40"/>
        <v>36.450000002514571</v>
      </c>
      <c r="O91" s="7"/>
      <c r="P91" s="7"/>
      <c r="Q91" s="23"/>
      <c r="R91" s="23"/>
      <c r="S91" s="35">
        <f t="shared" si="48"/>
        <v>1</v>
      </c>
      <c r="T91" s="50" t="str">
        <f t="shared" si="4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12:22:37-0600',mode:absolute,to:'2016-11-01 15:07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1" s="52" t="str">
        <f t="shared" si="51"/>
        <v>N</v>
      </c>
      <c r="X91" s="177">
        <f t="shared" si="58"/>
        <v>1</v>
      </c>
      <c r="Y91" s="67">
        <f t="shared" si="53"/>
        <v>4.82E-2</v>
      </c>
      <c r="Z91" s="67">
        <f t="shared" si="54"/>
        <v>23.331199999999999</v>
      </c>
      <c r="AA91" s="67">
        <f t="shared" si="55"/>
        <v>23.282999999999998</v>
      </c>
      <c r="AB91" s="64" t="e">
        <f>VLOOKUP(A91,Enforcements!$C$7:$K$21,8,0)</f>
        <v>#N/A</v>
      </c>
      <c r="AC91" s="60" t="e">
        <f>VLOOKUP(A91,Enforcements!$C$7:$E$21,3,0)</f>
        <v>#N/A</v>
      </c>
      <c r="AD91" s="61" t="str">
        <f t="shared" si="56"/>
        <v>0179-01</v>
      </c>
      <c r="AE91" s="91" t="str">
        <f t="shared" si="42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91" s="88" t="str">
        <f t="shared" si="43"/>
        <v>"C:\Program Files (x86)\AstroGrep\AstroGrep.exe" /spath="%USERPROFILE%\AppData\Local\Temp\OnboardLogs" /stypes="app*4014*20161101*" /stext=" 20:.+((SYSTEM_STATE.+slice.+state.+changed )|(ment ac)|(system.+state.+changed )|(\[timeout)|(PRM\|1\|D)|(kpr)|(kdp)|(\|lc)|(penalty))" /e /r /s</v>
      </c>
      <c r="AG91" s="1" t="str">
        <f t="shared" si="57"/>
        <v>EC</v>
      </c>
      <c r="AH91" s="92" t="str">
        <f t="shared" si="44"/>
        <v>"%USERPROFILE%\Documents\GitHub\eaglep3\Utilities\RefineRTDCRunTimes.py" --tripid 179-01 --locoid 4014 --swversion DE.1.0.8.0 --startMP 204:482 --initTime 2016-11-01T13:22:37 --startdatetime 2016-11-01T13:30:38 --delay 1 --endMP 204:233312 --enddatetime 2016-11-01T14:07:05 --enforcementcount 0 &gt;&gt;C:\Users\stu\Documents\GitHub\eaglep3-reporting\EC\2016-11-01-refined-times.txt</v>
      </c>
      <c r="AI9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{"issue":{"subject":"","project_id":79,"tracker_id":40,"status_id":1,"priority_id":2,"assigned_to_id":23,"start_date":"2016-11-01","description":"","custom_fields":[{"id":1,"name":"Subdivision","value":"EC"},{"id":4,"name":"Milepost","value":"23.3312"},{"id":17,"name":"Train ID","value":"179-01"},{"id":16,"name":"Locomotive ID","value":"4014"},{"id":130,"name":"Impact","value":""},{"id":150,"name":"Time of Event (Mountain Time)","value":"14:07:05"},{"id":151,"name":"Denver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505</v>
      </c>
      <c r="B92" s="7">
        <v>4013</v>
      </c>
      <c r="C92" s="22" t="s">
        <v>253</v>
      </c>
      <c r="D92" s="22" t="s">
        <v>304</v>
      </c>
      <c r="E92" s="13">
        <v>42675.592812499999</v>
      </c>
      <c r="F92" s="13">
        <v>42675.601458333331</v>
      </c>
      <c r="G92" s="7">
        <v>1</v>
      </c>
      <c r="H92" s="13" t="s">
        <v>288</v>
      </c>
      <c r="I92" s="13">
        <v>42675.631099537037</v>
      </c>
      <c r="J92" s="7">
        <v>0</v>
      </c>
      <c r="K92" s="112" t="str">
        <f t="shared" si="46"/>
        <v>4013/4014</v>
      </c>
      <c r="L92" s="22" t="str">
        <f>VLOOKUP(A92,'Trips&amp;Operators'!$C$1:$E$10000,3,FALSE)</f>
        <v>MCREYNOLDS</v>
      </c>
      <c r="M92" s="6">
        <f t="shared" si="47"/>
        <v>2.9641203705978114E-2</v>
      </c>
      <c r="N92" s="7">
        <f t="shared" si="40"/>
        <v>42.683333336608484</v>
      </c>
      <c r="O92" s="7"/>
      <c r="P92" s="7"/>
      <c r="Q92" s="23"/>
      <c r="R92" s="23"/>
      <c r="S92" s="35">
        <f t="shared" si="48"/>
        <v>1</v>
      </c>
      <c r="T92" s="50" t="str">
        <f t="shared" si="4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13:13:39-0600',mode:absolute,to:'2016-11-01 16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2" s="52" t="str">
        <f t="shared" si="51"/>
        <v>N</v>
      </c>
      <c r="X92" s="177">
        <f t="shared" si="58"/>
        <v>1</v>
      </c>
      <c r="Y92" s="67">
        <f t="shared" si="53"/>
        <v>23.299600000000002</v>
      </c>
      <c r="Z92" s="67">
        <f t="shared" si="54"/>
        <v>1.6E-2</v>
      </c>
      <c r="AA92" s="67">
        <f t="shared" si="55"/>
        <v>23.283600000000003</v>
      </c>
      <c r="AB92" s="64" t="e">
        <f>VLOOKUP(A92,Enforcements!$C$7:$K$21,8,0)</f>
        <v>#N/A</v>
      </c>
      <c r="AC92" s="60" t="e">
        <f>VLOOKUP(A92,Enforcements!$C$7:$E$21,3,0)</f>
        <v>#N/A</v>
      </c>
      <c r="AD92" s="61" t="str">
        <f t="shared" si="56"/>
        <v>0180-01</v>
      </c>
      <c r="AE92" s="91" t="str">
        <f t="shared" si="42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92" s="88" t="str">
        <f t="shared" si="43"/>
        <v>"C:\Program Files (x86)\AstroGrep\AstroGrep.exe" /spath="%USERPROFILE%\AppData\Local\Temp\OnboardLogs" /stypes="app*4013*20161101*" /stext=" 21:.+((SYSTEM_STATE.+slice.+state.+changed )|(ment ac)|(system.+state.+changed )|(\[timeout)|(PRM\|1\|D)|(kpr)|(kdp)|(\|lc)|(penalty))" /e /r /s</v>
      </c>
      <c r="AG92" s="1" t="str">
        <f t="shared" si="57"/>
        <v>EC</v>
      </c>
      <c r="AH92" s="92" t="str">
        <f t="shared" si="44"/>
        <v>"%USERPROFILE%\Documents\GitHub\eaglep3\Utilities\RefineRTDCRunTimes.py" --tripid 180-01 --locoid 4013 --swversion DE.1.0.8.0 --startMP 204:232996 --initTime 2016-11-01T14:13:39 --startdatetime 2016-11-01T14:26:06 --delay 1 --endMP 204:160 --enddatetime 2016-11-01T15:08:47 --enforcementcount 0 &gt;&gt;C:\Users\stu\Documents\GitHub\eaglep3-reporting\EC\2016-11-01-refined-times.txt</v>
      </c>
      <c r="AI9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{"issue":{"subject":"","project_id":79,"tracker_id":40,"status_id":1,"priority_id":2,"assigned_to_id":23,"start_date":"2016-11-01","description":"","custom_fields":[{"id":1,"name":"Subdivision","value":"EC"},{"id":4,"name":"Milepost","value":"0.016"},{"id":17,"name":"Train ID","value":"180-01"},{"id":16,"name":"Locomotive ID","value":"4013"},{"id":130,"name":"Impact","value":""},{"id":150,"name":"Time of Event (Mountain Time)","value":"15:08:47"},{"id":151,"name":"Denver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500</v>
      </c>
      <c r="B93" s="7">
        <v>4022</v>
      </c>
      <c r="C93" s="22" t="s">
        <v>253</v>
      </c>
      <c r="D93" s="22" t="s">
        <v>641</v>
      </c>
      <c r="E93" s="13">
        <v>42675.579224537039</v>
      </c>
      <c r="F93" s="13">
        <v>42675.580150462964</v>
      </c>
      <c r="G93" s="7">
        <v>1</v>
      </c>
      <c r="H93" s="13" t="s">
        <v>239</v>
      </c>
      <c r="I93" s="13">
        <v>42675.605069444442</v>
      </c>
      <c r="J93" s="7">
        <v>0</v>
      </c>
      <c r="K93" s="112" t="str">
        <f t="shared" si="46"/>
        <v>4021/4022</v>
      </c>
      <c r="L93" s="22" t="str">
        <f>VLOOKUP(A93,'Trips&amp;Operators'!$C$1:$E$10000,3,FALSE)</f>
        <v>YOUNG</v>
      </c>
      <c r="M93" s="6">
        <f t="shared" si="47"/>
        <v>2.491898147854954E-2</v>
      </c>
      <c r="N93" s="7"/>
      <c r="O93" s="7"/>
      <c r="P93" s="7">
        <f>24*60*SUM($M93:$M93)</f>
        <v>35.883333329111338</v>
      </c>
      <c r="Q93" s="23"/>
      <c r="R93" s="23" t="s">
        <v>795</v>
      </c>
      <c r="S93" s="35">
        <f t="shared" si="48"/>
        <v>1</v>
      </c>
      <c r="T93" s="50" t="str">
        <f t="shared" si="4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12:54:05-0600',mode:absolute,to:'2016-11-01 15:31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3" s="52" t="str">
        <f t="shared" si="51"/>
        <v>Y</v>
      </c>
      <c r="X93" s="177">
        <f t="shared" ref="X93:X97" si="59">VALUE(LEFT(AD93,4))-VALUE(LEFT(AD92,4))</f>
        <v>1</v>
      </c>
      <c r="Y93" s="67">
        <f t="shared" si="53"/>
        <v>1.9134</v>
      </c>
      <c r="Z93" s="67">
        <f t="shared" si="54"/>
        <v>23.3291</v>
      </c>
      <c r="AA93" s="67">
        <f t="shared" si="55"/>
        <v>21.415700000000001</v>
      </c>
      <c r="AB93" s="64" t="e">
        <f>VLOOKUP(A93,Enforcements!$C$7:$K$21,8,0)</f>
        <v>#N/A</v>
      </c>
      <c r="AC93" s="60" t="e">
        <f>VLOOKUP(A93,Enforcements!$C$7:$E$21,3,0)</f>
        <v>#N/A</v>
      </c>
      <c r="AD93" s="61" t="str">
        <f t="shared" si="56"/>
        <v>0181-01</v>
      </c>
      <c r="AE93" s="91" t="str">
        <f t="shared" si="42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93" s="88" t="str">
        <f t="shared" si="43"/>
        <v>"C:\Program Files (x86)\AstroGrep\AstroGrep.exe" /spath="%USERPROFILE%\AppData\Local\Temp\OnboardLogs" /stypes="app*4022*20161101*" /stext=" 20:.+((SYSTEM_STATE.+slice.+state.+changed )|(ment ac)|(system.+state.+changed )|(\[timeout)|(PRM\|1\|D)|(kpr)|(kdp)|(\|lc)|(penalty))" /e /r /s</v>
      </c>
      <c r="AG93" s="1" t="str">
        <f t="shared" si="57"/>
        <v>EC</v>
      </c>
      <c r="AH93" s="92" t="str">
        <f t="shared" si="44"/>
        <v>"%USERPROFILE%\Documents\GitHub\eaglep3\Utilities\RefineRTDCRunTimes.py" --tripid 181-01 --locoid 4022 --swversion DE.1.0.8.0 --startMP 204:19134 --initTime 2016-11-01T13:54:05 --startdatetime 2016-11-01T13:55:25 --delay 1 --endMP 204:233291 --enddatetime 2016-11-01T14:31:18 --enforcementcount 0 &gt;&gt;C:\Users\stu\Documents\GitHub\eaglep3-reporting\EC\2016-11-01-refined-times.txt</v>
      </c>
      <c r="AI93" s="122" t="str">
        <f t="shared" si="45"/>
        <v>echo {"issue":{"subject":"DUS 9A/9B were reverse, route not ready","project_id":79,"tracker_id":40,"status_id":1,"priority_id":2,"assigned_to_id":23,"start_date":"2016-11-01","description":"Run couldn't leave DUS, had to go ATC. See title","custom_fields":[{"id":1,"name":"Subdivision","value":"EC"},{"id":4,"name":"Milepost","value":"23.3291"},{"id":17,"name":"Train ID","value":"181-01"},{"id":16,"name":"Locomotive ID","value":"4022"},{"id":130,"name":"Impact","value":"Unexpected Cut-Out or Disengaged"},{"id":150,"name":"Time of Event (Mountain Time)","value":"14:31:18"},{"id":151,"name":"Denver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3" s="53" t="s">
        <v>791</v>
      </c>
      <c r="AK93" s="53" t="s">
        <v>131</v>
      </c>
      <c r="AL93" s="53" t="s">
        <v>130</v>
      </c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507</v>
      </c>
      <c r="B94" s="7">
        <v>4021</v>
      </c>
      <c r="C94" s="22" t="s">
        <v>253</v>
      </c>
      <c r="D94" s="22" t="s">
        <v>226</v>
      </c>
      <c r="E94" s="13">
        <v>42675.606990740744</v>
      </c>
      <c r="F94" s="13">
        <v>42675.612025462964</v>
      </c>
      <c r="G94" s="7">
        <v>1</v>
      </c>
      <c r="H94" s="13" t="s">
        <v>642</v>
      </c>
      <c r="I94" s="13">
        <v>42675.642187500001</v>
      </c>
      <c r="J94" s="7">
        <v>0</v>
      </c>
      <c r="K94" s="112" t="str">
        <f t="shared" si="46"/>
        <v>4021/4022</v>
      </c>
      <c r="L94" s="22" t="str">
        <f>VLOOKUP(A94,'Trips&amp;Operators'!$C$1:$E$10000,3,FALSE)</f>
        <v>YOUNG</v>
      </c>
      <c r="M94" s="6">
        <f t="shared" si="47"/>
        <v>3.0162037037371192E-2</v>
      </c>
      <c r="N94" s="7">
        <f t="shared" ref="N94:N125" si="60">24*60*SUM($M94:$M94)</f>
        <v>43.433333333814517</v>
      </c>
      <c r="O94" s="7"/>
      <c r="P94" s="7"/>
      <c r="Q94" s="23"/>
      <c r="R94" s="23"/>
      <c r="S94" s="35">
        <f t="shared" si="48"/>
        <v>1</v>
      </c>
      <c r="T94" s="50" t="str">
        <f t="shared" si="4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13:34:04-0600',mode:absolute,to:'2016-11-01 16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4" s="52" t="str">
        <f t="shared" si="51"/>
        <v>N</v>
      </c>
      <c r="X94" s="177">
        <f t="shared" si="59"/>
        <v>1</v>
      </c>
      <c r="Y94" s="67">
        <f t="shared" si="53"/>
        <v>23.297699999999999</v>
      </c>
      <c r="Z94" s="67">
        <f t="shared" si="54"/>
        <v>1.8100000000000002E-2</v>
      </c>
      <c r="AA94" s="67">
        <f t="shared" si="55"/>
        <v>23.279599999999999</v>
      </c>
      <c r="AB94" s="64" t="e">
        <f>VLOOKUP(A94,Enforcements!$C$7:$K$21,8,0)</f>
        <v>#N/A</v>
      </c>
      <c r="AC94" s="60" t="e">
        <f>VLOOKUP(A94,Enforcements!$C$7:$E$21,3,0)</f>
        <v>#N/A</v>
      </c>
      <c r="AD94" s="61" t="str">
        <f t="shared" si="56"/>
        <v>0182-01</v>
      </c>
      <c r="AE94" s="91" t="str">
        <f t="shared" si="42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94" s="88" t="str">
        <f t="shared" si="43"/>
        <v>"C:\Program Files (x86)\AstroGrep\AstroGrep.exe" /spath="%USERPROFILE%\AppData\Local\Temp\OnboardLogs" /stypes="app*4021*20161101*" /stext=" 21:.+((SYSTEM_STATE.+slice.+state.+changed )|(ment ac)|(system.+state.+changed )|(\[timeout)|(PRM\|1\|D)|(kpr)|(kdp)|(\|lc)|(penalty))" /e /r /s</v>
      </c>
      <c r="AG94" s="1" t="str">
        <f t="shared" si="57"/>
        <v>EC</v>
      </c>
      <c r="AH94" s="92" t="str">
        <f t="shared" si="44"/>
        <v>"%USERPROFILE%\Documents\GitHub\eaglep3\Utilities\RefineRTDCRunTimes.py" --tripid 182-01 --locoid 4021 --swversion DE.1.0.8.0 --startMP 204:232977 --initTime 2016-11-01T14:34:04 --startdatetime 2016-11-01T14:41:19 --delay 1 --endMP 204:181 --enddatetime 2016-11-01T15:24:45 --enforcementcount 0 &gt;&gt;C:\Users\stu\Documents\GitHub\eaglep3-reporting\EC\2016-11-01-refined-times.txt</v>
      </c>
      <c r="AI9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{"issue":{"subject":"","project_id":79,"tracker_id":40,"status_id":1,"priority_id":2,"assigned_to_id":23,"start_date":"2016-11-01","description":"","custom_fields":[{"id":1,"name":"Subdivision","value":"EC"},{"id":4,"name":"Milepost","value":"0.0181"},{"id":17,"name":"Train ID","value":"182-01"},{"id":16,"name":"Locomotive ID","value":"4021"},{"id":130,"name":"Impact","value":""},{"id":150,"name":"Time of Event (Mountain Time)","value":"15:24:45"},{"id":151,"name":"Denver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7" t="s">
        <v>503</v>
      </c>
      <c r="B95" s="7">
        <v>4038</v>
      </c>
      <c r="C95" s="22" t="s">
        <v>253</v>
      </c>
      <c r="D95" s="22" t="s">
        <v>274</v>
      </c>
      <c r="E95" s="13">
        <v>42675.582928240743</v>
      </c>
      <c r="F95" s="13">
        <v>42675.586030092592</v>
      </c>
      <c r="G95" s="7">
        <v>1</v>
      </c>
      <c r="H95" s="13" t="s">
        <v>619</v>
      </c>
      <c r="I95" s="13">
        <v>42675.611585648148</v>
      </c>
      <c r="J95" s="7">
        <v>0</v>
      </c>
      <c r="K95" s="112" t="str">
        <f t="shared" si="46"/>
        <v>4037/4038</v>
      </c>
      <c r="L95" s="22" t="str">
        <f>VLOOKUP(A95,'Trips&amp;Operators'!$C$1:$E$10000,3,FALSE)</f>
        <v>CLARK</v>
      </c>
      <c r="M95" s="6">
        <f t="shared" si="47"/>
        <v>2.5555555555911269E-2</v>
      </c>
      <c r="N95" s="7">
        <f t="shared" si="60"/>
        <v>36.800000000512227</v>
      </c>
      <c r="O95" s="7"/>
      <c r="P95" s="7"/>
      <c r="Q95" s="23"/>
      <c r="R95" s="23"/>
      <c r="S95" s="35">
        <f t="shared" si="48"/>
        <v>1</v>
      </c>
      <c r="T95" s="50" t="str">
        <f t="shared" si="4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12:59:25-0600',mode:absolute,to:'2016-11-01 15:40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5" s="52" t="str">
        <f t="shared" si="51"/>
        <v>N</v>
      </c>
      <c r="X95" s="177">
        <f t="shared" si="59"/>
        <v>1</v>
      </c>
      <c r="Y95" s="67">
        <f t="shared" si="53"/>
        <v>4.82E-2</v>
      </c>
      <c r="Z95" s="67">
        <f t="shared" si="54"/>
        <v>23.3308</v>
      </c>
      <c r="AA95" s="67">
        <f t="shared" si="55"/>
        <v>23.282599999999999</v>
      </c>
      <c r="AB95" s="64" t="e">
        <f>VLOOKUP(A95,Enforcements!$C$7:$K$21,8,0)</f>
        <v>#N/A</v>
      </c>
      <c r="AC95" s="60" t="e">
        <f>VLOOKUP(A95,Enforcements!$C$7:$E$21,3,0)</f>
        <v>#N/A</v>
      </c>
      <c r="AD95" s="61" t="str">
        <f t="shared" si="56"/>
        <v>0183-01</v>
      </c>
      <c r="AE95" s="91" t="str">
        <f t="shared" si="42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95" s="88" t="str">
        <f t="shared" si="43"/>
        <v>"C:\Program Files (x86)\AstroGrep\AstroGrep.exe" /spath="%USERPROFILE%\AppData\Local\Temp\OnboardLogs" /stypes="app*4038*20161101*" /stext=" 20:.+((SYSTEM_STATE.+slice.+state.+changed )|(ment ac)|(system.+state.+changed )|(\[timeout)|(PRM\|1\|D)|(kpr)|(kdp)|(\|lc)|(penalty))" /e /r /s</v>
      </c>
      <c r="AG95" s="1" t="str">
        <f t="shared" si="57"/>
        <v>EC</v>
      </c>
      <c r="AH95" s="92" t="str">
        <f t="shared" si="44"/>
        <v>"%USERPROFILE%\Documents\GitHub\eaglep3\Utilities\RefineRTDCRunTimes.py" --tripid 183-01 --locoid 4038 --swversion DE.1.0.8.0 --startMP 204:482 --initTime 2016-11-01T13:59:25 --startdatetime 2016-11-01T14:03:53 --delay 1 --endMP 204:233308 --enddatetime 2016-11-01T14:40:41 --enforcementcount 0 &gt;&gt;C:\Users\stu\Documents\GitHub\eaglep3-reporting\EC\2016-11-01-refined-times.txt</v>
      </c>
      <c r="AI9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{"issue":{"subject":"","project_id":79,"tracker_id":40,"status_id":1,"priority_id":2,"assigned_to_id":23,"start_date":"2016-11-01","description":"","custom_fields":[{"id":1,"name":"Subdivision","value":"EC"},{"id":4,"name":"Milepost","value":"23.3308"},{"id":17,"name":"Train ID","value":"183-01"},{"id":16,"name":"Locomotive ID","value":"4038"},{"id":130,"name":"Impact","value":""},{"id":150,"name":"Time of Event (Mountain Time)","value":"14:40:41"},{"id":151,"name":"Denver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7" t="s">
        <v>510</v>
      </c>
      <c r="B96" s="7">
        <v>4037</v>
      </c>
      <c r="C96" s="22" t="s">
        <v>253</v>
      </c>
      <c r="D96" s="22" t="s">
        <v>272</v>
      </c>
      <c r="E96" s="13">
        <v>42675.619375000002</v>
      </c>
      <c r="F96" s="13">
        <v>42675.622523148151</v>
      </c>
      <c r="G96" s="7">
        <v>1</v>
      </c>
      <c r="H96" s="13" t="s">
        <v>243</v>
      </c>
      <c r="I96" s="13">
        <v>42675.649918981479</v>
      </c>
      <c r="J96" s="7">
        <v>0</v>
      </c>
      <c r="K96" s="112" t="str">
        <f t="shared" si="46"/>
        <v>4037/4038</v>
      </c>
      <c r="L96" s="22" t="str">
        <f>VLOOKUP(A96,'Trips&amp;Operators'!$C$1:$E$10000,3,FALSE)</f>
        <v>CLARK</v>
      </c>
      <c r="M96" s="6">
        <f t="shared" si="47"/>
        <v>2.7395833327318542E-2</v>
      </c>
      <c r="N96" s="7">
        <f t="shared" si="60"/>
        <v>39.4499999913387</v>
      </c>
      <c r="O96" s="7"/>
      <c r="P96" s="7"/>
      <c r="Q96" s="23"/>
      <c r="R96" s="23"/>
      <c r="S96" s="35">
        <f t="shared" si="48"/>
        <v>1</v>
      </c>
      <c r="T96" s="50" t="str">
        <f t="shared" si="4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13:51:54-0600',mode:absolute,to:'2016-11-01 16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6" s="52" t="str">
        <f t="shared" si="51"/>
        <v>N</v>
      </c>
      <c r="X96" s="177">
        <f t="shared" si="59"/>
        <v>1</v>
      </c>
      <c r="Y96" s="67">
        <f t="shared" si="53"/>
        <v>23.300999999999998</v>
      </c>
      <c r="Z96" s="67">
        <f t="shared" si="54"/>
        <v>1.67E-2</v>
      </c>
      <c r="AA96" s="67">
        <f t="shared" si="55"/>
        <v>23.284299999999998</v>
      </c>
      <c r="AB96" s="64" t="e">
        <f>VLOOKUP(A96,Enforcements!$C$7:$K$21,8,0)</f>
        <v>#N/A</v>
      </c>
      <c r="AC96" s="60" t="e">
        <f>VLOOKUP(A96,Enforcements!$C$7:$E$21,3,0)</f>
        <v>#N/A</v>
      </c>
      <c r="AD96" s="61" t="str">
        <f t="shared" si="56"/>
        <v>0184-01</v>
      </c>
      <c r="AE96" s="91" t="str">
        <f t="shared" si="42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96" s="88" t="str">
        <f t="shared" si="43"/>
        <v>"C:\Program Files (x86)\AstroGrep\AstroGrep.exe" /spath="%USERPROFILE%\AppData\Local\Temp\OnboardLogs" /stypes="app*4037*20161101*" /stext=" 21:.+((SYSTEM_STATE.+slice.+state.+changed )|(ment ac)|(system.+state.+changed )|(\[timeout)|(PRM\|1\|D)|(kpr)|(kdp)|(\|lc)|(penalty))" /e /r /s</v>
      </c>
      <c r="AG96" s="1" t="str">
        <f t="shared" si="57"/>
        <v>EC</v>
      </c>
      <c r="AH96" s="92" t="str">
        <f t="shared" si="44"/>
        <v>"%USERPROFILE%\Documents\GitHub\eaglep3\Utilities\RefineRTDCRunTimes.py" --tripid 184-01 --locoid 4037 --swversion DE.1.0.8.0 --startMP 204:233010 --initTime 2016-11-01T14:51:54 --startdatetime 2016-11-01T14:56:26 --delay 1 --endMP 204:167 --enddatetime 2016-11-01T15:35:53 --enforcementcount 0 &gt;&gt;C:\Users\stu\Documents\GitHub\eaglep3-reporting\EC\2016-11-01-refined-times.txt</v>
      </c>
      <c r="AI96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{"issue":{"subject":"","project_id":79,"tracker_id":40,"status_id":1,"priority_id":2,"assigned_to_id":23,"start_date":"2016-11-01","description":"","custom_fields":[{"id":1,"name":"Subdivision","value":"EC"},{"id":4,"name":"Milepost","value":"0.0167"},{"id":17,"name":"Train ID","value":"184-01"},{"id":16,"name":"Locomotive ID","value":"4037"},{"id":130,"name":"Impact","value":""},{"id":150,"name":"Time of Event (Mountain Time)","value":"15:35:53"},{"id":151,"name":"Denver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504</v>
      </c>
      <c r="B97" s="7">
        <v>4029</v>
      </c>
      <c r="C97" s="22" t="s">
        <v>253</v>
      </c>
      <c r="D97" s="22" t="s">
        <v>211</v>
      </c>
      <c r="E97" s="13">
        <v>42675.589594907404</v>
      </c>
      <c r="F97" s="13">
        <v>42675.594247685185</v>
      </c>
      <c r="G97" s="7">
        <v>1</v>
      </c>
      <c r="H97" s="13" t="s">
        <v>313</v>
      </c>
      <c r="I97" s="13">
        <v>42675.617893518516</v>
      </c>
      <c r="J97" s="7">
        <v>0</v>
      </c>
      <c r="K97" s="112" t="str">
        <f t="shared" si="46"/>
        <v>4029/4030</v>
      </c>
      <c r="L97" s="22" t="str">
        <f>VLOOKUP(A97,'Trips&amp;Operators'!$C$1:$E$10000,3,FALSE)</f>
        <v>ROMERO</v>
      </c>
      <c r="M97" s="6">
        <f t="shared" si="47"/>
        <v>2.364583333110204E-2</v>
      </c>
      <c r="N97" s="7">
        <f t="shared" si="60"/>
        <v>34.049999996786937</v>
      </c>
      <c r="O97" s="7"/>
      <c r="P97" s="7"/>
      <c r="Q97" s="23"/>
      <c r="R97" s="23"/>
      <c r="S97" s="35">
        <f t="shared" si="48"/>
        <v>1</v>
      </c>
      <c r="T97" s="50" t="str">
        <f t="shared" si="4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13:09:01-0600',mode:absolute,to:'2016-11-01 15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51"/>
        <v>N</v>
      </c>
      <c r="X97" s="177">
        <f t="shared" si="59"/>
        <v>1</v>
      </c>
      <c r="Y97" s="67">
        <f t="shared" si="53"/>
        <v>4.5499999999999999E-2</v>
      </c>
      <c r="Z97" s="67">
        <f t="shared" si="54"/>
        <v>23.3276</v>
      </c>
      <c r="AA97" s="67">
        <f t="shared" si="55"/>
        <v>23.2821</v>
      </c>
      <c r="AB97" s="64" t="e">
        <f>VLOOKUP(A97,Enforcements!$C$7:$K$21,8,0)</f>
        <v>#N/A</v>
      </c>
      <c r="AC97" s="60" t="e">
        <f>VLOOKUP(A97,Enforcements!$C$7:$E$21,3,0)</f>
        <v>#N/A</v>
      </c>
      <c r="AD97" s="61" t="str">
        <f t="shared" si="56"/>
        <v>0185-01</v>
      </c>
      <c r="AE97" s="91" t="str">
        <f t="shared" si="42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97" s="88" t="str">
        <f t="shared" si="43"/>
        <v>"C:\Program Files (x86)\AstroGrep\AstroGrep.exe" /spath="%USERPROFILE%\AppData\Local\Temp\OnboardLogs" /stypes="app*4029*20161101*" /stext=" 20:.+((SYSTEM_STATE.+slice.+state.+changed )|(ment ac)|(system.+state.+changed )|(\[timeout)|(PRM\|1\|D)|(kpr)|(kdp)|(\|lc)|(penalty))" /e /r /s</v>
      </c>
      <c r="AG97" s="1" t="str">
        <f t="shared" si="57"/>
        <v>EC</v>
      </c>
      <c r="AH97" s="92" t="str">
        <f t="shared" si="44"/>
        <v>"%USERPROFILE%\Documents\GitHub\eaglep3\Utilities\RefineRTDCRunTimes.py" --tripid 185-01 --locoid 4029 --swversion DE.1.0.8.0 --startMP 204:455 --initTime 2016-11-01T14:09:01 --startdatetime 2016-11-01T14:15:43 --delay 1 --endMP 204:233276 --enddatetime 2016-11-01T14:49:46 --enforcementcount 0 &gt;&gt;C:\Users\stu\Documents\GitHub\eaglep3-reporting\EC\2016-11-01-refined-times.txt</v>
      </c>
      <c r="AI9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{"issue":{"subject":"","project_id":79,"tracker_id":40,"status_id":1,"priority_id":2,"assigned_to_id":23,"start_date":"2016-11-01","description":"","custom_fields":[{"id":1,"name":"Subdivision","value":"EC"},{"id":4,"name":"Milepost","value":"23.3276"},{"id":17,"name":"Train ID","value":"185-01"},{"id":16,"name":"Locomotive ID","value":"4029"},{"id":130,"name":"Impact","value":""},{"id":150,"name":"Time of Event (Mountain Time)","value":"14:49:46"},{"id":151,"name":"Denver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398</v>
      </c>
      <c r="B98" s="7">
        <v>4030</v>
      </c>
      <c r="C98" s="22" t="s">
        <v>253</v>
      </c>
      <c r="D98" s="22" t="s">
        <v>284</v>
      </c>
      <c r="E98" s="13">
        <v>42675.629027777781</v>
      </c>
      <c r="F98" s="13">
        <v>42675.632997685185</v>
      </c>
      <c r="G98" s="7">
        <v>1</v>
      </c>
      <c r="H98" s="13" t="s">
        <v>643</v>
      </c>
      <c r="I98" s="13">
        <v>42675.658368055556</v>
      </c>
      <c r="J98" s="7">
        <v>0</v>
      </c>
      <c r="K98" s="112" t="str">
        <f t="shared" si="46"/>
        <v>4029/4030</v>
      </c>
      <c r="L98" s="22" t="str">
        <f>VLOOKUP(A98,'Trips&amp;Operators'!$C$1:$E$10000,3,FALSE)</f>
        <v>ROMERO</v>
      </c>
      <c r="M98" s="6">
        <f t="shared" si="47"/>
        <v>2.5370370371092577E-2</v>
      </c>
      <c r="N98" s="7">
        <f t="shared" si="60"/>
        <v>36.53333333437331</v>
      </c>
      <c r="O98" s="7"/>
      <c r="P98" s="7"/>
      <c r="Q98" s="23"/>
      <c r="R98" s="23"/>
      <c r="S98" s="35">
        <f t="shared" si="48"/>
        <v>1</v>
      </c>
      <c r="T98" s="50" t="str">
        <f t="shared" si="4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14:05:48-0600',mode:absolute,to:'2016-11-01 16:48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51"/>
        <v>N</v>
      </c>
      <c r="X98" s="177">
        <f t="shared" ref="X98:X129" si="61">VALUE(LEFT(AD98,4))-VALUE(LEFT(AD97,4))</f>
        <v>1</v>
      </c>
      <c r="Y98" s="67">
        <f t="shared" si="53"/>
        <v>23.2973</v>
      </c>
      <c r="Z98" s="67">
        <f t="shared" si="54"/>
        <v>2.6700000000000002E-2</v>
      </c>
      <c r="AA98" s="67">
        <f t="shared" si="55"/>
        <v>23.270599999999998</v>
      </c>
      <c r="AB98" s="64" t="e">
        <f>VLOOKUP(A98,Enforcements!$C$7:$K$21,8,0)</f>
        <v>#N/A</v>
      </c>
      <c r="AC98" s="60" t="e">
        <f>VLOOKUP(A98,Enforcements!$C$7:$E$21,3,0)</f>
        <v>#N/A</v>
      </c>
      <c r="AD98" s="61" t="str">
        <f t="shared" si="56"/>
        <v>0186-01</v>
      </c>
      <c r="AE98" s="91" t="str">
        <f t="shared" si="42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98" s="88" t="str">
        <f t="shared" si="43"/>
        <v>"C:\Program Files (x86)\AstroGrep\AstroGrep.exe" /spath="%USERPROFILE%\AppData\Local\Temp\OnboardLogs" /stypes="app*4030*20161101*" /stext=" 21:.+((SYSTEM_STATE.+slice.+state.+changed )|(ment ac)|(system.+state.+changed )|(\[timeout)|(PRM\|1\|D)|(kpr)|(kdp)|(\|lc)|(penalty))" /e /r /s</v>
      </c>
      <c r="AG98" s="1" t="str">
        <f t="shared" si="57"/>
        <v>EC</v>
      </c>
      <c r="AH98" s="92" t="str">
        <f t="shared" si="44"/>
        <v>"%USERPROFILE%\Documents\GitHub\eaglep3\Utilities\RefineRTDCRunTimes.py" --tripid 186-01 --locoid 4030 --swversion DE.1.0.8.0 --startMP 204:232973 --initTime 2016-11-01T15:05:48 --startdatetime 2016-11-01T15:11:31 --delay 1 --endMP 204:267 --enddatetime 2016-11-01T15:48:03 --enforcementcount 0 &gt;&gt;C:\Users\stu\Documents\GitHub\eaglep3-reporting\EC\2016-11-01-refined-times.txt</v>
      </c>
      <c r="AI9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{"issue":{"subject":"","project_id":79,"tracker_id":40,"status_id":1,"priority_id":2,"assigned_to_id":23,"start_date":"2016-11-01","description":"","custom_fields":[{"id":1,"name":"Subdivision","value":"EC"},{"id":4,"name":"Milepost","value":"0.0267"},{"id":17,"name":"Train ID","value":"186-01"},{"id":16,"name":"Locomotive ID","value":"4030"},{"id":130,"name":"Impact","value":""},{"id":150,"name":"Time of Event (Mountain Time)","value":"15:48:03"},{"id":151,"name":"Denver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506</v>
      </c>
      <c r="B99" s="7">
        <v>4007</v>
      </c>
      <c r="C99" s="22" t="s">
        <v>253</v>
      </c>
      <c r="D99" s="22" t="s">
        <v>242</v>
      </c>
      <c r="E99" s="13">
        <v>42675.599965277775</v>
      </c>
      <c r="F99" s="13">
        <v>42675.604479166665</v>
      </c>
      <c r="G99" s="7">
        <v>1</v>
      </c>
      <c r="H99" s="13" t="s">
        <v>644</v>
      </c>
      <c r="I99" s="13">
        <v>42675.629340277781</v>
      </c>
      <c r="J99" s="7">
        <v>0</v>
      </c>
      <c r="K99" s="112" t="str">
        <f t="shared" si="46"/>
        <v>4007/4008</v>
      </c>
      <c r="L99" s="22" t="str">
        <f>VLOOKUP(A99,'Trips&amp;Operators'!$C$1:$E$10000,3,FALSE)</f>
        <v>BARTLETT</v>
      </c>
      <c r="M99" s="6">
        <f t="shared" si="47"/>
        <v>2.4861111116479151E-2</v>
      </c>
      <c r="N99" s="7">
        <f t="shared" si="60"/>
        <v>35.800000007729977</v>
      </c>
      <c r="O99" s="7"/>
      <c r="P99" s="7"/>
      <c r="Q99" s="23"/>
      <c r="R99" s="23"/>
      <c r="S99" s="35">
        <f t="shared" si="48"/>
        <v>1</v>
      </c>
      <c r="T99" s="50" t="str">
        <f t="shared" si="4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13:23:57-0600',mode:absolute,to:'2016-11-01 16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99" s="52" t="str">
        <f t="shared" si="51"/>
        <v>N</v>
      </c>
      <c r="X99" s="177">
        <f t="shared" si="61"/>
        <v>1</v>
      </c>
      <c r="Y99" s="67">
        <f t="shared" si="53"/>
        <v>4.5699999999999998E-2</v>
      </c>
      <c r="Z99" s="67">
        <f t="shared" si="54"/>
        <v>23.337800000000001</v>
      </c>
      <c r="AA99" s="67">
        <f t="shared" si="55"/>
        <v>23.292100000000001</v>
      </c>
      <c r="AB99" s="64" t="e">
        <f>VLOOKUP(A99,Enforcements!$C$7:$K$21,8,0)</f>
        <v>#N/A</v>
      </c>
      <c r="AC99" s="60" t="e">
        <f>VLOOKUP(A99,Enforcements!$C$7:$E$21,3,0)</f>
        <v>#N/A</v>
      </c>
      <c r="AD99" s="61" t="str">
        <f t="shared" si="56"/>
        <v>0187-01</v>
      </c>
      <c r="AE99" s="91" t="str">
        <f t="shared" si="42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99" s="88" t="str">
        <f t="shared" si="43"/>
        <v>"C:\Program Files (x86)\AstroGrep\AstroGrep.exe" /spath="%USERPROFILE%\AppData\Local\Temp\OnboardLogs" /stypes="app*4007*20161101*" /stext=" 21:.+((SYSTEM_STATE.+slice.+state.+changed )|(ment ac)|(system.+state.+changed )|(\[timeout)|(PRM\|1\|D)|(kpr)|(kdp)|(\|lc)|(penalty))" /e /r /s</v>
      </c>
      <c r="AG99" s="1" t="str">
        <f t="shared" si="57"/>
        <v>EC</v>
      </c>
      <c r="AH99" s="92" t="str">
        <f t="shared" si="44"/>
        <v>"%USERPROFILE%\Documents\GitHub\eaglep3\Utilities\RefineRTDCRunTimes.py" --tripid 187-01 --locoid 4007 --swversion DE.1.0.8.0 --startMP 204:457 --initTime 2016-11-01T14:23:57 --startdatetime 2016-11-01T14:30:27 --delay 1 --endMP 204:233378 --enddatetime 2016-11-01T15:06:15 --enforcementcount 0 &gt;&gt;C:\Users\stu\Documents\GitHub\eaglep3-reporting\EC\2016-11-01-refined-times.txt</v>
      </c>
      <c r="AI9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{"issue":{"subject":"","project_id":79,"tracker_id":40,"status_id":1,"priority_id":2,"assigned_to_id":23,"start_date":"2016-11-01","description":"","custom_fields":[{"id":1,"name":"Subdivision","value":"EC"},{"id":4,"name":"Milepost","value":"23.3378"},{"id":17,"name":"Train ID","value":"187-01"},{"id":16,"name":"Locomotive ID","value":"4007"},{"id":130,"name":"Impact","value":""},{"id":150,"name":"Time of Event (Mountain Time)","value":"15:06:15"},{"id":151,"name":"Denver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514</v>
      </c>
      <c r="B100" s="7">
        <v>4008</v>
      </c>
      <c r="C100" s="22" t="s">
        <v>253</v>
      </c>
      <c r="D100" s="22" t="s">
        <v>645</v>
      </c>
      <c r="E100" s="13">
        <v>42675.640011574076</v>
      </c>
      <c r="F100" s="13">
        <v>42675.643310185187</v>
      </c>
      <c r="G100" s="7">
        <v>1</v>
      </c>
      <c r="H100" s="13" t="s">
        <v>228</v>
      </c>
      <c r="I100" s="13">
        <v>42675.66978009259</v>
      </c>
      <c r="J100" s="7">
        <v>0</v>
      </c>
      <c r="K100" s="112" t="str">
        <f t="shared" si="46"/>
        <v>4007/4008</v>
      </c>
      <c r="L100" s="22" t="str">
        <f>VLOOKUP(A100,'Trips&amp;Operators'!$C$1:$E$10000,3,FALSE)</f>
        <v>BARTLETT</v>
      </c>
      <c r="M100" s="6">
        <f t="shared" si="47"/>
        <v>2.6469907403225079E-2</v>
      </c>
      <c r="N100" s="7">
        <f t="shared" si="60"/>
        <v>38.116666660644114</v>
      </c>
      <c r="O100" s="7"/>
      <c r="P100" s="7"/>
      <c r="Q100" s="23"/>
      <c r="R100" s="23"/>
      <c r="S100" s="35">
        <f t="shared" si="48"/>
        <v>1</v>
      </c>
      <c r="T100" s="50" t="str">
        <f t="shared" si="4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14:21:37-0600',mode:absolute,to:'2016-11-01 17:04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0" s="52" t="str">
        <f t="shared" si="51"/>
        <v>N</v>
      </c>
      <c r="X100" s="177">
        <f t="shared" si="61"/>
        <v>1</v>
      </c>
      <c r="Y100" s="67">
        <f t="shared" si="53"/>
        <v>23.306999999999999</v>
      </c>
      <c r="Z100" s="67">
        <f t="shared" si="54"/>
        <v>1.5599999999999999E-2</v>
      </c>
      <c r="AA100" s="67">
        <f t="shared" si="55"/>
        <v>23.291399999999999</v>
      </c>
      <c r="AB100" s="64" t="e">
        <f>VLOOKUP(A100,Enforcements!$C$7:$K$21,8,0)</f>
        <v>#N/A</v>
      </c>
      <c r="AC100" s="60" t="e">
        <f>VLOOKUP(A100,Enforcements!$C$7:$E$21,3,0)</f>
        <v>#N/A</v>
      </c>
      <c r="AD100" s="61" t="str">
        <f t="shared" si="56"/>
        <v>0188-01</v>
      </c>
      <c r="AE100" s="91" t="str">
        <f t="shared" si="42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100" s="88" t="str">
        <f t="shared" si="43"/>
        <v>"C:\Program Files (x86)\AstroGrep\AstroGrep.exe" /spath="%USERPROFILE%\AppData\Local\Temp\OnboardLogs" /stypes="app*4008*20161101*" /stext=" 22:.+((SYSTEM_STATE.+slice.+state.+changed )|(ment ac)|(system.+state.+changed )|(\[timeout)|(PRM\|1\|D)|(kpr)|(kdp)|(\|lc)|(penalty))" /e /r /s</v>
      </c>
      <c r="AG100" s="1" t="str">
        <f t="shared" si="57"/>
        <v>EC</v>
      </c>
      <c r="AH100" s="92" t="str">
        <f t="shared" si="44"/>
        <v>"%USERPROFILE%\Documents\GitHub\eaglep3\Utilities\RefineRTDCRunTimes.py" --tripid 188-01 --locoid 4008 --swversion DE.1.0.8.0 --startMP 204:233070 --initTime 2016-11-01T15:21:37 --startdatetime 2016-11-01T15:26:22 --delay 1 --endMP 204:156 --enddatetime 2016-11-01T16:04:29 --enforcementcount 0 &gt;&gt;C:\Users\stu\Documents\GitHub\eaglep3-reporting\EC\2016-11-01-refined-times.txt</v>
      </c>
      <c r="AI10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{"issue":{"subject":"","project_id":79,"tracker_id":40,"status_id":1,"priority_id":2,"assigned_to_id":23,"start_date":"2016-11-01","description":"","custom_fields":[{"id":1,"name":"Subdivision","value":"EC"},{"id":4,"name":"Milepost","value":"0.0156"},{"id":17,"name":"Train ID","value":"188-01"},{"id":16,"name":"Locomotive ID","value":"4008"},{"id":130,"name":"Impact","value":""},{"id":150,"name":"Time of Event (Mountain Time)","value":"16:04:29"},{"id":151,"name":"Denver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509</v>
      </c>
      <c r="B101" s="7">
        <v>4042</v>
      </c>
      <c r="C101" s="22" t="s">
        <v>253</v>
      </c>
      <c r="D101" s="22" t="s">
        <v>232</v>
      </c>
      <c r="E101" s="13">
        <v>42675.611851851849</v>
      </c>
      <c r="F101" s="13">
        <v>42675.614942129629</v>
      </c>
      <c r="G101" s="7">
        <v>4</v>
      </c>
      <c r="H101" s="13" t="s">
        <v>191</v>
      </c>
      <c r="I101" s="13">
        <v>42675.639907407407</v>
      </c>
      <c r="J101" s="7">
        <v>0</v>
      </c>
      <c r="K101" s="112" t="str">
        <f t="shared" si="46"/>
        <v>4041/4042</v>
      </c>
      <c r="L101" s="22" t="str">
        <f>VLOOKUP(A101,'Trips&amp;Operators'!$C$1:$E$10000,3,FALSE)</f>
        <v>HOLCOMB</v>
      </c>
      <c r="M101" s="6">
        <f t="shared" si="47"/>
        <v>2.4965277778392192E-2</v>
      </c>
      <c r="N101" s="7">
        <f t="shared" si="60"/>
        <v>35.950000000884756</v>
      </c>
      <c r="O101" s="7"/>
      <c r="P101" s="7"/>
      <c r="Q101" s="23"/>
      <c r="R101" s="23"/>
      <c r="S101" s="35">
        <f t="shared" si="48"/>
        <v>1</v>
      </c>
      <c r="T101" s="50" t="str">
        <f t="shared" si="4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13:41:04-0600',mode:absolute,to:'2016-11-01 16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1" s="52" t="str">
        <f t="shared" si="51"/>
        <v>N</v>
      </c>
      <c r="X101" s="177">
        <f t="shared" si="61"/>
        <v>1</v>
      </c>
      <c r="Y101" s="67">
        <f t="shared" si="53"/>
        <v>4.4900000000000002E-2</v>
      </c>
      <c r="Z101" s="67">
        <f t="shared" si="54"/>
        <v>23.329699999999999</v>
      </c>
      <c r="AA101" s="67">
        <f t="shared" si="55"/>
        <v>23.284800000000001</v>
      </c>
      <c r="AB101" s="64" t="e">
        <f>VLOOKUP(A101,Enforcements!$C$7:$K$21,8,0)</f>
        <v>#N/A</v>
      </c>
      <c r="AC101" s="60" t="e">
        <f>VLOOKUP(A101,Enforcements!$C$7:$E$21,3,0)</f>
        <v>#N/A</v>
      </c>
      <c r="AD101" s="61" t="str">
        <f t="shared" si="56"/>
        <v>0189-01</v>
      </c>
      <c r="AE101" s="91" t="str">
        <f t="shared" si="42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01" s="88" t="str">
        <f t="shared" si="43"/>
        <v>"C:\Program Files (x86)\AstroGrep\AstroGrep.exe" /spath="%USERPROFILE%\AppData\Local\Temp\OnboardLogs" /stypes="app*4042*20161101*" /stext=" 21:.+((SYSTEM_STATE.+slice.+state.+changed )|(ment ac)|(system.+state.+changed )|(\[timeout)|(PRM\|1\|D)|(kpr)|(kdp)|(\|lc)|(penalty))" /e /r /s</v>
      </c>
      <c r="AG101" s="1" t="str">
        <f t="shared" si="57"/>
        <v>EC</v>
      </c>
      <c r="AH101" s="92" t="str">
        <f t="shared" si="44"/>
        <v>"%USERPROFILE%\Documents\GitHub\eaglep3\Utilities\RefineRTDCRunTimes.py" --tripid 189-01 --locoid 4042 --swversion DE.1.0.8.0 --startMP 204:449 --initTime 2016-11-01T14:41:04 --startdatetime 2016-11-01T14:45:31 --delay 4 --endMP 204:233297 --enddatetime 2016-11-01T15:21:28 --enforcementcount 0 &gt;&gt;C:\Users\stu\Documents\GitHub\eaglep3-reporting\EC\2016-11-01-refined-times.txt</v>
      </c>
      <c r="AI10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{"issue":{"subject":"","project_id":79,"tracker_id":40,"status_id":1,"priority_id":2,"assigned_to_id":23,"start_date":"2016-11-01","description":"","custom_fields":[{"id":1,"name":"Subdivision","value":"EC"},{"id":4,"name":"Milepost","value":"23.3297"},{"id":17,"name":"Train ID","value":"189-01"},{"id":16,"name":"Locomotive ID","value":"4042"},{"id":130,"name":"Impact","value":""},{"id":150,"name":"Time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518</v>
      </c>
      <c r="B102" s="7">
        <v>4041</v>
      </c>
      <c r="C102" s="22" t="s">
        <v>253</v>
      </c>
      <c r="D102" s="22" t="s">
        <v>226</v>
      </c>
      <c r="E102" s="13">
        <v>42675.649456018517</v>
      </c>
      <c r="F102" s="13">
        <v>42675.655092592591</v>
      </c>
      <c r="G102" s="7">
        <v>6</v>
      </c>
      <c r="H102" s="13" t="s">
        <v>203</v>
      </c>
      <c r="I102" s="13">
        <v>42675.686215277776</v>
      </c>
      <c r="J102" s="7">
        <v>0</v>
      </c>
      <c r="K102" s="112" t="str">
        <f t="shared" si="46"/>
        <v>4041/4042</v>
      </c>
      <c r="L102" s="22" t="str">
        <f>VLOOKUP(A102,'Trips&amp;Operators'!$C$1:$E$10000,3,FALSE)</f>
        <v>HOLCOMB</v>
      </c>
      <c r="M102" s="6">
        <f t="shared" si="47"/>
        <v>3.1122685184527654E-2</v>
      </c>
      <c r="N102" s="7">
        <f t="shared" si="60"/>
        <v>44.816666665719822</v>
      </c>
      <c r="O102" s="7"/>
      <c r="P102" s="7"/>
      <c r="Q102" s="23"/>
      <c r="R102" s="23"/>
      <c r="S102" s="35">
        <f t="shared" si="48"/>
        <v>1</v>
      </c>
      <c r="T102" s="50" t="str">
        <f t="shared" si="4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14:35:13-0600',mode:absolute,to:'2016-11-01 17:28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2" s="52" t="str">
        <f t="shared" si="51"/>
        <v>N</v>
      </c>
      <c r="X102" s="177">
        <f t="shared" si="61"/>
        <v>1</v>
      </c>
      <c r="Y102" s="67">
        <f t="shared" si="53"/>
        <v>23.297699999999999</v>
      </c>
      <c r="Z102" s="67">
        <f t="shared" si="54"/>
        <v>1.54E-2</v>
      </c>
      <c r="AA102" s="67">
        <f t="shared" si="55"/>
        <v>23.282299999999999</v>
      </c>
      <c r="AB102" s="64" t="e">
        <f>VLOOKUP(A102,Enforcements!$C$7:$K$21,8,0)</f>
        <v>#N/A</v>
      </c>
      <c r="AC102" s="60" t="e">
        <f>VLOOKUP(A102,Enforcements!$C$7:$E$21,3,0)</f>
        <v>#N/A</v>
      </c>
      <c r="AD102" s="61" t="str">
        <f t="shared" si="56"/>
        <v>0190-01</v>
      </c>
      <c r="AE102" s="91" t="str">
        <f t="shared" si="42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102" s="88" t="str">
        <f t="shared" si="43"/>
        <v>"C:\Program Files (x86)\AstroGrep\AstroGrep.exe" /spath="%USERPROFILE%\AppData\Local\Temp\OnboardLogs" /stypes="app*4041*20161101*" /stext=" 22:.+((SYSTEM_STATE.+slice.+state.+changed )|(ment ac)|(system.+state.+changed )|(\[timeout)|(PRM\|1\|D)|(kpr)|(kdp)|(\|lc)|(penalty))" /e /r /s</v>
      </c>
      <c r="AG102" s="1" t="str">
        <f t="shared" si="57"/>
        <v>EC</v>
      </c>
      <c r="AH102" s="92" t="str">
        <f t="shared" si="44"/>
        <v>"%USERPROFILE%\Documents\GitHub\eaglep3\Utilities\RefineRTDCRunTimes.py" --tripid 190-01 --locoid 4041 --swversion DE.1.0.8.0 --startMP 204:232977 --initTime 2016-11-01T15:35:13 --startdatetime 2016-11-01T15:43:20 --delay 6 --endMP 204:154 --enddatetime 2016-11-01T16:28:09 --enforcementcount 0 &gt;&gt;C:\Users\stu\Documents\GitHub\eaglep3-reporting\EC\2016-11-01-refined-times.txt</v>
      </c>
      <c r="AI10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{"issue":{"subject":"","project_id":79,"tracker_id":40,"status_id":1,"priority_id":2,"assigned_to_id":23,"start_date":"2016-11-01","description":"","custom_fields":[{"id":1,"name":"Subdivision","value":"EC"},{"id":4,"name":"Milepost","value":"0.0154"},{"id":17,"name":"Train ID","value":"190-01"},{"id":16,"name":"Locomotive ID","value":"4041"},{"id":130,"name":"Impact","value":""},{"id":150,"name":"Time of Event (Mountain Time)","value":"16:28:09"},{"id":151,"name":"Denver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511</v>
      </c>
      <c r="B103" s="7">
        <v>4040</v>
      </c>
      <c r="C103" s="22" t="s">
        <v>253</v>
      </c>
      <c r="D103" s="22" t="s">
        <v>236</v>
      </c>
      <c r="E103" s="13">
        <v>42675.621967592589</v>
      </c>
      <c r="F103" s="13">
        <v>42675.625625000001</v>
      </c>
      <c r="G103" s="7">
        <v>1</v>
      </c>
      <c r="H103" s="13" t="s">
        <v>213</v>
      </c>
      <c r="I103" s="13">
        <v>42675.649456018517</v>
      </c>
      <c r="J103" s="7">
        <v>0</v>
      </c>
      <c r="K103" s="112" t="str">
        <f t="shared" si="46"/>
        <v>4039/4040</v>
      </c>
      <c r="L103" s="22" t="str">
        <f>VLOOKUP(A103,'Trips&amp;Operators'!$C$1:$E$10000,3,FALSE)</f>
        <v>HELVIE</v>
      </c>
      <c r="M103" s="6">
        <f t="shared" si="47"/>
        <v>2.3831018515920732E-2</v>
      </c>
      <c r="N103" s="7">
        <f t="shared" si="60"/>
        <v>34.316666662925854</v>
      </c>
      <c r="O103" s="7"/>
      <c r="P103" s="7"/>
      <c r="Q103" s="23"/>
      <c r="R103" s="23"/>
      <c r="S103" s="35">
        <f t="shared" si="48"/>
        <v>1</v>
      </c>
      <c r="T103" s="50" t="str">
        <f t="shared" si="4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13:55:38-0600',mode:absolute,to:'2016-11-01 16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3" s="52" t="str">
        <f t="shared" si="51"/>
        <v>N</v>
      </c>
      <c r="X103" s="177">
        <f t="shared" si="61"/>
        <v>1</v>
      </c>
      <c r="Y103" s="67">
        <f t="shared" si="53"/>
        <v>4.6199999999999998E-2</v>
      </c>
      <c r="Z103" s="67">
        <f t="shared" si="54"/>
        <v>23.329499999999999</v>
      </c>
      <c r="AA103" s="67">
        <f t="shared" si="55"/>
        <v>23.283300000000001</v>
      </c>
      <c r="AB103" s="64" t="e">
        <f>VLOOKUP(A103,Enforcements!$C$7:$K$21,8,0)</f>
        <v>#N/A</v>
      </c>
      <c r="AC103" s="60" t="e">
        <f>VLOOKUP(A103,Enforcements!$C$7:$E$21,3,0)</f>
        <v>#N/A</v>
      </c>
      <c r="AD103" s="61" t="str">
        <f t="shared" si="56"/>
        <v>0191-01</v>
      </c>
      <c r="AE103" s="91" t="str">
        <f t="shared" si="42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03" s="88" t="str">
        <f t="shared" si="43"/>
        <v>"C:\Program Files (x86)\AstroGrep\AstroGrep.exe" /spath="%USERPROFILE%\AppData\Local\Temp\OnboardLogs" /stypes="app*4040*20161101*" /stext=" 21:.+((SYSTEM_STATE.+slice.+state.+changed )|(ment ac)|(system.+state.+changed )|(\[timeout)|(PRM\|1\|D)|(kpr)|(kdp)|(\|lc)|(penalty))" /e /r /s</v>
      </c>
      <c r="AG103" s="1" t="str">
        <f t="shared" si="57"/>
        <v>EC</v>
      </c>
      <c r="AH103" s="92" t="str">
        <f t="shared" si="44"/>
        <v>"%USERPROFILE%\Documents\GitHub\eaglep3\Utilities\RefineRTDCRunTimes.py" --tripid 191-01 --locoid 4040 --swversion DE.1.0.8.0 --startMP 204:462 --initTime 2016-11-01T14:55:38 --startdatetime 2016-11-01T15:00:54 --delay 1 --endMP 204:233295 --enddatetime 2016-11-01T15:35:13 --enforcementcount 0 &gt;&gt;C:\Users\stu\Documents\GitHub\eaglep3-reporting\EC\2016-11-01-refined-times.txt</v>
      </c>
      <c r="AI103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{"issue":{"subject":"","project_id":79,"tracker_id":40,"status_id":1,"priority_id":2,"assigned_to_id":23,"start_date":"2016-11-01","description":"","custom_fields":[{"id":1,"name":"Subdivision","value":"EC"},{"id":4,"name":"Milepost","value":"23.3295"},{"id":17,"name":"Train ID","value":"191-01"},{"id":16,"name":"Locomotive ID","value":"4040"},{"id":130,"name":"Impact","value":""},{"id":150,"name":"Time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522</v>
      </c>
      <c r="B104" s="7">
        <v>4039</v>
      </c>
      <c r="C104" s="22" t="s">
        <v>253</v>
      </c>
      <c r="D104" s="22" t="s">
        <v>287</v>
      </c>
      <c r="E104" s="13">
        <v>42675.661145833335</v>
      </c>
      <c r="F104" s="13">
        <v>42675.664085648146</v>
      </c>
      <c r="G104" s="7">
        <v>1</v>
      </c>
      <c r="H104" s="13" t="s">
        <v>243</v>
      </c>
      <c r="I104" s="13">
        <v>42675.690370370372</v>
      </c>
      <c r="J104" s="7">
        <v>0</v>
      </c>
      <c r="K104" s="112" t="str">
        <f t="shared" si="46"/>
        <v>4039/4040</v>
      </c>
      <c r="L104" s="22" t="str">
        <f>VLOOKUP(A104,'Trips&amp;Operators'!$C$1:$E$10000,3,FALSE)</f>
        <v>HELVIE</v>
      </c>
      <c r="M104" s="6">
        <f t="shared" si="47"/>
        <v>2.6284722225682344E-2</v>
      </c>
      <c r="N104" s="7">
        <f t="shared" si="60"/>
        <v>37.850000004982576</v>
      </c>
      <c r="O104" s="7"/>
      <c r="P104" s="7"/>
      <c r="Q104" s="23"/>
      <c r="R104" s="23"/>
      <c r="S104" s="35">
        <f t="shared" si="48"/>
        <v>1</v>
      </c>
      <c r="T104" s="50" t="str">
        <f t="shared" si="4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14:52:03-0600',mode:absolute,to:'2016-11-01 17:34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4" s="52" t="str">
        <f t="shared" si="51"/>
        <v>N</v>
      </c>
      <c r="X104" s="177">
        <f t="shared" si="61"/>
        <v>1</v>
      </c>
      <c r="Y104" s="67">
        <f t="shared" si="53"/>
        <v>23.2972</v>
      </c>
      <c r="Z104" s="67">
        <f t="shared" si="54"/>
        <v>1.67E-2</v>
      </c>
      <c r="AA104" s="67">
        <f t="shared" si="55"/>
        <v>23.2805</v>
      </c>
      <c r="AB104" s="64" t="e">
        <f>VLOOKUP(A104,Enforcements!$C$7:$K$21,8,0)</f>
        <v>#N/A</v>
      </c>
      <c r="AC104" s="60" t="e">
        <f>VLOOKUP(A104,Enforcements!$C$7:$E$21,3,0)</f>
        <v>#N/A</v>
      </c>
      <c r="AD104" s="61" t="str">
        <f t="shared" si="56"/>
        <v>0192-01</v>
      </c>
      <c r="AE104" s="91" t="str">
        <f t="shared" si="42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104" s="88" t="str">
        <f t="shared" si="43"/>
        <v>"C:\Program Files (x86)\AstroGrep\AstroGrep.exe" /spath="%USERPROFILE%\AppData\Local\Temp\OnboardLogs" /stypes="app*4039*20161101*" /stext=" 22:.+((SYSTEM_STATE.+slice.+state.+changed )|(ment ac)|(system.+state.+changed )|(\[timeout)|(PRM\|1\|D)|(kpr)|(kdp)|(\|lc)|(penalty))" /e /r /s</v>
      </c>
      <c r="AG104" s="1" t="str">
        <f t="shared" si="57"/>
        <v>EC</v>
      </c>
      <c r="AH104" s="92" t="str">
        <f t="shared" si="44"/>
        <v>"%USERPROFILE%\Documents\GitHub\eaglep3\Utilities\RefineRTDCRunTimes.py" --tripid 192-01 --locoid 4039 --swversion DE.1.0.8.0 --startMP 204:232972 --initTime 2016-11-01T15:52:03 --startdatetime 2016-11-01T15:56:17 --delay 1 --endMP 204:167 --enddatetime 2016-11-01T16:34:08 --enforcementcount 0 &gt;&gt;C:\Users\stu\Documents\GitHub\eaglep3-reporting\EC\2016-11-01-refined-times.txt</v>
      </c>
      <c r="AI10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{"issue":{"subject":"","project_id":79,"tracker_id":40,"status_id":1,"priority_id":2,"assigned_to_id":23,"start_date":"2016-11-01","description":"","custom_fields":[{"id":1,"name":"Subdivision","value":"EC"},{"id":4,"name":"Milepost","value":"0.0167"},{"id":17,"name":"Train ID","value":"192-01"},{"id":16,"name":"Locomotive ID","value":"4039"},{"id":130,"name":"Impact","value":""},{"id":150,"name":"Time of Event (Mountain Time)","value":"16:34:08"},{"id":151,"name":"Denver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x14ac:dyDescent="0.25">
      <c r="A105" s="37" t="s">
        <v>513</v>
      </c>
      <c r="B105" s="7">
        <v>4014</v>
      </c>
      <c r="C105" s="22" t="s">
        <v>253</v>
      </c>
      <c r="D105" s="22" t="s">
        <v>259</v>
      </c>
      <c r="E105" s="13">
        <v>42675.632604166669</v>
      </c>
      <c r="F105" s="13">
        <v>42675.635555555556</v>
      </c>
      <c r="G105" s="7">
        <v>1</v>
      </c>
      <c r="H105" s="13" t="s">
        <v>213</v>
      </c>
      <c r="I105" s="13">
        <v>42675.662800925929</v>
      </c>
      <c r="J105" s="7">
        <v>0</v>
      </c>
      <c r="K105" s="112" t="str">
        <f t="shared" si="46"/>
        <v>4013/4014</v>
      </c>
      <c r="L105" s="22" t="str">
        <f>VLOOKUP(A105,'Trips&amp;Operators'!$C$1:$E$10000,3,FALSE)</f>
        <v>MCREYNOLDS</v>
      </c>
      <c r="M105" s="6">
        <f t="shared" si="47"/>
        <v>2.7245370372838806E-2</v>
      </c>
      <c r="N105" s="7">
        <f t="shared" si="60"/>
        <v>39.233333336887881</v>
      </c>
      <c r="O105" s="7"/>
      <c r="P105" s="7"/>
      <c r="Q105" s="23"/>
      <c r="R105" s="23"/>
      <c r="S105" s="35">
        <f t="shared" si="48"/>
        <v>1</v>
      </c>
      <c r="T105" s="50" t="str">
        <f t="shared" si="4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14:10:57-0600',mode:absolute,to:'2016-11-01 16:54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5" s="52" t="str">
        <f t="shared" si="51"/>
        <v>N</v>
      </c>
      <c r="X105" s="177">
        <f t="shared" si="61"/>
        <v>1</v>
      </c>
      <c r="Y105" s="67">
        <f t="shared" si="53"/>
        <v>4.58E-2</v>
      </c>
      <c r="Z105" s="67">
        <f t="shared" si="54"/>
        <v>23.329499999999999</v>
      </c>
      <c r="AA105" s="67">
        <f t="shared" si="55"/>
        <v>23.2837</v>
      </c>
      <c r="AB105" s="64" t="e">
        <f>VLOOKUP(A105,Enforcements!$C$7:$K$21,8,0)</f>
        <v>#N/A</v>
      </c>
      <c r="AC105" s="60" t="e">
        <f>VLOOKUP(A105,Enforcements!$C$7:$E$21,3,0)</f>
        <v>#N/A</v>
      </c>
      <c r="AD105" s="61" t="str">
        <f t="shared" si="56"/>
        <v>0193-01</v>
      </c>
      <c r="AE105" s="91" t="str">
        <f t="shared" si="42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105" s="88" t="str">
        <f t="shared" si="43"/>
        <v>"C:\Program Files (x86)\AstroGrep\AstroGrep.exe" /spath="%USERPROFILE%\AppData\Local\Temp\OnboardLogs" /stypes="app*4014*20161101*" /stext=" 21:.+((SYSTEM_STATE.+slice.+state.+changed )|(ment ac)|(system.+state.+changed )|(\[timeout)|(PRM\|1\|D)|(kpr)|(kdp)|(\|lc)|(penalty))" /e /r /s</v>
      </c>
      <c r="AG105" s="1" t="str">
        <f t="shared" si="57"/>
        <v>EC</v>
      </c>
      <c r="AH105" s="92" t="str">
        <f t="shared" si="44"/>
        <v>"%USERPROFILE%\Documents\GitHub\eaglep3\Utilities\RefineRTDCRunTimes.py" --tripid 193-01 --locoid 4014 --swversion DE.1.0.8.0 --startMP 204:458 --initTime 2016-11-01T15:10:57 --startdatetime 2016-11-01T15:15:12 --delay 1 --endMP 204:233295 --enddatetime 2016-11-01T15:54:26 --enforcementcount 0 &gt;&gt;C:\Users\stu\Documents\GitHub\eaglep3-reporting\EC\2016-11-01-refined-times.txt</v>
      </c>
      <c r="AI10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{"issue":{"subject":"","project_id":79,"tracker_id":40,"status_id":1,"priority_id":2,"assigned_to_id":23,"start_date":"2016-11-01","description":"","custom_fields":[{"id":1,"name":"Subdivision","value":"EC"},{"id":4,"name":"Milepost","value":"23.3295"},{"id":17,"name":"Train ID","value":"193-01"},{"id":16,"name":"Locomotive ID","value":"4014"},{"id":130,"name":"Impact","value":""},{"id":150,"name":"Time of Event (Mountain Time)","value":"15:54:26"},{"id":151,"name":"Denver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91" x14ac:dyDescent="0.25">
      <c r="A106" s="37" t="s">
        <v>524</v>
      </c>
      <c r="B106" s="7">
        <v>4013</v>
      </c>
      <c r="C106" s="22" t="s">
        <v>253</v>
      </c>
      <c r="D106" s="22" t="s">
        <v>250</v>
      </c>
      <c r="E106" s="13">
        <v>42675.664363425924</v>
      </c>
      <c r="F106" s="13">
        <v>42675.674861111111</v>
      </c>
      <c r="G106" s="7">
        <v>1</v>
      </c>
      <c r="H106" s="13" t="s">
        <v>291</v>
      </c>
      <c r="I106" s="13">
        <v>42675.703611111108</v>
      </c>
      <c r="J106" s="7">
        <v>0</v>
      </c>
      <c r="K106" s="112" t="str">
        <f t="shared" si="46"/>
        <v>4013/4014</v>
      </c>
      <c r="L106" s="22" t="str">
        <f>VLOOKUP(A106,'Trips&amp;Operators'!$C$1:$E$10000,3,FALSE)</f>
        <v>MCREYNOLDS</v>
      </c>
      <c r="M106" s="6">
        <f t="shared" si="47"/>
        <v>2.8749999997671694E-2</v>
      </c>
      <c r="N106" s="7">
        <f t="shared" si="60"/>
        <v>41.399999996647239</v>
      </c>
      <c r="O106" s="7"/>
      <c r="P106" s="7"/>
      <c r="Q106" s="23"/>
      <c r="R106" s="23"/>
      <c r="S106" s="35">
        <f t="shared" si="48"/>
        <v>1</v>
      </c>
      <c r="T106" s="50" t="str">
        <f t="shared" si="4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14:56:41-0600',mode:absolute,to:'2016-11-01 17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6" s="52" t="str">
        <f t="shared" si="51"/>
        <v>N</v>
      </c>
      <c r="X106" s="177">
        <f t="shared" si="61"/>
        <v>1</v>
      </c>
      <c r="Y106" s="67">
        <f t="shared" si="53"/>
        <v>23.296900000000001</v>
      </c>
      <c r="Z106" s="67">
        <f t="shared" si="54"/>
        <v>1.5800000000000002E-2</v>
      </c>
      <c r="AA106" s="67">
        <f t="shared" si="55"/>
        <v>23.281100000000002</v>
      </c>
      <c r="AB106" s="64" t="e">
        <f>VLOOKUP(A106,Enforcements!$C$7:$K$21,8,0)</f>
        <v>#N/A</v>
      </c>
      <c r="AC106" s="60" t="e">
        <f>VLOOKUP(A106,Enforcements!$C$7:$E$21,3,0)</f>
        <v>#N/A</v>
      </c>
      <c r="AD106" s="61" t="str">
        <f t="shared" si="56"/>
        <v>0194-01</v>
      </c>
      <c r="AE106" s="91" t="str">
        <f t="shared" si="42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106" s="88" t="str">
        <f t="shared" si="43"/>
        <v>"C:\Program Files (x86)\AstroGrep\AstroGrep.exe" /spath="%USERPROFILE%\AppData\Local\Temp\OnboardLogs" /stypes="app*4013*20161101*" /stext=" 22:.+((SYSTEM_STATE.+slice.+state.+changed )|(ment ac)|(system.+state.+changed )|(\[timeout)|(PRM\|1\|D)|(kpr)|(kdp)|(\|lc)|(penalty))" /e /r /s</v>
      </c>
      <c r="AG106" s="1" t="str">
        <f t="shared" si="57"/>
        <v>EC</v>
      </c>
      <c r="AH106" s="92" t="str">
        <f t="shared" si="44"/>
        <v>"%USERPROFILE%\Documents\GitHub\eaglep3\Utilities\RefineRTDCRunTimes.py" --tripid 194-01 --locoid 4013 --swversion DE.1.0.8.0 --startMP 204:232969 --initTime 2016-11-01T15:56:41 --startdatetime 2016-11-01T16:11:48 --delay 1 --endMP 204:158 --enddatetime 2016-11-01T16:53:12 --enforcementcount 0 &gt;&gt;C:\Users\stu\Documents\GitHub\eaglep3-reporting\EC\2016-11-01-refined-times.txt</v>
      </c>
      <c r="AI106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{"issue":{"subject":"","project_id":79,"tracker_id":40,"status_id":1,"priority_id":2,"assigned_to_id":23,"start_date":"2016-11-01","description":"","custom_fields":[{"id":1,"name":"Subdivision","value":"EC"},{"id":4,"name":"Milepost","value":"0.0158"},{"id":17,"name":"Train ID","value":"194-01"},{"id":16,"name":"Locomotive ID","value":"4013"},{"id":130,"name":"Impact","value":""},{"id":150,"name":"Time of Event (Mountain Time)","value":"16:53:12"},{"id":151,"name":"Denver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x14ac:dyDescent="0.25">
      <c r="A107" s="37" t="s">
        <v>517</v>
      </c>
      <c r="B107" s="7">
        <v>4022</v>
      </c>
      <c r="C107" s="22" t="s">
        <v>253</v>
      </c>
      <c r="D107" s="22" t="s">
        <v>628</v>
      </c>
      <c r="E107" s="13">
        <v>42675.645810185182</v>
      </c>
      <c r="F107" s="13">
        <v>42675.647453703707</v>
      </c>
      <c r="G107" s="7">
        <v>1</v>
      </c>
      <c r="H107" s="13" t="s">
        <v>350</v>
      </c>
      <c r="I107" s="13">
        <v>42675.679039351853</v>
      </c>
      <c r="J107" s="7">
        <v>0</v>
      </c>
      <c r="K107" s="112" t="str">
        <f t="shared" si="46"/>
        <v>4021/4022</v>
      </c>
      <c r="L107" s="22" t="str">
        <f>VLOOKUP(A107,'Trips&amp;Operators'!$C$1:$E$10000,3,FALSE)</f>
        <v>YOUNG</v>
      </c>
      <c r="M107" s="6">
        <f t="shared" si="47"/>
        <v>3.1585648146574385E-2</v>
      </c>
      <c r="N107" s="7">
        <f t="shared" si="60"/>
        <v>45.483333331067115</v>
      </c>
      <c r="O107" s="7"/>
      <c r="P107" s="7"/>
      <c r="Q107" s="23"/>
      <c r="R107" s="23"/>
      <c r="S107" s="35">
        <f t="shared" si="48"/>
        <v>1</v>
      </c>
      <c r="T107" s="50" t="str">
        <f t="shared" si="4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14:29:58-0600',mode:absolute,to:'2016-11-01 17:17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7" s="52" t="str">
        <f t="shared" si="51"/>
        <v>N</v>
      </c>
      <c r="X107" s="177">
        <f t="shared" si="61"/>
        <v>1</v>
      </c>
      <c r="Y107" s="67">
        <f t="shared" si="53"/>
        <v>4.9299999999999997E-2</v>
      </c>
      <c r="Z107" s="67">
        <f t="shared" si="54"/>
        <v>23.334</v>
      </c>
      <c r="AA107" s="67">
        <f t="shared" si="55"/>
        <v>23.284700000000001</v>
      </c>
      <c r="AB107" s="64" t="e">
        <f>VLOOKUP(A107,Enforcements!$C$7:$K$21,8,0)</f>
        <v>#N/A</v>
      </c>
      <c r="AC107" s="60" t="e">
        <f>VLOOKUP(A107,Enforcements!$C$7:$E$21,3,0)</f>
        <v>#N/A</v>
      </c>
      <c r="AD107" s="61" t="str">
        <f t="shared" si="56"/>
        <v>0195-01</v>
      </c>
      <c r="AE107" s="91" t="str">
        <f t="shared" si="42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07" s="88" t="str">
        <f t="shared" si="43"/>
        <v>"C:\Program Files (x86)\AstroGrep\AstroGrep.exe" /spath="%USERPROFILE%\AppData\Local\Temp\OnboardLogs" /stypes="app*4022*20161101*" /stext=" 22:.+((SYSTEM_STATE.+slice.+state.+changed )|(ment ac)|(system.+state.+changed )|(\[timeout)|(PRM\|1\|D)|(kpr)|(kdp)|(\|lc)|(penalty))" /e /r /s</v>
      </c>
      <c r="AG107" s="1" t="str">
        <f t="shared" si="57"/>
        <v>EC</v>
      </c>
      <c r="AH107" s="92" t="str">
        <f t="shared" si="44"/>
        <v>"%USERPROFILE%\Documents\GitHub\eaglep3\Utilities\RefineRTDCRunTimes.py" --tripid 195-01 --locoid 4022 --swversion DE.1.0.8.0 --startMP 204:493 --initTime 2016-11-01T15:29:58 --startdatetime 2016-11-01T15:32:20 --delay 1 --endMP 204:233340 --enddatetime 2016-11-01T16:17:49 --enforcementcount 0 &gt;&gt;C:\Users\stu\Documents\GitHub\eaglep3-reporting\EC\2016-11-01-refined-times.txt</v>
      </c>
      <c r="AI10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{"issue":{"subject":"","project_id":79,"tracker_id":40,"status_id":1,"priority_id":2,"assigned_to_id":23,"start_date":"2016-11-01","description":"","custom_fields":[{"id":1,"name":"Subdivision","value":"EC"},{"id":4,"name":"Milepost","value":"23.334"},{"id":17,"name":"Train ID","value":"195-01"},{"id":16,"name":"Locomotive ID","value":"4022"},{"id":130,"name":"Impact","value":""},{"id":150,"name":"Time of Event (Mountain Time)","value":"16:17:49"},{"id":151,"name":"Denver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528</v>
      </c>
      <c r="B108" s="7">
        <v>4021</v>
      </c>
      <c r="C108" s="22" t="s">
        <v>253</v>
      </c>
      <c r="D108" s="22" t="s">
        <v>646</v>
      </c>
      <c r="E108" s="13">
        <v>42675.682314814818</v>
      </c>
      <c r="F108" s="13">
        <v>42675.685358796298</v>
      </c>
      <c r="G108" s="7">
        <v>2</v>
      </c>
      <c r="H108" s="13" t="s">
        <v>204</v>
      </c>
      <c r="I108" s="13">
        <v>42675.713402777779</v>
      </c>
      <c r="J108" s="7">
        <v>0</v>
      </c>
      <c r="K108" s="112" t="str">
        <f t="shared" si="46"/>
        <v>4021/4022</v>
      </c>
      <c r="L108" s="22" t="str">
        <f>VLOOKUP(A108,'Trips&amp;Operators'!$C$1:$E$10000,3,FALSE)</f>
        <v>YOUNG</v>
      </c>
      <c r="M108" s="6">
        <f t="shared" si="47"/>
        <v>2.8043981481459923E-2</v>
      </c>
      <c r="N108" s="7">
        <f t="shared" si="60"/>
        <v>40.383333333302289</v>
      </c>
      <c r="O108" s="7"/>
      <c r="P108" s="7"/>
      <c r="Q108" s="23"/>
      <c r="R108" s="23"/>
      <c r="S108" s="35">
        <f t="shared" si="48"/>
        <v>1</v>
      </c>
      <c r="T108" s="50" t="str">
        <f t="shared" si="4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15:22:32-0600',mode:absolute,to:'2016-11-01 18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8" s="52" t="str">
        <f t="shared" si="51"/>
        <v>N</v>
      </c>
      <c r="X108" s="177">
        <f t="shared" si="61"/>
        <v>1</v>
      </c>
      <c r="Y108" s="67">
        <f t="shared" si="53"/>
        <v>23.301300000000001</v>
      </c>
      <c r="Z108" s="67">
        <f t="shared" si="54"/>
        <v>1.4500000000000001E-2</v>
      </c>
      <c r="AA108" s="67">
        <f t="shared" si="55"/>
        <v>23.286799999999999</v>
      </c>
      <c r="AB108" s="64" t="e">
        <f>VLOOKUP(A108,Enforcements!$C$7:$K$21,8,0)</f>
        <v>#N/A</v>
      </c>
      <c r="AC108" s="60" t="e">
        <f>VLOOKUP(A108,Enforcements!$C$7:$E$21,3,0)</f>
        <v>#N/A</v>
      </c>
      <c r="AD108" s="61" t="str">
        <f t="shared" si="56"/>
        <v>0196-01</v>
      </c>
      <c r="AE108" s="91" t="str">
        <f t="shared" si="42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08" s="88" t="str">
        <f t="shared" si="43"/>
        <v>"C:\Program Files (x86)\AstroGrep\AstroGrep.exe" /spath="%USERPROFILE%\AppData\Local\Temp\OnboardLogs" /stypes="app*4021*20161101*" /stext=" 23:.+((SYSTEM_STATE.+slice.+state.+changed )|(ment ac)|(system.+state.+changed )|(\[timeout)|(PRM\|1\|D)|(kpr)|(kdp)|(\|lc)|(penalty))" /e /r /s</v>
      </c>
      <c r="AG108" s="1" t="str">
        <f t="shared" si="57"/>
        <v>EC</v>
      </c>
      <c r="AH108" s="92" t="str">
        <f t="shared" si="44"/>
        <v>"%USERPROFILE%\Documents\GitHub\eaglep3\Utilities\RefineRTDCRunTimes.py" --tripid 196-01 --locoid 4021 --swversion DE.1.0.8.0 --startMP 204:233013 --initTime 2016-11-01T16:22:32 --startdatetime 2016-11-01T16:26:55 --delay 2 --endMP 204:145 --enddatetime 2016-11-01T17:07:18 --enforcementcount 0 &gt;&gt;C:\Users\stu\Documents\GitHub\eaglep3-reporting\EC\2016-11-01-refined-times.txt</v>
      </c>
      <c r="AI10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{"issue":{"subject":"","project_id":79,"tracker_id":40,"status_id":1,"priority_id":2,"assigned_to_id":23,"start_date":"2016-11-01","description":"","custom_fields":[{"id":1,"name":"Subdivision","value":"EC"},{"id":4,"name":"Milepost","value":"0.0145"},{"id":17,"name":"Train ID","value":"196-01"},{"id":16,"name":"Locomotive ID","value":"4021"},{"id":130,"name":"Impact","value":""},{"id":150,"name":"Time of Event (Mountain Time)","value":"17:07:18"},{"id":151,"name":"Denver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521</v>
      </c>
      <c r="B109" s="7">
        <v>4038</v>
      </c>
      <c r="C109" s="22" t="s">
        <v>253</v>
      </c>
      <c r="D109" s="22" t="s">
        <v>215</v>
      </c>
      <c r="E109" s="13">
        <v>42675.654120370367</v>
      </c>
      <c r="F109" s="13">
        <v>42675.656412037039</v>
      </c>
      <c r="G109" s="7">
        <v>1</v>
      </c>
      <c r="H109" s="13" t="s">
        <v>618</v>
      </c>
      <c r="I109" s="13">
        <v>42675.684189814812</v>
      </c>
      <c r="J109" s="7">
        <v>0</v>
      </c>
      <c r="K109" s="112" t="str">
        <f t="shared" si="46"/>
        <v>4037/4038</v>
      </c>
      <c r="L109" s="22" t="str">
        <f>VLOOKUP(A109,'Trips&amp;Operators'!$C$1:$E$10000,3,FALSE)</f>
        <v>CLARK</v>
      </c>
      <c r="M109" s="6">
        <f t="shared" si="47"/>
        <v>2.7777777773735579E-2</v>
      </c>
      <c r="N109" s="7">
        <f t="shared" si="60"/>
        <v>39.999999994179234</v>
      </c>
      <c r="O109" s="7"/>
      <c r="P109" s="7"/>
      <c r="Q109" s="23"/>
      <c r="R109" s="23"/>
      <c r="S109" s="35">
        <f t="shared" si="48"/>
        <v>1</v>
      </c>
      <c r="T109" s="50" t="str">
        <f t="shared" si="4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14:41:56-0600',mode:absolute,to:'2016-11-01 17:25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9" s="52" t="str">
        <f t="shared" si="51"/>
        <v>N</v>
      </c>
      <c r="X109" s="177">
        <f t="shared" si="61"/>
        <v>1</v>
      </c>
      <c r="Y109" s="67">
        <f t="shared" si="53"/>
        <v>4.5999999999999999E-2</v>
      </c>
      <c r="Z109" s="67">
        <f t="shared" si="54"/>
        <v>23.331399999999999</v>
      </c>
      <c r="AA109" s="67">
        <f t="shared" si="55"/>
        <v>23.285399999999999</v>
      </c>
      <c r="AB109" s="64" t="e">
        <f>VLOOKUP(A109,Enforcements!$C$7:$K$21,8,0)</f>
        <v>#N/A</v>
      </c>
      <c r="AC109" s="60" t="e">
        <f>VLOOKUP(A109,Enforcements!$C$7:$E$21,3,0)</f>
        <v>#N/A</v>
      </c>
      <c r="AD109" s="61" t="str">
        <f t="shared" si="56"/>
        <v>0197-01</v>
      </c>
      <c r="AE109" s="91" t="str">
        <f t="shared" si="42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109" s="88" t="str">
        <f t="shared" si="43"/>
        <v>"C:\Program Files (x86)\AstroGrep\AstroGrep.exe" /spath="%USERPROFILE%\AppData\Local\Temp\OnboardLogs" /stypes="app*4038*20161101*" /stext=" 22:.+((SYSTEM_STATE.+slice.+state.+changed )|(ment ac)|(system.+state.+changed )|(\[timeout)|(PRM\|1\|D)|(kpr)|(kdp)|(\|lc)|(penalty))" /e /r /s</v>
      </c>
      <c r="AG109" s="1" t="str">
        <f t="shared" si="57"/>
        <v>EC</v>
      </c>
      <c r="AH109" s="92" t="str">
        <f t="shared" si="44"/>
        <v>"%USERPROFILE%\Documents\GitHub\eaglep3\Utilities\RefineRTDCRunTimes.py" --tripid 197-01 --locoid 4038 --swversion DE.1.0.8.0 --startMP 204:460 --initTime 2016-11-01T15:41:56 --startdatetime 2016-11-01T15:45:14 --delay 1 --endMP 204:233314 --enddatetime 2016-11-01T16:25:14 --enforcementcount 0 &gt;&gt;C:\Users\stu\Documents\GitHub\eaglep3-reporting\EC\2016-11-01-refined-times.txt</v>
      </c>
      <c r="AI10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{"issue":{"subject":"","project_id":79,"tracker_id":40,"status_id":1,"priority_id":2,"assigned_to_id":23,"start_date":"2016-11-01","description":"","custom_fields":[{"id":1,"name":"Subdivision","value":"EC"},{"id":4,"name":"Milepost","value":"23.3314"},{"id":17,"name":"Train ID","value":"197-01"},{"id":16,"name":"Locomotive ID","value":"4038"},{"id":130,"name":"Impact","value":""},{"id":150,"name":"Time of Event (Mountain Time)","value":"16:25:14"},{"id":151,"name":"Denver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531</v>
      </c>
      <c r="B110" s="7">
        <v>4037</v>
      </c>
      <c r="C110" s="22" t="s">
        <v>253</v>
      </c>
      <c r="D110" s="22" t="s">
        <v>647</v>
      </c>
      <c r="E110" s="13">
        <v>42675.692858796298</v>
      </c>
      <c r="F110" s="13">
        <v>42675.695393518516</v>
      </c>
      <c r="G110" s="7">
        <v>0</v>
      </c>
      <c r="H110" s="13" t="s">
        <v>205</v>
      </c>
      <c r="I110" s="13">
        <v>42675.722777777781</v>
      </c>
      <c r="J110" s="7">
        <v>0</v>
      </c>
      <c r="K110" s="112" t="str">
        <f t="shared" si="46"/>
        <v>4037/4038</v>
      </c>
      <c r="L110" s="22" t="str">
        <f>VLOOKUP(A110,'Trips&amp;Operators'!$C$1:$E$10000,3,FALSE)</f>
        <v>CLARK</v>
      </c>
      <c r="M110" s="6">
        <f t="shared" si="47"/>
        <v>2.7384259265090805E-2</v>
      </c>
      <c r="N110" s="7">
        <f t="shared" si="60"/>
        <v>39.433333341730759</v>
      </c>
      <c r="O110" s="7"/>
      <c r="P110" s="7"/>
      <c r="Q110" s="23"/>
      <c r="R110" s="23"/>
      <c r="S110" s="35">
        <f t="shared" si="48"/>
        <v>1</v>
      </c>
      <c r="T110" s="50" t="str">
        <f t="shared" si="4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15:37:43-0600',mode:absolute,to:'2016-11-01 18:20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0" s="52" t="str">
        <f t="shared" si="51"/>
        <v>N</v>
      </c>
      <c r="X110" s="177">
        <f t="shared" si="61"/>
        <v>1</v>
      </c>
      <c r="Y110" s="67">
        <f t="shared" si="53"/>
        <v>23.2988</v>
      </c>
      <c r="Z110" s="67">
        <f t="shared" si="54"/>
        <v>1.49E-2</v>
      </c>
      <c r="AA110" s="67">
        <f t="shared" si="55"/>
        <v>23.283899999999999</v>
      </c>
      <c r="AB110" s="64" t="e">
        <f>VLOOKUP(A110,Enforcements!$C$7:$K$21,8,0)</f>
        <v>#N/A</v>
      </c>
      <c r="AC110" s="60" t="e">
        <f>VLOOKUP(A110,Enforcements!$C$7:$E$21,3,0)</f>
        <v>#N/A</v>
      </c>
      <c r="AD110" s="61" t="str">
        <f t="shared" si="56"/>
        <v>0198-01</v>
      </c>
      <c r="AE110" s="91" t="str">
        <f t="shared" si="42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110" s="88" t="str">
        <f t="shared" si="43"/>
        <v>"C:\Program Files (x86)\AstroGrep\AstroGrep.exe" /spath="%USERPROFILE%\AppData\Local\Temp\OnboardLogs" /stypes="app*4037*20161101*" /stext=" 23:.+((SYSTEM_STATE.+slice.+state.+changed )|(ment ac)|(system.+state.+changed )|(\[timeout)|(PRM\|1\|D)|(kpr)|(kdp)|(\|lc)|(penalty))" /e /r /s</v>
      </c>
      <c r="AG110" s="1" t="str">
        <f t="shared" si="57"/>
        <v>EC</v>
      </c>
      <c r="AH110" s="92" t="str">
        <f t="shared" si="44"/>
        <v>"%USERPROFILE%\Documents\GitHub\eaglep3\Utilities\RefineRTDCRunTimes.py" --tripid 198-01 --locoid 4037 --swversion DE.1.0.8.0 --startMP 204:232988 --initTime 2016-11-01T16:37:43 --startdatetime 2016-11-01T16:41:22 --delay 0 --endMP 204:149 --enddatetime 2016-11-01T17:20:48 --enforcementcount 0 &gt;&gt;C:\Users\stu\Documents\GitHub\eaglep3-reporting\EC\2016-11-01-refined-times.txt</v>
      </c>
      <c r="AI11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{"issue":{"subject":"","project_id":79,"tracker_id":40,"status_id":1,"priority_id":2,"assigned_to_id":23,"start_date":"2016-11-01","description":"","custom_fields":[{"id":1,"name":"Subdivision","value":"EC"},{"id":4,"name":"Milepost","value":"0.0149"},{"id":17,"name":"Train ID","value":"198-01"},{"id":16,"name":"Locomotive ID","value":"4037"},{"id":130,"name":"Impact","value":""},{"id":150,"name":"Time of Event (Mountain Time)","value":"17:20:48"},{"id":151,"name":"Denver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523</v>
      </c>
      <c r="B111" s="7">
        <v>4029</v>
      </c>
      <c r="C111" s="22" t="s">
        <v>253</v>
      </c>
      <c r="D111" s="22" t="s">
        <v>648</v>
      </c>
      <c r="E111" s="13">
        <v>42675.660740740743</v>
      </c>
      <c r="F111" s="13">
        <v>42675.667210648149</v>
      </c>
      <c r="G111" s="7">
        <v>6</v>
      </c>
      <c r="H111" s="13" t="s">
        <v>649</v>
      </c>
      <c r="I111" s="13">
        <v>42675.692210648151</v>
      </c>
      <c r="J111" s="7">
        <v>0</v>
      </c>
      <c r="K111" s="112" t="str">
        <f t="shared" si="46"/>
        <v>4029/4030</v>
      </c>
      <c r="L111" s="22" t="str">
        <f>VLOOKUP(A111,'Trips&amp;Operators'!$C$1:$E$10000,3,FALSE)</f>
        <v>ROMERO</v>
      </c>
      <c r="M111" s="6">
        <f t="shared" si="47"/>
        <v>2.5000000001455192E-2</v>
      </c>
      <c r="N111" s="7">
        <f t="shared" si="60"/>
        <v>36.000000002095476</v>
      </c>
      <c r="O111" s="7"/>
      <c r="P111" s="7"/>
      <c r="Q111" s="23"/>
      <c r="R111" s="23"/>
      <c r="S111" s="35">
        <f t="shared" si="48"/>
        <v>1</v>
      </c>
      <c r="T111" s="50" t="str">
        <f t="shared" si="4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14:51:28-0600',mode:absolute,to:'2016-11-01 17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51"/>
        <v>N</v>
      </c>
      <c r="X111" s="177">
        <f t="shared" si="61"/>
        <v>1</v>
      </c>
      <c r="Y111" s="67">
        <f t="shared" si="53"/>
        <v>5.6399999999999999E-2</v>
      </c>
      <c r="Z111" s="67">
        <f t="shared" si="54"/>
        <v>23.332699999999999</v>
      </c>
      <c r="AA111" s="67">
        <f t="shared" si="55"/>
        <v>23.276299999999999</v>
      </c>
      <c r="AB111" s="64" t="e">
        <f>VLOOKUP(A111,Enforcements!$C$7:$K$21,8,0)</f>
        <v>#N/A</v>
      </c>
      <c r="AC111" s="60" t="e">
        <f>VLOOKUP(A111,Enforcements!$C$7:$E$21,3,0)</f>
        <v>#N/A</v>
      </c>
      <c r="AD111" s="61" t="str">
        <f t="shared" si="56"/>
        <v>0199-01</v>
      </c>
      <c r="AE111" s="91" t="str">
        <f t="shared" si="42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111" s="88" t="str">
        <f t="shared" si="43"/>
        <v>"C:\Program Files (x86)\AstroGrep\AstroGrep.exe" /spath="%USERPROFILE%\AppData\Local\Temp\OnboardLogs" /stypes="app*4029*20161101*" /stext=" 22:.+((SYSTEM_STATE.+slice.+state.+changed )|(ment ac)|(system.+state.+changed )|(\[timeout)|(PRM\|1\|D)|(kpr)|(kdp)|(\|lc)|(penalty))" /e /r /s</v>
      </c>
      <c r="AG111" s="1" t="str">
        <f t="shared" si="57"/>
        <v>EC</v>
      </c>
      <c r="AH111" s="92" t="str">
        <f t="shared" si="44"/>
        <v>"%USERPROFILE%\Documents\GitHub\eaglep3\Utilities\RefineRTDCRunTimes.py" --tripid 199-01 --locoid 4029 --swversion DE.1.0.8.0 --startMP 204:564 --initTime 2016-11-01T15:51:28 --startdatetime 2016-11-01T16:00:47 --delay 6 --endMP 204:233327 --enddatetime 2016-11-01T16:36:47 --enforcementcount 0 &gt;&gt;C:\Users\stu\Documents\GitHub\eaglep3-reporting\EC\2016-11-01-refined-times.txt</v>
      </c>
      <c r="AI11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{"issue":{"subject":"","project_id":79,"tracker_id":40,"status_id":1,"priority_id":2,"assigned_to_id":23,"start_date":"2016-11-01","description":"","custom_fields":[{"id":1,"name":"Subdivision","value":"EC"},{"id":4,"name":"Milepost","value":"23.3327"},{"id":17,"name":"Train ID","value":"199-01"},{"id":16,"name":"Locomotive ID","value":"4029"},{"id":130,"name":"Impact","value":""},{"id":150,"name":"Time of Event (Mountain Time)","value":"16:36:47"},{"id":151,"name":"Denver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533</v>
      </c>
      <c r="B112" s="7">
        <v>4030</v>
      </c>
      <c r="C112" s="22" t="s">
        <v>253</v>
      </c>
      <c r="D112" s="22" t="s">
        <v>646</v>
      </c>
      <c r="E112" s="13">
        <v>42675.697939814818</v>
      </c>
      <c r="F112" s="13">
        <v>42675.705775462964</v>
      </c>
      <c r="G112" s="7">
        <v>1</v>
      </c>
      <c r="H112" s="13" t="s">
        <v>269</v>
      </c>
      <c r="I112" s="13">
        <v>42675.732800925929</v>
      </c>
      <c r="J112" s="7">
        <v>0</v>
      </c>
      <c r="K112" s="112" t="str">
        <f t="shared" si="46"/>
        <v>4029/4030</v>
      </c>
      <c r="L112" s="22" t="str">
        <f>VLOOKUP(A112,'Trips&amp;Operators'!$C$1:$E$10000,3,FALSE)</f>
        <v>ROMERO</v>
      </c>
      <c r="M112" s="6">
        <f t="shared" si="47"/>
        <v>2.7025462964957114E-2</v>
      </c>
      <c r="N112" s="7">
        <f t="shared" si="60"/>
        <v>38.916666669538245</v>
      </c>
      <c r="O112" s="7"/>
      <c r="P112" s="7"/>
      <c r="Q112" s="23"/>
      <c r="R112" s="23"/>
      <c r="S112" s="35">
        <f t="shared" si="48"/>
        <v>1</v>
      </c>
      <c r="T112" s="50" t="str">
        <f t="shared" si="4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15:45:02-0600',mode:absolute,to:'2016-11-01 18:35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51"/>
        <v>N</v>
      </c>
      <c r="X112" s="177">
        <f t="shared" si="61"/>
        <v>1</v>
      </c>
      <c r="Y112" s="67">
        <f t="shared" si="53"/>
        <v>23.301300000000001</v>
      </c>
      <c r="Z112" s="67">
        <f t="shared" si="54"/>
        <v>1.3599999999999999E-2</v>
      </c>
      <c r="AA112" s="67">
        <f t="shared" si="55"/>
        <v>23.287700000000001</v>
      </c>
      <c r="AB112" s="64" t="e">
        <f>VLOOKUP(A112,Enforcements!$C$7:$K$21,8,0)</f>
        <v>#N/A</v>
      </c>
      <c r="AC112" s="60" t="e">
        <f>VLOOKUP(A112,Enforcements!$C$7:$E$21,3,0)</f>
        <v>#N/A</v>
      </c>
      <c r="AD112" s="61" t="str">
        <f t="shared" si="56"/>
        <v>0200-01</v>
      </c>
      <c r="AE112" s="91" t="str">
        <f t="shared" si="42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112" s="88" t="str">
        <f t="shared" si="43"/>
        <v>"C:\Program Files (x86)\AstroGrep\AstroGrep.exe" /spath="%USERPROFILE%\AppData\Local\Temp\OnboardLogs" /stypes="app*4030*20161101*" /stext=" 23:.+((SYSTEM_STATE.+slice.+state.+changed )|(ment ac)|(system.+state.+changed )|(\[timeout)|(PRM\|1\|D)|(kpr)|(kdp)|(\|lc)|(penalty))" /e /r /s</v>
      </c>
      <c r="AG112" s="1" t="str">
        <f t="shared" si="57"/>
        <v>EC</v>
      </c>
      <c r="AH112" s="92" t="str">
        <f t="shared" si="44"/>
        <v>"%USERPROFILE%\Documents\GitHub\eaglep3\Utilities\RefineRTDCRunTimes.py" --tripid 200-01 --locoid 4030 --swversion DE.1.0.8.0 --startMP 204:233013 --initTime 2016-11-01T16:45:02 --startdatetime 2016-11-01T16:56:19 --delay 1 --endMP 204:136 --enddatetime 2016-11-01T17:35:14 --enforcementcount 0 &gt;&gt;C:\Users\stu\Documents\GitHub\eaglep3-reporting\EC\2016-11-01-refined-times.txt</v>
      </c>
      <c r="AI11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{"issue":{"subject":"","project_id":79,"tracker_id":40,"status_id":1,"priority_id":2,"assigned_to_id":23,"start_date":"2016-11-01","description":"","custom_fields":[{"id":1,"name":"Subdivision","value":"EC"},{"id":4,"name":"Milepost","value":"0.0136"},{"id":17,"name":"Train ID","value":"200-01"},{"id":16,"name":"Locomotive ID","value":"4030"},{"id":130,"name":"Impact","value":""},{"id":150,"name":"Time of Event (Mountain Time)","value":"17:35:14"},{"id":151,"name":"Denver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527</v>
      </c>
      <c r="B113" s="7">
        <v>4007</v>
      </c>
      <c r="C113" s="22" t="s">
        <v>253</v>
      </c>
      <c r="D113" s="22" t="s">
        <v>274</v>
      </c>
      <c r="E113" s="13">
        <v>42675.672997685186</v>
      </c>
      <c r="F113" s="13">
        <v>42675.677303240744</v>
      </c>
      <c r="G113" s="7">
        <v>1</v>
      </c>
      <c r="H113" s="13" t="s">
        <v>650</v>
      </c>
      <c r="I113" s="13">
        <v>42675.702499999999</v>
      </c>
      <c r="J113" s="7">
        <v>0</v>
      </c>
      <c r="K113" s="112" t="str">
        <f t="shared" si="46"/>
        <v>4007/4008</v>
      </c>
      <c r="L113" s="22" t="str">
        <f>VLOOKUP(A113,'Trips&amp;Operators'!$C$1:$E$10000,3,FALSE)</f>
        <v>BARTLETT</v>
      </c>
      <c r="M113" s="6">
        <f t="shared" si="47"/>
        <v>2.5196759255777579E-2</v>
      </c>
      <c r="N113" s="7">
        <f t="shared" si="60"/>
        <v>36.283333328319713</v>
      </c>
      <c r="O113" s="7"/>
      <c r="P113" s="7"/>
      <c r="Q113" s="23"/>
      <c r="R113" s="23"/>
      <c r="S113" s="35">
        <f t="shared" si="48"/>
        <v>1</v>
      </c>
      <c r="T113" s="50" t="str">
        <f t="shared" si="4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15:09:07-0600',mode:absolute,to:'2016-11-01 17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3" s="52" t="str">
        <f t="shared" si="51"/>
        <v>N</v>
      </c>
      <c r="X113" s="177">
        <f t="shared" si="61"/>
        <v>1</v>
      </c>
      <c r="Y113" s="67">
        <f t="shared" si="53"/>
        <v>4.82E-2</v>
      </c>
      <c r="Z113" s="67">
        <f t="shared" si="54"/>
        <v>23.331600000000002</v>
      </c>
      <c r="AA113" s="67">
        <f t="shared" si="55"/>
        <v>23.2834</v>
      </c>
      <c r="AB113" s="64" t="e">
        <f>VLOOKUP(A113,Enforcements!$C$7:$K$21,8,0)</f>
        <v>#N/A</v>
      </c>
      <c r="AC113" s="60" t="e">
        <f>VLOOKUP(A113,Enforcements!$C$7:$E$21,3,0)</f>
        <v>#N/A</v>
      </c>
      <c r="AD113" s="61" t="str">
        <f t="shared" si="56"/>
        <v>0201-01</v>
      </c>
      <c r="AE113" s="91" t="str">
        <f t="shared" si="42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113" s="88" t="str">
        <f t="shared" si="43"/>
        <v>"C:\Program Files (x86)\AstroGrep\AstroGrep.exe" /spath="%USERPROFILE%\AppData\Local\Temp\OnboardLogs" /stypes="app*4007*20161101*" /stext=" 22:.+((SYSTEM_STATE.+slice.+state.+changed )|(ment ac)|(system.+state.+changed )|(\[timeout)|(PRM\|1\|D)|(kpr)|(kdp)|(\|lc)|(penalty))" /e /r /s</v>
      </c>
      <c r="AG113" s="1" t="str">
        <f t="shared" si="57"/>
        <v>EC</v>
      </c>
      <c r="AH113" s="92" t="str">
        <f t="shared" si="44"/>
        <v>"%USERPROFILE%\Documents\GitHub\eaglep3\Utilities\RefineRTDCRunTimes.py" --tripid 201-01 --locoid 4007 --swversion DE.1.0.8.0 --startMP 204:482 --initTime 2016-11-01T16:09:07 --startdatetime 2016-11-01T16:15:19 --delay 1 --endMP 204:233316 --enddatetime 2016-11-01T16:51:36 --enforcementcount 0 &gt;&gt;C:\Users\stu\Documents\GitHub\eaglep3-reporting\EC\2016-11-01-refined-times.txt</v>
      </c>
      <c r="AI113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{"issue":{"subject":"","project_id":79,"tracker_id":40,"status_id":1,"priority_id":2,"assigned_to_id":23,"start_date":"2016-11-01","description":"","custom_fields":[{"id":1,"name":"Subdivision","value":"EC"},{"id":4,"name":"Milepost","value":"23.3316"},{"id":17,"name":"Train ID","value":"201-01"},{"id":16,"name":"Locomotive ID","value":"4007"},{"id":130,"name":"Impact","value":""},{"id":150,"name":"Time of Event (Mountain Time)","value":"16:51:36"},{"id":151,"name":"Denver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534</v>
      </c>
      <c r="B114" s="7">
        <v>4008</v>
      </c>
      <c r="C114" s="22" t="s">
        <v>253</v>
      </c>
      <c r="D114" s="22" t="s">
        <v>647</v>
      </c>
      <c r="E114" s="13">
        <v>42675.704722222225</v>
      </c>
      <c r="F114" s="13">
        <v>42675.716539351852</v>
      </c>
      <c r="G114" s="7">
        <v>1</v>
      </c>
      <c r="H114" s="13" t="s">
        <v>351</v>
      </c>
      <c r="I114" s="13">
        <v>42675.742986111109</v>
      </c>
      <c r="J114" s="7">
        <v>0</v>
      </c>
      <c r="K114" s="112" t="str">
        <f t="shared" si="46"/>
        <v>4007/4008</v>
      </c>
      <c r="L114" s="22" t="str">
        <f>VLOOKUP(A114,'Trips&amp;Operators'!$C$1:$E$10000,3,FALSE)</f>
        <v>BARTLETT</v>
      </c>
      <c r="M114" s="6">
        <f t="shared" si="47"/>
        <v>2.6446759256941732E-2</v>
      </c>
      <c r="N114" s="7">
        <f t="shared" si="60"/>
        <v>38.083333329996094</v>
      </c>
      <c r="O114" s="7"/>
      <c r="P114" s="7"/>
      <c r="Q114" s="23"/>
      <c r="R114" s="23"/>
      <c r="S114" s="35">
        <f t="shared" si="48"/>
        <v>1</v>
      </c>
      <c r="T114" s="50" t="str">
        <f t="shared" si="4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15:54:48-0600',mode:absolute,to:'2016-11-01 18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4" s="52" t="str">
        <f t="shared" si="51"/>
        <v>N</v>
      </c>
      <c r="X114" s="177">
        <f t="shared" si="61"/>
        <v>1</v>
      </c>
      <c r="Y114" s="67">
        <f t="shared" si="53"/>
        <v>23.2988</v>
      </c>
      <c r="Z114" s="67">
        <f t="shared" si="54"/>
        <v>1.7000000000000001E-2</v>
      </c>
      <c r="AA114" s="67">
        <f t="shared" si="55"/>
        <v>23.2818</v>
      </c>
      <c r="AB114" s="64" t="e">
        <f>VLOOKUP(A114,Enforcements!$C$7:$K$21,8,0)</f>
        <v>#N/A</v>
      </c>
      <c r="AC114" s="60" t="e">
        <f>VLOOKUP(A114,Enforcements!$C$7:$E$21,3,0)</f>
        <v>#N/A</v>
      </c>
      <c r="AD114" s="61" t="str">
        <f t="shared" si="56"/>
        <v>0202-01</v>
      </c>
      <c r="AE114" s="91" t="str">
        <f t="shared" si="42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114" s="88" t="str">
        <f t="shared" si="43"/>
        <v>"C:\Program Files (x86)\AstroGrep\AstroGrep.exe" /spath="%USERPROFILE%\AppData\Local\Temp\OnboardLogs" /stypes="app*4008*20161101*" /stext=" 23:.+((SYSTEM_STATE.+slice.+state.+changed )|(ment ac)|(system.+state.+changed )|(\[timeout)|(PRM\|1\|D)|(kpr)|(kdp)|(\|lc)|(penalty))" /e /r /s</v>
      </c>
      <c r="AG114" s="1" t="str">
        <f t="shared" si="57"/>
        <v>EC</v>
      </c>
      <c r="AH114" s="92" t="str">
        <f t="shared" si="44"/>
        <v>"%USERPROFILE%\Documents\GitHub\eaglep3\Utilities\RefineRTDCRunTimes.py" --tripid 202-01 --locoid 4008 --swversion DE.1.0.8.0 --startMP 204:232988 --initTime 2016-11-01T16:54:48 --startdatetime 2016-11-01T17:11:49 --delay 1 --endMP 204:170 --enddatetime 2016-11-01T17:49:54 --enforcementcount 0 &gt;&gt;C:\Users\stu\Documents\GitHub\eaglep3-reporting\EC\2016-11-01-refined-times.txt</v>
      </c>
      <c r="AI11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{"issue":{"subject":"","project_id":79,"tracker_id":40,"status_id":1,"priority_id":2,"assigned_to_id":23,"start_date":"2016-11-01","description":"","custom_fields":[{"id":1,"name":"Subdivision","value":"EC"},{"id":4,"name":"Milepost","value":"0.017"},{"id":17,"name":"Train ID","value":"202-01"},{"id":16,"name":"Locomotive ID","value":"4008"},{"id":130,"name":"Impact","value":""},{"id":150,"name":"Time of Event (Mountain Time)","value":"17:49:54"},{"id":151,"name":"Denver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530</v>
      </c>
      <c r="B115" s="7">
        <v>4042</v>
      </c>
      <c r="C115" s="22" t="s">
        <v>253</v>
      </c>
      <c r="D115" s="22" t="s">
        <v>236</v>
      </c>
      <c r="E115" s="13">
        <v>42675.688946759263</v>
      </c>
      <c r="F115" s="13">
        <v>42675.693472222221</v>
      </c>
      <c r="G115" s="7">
        <v>6</v>
      </c>
      <c r="H115" s="13" t="s">
        <v>349</v>
      </c>
      <c r="I115" s="13">
        <v>42675.720520833333</v>
      </c>
      <c r="J115" s="7">
        <v>0</v>
      </c>
      <c r="K115" s="112" t="str">
        <f t="shared" si="46"/>
        <v>4041/4042</v>
      </c>
      <c r="L115" s="22" t="str">
        <f>VLOOKUP(A115,'Trips&amp;Operators'!$C$1:$E$10000,3,FALSE)</f>
        <v>HOLCOMB</v>
      </c>
      <c r="M115" s="6">
        <f t="shared" si="47"/>
        <v>2.7048611111240461E-2</v>
      </c>
      <c r="N115" s="7">
        <f t="shared" si="60"/>
        <v>38.950000000186265</v>
      </c>
      <c r="O115" s="7"/>
      <c r="P115" s="7"/>
      <c r="Q115" s="23"/>
      <c r="R115" s="23"/>
      <c r="S115" s="35">
        <f t="shared" si="48"/>
        <v>1</v>
      </c>
      <c r="T115" s="50" t="str">
        <f t="shared" si="4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15:32:05-0600',mode:absolute,to:'2016-11-01 18:17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5" s="52" t="str">
        <f t="shared" si="51"/>
        <v>N</v>
      </c>
      <c r="X115" s="177">
        <f t="shared" si="61"/>
        <v>1</v>
      </c>
      <c r="Y115" s="67">
        <f t="shared" si="53"/>
        <v>4.6199999999999998E-2</v>
      </c>
      <c r="Z115" s="67">
        <f t="shared" si="54"/>
        <v>23.331199999999999</v>
      </c>
      <c r="AA115" s="67">
        <f t="shared" si="55"/>
        <v>23.285</v>
      </c>
      <c r="AB115" s="64" t="e">
        <f>VLOOKUP(A115,Enforcements!$C$7:$K$21,8,0)</f>
        <v>#N/A</v>
      </c>
      <c r="AC115" s="60" t="e">
        <f>VLOOKUP(A115,Enforcements!$C$7:$E$21,3,0)</f>
        <v>#N/A</v>
      </c>
      <c r="AD115" s="61" t="str">
        <f t="shared" si="56"/>
        <v>0203-01</v>
      </c>
      <c r="AE115" s="91" t="str">
        <f t="shared" si="42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15" s="88" t="str">
        <f t="shared" si="43"/>
        <v>"C:\Program Files (x86)\AstroGrep\AstroGrep.exe" /spath="%USERPROFILE%\AppData\Local\Temp\OnboardLogs" /stypes="app*4042*20161101*" /stext=" 23:.+((SYSTEM_STATE.+slice.+state.+changed )|(ment ac)|(system.+state.+changed )|(\[timeout)|(PRM\|1\|D)|(kpr)|(kdp)|(\|lc)|(penalty))" /e /r /s</v>
      </c>
      <c r="AG115" s="1" t="str">
        <f t="shared" si="57"/>
        <v>EC</v>
      </c>
      <c r="AH115" s="92" t="str">
        <f t="shared" si="44"/>
        <v>"%USERPROFILE%\Documents\GitHub\eaglep3\Utilities\RefineRTDCRunTimes.py" --tripid 203-01 --locoid 4042 --swversion DE.1.0.8.0 --startMP 204:462 --initTime 2016-11-01T16:32:05 --startdatetime 2016-11-01T16:38:36 --delay 6 --endMP 204:233312 --enddatetime 2016-11-01T17:17:33 --enforcementcount 0 &gt;&gt;C:\Users\stu\Documents\GitHub\eaglep3-reporting\EC\2016-11-01-refined-times.txt</v>
      </c>
      <c r="AI11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{"issue":{"subject":"","project_id":79,"tracker_id":40,"status_id":1,"priority_id":2,"assigned_to_id":23,"start_date":"2016-11-01","description":"","custom_fields":[{"id":1,"name":"Subdivision","value":"EC"},{"id":4,"name":"Milepost","value":"23.3312"},{"id":17,"name":"Train ID","value":"203-01"},{"id":16,"name":"Locomotive ID","value":"4042"},{"id":130,"name":"Impact","value":""},{"id":150,"name":"Time of Event (Mountain Time)","value":"17:17:33"},{"id":151,"name":"Denver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x14ac:dyDescent="0.25">
      <c r="A116" s="37" t="s">
        <v>538</v>
      </c>
      <c r="B116" s="7">
        <v>4041</v>
      </c>
      <c r="C116" s="22" t="s">
        <v>253</v>
      </c>
      <c r="D116" s="22" t="s">
        <v>304</v>
      </c>
      <c r="E116" s="13">
        <v>42675.724363425928</v>
      </c>
      <c r="F116" s="13">
        <v>42675.726979166669</v>
      </c>
      <c r="G116" s="7">
        <v>1</v>
      </c>
      <c r="H116" s="13" t="s">
        <v>205</v>
      </c>
      <c r="I116" s="13">
        <v>42675.754074074073</v>
      </c>
      <c r="J116" s="7">
        <v>0</v>
      </c>
      <c r="K116" s="112" t="str">
        <f t="shared" si="46"/>
        <v>4041/4042</v>
      </c>
      <c r="L116" s="22" t="str">
        <f>VLOOKUP(A116,'Trips&amp;Operators'!$C$1:$E$10000,3,FALSE)</f>
        <v>HOLCOMB</v>
      </c>
      <c r="M116" s="6">
        <f t="shared" si="47"/>
        <v>2.7094907403807156E-2</v>
      </c>
      <c r="N116" s="7">
        <f t="shared" si="60"/>
        <v>39.016666661482304</v>
      </c>
      <c r="O116" s="7"/>
      <c r="P116" s="7"/>
      <c r="Q116" s="23"/>
      <c r="R116" s="23"/>
      <c r="S116" s="35">
        <f t="shared" si="48"/>
        <v>1</v>
      </c>
      <c r="T116" s="50" t="str">
        <f t="shared" si="4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16:23:05-0600',mode:absolute,to:'2016-11-01 19:05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6" s="52" t="str">
        <f t="shared" si="51"/>
        <v>N</v>
      </c>
      <c r="X116" s="177">
        <f t="shared" si="61"/>
        <v>1</v>
      </c>
      <c r="Y116" s="67">
        <f t="shared" si="53"/>
        <v>23.299600000000002</v>
      </c>
      <c r="Z116" s="67">
        <f t="shared" si="54"/>
        <v>1.49E-2</v>
      </c>
      <c r="AA116" s="67">
        <f t="shared" si="55"/>
        <v>23.284700000000001</v>
      </c>
      <c r="AB116" s="64" t="e">
        <f>VLOOKUP(A116,Enforcements!$C$7:$K$21,8,0)</f>
        <v>#N/A</v>
      </c>
      <c r="AC116" s="60" t="e">
        <f>VLOOKUP(A116,Enforcements!$C$7:$E$21,3,0)</f>
        <v>#N/A</v>
      </c>
      <c r="AD116" s="61" t="str">
        <f t="shared" si="56"/>
        <v>0204-01</v>
      </c>
      <c r="AE116" s="91" t="str">
        <f t="shared" si="42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116" s="88" t="str">
        <f t="shared" si="43"/>
        <v>"C:\Program Files (x86)\AstroGrep\AstroGrep.exe" /spath="%USERPROFILE%\AppData\Local\Temp\OnboardLogs" /stypes="app*4041*20161102*" /stext=" 00:.+((SYSTEM_STATE.+slice.+state.+changed )|(ment ac)|(system.+state.+changed )|(\[timeout)|(PRM\|1\|D)|(kpr)|(kdp)|(\|lc)|(penalty))" /e /r /s</v>
      </c>
      <c r="AG116" s="1" t="str">
        <f t="shared" si="57"/>
        <v>EC</v>
      </c>
      <c r="AH116" s="92" t="str">
        <f t="shared" si="44"/>
        <v>"%USERPROFILE%\Documents\GitHub\eaglep3\Utilities\RefineRTDCRunTimes.py" --tripid 204-01 --locoid 4041 --swversion DE.1.0.8.0 --startMP 204:232996 --initTime 2016-11-01T17:23:05 --startdatetime 2016-11-01T17:26:51 --delay 1 --endMP 204:149 --enddatetime 2016-11-01T18:05:52 --enforcementcount 0 &gt;&gt;C:\Users\stu\Documents\GitHub\eaglep3-reporting\EC\2016-11-01-refined-times.txt</v>
      </c>
      <c r="AI116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{"issue":{"subject":"","project_id":79,"tracker_id":40,"status_id":1,"priority_id":2,"assigned_to_id":23,"start_date":"2016-11-01","description":"","custom_fields":[{"id":1,"name":"Subdivision","value":"EC"},{"id":4,"name":"Milepost","value":"0.0149"},{"id":17,"name":"Train ID","value":"204-01"},{"id":16,"name":"Locomotive ID","value":"4041"},{"id":130,"name":"Impact","value":""},{"id":150,"name":"Time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91" s="21" customFormat="1" x14ac:dyDescent="0.25">
      <c r="A117" s="37" t="s">
        <v>532</v>
      </c>
      <c r="B117" s="7">
        <v>4040</v>
      </c>
      <c r="C117" s="22" t="s">
        <v>253</v>
      </c>
      <c r="D117" s="22" t="s">
        <v>215</v>
      </c>
      <c r="E117" s="13">
        <v>42675.69604166667</v>
      </c>
      <c r="F117" s="13">
        <v>42675.698252314818</v>
      </c>
      <c r="G117" s="7">
        <v>1</v>
      </c>
      <c r="H117" s="13" t="s">
        <v>258</v>
      </c>
      <c r="I117" s="13">
        <v>42675.721932870372</v>
      </c>
      <c r="J117" s="7">
        <v>0</v>
      </c>
      <c r="K117" s="112" t="str">
        <f t="shared" si="46"/>
        <v>4039/4040</v>
      </c>
      <c r="L117" s="22" t="str">
        <f>VLOOKUP(A117,'Trips&amp;Operators'!$C$1:$E$10000,3,FALSE)</f>
        <v>HELVIE</v>
      </c>
      <c r="M117" s="6">
        <f t="shared" si="47"/>
        <v>2.3680555554165039E-2</v>
      </c>
      <c r="N117" s="7">
        <f t="shared" si="60"/>
        <v>34.099999997997656</v>
      </c>
      <c r="O117" s="7"/>
      <c r="P117" s="7"/>
      <c r="Q117" s="23"/>
      <c r="R117" s="23"/>
      <c r="S117" s="35">
        <f t="shared" si="48"/>
        <v>1</v>
      </c>
      <c r="T117" s="50" t="str">
        <f t="shared" si="4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15:42:18-0600',mode:absolute,to:'2016-11-01 18:19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7" s="52" t="str">
        <f t="shared" si="51"/>
        <v>N</v>
      </c>
      <c r="X117" s="177">
        <f t="shared" si="61"/>
        <v>1</v>
      </c>
      <c r="Y117" s="67">
        <f t="shared" si="53"/>
        <v>4.5999999999999999E-2</v>
      </c>
      <c r="Z117" s="67">
        <f t="shared" si="54"/>
        <v>23.328800000000001</v>
      </c>
      <c r="AA117" s="67">
        <f t="shared" si="55"/>
        <v>23.282800000000002</v>
      </c>
      <c r="AB117" s="64" t="e">
        <f>VLOOKUP(A117,Enforcements!$C$7:$K$21,8,0)</f>
        <v>#N/A</v>
      </c>
      <c r="AC117" s="60" t="e">
        <f>VLOOKUP(A117,Enforcements!$C$7:$E$21,3,0)</f>
        <v>#N/A</v>
      </c>
      <c r="AD117" s="61" t="str">
        <f t="shared" si="56"/>
        <v>0205-01</v>
      </c>
      <c r="AE117" s="91" t="str">
        <f t="shared" si="42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17" s="88" t="str">
        <f t="shared" si="43"/>
        <v>"C:\Program Files (x86)\AstroGrep\AstroGrep.exe" /spath="%USERPROFILE%\AppData\Local\Temp\OnboardLogs" /stypes="app*4040*20161101*" /stext=" 23:.+((SYSTEM_STATE.+slice.+state.+changed )|(ment ac)|(system.+state.+changed )|(\[timeout)|(PRM\|1\|D)|(kpr)|(kdp)|(\|lc)|(penalty))" /e /r /s</v>
      </c>
      <c r="AG117" s="1" t="str">
        <f t="shared" si="57"/>
        <v>EC</v>
      </c>
      <c r="AH117" s="92" t="str">
        <f t="shared" si="44"/>
        <v>"%USERPROFILE%\Documents\GitHub\eaglep3\Utilities\RefineRTDCRunTimes.py" --tripid 205-01 --locoid 4040 --swversion DE.1.0.8.0 --startMP 204:460 --initTime 2016-11-01T16:42:18 --startdatetime 2016-11-01T16:45:29 --delay 1 --endMP 204:233288 --enddatetime 2016-11-01T17:19:35 --enforcementcount 0 &gt;&gt;C:\Users\stu\Documents\GitHub\eaglep3-reporting\EC\2016-11-01-refined-times.txt</v>
      </c>
      <c r="AI11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{"issue":{"subject":"","project_id":79,"tracker_id":40,"status_id":1,"priority_id":2,"assigned_to_id":23,"start_date":"2016-11-01","description":"","custom_fields":[{"id":1,"name":"Subdivision","value":"EC"},{"id":4,"name":"Milepost","value":"23.3288"},{"id":17,"name":"Train ID","value":"205-01"},{"id":16,"name":"Locomotive ID","value":"4040"},{"id":130,"name":"Impact","value":""},{"id":150,"name":"Time of Event (Mountain Time)","value":"17:19:35"},{"id":151,"name":"Denver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541</v>
      </c>
      <c r="B118" s="7">
        <v>4039</v>
      </c>
      <c r="C118" s="22" t="s">
        <v>253</v>
      </c>
      <c r="D118" s="22" t="s">
        <v>284</v>
      </c>
      <c r="E118" s="13">
        <v>42675.733425925922</v>
      </c>
      <c r="F118" s="13">
        <v>42675.73978009259</v>
      </c>
      <c r="G118" s="7">
        <v>1</v>
      </c>
      <c r="H118" s="13" t="s">
        <v>243</v>
      </c>
      <c r="I118" s="13">
        <v>42675.765011574076</v>
      </c>
      <c r="J118" s="7">
        <v>0</v>
      </c>
      <c r="K118" s="112" t="str">
        <f t="shared" si="46"/>
        <v>4039/4040</v>
      </c>
      <c r="L118" s="22" t="str">
        <f>VLOOKUP(A118,'Trips&amp;Operators'!$C$1:$E$10000,3,FALSE)</f>
        <v>HELVIE</v>
      </c>
      <c r="M118" s="6">
        <f t="shared" si="47"/>
        <v>2.5231481486116536E-2</v>
      </c>
      <c r="N118" s="7">
        <f t="shared" si="60"/>
        <v>36.333333340007812</v>
      </c>
      <c r="O118" s="7"/>
      <c r="P118" s="7"/>
      <c r="Q118" s="23"/>
      <c r="R118" s="23"/>
      <c r="S118" s="35">
        <f t="shared" si="48"/>
        <v>1</v>
      </c>
      <c r="T118" s="50" t="str">
        <f t="shared" si="4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16:36:08-0600',mode:absolute,to:'2016-11-01 19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18" s="52" t="str">
        <f t="shared" si="51"/>
        <v>N</v>
      </c>
      <c r="X118" s="177">
        <f t="shared" si="61"/>
        <v>1</v>
      </c>
      <c r="Y118" s="67">
        <f t="shared" si="53"/>
        <v>23.2973</v>
      </c>
      <c r="Z118" s="67">
        <f t="shared" si="54"/>
        <v>1.67E-2</v>
      </c>
      <c r="AA118" s="67">
        <f t="shared" si="55"/>
        <v>23.2806</v>
      </c>
      <c r="AB118" s="64" t="e">
        <f>VLOOKUP(A118,Enforcements!$C$7:$K$21,8,0)</f>
        <v>#N/A</v>
      </c>
      <c r="AC118" s="60" t="e">
        <f>VLOOKUP(A118,Enforcements!$C$7:$E$21,3,0)</f>
        <v>#N/A</v>
      </c>
      <c r="AD118" s="61" t="str">
        <f t="shared" si="56"/>
        <v>0206-01</v>
      </c>
      <c r="AE118" s="91" t="str">
        <f t="shared" si="42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118" s="88" t="str">
        <f t="shared" si="43"/>
        <v>"C:\Program Files (x86)\AstroGrep\AstroGrep.exe" /spath="%USERPROFILE%\AppData\Local\Temp\OnboardLogs" /stypes="app*4039*20161102*" /stext=" 00:.+((SYSTEM_STATE.+slice.+state.+changed )|(ment ac)|(system.+state.+changed )|(\[timeout)|(PRM\|1\|D)|(kpr)|(kdp)|(\|lc)|(penalty))" /e /r /s</v>
      </c>
      <c r="AG118" s="1" t="str">
        <f t="shared" si="57"/>
        <v>EC</v>
      </c>
      <c r="AH118" s="92" t="str">
        <f t="shared" si="44"/>
        <v>"%USERPROFILE%\Documents\GitHub\eaglep3\Utilities\RefineRTDCRunTimes.py" --tripid 206-01 --locoid 4039 --swversion DE.1.0.8.0 --startMP 204:232973 --initTime 2016-11-01T17:36:08 --startdatetime 2016-11-01T17:45:17 --delay 1 --endMP 204:167 --enddatetime 2016-11-01T18:21:37 --enforcementcount 0 &gt;&gt;C:\Users\stu\Documents\GitHub\eaglep3-reporting\EC\2016-11-01-refined-times.txt</v>
      </c>
      <c r="AI11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{"issue":{"subject":"","project_id":79,"tracker_id":40,"status_id":1,"priority_id":2,"assigned_to_id":23,"start_date":"2016-11-01","description":"","custom_fields":[{"id":1,"name":"Subdivision","value":"EC"},{"id":4,"name":"Milepost","value":"0.0167"},{"id":17,"name":"Train ID","value":"206-01"},{"id":16,"name":"Locomotive ID","value":"4039"},{"id":130,"name":"Impact","value":""},{"id":150,"name":"Time of Event (Mountain Time)","value":"18:21:37"},{"id":151,"name":"Denver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535</v>
      </c>
      <c r="B119" s="7">
        <v>4014</v>
      </c>
      <c r="C119" s="22" t="s">
        <v>253</v>
      </c>
      <c r="D119" s="22" t="s">
        <v>215</v>
      </c>
      <c r="E119" s="13">
        <v>42675.705011574071</v>
      </c>
      <c r="F119" s="13">
        <v>42675.708657407406</v>
      </c>
      <c r="G119" s="7">
        <v>1</v>
      </c>
      <c r="H119" s="13" t="s">
        <v>651</v>
      </c>
      <c r="I119" s="13">
        <v>42675.733587962961</v>
      </c>
      <c r="J119" s="7">
        <v>0</v>
      </c>
      <c r="K119" s="112" t="str">
        <f t="shared" si="46"/>
        <v>4013/4014</v>
      </c>
      <c r="L119" s="22" t="str">
        <f>VLOOKUP(A119,'Trips&amp;Operators'!$C$1:$E$10000,3,FALSE)</f>
        <v>MCREYNOLDS</v>
      </c>
      <c r="M119" s="6">
        <f t="shared" si="47"/>
        <v>2.4930555555329192E-2</v>
      </c>
      <c r="N119" s="7">
        <f t="shared" si="60"/>
        <v>35.899999999674037</v>
      </c>
      <c r="O119" s="7"/>
      <c r="P119" s="7"/>
      <c r="Q119" s="23"/>
      <c r="R119" s="23"/>
      <c r="S119" s="35">
        <f t="shared" si="48"/>
        <v>1</v>
      </c>
      <c r="T119" s="50" t="str">
        <f t="shared" si="4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15:55:13-0600',mode:absolute,to:'2016-11-01 18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9" s="52" t="str">
        <f t="shared" si="51"/>
        <v>N</v>
      </c>
      <c r="X119" s="177">
        <f t="shared" si="61"/>
        <v>1</v>
      </c>
      <c r="Y119" s="67">
        <f t="shared" si="53"/>
        <v>4.5999999999999999E-2</v>
      </c>
      <c r="Z119" s="67">
        <f t="shared" si="54"/>
        <v>23.3306</v>
      </c>
      <c r="AA119" s="67">
        <f t="shared" si="55"/>
        <v>23.284600000000001</v>
      </c>
      <c r="AB119" s="64" t="e">
        <f>VLOOKUP(A119,Enforcements!$C$7:$K$21,8,0)</f>
        <v>#N/A</v>
      </c>
      <c r="AC119" s="60" t="e">
        <f>VLOOKUP(A119,Enforcements!$C$7:$E$21,3,0)</f>
        <v>#N/A</v>
      </c>
      <c r="AD119" s="61" t="str">
        <f t="shared" si="56"/>
        <v>0207-01</v>
      </c>
      <c r="AE119" s="91" t="str">
        <f t="shared" si="42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119" s="88" t="str">
        <f t="shared" si="43"/>
        <v>"C:\Program Files (x86)\AstroGrep\AstroGrep.exe" /spath="%USERPROFILE%\AppData\Local\Temp\OnboardLogs" /stypes="app*4014*20161101*" /stext=" 23:.+((SYSTEM_STATE.+slice.+state.+changed )|(ment ac)|(system.+state.+changed )|(\[timeout)|(PRM\|1\|D)|(kpr)|(kdp)|(\|lc)|(penalty))" /e /r /s</v>
      </c>
      <c r="AG119" s="1" t="str">
        <f t="shared" si="57"/>
        <v>EC</v>
      </c>
      <c r="AH119" s="92" t="str">
        <f t="shared" si="44"/>
        <v>"%USERPROFILE%\Documents\GitHub\eaglep3\Utilities\RefineRTDCRunTimes.py" --tripid 207-01 --locoid 4014 --swversion DE.1.0.8.0 --startMP 204:460 --initTime 2016-11-01T16:55:13 --startdatetime 2016-11-01T17:00:28 --delay 1 --endMP 204:233306 --enddatetime 2016-11-01T17:36:22 --enforcementcount 0 &gt;&gt;C:\Users\stu\Documents\GitHub\eaglep3-reporting\EC\2016-11-01-refined-times.txt</v>
      </c>
      <c r="AI11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{"issue":{"subject":"","project_id":79,"tracker_id":40,"status_id":1,"priority_id":2,"assigned_to_id":23,"start_date":"2016-11-01","description":"","custom_fields":[{"id":1,"name":"Subdivision","value":"EC"},{"id":4,"name":"Milepost","value":"23.3306"},{"id":17,"name":"Train ID","value":"207-01"},{"id":16,"name":"Locomotive ID","value":"4014"},{"id":130,"name":"Impact","value":""},{"id":150,"name":"Time of Event (Mountain Time)","value":"17:36:22"},{"id":151,"name":"Denver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546</v>
      </c>
      <c r="B120" s="7">
        <v>4013</v>
      </c>
      <c r="C120" s="22" t="s">
        <v>253</v>
      </c>
      <c r="D120" s="22" t="s">
        <v>256</v>
      </c>
      <c r="E120" s="13">
        <v>42675.737453703703</v>
      </c>
      <c r="F120" s="13">
        <v>42675.747407407405</v>
      </c>
      <c r="G120" s="7">
        <v>1</v>
      </c>
      <c r="H120" s="13" t="s">
        <v>203</v>
      </c>
      <c r="I120" s="13">
        <v>42675.777442129627</v>
      </c>
      <c r="J120" s="7">
        <v>0</v>
      </c>
      <c r="K120" s="112" t="str">
        <f t="shared" si="46"/>
        <v>4013/4014</v>
      </c>
      <c r="L120" s="22" t="str">
        <f>VLOOKUP(A120,'Trips&amp;Operators'!$C$1:$E$10000,3,FALSE)</f>
        <v>MCREYNOLDS</v>
      </c>
      <c r="M120" s="6">
        <f t="shared" si="47"/>
        <v>3.0034722221898846E-2</v>
      </c>
      <c r="N120" s="7">
        <f t="shared" si="60"/>
        <v>43.249999999534339</v>
      </c>
      <c r="O120" s="7"/>
      <c r="P120" s="7"/>
      <c r="Q120" s="23"/>
      <c r="R120" s="23"/>
      <c r="S120" s="35">
        <f t="shared" si="48"/>
        <v>1</v>
      </c>
      <c r="T120" s="50" t="str">
        <f t="shared" si="4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16:41:56-0600',mode:absolute,to:'2016-11-01 19:39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0" s="52" t="str">
        <f t="shared" si="51"/>
        <v>N</v>
      </c>
      <c r="X120" s="177">
        <f t="shared" si="61"/>
        <v>1</v>
      </c>
      <c r="Y120" s="67">
        <f t="shared" si="53"/>
        <v>23.298300000000001</v>
      </c>
      <c r="Z120" s="67">
        <f t="shared" si="54"/>
        <v>1.54E-2</v>
      </c>
      <c r="AA120" s="67">
        <f t="shared" si="55"/>
        <v>23.282900000000001</v>
      </c>
      <c r="AB120" s="64" t="e">
        <f>VLOOKUP(A120,Enforcements!$C$7:$K$21,8,0)</f>
        <v>#N/A</v>
      </c>
      <c r="AC120" s="60" t="e">
        <f>VLOOKUP(A120,Enforcements!$C$7:$E$21,3,0)</f>
        <v>#N/A</v>
      </c>
      <c r="AD120" s="61" t="str">
        <f t="shared" si="56"/>
        <v>0208-01</v>
      </c>
      <c r="AE120" s="91" t="str">
        <f t="shared" si="42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120" s="88" t="str">
        <f t="shared" si="43"/>
        <v>"C:\Program Files (x86)\AstroGrep\AstroGrep.exe" /spath="%USERPROFILE%\AppData\Local\Temp\OnboardLogs" /stypes="app*4013*20161102*" /stext=" 00:.+((SYSTEM_STATE.+slice.+state.+changed )|(ment ac)|(system.+state.+changed )|(\[timeout)|(PRM\|1\|D)|(kpr)|(kdp)|(\|lc)|(penalty))" /e /r /s</v>
      </c>
      <c r="AG120" s="1" t="str">
        <f t="shared" si="57"/>
        <v>EC</v>
      </c>
      <c r="AH120" s="92" t="str">
        <f t="shared" si="44"/>
        <v>"%USERPROFILE%\Documents\GitHub\eaglep3\Utilities\RefineRTDCRunTimes.py" --tripid 208-01 --locoid 4013 --swversion DE.1.0.8.0 --startMP 204:232983 --initTime 2016-11-01T17:41:56 --startdatetime 2016-11-01T17:56:16 --delay 1 --endMP 204:154 --enddatetime 2016-11-01T18:39:31 --enforcementcount 0 &gt;&gt;C:\Users\stu\Documents\GitHub\eaglep3-reporting\EC\2016-11-01-refined-times.txt</v>
      </c>
      <c r="AI12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{"issue":{"subject":"","project_id":79,"tracker_id":40,"status_id":1,"priority_id":2,"assigned_to_id":23,"start_date":"2016-11-01","description":"","custom_fields":[{"id":1,"name":"Subdivision","value":"EC"},{"id":4,"name":"Milepost","value":"0.0154"},{"id":17,"name":"Train ID","value":"208-01"},{"id":16,"name":"Locomotive ID","value":"4013"},{"id":130,"name":"Impact","value":""},{"id":150,"name":"Time of Event (Mountain Time)","value":"18:39:31"},{"id":151,"name":"Denver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537</v>
      </c>
      <c r="B121" s="7">
        <v>4022</v>
      </c>
      <c r="C121" s="22" t="s">
        <v>253</v>
      </c>
      <c r="D121" s="22" t="s">
        <v>242</v>
      </c>
      <c r="E121" s="13">
        <v>42675.716296296298</v>
      </c>
      <c r="F121" s="13">
        <v>42675.71912037037</v>
      </c>
      <c r="G121" s="7">
        <v>3</v>
      </c>
      <c r="H121" s="13" t="s">
        <v>249</v>
      </c>
      <c r="I121" s="13">
        <v>42675.745185185187</v>
      </c>
      <c r="J121" s="7">
        <v>0</v>
      </c>
      <c r="K121" s="112" t="str">
        <f t="shared" si="46"/>
        <v>4021/4022</v>
      </c>
      <c r="L121" s="22" t="str">
        <f>VLOOKUP(A121,'Trips&amp;Operators'!$C$1:$E$10000,3,FALSE)</f>
        <v>JOHNSON</v>
      </c>
      <c r="M121" s="6">
        <f t="shared" si="47"/>
        <v>2.6064814817800652E-2</v>
      </c>
      <c r="N121" s="7">
        <f t="shared" si="60"/>
        <v>37.533333337632939</v>
      </c>
      <c r="O121" s="7"/>
      <c r="P121" s="7"/>
      <c r="Q121" s="23"/>
      <c r="R121" s="23"/>
      <c r="S121" s="35">
        <f t="shared" si="48"/>
        <v>1</v>
      </c>
      <c r="T121" s="50" t="str">
        <f t="shared" si="4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16:11:28-0600',mode:absolute,to:'2016-11-01 18:53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1" s="52" t="str">
        <f t="shared" si="51"/>
        <v>N</v>
      </c>
      <c r="X121" s="177">
        <f t="shared" si="61"/>
        <v>1</v>
      </c>
      <c r="Y121" s="67">
        <f t="shared" si="53"/>
        <v>4.5699999999999998E-2</v>
      </c>
      <c r="Z121" s="67">
        <f t="shared" si="54"/>
        <v>23.330100000000002</v>
      </c>
      <c r="AA121" s="67">
        <f t="shared" si="55"/>
        <v>23.284400000000002</v>
      </c>
      <c r="AB121" s="64" t="e">
        <f>VLOOKUP(A121,Enforcements!$C$7:$K$21,8,0)</f>
        <v>#N/A</v>
      </c>
      <c r="AC121" s="60" t="e">
        <f>VLOOKUP(A121,Enforcements!$C$7:$E$21,3,0)</f>
        <v>#N/A</v>
      </c>
      <c r="AD121" s="61" t="str">
        <f t="shared" si="56"/>
        <v>0209-01</v>
      </c>
      <c r="AE121" s="91" t="str">
        <f t="shared" si="42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21" s="88" t="str">
        <f t="shared" si="43"/>
        <v>"C:\Program Files (x86)\AstroGrep\AstroGrep.exe" /spath="%USERPROFILE%\AppData\Local\Temp\OnboardLogs" /stypes="app*4022*20161101*" /stext=" 23:.+((SYSTEM_STATE.+slice.+state.+changed )|(ment ac)|(system.+state.+changed )|(\[timeout)|(PRM\|1\|D)|(kpr)|(kdp)|(\|lc)|(penalty))" /e /r /s</v>
      </c>
      <c r="AG121" s="1" t="str">
        <f t="shared" si="57"/>
        <v>EC</v>
      </c>
      <c r="AH121" s="92" t="str">
        <f t="shared" si="44"/>
        <v>"%USERPROFILE%\Documents\GitHub\eaglep3\Utilities\RefineRTDCRunTimes.py" --tripid 209-01 --locoid 4022 --swversion DE.1.0.8.0 --startMP 204:457 --initTime 2016-11-01T17:11:28 --startdatetime 2016-11-01T17:15:32 --delay 3 --endMP 204:233301 --enddatetime 2016-11-01T17:53:04 --enforcementcount 0 &gt;&gt;C:\Users\stu\Documents\GitHub\eaglep3-reporting\EC\2016-11-01-refined-times.txt</v>
      </c>
      <c r="AI12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{"issue":{"subject":"","project_id":79,"tracker_id":40,"status_id":1,"priority_id":2,"assigned_to_id":23,"start_date":"2016-11-01","description":"","custom_fields":[{"id":1,"name":"Subdivision","value":"EC"},{"id":4,"name":"Milepost","value":"23.3301"},{"id":17,"name":"Train ID","value":"209-01"},{"id":16,"name":"Locomotive ID","value":"4022"},{"id":130,"name":"Impact","value":""},{"id":150,"name":"Time of Event (Mountain Time)","value":"17:53:04"},{"id":151,"name":"Denver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549</v>
      </c>
      <c r="B122" s="7">
        <v>4021</v>
      </c>
      <c r="C122" s="22" t="s">
        <v>253</v>
      </c>
      <c r="D122" s="22" t="s">
        <v>284</v>
      </c>
      <c r="E122" s="13">
        <v>42675.751886574071</v>
      </c>
      <c r="F122" s="13">
        <v>42675.758877314816</v>
      </c>
      <c r="G122" s="7">
        <v>1</v>
      </c>
      <c r="H122" s="13" t="s">
        <v>181</v>
      </c>
      <c r="I122" s="13">
        <v>42675.786249999997</v>
      </c>
      <c r="J122" s="7">
        <v>0</v>
      </c>
      <c r="K122" s="112" t="str">
        <f t="shared" si="46"/>
        <v>4021/4022</v>
      </c>
      <c r="L122" s="22" t="str">
        <f>VLOOKUP(A122,'Trips&amp;Operators'!$C$1:$E$10000,3,FALSE)</f>
        <v>JOHNSON</v>
      </c>
      <c r="M122" s="6">
        <f t="shared" si="47"/>
        <v>2.7372685181035195E-2</v>
      </c>
      <c r="N122" s="7">
        <f t="shared" si="60"/>
        <v>39.41666666069068</v>
      </c>
      <c r="O122" s="7"/>
      <c r="P122" s="7"/>
      <c r="Q122" s="23"/>
      <c r="R122" s="23"/>
      <c r="S122" s="35">
        <f t="shared" si="48"/>
        <v>1</v>
      </c>
      <c r="T122" s="50" t="str">
        <f t="shared" si="4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17:02:43-0600',mode:absolute,to:'2016-11-01 19:52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2" s="52" t="str">
        <f t="shared" si="51"/>
        <v>N</v>
      </c>
      <c r="X122" s="177">
        <f t="shared" si="61"/>
        <v>1</v>
      </c>
      <c r="Y122" s="67">
        <f t="shared" si="53"/>
        <v>23.2973</v>
      </c>
      <c r="Z122" s="67">
        <f t="shared" si="54"/>
        <v>1.41E-2</v>
      </c>
      <c r="AA122" s="67">
        <f t="shared" si="55"/>
        <v>23.283200000000001</v>
      </c>
      <c r="AB122" s="64" t="e">
        <f>VLOOKUP(A122,Enforcements!$C$7:$K$21,8,0)</f>
        <v>#N/A</v>
      </c>
      <c r="AC122" s="60" t="e">
        <f>VLOOKUP(A122,Enforcements!$C$7:$E$21,3,0)</f>
        <v>#N/A</v>
      </c>
      <c r="AD122" s="61" t="str">
        <f t="shared" si="56"/>
        <v>0210-01</v>
      </c>
      <c r="AE122" s="91" t="str">
        <f t="shared" si="42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22" s="88" t="str">
        <f t="shared" si="43"/>
        <v>"C:\Program Files (x86)\AstroGrep\AstroGrep.exe" /spath="%USERPROFILE%\AppData\Local\Temp\OnboardLogs" /stypes="app*4021*20161102*" /stext=" 00:.+((SYSTEM_STATE.+slice.+state.+changed )|(ment ac)|(system.+state.+changed )|(\[timeout)|(PRM\|1\|D)|(kpr)|(kdp)|(\|lc)|(penalty))" /e /r /s</v>
      </c>
      <c r="AG122" s="1" t="str">
        <f t="shared" si="57"/>
        <v>EC</v>
      </c>
      <c r="AH122" s="92" t="str">
        <f t="shared" si="44"/>
        <v>"%USERPROFILE%\Documents\GitHub\eaglep3\Utilities\RefineRTDCRunTimes.py" --tripid 210-01 --locoid 4021 --swversion DE.1.0.8.0 --startMP 204:232973 --initTime 2016-11-01T18:02:43 --startdatetime 2016-11-01T18:12:47 --delay 1 --endMP 204:141 --enddatetime 2016-11-01T18:52:12 --enforcementcount 0 &gt;&gt;C:\Users\stu\Documents\GitHub\eaglep3-reporting\EC\2016-11-01-refined-times.txt</v>
      </c>
      <c r="AI12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{"issue":{"subject":"","project_id":79,"tracker_id":40,"status_id":1,"priority_id":2,"assigned_to_id":23,"start_date":"2016-11-01","description":"","custom_fields":[{"id":1,"name":"Subdivision","value":"EC"},{"id":4,"name":"Milepost","value":"0.0141"},{"id":17,"name":"Train ID","value":"210-01"},{"id":16,"name":"Locomotive ID","value":"4021"},{"id":130,"name":"Impact","value":""},{"id":150,"name":"Time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539</v>
      </c>
      <c r="B123" s="7">
        <v>4038</v>
      </c>
      <c r="C123" s="22" t="s">
        <v>253</v>
      </c>
      <c r="D123" s="22" t="s">
        <v>216</v>
      </c>
      <c r="E123" s="13">
        <v>42675.725289351853</v>
      </c>
      <c r="F123" s="13">
        <v>42675.729525462964</v>
      </c>
      <c r="G123" s="7">
        <v>1</v>
      </c>
      <c r="H123" s="13" t="s">
        <v>349</v>
      </c>
      <c r="I123" s="13">
        <v>42675.758460648147</v>
      </c>
      <c r="J123" s="7">
        <v>0</v>
      </c>
      <c r="K123" s="112" t="str">
        <f t="shared" si="46"/>
        <v>4037/4038</v>
      </c>
      <c r="L123" s="22" t="str">
        <f>VLOOKUP(A123,'Trips&amp;Operators'!$C$1:$E$10000,3,FALSE)</f>
        <v>YOUNG</v>
      </c>
      <c r="M123" s="6">
        <f t="shared" si="47"/>
        <v>2.8935185182490386E-2</v>
      </c>
      <c r="N123" s="7">
        <f t="shared" si="60"/>
        <v>41.666666662786156</v>
      </c>
      <c r="O123" s="7"/>
      <c r="P123" s="7"/>
      <c r="Q123" s="23"/>
      <c r="R123" s="23"/>
      <c r="S123" s="35">
        <f t="shared" si="48"/>
        <v>1</v>
      </c>
      <c r="T123" s="50" t="str">
        <f t="shared" si="4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16:24:25-0600',mode:absolute,to:'2016-11-01 19:12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3" s="52" t="str">
        <f t="shared" si="51"/>
        <v>N</v>
      </c>
      <c r="X123" s="177">
        <f t="shared" si="61"/>
        <v>1</v>
      </c>
      <c r="Y123" s="67">
        <f t="shared" si="53"/>
        <v>4.5100000000000001E-2</v>
      </c>
      <c r="Z123" s="67">
        <f t="shared" si="54"/>
        <v>23.331199999999999</v>
      </c>
      <c r="AA123" s="67">
        <f t="shared" si="55"/>
        <v>23.286099999999998</v>
      </c>
      <c r="AB123" s="64" t="e">
        <f>VLOOKUP(A123,Enforcements!$C$7:$K$21,8,0)</f>
        <v>#N/A</v>
      </c>
      <c r="AC123" s="60" t="e">
        <f>VLOOKUP(A123,Enforcements!$C$7:$E$21,3,0)</f>
        <v>#N/A</v>
      </c>
      <c r="AD123" s="61" t="str">
        <f t="shared" si="56"/>
        <v>0211-01</v>
      </c>
      <c r="AE123" s="91" t="str">
        <f t="shared" si="42"/>
        <v>aws s3 cp s3://rtdc.mdm.uploadarchive.raw/RTDC4038/ "%USERPROFILE%\AppData\Local\Temp\OnboardLogs"\RTDC4038\2016-11-01 --exclude "*" --recursive --include "*20161101*" &amp; "%USERPROFILE%\Documents\GitHub\mrs-test-scripts\Headless Mode &amp; Sideloading\WalkAndUnGZ.bat" "%USERPROFILE%\AppData\Local\Temp\OnboardLogs"\RTDC4038\2016-11-01 &amp; aws s3 cp s3://rtdc.mdm.uploadarchive.raw/RTDC4038/ "%USERPROFILE%\AppData\Local\Temp\OnboardLogs"\RTDC4038\2016-11-02 --exclude "*" --recursive --include "*20161102*" &amp; "%USERPROFILE%\Documents\GitHub\mrs-test-scripts\Headless Mode &amp; Sideloading\WalkAndUnGZ.bat" "%USERPROFILE%\AppData\Local\Temp\OnboardLogs"\RTDC4038\2016-11-02</v>
      </c>
      <c r="AF123" s="88" t="str">
        <f t="shared" si="43"/>
        <v>"C:\Program Files (x86)\AstroGrep\AstroGrep.exe" /spath="%USERPROFILE%\AppData\Local\Temp\OnboardLogs" /stypes="app*4038*20161102*" /stext=" 00:.+((SYSTEM_STATE.+slice.+state.+changed )|(ment ac)|(system.+state.+changed )|(\[timeout)|(PRM\|1\|D)|(kpr)|(kdp)|(\|lc)|(penalty))" /e /r /s</v>
      </c>
      <c r="AG123" s="1" t="str">
        <f t="shared" si="57"/>
        <v>EC</v>
      </c>
      <c r="AH123" s="92" t="str">
        <f t="shared" si="44"/>
        <v>"%USERPROFILE%\Documents\GitHub\eaglep3\Utilities\RefineRTDCRunTimes.py" --tripid 211-01 --locoid 4038 --swversion DE.1.0.8.0 --startMP 204:451 --initTime 2016-11-01T17:24:25 --startdatetime 2016-11-01T17:30:31 --delay 1 --endMP 204:233312 --enddatetime 2016-11-01T18:12:11 --enforcementcount 0 &gt;&gt;C:\Users\stu\Documents\GitHub\eaglep3-reporting\EC\2016-11-01-refined-times.txt</v>
      </c>
      <c r="AI123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{"issue":{"subject":"","project_id":79,"tracker_id":40,"status_id":1,"priority_id":2,"assigned_to_id":23,"start_date":"2016-11-01","description":"","custom_fields":[{"id":1,"name":"Subdivision","value":"EC"},{"id":4,"name":"Milepost","value":"23.3312"},{"id":17,"name":"Train ID","value":"211-01"},{"id":16,"name":"Locomotive ID","value":"4038"},{"id":130,"name":"Impact","value":""},{"id":150,"name":"Time of Event (Mountain Time)","value":"18:12:11"},{"id":151,"name":"Denver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551</v>
      </c>
      <c r="B124" s="7">
        <v>4037</v>
      </c>
      <c r="C124" s="22" t="s">
        <v>253</v>
      </c>
      <c r="D124" s="22" t="s">
        <v>652</v>
      </c>
      <c r="E124" s="13">
        <v>42675.762465277781</v>
      </c>
      <c r="F124" s="13">
        <v>42675.76866898148</v>
      </c>
      <c r="G124" s="7">
        <v>1</v>
      </c>
      <c r="H124" s="13" t="s">
        <v>181</v>
      </c>
      <c r="I124" s="13">
        <v>42675.797986111109</v>
      </c>
      <c r="J124" s="7">
        <v>0</v>
      </c>
      <c r="K124" s="112" t="str">
        <f t="shared" si="46"/>
        <v>4037/4038</v>
      </c>
      <c r="L124" s="22" t="str">
        <f>VLOOKUP(A124,'Trips&amp;Operators'!$C$1:$E$10000,3,FALSE)</f>
        <v>YOUNG</v>
      </c>
      <c r="M124" s="6">
        <f t="shared" si="47"/>
        <v>2.9317129628907423E-2</v>
      </c>
      <c r="N124" s="7">
        <f t="shared" si="60"/>
        <v>42.21666666562669</v>
      </c>
      <c r="O124" s="7"/>
      <c r="P124" s="7"/>
      <c r="Q124" s="23"/>
      <c r="R124" s="23"/>
      <c r="S124" s="35">
        <f t="shared" si="48"/>
        <v>1</v>
      </c>
      <c r="T124" s="50" t="str">
        <f t="shared" si="4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17:17:57-0600',mode:absolute,to:'2016-11-01 20:09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4" s="52" t="str">
        <f t="shared" si="51"/>
        <v>N</v>
      </c>
      <c r="X124" s="177">
        <f t="shared" si="61"/>
        <v>1</v>
      </c>
      <c r="Y124" s="67">
        <f t="shared" si="53"/>
        <v>23.3004</v>
      </c>
      <c r="Z124" s="67">
        <f t="shared" si="54"/>
        <v>1.41E-2</v>
      </c>
      <c r="AA124" s="67">
        <f t="shared" si="55"/>
        <v>23.286300000000001</v>
      </c>
      <c r="AB124" s="64" t="e">
        <f>VLOOKUP(A124,Enforcements!$C$7:$K$21,8,0)</f>
        <v>#N/A</v>
      </c>
      <c r="AC124" s="60" t="e">
        <f>VLOOKUP(A124,Enforcements!$C$7:$E$21,3,0)</f>
        <v>#N/A</v>
      </c>
      <c r="AD124" s="61" t="str">
        <f t="shared" si="56"/>
        <v>0212-01</v>
      </c>
      <c r="AE124" s="91" t="str">
        <f t="shared" si="42"/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AF124" s="88" t="str">
        <f t="shared" si="43"/>
        <v>"C:\Program Files (x86)\AstroGrep\AstroGrep.exe" /spath="%USERPROFILE%\AppData\Local\Temp\OnboardLogs" /stypes="app*4037*20161102*" /stext=" 01:.+((SYSTEM_STATE.+slice.+state.+changed )|(ment ac)|(system.+state.+changed )|(\[timeout)|(PRM\|1\|D)|(kpr)|(kdp)|(\|lc)|(penalty))" /e /r /s</v>
      </c>
      <c r="AG124" s="1" t="str">
        <f t="shared" si="57"/>
        <v>EC</v>
      </c>
      <c r="AH124" s="92" t="str">
        <f t="shared" si="44"/>
        <v>"%USERPROFILE%\Documents\GitHub\eaglep3\Utilities\RefineRTDCRunTimes.py" --tripid 212-01 --locoid 4037 --swversion DE.1.0.8.0 --startMP 204:233004 --initTime 2016-11-01T18:17:57 --startdatetime 2016-11-01T18:26:53 --delay 1 --endMP 204:141 --enddatetime 2016-11-01T19:09:06 --enforcementcount 0 &gt;&gt;C:\Users\stu\Documents\GitHub\eaglep3-reporting\EC\2016-11-01-refined-times.txt</v>
      </c>
      <c r="AI12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{"issue":{"subject":"","project_id":79,"tracker_id":40,"status_id":1,"priority_id":2,"assigned_to_id":23,"start_date":"2016-11-01","description":"","custom_fields":[{"id":1,"name":"Subdivision","value":"EC"},{"id":4,"name":"Milepost","value":"0.0141"},{"id":17,"name":"Train ID","value":"212-01"},{"id":16,"name":"Locomotive ID","value":"4037"},{"id":130,"name":"Impact","value":""},{"id":150,"name":"Time of Event (Mountain Time)","value":"19:09:06"},{"id":151,"name":"Denver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543</v>
      </c>
      <c r="B125" s="7">
        <v>4029</v>
      </c>
      <c r="C125" s="22" t="s">
        <v>253</v>
      </c>
      <c r="D125" s="22" t="s">
        <v>212</v>
      </c>
      <c r="E125" s="13">
        <v>42675.736724537041</v>
      </c>
      <c r="F125" s="13">
        <v>42675.73978009259</v>
      </c>
      <c r="G125" s="7">
        <v>1</v>
      </c>
      <c r="H125" s="13" t="s">
        <v>286</v>
      </c>
      <c r="I125" s="13">
        <v>42675.765011574076</v>
      </c>
      <c r="J125" s="7">
        <v>0</v>
      </c>
      <c r="K125" s="112" t="str">
        <f t="shared" si="46"/>
        <v>4029/4030</v>
      </c>
      <c r="L125" s="22" t="str">
        <f>VLOOKUP(A125,'Trips&amp;Operators'!$C$1:$E$10000,3,FALSE)</f>
        <v>CRAYTON</v>
      </c>
      <c r="M125" s="6">
        <f t="shared" si="47"/>
        <v>2.5231481486116536E-2</v>
      </c>
      <c r="N125" s="7">
        <f t="shared" si="60"/>
        <v>36.333333340007812</v>
      </c>
      <c r="O125" s="7"/>
      <c r="P125" s="7"/>
      <c r="Q125" s="23"/>
      <c r="R125" s="23"/>
      <c r="S125" s="35">
        <f t="shared" si="48"/>
        <v>1</v>
      </c>
      <c r="T125" s="50" t="str">
        <f t="shared" si="4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16:40:53-0600',mode:absolute,to:'2016-11-01 19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5" s="52" t="str">
        <f t="shared" si="51"/>
        <v>N</v>
      </c>
      <c r="X125" s="177">
        <f t="shared" si="61"/>
        <v>1</v>
      </c>
      <c r="Y125" s="67">
        <f t="shared" si="53"/>
        <v>4.6600000000000003E-2</v>
      </c>
      <c r="Z125" s="67">
        <f t="shared" si="54"/>
        <v>23.330300000000001</v>
      </c>
      <c r="AA125" s="67">
        <f t="shared" si="55"/>
        <v>23.2837</v>
      </c>
      <c r="AB125" s="64" t="e">
        <f>VLOOKUP(A125,Enforcements!$C$7:$K$21,8,0)</f>
        <v>#N/A</v>
      </c>
      <c r="AC125" s="60" t="e">
        <f>VLOOKUP(A125,Enforcements!$C$7:$E$21,3,0)</f>
        <v>#N/A</v>
      </c>
      <c r="AD125" s="61" t="str">
        <f t="shared" si="56"/>
        <v>0213-01</v>
      </c>
      <c r="AE125" s="91" t="str">
        <f t="shared" si="42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125" s="88" t="str">
        <f t="shared" si="43"/>
        <v>"C:\Program Files (x86)\AstroGrep\AstroGrep.exe" /spath="%USERPROFILE%\AppData\Local\Temp\OnboardLogs" /stypes="app*4029*20161102*" /stext=" 00:.+((SYSTEM_STATE.+slice.+state.+changed )|(ment ac)|(system.+state.+changed )|(\[timeout)|(PRM\|1\|D)|(kpr)|(kdp)|(\|lc)|(penalty))" /e /r /s</v>
      </c>
      <c r="AG125" s="1" t="str">
        <f t="shared" si="57"/>
        <v>EC</v>
      </c>
      <c r="AH125" s="92" t="str">
        <f t="shared" si="44"/>
        <v>"%USERPROFILE%\Documents\GitHub\eaglep3\Utilities\RefineRTDCRunTimes.py" --tripid 213-01 --locoid 4029 --swversion DE.1.0.8.0 --startMP 204:466 --initTime 2016-11-01T17:40:53 --startdatetime 2016-11-01T17:45:17 --delay 1 --endMP 204:233303 --enddatetime 2016-11-01T18:21:37 --enforcementcount 0 &gt;&gt;C:\Users\stu\Documents\GitHub\eaglep3-reporting\EC\2016-11-01-refined-times.txt</v>
      </c>
      <c r="AI12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{"issue":{"subject":"","project_id":79,"tracker_id":40,"status_id":1,"priority_id":2,"assigned_to_id":23,"start_date":"2016-11-01","description":"","custom_fields":[{"id":1,"name":"Subdivision","value":"EC"},{"id":4,"name":"Milepost","value":"23.3303"},{"id":17,"name":"Train ID","value":"213-01"},{"id":16,"name":"Locomotive ID","value":"4029"},{"id":130,"name":"Impact","value":""},{"id":150,"name":"Time of Event (Mountain Time)","value":"18:21:37"},{"id":151,"name":"Denver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554</v>
      </c>
      <c r="B126" s="7">
        <v>4030</v>
      </c>
      <c r="C126" s="22" t="s">
        <v>253</v>
      </c>
      <c r="D126" s="22" t="s">
        <v>613</v>
      </c>
      <c r="E126" s="13">
        <v>42675.771064814813</v>
      </c>
      <c r="F126" s="13">
        <v>42675.778634259259</v>
      </c>
      <c r="G126" s="7">
        <v>3</v>
      </c>
      <c r="H126" s="13" t="s">
        <v>269</v>
      </c>
      <c r="I126" s="13">
        <v>42675.805011574077</v>
      </c>
      <c r="J126" s="7">
        <v>0</v>
      </c>
      <c r="K126" s="112" t="str">
        <f t="shared" si="46"/>
        <v>4029/4030</v>
      </c>
      <c r="L126" s="22" t="str">
        <f>VLOOKUP(A126,'Trips&amp;Operators'!$C$1:$E$10000,3,FALSE)</f>
        <v>CRAYTON</v>
      </c>
      <c r="M126" s="6">
        <f t="shared" si="47"/>
        <v>2.6377314818091691E-2</v>
      </c>
      <c r="N126" s="7">
        <f t="shared" ref="N126:N156" si="62">24*60*SUM($M126:$M126)</f>
        <v>37.983333338052034</v>
      </c>
      <c r="O126" s="7"/>
      <c r="P126" s="7"/>
      <c r="Q126" s="23"/>
      <c r="R126" s="23"/>
      <c r="S126" s="35">
        <f t="shared" si="48"/>
        <v>1</v>
      </c>
      <c r="T126" s="50" t="str">
        <f t="shared" si="4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17:30:20-0600',mode:absolute,to:'2016-11-01 20:19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6" s="52" t="str">
        <f t="shared" si="51"/>
        <v>N</v>
      </c>
      <c r="X126" s="177">
        <f t="shared" si="61"/>
        <v>1</v>
      </c>
      <c r="Y126" s="67">
        <f t="shared" si="53"/>
        <v>23.299800000000001</v>
      </c>
      <c r="Z126" s="67">
        <f t="shared" si="54"/>
        <v>1.3599999999999999E-2</v>
      </c>
      <c r="AA126" s="67">
        <f t="shared" si="55"/>
        <v>23.286200000000001</v>
      </c>
      <c r="AB126" s="64" t="e">
        <f>VLOOKUP(A126,Enforcements!$C$7:$K$21,8,0)</f>
        <v>#N/A</v>
      </c>
      <c r="AC126" s="60" t="e">
        <f>VLOOKUP(A126,Enforcements!$C$7:$E$21,3,0)</f>
        <v>#N/A</v>
      </c>
      <c r="AD126" s="61" t="str">
        <f t="shared" si="56"/>
        <v>0214-01</v>
      </c>
      <c r="AE126" s="91" t="str">
        <f t="shared" si="42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126" s="88" t="str">
        <f t="shared" si="43"/>
        <v>"C:\Program Files (x86)\AstroGrep\AstroGrep.exe" /spath="%USERPROFILE%\AppData\Local\Temp\OnboardLogs" /stypes="app*4030*20161102*" /stext=" 01:.+((SYSTEM_STATE.+slice.+state.+changed )|(ment ac)|(system.+state.+changed )|(\[timeout)|(PRM\|1\|D)|(kpr)|(kdp)|(\|lc)|(penalty))" /e /r /s</v>
      </c>
      <c r="AG126" s="1" t="str">
        <f t="shared" si="57"/>
        <v>EC</v>
      </c>
      <c r="AH126" s="92" t="str">
        <f t="shared" si="44"/>
        <v>"%USERPROFILE%\Documents\GitHub\eaglep3\Utilities\RefineRTDCRunTimes.py" --tripid 214-01 --locoid 4030 --swversion DE.1.0.8.0 --startMP 204:232998 --initTime 2016-11-01T18:30:20 --startdatetime 2016-11-01T18:41:14 --delay 3 --endMP 204:136 --enddatetime 2016-11-01T19:19:13 --enforcementcount 0 &gt;&gt;C:\Users\stu\Documents\GitHub\eaglep3-reporting\EC\2016-11-01-refined-times.txt</v>
      </c>
      <c r="AI126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{"issue":{"subject":"","project_id":79,"tracker_id":40,"status_id":1,"priority_id":2,"assigned_to_id":23,"start_date":"2016-11-01","description":"","custom_fields":[{"id":1,"name":"Subdivision","value":"EC"},{"id":4,"name":"Milepost","value":"0.0136"},{"id":17,"name":"Train ID","value":"214-01"},{"id":16,"name":"Locomotive ID","value":"4030"},{"id":130,"name":"Impact","value":""},{"id":150,"name":"Time of Event (Mountain Time)","value":"19:19:13"},{"id":151,"name":"Denver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547</v>
      </c>
      <c r="B127" s="7">
        <v>4007</v>
      </c>
      <c r="C127" s="22" t="s">
        <v>253</v>
      </c>
      <c r="D127" s="22" t="s">
        <v>345</v>
      </c>
      <c r="E127" s="13">
        <v>42675.74554398148</v>
      </c>
      <c r="F127" s="13">
        <v>42675.750543981485</v>
      </c>
      <c r="G127" s="7">
        <v>1</v>
      </c>
      <c r="H127" s="13" t="s">
        <v>653</v>
      </c>
      <c r="I127" s="13">
        <v>42675.775000000001</v>
      </c>
      <c r="J127" s="7">
        <v>0</v>
      </c>
      <c r="K127" s="112" t="str">
        <f t="shared" si="46"/>
        <v>4007/4008</v>
      </c>
      <c r="L127" s="22" t="str">
        <f>VLOOKUP(A127,'Trips&amp;Operators'!$C$1:$E$10000,3,FALSE)</f>
        <v>ROMERO</v>
      </c>
      <c r="M127" s="6">
        <f t="shared" si="47"/>
        <v>2.4456018516502809E-2</v>
      </c>
      <c r="N127" s="7">
        <f t="shared" si="62"/>
        <v>35.216666663764045</v>
      </c>
      <c r="O127" s="7"/>
      <c r="P127" s="7"/>
      <c r="Q127" s="23"/>
      <c r="R127" s="23"/>
      <c r="S127" s="35">
        <f t="shared" si="48"/>
        <v>1</v>
      </c>
      <c r="T127" s="50" t="str">
        <f t="shared" si="4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16:53:35-0600',mode:absolute,to:'2016-11-01 19:36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27" s="52" t="str">
        <f t="shared" si="51"/>
        <v>N</v>
      </c>
      <c r="X127" s="177">
        <f t="shared" si="61"/>
        <v>1</v>
      </c>
      <c r="Y127" s="67">
        <f t="shared" si="53"/>
        <v>4.6699999999999998E-2</v>
      </c>
      <c r="Z127" s="67">
        <f t="shared" si="54"/>
        <v>23.3325</v>
      </c>
      <c r="AA127" s="67">
        <f t="shared" si="55"/>
        <v>23.285799999999998</v>
      </c>
      <c r="AB127" s="64" t="e">
        <f>VLOOKUP(A127,Enforcements!$C$7:$K$21,8,0)</f>
        <v>#N/A</v>
      </c>
      <c r="AC127" s="60" t="e">
        <f>VLOOKUP(A127,Enforcements!$C$7:$E$21,3,0)</f>
        <v>#N/A</v>
      </c>
      <c r="AD127" s="61" t="str">
        <f t="shared" si="56"/>
        <v>0215-01</v>
      </c>
      <c r="AE127" s="91" t="str">
        <f t="shared" si="42"/>
        <v>aws s3 cp s3://rtdc.mdm.uploadarchive.raw/RTDC4007/ "%USERPROFILE%\AppData\Local\Temp\OnboardLogs"\RTDC4007\2016-11-01 --exclude "*" --recursive --include "*20161101*" &amp; "%USERPROFILE%\Documents\GitHub\mrs-test-scripts\Headless Mode &amp; Sideloading\WalkAndUnGZ.bat" "%USERPROFILE%\AppData\Local\Temp\OnboardLogs"\RTDC4007\2016-11-01 &amp; aws s3 cp s3://rtdc.mdm.uploadarchive.raw/RTDC4007/ "%USERPROFILE%\AppData\Local\Temp\OnboardLogs"\RTDC4007\2016-11-02 --exclude "*" --recursive --include "*20161102*" &amp; "%USERPROFILE%\Documents\GitHub\mrs-test-scripts\Headless Mode &amp; Sideloading\WalkAndUnGZ.bat" "%USERPROFILE%\AppData\Local\Temp\OnboardLogs"\RTDC4007\2016-11-02</v>
      </c>
      <c r="AF127" s="88" t="str">
        <f t="shared" si="43"/>
        <v>"C:\Program Files (x86)\AstroGrep\AstroGrep.exe" /spath="%USERPROFILE%\AppData\Local\Temp\OnboardLogs" /stypes="app*4007*20161102*" /stext=" 00:.+((SYSTEM_STATE.+slice.+state.+changed )|(ment ac)|(system.+state.+changed )|(\[timeout)|(PRM\|1\|D)|(kpr)|(kdp)|(\|lc)|(penalty))" /e /r /s</v>
      </c>
      <c r="AG127" s="1" t="str">
        <f t="shared" si="57"/>
        <v>EC</v>
      </c>
      <c r="AH127" s="92" t="str">
        <f t="shared" si="44"/>
        <v>"%USERPROFILE%\Documents\GitHub\eaglep3\Utilities\RefineRTDCRunTimes.py" --tripid 215-01 --locoid 4007 --swversion DE.1.0.8.0 --startMP 204:467 --initTime 2016-11-01T17:53:35 --startdatetime 2016-11-01T18:00:47 --delay 1 --endMP 204:233325 --enddatetime 2016-11-01T18:36:00 --enforcementcount 0 &gt;&gt;C:\Users\stu\Documents\GitHub\eaglep3-reporting\EC\2016-11-01-refined-times.txt</v>
      </c>
      <c r="AI12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{"issue":{"subject":"","project_id":79,"tracker_id":40,"status_id":1,"priority_id":2,"assigned_to_id":23,"start_date":"2016-11-01","description":"","custom_fields":[{"id":1,"name":"Subdivision","value":"EC"},{"id":4,"name":"Milepost","value":"23.3325"},{"id":17,"name":"Train ID","value":"215-01"},{"id":16,"name":"Locomotive ID","value":"4007"},{"id":130,"name":"Impact","value":""},{"id":150,"name":"Time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557</v>
      </c>
      <c r="B128" s="7">
        <v>4008</v>
      </c>
      <c r="C128" s="22" t="s">
        <v>253</v>
      </c>
      <c r="D128" s="22" t="s">
        <v>616</v>
      </c>
      <c r="E128" s="13">
        <v>42675.784803240742</v>
      </c>
      <c r="F128" s="13">
        <v>42675.7890625</v>
      </c>
      <c r="G128" s="7">
        <v>1</v>
      </c>
      <c r="H128" s="13" t="s">
        <v>208</v>
      </c>
      <c r="I128" s="13">
        <v>42675.814930555556</v>
      </c>
      <c r="J128" s="7">
        <v>0</v>
      </c>
      <c r="K128" s="112" t="str">
        <f t="shared" si="46"/>
        <v>4007/4008</v>
      </c>
      <c r="L128" s="22" t="str">
        <f>VLOOKUP(A128,'Trips&amp;Operators'!$C$1:$E$10000,3,FALSE)</f>
        <v>ROMERO</v>
      </c>
      <c r="M128" s="6">
        <f t="shared" si="47"/>
        <v>2.5868055556202307E-2</v>
      </c>
      <c r="N128" s="7">
        <f t="shared" si="62"/>
        <v>37.250000000931323</v>
      </c>
      <c r="O128" s="7"/>
      <c r="P128" s="7"/>
      <c r="Q128" s="23"/>
      <c r="R128" s="23"/>
      <c r="S128" s="35">
        <f t="shared" si="48"/>
        <v>1</v>
      </c>
      <c r="T128" s="50" t="str">
        <f t="shared" si="4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17:50:07-0600',mode:absolute,to:'2016-11-01 20:33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28" s="52" t="str">
        <f t="shared" si="51"/>
        <v>N</v>
      </c>
      <c r="X128" s="177">
        <f t="shared" si="61"/>
        <v>1</v>
      </c>
      <c r="Y128" s="67">
        <f t="shared" si="53"/>
        <v>23.3</v>
      </c>
      <c r="Z128" s="67">
        <f t="shared" si="54"/>
        <v>1.4999999999999999E-2</v>
      </c>
      <c r="AA128" s="67">
        <f t="shared" si="55"/>
        <v>23.285</v>
      </c>
      <c r="AB128" s="64" t="e">
        <f>VLOOKUP(A128,Enforcements!$C$7:$K$21,8,0)</f>
        <v>#N/A</v>
      </c>
      <c r="AC128" s="60" t="e">
        <f>VLOOKUP(A128,Enforcements!$C$7:$E$21,3,0)</f>
        <v>#N/A</v>
      </c>
      <c r="AD128" s="61" t="str">
        <f t="shared" si="56"/>
        <v>0216-01</v>
      </c>
      <c r="AE128" s="91" t="str">
        <f t="shared" si="42"/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128" s="88" t="str">
        <f t="shared" si="43"/>
        <v>"C:\Program Files (x86)\AstroGrep\AstroGrep.exe" /spath="%USERPROFILE%\AppData\Local\Temp\OnboardLogs" /stypes="app*4008*20161102*" /stext=" 01:.+((SYSTEM_STATE.+slice.+state.+changed )|(ment ac)|(system.+state.+changed )|(\[timeout)|(PRM\|1\|D)|(kpr)|(kdp)|(\|lc)|(penalty))" /e /r /s</v>
      </c>
      <c r="AG128" s="1" t="str">
        <f t="shared" si="57"/>
        <v>EC</v>
      </c>
      <c r="AH128" s="92" t="str">
        <f t="shared" si="44"/>
        <v>"%USERPROFILE%\Documents\GitHub\eaglep3\Utilities\RefineRTDCRunTimes.py" --tripid 216-01 --locoid 4008 --swversion DE.1.0.8.0 --startMP 204:233000 --initTime 2016-11-01T18:50:07 --startdatetime 2016-11-01T18:56:15 --delay 1 --endMP 204:150 --enddatetime 2016-11-01T19:33:30 --enforcementcount 0 &gt;&gt;C:\Users\stu\Documents\GitHub\eaglep3-reporting\EC\2016-11-01-refined-times.txt</v>
      </c>
      <c r="AI12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ID","value":"216-01"},{"id":16,"name":"Locomotive ID","value":"4008"},{"id":130,"name":"Impact","value":""},{"id":150,"name":"Time of Event (Mountain Time)","value":"19:33:30"},{"id":151,"name":"Denver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550</v>
      </c>
      <c r="B129" s="7">
        <v>4042</v>
      </c>
      <c r="C129" s="22" t="s">
        <v>253</v>
      </c>
      <c r="D129" s="22" t="s">
        <v>212</v>
      </c>
      <c r="E129" s="13">
        <v>42675.757453703707</v>
      </c>
      <c r="F129" s="13">
        <v>42675.760601851849</v>
      </c>
      <c r="G129" s="7">
        <v>2</v>
      </c>
      <c r="H129" s="13" t="s">
        <v>654</v>
      </c>
      <c r="I129" s="13">
        <v>42675.785532407404</v>
      </c>
      <c r="J129" s="7">
        <v>0</v>
      </c>
      <c r="K129" s="112" t="str">
        <f t="shared" si="46"/>
        <v>4041/4042</v>
      </c>
      <c r="L129" s="22" t="str">
        <f>VLOOKUP(A129,'Trips&amp;Operators'!$C$1:$E$10000,3,FALSE)</f>
        <v>WHITED</v>
      </c>
      <c r="M129" s="6">
        <f t="shared" si="47"/>
        <v>2.4930555555329192E-2</v>
      </c>
      <c r="N129" s="7">
        <f t="shared" si="62"/>
        <v>35.899999999674037</v>
      </c>
      <c r="O129" s="7"/>
      <c r="P129" s="7"/>
      <c r="Q129" s="23"/>
      <c r="R129" s="23"/>
      <c r="S129" s="35">
        <f t="shared" si="48"/>
        <v>1</v>
      </c>
      <c r="T129" s="50" t="str">
        <f t="shared" si="4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17:10:44-0600',mode:absolute,to:'2016-11-01 19:51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51"/>
        <v>N</v>
      </c>
      <c r="X129" s="177">
        <f t="shared" si="61"/>
        <v>1</v>
      </c>
      <c r="Y129" s="67">
        <f t="shared" si="53"/>
        <v>4.6600000000000003E-2</v>
      </c>
      <c r="Z129" s="67">
        <f t="shared" si="54"/>
        <v>23.328600000000002</v>
      </c>
      <c r="AA129" s="67">
        <f t="shared" si="55"/>
        <v>23.282</v>
      </c>
      <c r="AB129" s="64" t="e">
        <f>VLOOKUP(A129,Enforcements!$C$7:$K$21,8,0)</f>
        <v>#N/A</v>
      </c>
      <c r="AC129" s="60" t="e">
        <f>VLOOKUP(A129,Enforcements!$C$7:$E$21,3,0)</f>
        <v>#N/A</v>
      </c>
      <c r="AD129" s="61" t="str">
        <f t="shared" si="56"/>
        <v>0217-01</v>
      </c>
      <c r="AE129" s="91" t="str">
        <f t="shared" si="42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29" s="88" t="str">
        <f t="shared" si="43"/>
        <v>"C:\Program Files (x86)\AstroGrep\AstroGrep.exe" /spath="%USERPROFILE%\AppData\Local\Temp\OnboardLogs" /stypes="app*4042*20161102*" /stext=" 00:.+((SYSTEM_STATE.+slice.+state.+changed )|(ment ac)|(system.+state.+changed )|(\[timeout)|(PRM\|1\|D)|(kpr)|(kdp)|(\|lc)|(penalty))" /e /r /s</v>
      </c>
      <c r="AG129" s="1" t="str">
        <f t="shared" si="57"/>
        <v>EC</v>
      </c>
      <c r="AH129" s="92" t="str">
        <f t="shared" si="44"/>
        <v>"%USERPROFILE%\Documents\GitHub\eaglep3\Utilities\RefineRTDCRunTimes.py" --tripid 217-01 --locoid 4042 --swversion DE.1.0.8.0 --startMP 204:466 --initTime 2016-11-01T18:10:44 --startdatetime 2016-11-01T18:15:16 --delay 2 --endMP 204:233286 --enddatetime 2016-11-01T18:51:10 --enforcementcount 0 &gt;&gt;C:\Users\stu\Documents\GitHub\eaglep3-reporting\EC\2016-11-01-refined-times.txt</v>
      </c>
      <c r="AI12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{"issue":{"subject":"","project_id":79,"tracker_id":40,"status_id":1,"priority_id":2,"assigned_to_id":23,"start_date":"2016-11-01","description":"","custom_fields":[{"id":1,"name":"Subdivision","value":"EC"},{"id":4,"name":"Milepost","value":"23.3286"},{"id":17,"name":"Train ID","value":"217-01"},{"id":16,"name":"Locomotive ID","value":"4042"},{"id":130,"name":"Impact","value":""},{"id":150,"name":"Time of Event (Mountain Time)","value":"18:51:10"},{"id":151,"name":"Denver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560</v>
      </c>
      <c r="B130" s="7">
        <v>4041</v>
      </c>
      <c r="C130" s="22" t="s">
        <v>253</v>
      </c>
      <c r="D130" s="22" t="s">
        <v>250</v>
      </c>
      <c r="E130" s="13">
        <v>42675.79409722222</v>
      </c>
      <c r="F130" s="13">
        <v>42675.799826388888</v>
      </c>
      <c r="G130" s="7">
        <v>2</v>
      </c>
      <c r="H130" s="13" t="s">
        <v>204</v>
      </c>
      <c r="I130" s="13">
        <v>42675.825636574074</v>
      </c>
      <c r="J130" s="7">
        <v>0</v>
      </c>
      <c r="K130" s="112" t="str">
        <f t="shared" si="46"/>
        <v>4041/4042</v>
      </c>
      <c r="L130" s="22" t="str">
        <f>VLOOKUP(A130,'Trips&amp;Operators'!$C$1:$E$10000,3,FALSE)</f>
        <v>WHITED</v>
      </c>
      <c r="M130" s="6">
        <f t="shared" si="47"/>
        <v>2.5810185186855961E-2</v>
      </c>
      <c r="N130" s="7">
        <f t="shared" si="62"/>
        <v>37.166666669072583</v>
      </c>
      <c r="O130" s="7"/>
      <c r="P130" s="7"/>
      <c r="Q130" s="23"/>
      <c r="R130" s="23"/>
      <c r="S130" s="35">
        <f t="shared" si="48"/>
        <v>1</v>
      </c>
      <c r="T130" s="50" t="str">
        <f t="shared" si="4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18:03:30-0600',mode:absolute,to:'2016-11-01 20:48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51"/>
        <v>N</v>
      </c>
      <c r="X130" s="177">
        <f t="shared" ref="X130:X151" si="63">VALUE(LEFT(AD130,4))-VALUE(LEFT(AD129,4))</f>
        <v>1</v>
      </c>
      <c r="Y130" s="67">
        <f t="shared" si="53"/>
        <v>23.296900000000001</v>
      </c>
      <c r="Z130" s="67">
        <f t="shared" si="54"/>
        <v>1.4500000000000001E-2</v>
      </c>
      <c r="AA130" s="67">
        <f t="shared" si="55"/>
        <v>23.282399999999999</v>
      </c>
      <c r="AB130" s="64" t="e">
        <f>VLOOKUP(A130,Enforcements!$C$7:$K$21,8,0)</f>
        <v>#N/A</v>
      </c>
      <c r="AC130" s="60" t="e">
        <f>VLOOKUP(A130,Enforcements!$C$7:$E$21,3,0)</f>
        <v>#N/A</v>
      </c>
      <c r="AD130" s="61" t="str">
        <f t="shared" si="56"/>
        <v>0218-01</v>
      </c>
      <c r="AE130" s="91" t="str">
        <f t="shared" si="42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130" s="88" t="str">
        <f t="shared" si="43"/>
        <v>"C:\Program Files (x86)\AstroGrep\AstroGrep.exe" /spath="%USERPROFILE%\AppData\Local\Temp\OnboardLogs" /stypes="app*4041*20161102*" /stext=" 01:.+((SYSTEM_STATE.+slice.+state.+changed )|(ment ac)|(system.+state.+changed )|(\[timeout)|(PRM\|1\|D)|(kpr)|(kdp)|(\|lc)|(penalty))" /e /r /s</v>
      </c>
      <c r="AG130" s="1" t="str">
        <f t="shared" si="57"/>
        <v>EC</v>
      </c>
      <c r="AH130" s="92" t="str">
        <f t="shared" si="44"/>
        <v>"%USERPROFILE%\Documents\GitHub\eaglep3\Utilities\RefineRTDCRunTimes.py" --tripid 218-01 --locoid 4041 --swversion DE.1.0.8.0 --startMP 204:232969 --initTime 2016-11-01T19:03:30 --startdatetime 2016-11-01T19:11:45 --delay 2 --endMP 204:145 --enddatetime 2016-11-01T19:48:55 --enforcementcount 0 &gt;&gt;C:\Users\stu\Documents\GitHub\eaglep3-reporting\EC\2016-11-01-refined-times.txt</v>
      </c>
      <c r="AI130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{"issue":{"subject":"","project_id":79,"tracker_id":40,"status_id":1,"priority_id":2,"assigned_to_id":23,"start_date":"2016-11-01","description":"","custom_fields":[{"id":1,"name":"Subdivision","value":"EC"},{"id":4,"name":"Milepost","value":"0.0145"},{"id":17,"name":"Train ID","value":"218-01"},{"id":16,"name":"Locomotive ID","value":"4041"},{"id":130,"name":"Impact","value":""},{"id":150,"name":"Time of Event (Mountain Time)","value":"19:48:55"},{"id":151,"name":"Denver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552</v>
      </c>
      <c r="B131" s="7">
        <v>4040</v>
      </c>
      <c r="C131" s="22" t="s">
        <v>253</v>
      </c>
      <c r="D131" s="22" t="s">
        <v>655</v>
      </c>
      <c r="E131" s="13">
        <v>42675.768645833334</v>
      </c>
      <c r="F131" s="13">
        <v>42675.771192129629</v>
      </c>
      <c r="G131" s="7">
        <v>1</v>
      </c>
      <c r="H131" s="13" t="s">
        <v>257</v>
      </c>
      <c r="I131" s="13">
        <v>42675.796759259261</v>
      </c>
      <c r="J131" s="7">
        <v>0</v>
      </c>
      <c r="K131" s="112" t="str">
        <f t="shared" si="46"/>
        <v>4039/4040</v>
      </c>
      <c r="L131" s="22" t="str">
        <f>VLOOKUP(A131,'Trips&amp;Operators'!$C$1:$E$10000,3,FALSE)</f>
        <v>CHANDLER</v>
      </c>
      <c r="M131" s="6">
        <f t="shared" si="47"/>
        <v>2.5567129632690921E-2</v>
      </c>
      <c r="N131" s="7">
        <f t="shared" si="62"/>
        <v>36.816666671074927</v>
      </c>
      <c r="O131" s="7"/>
      <c r="P131" s="7"/>
      <c r="Q131" s="23"/>
      <c r="R131" s="23"/>
      <c r="S131" s="35">
        <f t="shared" si="48"/>
        <v>1</v>
      </c>
      <c r="T131" s="50" t="str">
        <f t="shared" si="4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17:26:51-0600',mode:absolute,to:'2016-11-01 20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1" s="52" t="str">
        <f t="shared" si="51"/>
        <v>N</v>
      </c>
      <c r="X131" s="177">
        <f t="shared" si="63"/>
        <v>1</v>
      </c>
      <c r="Y131" s="67">
        <f t="shared" si="53"/>
        <v>4.3999999999999997E-2</v>
      </c>
      <c r="Z131" s="67">
        <f t="shared" si="54"/>
        <v>23.328700000000001</v>
      </c>
      <c r="AA131" s="67">
        <f t="shared" si="55"/>
        <v>23.284700000000001</v>
      </c>
      <c r="AB131" s="64" t="e">
        <f>VLOOKUP(A131,Enforcements!$C$7:$K$21,8,0)</f>
        <v>#N/A</v>
      </c>
      <c r="AC131" s="60" t="e">
        <f>VLOOKUP(A131,Enforcements!$C$7:$E$21,3,0)</f>
        <v>#N/A</v>
      </c>
      <c r="AD131" s="61" t="str">
        <f t="shared" si="56"/>
        <v>0219-01</v>
      </c>
      <c r="AE131" s="91" t="str">
        <f t="shared" si="42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31" s="88" t="str">
        <f t="shared" si="43"/>
        <v>"C:\Program Files (x86)\AstroGrep\AstroGrep.exe" /spath="%USERPROFILE%\AppData\Local\Temp\OnboardLogs" /stypes="app*4040*20161102*" /stext=" 01:.+((SYSTEM_STATE.+slice.+state.+changed )|(ment ac)|(system.+state.+changed )|(\[timeout)|(PRM\|1\|D)|(kpr)|(kdp)|(\|lc)|(penalty))" /e /r /s</v>
      </c>
      <c r="AG131" s="1" t="str">
        <f t="shared" si="57"/>
        <v>EC</v>
      </c>
      <c r="AH131" s="92" t="str">
        <f t="shared" si="44"/>
        <v>"%USERPROFILE%\Documents\GitHub\eaglep3\Utilities\RefineRTDCRunTimes.py" --tripid 219-01 --locoid 4040 --swversion DE.1.0.8.0 --startMP 204:440 --initTime 2016-11-01T18:26:51 --startdatetime 2016-11-01T18:30:31 --delay 1 --endMP 204:233287 --enddatetime 2016-11-01T19:07:20 --enforcementcount 0 &gt;&gt;C:\Users\stu\Documents\GitHub\eaglep3-reporting\EC\2016-11-01-refined-times.txt</v>
      </c>
      <c r="AI131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{"issue":{"subject":"","project_id":79,"tracker_id":40,"status_id":1,"priority_id":2,"assigned_to_id":23,"start_date":"2016-11-01","description":"","custom_fields":[{"id":1,"name":"Subdivision","value":"EC"},{"id":4,"name":"Milepost","value":"23.3287"},{"id":17,"name":"Train ID","value":"219-01"},{"id":16,"name":"Locomotive ID","value":"4040"},{"id":130,"name":"Impact","value":""},{"id":150,"name":"Time of Event (Mountain Time)","value":"19:07:20"},{"id":151,"name":"Denver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564</v>
      </c>
      <c r="B132" s="7">
        <v>4039</v>
      </c>
      <c r="C132" s="22" t="s">
        <v>253</v>
      </c>
      <c r="D132" s="22" t="s">
        <v>294</v>
      </c>
      <c r="E132" s="13">
        <v>42675.807546296295</v>
      </c>
      <c r="F132" s="13">
        <v>42675.809942129628</v>
      </c>
      <c r="G132" s="7">
        <v>1</v>
      </c>
      <c r="H132" s="13" t="s">
        <v>351</v>
      </c>
      <c r="I132" s="13">
        <v>42675.836643518516</v>
      </c>
      <c r="J132" s="7">
        <v>0</v>
      </c>
      <c r="K132" s="112" t="str">
        <f t="shared" si="46"/>
        <v>4039/4040</v>
      </c>
      <c r="L132" s="22" t="str">
        <f>VLOOKUP(A132,'Trips&amp;Operators'!$C$1:$E$10000,3,FALSE)</f>
        <v>CHANDLER</v>
      </c>
      <c r="M132" s="6">
        <f t="shared" si="47"/>
        <v>2.6701388887886424E-2</v>
      </c>
      <c r="N132" s="7">
        <f t="shared" si="62"/>
        <v>38.44999999855645</v>
      </c>
      <c r="O132" s="7"/>
      <c r="P132" s="7"/>
      <c r="Q132" s="23"/>
      <c r="R132" s="23"/>
      <c r="S132" s="35">
        <f t="shared" si="48"/>
        <v>1</v>
      </c>
      <c r="T132" s="50" t="str">
        <f t="shared" si="4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18:22:52-0600',mode:absolute,to:'2016-11-01 21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2" s="52" t="str">
        <f t="shared" si="51"/>
        <v>N</v>
      </c>
      <c r="X132" s="177">
        <f t="shared" si="63"/>
        <v>1</v>
      </c>
      <c r="Y132" s="67">
        <f t="shared" si="53"/>
        <v>23.297599999999999</v>
      </c>
      <c r="Z132" s="67">
        <f t="shared" si="54"/>
        <v>1.7000000000000001E-2</v>
      </c>
      <c r="AA132" s="67">
        <f t="shared" si="55"/>
        <v>23.2806</v>
      </c>
      <c r="AB132" s="64" t="e">
        <f>VLOOKUP(A132,Enforcements!$C$7:$K$21,8,0)</f>
        <v>#N/A</v>
      </c>
      <c r="AC132" s="60" t="e">
        <f>VLOOKUP(A132,Enforcements!$C$7:$E$21,3,0)</f>
        <v>#N/A</v>
      </c>
      <c r="AD132" s="61" t="str">
        <f t="shared" si="56"/>
        <v>0220-01</v>
      </c>
      <c r="AE132" s="91" t="str">
        <f t="shared" si="42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132" s="88" t="str">
        <f t="shared" si="43"/>
        <v>"C:\Program Files (x86)\AstroGrep\AstroGrep.exe" /spath="%USERPROFILE%\AppData\Local\Temp\OnboardLogs" /stypes="app*4039*20161102*" /stext=" 02:.+((SYSTEM_STATE.+slice.+state.+changed )|(ment ac)|(system.+state.+changed )|(\[timeout)|(PRM\|1\|D)|(kpr)|(kdp)|(\|lc)|(penalty))" /e /r /s</v>
      </c>
      <c r="AG132" s="1" t="str">
        <f t="shared" si="57"/>
        <v>EC</v>
      </c>
      <c r="AH132" s="92" t="str">
        <f t="shared" si="44"/>
        <v>"%USERPROFILE%\Documents\GitHub\eaglep3\Utilities\RefineRTDCRunTimes.py" --tripid 220-01 --locoid 4039 --swversion DE.1.0.8.0 --startMP 204:232976 --initTime 2016-11-01T19:22:52 --startdatetime 2016-11-01T19:26:19 --delay 1 --endMP 204:170 --enddatetime 2016-11-01T20:04:46 --enforcementcount 0 &gt;&gt;C:\Users\stu\Documents\GitHub\eaglep3-reporting\EC\2016-11-01-refined-times.txt</v>
      </c>
      <c r="AI132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{"issue":{"subject":"","project_id":79,"tracker_id":40,"status_id":1,"priority_id":2,"assigned_to_id":23,"start_date":"2016-11-01","description":"","custom_fields":[{"id":1,"name":"Subdivision","value":"EC"},{"id":4,"name":"Milepost","value":"0.017"},{"id":17,"name":"Train ID","value":"220-01"},{"id":16,"name":"Locomotive ID","value":"4039"},{"id":130,"name":"Impact","value":""},{"id":150,"name":"Time of Event (Mountain Time)","value":"20:04:46"},{"id":151,"name":"Denver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558</v>
      </c>
      <c r="B133" s="7">
        <v>4022</v>
      </c>
      <c r="C133" s="22" t="s">
        <v>253</v>
      </c>
      <c r="D133" s="22" t="s">
        <v>306</v>
      </c>
      <c r="E133" s="13">
        <v>42675.788182870368</v>
      </c>
      <c r="F133" s="13">
        <v>42675.791898148149</v>
      </c>
      <c r="G133" s="7">
        <v>1</v>
      </c>
      <c r="H133" s="13" t="s">
        <v>206</v>
      </c>
      <c r="I133" s="13">
        <v>42675.817349537036</v>
      </c>
      <c r="J133" s="7">
        <v>0</v>
      </c>
      <c r="K133" s="112" t="str">
        <f t="shared" si="46"/>
        <v>4021/4022</v>
      </c>
      <c r="L133" s="22" t="str">
        <f>VLOOKUP(A133,'Trips&amp;Operators'!$C$1:$E$10000,3,FALSE)</f>
        <v>JOHNSON</v>
      </c>
      <c r="M133" s="6">
        <f t="shared" si="47"/>
        <v>2.545138888672227E-2</v>
      </c>
      <c r="N133" s="7">
        <f t="shared" si="62"/>
        <v>36.649999996880069</v>
      </c>
      <c r="O133" s="7"/>
      <c r="P133" s="7"/>
      <c r="Q133" s="23"/>
      <c r="R133" s="23"/>
      <c r="S133" s="35">
        <f t="shared" si="48"/>
        <v>1</v>
      </c>
      <c r="T133" s="50" t="str">
        <f t="shared" si="4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17:54:59-0600',mode:absolute,to:'2016-11-01 20:36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3" s="52" t="str">
        <f t="shared" si="51"/>
        <v>N</v>
      </c>
      <c r="X133" s="177">
        <f t="shared" si="63"/>
        <v>1</v>
      </c>
      <c r="Y133" s="67">
        <f t="shared" si="53"/>
        <v>4.4200000000000003E-2</v>
      </c>
      <c r="Z133" s="67">
        <f t="shared" si="54"/>
        <v>23.3293</v>
      </c>
      <c r="AA133" s="67">
        <f t="shared" si="55"/>
        <v>23.2851</v>
      </c>
      <c r="AB133" s="64" t="e">
        <f>VLOOKUP(A133,Enforcements!$C$7:$K$21,8,0)</f>
        <v>#N/A</v>
      </c>
      <c r="AC133" s="60" t="e">
        <f>VLOOKUP(A133,Enforcements!$C$7:$E$21,3,0)</f>
        <v>#N/A</v>
      </c>
      <c r="AD133" s="61" t="str">
        <f t="shared" si="56"/>
        <v>0221-01</v>
      </c>
      <c r="AE133" s="91" t="str">
        <f t="shared" si="42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33" s="88" t="str">
        <f t="shared" si="43"/>
        <v>"C:\Program Files (x86)\AstroGrep\AstroGrep.exe" /spath="%USERPROFILE%\AppData\Local\Temp\OnboardLogs" /stypes="app*4022*20161102*" /stext=" 01:.+((SYSTEM_STATE.+slice.+state.+changed )|(ment ac)|(system.+state.+changed )|(\[timeout)|(PRM\|1\|D)|(kpr)|(kdp)|(\|lc)|(penalty))" /e /r /s</v>
      </c>
      <c r="AG133" s="1" t="str">
        <f t="shared" si="57"/>
        <v>EC</v>
      </c>
      <c r="AH133" s="92" t="str">
        <f t="shared" si="44"/>
        <v>"%USERPROFILE%\Documents\GitHub\eaglep3\Utilities\RefineRTDCRunTimes.py" --tripid 221-01 --locoid 4022 --swversion DE.1.0.8.0 --startMP 204:442 --initTime 2016-11-01T18:54:59 --startdatetime 2016-11-01T19:00:20 --delay 1 --endMP 204:233293 --enddatetime 2016-11-01T19:36:59 --enforcementcount 0 &gt;&gt;C:\Users\stu\Documents\GitHub\eaglep3-reporting\EC\2016-11-01-refined-times.txt</v>
      </c>
      <c r="AI133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{"issue":{"subject":"","project_id":79,"tracker_id":40,"status_id":1,"priority_id":2,"assigned_to_id":23,"start_date":"2016-11-01","description":"","custom_fields":[{"id":1,"name":"Subdivision","value":"EC"},{"id":4,"name":"Milepost","value":"23.3293"},{"id":17,"name":"Train ID","value":"221-01"},{"id":16,"name":"Locomotive ID","value":"4022"},{"id":130,"name":"Impact","value":""},{"id":150,"name":"Time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567</v>
      </c>
      <c r="B134" s="7">
        <v>4021</v>
      </c>
      <c r="C134" s="22" t="s">
        <v>253</v>
      </c>
      <c r="D134" s="22" t="s">
        <v>251</v>
      </c>
      <c r="E134" s="13">
        <v>42675.825995370367</v>
      </c>
      <c r="F134" s="13">
        <v>42675.830740740741</v>
      </c>
      <c r="G134" s="7">
        <v>1</v>
      </c>
      <c r="H134" s="13" t="s">
        <v>176</v>
      </c>
      <c r="I134" s="13">
        <v>42675.857615740744</v>
      </c>
      <c r="J134" s="7">
        <v>0</v>
      </c>
      <c r="K134" s="112" t="str">
        <f t="shared" si="46"/>
        <v>4021/4022</v>
      </c>
      <c r="L134" s="22" t="str">
        <f>VLOOKUP(A134,'Trips&amp;Operators'!$C$1:$E$10000,3,FALSE)</f>
        <v>JOHNSON</v>
      </c>
      <c r="M134" s="6">
        <f t="shared" si="47"/>
        <v>2.6875000003201421E-2</v>
      </c>
      <c r="N134" s="7">
        <f t="shared" si="62"/>
        <v>38.700000004610047</v>
      </c>
      <c r="O134" s="7"/>
      <c r="P134" s="7"/>
      <c r="Q134" s="23"/>
      <c r="R134" s="23"/>
      <c r="S134" s="35">
        <f t="shared" si="48"/>
        <v>1</v>
      </c>
      <c r="T134" s="50" t="str">
        <f t="shared" si="4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18:49:26-0600',mode:absolute,to:'2016-11-01 21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4" s="52" t="str">
        <f t="shared" si="51"/>
        <v>N</v>
      </c>
      <c r="X134" s="177">
        <f t="shared" si="63"/>
        <v>1</v>
      </c>
      <c r="Y134" s="67">
        <f t="shared" si="53"/>
        <v>23.298100000000002</v>
      </c>
      <c r="Z134" s="67">
        <f t="shared" si="54"/>
        <v>1.52E-2</v>
      </c>
      <c r="AA134" s="67">
        <f t="shared" si="55"/>
        <v>23.282900000000001</v>
      </c>
      <c r="AB134" s="64" t="e">
        <f>VLOOKUP(A134,Enforcements!$C$7:$K$21,8,0)</f>
        <v>#N/A</v>
      </c>
      <c r="AC134" s="60" t="e">
        <f>VLOOKUP(A134,Enforcements!$C$7:$E$21,3,0)</f>
        <v>#N/A</v>
      </c>
      <c r="AD134" s="61" t="str">
        <f t="shared" si="56"/>
        <v>0222-01</v>
      </c>
      <c r="AE134" s="91" t="str">
        <f t="shared" si="42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34" s="88" t="str">
        <f t="shared" si="43"/>
        <v>"C:\Program Files (x86)\AstroGrep\AstroGrep.exe" /spath="%USERPROFILE%\AppData\Local\Temp\OnboardLogs" /stypes="app*4021*20161102*" /stext=" 02:.+((SYSTEM_STATE.+slice.+state.+changed )|(ment ac)|(system.+state.+changed )|(\[timeout)|(PRM\|1\|D)|(kpr)|(kdp)|(\|lc)|(penalty))" /e /r /s</v>
      </c>
      <c r="AG134" s="1" t="str">
        <f t="shared" si="57"/>
        <v>EC</v>
      </c>
      <c r="AH134" s="92" t="str">
        <f t="shared" si="44"/>
        <v>"%USERPROFILE%\Documents\GitHub\eaglep3\Utilities\RefineRTDCRunTimes.py" --tripid 222-01 --locoid 4021 --swversion DE.1.0.8.0 --startMP 204:232981 --initTime 2016-11-01T19:49:26 --startdatetime 2016-11-01T19:56:16 --delay 1 --endMP 204:152 --enddatetime 2016-11-01T20:34:58 --enforcementcount 0 &gt;&gt;C:\Users\stu\Documents\GitHub\eaglep3-reporting\EC\2016-11-01-refined-times.txt</v>
      </c>
      <c r="AI134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{"issue":{"subject":"","project_id":79,"tracker_id":40,"status_id":1,"priority_id":2,"assigned_to_id":23,"start_date":"2016-11-01","description":"","custom_fields":[{"id":1,"name":"Subdivision","value":"EC"},{"id":4,"name":"Milepost","value":"0.0152"},{"id":17,"name":"Train ID","value":"222-01"},{"id":16,"name":"Locomotive ID","value":"4021"},{"id":130,"name":"Impact","value":""},{"id":150,"name":"Time of Event (Mountain Time)","value":"20:34:58"},{"id":151,"name":"Denver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563</v>
      </c>
      <c r="B135" s="7">
        <v>4029</v>
      </c>
      <c r="C135" s="22" t="s">
        <v>253</v>
      </c>
      <c r="D135" s="22" t="s">
        <v>656</v>
      </c>
      <c r="E135" s="13">
        <v>42675.807199074072</v>
      </c>
      <c r="F135" s="13">
        <v>42675.8127662037</v>
      </c>
      <c r="G135" s="7">
        <v>1</v>
      </c>
      <c r="H135" s="13" t="s">
        <v>657</v>
      </c>
      <c r="I135" s="13">
        <v>42675.837835648148</v>
      </c>
      <c r="J135" s="7">
        <v>0</v>
      </c>
      <c r="K135" s="112" t="str">
        <f t="shared" si="46"/>
        <v>4029/4030</v>
      </c>
      <c r="L135" s="22" t="str">
        <f>VLOOKUP(A135,'Trips&amp;Operators'!$C$1:$E$10000,3,FALSE)</f>
        <v>CRAYTON</v>
      </c>
      <c r="M135" s="6">
        <f t="shared" si="47"/>
        <v>2.5069444447581191E-2</v>
      </c>
      <c r="N135" s="7">
        <f t="shared" si="62"/>
        <v>36.100000004516914</v>
      </c>
      <c r="O135" s="7"/>
      <c r="P135" s="7"/>
      <c r="Q135" s="23"/>
      <c r="R135" s="23"/>
      <c r="S135" s="35">
        <f t="shared" si="48"/>
        <v>1</v>
      </c>
      <c r="T135" s="50" t="str">
        <f t="shared" si="4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18:22:22-0600',mode:absolute,to:'2016-11-01 21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5" s="52" t="str">
        <f t="shared" si="51"/>
        <v>N</v>
      </c>
      <c r="X135" s="177">
        <f t="shared" si="63"/>
        <v>1</v>
      </c>
      <c r="Y135" s="67">
        <f t="shared" si="53"/>
        <v>4.2599999999999999E-2</v>
      </c>
      <c r="Z135" s="67">
        <f t="shared" si="54"/>
        <v>23.331900000000001</v>
      </c>
      <c r="AA135" s="67">
        <f t="shared" si="55"/>
        <v>23.289300000000001</v>
      </c>
      <c r="AB135" s="64" t="e">
        <f>VLOOKUP(A135,Enforcements!$C$7:$K$21,8,0)</f>
        <v>#N/A</v>
      </c>
      <c r="AC135" s="60" t="e">
        <f>VLOOKUP(A135,Enforcements!$C$7:$E$21,3,0)</f>
        <v>#N/A</v>
      </c>
      <c r="AD135" s="61" t="str">
        <f t="shared" si="56"/>
        <v>0223-01</v>
      </c>
      <c r="AE135" s="91" t="str">
        <f t="shared" si="42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135" s="88" t="str">
        <f t="shared" si="43"/>
        <v>"C:\Program Files (x86)\AstroGrep\AstroGrep.exe" /spath="%USERPROFILE%\AppData\Local\Temp\OnboardLogs" /stypes="app*4029*20161102*" /stext=" 02:.+((SYSTEM_STATE.+slice.+state.+changed )|(ment ac)|(system.+state.+changed )|(\[timeout)|(PRM\|1\|D)|(kpr)|(kdp)|(\|lc)|(penalty))" /e /r /s</v>
      </c>
      <c r="AG135" s="1" t="str">
        <f t="shared" si="57"/>
        <v>EC</v>
      </c>
      <c r="AH135" s="92" t="str">
        <f t="shared" si="44"/>
        <v>"%USERPROFILE%\Documents\GitHub\eaglep3\Utilities\RefineRTDCRunTimes.py" --tripid 223-01 --locoid 4029 --swversion DE.1.0.8.0 --startMP 204:426 --initTime 2016-11-01T19:22:22 --startdatetime 2016-11-01T19:30:23 --delay 1 --endMP 204:233319 --enddatetime 2016-11-01T20:06:29 --enforcementcount 0 &gt;&gt;C:\Users\stu\Documents\GitHub\eaglep3-reporting\EC\2016-11-01-refined-times.txt</v>
      </c>
      <c r="AI135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{"issue":{"subject":"","project_id":79,"tracker_id":40,"status_id":1,"priority_id":2,"assigned_to_id":23,"start_date":"2016-11-01","description":"","custom_fields":[{"id":1,"name":"Subdivision","value":"EC"},{"id":4,"name":"Milepost","value":"23.3319"},{"id":17,"name":"Train ID","value":"223-01"},{"id":16,"name":"Locomotive ID","value":"4029"},{"id":130,"name":"Impact","value":""},{"id":150,"name":"Time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7" t="s">
        <v>570</v>
      </c>
      <c r="B136" s="7">
        <v>4030</v>
      </c>
      <c r="C136" s="22" t="s">
        <v>253</v>
      </c>
      <c r="D136" s="22" t="s">
        <v>658</v>
      </c>
      <c r="E136" s="13">
        <v>42675.844363425924</v>
      </c>
      <c r="F136" s="13">
        <v>42675.851550925923</v>
      </c>
      <c r="G136" s="7">
        <v>1</v>
      </c>
      <c r="H136" s="13" t="s">
        <v>208</v>
      </c>
      <c r="I136" s="13">
        <v>42675.877708333333</v>
      </c>
      <c r="J136" s="7">
        <v>0</v>
      </c>
      <c r="K136" s="112" t="str">
        <f t="shared" si="46"/>
        <v>4029/4030</v>
      </c>
      <c r="L136" s="22" t="str">
        <f>VLOOKUP(A136,'Trips&amp;Operators'!$C$1:$E$10000,3,FALSE)</f>
        <v>CRAYTON</v>
      </c>
      <c r="M136" s="6">
        <f t="shared" si="47"/>
        <v>2.6157407410209998E-2</v>
      </c>
      <c r="N136" s="7">
        <f t="shared" si="62"/>
        <v>37.666666670702398</v>
      </c>
      <c r="O136" s="7"/>
      <c r="P136" s="7"/>
      <c r="Q136" s="23"/>
      <c r="R136" s="23"/>
      <c r="S136" s="35">
        <f t="shared" si="48"/>
        <v>1</v>
      </c>
      <c r="T136" s="50" t="str">
        <f t="shared" si="4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19:15:53-0600',mode:absolute,to:'2016-11-01 22:03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6" s="52" t="str">
        <f t="shared" si="51"/>
        <v>N</v>
      </c>
      <c r="X136" s="177">
        <f t="shared" si="63"/>
        <v>1</v>
      </c>
      <c r="Y136" s="67">
        <f t="shared" si="53"/>
        <v>23.3002</v>
      </c>
      <c r="Z136" s="67">
        <f t="shared" si="54"/>
        <v>1.4999999999999999E-2</v>
      </c>
      <c r="AA136" s="67">
        <f t="shared" si="55"/>
        <v>23.2852</v>
      </c>
      <c r="AB136" s="64" t="e">
        <f>VLOOKUP(A136,Enforcements!$C$7:$K$21,8,0)</f>
        <v>#N/A</v>
      </c>
      <c r="AC136" s="60" t="e">
        <f>VLOOKUP(A136,Enforcements!$C$7:$E$21,3,0)</f>
        <v>#N/A</v>
      </c>
      <c r="AD136" s="61" t="str">
        <f t="shared" si="56"/>
        <v>0224-01</v>
      </c>
      <c r="AE136" s="91" t="str">
        <f t="shared" si="42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136" s="88" t="str">
        <f t="shared" si="43"/>
        <v>"C:\Program Files (x86)\AstroGrep\AstroGrep.exe" /spath="%USERPROFILE%\AppData\Local\Temp\OnboardLogs" /stypes="app*4030*20161102*" /stext=" 03:.+((SYSTEM_STATE.+slice.+state.+changed )|(ment ac)|(system.+state.+changed )|(\[timeout)|(PRM\|1\|D)|(kpr)|(kdp)|(\|lc)|(penalty))" /e /r /s</v>
      </c>
      <c r="AG136" s="1" t="str">
        <f t="shared" si="57"/>
        <v>EC</v>
      </c>
      <c r="AH136" s="92" t="str">
        <f t="shared" si="44"/>
        <v>"%USERPROFILE%\Documents\GitHub\eaglep3\Utilities\RefineRTDCRunTimes.py" --tripid 224-01 --locoid 4030 --swversion DE.1.0.8.0 --startMP 204:233002 --initTime 2016-11-01T20:15:53 --startdatetime 2016-11-01T20:26:14 --delay 1 --endMP 204:150 --enddatetime 2016-11-01T21:03:54 --enforcementcount 0 &gt;&gt;C:\Users\stu\Documents\GitHub\eaglep3-reporting\EC\2016-11-01-refined-times.txt</v>
      </c>
      <c r="AI136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ID","value":"224-01"},{"id":16,"name":"Locomotive ID","value":"4030"},{"id":130,"name":"Impact","value":""},{"id":150,"name":"Time of Event (Mountain Time)","value":"21:03:54"},{"id":151,"name":"Denver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s="21" customFormat="1" x14ac:dyDescent="0.25">
      <c r="A137" s="37" t="s">
        <v>568</v>
      </c>
      <c r="B137" s="7">
        <v>4042</v>
      </c>
      <c r="C137" s="22" t="s">
        <v>253</v>
      </c>
      <c r="D137" s="22" t="s">
        <v>277</v>
      </c>
      <c r="E137" s="13">
        <v>42675.829189814816</v>
      </c>
      <c r="F137" s="13">
        <v>42675.833611111113</v>
      </c>
      <c r="G137" s="7">
        <v>1</v>
      </c>
      <c r="H137" s="13" t="s">
        <v>651</v>
      </c>
      <c r="I137" s="13">
        <v>42675.858171296299</v>
      </c>
      <c r="J137" s="7">
        <v>0</v>
      </c>
      <c r="K137" s="112" t="str">
        <f t="shared" si="46"/>
        <v>4041/4042</v>
      </c>
      <c r="L137" s="22" t="str">
        <f>VLOOKUP(A137,'Trips&amp;Operators'!$C$1:$E$10000,3,FALSE)</f>
        <v>WHITED</v>
      </c>
      <c r="M137" s="6">
        <f t="shared" si="47"/>
        <v>2.4560185185691807E-2</v>
      </c>
      <c r="N137" s="7">
        <f t="shared" si="62"/>
        <v>35.366666667396203</v>
      </c>
      <c r="O137" s="7"/>
      <c r="P137" s="7"/>
      <c r="Q137" s="23"/>
      <c r="R137" s="23"/>
      <c r="S137" s="35">
        <f t="shared" si="48"/>
        <v>1</v>
      </c>
      <c r="T137" s="50" t="str">
        <f t="shared" si="4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18:54:02-0600',mode:absolute,to:'2016-11-01 21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51"/>
        <v>N</v>
      </c>
      <c r="X137" s="177">
        <f t="shared" si="63"/>
        <v>1</v>
      </c>
      <c r="Y137" s="67">
        <f t="shared" si="53"/>
        <v>4.4400000000000002E-2</v>
      </c>
      <c r="Z137" s="67">
        <f t="shared" si="54"/>
        <v>23.3306</v>
      </c>
      <c r="AA137" s="67">
        <f t="shared" si="55"/>
        <v>23.286200000000001</v>
      </c>
      <c r="AB137" s="64" t="e">
        <f>VLOOKUP(A137,Enforcements!$C$7:$K$21,8,0)</f>
        <v>#N/A</v>
      </c>
      <c r="AC137" s="60" t="e">
        <f>VLOOKUP(A137,Enforcements!$C$7:$E$21,3,0)</f>
        <v>#N/A</v>
      </c>
      <c r="AD137" s="61" t="str">
        <f t="shared" si="56"/>
        <v>0225-01</v>
      </c>
      <c r="AE137" s="91" t="str">
        <f t="shared" si="42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37" s="88" t="str">
        <f t="shared" si="43"/>
        <v>"C:\Program Files (x86)\AstroGrep\AstroGrep.exe" /spath="%USERPROFILE%\AppData\Local\Temp\OnboardLogs" /stypes="app*4042*20161102*" /stext=" 02:.+((SYSTEM_STATE.+slice.+state.+changed )|(ment ac)|(system.+state.+changed )|(\[timeout)|(PRM\|1\|D)|(kpr)|(kdp)|(\|lc)|(penalty))" /e /r /s</v>
      </c>
      <c r="AG137" s="1" t="str">
        <f t="shared" si="57"/>
        <v>EC</v>
      </c>
      <c r="AH137" s="92" t="str">
        <f t="shared" si="44"/>
        <v>"%USERPROFILE%\Documents\GitHub\eaglep3\Utilities\RefineRTDCRunTimes.py" --tripid 225-01 --locoid 4042 --swversion DE.1.0.8.0 --startMP 204:444 --initTime 2016-11-01T19:54:02 --startdatetime 2016-11-01T20:00:24 --delay 1 --endMP 204:233306 --enddatetime 2016-11-01T20:35:46 --enforcementcount 0 &gt;&gt;C:\Users\stu\Documents\GitHub\eaglep3-reporting\EC\2016-11-01-refined-times.txt</v>
      </c>
      <c r="AI137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{"issue":{"subject":"","project_id":79,"tracker_id":40,"status_id":1,"priority_id":2,"assigned_to_id":23,"start_date":"2016-11-01","description":"","custom_fields":[{"id":1,"name":"Subdivision","value":"EC"},{"id":4,"name":"Milepost","value":"23.3306"},{"id":17,"name":"Train ID","value":"225-01"},{"id":16,"name":"Locomotive ID","value":"4042"},{"id":130,"name":"Impact","value":""},{"id":150,"name":"Time of Event (Mountain Time)","value":"20:35:46"},{"id":151,"name":"Denver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573</v>
      </c>
      <c r="B138" s="7">
        <v>4041</v>
      </c>
      <c r="C138" s="22" t="s">
        <v>253</v>
      </c>
      <c r="D138" s="22" t="s">
        <v>339</v>
      </c>
      <c r="E138" s="13">
        <v>42675.868958333333</v>
      </c>
      <c r="F138" s="13">
        <v>42675.872372685182</v>
      </c>
      <c r="G138" s="7">
        <v>1</v>
      </c>
      <c r="H138" s="13" t="s">
        <v>175</v>
      </c>
      <c r="I138" s="13">
        <v>42675.897939814815</v>
      </c>
      <c r="J138" s="7">
        <v>0</v>
      </c>
      <c r="K138" s="112" t="str">
        <f t="shared" si="46"/>
        <v>4041/4042</v>
      </c>
      <c r="L138" s="22" t="str">
        <f>VLOOKUP(A138,'Trips&amp;Operators'!$C$1:$E$10000,3,FALSE)</f>
        <v>WHITED</v>
      </c>
      <c r="M138" s="6">
        <f t="shared" si="47"/>
        <v>2.5567129632690921E-2</v>
      </c>
      <c r="N138" s="7">
        <f t="shared" si="62"/>
        <v>36.816666671074927</v>
      </c>
      <c r="O138" s="7"/>
      <c r="P138" s="7"/>
      <c r="Q138" s="23"/>
      <c r="R138" s="23"/>
      <c r="S138" s="35">
        <f t="shared" si="48"/>
        <v>1</v>
      </c>
      <c r="T138" s="50" t="str">
        <f t="shared" si="4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19:51:18-0600',mode:absolute,to:'2016-11-01 22:33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51"/>
        <v>N</v>
      </c>
      <c r="X138" s="177">
        <f t="shared" si="63"/>
        <v>1</v>
      </c>
      <c r="Y138" s="67">
        <f t="shared" si="53"/>
        <v>23.2974</v>
      </c>
      <c r="Z138" s="67">
        <f t="shared" si="54"/>
        <v>1.47E-2</v>
      </c>
      <c r="AA138" s="67">
        <f t="shared" si="55"/>
        <v>23.282699999999998</v>
      </c>
      <c r="AB138" s="64" t="e">
        <f>VLOOKUP(A138,Enforcements!$C$7:$K$21,8,0)</f>
        <v>#N/A</v>
      </c>
      <c r="AC138" s="60" t="e">
        <f>VLOOKUP(A138,Enforcements!$C$7:$E$21,3,0)</f>
        <v>#N/A</v>
      </c>
      <c r="AD138" s="61" t="str">
        <f t="shared" si="56"/>
        <v>0226-01</v>
      </c>
      <c r="AE138" s="91" t="str">
        <f t="shared" si="42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138" s="88" t="str">
        <f t="shared" si="43"/>
        <v>"C:\Program Files (x86)\AstroGrep\AstroGrep.exe" /spath="%USERPROFILE%\AppData\Local\Temp\OnboardLogs" /stypes="app*4041*20161102*" /stext=" 03:.+((SYSTEM_STATE.+slice.+state.+changed )|(ment ac)|(system.+state.+changed )|(\[timeout)|(PRM\|1\|D)|(kpr)|(kdp)|(\|lc)|(penalty))" /e /r /s</v>
      </c>
      <c r="AG138" s="1" t="str">
        <f t="shared" si="57"/>
        <v>EC</v>
      </c>
      <c r="AH138" s="92" t="str">
        <f t="shared" si="44"/>
        <v>"%USERPROFILE%\Documents\GitHub\eaglep3\Utilities\RefineRTDCRunTimes.py" --tripid 226-01 --locoid 4041 --swversion DE.1.0.8.0 --startMP 204:232974 --initTime 2016-11-01T20:51:18 --startdatetime 2016-11-01T20:56:13 --delay 1 --endMP 204:147 --enddatetime 2016-11-01T21:33:02 --enforcementcount 0 &gt;&gt;C:\Users\stu\Documents\GitHub\eaglep3-reporting\EC\2016-11-01-refined-times.txt</v>
      </c>
      <c r="AI138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{"issue":{"subject":"","project_id":79,"tracker_id":40,"status_id":1,"priority_id":2,"assigned_to_id":23,"start_date":"2016-11-01","description":"","custom_fields":[{"id":1,"name":"Subdivision","value":"EC"},{"id":4,"name":"Milepost","value":"0.0147"},{"id":17,"name":"Train ID","value":"226-01"},{"id":16,"name":"Locomotive ID","value":"4041"},{"id":130,"name":"Impact","value":""},{"id":150,"name":"Time of Event (Mountain Time)","value":"21:33:02"},{"id":151,"name":"Denver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571</v>
      </c>
      <c r="B139" s="7">
        <v>4040</v>
      </c>
      <c r="C139" s="22" t="s">
        <v>253</v>
      </c>
      <c r="D139" s="22" t="s">
        <v>215</v>
      </c>
      <c r="E139" s="13">
        <v>42675.853680555556</v>
      </c>
      <c r="F139" s="13">
        <v>42675.854756944442</v>
      </c>
      <c r="G139" s="7">
        <v>1</v>
      </c>
      <c r="H139" s="13" t="s">
        <v>346</v>
      </c>
      <c r="I139" s="13">
        <v>42675.879444444443</v>
      </c>
      <c r="J139" s="7">
        <v>0</v>
      </c>
      <c r="K139" s="112" t="str">
        <f t="shared" si="46"/>
        <v>4039/4040</v>
      </c>
      <c r="L139" s="22" t="str">
        <f>VLOOKUP(A139,'Trips&amp;Operators'!$C$1:$E$10000,3,FALSE)</f>
        <v>CHANDLER</v>
      </c>
      <c r="M139" s="6">
        <f t="shared" si="47"/>
        <v>2.4687500001164153E-2</v>
      </c>
      <c r="N139" s="7">
        <f t="shared" si="62"/>
        <v>35.550000001676381</v>
      </c>
      <c r="O139" s="7"/>
      <c r="P139" s="7"/>
      <c r="Q139" s="23"/>
      <c r="R139" s="23"/>
      <c r="S139" s="35">
        <f t="shared" si="48"/>
        <v>1</v>
      </c>
      <c r="T139" s="50" t="str">
        <f t="shared" si="4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19:29:18-0600',mode:absolute,to:'2016-11-01 22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39" s="52" t="str">
        <f t="shared" si="51"/>
        <v>N</v>
      </c>
      <c r="X139" s="177">
        <f t="shared" si="63"/>
        <v>1</v>
      </c>
      <c r="Y139" s="67">
        <f t="shared" si="53"/>
        <v>4.5999999999999999E-2</v>
      </c>
      <c r="Z139" s="67">
        <f t="shared" si="54"/>
        <v>23.329799999999999</v>
      </c>
      <c r="AA139" s="67">
        <f t="shared" si="55"/>
        <v>23.283799999999999</v>
      </c>
      <c r="AB139" s="64" t="e">
        <f>VLOOKUP(A139,Enforcements!$C$7:$K$21,8,0)</f>
        <v>#N/A</v>
      </c>
      <c r="AC139" s="60" t="e">
        <f>VLOOKUP(A139,Enforcements!$C$7:$E$21,3,0)</f>
        <v>#N/A</v>
      </c>
      <c r="AD139" s="61" t="str">
        <f t="shared" si="56"/>
        <v>0227-01</v>
      </c>
      <c r="AE139" s="91" t="str">
        <f t="shared" si="42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39" s="88" t="str">
        <f t="shared" si="43"/>
        <v>"C:\Program Files (x86)\AstroGrep\AstroGrep.exe" /spath="%USERPROFILE%\AppData\Local\Temp\OnboardLogs" /stypes="app*4040*20161102*" /stext=" 03:.+((SYSTEM_STATE.+slice.+state.+changed )|(ment ac)|(system.+state.+changed )|(\[timeout)|(PRM\|1\|D)|(kpr)|(kdp)|(\|lc)|(penalty))" /e /r /s</v>
      </c>
      <c r="AG139" s="1" t="str">
        <f t="shared" si="57"/>
        <v>EC</v>
      </c>
      <c r="AH139" s="92" t="str">
        <f t="shared" si="44"/>
        <v>"%USERPROFILE%\Documents\GitHub\eaglep3\Utilities\RefineRTDCRunTimes.py" --tripid 227-01 --locoid 4040 --swversion DE.1.0.8.0 --startMP 204:460 --initTime 2016-11-01T20:29:18 --startdatetime 2016-11-01T20:30:51 --delay 1 --endMP 204:233298 --enddatetime 2016-11-01T21:06:24 --enforcementcount 0 &gt;&gt;C:\Users\stu\Documents\GitHub\eaglep3-reporting\EC\2016-11-01-refined-times.txt</v>
      </c>
      <c r="AI139" s="122" t="str">
        <f t="shared" si="45"/>
        <v>echo {"issue":{"subject":"","project_id":79,"tracker_id":40,"status_id":1,"priority_id":2,"assigned_to_id":23,"start_date":"2016-11-01","description":"","custom_fields":[{"id":1,"name":"Subdivision","value":"EC"},{"id":4,"name":"Milepost","value":"23.3298"},{"id":17,"name":"Train ID","value":"227-01"},{"id":16,"name":"Locomotive ID","value":"4040"},{"id":130,"name":"Impact","value":""},{"id":150,"name":"Time of Event (Mountain Time)","value":"21:06:24"},{"id":151,"name":"Denver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579</v>
      </c>
      <c r="B140" s="7">
        <v>4039</v>
      </c>
      <c r="C140" s="22" t="s">
        <v>253</v>
      </c>
      <c r="D140" s="22" t="s">
        <v>226</v>
      </c>
      <c r="E140" s="13">
        <v>42675.890543981484</v>
      </c>
      <c r="F140" s="13">
        <v>42675.893645833334</v>
      </c>
      <c r="G140" s="7">
        <v>1</v>
      </c>
      <c r="H140" s="13" t="s">
        <v>208</v>
      </c>
      <c r="I140" s="13">
        <v>42675.921643518515</v>
      </c>
      <c r="J140" s="7">
        <v>0</v>
      </c>
      <c r="K140" s="112" t="str">
        <f t="shared" si="46"/>
        <v>4039/4040</v>
      </c>
      <c r="L140" s="22" t="str">
        <f>VLOOKUP(A140,'Trips&amp;Operators'!$C$1:$E$10000,3,FALSE)</f>
        <v>CHANDLER</v>
      </c>
      <c r="M140" s="6">
        <f t="shared" si="47"/>
        <v>2.7997685181617271E-2</v>
      </c>
      <c r="N140" s="7">
        <f t="shared" si="62"/>
        <v>40.31666666152887</v>
      </c>
      <c r="O140" s="7"/>
      <c r="P140" s="7"/>
      <c r="Q140" s="23"/>
      <c r="R140" s="23"/>
      <c r="S140" s="35">
        <f t="shared" si="48"/>
        <v>1</v>
      </c>
      <c r="T140" s="50" t="str">
        <f t="shared" si="4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20:22:23-0600',mode:absolute,to:'2016-11-01 23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0" s="52" t="str">
        <f t="shared" si="51"/>
        <v>N</v>
      </c>
      <c r="X140" s="177">
        <f t="shared" si="63"/>
        <v>1</v>
      </c>
      <c r="Y140" s="67">
        <f t="shared" si="53"/>
        <v>23.297699999999999</v>
      </c>
      <c r="Z140" s="67">
        <f t="shared" si="54"/>
        <v>1.4999999999999999E-2</v>
      </c>
      <c r="AA140" s="67">
        <f t="shared" si="55"/>
        <v>23.282699999999998</v>
      </c>
      <c r="AB140" s="64" t="e">
        <f>VLOOKUP(A140,Enforcements!$C$7:$K$21,8,0)</f>
        <v>#N/A</v>
      </c>
      <c r="AC140" s="60" t="e">
        <f>VLOOKUP(A140,Enforcements!$C$7:$E$21,3,0)</f>
        <v>#N/A</v>
      </c>
      <c r="AD140" s="61" t="str">
        <f t="shared" si="56"/>
        <v>0228-01</v>
      </c>
      <c r="AE140" s="91" t="str">
        <f t="shared" si="42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140" s="88" t="str">
        <f t="shared" si="43"/>
        <v>"C:\Program Files (x86)\AstroGrep\AstroGrep.exe" /spath="%USERPROFILE%\AppData\Local\Temp\OnboardLogs" /stypes="app*4039*20161102*" /stext=" 04:.+((SYSTEM_STATE.+slice.+state.+changed )|(ment ac)|(system.+state.+changed )|(\[timeout)|(PRM\|1\|D)|(kpr)|(kdp)|(\|lc)|(penalty))" /e /r /s</v>
      </c>
      <c r="AG140" s="1" t="str">
        <f t="shared" si="57"/>
        <v>EC</v>
      </c>
      <c r="AH140" s="92" t="str">
        <f t="shared" ref="AH140:AH202" si="64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228-01 --locoid 4039 --swversion DE.1.0.8.0 --startMP 204:232977 --initTime 2016-11-01T21:22:23 --startdatetime 2016-11-01T21:26:51 --delay 1 --endMP 204:150 --enddatetime 2016-11-01T22:07:10 --enforcementcount 0 &gt;&gt;C:\Users\stu\Documents\GitHub\eaglep3-reporting\EC\2016-11-01-refined-times.txt</v>
      </c>
      <c r="AI140" s="122" t="str">
        <f t="shared" ref="AI140:AI202" si="65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ID","value":"228-01"},{"id":16,"name":"Locomotive ID","value":"4039"},{"id":130,"name":"Impact","value":""},{"id":150,"name":"Time of Event (Mountain Time)","value":"22:07:10"},{"id":151,"name":"Denver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574</v>
      </c>
      <c r="B141" s="7">
        <v>4022</v>
      </c>
      <c r="C141" s="22" t="s">
        <v>253</v>
      </c>
      <c r="D141" s="22" t="s">
        <v>211</v>
      </c>
      <c r="E141" s="13">
        <v>42675.871724537035</v>
      </c>
      <c r="F141" s="13">
        <v>42675.875208333331</v>
      </c>
      <c r="G141" s="7">
        <v>1</v>
      </c>
      <c r="H141" s="13" t="s">
        <v>213</v>
      </c>
      <c r="I141" s="13">
        <v>42675.902094907404</v>
      </c>
      <c r="J141" s="7">
        <v>0</v>
      </c>
      <c r="K141" s="112" t="str">
        <f t="shared" si="46"/>
        <v>4021/4022</v>
      </c>
      <c r="L141" s="22" t="str">
        <f>VLOOKUP(A141,'Trips&amp;Operators'!$C$1:$E$10000,3,FALSE)</f>
        <v>JOHNSON</v>
      </c>
      <c r="M141" s="6">
        <f t="shared" si="47"/>
        <v>2.6886574072705116E-2</v>
      </c>
      <c r="N141" s="7">
        <f t="shared" si="62"/>
        <v>38.716666664695367</v>
      </c>
      <c r="O141" s="7"/>
      <c r="P141" s="7"/>
      <c r="Q141" s="23"/>
      <c r="R141" s="23"/>
      <c r="S141" s="35">
        <f t="shared" si="48"/>
        <v>1</v>
      </c>
      <c r="T141" s="50" t="str">
        <f t="shared" si="49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19:55:17-0600',mode:absolute,to:'2016-11-01 22:39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52" t="str">
        <f t="shared" si="51"/>
        <v>N</v>
      </c>
      <c r="X141" s="177">
        <f t="shared" si="63"/>
        <v>1</v>
      </c>
      <c r="Y141" s="67">
        <f t="shared" si="53"/>
        <v>4.5499999999999999E-2</v>
      </c>
      <c r="Z141" s="67">
        <f t="shared" si="54"/>
        <v>23.329499999999999</v>
      </c>
      <c r="AA141" s="67">
        <f t="shared" si="55"/>
        <v>23.283999999999999</v>
      </c>
      <c r="AB141" s="64" t="e">
        <f>VLOOKUP(A141,Enforcements!$C$7:$K$21,8,0)</f>
        <v>#N/A</v>
      </c>
      <c r="AC141" s="60" t="e">
        <f>VLOOKUP(A141,Enforcements!$C$7:$E$21,3,0)</f>
        <v>#N/A</v>
      </c>
      <c r="AD141" s="61" t="str">
        <f t="shared" si="56"/>
        <v>0229-01</v>
      </c>
      <c r="AE141" s="91" t="str">
        <f t="shared" ref="AE141:AE204" si="66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41" s="88" t="str">
        <f t="shared" ref="AF141:AF204" si="67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/stypes="app*4022*20161102*" /stext=" 03:.+((SYSTEM_STATE.+slice.+state.+changed )|(ment ac)|(system.+state.+changed )|(\[timeout)|(PRM\|1\|D)|(kpr)|(kdp)|(\|lc)|(penalty))" /e /r /s</v>
      </c>
      <c r="AG141" s="1" t="str">
        <f t="shared" si="57"/>
        <v>EC</v>
      </c>
      <c r="AH141" s="92" t="str">
        <f t="shared" si="64"/>
        <v>"%USERPROFILE%\Documents\GitHub\eaglep3\Utilities\RefineRTDCRunTimes.py" --tripid 229-01 --locoid 4022 --swversion DE.1.0.8.0 --startMP 204:455 --initTime 2016-11-01T20:55:17 --startdatetime 2016-11-01T21:00:18 --delay 1 --endMP 204:233295 --enddatetime 2016-11-01T21:39:01 --enforcementcount 0 &gt;&gt;C:\Users\stu\Documents\GitHub\eaglep3-reporting\EC\2016-11-01-refined-times.txt</v>
      </c>
      <c r="AI141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{"issue":{"subject":"","project_id":79,"tracker_id":40,"status_id":1,"priority_id":2,"assigned_to_id":23,"start_date":"2016-11-01","description":"","custom_fields":[{"id":1,"name":"Subdivision","value":"EC"},{"id":4,"name":"Milepost","value":"23.3295"},{"id":17,"name":"Train ID","value":"229-01"},{"id":16,"name":"Locomotive ID","value":"4022"},{"id":130,"name":"Impact","value":""},{"id":150,"name":"Time of Event (Mountain Time)","value":"21:39:01"},{"id":151,"name":"Denver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583</v>
      </c>
      <c r="B142" s="7">
        <v>4021</v>
      </c>
      <c r="C142" s="22" t="s">
        <v>253</v>
      </c>
      <c r="D142" s="22" t="s">
        <v>226</v>
      </c>
      <c r="E142" s="13">
        <v>42675.909872685188</v>
      </c>
      <c r="F142" s="13">
        <v>42675.914074074077</v>
      </c>
      <c r="G142" s="7">
        <v>5</v>
      </c>
      <c r="H142" s="13" t="s">
        <v>609</v>
      </c>
      <c r="I142" s="13">
        <v>42675.945601851854</v>
      </c>
      <c r="J142" s="7">
        <v>0</v>
      </c>
      <c r="K142" s="112" t="str">
        <f t="shared" si="46"/>
        <v>4021/4022</v>
      </c>
      <c r="L142" s="22" t="str">
        <f>VLOOKUP(A142,'Trips&amp;Operators'!$C$1:$E$10000,3,FALSE)</f>
        <v>JOHNSON</v>
      </c>
      <c r="M142" s="6">
        <f t="shared" si="47"/>
        <v>3.1527777777228039E-2</v>
      </c>
      <c r="N142" s="7">
        <f t="shared" si="62"/>
        <v>45.399999999208376</v>
      </c>
      <c r="O142" s="7"/>
      <c r="P142" s="7"/>
      <c r="Q142" s="23"/>
      <c r="R142" s="23"/>
      <c r="S142" s="35">
        <f t="shared" si="48"/>
        <v>1</v>
      </c>
      <c r="T142" s="50" t="str">
        <f t="shared" si="49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20:50:13-0600',mode:absolute,to:'2016-11-01 23:41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2" s="52" t="str">
        <f t="shared" si="51"/>
        <v>N</v>
      </c>
      <c r="X142" s="177">
        <f t="shared" si="63"/>
        <v>1</v>
      </c>
      <c r="Y142" s="67">
        <f t="shared" si="53"/>
        <v>23.297699999999999</v>
      </c>
      <c r="Z142" s="67">
        <f t="shared" si="54"/>
        <v>1.6500000000000001E-2</v>
      </c>
      <c r="AA142" s="67">
        <f t="shared" si="55"/>
        <v>23.281199999999998</v>
      </c>
      <c r="AB142" s="64" t="e">
        <f>VLOOKUP(A142,Enforcements!$C$7:$K$21,8,0)</f>
        <v>#N/A</v>
      </c>
      <c r="AC142" s="60" t="e">
        <f>VLOOKUP(A142,Enforcements!$C$7:$E$21,3,0)</f>
        <v>#N/A</v>
      </c>
      <c r="AD142" s="61" t="str">
        <f t="shared" si="56"/>
        <v>0230-01</v>
      </c>
      <c r="AE142" s="91" t="str">
        <f t="shared" si="66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42" s="88" t="str">
        <f t="shared" si="67"/>
        <v>"C:\Program Files (x86)\AstroGrep\AstroGrep.exe" /spath="%USERPROFILE%\AppData\Local\Temp\OnboardLogs" /stypes="app*4021*20161102*" /stext=" 04:.+((SYSTEM_STATE.+slice.+state.+changed )|(ment ac)|(system.+state.+changed )|(\[timeout)|(PRM\|1\|D)|(kpr)|(kdp)|(\|lc)|(penalty))" /e /r /s</v>
      </c>
      <c r="AG142" s="1" t="str">
        <f t="shared" si="57"/>
        <v>EC</v>
      </c>
      <c r="AH142" s="92" t="str">
        <f t="shared" si="64"/>
        <v>"%USERPROFILE%\Documents\GitHub\eaglep3\Utilities\RefineRTDCRunTimes.py" --tripid 230-01 --locoid 4021 --swversion DE.1.0.8.0 --startMP 204:232977 --initTime 2016-11-01T21:50:13 --startdatetime 2016-11-01T21:56:16 --delay 5 --endMP 204:165 --enddatetime 2016-11-01T22:41:40 --enforcementcount 0 &gt;&gt;C:\Users\stu\Documents\GitHub\eaglep3-reporting\EC\2016-11-01-refined-times.txt</v>
      </c>
      <c r="AI142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{"issue":{"subject":"","project_id":79,"tracker_id":40,"status_id":1,"priority_id":2,"assigned_to_id":23,"start_date":"2016-11-01","description":"","custom_fields":[{"id":1,"name":"Subdivision","value":"EC"},{"id":4,"name":"Milepost","value":"0.0165"},{"id":17,"name":"Train ID","value":"230-01"},{"id":16,"name":"Locomotive ID","value":"4021"},{"id":130,"name":"Impact","value":""},{"id":150,"name":"Time of Event (Mountain Time)","value":"22:41:40"},{"id":151,"name":"Denver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578</v>
      </c>
      <c r="B143" s="7">
        <v>4029</v>
      </c>
      <c r="C143" s="22" t="s">
        <v>253</v>
      </c>
      <c r="D143" s="22" t="s">
        <v>210</v>
      </c>
      <c r="E143" s="13">
        <v>42675.885937500003</v>
      </c>
      <c r="F143" s="13">
        <v>42675.89603009259</v>
      </c>
      <c r="G143" s="7">
        <v>1</v>
      </c>
      <c r="H143" s="13" t="s">
        <v>630</v>
      </c>
      <c r="I143" s="13">
        <v>42675.921261574076</v>
      </c>
      <c r="J143" s="7">
        <v>0</v>
      </c>
      <c r="K143" s="112" t="str">
        <f t="shared" si="46"/>
        <v>4029/4030</v>
      </c>
      <c r="L143" s="22" t="str">
        <f>VLOOKUP(A143,'Trips&amp;Operators'!$C$1:$E$10000,3,FALSE)</f>
        <v>CRAYTON</v>
      </c>
      <c r="M143" s="6">
        <f t="shared" si="47"/>
        <v>2.5231481486116536E-2</v>
      </c>
      <c r="N143" s="7">
        <f t="shared" si="62"/>
        <v>36.333333340007812</v>
      </c>
      <c r="O143" s="7"/>
      <c r="P143" s="7"/>
      <c r="Q143" s="23"/>
      <c r="R143" s="23"/>
      <c r="S143" s="35">
        <f t="shared" si="48"/>
        <v>1</v>
      </c>
      <c r="T143" s="50" t="str">
        <f t="shared" si="49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0"/>
        <v>https://search-rtdc-monitor-bjffxe2xuh6vdkpspy63sjmuny.us-east-1.es.amazonaws.com/_plugin/kibana/#/discover/Steve-Slow-Train-Analysis-(2080s-and-2083s)?_g=(refreshInterval:(display:Off,section:0,value:0),time:(from:'2016-11-01 20:15:45-0600',mode:absolute,to:'2016-11-01 23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3" s="52" t="str">
        <f t="shared" si="51"/>
        <v>N</v>
      </c>
      <c r="X143" s="177">
        <f t="shared" si="63"/>
        <v>1</v>
      </c>
      <c r="Y143" s="67">
        <f t="shared" si="53"/>
        <v>4.53E-2</v>
      </c>
      <c r="Z143" s="67">
        <f t="shared" si="54"/>
        <v>23.331700000000001</v>
      </c>
      <c r="AA143" s="67">
        <f t="shared" si="55"/>
        <v>23.2864</v>
      </c>
      <c r="AB143" s="64" t="e">
        <f>VLOOKUP(A143,Enforcements!$C$7:$K$21,8,0)</f>
        <v>#N/A</v>
      </c>
      <c r="AC143" s="60" t="e">
        <f>VLOOKUP(A143,Enforcements!$C$7:$E$21,3,0)</f>
        <v>#N/A</v>
      </c>
      <c r="AD143" s="61" t="str">
        <f t="shared" si="56"/>
        <v>0231-01</v>
      </c>
      <c r="AE143" s="91" t="str">
        <f t="shared" si="66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143" s="88" t="str">
        <f t="shared" si="67"/>
        <v>"C:\Program Files (x86)\AstroGrep\AstroGrep.exe" /spath="%USERPROFILE%\AppData\Local\Temp\OnboardLogs" /stypes="app*4029*20161102*" /stext=" 04:.+((SYSTEM_STATE.+slice.+state.+changed )|(ment ac)|(system.+state.+changed )|(\[timeout)|(PRM\|1\|D)|(kpr)|(kdp)|(\|lc)|(penalty))" /e /r /s</v>
      </c>
      <c r="AG143" s="1" t="str">
        <f t="shared" si="57"/>
        <v>EC</v>
      </c>
      <c r="AH143" s="92" t="str">
        <f t="shared" si="64"/>
        <v>"%USERPROFILE%\Documents\GitHub\eaglep3\Utilities\RefineRTDCRunTimes.py" --tripid 231-01 --locoid 4029 --swversion DE.1.0.8.0 --startMP 204:453 --initTime 2016-11-01T21:15:45 --startdatetime 2016-11-01T21:30:17 --delay 1 --endMP 204:233317 --enddatetime 2016-11-01T22:06:37 --enforcementcount 0 &gt;&gt;C:\Users\stu\Documents\GitHub\eaglep3-reporting\EC\2016-11-01-refined-times.txt</v>
      </c>
      <c r="AI143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{"issue":{"subject":"","project_id":79,"tracker_id":40,"status_id":1,"priority_id":2,"assigned_to_id":23,"start_date":"2016-11-01","description":"","custom_fields":[{"id":1,"name":"Subdivision","value":"EC"},{"id":4,"name":"Milepost","value":"23.3317"},{"id":17,"name":"Train ID","value":"231-01"},{"id":16,"name":"Locomotive ID","value":"4029"},{"id":130,"name":"Impact","value":""},{"id":150,"name":"Time of Event (Mountain Time)","value":"22:06:37"},{"id":151,"name":"Denver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584</v>
      </c>
      <c r="B144" s="7">
        <v>4030</v>
      </c>
      <c r="C144" s="22" t="s">
        <v>253</v>
      </c>
      <c r="D144" s="22" t="s">
        <v>658</v>
      </c>
      <c r="E144" s="13">
        <v>42675.927199074074</v>
      </c>
      <c r="F144" s="13">
        <v>42675.935127314813</v>
      </c>
      <c r="G144" s="7">
        <v>1</v>
      </c>
      <c r="H144" s="13" t="s">
        <v>205</v>
      </c>
      <c r="I144" s="13">
        <v>42675.968611111108</v>
      </c>
      <c r="J144" s="7">
        <v>0</v>
      </c>
      <c r="K144" s="112" t="str">
        <f t="shared" ref="K144:K207" si="68">IF(ISEVEN(B144),(B144-1)&amp;"/"&amp;B144,B144&amp;"/"&amp;(B144+1))</f>
        <v>4029/4030</v>
      </c>
      <c r="L144" s="22" t="str">
        <f>VLOOKUP(A144,'Trips&amp;Operators'!$C$1:$E$10000,3,FALSE)</f>
        <v>CRAYTON</v>
      </c>
      <c r="M144" s="6">
        <f t="shared" ref="M144:M207" si="69">I144-F144</f>
        <v>3.3483796294603962E-2</v>
      </c>
      <c r="N144" s="7">
        <f t="shared" si="62"/>
        <v>48.216666664229706</v>
      </c>
      <c r="O144" s="7"/>
      <c r="P144" s="7"/>
      <c r="Q144" s="23"/>
      <c r="R144" s="23"/>
      <c r="S144" s="35">
        <f t="shared" ref="S144:S207" si="70">SUM(U144:U144)/IF(AG144="EC",12,1)</f>
        <v>1</v>
      </c>
      <c r="T144" s="50" t="str">
        <f t="shared" ref="T144:T207" si="71"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ref="V144:V207" si="72"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https://search-rtdc-monitor-bjffxe2xuh6vdkpspy63sjmuny.us-east-1.es.amazonaws.com/_plugin/kibana/#/discover/Steve-Slow-Train-Analysis-(2080s-and-2083s)?_g=(refreshInterval:(display:Off,section:0,value:0),time:(from:'2016-11-01 21:15:10-0600',mode:absolute,to:'2016-11-02 00:14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4" s="52" t="str">
        <f t="shared" ref="W144:W207" si="73">IF(AA144&lt;IF(AG144="EC",23,5.65),"Y","N")</f>
        <v>N</v>
      </c>
      <c r="X144" s="177">
        <f t="shared" si="63"/>
        <v>1</v>
      </c>
      <c r="Y144" s="67">
        <f t="shared" ref="Y144:Y207" si="74">RIGHT(D144,LEN(D144)-4)/10000</f>
        <v>23.3002</v>
      </c>
      <c r="Z144" s="67">
        <f t="shared" ref="Z144:Z207" si="75">RIGHT(H144,LEN(H144)-4)/10000</f>
        <v>1.49E-2</v>
      </c>
      <c r="AA144" s="67">
        <f t="shared" ref="AA144:AA207" si="76">ABS(Z144-Y144)</f>
        <v>23.285299999999999</v>
      </c>
      <c r="AB144" s="64" t="e">
        <f>VLOOKUP(A144,Enforcements!$C$7:$K$21,8,0)</f>
        <v>#N/A</v>
      </c>
      <c r="AC144" s="60" t="e">
        <f>VLOOKUP(A144,Enforcements!$C$7:$E$21,3,0)</f>
        <v>#N/A</v>
      </c>
      <c r="AD144" s="61" t="str">
        <f t="shared" ref="AD144:AD207" si="77">IF(LEN(A144)=6,"0"&amp;A144,A144)</f>
        <v>0232-01</v>
      </c>
      <c r="AE144" s="91" t="str">
        <f t="shared" si="66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144" s="88" t="str">
        <f t="shared" si="67"/>
        <v>"C:\Program Files (x86)\AstroGrep\AstroGrep.exe" /spath="%USERPROFILE%\AppData\Local\Temp\OnboardLogs" /stypes="app*4030*20161102*" /stext=" 05:.+((SYSTEM_STATE.+slice.+state.+changed )|(ment ac)|(system.+state.+changed )|(\[timeout)|(PRM\|1\|D)|(kpr)|(kdp)|(\|lc)|(penalty))" /e /r /s</v>
      </c>
      <c r="AG144" s="1" t="str">
        <f t="shared" ref="AG144:AG207" si="78">IFERROR(IF(VALUE(LEFT(AD144,2))&lt;=2,"EC",IF(OR(VALUE(LEFT(AD144,2))=8,VALUE(LEFT(AD144,2))=18),"NW","Other")),"Other")</f>
        <v>EC</v>
      </c>
      <c r="AH144" s="92" t="str">
        <f t="shared" si="64"/>
        <v>"%USERPROFILE%\Documents\GitHub\eaglep3\Utilities\RefineRTDCRunTimes.py" --tripid 232-01 --locoid 4030 --swversion DE.1.0.8.0 --startMP 204:233002 --initTime 2016-11-01T22:15:10 --startdatetime 2016-11-01T22:26:35 --delay 1 --endMP 204:149 --enddatetime 2016-11-01T23:14:48 --enforcementcount 0 &gt;&gt;C:\Users\stu\Documents\GitHub\eaglep3-reporting\EC\2016-11-01-refined-times.txt</v>
      </c>
      <c r="AI144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{"issue":{"subject":"","project_id":79,"tracker_id":40,"status_id":1,"priority_id":2,"assigned_to_id":23,"start_date":"2016-11-01","description":"","custom_fields":[{"id":1,"name":"Subdivision","value":"EC"},{"id":4,"name":"Milepost","value":"0.0149"},{"id":17,"name":"Train ID","value":"232-01"},{"id":16,"name":"Locomotive ID","value":"4030"},{"id":130,"name":"Impact","value":""},{"id":150,"name":"Time of Event (Mountain Time)","value":"23:14:48"},{"id":151,"name":"Denver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580</v>
      </c>
      <c r="B145" s="7">
        <v>4042</v>
      </c>
      <c r="C145" s="22" t="s">
        <v>253</v>
      </c>
      <c r="D145" s="22" t="s">
        <v>211</v>
      </c>
      <c r="E145" s="13">
        <v>42675.899513888886</v>
      </c>
      <c r="F145" s="13">
        <v>42675.916944444441</v>
      </c>
      <c r="G145" s="7">
        <v>1</v>
      </c>
      <c r="H145" s="13" t="s">
        <v>659</v>
      </c>
      <c r="I145" s="13">
        <v>42675.949571759258</v>
      </c>
      <c r="J145" s="7">
        <v>0</v>
      </c>
      <c r="K145" s="112" t="str">
        <f t="shared" si="68"/>
        <v>4041/4042</v>
      </c>
      <c r="L145" s="22" t="str">
        <f>VLOOKUP(A145,'Trips&amp;Operators'!$C$1:$E$10000,3,FALSE)</f>
        <v>WHITED</v>
      </c>
      <c r="M145" s="6">
        <f t="shared" si="69"/>
        <v>3.2627314816636499E-2</v>
      </c>
      <c r="N145" s="7">
        <f t="shared" si="62"/>
        <v>46.983333335956559</v>
      </c>
      <c r="O145" s="7"/>
      <c r="P145" s="7"/>
      <c r="Q145" s="23"/>
      <c r="R145" s="23"/>
      <c r="S145" s="35">
        <f t="shared" si="70"/>
        <v>1</v>
      </c>
      <c r="T145" s="50" t="str">
        <f t="shared" si="71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20:35:18-0600',mode:absolute,to:'2016-11-01 23:47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73"/>
        <v>N</v>
      </c>
      <c r="X145" s="177">
        <f t="shared" si="63"/>
        <v>1</v>
      </c>
      <c r="Y145" s="67">
        <f t="shared" si="74"/>
        <v>4.5499999999999999E-2</v>
      </c>
      <c r="Z145" s="67">
        <f t="shared" si="75"/>
        <v>23.323599999999999</v>
      </c>
      <c r="AA145" s="67">
        <f t="shared" si="76"/>
        <v>23.278099999999998</v>
      </c>
      <c r="AB145" s="64" t="e">
        <f>VLOOKUP(A145,Enforcements!$C$7:$K$21,8,0)</f>
        <v>#N/A</v>
      </c>
      <c r="AC145" s="60" t="e">
        <f>VLOOKUP(A145,Enforcements!$C$7:$E$21,3,0)</f>
        <v>#N/A</v>
      </c>
      <c r="AD145" s="61" t="str">
        <f t="shared" si="77"/>
        <v>0233-01</v>
      </c>
      <c r="AE145" s="91" t="str">
        <f t="shared" si="66"/>
        <v>aws s3 cp s3://rtdc.mdm.uploadarchive.raw/RTDC4042/ "%USERPROFILE%\AppData\Local\Temp\OnboardLogs"\RTDC4042\2016-11-01 --exclude "*" --recursive --include "*20161101*" &amp; "%USERPROFILE%\Documents\GitHub\mrs-test-scripts\Headless Mode &amp; Sideloading\WalkAndUnGZ.bat" "%USERPROFILE%\AppData\Local\Temp\OnboardLogs"\RTDC4042\2016-11-01 &amp; 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</v>
      </c>
      <c r="AF145" s="88" t="str">
        <f t="shared" si="67"/>
        <v>"C:\Program Files (x86)\AstroGrep\AstroGrep.exe" /spath="%USERPROFILE%\AppData\Local\Temp\OnboardLogs" /stypes="app*4042*20161102*" /stext=" 04:.+((SYSTEM_STATE.+slice.+state.+changed )|(ment ac)|(system.+state.+changed )|(\[timeout)|(PRM\|1\|D)|(kpr)|(kdp)|(\|lc)|(penalty))" /e /r /s</v>
      </c>
      <c r="AG145" s="1" t="str">
        <f t="shared" si="78"/>
        <v>EC</v>
      </c>
      <c r="AH145" s="92" t="str">
        <f t="shared" si="64"/>
        <v>"%USERPROFILE%\Documents\GitHub\eaglep3\Utilities\RefineRTDCRunTimes.py" --tripid 233-01 --locoid 4042 --swversion DE.1.0.8.0 --startMP 204:455 --initTime 2016-11-01T21:35:18 --startdatetime 2016-11-01T22:00:24 --delay 1 --endMP 204:233236 --enddatetime 2016-11-01T22:47:23 --enforcementcount 0 &gt;&gt;C:\Users\stu\Documents\GitHub\eaglep3-reporting\EC\2016-11-01-refined-times.txt</v>
      </c>
      <c r="AI145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{"issue":{"subject":"","project_id":79,"tracker_id":40,"status_id":1,"priority_id":2,"assigned_to_id":23,"start_date":"2016-11-01","description":"","custom_fields":[{"id":1,"name":"Subdivision","value":"EC"},{"id":4,"name":"Milepost","value":"23.3236"},{"id":17,"name":"Train ID","value":"233-01"},{"id":16,"name":"Locomotive ID","value":"4042"},{"id":130,"name":"Impact","value":""},{"id":150,"name":"Time of Event (Mountain Time)","value":"22:47:23"},{"id":151,"name":"Denver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587</v>
      </c>
      <c r="B146" s="7">
        <v>4041</v>
      </c>
      <c r="C146" s="22" t="s">
        <v>253</v>
      </c>
      <c r="D146" s="22" t="s">
        <v>660</v>
      </c>
      <c r="E146" s="13">
        <v>42675.951736111114</v>
      </c>
      <c r="F146" s="13">
        <v>42675.955787037034</v>
      </c>
      <c r="G146" s="7">
        <v>1</v>
      </c>
      <c r="H146" s="13" t="s">
        <v>208</v>
      </c>
      <c r="I146" s="13">
        <v>42675.985717592594</v>
      </c>
      <c r="J146" s="7">
        <v>0</v>
      </c>
      <c r="K146" s="112" t="str">
        <f t="shared" si="68"/>
        <v>4041/4042</v>
      </c>
      <c r="L146" s="22" t="str">
        <f>VLOOKUP(A146,'Trips&amp;Operators'!$C$1:$E$10000,3,FALSE)</f>
        <v>WHITED</v>
      </c>
      <c r="M146" s="6">
        <f t="shared" si="69"/>
        <v>2.9930555559985805E-2</v>
      </c>
      <c r="N146" s="7">
        <f t="shared" si="62"/>
        <v>43.10000000637956</v>
      </c>
      <c r="O146" s="7"/>
      <c r="P146" s="7"/>
      <c r="Q146" s="23"/>
      <c r="R146" s="23"/>
      <c r="S146" s="35">
        <f t="shared" si="70"/>
        <v>1</v>
      </c>
      <c r="T146" s="50" t="str">
        <f t="shared" si="71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21:50:30-0600',mode:absolute,to:'2016-11-02 00:39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73"/>
        <v>N</v>
      </c>
      <c r="X146" s="177">
        <f t="shared" si="63"/>
        <v>1</v>
      </c>
      <c r="Y146" s="67">
        <f t="shared" si="74"/>
        <v>23.291699999999999</v>
      </c>
      <c r="Z146" s="67">
        <f t="shared" si="75"/>
        <v>1.4999999999999999E-2</v>
      </c>
      <c r="AA146" s="67">
        <f t="shared" si="76"/>
        <v>23.276699999999998</v>
      </c>
      <c r="AB146" s="64" t="e">
        <f>VLOOKUP(A146,Enforcements!$C$7:$K$21,8,0)</f>
        <v>#N/A</v>
      </c>
      <c r="AC146" s="60" t="e">
        <f>VLOOKUP(A146,Enforcements!$C$7:$E$21,3,0)</f>
        <v>#N/A</v>
      </c>
      <c r="AD146" s="61" t="str">
        <f t="shared" si="77"/>
        <v>0234-01</v>
      </c>
      <c r="AE146" s="91" t="str">
        <f t="shared" si="66"/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AF146" s="88" t="str">
        <f t="shared" si="67"/>
        <v>"C:\Program Files (x86)\AstroGrep\AstroGrep.exe" /spath="%USERPROFILE%\AppData\Local\Temp\OnboardLogs" /stypes="app*4041*20161102*" /stext=" 05:.+((SYSTEM_STATE.+slice.+state.+changed )|(ment ac)|(system.+state.+changed )|(\[timeout)|(PRM\|1\|D)|(kpr)|(kdp)|(\|lc)|(penalty))" /e /r /s</v>
      </c>
      <c r="AG146" s="1" t="str">
        <f t="shared" si="78"/>
        <v>EC</v>
      </c>
      <c r="AH146" s="92" t="str">
        <f t="shared" si="64"/>
        <v>"%USERPROFILE%\Documents\GitHub\eaglep3\Utilities\RefineRTDCRunTimes.py" --tripid 234-01 --locoid 4041 --swversion DE.1.0.8.0 --startMP 204:232917 --initTime 2016-11-01T22:50:30 --startdatetime 2016-11-01T22:56:20 --delay 1 --endMP 204:150 --enddatetime 2016-11-01T23:39:26 --enforcementcount 0 &gt;&gt;C:\Users\stu\Documents\GitHub\eaglep3-reporting\EC\2016-11-01-refined-times.txt</v>
      </c>
      <c r="AI146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{"issue":{"subject":"","project_id":79,"tracker_id":40,"status_id":1,"priority_id":2,"assigned_to_id":23,"start_date":"2016-11-01","description":"","custom_fields":[{"id":1,"name":"Subdivision","value":"EC"},{"id":4,"name":"Milepost","value":"0.015"},{"id":17,"name":"Train ID","value":"234-01"},{"id":16,"name":"Locomotive ID","value":"4041"},{"id":130,"name":"Impact","value":""},{"id":150,"name":"Time of Event (Mountain Time)","value":"23:39:26"},{"id":151,"name":"Denver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585</v>
      </c>
      <c r="B147" s="7">
        <v>4040</v>
      </c>
      <c r="C147" s="22" t="s">
        <v>253</v>
      </c>
      <c r="D147" s="22" t="s">
        <v>345</v>
      </c>
      <c r="E147" s="13">
        <v>42675.936238425929</v>
      </c>
      <c r="F147" s="13">
        <v>42675.940949074073</v>
      </c>
      <c r="G147" s="7">
        <v>1</v>
      </c>
      <c r="H147" s="13" t="s">
        <v>258</v>
      </c>
      <c r="I147" s="13">
        <v>42675.967083333337</v>
      </c>
      <c r="J147" s="7">
        <v>0</v>
      </c>
      <c r="K147" s="112" t="str">
        <f t="shared" si="68"/>
        <v>4039/4040</v>
      </c>
      <c r="L147" s="22" t="str">
        <f>VLOOKUP(A147,'Trips&amp;Operators'!$C$1:$E$10000,3,FALSE)</f>
        <v>CHANDLER</v>
      </c>
      <c r="M147" s="6">
        <f t="shared" si="69"/>
        <v>2.6134259263926651E-2</v>
      </c>
      <c r="N147" s="7">
        <f t="shared" si="62"/>
        <v>37.633333340054378</v>
      </c>
      <c r="O147" s="7"/>
      <c r="P147" s="7"/>
      <c r="Q147" s="23"/>
      <c r="R147" s="23"/>
      <c r="S147" s="35">
        <f t="shared" si="70"/>
        <v>1</v>
      </c>
      <c r="T147" s="50" t="str">
        <f t="shared" si="71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21:28:11-0600',mode:absolute,to:'2016-11-02 00:12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47" s="52" t="str">
        <f t="shared" si="73"/>
        <v>N</v>
      </c>
      <c r="X147" s="177">
        <f t="shared" si="63"/>
        <v>1</v>
      </c>
      <c r="Y147" s="67">
        <f t="shared" si="74"/>
        <v>4.6699999999999998E-2</v>
      </c>
      <c r="Z147" s="67">
        <f t="shared" si="75"/>
        <v>23.328800000000001</v>
      </c>
      <c r="AA147" s="67">
        <f t="shared" si="76"/>
        <v>23.2821</v>
      </c>
      <c r="AB147" s="64" t="e">
        <f>VLOOKUP(A147,Enforcements!$C$7:$K$21,8,0)</f>
        <v>#N/A</v>
      </c>
      <c r="AC147" s="60" t="e">
        <f>VLOOKUP(A147,Enforcements!$C$7:$E$21,3,0)</f>
        <v>#N/A</v>
      </c>
      <c r="AD147" s="61" t="str">
        <f t="shared" si="77"/>
        <v>0235-01</v>
      </c>
      <c r="AE147" s="91" t="str">
        <f t="shared" si="66"/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AF147" s="88" t="str">
        <f t="shared" si="67"/>
        <v>"C:\Program Files (x86)\AstroGrep\AstroGrep.exe" /spath="%USERPROFILE%\AppData\Local\Temp\OnboardLogs" /stypes="app*4040*20161102*" /stext=" 05:.+((SYSTEM_STATE.+slice.+state.+changed )|(ment ac)|(system.+state.+changed )|(\[timeout)|(PRM\|1\|D)|(kpr)|(kdp)|(\|lc)|(penalty))" /e /r /s</v>
      </c>
      <c r="AG147" s="1" t="str">
        <f t="shared" si="78"/>
        <v>EC</v>
      </c>
      <c r="AH147" s="92" t="str">
        <f t="shared" si="64"/>
        <v>"%USERPROFILE%\Documents\GitHub\eaglep3\Utilities\RefineRTDCRunTimes.py" --tripid 235-01 --locoid 4040 --swversion DE.1.0.8.0 --startMP 204:467 --initTime 2016-11-01T22:28:11 --startdatetime 2016-11-01T22:34:58 --delay 1 --endMP 204:233288 --enddatetime 2016-11-01T23:12:36 --enforcementcount 0 &gt;&gt;C:\Users\stu\Documents\GitHub\eaglep3-reporting\EC\2016-11-01-refined-times.txt</v>
      </c>
      <c r="AI147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{"issue":{"subject":"","project_id":79,"tracker_id":40,"status_id":1,"priority_id":2,"assigned_to_id":23,"start_date":"2016-11-01","description":"","custom_fields":[{"id":1,"name":"Subdivision","value":"EC"},{"id":4,"name":"Milepost","value":"23.3288"},{"id":17,"name":"Train ID","value":"235-01"},{"id":16,"name":"Locomotive ID","value":"4040"},{"id":130,"name":"Impact","value":""},{"id":150,"name":"Time of Event (Mountain Time)","value":"23:12:36"},{"id":151,"name":"Denver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590</v>
      </c>
      <c r="B148" s="7">
        <v>4039</v>
      </c>
      <c r="C148" s="22" t="s">
        <v>253</v>
      </c>
      <c r="D148" s="22" t="s">
        <v>661</v>
      </c>
      <c r="E148" s="13">
        <v>42675.97515046296</v>
      </c>
      <c r="F148" s="13">
        <v>42675.978113425925</v>
      </c>
      <c r="G148" s="7">
        <v>1</v>
      </c>
      <c r="H148" s="13" t="s">
        <v>288</v>
      </c>
      <c r="I148" s="13">
        <v>42676.004594907405</v>
      </c>
      <c r="J148" s="7">
        <v>0</v>
      </c>
      <c r="K148" s="112" t="str">
        <f t="shared" si="68"/>
        <v>4039/4040</v>
      </c>
      <c r="L148" s="22" t="str">
        <f>VLOOKUP(A148,'Trips&amp;Operators'!$C$1:$E$10000,3,FALSE)</f>
        <v>CHANDLER</v>
      </c>
      <c r="M148" s="6">
        <f t="shared" si="69"/>
        <v>2.6481481480004732E-2</v>
      </c>
      <c r="N148" s="7">
        <f t="shared" si="62"/>
        <v>38.133333331206813</v>
      </c>
      <c r="O148" s="7"/>
      <c r="P148" s="7"/>
      <c r="Q148" s="23"/>
      <c r="R148" s="23"/>
      <c r="S148" s="35">
        <f t="shared" si="70"/>
        <v>1</v>
      </c>
      <c r="T148" s="50" t="str">
        <f t="shared" si="71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22:24:13-0600',mode:absolute,to:'2016-11-02 01:06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8" s="52" t="str">
        <f t="shared" si="73"/>
        <v>N</v>
      </c>
      <c r="X148" s="177">
        <f t="shared" si="63"/>
        <v>1</v>
      </c>
      <c r="Y148" s="67">
        <f t="shared" si="74"/>
        <v>23.296099999999999</v>
      </c>
      <c r="Z148" s="67">
        <f t="shared" si="75"/>
        <v>1.6E-2</v>
      </c>
      <c r="AA148" s="67">
        <f t="shared" si="76"/>
        <v>23.280100000000001</v>
      </c>
      <c r="AB148" s="64" t="e">
        <f>VLOOKUP(A148,Enforcements!$C$7:$K$21,8,0)</f>
        <v>#N/A</v>
      </c>
      <c r="AC148" s="60" t="e">
        <f>VLOOKUP(A148,Enforcements!$C$7:$E$21,3,0)</f>
        <v>#N/A</v>
      </c>
      <c r="AD148" s="61" t="str">
        <f t="shared" si="77"/>
        <v>0236-01</v>
      </c>
      <c r="AE148" s="91" t="str">
        <f t="shared" si="66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148" s="88" t="str">
        <f t="shared" si="67"/>
        <v>"C:\Program Files (x86)\AstroGrep\AstroGrep.exe" /spath="%USERPROFILE%\AppData\Local\Temp\OnboardLogs" /stypes="app*4039*20161102*" /stext=" 06:.+((SYSTEM_STATE.+slice.+state.+changed )|(ment ac)|(system.+state.+changed )|(\[timeout)|(PRM\|1\|D)|(kpr)|(kdp)|(\|lc)|(penalty))" /e /r /s</v>
      </c>
      <c r="AG148" s="1" t="str">
        <f t="shared" si="78"/>
        <v>EC</v>
      </c>
      <c r="AH148" s="92" t="str">
        <f t="shared" si="64"/>
        <v>"%USERPROFILE%\Documents\GitHub\eaglep3\Utilities\RefineRTDCRunTimes.py" --tripid 236-01 --locoid 4039 --swversion DE.1.0.8.0 --startMP 204:232961 --initTime 2016-11-01T23:24:13 --startdatetime 2016-11-01T23:28:29 --delay 1 --endMP 204:160 --enddatetime 2016-11-02T00:06:37 --enforcementcount 0 &gt;&gt;C:\Users\stu\Documents\GitHub\eaglep3-reporting\EC\2016-11-01-refined-times.txt</v>
      </c>
      <c r="AI148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{"issue":{"subject":"","project_id":79,"tracker_id":40,"status_id":1,"priority_id":2,"assigned_to_id":23,"start_date":"2016-11-02","description":"","custom_fields":[{"id":1,"name":"Subdivision","value":"EC"},{"id":4,"name":"Milepost","value":"0.016"},{"id":17,"name":"Train ID","value":"236-01"},{"id":16,"name":"Locomotive ID","value":"4039"},{"id":130,"name":"Impact","value":""},{"id":150,"name":"Time of Event (Mountain Time)","value":"00:06:37"},{"id":151,"name":"Denver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x14ac:dyDescent="0.25">
      <c r="A149" s="37" t="s">
        <v>588</v>
      </c>
      <c r="B149" s="7">
        <v>4022</v>
      </c>
      <c r="C149" s="22" t="s">
        <v>253</v>
      </c>
      <c r="D149" s="22" t="s">
        <v>662</v>
      </c>
      <c r="E149" s="13">
        <v>42675.952592592592</v>
      </c>
      <c r="F149" s="13">
        <v>42675.958518518521</v>
      </c>
      <c r="G149" s="7">
        <v>1</v>
      </c>
      <c r="H149" s="13" t="s">
        <v>239</v>
      </c>
      <c r="I149" s="13">
        <v>42675.984826388885</v>
      </c>
      <c r="J149" s="7">
        <v>0</v>
      </c>
      <c r="K149" s="112" t="str">
        <f t="shared" si="68"/>
        <v>4021/4022</v>
      </c>
      <c r="L149" s="22" t="str">
        <f>VLOOKUP(A149,'Trips&amp;Operators'!$C$1:$E$10000,3,FALSE)</f>
        <v>JOHNSON</v>
      </c>
      <c r="M149" s="6">
        <f t="shared" si="69"/>
        <v>2.6307870364689734E-2</v>
      </c>
      <c r="N149" s="7">
        <f t="shared" si="62"/>
        <v>37.883333325153217</v>
      </c>
      <c r="O149" s="7"/>
      <c r="P149" s="7"/>
      <c r="Q149" s="23"/>
      <c r="R149" s="23"/>
      <c r="S149" s="35">
        <f t="shared" si="70"/>
        <v>1</v>
      </c>
      <c r="T149" s="50" t="str">
        <f t="shared" si="71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21:51:44-0600',mode:absolute,to:'2016-11-02 00:38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52" t="str">
        <f t="shared" si="73"/>
        <v>N</v>
      </c>
      <c r="X149" s="177">
        <f t="shared" si="63"/>
        <v>1</v>
      </c>
      <c r="Y149" s="67">
        <f t="shared" si="74"/>
        <v>4.8899999999999999E-2</v>
      </c>
      <c r="Z149" s="67">
        <f t="shared" si="75"/>
        <v>23.3291</v>
      </c>
      <c r="AA149" s="67">
        <f t="shared" si="76"/>
        <v>23.280200000000001</v>
      </c>
      <c r="AB149" s="64" t="e">
        <f>VLOOKUP(A149,Enforcements!$C$7:$K$21,8,0)</f>
        <v>#N/A</v>
      </c>
      <c r="AC149" s="60" t="e">
        <f>VLOOKUP(A149,Enforcements!$C$7:$E$21,3,0)</f>
        <v>#N/A</v>
      </c>
      <c r="AD149" s="61" t="str">
        <f t="shared" si="77"/>
        <v>0237-01</v>
      </c>
      <c r="AE149" s="91" t="str">
        <f t="shared" si="66"/>
        <v>aws s3 cp s3://rtdc.mdm.uploadarchive.raw/RTDC4022/ "%USERPROFILE%\AppData\Local\Temp\OnboardLogs"\RTDC4022\2016-11-01 --exclude "*" --recursive --include "*20161101*" &amp; "%USERPROFILE%\Documents\GitHub\mrs-test-scripts\Headless Mode &amp; Sideloading\WalkAndUnGZ.bat" "%USERPROFILE%\AppData\Local\Temp\OnboardLogs"\RTDC4022\2016-11-01 &amp; 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</v>
      </c>
      <c r="AF149" s="88" t="str">
        <f t="shared" si="67"/>
        <v>"C:\Program Files (x86)\AstroGrep\AstroGrep.exe" /spath="%USERPROFILE%\AppData\Local\Temp\OnboardLogs" /stypes="app*4022*20161102*" /stext=" 05:.+((SYSTEM_STATE.+slice.+state.+changed )|(ment ac)|(system.+state.+changed )|(\[timeout)|(PRM\|1\|D)|(kpr)|(kdp)|(\|lc)|(penalty))" /e /r /s</v>
      </c>
      <c r="AG149" s="1" t="str">
        <f t="shared" si="78"/>
        <v>EC</v>
      </c>
      <c r="AH149" s="92" t="str">
        <f t="shared" si="64"/>
        <v>"%USERPROFILE%\Documents\GitHub\eaglep3\Utilities\RefineRTDCRunTimes.py" --tripid 237-01 --locoid 4022 --swversion DE.1.0.8.0 --startMP 204:489 --initTime 2016-11-01T22:51:44 --startdatetime 2016-11-01T23:00:16 --delay 1 --endMP 204:233291 --enddatetime 2016-11-01T23:38:09 --enforcementcount 0 &gt;&gt;C:\Users\stu\Documents\GitHub\eaglep3-reporting\EC\2016-11-01-refined-times.txt</v>
      </c>
      <c r="AI149" s="122" t="str">
        <f t="shared" si="65"/>
        <v>echo {"issue":{"subject":"","project_id":79,"tracker_id":40,"status_id":1,"priority_id":2,"assigned_to_id":23,"start_date":"2016-11-01","description":"","custom_fields":[{"id":1,"name":"Subdivision","value":"EC"},{"id":4,"name":"Milepost","value":"23.3291"},{"id":17,"name":"Train ID","value":"237-01"},{"id":16,"name":"Locomotive ID","value":"4022"},{"id":130,"name":"Impact","value":""},{"id":150,"name":"Time of Event (Mountain Time)","value":"23:38:09"},{"id":151,"name":"Denver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91" x14ac:dyDescent="0.25">
      <c r="A150" s="37" t="s">
        <v>592</v>
      </c>
      <c r="B150" s="7">
        <v>4021</v>
      </c>
      <c r="C150" s="22" t="s">
        <v>253</v>
      </c>
      <c r="D150" s="22" t="s">
        <v>250</v>
      </c>
      <c r="E150" s="13">
        <v>42675.993113425924</v>
      </c>
      <c r="F150" s="13">
        <v>42675.997604166667</v>
      </c>
      <c r="G150" s="7">
        <v>1</v>
      </c>
      <c r="H150" s="13" t="s">
        <v>228</v>
      </c>
      <c r="I150" s="13">
        <v>42676.025578703702</v>
      </c>
      <c r="J150" s="7">
        <v>0</v>
      </c>
      <c r="K150" s="112" t="str">
        <f t="shared" si="68"/>
        <v>4021/4022</v>
      </c>
      <c r="L150" s="22" t="str">
        <f>VLOOKUP(A150,'Trips&amp;Operators'!$C$1:$E$10000,3,FALSE)</f>
        <v>JOHNSON</v>
      </c>
      <c r="M150" s="6">
        <f t="shared" si="69"/>
        <v>2.7974537035333924E-2</v>
      </c>
      <c r="N150" s="7">
        <f t="shared" si="62"/>
        <v>40.283333330880851</v>
      </c>
      <c r="O150" s="7"/>
      <c r="P150" s="7"/>
      <c r="Q150" s="23"/>
      <c r="R150" s="23"/>
      <c r="S150" s="35">
        <f t="shared" si="70"/>
        <v>1</v>
      </c>
      <c r="T150" s="50" t="str">
        <f t="shared" si="71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22:50:05-0600',mode:absolute,to:'2016-11-02 01:36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0" s="52" t="str">
        <f t="shared" si="73"/>
        <v>N</v>
      </c>
      <c r="X150" s="177">
        <f t="shared" si="63"/>
        <v>1</v>
      </c>
      <c r="Y150" s="67">
        <f t="shared" si="74"/>
        <v>23.296900000000001</v>
      </c>
      <c r="Z150" s="67">
        <f t="shared" si="75"/>
        <v>1.5599999999999999E-2</v>
      </c>
      <c r="AA150" s="67">
        <f t="shared" si="76"/>
        <v>23.281300000000002</v>
      </c>
      <c r="AB150" s="64" t="e">
        <f>VLOOKUP(A150,Enforcements!$C$7:$K$21,8,0)</f>
        <v>#N/A</v>
      </c>
      <c r="AC150" s="60" t="e">
        <f>VLOOKUP(A150,Enforcements!$C$7:$E$21,3,0)</f>
        <v>#N/A</v>
      </c>
      <c r="AD150" s="61" t="str">
        <f t="shared" si="77"/>
        <v>0238-01</v>
      </c>
      <c r="AE150" s="91" t="str">
        <f t="shared" si="66"/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AF150" s="88" t="str">
        <f t="shared" si="67"/>
        <v>"C:\Program Files (x86)\AstroGrep\AstroGrep.exe" /spath="%USERPROFILE%\AppData\Local\Temp\OnboardLogs" /stypes="app*4021*20161102*" /stext=" 06:.+((SYSTEM_STATE.+slice.+state.+changed )|(ment ac)|(system.+state.+changed )|(\[timeout)|(PRM\|1\|D)|(kpr)|(kdp)|(\|lc)|(penalty))" /e /r /s</v>
      </c>
      <c r="AG150" s="1" t="str">
        <f t="shared" si="78"/>
        <v>EC</v>
      </c>
      <c r="AH150" s="92" t="str">
        <f t="shared" si="64"/>
        <v>"%USERPROFILE%\Documents\GitHub\eaglep3\Utilities\RefineRTDCRunTimes.py" --tripid 238-01 --locoid 4021 --swversion DE.1.0.8.0 --startMP 204:232969 --initTime 2016-11-01T23:50:05 --startdatetime 2016-11-01T23:56:33 --delay 1 --endMP 204:156 --enddatetime 2016-11-02T00:36:50 --enforcementcount 0 &gt;&gt;C:\Users\stu\Documents\GitHub\eaglep3-reporting\EC\2016-11-01-refined-times.txt</v>
      </c>
      <c r="AI150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{"issue":{"subject":"","project_id":79,"tracker_id":40,"status_id":1,"priority_id":2,"assigned_to_id":23,"start_date":"2016-11-02","description":"","custom_fields":[{"id":1,"name":"Subdivision","value":"EC"},{"id":4,"name":"Milepost","value":"0.0156"},{"id":17,"name":"Train ID","value":"238-01"},{"id":16,"name":"Locomotive ID","value":"4021"},{"id":130,"name":"Impact","value":""},{"id":150,"name":"Time of Event (Mountain Time)","value":"00:36:50"},{"id":151,"name":"Denver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s="21" customFormat="1" x14ac:dyDescent="0.25">
      <c r="A151" s="37" t="s">
        <v>589</v>
      </c>
      <c r="B151" s="7">
        <v>4029</v>
      </c>
      <c r="C151" s="22" t="s">
        <v>253</v>
      </c>
      <c r="D151" s="22" t="s">
        <v>273</v>
      </c>
      <c r="E151" s="13">
        <v>42675.970601851855</v>
      </c>
      <c r="F151" s="13">
        <v>42675.979432870372</v>
      </c>
      <c r="G151" s="7">
        <v>1</v>
      </c>
      <c r="H151" s="13" t="s">
        <v>630</v>
      </c>
      <c r="I151" s="13">
        <v>42676.004247685189</v>
      </c>
      <c r="J151" s="7">
        <v>0</v>
      </c>
      <c r="K151" s="112" t="str">
        <f t="shared" si="68"/>
        <v>4029/4030</v>
      </c>
      <c r="L151" s="22" t="str">
        <f>VLOOKUP(A151,'Trips&amp;Operators'!$C$1:$E$10000,3,FALSE)</f>
        <v>CRAYTON</v>
      </c>
      <c r="M151" s="6">
        <f t="shared" si="69"/>
        <v>2.4814814816636499E-2</v>
      </c>
      <c r="N151" s="7">
        <f t="shared" si="62"/>
        <v>35.733333335956559</v>
      </c>
      <c r="O151" s="7"/>
      <c r="P151" s="7"/>
      <c r="Q151" s="23"/>
      <c r="R151" s="23"/>
      <c r="S151" s="35">
        <f t="shared" si="70"/>
        <v>1</v>
      </c>
      <c r="T151" s="50" t="str">
        <f t="shared" si="71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22:17:40-0600',mode:absolute,to:'2016-11-02 01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1" s="52" t="str">
        <f t="shared" si="73"/>
        <v>N</v>
      </c>
      <c r="X151" s="177">
        <f t="shared" si="63"/>
        <v>1</v>
      </c>
      <c r="Y151" s="67">
        <f t="shared" si="74"/>
        <v>4.7300000000000002E-2</v>
      </c>
      <c r="Z151" s="67">
        <f t="shared" si="75"/>
        <v>23.331700000000001</v>
      </c>
      <c r="AA151" s="67">
        <f t="shared" si="76"/>
        <v>23.284400000000002</v>
      </c>
      <c r="AB151" s="64" t="e">
        <f>VLOOKUP(A151,Enforcements!$C$7:$K$21,8,0)</f>
        <v>#N/A</v>
      </c>
      <c r="AC151" s="60" t="e">
        <f>VLOOKUP(A151,Enforcements!$C$7:$E$21,3,0)</f>
        <v>#N/A</v>
      </c>
      <c r="AD151" s="61" t="str">
        <f t="shared" si="77"/>
        <v>0239-01</v>
      </c>
      <c r="AE151" s="91" t="str">
        <f t="shared" si="66"/>
        <v>aws s3 cp s3://rtdc.mdm.uploadarchive.raw/RTDC4029/ "%USERPROFILE%\AppData\Local\Temp\OnboardLogs"\RTDC4029\2016-11-01 --exclude "*" --recursive --include "*20161101*" &amp; "%USERPROFILE%\Documents\GitHub\mrs-test-scripts\Headless Mode &amp; Sideloading\WalkAndUnGZ.bat" "%USERPROFILE%\AppData\Local\Temp\OnboardLogs"\RTDC4029\2016-11-01 &amp; 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</v>
      </c>
      <c r="AF151" s="88" t="str">
        <f t="shared" si="67"/>
        <v>"C:\Program Files (x86)\AstroGrep\AstroGrep.exe" /spath="%USERPROFILE%\AppData\Local\Temp\OnboardLogs" /stypes="app*4029*20161102*" /stext=" 06:.+((SYSTEM_STATE.+slice.+state.+changed )|(ment ac)|(system.+state.+changed )|(\[timeout)|(PRM\|1\|D)|(kpr)|(kdp)|(\|lc)|(penalty))" /e /r /s</v>
      </c>
      <c r="AG151" s="1" t="str">
        <f t="shared" si="78"/>
        <v>EC</v>
      </c>
      <c r="AH151" s="92" t="str">
        <f t="shared" si="64"/>
        <v>"%USERPROFILE%\Documents\GitHub\eaglep3\Utilities\RefineRTDCRunTimes.py" --tripid 239-01 --locoid 4029 --swversion DE.1.0.8.0 --startMP 204:473 --initTime 2016-11-01T23:17:40 --startdatetime 2016-11-01T23:30:23 --delay 1 --endMP 204:233317 --enddatetime 2016-11-02T00:06:07 --enforcementcount 0 &gt;&gt;C:\Users\stu\Documents\GitHub\eaglep3-reporting\EC\2016-11-01-refined-times.txt</v>
      </c>
      <c r="AI151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{"issue":{"subject":"","project_id":79,"tracker_id":40,"status_id":1,"priority_id":2,"assigned_to_id":23,"start_date":"2016-11-02","description":"","custom_fields":[{"id":1,"name":"Subdivision","value":"EC"},{"id":4,"name":"Milepost","value":"23.3317"},{"id":17,"name":"Train ID","value":"239-01"},{"id":16,"name":"Locomotive ID","value":"4029"},{"id":130,"name":"Impact","value":""},{"id":150,"name":"Time of Event (Mountain Time)","value":"00:06:07"},{"id":151,"name":"Denver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593</v>
      </c>
      <c r="B152" s="7">
        <v>4030</v>
      </c>
      <c r="C152" s="22" t="s">
        <v>253</v>
      </c>
      <c r="D152" s="22" t="s">
        <v>663</v>
      </c>
      <c r="E152" s="13">
        <v>42676.009236111109</v>
      </c>
      <c r="F152" s="13">
        <v>42676.020486111112</v>
      </c>
      <c r="G152" s="7">
        <v>1</v>
      </c>
      <c r="H152" s="13" t="s">
        <v>208</v>
      </c>
      <c r="I152" s="13">
        <v>42676.050833333335</v>
      </c>
      <c r="J152" s="7">
        <v>0</v>
      </c>
      <c r="K152" s="112" t="str">
        <f t="shared" si="68"/>
        <v>4029/4030</v>
      </c>
      <c r="L152" s="22" t="str">
        <f>VLOOKUP(A152,'Trips&amp;Operators'!$C$1:$E$10000,3,FALSE)</f>
        <v>CRAYTON</v>
      </c>
      <c r="M152" s="6">
        <f t="shared" si="69"/>
        <v>3.0347222222189885E-2</v>
      </c>
      <c r="N152" s="7">
        <f t="shared" si="62"/>
        <v>43.699999999953434</v>
      </c>
      <c r="O152" s="7"/>
      <c r="P152" s="7"/>
      <c r="Q152" s="23"/>
      <c r="R152" s="23"/>
      <c r="S152" s="35">
        <f t="shared" si="70"/>
        <v>1</v>
      </c>
      <c r="T152" s="50" t="str">
        <f t="shared" si="71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23:13:18-0600',mode:absolute,to:'2016-11-02 02:13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2" s="52" t="str">
        <f t="shared" si="73"/>
        <v>N</v>
      </c>
      <c r="X152" s="177">
        <f t="shared" ref="X152:X156" si="79">VALUE(LEFT(AD152,4))-VALUE(LEFT(AD151,4))</f>
        <v>1</v>
      </c>
      <c r="Y152" s="67">
        <f t="shared" si="74"/>
        <v>23.299099999999999</v>
      </c>
      <c r="Z152" s="67">
        <f t="shared" si="75"/>
        <v>1.4999999999999999E-2</v>
      </c>
      <c r="AA152" s="67">
        <f t="shared" si="76"/>
        <v>23.284099999999999</v>
      </c>
      <c r="AB152" s="64" t="e">
        <f>VLOOKUP(A152,Enforcements!$C$7:$K$21,8,0)</f>
        <v>#N/A</v>
      </c>
      <c r="AC152" s="60" t="e">
        <f>VLOOKUP(A152,Enforcements!$C$7:$E$21,3,0)</f>
        <v>#N/A</v>
      </c>
      <c r="AD152" s="61" t="str">
        <f t="shared" si="77"/>
        <v>0240-01</v>
      </c>
      <c r="AE152" s="91" t="str">
        <f t="shared" si="66"/>
        <v>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 &amp; aws s3 cp s3://rtdc.mdm.uploadarchive.raw/RTDC4030/ "%USERPROFILE%\AppData\Local\Temp\OnboardLogs"\RTDC4030\2016-11-03 --exclude "*" --recursive --include "*20161103*" &amp; "%USERPROFILE%\Documents\GitHub\mrs-test-scripts\Headless Mode &amp; Sideloading\WalkAndUnGZ.bat" "%USERPROFILE%\AppData\Local\Temp\OnboardLogs"\RTDC4030\2016-11-03</v>
      </c>
      <c r="AF152" s="88" t="str">
        <f t="shared" si="67"/>
        <v>"C:\Program Files (x86)\AstroGrep\AstroGrep.exe" /spath="%USERPROFILE%\AppData\Local\Temp\OnboardLogs" /stypes="app*4030*20161102*" /stext=" 07:.+((SYSTEM_STATE.+slice.+state.+changed )|(ment ac)|(system.+state.+changed )|(\[timeout)|(PRM\|1\|D)|(kpr)|(kdp)|(\|lc)|(penalty))" /e /r /s</v>
      </c>
      <c r="AG152" s="1" t="str">
        <f t="shared" si="78"/>
        <v>EC</v>
      </c>
      <c r="AH152" s="92" t="str">
        <f t="shared" si="64"/>
        <v>"%USERPROFILE%\Documents\GitHub\eaglep3\Utilities\RefineRTDCRunTimes.py" --tripid 240-01 --locoid 4030 --swversion DE.1.0.8.0 --startMP 204:232991 --initTime 2016-11-02T00:13:18 --startdatetime 2016-11-02T00:29:30 --delay 1 --endMP 204:150 --enddatetime 2016-11-02T01:13:12 --enforcementcount 0 &gt;&gt;C:\Users\stu\Documents\GitHub\eaglep3-reporting\EC\2016-11-01-refined-times.txt</v>
      </c>
      <c r="AI152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{"issue":{"subject":"","project_id":79,"tracker_id":40,"status_id":1,"priority_id":2,"assigned_to_id":23,"start_date":"2016-11-02","description":"","custom_fields":[{"id":1,"name":"Subdivision","value":"EC"},{"id":4,"name":"Milepost","value":"0.015"},{"id":17,"name":"Train ID","value":"240-01"},{"id":16,"name":"Locomotive ID","value":"4030"},{"id":130,"name":"Impact","value":""},{"id":150,"name":"Time of Event (Mountain Time)","value":"01:13:12"},{"id":151,"name":"Denver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591</v>
      </c>
      <c r="B153" s="7">
        <v>4042</v>
      </c>
      <c r="C153" s="22" t="s">
        <v>253</v>
      </c>
      <c r="D153" s="22" t="s">
        <v>270</v>
      </c>
      <c r="E153" s="13">
        <v>42675.987187500003</v>
      </c>
      <c r="F153" s="13">
        <v>42676.000162037039</v>
      </c>
      <c r="G153" s="7">
        <v>16</v>
      </c>
      <c r="H153" s="13" t="s">
        <v>258</v>
      </c>
      <c r="I153" s="13">
        <v>42676.024293981478</v>
      </c>
      <c r="J153" s="7">
        <v>0</v>
      </c>
      <c r="K153" s="112" t="str">
        <f t="shared" si="68"/>
        <v>4041/4042</v>
      </c>
      <c r="L153" s="22" t="str">
        <f>VLOOKUP(A153,'Trips&amp;Operators'!$C$1:$E$10000,3,FALSE)</f>
        <v>WHITED</v>
      </c>
      <c r="M153" s="6">
        <f t="shared" si="69"/>
        <v>2.4131944439432118E-2</v>
      </c>
      <c r="N153" s="7">
        <f t="shared" si="62"/>
        <v>34.74999999278225</v>
      </c>
      <c r="O153" s="7"/>
      <c r="P153" s="7"/>
      <c r="Q153" s="23"/>
      <c r="R153" s="23"/>
      <c r="S153" s="35">
        <f t="shared" si="70"/>
        <v>1</v>
      </c>
      <c r="T153" s="50" t="str">
        <f t="shared" si="71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22:41:33-0600',mode:absolute,to:'2016-11-02 01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73"/>
        <v>N</v>
      </c>
      <c r="X153" s="177">
        <f t="shared" si="79"/>
        <v>1</v>
      </c>
      <c r="Y153" s="67">
        <f t="shared" si="74"/>
        <v>4.3799999999999999E-2</v>
      </c>
      <c r="Z153" s="67">
        <f t="shared" si="75"/>
        <v>23.328800000000001</v>
      </c>
      <c r="AA153" s="67">
        <f t="shared" si="76"/>
        <v>23.285</v>
      </c>
      <c r="AB153" s="64" t="e">
        <f>VLOOKUP(A153,Enforcements!$C$7:$K$21,8,0)</f>
        <v>#N/A</v>
      </c>
      <c r="AC153" s="60" t="e">
        <f>VLOOKUP(A153,Enforcements!$C$7:$E$21,3,0)</f>
        <v>#N/A</v>
      </c>
      <c r="AD153" s="61" t="str">
        <f t="shared" si="77"/>
        <v>0241-01</v>
      </c>
      <c r="AE153" s="91" t="str">
        <f t="shared" si="66"/>
        <v>aws s3 cp s3://rtdc.mdm.uploadarchive.raw/RTDC4042/ "%USERPROFILE%\AppData\Local\Temp\OnboardLogs"\RTDC4042\2016-11-02 --exclude "*" --recursive --include "*20161102*" &amp; "%USERPROFILE%\Documents\GitHub\mrs-test-scripts\Headless Mode &amp; Sideloading\WalkAndUnGZ.bat" "%USERPROFILE%\AppData\Local\Temp\OnboardLogs"\RTDC4042\2016-11-02 &amp; aws s3 cp s3://rtdc.mdm.uploadarchive.raw/RTDC4042/ "%USERPROFILE%\AppData\Local\Temp\OnboardLogs"\RTDC4042\2016-11-03 --exclude "*" --recursive --include "*20161103*" &amp; "%USERPROFILE%\Documents\GitHub\mrs-test-scripts\Headless Mode &amp; Sideloading\WalkAndUnGZ.bat" "%USERPROFILE%\AppData\Local\Temp\OnboardLogs"\RTDC4042\2016-11-03</v>
      </c>
      <c r="AF153" s="88" t="str">
        <f t="shared" si="67"/>
        <v>"C:\Program Files (x86)\AstroGrep\AstroGrep.exe" /spath="%USERPROFILE%\AppData\Local\Temp\OnboardLogs" /stypes="app*4042*20161102*" /stext=" 06:.+((SYSTEM_STATE.+slice.+state.+changed )|(ment ac)|(system.+state.+changed )|(\[timeout)|(PRM\|1\|D)|(kpr)|(kdp)|(\|lc)|(penalty))" /e /r /s</v>
      </c>
      <c r="AG153" s="1" t="str">
        <f t="shared" si="78"/>
        <v>EC</v>
      </c>
      <c r="AH153" s="92" t="str">
        <f t="shared" si="64"/>
        <v>"%USERPROFILE%\Documents\GitHub\eaglep3\Utilities\RefineRTDCRunTimes.py" --tripid 241-01 --locoid 4042 --swversion DE.1.0.8.0 --startMP 204:438 --initTime 2016-11-01T23:41:33 --startdatetime 2016-11-02T00:00:14 --delay 16 --endMP 204:233288 --enddatetime 2016-11-02T00:34:59 --enforcementcount 0 &gt;&gt;C:\Users\stu\Documents\GitHub\eaglep3-reporting\EC\2016-11-01-refined-times.txt</v>
      </c>
      <c r="AI153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{"issue":{"subject":"","project_id":79,"tracker_id":40,"status_id":1,"priority_id":2,"assigned_to_id":23,"start_date":"2016-11-02","description":"","custom_fields":[{"id":1,"name":"Subdivision","value":"EC"},{"id":4,"name":"Milepost","value":"23.3288"},{"id":17,"name":"Train ID","value":"241-01"},{"id":16,"name":"Locomotive ID","value":"4042"},{"id":130,"name":"Impact","value":""},{"id":150,"name":"Time of Event (Mountain Time)","value":"00:34:59"},{"id":151,"name":"Denver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596</v>
      </c>
      <c r="B154" s="7">
        <v>4041</v>
      </c>
      <c r="C154" s="22" t="s">
        <v>253</v>
      </c>
      <c r="D154" s="22" t="s">
        <v>226</v>
      </c>
      <c r="E154" s="13">
        <v>42676.035624999997</v>
      </c>
      <c r="F154" s="13">
        <v>42676.039027777777</v>
      </c>
      <c r="G154" s="7">
        <v>1</v>
      </c>
      <c r="H154" s="13" t="s">
        <v>664</v>
      </c>
      <c r="I154" s="13">
        <v>42676.064074074071</v>
      </c>
      <c r="J154" s="7">
        <v>0</v>
      </c>
      <c r="K154" s="112" t="str">
        <f t="shared" si="68"/>
        <v>4041/4042</v>
      </c>
      <c r="L154" s="22" t="str">
        <f>VLOOKUP(A154,'Trips&amp;Operators'!$C$1:$E$10000,3,FALSE)</f>
        <v>WHITED</v>
      </c>
      <c r="M154" s="6">
        <f t="shared" si="69"/>
        <v>2.5046296294021886E-2</v>
      </c>
      <c r="N154" s="7">
        <f t="shared" si="62"/>
        <v>36.066666663391516</v>
      </c>
      <c r="O154" s="7"/>
      <c r="P154" s="7"/>
      <c r="Q154" s="23"/>
      <c r="R154" s="23"/>
      <c r="S154" s="35">
        <f t="shared" si="70"/>
        <v>1</v>
      </c>
      <c r="T154" s="50" t="str">
        <f t="shared" si="71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23:51:18-0600',mode:absolute,to:'2016-11-02 02:32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73"/>
        <v>N</v>
      </c>
      <c r="X154" s="177">
        <f t="shared" si="79"/>
        <v>1</v>
      </c>
      <c r="Y154" s="67">
        <f t="shared" si="74"/>
        <v>23.297699999999999</v>
      </c>
      <c r="Z154" s="67">
        <f t="shared" si="75"/>
        <v>3.1800000000000002E-2</v>
      </c>
      <c r="AA154" s="67">
        <f t="shared" si="76"/>
        <v>23.265899999999998</v>
      </c>
      <c r="AB154" s="64" t="e">
        <f>VLOOKUP(A154,Enforcements!$C$7:$K$21,8,0)</f>
        <v>#N/A</v>
      </c>
      <c r="AC154" s="60" t="e">
        <f>VLOOKUP(A154,Enforcements!$C$7:$E$21,3,0)</f>
        <v>#N/A</v>
      </c>
      <c r="AD154" s="61" t="str">
        <f t="shared" si="77"/>
        <v>0242-01</v>
      </c>
      <c r="AE154" s="91" t="str">
        <f t="shared" si="66"/>
        <v>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 &amp; aws s3 cp s3://rtdc.mdm.uploadarchive.raw/RTDC4041/ "%USERPROFILE%\AppData\Local\Temp\OnboardLogs"\RTDC4041\2016-11-03 --exclude "*" --recursive --include "*20161103*" &amp; "%USERPROFILE%\Documents\GitHub\mrs-test-scripts\Headless Mode &amp; Sideloading\WalkAndUnGZ.bat" "%USERPROFILE%\AppData\Local\Temp\OnboardLogs"\RTDC4041\2016-11-03</v>
      </c>
      <c r="AF154" s="88" t="str">
        <f t="shared" si="67"/>
        <v>"C:\Program Files (x86)\AstroGrep\AstroGrep.exe" /spath="%USERPROFILE%\AppData\Local\Temp\OnboardLogs" /stypes="app*4041*20161102*" /stext=" 07:.+((SYSTEM_STATE.+slice.+state.+changed )|(ment ac)|(system.+state.+changed )|(\[timeout)|(PRM\|1\|D)|(kpr)|(kdp)|(\|lc)|(penalty))" /e /r /s</v>
      </c>
      <c r="AG154" s="1" t="str">
        <f t="shared" si="78"/>
        <v>EC</v>
      </c>
      <c r="AH154" s="92" t="str">
        <f t="shared" si="64"/>
        <v>"%USERPROFILE%\Documents\GitHub\eaglep3\Utilities\RefineRTDCRunTimes.py" --tripid 242-01 --locoid 4041 --swversion DE.1.0.8.0 --startMP 204:232977 --initTime 2016-11-02T00:51:18 --startdatetime 2016-11-02T00:56:12 --delay 1 --endMP 204:318 --enddatetime 2016-11-02T01:32:16 --enforcementcount 0 &gt;&gt;C:\Users\stu\Documents\GitHub\eaglep3-reporting\EC\2016-11-01-refined-times.txt</v>
      </c>
      <c r="AI154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{"issue":{"subject":"","project_id":79,"tracker_id":40,"status_id":1,"priority_id":2,"assigned_to_id":23,"start_date":"2016-11-02","description":"","custom_fields":[{"id":1,"name":"Subdivision","value":"EC"},{"id":4,"name":"Milepost","value":"0.0318"},{"id":17,"name":"Train ID","value":"242-01"},{"id":16,"name":"Locomotive ID","value":"4041"},{"id":130,"name":"Impact","value":""},{"id":150,"name":"Time of Event (Mountain Time)","value":"01:32:16"},{"id":151,"name":"Denver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7" t="s">
        <v>594</v>
      </c>
      <c r="B155" s="7">
        <v>4040</v>
      </c>
      <c r="C155" s="22" t="s">
        <v>253</v>
      </c>
      <c r="D155" s="22" t="s">
        <v>638</v>
      </c>
      <c r="E155" s="13">
        <v>42676.018645833334</v>
      </c>
      <c r="F155" s="13">
        <v>42676.021087962959</v>
      </c>
      <c r="G155" s="7">
        <v>1</v>
      </c>
      <c r="H155" s="13" t="s">
        <v>285</v>
      </c>
      <c r="I155" s="13">
        <v>42676.046574074076</v>
      </c>
      <c r="J155" s="7">
        <v>0</v>
      </c>
      <c r="K155" s="112" t="str">
        <f t="shared" si="68"/>
        <v>4039/4040</v>
      </c>
      <c r="L155" s="22" t="str">
        <f>VLOOKUP(A155,'Trips&amp;Operators'!$C$1:$E$10000,3,FALSE)</f>
        <v>CHANDLER</v>
      </c>
      <c r="M155" s="6">
        <f t="shared" si="69"/>
        <v>2.5486111117061228E-2</v>
      </c>
      <c r="N155" s="7">
        <f t="shared" si="62"/>
        <v>36.700000008568168</v>
      </c>
      <c r="O155" s="7"/>
      <c r="P155" s="7"/>
      <c r="Q155" s="23"/>
      <c r="R155" s="23"/>
      <c r="S155" s="35">
        <f t="shared" si="70"/>
        <v>1</v>
      </c>
      <c r="T155" s="50" t="str">
        <f t="shared" si="71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23:26:51-0600',mode:absolute,to:'2016-11-02 02:07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55" s="52" t="str">
        <f t="shared" si="73"/>
        <v>N</v>
      </c>
      <c r="X155" s="177">
        <f t="shared" si="79"/>
        <v>1</v>
      </c>
      <c r="Y155" s="67">
        <f t="shared" si="74"/>
        <v>4.6899999999999997E-2</v>
      </c>
      <c r="Z155" s="67">
        <f t="shared" si="75"/>
        <v>23.328499999999998</v>
      </c>
      <c r="AA155" s="67">
        <f t="shared" si="76"/>
        <v>23.281599999999997</v>
      </c>
      <c r="AB155" s="64" t="e">
        <f>VLOOKUP(A155,Enforcements!$C$7:$K$21,8,0)</f>
        <v>#N/A</v>
      </c>
      <c r="AC155" s="60" t="e">
        <f>VLOOKUP(A155,Enforcements!$C$7:$E$21,3,0)</f>
        <v>#N/A</v>
      </c>
      <c r="AD155" s="61" t="str">
        <f t="shared" si="77"/>
        <v>0243-01</v>
      </c>
      <c r="AE155" s="91" t="str">
        <f t="shared" si="66"/>
        <v>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 &amp; 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</v>
      </c>
      <c r="AF155" s="88" t="str">
        <f t="shared" si="67"/>
        <v>"C:\Program Files (x86)\AstroGrep\AstroGrep.exe" /spath="%USERPROFILE%\AppData\Local\Temp\OnboardLogs" /stypes="app*4040*20161102*" /stext=" 07:.+((SYSTEM_STATE.+slice.+state.+changed )|(ment ac)|(system.+state.+changed )|(\[timeout)|(PRM\|1\|D)|(kpr)|(kdp)|(\|lc)|(penalty))" /e /r /s</v>
      </c>
      <c r="AG155" s="1" t="str">
        <f t="shared" si="78"/>
        <v>EC</v>
      </c>
      <c r="AH155" s="92" t="str">
        <f t="shared" si="64"/>
        <v>"%USERPROFILE%\Documents\GitHub\eaglep3\Utilities\RefineRTDCRunTimes.py" --tripid 243-01 --locoid 4040 --swversion DE.1.0.8.0 --startMP 204:469 --initTime 2016-11-02T00:26:51 --startdatetime 2016-11-02T00:30:22 --delay 1 --endMP 204:233285 --enddatetime 2016-11-02T01:07:04 --enforcementcount 0 &gt;&gt;C:\Users\stu\Documents\GitHub\eaglep3-reporting\EC\2016-11-01-refined-times.txt</v>
      </c>
      <c r="AI155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{"issue":{"subject":"","project_id":79,"tracker_id":40,"status_id":1,"priority_id":2,"assigned_to_id":23,"start_date":"2016-11-02","description":"","custom_fields":[{"id":1,"name":"Subdivision","value":"EC"},{"id":4,"name":"Milepost","value":"23.3285"},{"id":17,"name":"Train ID","value":"243-01"},{"id":16,"name":"Locomotive ID","value":"4040"},{"id":130,"name":"Impact","value":""},{"id":150,"name":"Time of Event (Mountain Time)","value":"01:07:04"},{"id":151,"name":"Denver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s="21" customFormat="1" x14ac:dyDescent="0.25">
      <c r="A156" s="37" t="s">
        <v>597</v>
      </c>
      <c r="B156" s="7">
        <v>4039</v>
      </c>
      <c r="C156" s="22" t="s">
        <v>253</v>
      </c>
      <c r="D156" s="22" t="s">
        <v>340</v>
      </c>
      <c r="E156" s="13">
        <v>42676.058217592596</v>
      </c>
      <c r="F156" s="13">
        <v>42676.060069444444</v>
      </c>
      <c r="G156" s="7">
        <v>1</v>
      </c>
      <c r="H156" s="13" t="s">
        <v>665</v>
      </c>
      <c r="I156" s="13">
        <v>42676.088622685187</v>
      </c>
      <c r="J156" s="7">
        <v>0</v>
      </c>
      <c r="K156" s="112" t="str">
        <f t="shared" si="68"/>
        <v>4039/4040</v>
      </c>
      <c r="L156" s="22" t="str">
        <f>VLOOKUP(A156,'Trips&amp;Operators'!$C$1:$E$10000,3,FALSE)</f>
        <v>CHANDLER</v>
      </c>
      <c r="M156" s="6">
        <f t="shared" si="69"/>
        <v>2.8553240743349306E-2</v>
      </c>
      <c r="N156" s="7">
        <f t="shared" si="62"/>
        <v>41.116666670423001</v>
      </c>
      <c r="O156" s="7"/>
      <c r="P156" s="7"/>
      <c r="Q156" s="23"/>
      <c r="R156" s="23"/>
      <c r="S156" s="35">
        <f t="shared" si="70"/>
        <v>1</v>
      </c>
      <c r="T156" s="50" t="str">
        <f t="shared" si="71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https://search-rtdc-monitor-bjffxe2xuh6vdkpspy63sjmuny.us-east-1.es.amazonaws.com/_plugin/kibana/#/discover/Steve-Slow-Train-Analysis-(2080s-and-2083s)?_g=(refreshInterval:(display:Off,section:0,value:0),time:(from:'2016-11-02 00:23:50-0600',mode:absolute,to:'2016-11-02 03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6" s="52" t="str">
        <f t="shared" si="73"/>
        <v>N</v>
      </c>
      <c r="X156" s="177">
        <f t="shared" si="79"/>
        <v>1</v>
      </c>
      <c r="Y156" s="67">
        <f t="shared" si="74"/>
        <v>23.297000000000001</v>
      </c>
      <c r="Z156" s="67">
        <f t="shared" si="75"/>
        <v>0.01</v>
      </c>
      <c r="AA156" s="67">
        <f t="shared" si="76"/>
        <v>23.286999999999999</v>
      </c>
      <c r="AB156" s="64" t="e">
        <f>VLOOKUP(A156,Enforcements!$C$7:$K$21,8,0)</f>
        <v>#N/A</v>
      </c>
      <c r="AC156" s="60" t="e">
        <f>VLOOKUP(A156,Enforcements!$C$7:$E$21,3,0)</f>
        <v>#N/A</v>
      </c>
      <c r="AD156" s="61" t="str">
        <f t="shared" si="77"/>
        <v>0244-01</v>
      </c>
      <c r="AE156" s="91" t="str">
        <f t="shared" si="66"/>
        <v>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 &amp; aws s3 cp s3://rtdc.mdm.uploadarchive.raw/RTDC4039/ "%USERPROFILE%\AppData\Local\Temp\OnboardLogs"\RTDC4039\2016-11-03 --exclude "*" --recursive --include "*20161103*" &amp; "%USERPROFILE%\Documents\GitHub\mrs-test-scripts\Headless Mode &amp; Sideloading\WalkAndUnGZ.bat" "%USERPROFILE%\AppData\Local\Temp\OnboardLogs"\RTDC4039\2016-11-03</v>
      </c>
      <c r="AF156" s="88" t="str">
        <f t="shared" si="67"/>
        <v>"C:\Program Files (x86)\AstroGrep\AstroGrep.exe" /spath="%USERPROFILE%\AppData\Local\Temp\OnboardLogs" /stypes="app*4039*20161102*" /stext=" 08:.+((SYSTEM_STATE.+slice.+state.+changed )|(ment ac)|(system.+state.+changed )|(\[timeout)|(PRM\|1\|D)|(kpr)|(kdp)|(\|lc)|(penalty))" /e /r /s</v>
      </c>
      <c r="AG156" s="1" t="str">
        <f t="shared" si="78"/>
        <v>EC</v>
      </c>
      <c r="AH156" s="92" t="str">
        <f t="shared" si="64"/>
        <v>"%USERPROFILE%\Documents\GitHub\eaglep3\Utilities\RefineRTDCRunTimes.py" --tripid 244-01 --locoid 4039 --swversion DE.1.0.8.0 --startMP 204:232970 --initTime 2016-11-02T01:23:50 --startdatetime 2016-11-02T01:26:30 --delay 1 --endMP 204:100 --enddatetime 2016-11-02T02:07:37 --enforcementcount 0 &gt;&gt;C:\Users\stu\Documents\GitHub\eaglep3-reporting\EC\2016-11-01-refined-times.txt</v>
      </c>
      <c r="AI156" s="122" t="str">
        <f t="shared" si="65"/>
        <v>echo {"issue":{"subject":"","project_id":79,"tracker_id":40,"status_id":1,"priority_id":2,"assigned_to_id":23,"start_date":"2016-11-02","description":"","custom_fields":[{"id":1,"name":"Subdivision","value":"EC"},{"id":4,"name":"Milepost","value":"0.01"},{"id":17,"name":"Train ID","value":"244-01"},{"id":16,"name":"Locomotive ID","value":"4039"},{"id":130,"name":"Impact","value":""},{"id":150,"name":"Time of Event (Mountain Time)","value":"02:07:37"},{"id":151,"name":"Denver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374</v>
      </c>
      <c r="B157" s="7">
        <v>4010</v>
      </c>
      <c r="C157" s="22" t="s">
        <v>253</v>
      </c>
      <c r="D157" s="22" t="s">
        <v>722</v>
      </c>
      <c r="E157" s="13">
        <v>42675.213680555556</v>
      </c>
      <c r="F157" s="13">
        <v>42675.215185185189</v>
      </c>
      <c r="G157" s="7">
        <v>1</v>
      </c>
      <c r="H157" s="13" t="s">
        <v>723</v>
      </c>
      <c r="I157" s="13">
        <v>42675.217060185183</v>
      </c>
      <c r="J157" s="7">
        <v>0</v>
      </c>
      <c r="K157" s="112" t="str">
        <f t="shared" si="68"/>
        <v>4009/4010</v>
      </c>
      <c r="L157" s="22" t="str">
        <f>VLOOKUP(A157,'Trips&amp;Operators'!$C$1:$E$10000,3,FALSE)</f>
        <v>STARKS</v>
      </c>
      <c r="M157" s="6">
        <f t="shared" si="69"/>
        <v>1.8749999944702722E-3</v>
      </c>
      <c r="N157" s="7"/>
      <c r="O157" s="7"/>
      <c r="P157" s="7">
        <f>24*60*SUM($M157:$M157)</f>
        <v>2.699999992037192</v>
      </c>
      <c r="Q157" s="23"/>
      <c r="R157" s="23" t="s">
        <v>796</v>
      </c>
      <c r="S157" s="35">
        <f t="shared" si="70"/>
        <v>0</v>
      </c>
      <c r="T157" s="50" t="str">
        <f t="shared" si="71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04:07:42-0600',mode:absolute,to:'2016-11-01 06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7" s="52" t="str">
        <f t="shared" si="73"/>
        <v>Y</v>
      </c>
      <c r="X157" s="177">
        <f t="shared" ref="X157:X188" si="80">VALUE(LEFT(AD157,4))-VALUE(LEFT(AD156,4))</f>
        <v>556</v>
      </c>
      <c r="Y157" s="67">
        <f t="shared" si="74"/>
        <v>5.86</v>
      </c>
      <c r="Z157" s="67">
        <f t="shared" si="75"/>
        <v>5.7747000000000002</v>
      </c>
      <c r="AA157" s="67">
        <f t="shared" si="76"/>
        <v>8.5300000000000153E-2</v>
      </c>
      <c r="AB157" s="64" t="e">
        <f>VLOOKUP(A157,Enforcements!$C$7:$K$21,8,0)</f>
        <v>#N/A</v>
      </c>
      <c r="AC157" s="60" t="e">
        <f>VLOOKUP(A157,Enforcements!$C$7:$E$21,3,0)</f>
        <v>#N/A</v>
      </c>
      <c r="AD157" s="61" t="str">
        <f t="shared" si="77"/>
        <v>0800-01</v>
      </c>
      <c r="AE157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57" s="88" t="str">
        <f t="shared" si="67"/>
        <v>"C:\Program Files (x86)\AstroGrep\AstroGrep.exe" /spath="%USERPROFILE%\AppData\Local\Temp\OnboardLogs" /stypes="app*4010*20161101*" /stext=" 11:.+((SYSTEM_STATE.+slice.+state.+changed )|(ment ac)|(system.+state.+changed )|(\[timeout)|(PRM\|1\|D)|(kpr)|(kdp)|(\|lc)|(penalty))" /e /r /s</v>
      </c>
      <c r="AG157" s="1" t="str">
        <f t="shared" si="78"/>
        <v>NW</v>
      </c>
      <c r="AH157" s="92" t="str">
        <f t="shared" si="64"/>
        <v>"%USERPROFILE%\Documents\GitHub\eaglep3\Utilities\RefineRTDCRunTimes.py" --tripid 800-01 --locoid 4010 --swversion DE.1.0.8.0 --startMP 300:58600 --initTime 2016-11-01T05:07:42 --startdatetime 2016-11-01T05:09:52 --delay 1 --endMP 300:57747 --enddatetime 2016-11-01T05:12:34 --enforcementcount 0 &gt;&gt;C:\Users\stu\Documents\GitHub\eaglep3-reporting\EC\2016-11-01-refined-times.txt</v>
      </c>
      <c r="AI157" s="122" t="str">
        <f t="shared" si="65"/>
        <v>echo {"issue":{"subject":"Direction of travel kept changing - most likely reverser handle wasn't set to FORWARD","project_id":79,"tracker_id":40,"status_id":1,"priority_id":2,"assigned_to_id":23,"start_date":"2016-11-01","description":"","custom_fields":[{"id":1,"name":"Subdivision","value":"NW"},{"id":4,"name":"Milepost","value":"5.7747"},{"id":17,"name":"Train ID","value":"800-01"},{"id":16,"name":"Locomotive ID","value":"4010"},{"id":130,"name":"Impact","value":""},{"id":150,"name":"Time of Event (Mountain Time)","value":"05:12:34"},{"id":151,"name":"Denver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421</v>
      </c>
      <c r="B158" s="7">
        <v>4009</v>
      </c>
      <c r="C158" s="22" t="s">
        <v>253</v>
      </c>
      <c r="D158" s="22" t="s">
        <v>724</v>
      </c>
      <c r="E158" s="13">
        <v>42675.22997685185</v>
      </c>
      <c r="F158" s="13">
        <v>42675.2575</v>
      </c>
      <c r="G158" s="7">
        <v>1</v>
      </c>
      <c r="H158" s="13" t="s">
        <v>725</v>
      </c>
      <c r="I158" s="13">
        <v>42675.268067129633</v>
      </c>
      <c r="J158" s="7">
        <v>0</v>
      </c>
      <c r="K158" s="112" t="str">
        <f t="shared" si="68"/>
        <v>4009/4010</v>
      </c>
      <c r="L158" s="22" t="str">
        <f>VLOOKUP(A158,'Trips&amp;Operators'!$C$1:$E$10000,3,FALSE)</f>
        <v>STARKS</v>
      </c>
      <c r="M158" s="6">
        <f t="shared" si="69"/>
        <v>1.0567129633272998E-2</v>
      </c>
      <c r="N158" s="7">
        <f t="shared" ref="N158:N189" si="81">24*60*SUM($M158:$M158)</f>
        <v>15.216666671913117</v>
      </c>
      <c r="O158" s="7"/>
      <c r="P158" s="7"/>
      <c r="Q158" s="23"/>
      <c r="R158" s="23"/>
      <c r="S158" s="35">
        <f t="shared" si="70"/>
        <v>1</v>
      </c>
      <c r="T158" s="50" t="str">
        <f t="shared" si="71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04:31:10-0600',mode:absolute,to:'2016-11-01 07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 t="shared" si="73"/>
        <v>N</v>
      </c>
      <c r="X158" s="177">
        <f t="shared" si="80"/>
        <v>1</v>
      </c>
      <c r="Y158" s="67">
        <f t="shared" si="74"/>
        <v>0.1007</v>
      </c>
      <c r="Z158" s="67">
        <f t="shared" si="75"/>
        <v>5.8935000000000004</v>
      </c>
      <c r="AA158" s="67">
        <f t="shared" si="76"/>
        <v>5.7928000000000006</v>
      </c>
      <c r="AB158" s="64" t="e">
        <f>VLOOKUP(A158,Enforcements!$C$7:$K$21,8,0)</f>
        <v>#N/A</v>
      </c>
      <c r="AC158" s="60" t="e">
        <f>VLOOKUP(A158,Enforcements!$C$7:$E$21,3,0)</f>
        <v>#N/A</v>
      </c>
      <c r="AD158" s="61" t="str">
        <f t="shared" si="77"/>
        <v>0801-01</v>
      </c>
      <c r="AE158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58" s="88" t="str">
        <f t="shared" si="67"/>
        <v>"C:\Program Files (x86)\AstroGrep\AstroGrep.exe" /spath="%USERPROFILE%\AppData\Local\Temp\OnboardLogs" /stypes="app*4009*20161101*" /stext=" 12:.+((SYSTEM_STATE.+slice.+state.+changed )|(ment ac)|(system.+state.+changed )|(\[timeout)|(PRM\|1\|D)|(kpr)|(kdp)|(\|lc)|(penalty))" /e /r /s</v>
      </c>
      <c r="AG158" s="1" t="str">
        <f t="shared" si="78"/>
        <v>NW</v>
      </c>
      <c r="AH158" s="92" t="str">
        <f t="shared" si="64"/>
        <v>"%USERPROFILE%\Documents\GitHub\eaglep3\Utilities\RefineRTDCRunTimes.py" --tripid 801-01 --locoid 4009 --swversion DE.1.0.8.0 --startMP 204:1007 --initTime 2016-11-01T05:31:10 --startdatetime 2016-11-01T06:10:48 --delay 1 --endMP 300:58935 --enddatetime 2016-11-01T06:26:01 --enforcementcount 0 &gt;&gt;C:\Users\stu\Documents\GitHub\eaglep3-reporting\EC\2016-11-01-refined-times.txt</v>
      </c>
      <c r="AI158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{"issue":{"subject":"","project_id":79,"tracker_id":40,"status_id":1,"priority_id":2,"assigned_to_id":23,"start_date":"2016-11-01","description":"","custom_fields":[{"id":1,"name":"Subdivision","value":"NW"},{"id":4,"name":"Milepost","value":"5.8935"},{"id":17,"name":"Train ID","value":"801-01"},{"id":16,"name":"Locomotive ID","value":"4009"},{"id":130,"name":"Impact","value":""},{"id":150,"name":"Time of Event (Mountain Time)","value":"06:26:01"},{"id":151,"name":"Denver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428</v>
      </c>
      <c r="B159" s="7">
        <v>4010</v>
      </c>
      <c r="C159" s="22" t="s">
        <v>253</v>
      </c>
      <c r="D159" s="22" t="s">
        <v>311</v>
      </c>
      <c r="E159" s="13">
        <v>42675.256504629629</v>
      </c>
      <c r="F159" s="13">
        <v>42675.2575</v>
      </c>
      <c r="G159" s="7">
        <v>1</v>
      </c>
      <c r="H159" s="13" t="s">
        <v>726</v>
      </c>
      <c r="I159" s="13">
        <v>42675.268067129633</v>
      </c>
      <c r="J159" s="7">
        <v>0</v>
      </c>
      <c r="K159" s="112" t="str">
        <f t="shared" si="68"/>
        <v>4009/4010</v>
      </c>
      <c r="L159" s="22" t="str">
        <f>VLOOKUP(A159,'Trips&amp;Operators'!$C$1:$E$10000,3,FALSE)</f>
        <v>STARKS</v>
      </c>
      <c r="M159" s="6">
        <f t="shared" si="69"/>
        <v>1.0567129633272998E-2</v>
      </c>
      <c r="N159" s="7">
        <f t="shared" si="81"/>
        <v>15.216666671913117</v>
      </c>
      <c r="O159" s="7"/>
      <c r="P159" s="7"/>
      <c r="Q159" s="23"/>
      <c r="R159" s="23"/>
      <c r="S159" s="35">
        <f t="shared" si="70"/>
        <v>1</v>
      </c>
      <c r="T159" s="50" t="str">
        <f t="shared" si="71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05:09:22-0600',mode:absolute,to:'2016-11-01 07:26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73"/>
        <v>N</v>
      </c>
      <c r="X159" s="177">
        <f t="shared" si="80"/>
        <v>1</v>
      </c>
      <c r="Y159" s="67">
        <f t="shared" si="74"/>
        <v>5.8623000000000003</v>
      </c>
      <c r="Z159" s="67">
        <f t="shared" si="75"/>
        <v>7.1199999999999999E-2</v>
      </c>
      <c r="AA159" s="67">
        <f t="shared" si="76"/>
        <v>5.7911000000000001</v>
      </c>
      <c r="AB159" s="64" t="e">
        <f>VLOOKUP(A159,Enforcements!$C$7:$K$21,8,0)</f>
        <v>#N/A</v>
      </c>
      <c r="AC159" s="60" t="e">
        <f>VLOOKUP(A159,Enforcements!$C$7:$E$21,3,0)</f>
        <v>#N/A</v>
      </c>
      <c r="AD159" s="61" t="str">
        <f t="shared" si="77"/>
        <v>0802-01</v>
      </c>
      <c r="AE159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59" s="88" t="str">
        <f t="shared" si="67"/>
        <v>"C:\Program Files (x86)\AstroGrep\AstroGrep.exe" /spath="%USERPROFILE%\AppData\Local\Temp\OnboardLogs" /stypes="app*4010*20161101*" /stext=" 12:.+((SYSTEM_STATE.+slice.+state.+changed )|(ment ac)|(system.+state.+changed )|(\[timeout)|(PRM\|1\|D)|(kpr)|(kdp)|(\|lc)|(penalty))" /e /r /s</v>
      </c>
      <c r="AG159" s="1" t="str">
        <f t="shared" si="78"/>
        <v>NW</v>
      </c>
      <c r="AH159" s="92" t="str">
        <f t="shared" si="64"/>
        <v>"%USERPROFILE%\Documents\GitHub\eaglep3\Utilities\RefineRTDCRunTimes.py" --tripid 802-01 --locoid 4010 --swversion DE.1.0.8.0 --startMP 300:58623 --initTime 2016-11-01T06:09:22 --startdatetime 2016-11-01T06:10:48 --delay 1 --endMP 204:712 --enddatetime 2016-11-01T06:26:01 --enforcementcount 0 &gt;&gt;C:\Users\stu\Documents\GitHub\eaglep3-reporting\EC\2016-11-01-refined-times.txt</v>
      </c>
      <c r="AI159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{"issue":{"subject":"","project_id":79,"tracker_id":40,"status_id":1,"priority_id":2,"assigned_to_id":23,"start_date":"2016-11-01","description":"","custom_fields":[{"id":1,"name":"Subdivision","value":"NW"},{"id":4,"name":"Milepost","value":"0.0712"},{"id":17,"name":"Train ID","value":"802-01"},{"id":16,"name":"Locomotive ID","value":"4010"},{"id":130,"name":"Impact","value":""},{"id":150,"name":"Time of Event (Mountain Time)","value":"06:26:01"},{"id":151,"name":"Denver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429</v>
      </c>
      <c r="B160" s="7">
        <v>4003</v>
      </c>
      <c r="C160" s="22" t="s">
        <v>253</v>
      </c>
      <c r="D160" s="22" t="s">
        <v>727</v>
      </c>
      <c r="E160" s="13">
        <v>42675.257523148146</v>
      </c>
      <c r="F160" s="13">
        <v>42675.264780092592</v>
      </c>
      <c r="G160" s="7">
        <v>1</v>
      </c>
      <c r="H160" s="13" t="s">
        <v>728</v>
      </c>
      <c r="I160" s="13">
        <v>42675.273726851854</v>
      </c>
      <c r="J160" s="7">
        <v>0</v>
      </c>
      <c r="K160" s="112" t="str">
        <f t="shared" si="68"/>
        <v>4003/4004</v>
      </c>
      <c r="L160" s="22" t="str">
        <f>VLOOKUP(A160,'Trips&amp;Operators'!$C$1:$E$10000,3,FALSE)</f>
        <v>LEVIN</v>
      </c>
      <c r="M160" s="6">
        <f t="shared" si="69"/>
        <v>8.9467592624714598E-3</v>
      </c>
      <c r="N160" s="7">
        <f t="shared" si="81"/>
        <v>12.883333337958902</v>
      </c>
      <c r="O160" s="7"/>
      <c r="P160" s="7"/>
      <c r="Q160" s="23"/>
      <c r="R160" s="23"/>
      <c r="S160" s="35">
        <f t="shared" si="70"/>
        <v>1</v>
      </c>
      <c r="T160" s="50" t="str">
        <f t="shared" si="71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05:10:50-0600',mode:absolute,to:'2016-11-01 07:34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0" s="52" t="str">
        <f t="shared" si="73"/>
        <v>N</v>
      </c>
      <c r="X160" s="177">
        <f t="shared" si="80"/>
        <v>1</v>
      </c>
      <c r="Y160" s="67">
        <f t="shared" si="74"/>
        <v>0.1</v>
      </c>
      <c r="Z160" s="67">
        <f t="shared" si="75"/>
        <v>5.8920000000000003</v>
      </c>
      <c r="AA160" s="67">
        <f t="shared" si="76"/>
        <v>5.7920000000000007</v>
      </c>
      <c r="AB160" s="64" t="e">
        <f>VLOOKUP(A160,Enforcements!$C$7:$K$21,8,0)</f>
        <v>#N/A</v>
      </c>
      <c r="AC160" s="60" t="e">
        <f>VLOOKUP(A160,Enforcements!$C$7:$E$21,3,0)</f>
        <v>#N/A</v>
      </c>
      <c r="AD160" s="61" t="str">
        <f t="shared" si="77"/>
        <v>0803-01</v>
      </c>
      <c r="AE160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60" s="88" t="str">
        <f t="shared" si="67"/>
        <v>"C:\Program Files (x86)\AstroGrep\AstroGrep.exe" /spath="%USERPROFILE%\AppData\Local\Temp\OnboardLogs" /stypes="app*4003*20161101*" /stext=" 12:.+((SYSTEM_STATE.+slice.+state.+changed )|(ment ac)|(system.+state.+changed )|(\[timeout)|(PRM\|1\|D)|(kpr)|(kdp)|(\|lc)|(penalty))" /e /r /s</v>
      </c>
      <c r="AG160" s="1" t="str">
        <f t="shared" si="78"/>
        <v>NW</v>
      </c>
      <c r="AH160" s="92" t="str">
        <f t="shared" si="64"/>
        <v>"%USERPROFILE%\Documents\GitHub\eaglep3\Utilities\RefineRTDCRunTimes.py" --tripid 803-01 --locoid 4003 --swversion DE.1.0.8.0 --startMP 204:1000 --initTime 2016-11-01T06:10:50 --startdatetime 2016-11-01T06:21:17 --delay 1 --endMP 300:58920 --enddatetime 2016-11-01T06:34:10 --enforcementcount 0 &gt;&gt;C:\Users\stu\Documents\GitHub\eaglep3-reporting\EC\2016-11-01-refined-times.txt</v>
      </c>
      <c r="AI160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{"issue":{"subject":"","project_id":79,"tracker_id":40,"status_id":1,"priority_id":2,"assigned_to_id":23,"start_date":"2016-11-01","description":"","custom_fields":[{"id":1,"name":"Subdivision","value":"NW"},{"id":4,"name":"Milepost","value":"5.892"},{"id":17,"name":"Train ID","value":"803-01"},{"id":16,"name":"Locomotive ID","value":"4003"},{"id":130,"name":"Impact","value":""},{"id":150,"name":"Time of Event (Mountain Time)","value":"06:34:10"},{"id":151,"name":"Denver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378</v>
      </c>
      <c r="B161" s="7">
        <v>4004</v>
      </c>
      <c r="C161" s="22" t="s">
        <v>253</v>
      </c>
      <c r="D161" s="22" t="s">
        <v>729</v>
      </c>
      <c r="E161" s="13">
        <v>42675.274652777778</v>
      </c>
      <c r="F161" s="13">
        <v>42675.276053240741</v>
      </c>
      <c r="G161" s="7">
        <v>1</v>
      </c>
      <c r="H161" s="13" t="s">
        <v>359</v>
      </c>
      <c r="I161" s="13">
        <v>42675.288541666669</v>
      </c>
      <c r="J161" s="7">
        <v>0</v>
      </c>
      <c r="K161" s="112" t="str">
        <f t="shared" si="68"/>
        <v>4003/4004</v>
      </c>
      <c r="L161" s="22" t="str">
        <f>VLOOKUP(A161,'Trips&amp;Operators'!$C$1:$E$10000,3,FALSE)</f>
        <v>LEVIN</v>
      </c>
      <c r="M161" s="6">
        <f t="shared" si="69"/>
        <v>1.2488425927585922E-2</v>
      </c>
      <c r="N161" s="7">
        <f t="shared" si="81"/>
        <v>17.983333335723728</v>
      </c>
      <c r="O161" s="7"/>
      <c r="P161" s="7"/>
      <c r="Q161" s="23"/>
      <c r="R161" s="23"/>
      <c r="S161" s="35">
        <f t="shared" si="70"/>
        <v>1</v>
      </c>
      <c r="T161" s="50" t="str">
        <f t="shared" si="71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05:35:30-0600',mode:absolute,to:'2016-11-01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1" s="52" t="str">
        <f t="shared" si="73"/>
        <v>N</v>
      </c>
      <c r="X161" s="177">
        <f t="shared" si="80"/>
        <v>1</v>
      </c>
      <c r="Y161" s="67">
        <f t="shared" si="74"/>
        <v>5.8601999999999999</v>
      </c>
      <c r="Z161" s="67">
        <f t="shared" si="75"/>
        <v>7.1999999999999995E-2</v>
      </c>
      <c r="AA161" s="67">
        <f t="shared" si="76"/>
        <v>5.7881999999999998</v>
      </c>
      <c r="AB161" s="64" t="e">
        <f>VLOOKUP(A161,Enforcements!$C$7:$K$21,8,0)</f>
        <v>#N/A</v>
      </c>
      <c r="AC161" s="60" t="e">
        <f>VLOOKUP(A161,Enforcements!$C$7:$E$21,3,0)</f>
        <v>#N/A</v>
      </c>
      <c r="AD161" s="61" t="str">
        <f t="shared" si="77"/>
        <v>0804-01</v>
      </c>
      <c r="AE161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61" s="88" t="str">
        <f t="shared" si="67"/>
        <v>"C:\Program Files (x86)\AstroGrep\AstroGrep.exe" /spath="%USERPROFILE%\AppData\Local\Temp\OnboardLogs" /stypes="app*4004*20161101*" /stext=" 12:.+((SYSTEM_STATE.+slice.+state.+changed )|(ment ac)|(system.+state.+changed )|(\[timeout)|(PRM\|1\|D)|(kpr)|(kdp)|(\|lc)|(penalty))" /e /r /s</v>
      </c>
      <c r="AG161" s="1" t="str">
        <f t="shared" si="78"/>
        <v>NW</v>
      </c>
      <c r="AH161" s="92" t="str">
        <f t="shared" si="64"/>
        <v>"%USERPROFILE%\Documents\GitHub\eaglep3\Utilities\RefineRTDCRunTimes.py" --tripid 804-01 --locoid 4004 --swversion DE.1.0.8.0 --startMP 300:58602 --initTime 2016-11-01T06:35:30 --startdatetime 2016-11-01T06:37:31 --delay 1 --endMP 204:720 --enddatetime 2016-11-01T06:55:30 --enforcementcount 0 &gt;&gt;C:\Users\stu\Documents\GitHub\eaglep3-reporting\EC\2016-11-01-refined-times.txt</v>
      </c>
      <c r="AI161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{"issue":{"subject":"","project_id":79,"tracker_id":40,"status_id":1,"priority_id":2,"assigned_to_id":23,"start_date":"2016-11-01","description":"","custom_fields":[{"id":1,"name":"Subdivision","value":"NW"},{"id":4,"name":"Milepost","value":"0.072"},{"id":17,"name":"Train ID","value":"804-01"},{"id":16,"name":"Locomotive ID","value":"4004"},{"id":130,"name":"Impact","value":""},{"id":150,"name":"Time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432</v>
      </c>
      <c r="B162" s="7">
        <v>4009</v>
      </c>
      <c r="C162" s="22" t="s">
        <v>253</v>
      </c>
      <c r="D162" s="22" t="s">
        <v>730</v>
      </c>
      <c r="E162" s="13">
        <v>42675.281817129631</v>
      </c>
      <c r="F162" s="13">
        <v>42675.28564814815</v>
      </c>
      <c r="G162" s="7">
        <v>1</v>
      </c>
      <c r="H162" s="13" t="s">
        <v>295</v>
      </c>
      <c r="I162" s="13">
        <v>42675.295173611114</v>
      </c>
      <c r="J162" s="7">
        <v>0</v>
      </c>
      <c r="K162" s="112" t="str">
        <f t="shared" si="68"/>
        <v>4009/4010</v>
      </c>
      <c r="L162" s="22" t="str">
        <f>VLOOKUP(A162,'Trips&amp;Operators'!$C$1:$E$10000,3,FALSE)</f>
        <v>STARKS</v>
      </c>
      <c r="M162" s="6">
        <f t="shared" si="69"/>
        <v>9.5254629632108845E-3</v>
      </c>
      <c r="N162" s="7">
        <f t="shared" si="81"/>
        <v>13.716666667023674</v>
      </c>
      <c r="O162" s="7"/>
      <c r="P162" s="7"/>
      <c r="Q162" s="23"/>
      <c r="R162" s="23"/>
      <c r="S162" s="35">
        <f t="shared" si="70"/>
        <v>1</v>
      </c>
      <c r="T162" s="50" t="str">
        <f t="shared" si="71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05:45:49-0600',mode:absolute,to:'2016-11-01 08:05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2" s="52" t="str">
        <f t="shared" si="73"/>
        <v>N</v>
      </c>
      <c r="X162" s="177">
        <f t="shared" si="80"/>
        <v>1</v>
      </c>
      <c r="Y162" s="67">
        <f t="shared" si="74"/>
        <v>0.10199999999999999</v>
      </c>
      <c r="Z162" s="67">
        <f t="shared" si="75"/>
        <v>5.8929</v>
      </c>
      <c r="AA162" s="67">
        <f t="shared" si="76"/>
        <v>5.7908999999999997</v>
      </c>
      <c r="AB162" s="64" t="e">
        <f>VLOOKUP(A162,Enforcements!$C$7:$K$21,8,0)</f>
        <v>#N/A</v>
      </c>
      <c r="AC162" s="60" t="e">
        <f>VLOOKUP(A162,Enforcements!$C$7:$E$21,3,0)</f>
        <v>#N/A</v>
      </c>
      <c r="AD162" s="61" t="str">
        <f t="shared" si="77"/>
        <v>0805-01</v>
      </c>
      <c r="AE162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62" s="88" t="str">
        <f t="shared" si="67"/>
        <v>"C:\Program Files (x86)\AstroGrep\AstroGrep.exe" /spath="%USERPROFILE%\AppData\Local\Temp\OnboardLogs" /stypes="app*4009*20161101*" /stext=" 13:.+((SYSTEM_STATE.+slice.+state.+changed )|(ment ac)|(system.+state.+changed )|(\[timeout)|(PRM\|1\|D)|(kpr)|(kdp)|(\|lc)|(penalty))" /e /r /s</v>
      </c>
      <c r="AG162" s="1" t="str">
        <f t="shared" si="78"/>
        <v>NW</v>
      </c>
      <c r="AH162" s="92" t="str">
        <f t="shared" si="64"/>
        <v>"%USERPROFILE%\Documents\GitHub\eaglep3\Utilities\RefineRTDCRunTimes.py" --tripid 805-01 --locoid 4009 --swversion DE.1.0.8.0 --startMP 204:1020 --initTime 2016-11-01T06:45:49 --startdatetime 2016-11-01T06:51:20 --delay 1 --endMP 300:58929 --enddatetime 2016-11-01T07:05:03 --enforcementcount 0 &gt;&gt;C:\Users\stu\Documents\GitHub\eaglep3-reporting\EC\2016-11-01-refined-times.txt</v>
      </c>
      <c r="AI162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{"issue":{"subject":"","project_id":79,"tracker_id":40,"status_id":1,"priority_id":2,"assigned_to_id":23,"start_date":"2016-11-01","description":"","custom_fields":[{"id":1,"name":"Subdivision","value":"NW"},{"id":4,"name":"Milepost","value":"5.8929"},{"id":17,"name":"Train ID","value":"805-01"},{"id":16,"name":"Locomotive ID","value":"4009"},{"id":130,"name":"Impact","value":""},{"id":150,"name":"Time of Event (Mountain Time)","value":"07:05:03"},{"id":151,"name":"Denver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x14ac:dyDescent="0.25">
      <c r="A163" s="37" t="s">
        <v>434</v>
      </c>
      <c r="B163" s="7">
        <v>4010</v>
      </c>
      <c r="C163" s="22" t="s">
        <v>253</v>
      </c>
      <c r="D163" s="22" t="s">
        <v>311</v>
      </c>
      <c r="E163" s="13">
        <v>42675.296180555553</v>
      </c>
      <c r="F163" s="13">
        <v>42675.297407407408</v>
      </c>
      <c r="G163" s="7">
        <v>1</v>
      </c>
      <c r="H163" s="13" t="s">
        <v>731</v>
      </c>
      <c r="I163" s="13">
        <v>42675.309513888889</v>
      </c>
      <c r="J163" s="7">
        <v>0</v>
      </c>
      <c r="K163" s="112" t="str">
        <f t="shared" si="68"/>
        <v>4009/4010</v>
      </c>
      <c r="L163" s="22" t="str">
        <f>VLOOKUP(A163,'Trips&amp;Operators'!$C$1:$E$10000,3,FALSE)</f>
        <v>STARKS</v>
      </c>
      <c r="M163" s="6">
        <f t="shared" si="69"/>
        <v>1.2106481481168885E-2</v>
      </c>
      <c r="N163" s="7">
        <f t="shared" si="81"/>
        <v>17.433333332883194</v>
      </c>
      <c r="O163" s="7"/>
      <c r="P163" s="7"/>
      <c r="Q163" s="23"/>
      <c r="R163" s="23"/>
      <c r="S163" s="35">
        <f t="shared" si="70"/>
        <v>1</v>
      </c>
      <c r="T163" s="50" t="str">
        <f t="shared" si="71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06:06:30-0600',mode:absolute,to:'2016-11-01 08:25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3" s="52" t="str">
        <f t="shared" si="73"/>
        <v>N</v>
      </c>
      <c r="X163" s="177">
        <f t="shared" si="80"/>
        <v>1</v>
      </c>
      <c r="Y163" s="67">
        <f t="shared" si="74"/>
        <v>5.8623000000000003</v>
      </c>
      <c r="Z163" s="67">
        <f t="shared" si="75"/>
        <v>7.3099999999999998E-2</v>
      </c>
      <c r="AA163" s="67">
        <f t="shared" si="76"/>
        <v>5.7892000000000001</v>
      </c>
      <c r="AB163" s="64" t="e">
        <f>VLOOKUP(A163,Enforcements!$C$7:$K$21,8,0)</f>
        <v>#N/A</v>
      </c>
      <c r="AC163" s="60" t="e">
        <f>VLOOKUP(A163,Enforcements!$C$7:$E$21,3,0)</f>
        <v>#N/A</v>
      </c>
      <c r="AD163" s="61" t="str">
        <f t="shared" si="77"/>
        <v>0806-01</v>
      </c>
      <c r="AE163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63" s="88" t="str">
        <f t="shared" si="67"/>
        <v>"C:\Program Files (x86)\AstroGrep\AstroGrep.exe" /spath="%USERPROFILE%\AppData\Local\Temp\OnboardLogs" /stypes="app*4010*20161101*" /stext=" 13:.+((SYSTEM_STATE.+slice.+state.+changed )|(ment ac)|(system.+state.+changed )|(\[timeout)|(PRM\|1\|D)|(kpr)|(kdp)|(\|lc)|(penalty))" /e /r /s</v>
      </c>
      <c r="AG163" s="1" t="str">
        <f t="shared" si="78"/>
        <v>NW</v>
      </c>
      <c r="AH163" s="92" t="str">
        <f t="shared" si="64"/>
        <v>"%USERPROFILE%\Documents\GitHub\eaglep3\Utilities\RefineRTDCRunTimes.py" --tripid 806-01 --locoid 4010 --swversion DE.1.0.8.0 --startMP 300:58623 --initTime 2016-11-01T07:06:30 --startdatetime 2016-11-01T07:08:16 --delay 1 --endMP 204:731 --enddatetime 2016-11-01T07:25:42 --enforcementcount 0 &gt;&gt;C:\Users\stu\Documents\GitHub\eaglep3-reporting\EC\2016-11-01-refined-times.txt</v>
      </c>
      <c r="AI163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{"issue":{"subject":"","project_id":79,"tracker_id":40,"status_id":1,"priority_id":2,"assigned_to_id":23,"start_date":"2016-11-01","description":"","custom_fields":[{"id":1,"name":"Subdivision","value":"NW"},{"id":4,"name":"Milepost","value":"0.0731"},{"id":17,"name":"Train ID","value":"806-01"},{"id":16,"name":"Locomotive ID","value":"4010"},{"id":130,"name":"Impact","value":""},{"id":150,"name":"Time of Event (Mountain Time)","value":"07:25:42"},{"id":151,"name":"Denver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436</v>
      </c>
      <c r="B164" s="7">
        <v>4003</v>
      </c>
      <c r="C164" s="22" t="s">
        <v>253</v>
      </c>
      <c r="D164" s="22" t="s">
        <v>732</v>
      </c>
      <c r="E164" s="13">
        <v>42675.302800925929</v>
      </c>
      <c r="F164" s="13">
        <v>42675.306435185186</v>
      </c>
      <c r="G164" s="7">
        <v>1</v>
      </c>
      <c r="H164" s="13" t="s">
        <v>728</v>
      </c>
      <c r="I164" s="13">
        <v>42675.315104166664</v>
      </c>
      <c r="J164" s="7">
        <v>0</v>
      </c>
      <c r="K164" s="112" t="str">
        <f t="shared" si="68"/>
        <v>4003/4004</v>
      </c>
      <c r="L164" s="22" t="str">
        <f>VLOOKUP(A164,'Trips&amp;Operators'!$C$1:$E$10000,3,FALSE)</f>
        <v>LEVIN</v>
      </c>
      <c r="M164" s="6">
        <f t="shared" si="69"/>
        <v>8.6689814779674634E-3</v>
      </c>
      <c r="N164" s="7">
        <f t="shared" si="81"/>
        <v>12.483333328273147</v>
      </c>
      <c r="O164" s="7"/>
      <c r="P164" s="7"/>
      <c r="Q164" s="23"/>
      <c r="R164" s="23"/>
      <c r="S164" s="35">
        <f t="shared" si="70"/>
        <v>1</v>
      </c>
      <c r="T164" s="50" t="str">
        <f t="shared" si="71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06:16:02-0600',mode:absolute,to:'2016-11-01 08:33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2" t="str">
        <f t="shared" si="73"/>
        <v>N</v>
      </c>
      <c r="X164" s="177">
        <f t="shared" si="80"/>
        <v>1</v>
      </c>
      <c r="Y164" s="67">
        <f t="shared" si="74"/>
        <v>0.1018</v>
      </c>
      <c r="Z164" s="67">
        <f t="shared" si="75"/>
        <v>5.8920000000000003</v>
      </c>
      <c r="AA164" s="67">
        <f t="shared" si="76"/>
        <v>5.7902000000000005</v>
      </c>
      <c r="AB164" s="64" t="e">
        <f>VLOOKUP(A164,Enforcements!$C$7:$K$21,8,0)</f>
        <v>#N/A</v>
      </c>
      <c r="AC164" s="60" t="e">
        <f>VLOOKUP(A164,Enforcements!$C$7:$E$21,3,0)</f>
        <v>#N/A</v>
      </c>
      <c r="AD164" s="61" t="str">
        <f t="shared" si="77"/>
        <v>0807-01</v>
      </c>
      <c r="AE164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64" s="88" t="str">
        <f t="shared" si="67"/>
        <v>"C:\Program Files (x86)\AstroGrep\AstroGrep.exe" /spath="%USERPROFILE%\AppData\Local\Temp\OnboardLogs" /stypes="app*4003*20161101*" /stext=" 13:.+((SYSTEM_STATE.+slice.+state.+changed )|(ment ac)|(system.+state.+changed )|(\[timeout)|(PRM\|1\|D)|(kpr)|(kdp)|(\|lc)|(penalty))" /e /r /s</v>
      </c>
      <c r="AG164" s="1" t="str">
        <f t="shared" si="78"/>
        <v>NW</v>
      </c>
      <c r="AH164" s="92" t="str">
        <f t="shared" si="64"/>
        <v>"%USERPROFILE%\Documents\GitHub\eaglep3\Utilities\RefineRTDCRunTimes.py" --tripid 807-01 --locoid 4003 --swversion DE.1.0.8.0 --startMP 204:1018 --initTime 2016-11-01T07:16:02 --startdatetime 2016-11-01T07:21:16 --delay 1 --endMP 300:58920 --enddatetime 2016-11-01T07:33:45 --enforcementcount 0 &gt;&gt;C:\Users\stu\Documents\GitHub\eaglep3-reporting\EC\2016-11-01-refined-times.txt</v>
      </c>
      <c r="AI164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{"issue":{"subject":"","project_id":79,"tracker_id":40,"status_id":1,"priority_id":2,"assigned_to_id":23,"start_date":"2016-11-01","description":"","custom_fields":[{"id":1,"name":"Subdivision","value":"NW"},{"id":4,"name":"Milepost","value":"5.892"},{"id":17,"name":"Train ID","value":"807-01"},{"id":16,"name":"Locomotive ID","value":"4003"},{"id":130,"name":"Impact","value":""},{"id":150,"name":"Time of Event (Mountain Time)","value":"07:33:45"},{"id":151,"name":"Denver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x14ac:dyDescent="0.25">
      <c r="A165" s="37" t="s">
        <v>440</v>
      </c>
      <c r="B165" s="7">
        <v>4004</v>
      </c>
      <c r="C165" s="22" t="s">
        <v>253</v>
      </c>
      <c r="D165" s="22" t="s">
        <v>278</v>
      </c>
      <c r="E165" s="13">
        <v>42675.316053240742</v>
      </c>
      <c r="F165" s="13">
        <v>42675.317650462966</v>
      </c>
      <c r="G165" s="7">
        <v>1</v>
      </c>
      <c r="H165" s="13" t="s">
        <v>733</v>
      </c>
      <c r="I165" s="13">
        <v>42675.330277777779</v>
      </c>
      <c r="J165" s="7">
        <v>0</v>
      </c>
      <c r="K165" s="112" t="str">
        <f t="shared" si="68"/>
        <v>4003/4004</v>
      </c>
      <c r="L165" s="22" t="str">
        <f>VLOOKUP(A165,'Trips&amp;Operators'!$C$1:$E$10000,3,FALSE)</f>
        <v>LEVIN</v>
      </c>
      <c r="M165" s="6">
        <f t="shared" si="69"/>
        <v>1.2627314812561963E-2</v>
      </c>
      <c r="N165" s="7">
        <f t="shared" si="81"/>
        <v>18.183333330089226</v>
      </c>
      <c r="O165" s="7"/>
      <c r="P165" s="7"/>
      <c r="Q165" s="23"/>
      <c r="R165" s="23"/>
      <c r="S165" s="35">
        <f t="shared" si="70"/>
        <v>1</v>
      </c>
      <c r="T165" s="50" t="str">
        <f t="shared" si="71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06:35:07-0600',mode:absolute,to:'2016-11-01 08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2" t="str">
        <f t="shared" si="73"/>
        <v>N</v>
      </c>
      <c r="X165" s="177">
        <f t="shared" si="80"/>
        <v>1</v>
      </c>
      <c r="Y165" s="67">
        <f t="shared" si="74"/>
        <v>5.8613</v>
      </c>
      <c r="Z165" s="67">
        <f t="shared" si="75"/>
        <v>7.1499999999999994E-2</v>
      </c>
      <c r="AA165" s="67">
        <f t="shared" si="76"/>
        <v>5.7897999999999996</v>
      </c>
      <c r="AB165" s="64" t="e">
        <f>VLOOKUP(A165,Enforcements!$C$7:$K$21,8,0)</f>
        <v>#N/A</v>
      </c>
      <c r="AC165" s="60" t="e">
        <f>VLOOKUP(A165,Enforcements!$C$7:$E$21,3,0)</f>
        <v>#N/A</v>
      </c>
      <c r="AD165" s="61" t="str">
        <f t="shared" si="77"/>
        <v>0808-01</v>
      </c>
      <c r="AE165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65" s="88" t="str">
        <f t="shared" si="67"/>
        <v>"C:\Program Files (x86)\AstroGrep\AstroGrep.exe" /spath="%USERPROFILE%\AppData\Local\Temp\OnboardLogs" /stypes="app*4004*20161101*" /stext=" 13:.+((SYSTEM_STATE.+slice.+state.+changed )|(ment ac)|(system.+state.+changed )|(\[timeout)|(PRM\|1\|D)|(kpr)|(kdp)|(\|lc)|(penalty))" /e /r /s</v>
      </c>
      <c r="AG165" s="1" t="str">
        <f t="shared" si="78"/>
        <v>NW</v>
      </c>
      <c r="AH165" s="92" t="str">
        <f t="shared" si="64"/>
        <v>"%USERPROFILE%\Documents\GitHub\eaglep3\Utilities\RefineRTDCRunTimes.py" --tripid 808-01 --locoid 4004 --swversion DE.1.0.8.0 --startMP 300:58613 --initTime 2016-11-01T07:35:07 --startdatetime 2016-11-01T07:37:25 --delay 1 --endMP 204:715 --enddatetime 2016-11-01T07:55:36 --enforcementcount 0 &gt;&gt;C:\Users\stu\Documents\GitHub\eaglep3-reporting\EC\2016-11-01-refined-times.txt</v>
      </c>
      <c r="AI165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{"issue":{"subject":"","project_id":79,"tracker_id":40,"status_id":1,"priority_id":2,"assigned_to_id":23,"start_date":"2016-11-01","description":"","custom_fields":[{"id":1,"name":"Subdivision","value":"NW"},{"id":4,"name":"Milepost","value":"0.0715"},{"id":17,"name":"Train ID","value":"808-01"},{"id":16,"name":"Locomotive ID","value":"4004"},{"id":130,"name":"Impact","value":""},{"id":150,"name":"Time of Event (Mountain Time)","value":"07:55:36"},{"id":151,"name":"Denver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x14ac:dyDescent="0.25">
      <c r="A166" s="37" t="s">
        <v>443</v>
      </c>
      <c r="B166" s="7">
        <v>4009</v>
      </c>
      <c r="C166" s="22" t="s">
        <v>253</v>
      </c>
      <c r="D166" s="22" t="s">
        <v>734</v>
      </c>
      <c r="E166" s="13">
        <v>42675.324756944443</v>
      </c>
      <c r="F166" s="13">
        <v>42675.327256944445</v>
      </c>
      <c r="G166" s="7">
        <v>1</v>
      </c>
      <c r="H166" s="13" t="s">
        <v>279</v>
      </c>
      <c r="I166" s="13">
        <v>42675.336192129631</v>
      </c>
      <c r="J166" s="7">
        <v>0</v>
      </c>
      <c r="K166" s="112" t="str">
        <f t="shared" si="68"/>
        <v>4009/4010</v>
      </c>
      <c r="L166" s="22" t="str">
        <f>VLOOKUP(A166,'Trips&amp;Operators'!$C$1:$E$10000,3,FALSE)</f>
        <v>STARKS</v>
      </c>
      <c r="M166" s="6">
        <f t="shared" si="69"/>
        <v>8.9351851856918074E-3</v>
      </c>
      <c r="N166" s="7">
        <f t="shared" si="81"/>
        <v>12.866666667396203</v>
      </c>
      <c r="O166" s="7"/>
      <c r="P166" s="7"/>
      <c r="Q166" s="23"/>
      <c r="R166" s="23"/>
      <c r="S166" s="35">
        <f t="shared" si="70"/>
        <v>1</v>
      </c>
      <c r="T166" s="50" t="str">
        <f t="shared" si="71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06:47:39-0600',mode:absolute,to:'2016-11-01 09:04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66" s="52" t="str">
        <f t="shared" si="73"/>
        <v>N</v>
      </c>
      <c r="X166" s="177">
        <f t="shared" si="80"/>
        <v>1</v>
      </c>
      <c r="Y166" s="67">
        <f t="shared" si="74"/>
        <v>0.1011</v>
      </c>
      <c r="Z166" s="67">
        <f t="shared" si="75"/>
        <v>5.8925999999999998</v>
      </c>
      <c r="AA166" s="67">
        <f t="shared" si="76"/>
        <v>5.7915000000000001</v>
      </c>
      <c r="AB166" s="64" t="e">
        <f>VLOOKUP(A166,Enforcements!$C$7:$K$21,8,0)</f>
        <v>#N/A</v>
      </c>
      <c r="AC166" s="60" t="e">
        <f>VLOOKUP(A166,Enforcements!$C$7:$E$21,3,0)</f>
        <v>#N/A</v>
      </c>
      <c r="AD166" s="61" t="str">
        <f t="shared" si="77"/>
        <v>0809-01</v>
      </c>
      <c r="AE166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66" s="88" t="str">
        <f t="shared" si="67"/>
        <v>"C:\Program Files (x86)\AstroGrep\AstroGrep.exe" /spath="%USERPROFILE%\AppData\Local\Temp\OnboardLogs" /stypes="app*4009*20161101*" /stext=" 14:.+((SYSTEM_STATE.+slice.+state.+changed )|(ment ac)|(system.+state.+changed )|(\[timeout)|(PRM\|1\|D)|(kpr)|(kdp)|(\|lc)|(penalty))" /e /r /s</v>
      </c>
      <c r="AG166" s="1" t="str">
        <f t="shared" si="78"/>
        <v>NW</v>
      </c>
      <c r="AH166" s="92" t="str">
        <f t="shared" si="64"/>
        <v>"%USERPROFILE%\Documents\GitHub\eaglep3\Utilities\RefineRTDCRunTimes.py" --tripid 809-01 --locoid 4009 --swversion DE.1.0.8.0 --startMP 204:1011 --initTime 2016-11-01T07:47:39 --startdatetime 2016-11-01T07:51:15 --delay 1 --endMP 300:58926 --enddatetime 2016-11-01T08:04:07 --enforcementcount 0 &gt;&gt;C:\Users\stu\Documents\GitHub\eaglep3-reporting\EC\2016-11-01-refined-times.txt</v>
      </c>
      <c r="AI166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{"issue":{"subject":"","project_id":79,"tracker_id":40,"status_id":1,"priority_id":2,"assigned_to_id":23,"start_date":"2016-11-01","description":"","custom_fields":[{"id":1,"name":"Subdivision","value":"NW"},{"id":4,"name":"Milepost","value":"5.8926"},{"id":17,"name":"Train ID","value":"809-01"},{"id":16,"name":"Locomotive ID","value":"4009"},{"id":130,"name":"Impact","value":""},{"id":150,"name":"Time of Event (Mountain Time)","value":"08:04:07"},{"id":151,"name":"Denver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91" x14ac:dyDescent="0.25">
      <c r="A167" s="37" t="s">
        <v>445</v>
      </c>
      <c r="B167" s="7">
        <v>4010</v>
      </c>
      <c r="C167" s="22" t="s">
        <v>253</v>
      </c>
      <c r="D167" s="22" t="s">
        <v>368</v>
      </c>
      <c r="E167" s="13">
        <v>42675.337384259263</v>
      </c>
      <c r="F167" s="13">
        <v>42675.338946759257</v>
      </c>
      <c r="G167" s="7">
        <v>1</v>
      </c>
      <c r="H167" s="13" t="s">
        <v>735</v>
      </c>
      <c r="I167" s="13">
        <v>42675.351284722223</v>
      </c>
      <c r="J167" s="7">
        <v>0</v>
      </c>
      <c r="K167" s="112" t="str">
        <f t="shared" si="68"/>
        <v>4009/4010</v>
      </c>
      <c r="L167" s="22" t="str">
        <f>VLOOKUP(A167,'Trips&amp;Operators'!$C$1:$E$10000,3,FALSE)</f>
        <v>STARKS</v>
      </c>
      <c r="M167" s="6">
        <f t="shared" si="69"/>
        <v>1.2337962965830229E-2</v>
      </c>
      <c r="N167" s="7">
        <f t="shared" si="81"/>
        <v>17.76666667079553</v>
      </c>
      <c r="O167" s="7"/>
      <c r="P167" s="7"/>
      <c r="Q167" s="23"/>
      <c r="R167" s="23"/>
      <c r="S167" s="35">
        <f t="shared" si="70"/>
        <v>1</v>
      </c>
      <c r="T167" s="50" t="str">
        <f t="shared" si="71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07:05:50-0600',mode:absolute,to:'2016-11-01 09:25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7" s="52" t="str">
        <f t="shared" si="73"/>
        <v>N</v>
      </c>
      <c r="X167" s="177">
        <f t="shared" si="80"/>
        <v>1</v>
      </c>
      <c r="Y167" s="67">
        <f t="shared" si="74"/>
        <v>5.8609</v>
      </c>
      <c r="Z167" s="67">
        <f t="shared" si="75"/>
        <v>7.4800000000000005E-2</v>
      </c>
      <c r="AA167" s="67">
        <f t="shared" si="76"/>
        <v>5.7861000000000002</v>
      </c>
      <c r="AB167" s="64" t="e">
        <f>VLOOKUP(A167,Enforcements!$C$7:$K$21,8,0)</f>
        <v>#N/A</v>
      </c>
      <c r="AC167" s="60" t="e">
        <f>VLOOKUP(A167,Enforcements!$C$7:$E$21,3,0)</f>
        <v>#N/A</v>
      </c>
      <c r="AD167" s="61" t="str">
        <f t="shared" si="77"/>
        <v>0810-01</v>
      </c>
      <c r="AE167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67" s="88" t="str">
        <f t="shared" si="67"/>
        <v>"C:\Program Files (x86)\AstroGrep\AstroGrep.exe" /spath="%USERPROFILE%\AppData\Local\Temp\OnboardLogs" /stypes="app*4010*20161101*" /stext=" 14:.+((SYSTEM_STATE.+slice.+state.+changed )|(ment ac)|(system.+state.+changed )|(\[timeout)|(PRM\|1\|D)|(kpr)|(kdp)|(\|lc)|(penalty))" /e /r /s</v>
      </c>
      <c r="AG167" s="1" t="str">
        <f t="shared" si="78"/>
        <v>NW</v>
      </c>
      <c r="AH167" s="92" t="str">
        <f t="shared" si="64"/>
        <v>"%USERPROFILE%\Documents\GitHub\eaglep3\Utilities\RefineRTDCRunTimes.py" --tripid 810-01 --locoid 4010 --swversion DE.1.0.8.0 --startMP 300:58609 --initTime 2016-11-01T08:05:50 --startdatetime 2016-11-01T08:08:05 --delay 1 --endMP 204:748 --enddatetime 2016-11-01T08:25:51 --enforcementcount 0 &gt;&gt;C:\Users\stu\Documents\GitHub\eaglep3-reporting\EC\2016-11-01-refined-times.txt</v>
      </c>
      <c r="AI167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{"issue":{"subject":"","project_id":79,"tracker_id":40,"status_id":1,"priority_id":2,"assigned_to_id":23,"start_date":"2016-11-01","description":"","custom_fields":[{"id":1,"name":"Subdivision","value":"NW"},{"id":4,"name":"Milepost","value":"0.0748"},{"id":17,"name":"Train ID","value":"810-01"},{"id":16,"name":"Locomotive ID","value":"4010"},{"id":130,"name":"Impact","value":""},{"id":150,"name":"Time of Event (Mountain Time)","value":"08:25:51"},{"id":151,"name":"Denver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449</v>
      </c>
      <c r="B168" s="7">
        <v>4003</v>
      </c>
      <c r="C168" s="22" t="s">
        <v>253</v>
      </c>
      <c r="D168" s="22" t="s">
        <v>736</v>
      </c>
      <c r="E168" s="13">
        <v>42675.345092592594</v>
      </c>
      <c r="F168" s="13">
        <v>42675.348113425927</v>
      </c>
      <c r="G168" s="7">
        <v>1</v>
      </c>
      <c r="H168" s="13" t="s">
        <v>295</v>
      </c>
      <c r="I168" s="13">
        <v>42675.356851851851</v>
      </c>
      <c r="J168" s="7">
        <v>0</v>
      </c>
      <c r="K168" s="112" t="str">
        <f t="shared" si="68"/>
        <v>4003/4004</v>
      </c>
      <c r="L168" s="22" t="str">
        <f>VLOOKUP(A168,'Trips&amp;Operators'!$C$1:$E$10000,3,FALSE)</f>
        <v>LEVIN</v>
      </c>
      <c r="M168" s="6">
        <f t="shared" si="69"/>
        <v>8.7384259240934625E-3</v>
      </c>
      <c r="N168" s="7">
        <f t="shared" si="81"/>
        <v>12.583333330694586</v>
      </c>
      <c r="O168" s="7"/>
      <c r="P168" s="7"/>
      <c r="Q168" s="23"/>
      <c r="R168" s="23"/>
      <c r="S168" s="35">
        <f t="shared" si="70"/>
        <v>1</v>
      </c>
      <c r="T168" s="50" t="str">
        <f t="shared" si="71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07:16:56-0600',mode:absolute,to:'2016-11-01 09:33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2" t="str">
        <f t="shared" si="73"/>
        <v>N</v>
      </c>
      <c r="X168" s="177">
        <f t="shared" si="80"/>
        <v>1</v>
      </c>
      <c r="Y168" s="67">
        <f t="shared" si="74"/>
        <v>0.1002</v>
      </c>
      <c r="Z168" s="67">
        <f t="shared" si="75"/>
        <v>5.8929</v>
      </c>
      <c r="AA168" s="67">
        <f t="shared" si="76"/>
        <v>5.7927</v>
      </c>
      <c r="AB168" s="64" t="e">
        <f>VLOOKUP(A168,Enforcements!$C$7:$K$21,8,0)</f>
        <v>#N/A</v>
      </c>
      <c r="AC168" s="60" t="e">
        <f>VLOOKUP(A168,Enforcements!$C$7:$E$21,3,0)</f>
        <v>#N/A</v>
      </c>
      <c r="AD168" s="61" t="str">
        <f t="shared" si="77"/>
        <v>0811-01</v>
      </c>
      <c r="AE168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68" s="88" t="str">
        <f t="shared" si="67"/>
        <v>"C:\Program Files (x86)\AstroGrep\AstroGrep.exe" /spath="%USERPROFILE%\AppData\Local\Temp\OnboardLogs" /stypes="app*4003*20161101*" /stext=" 14:.+((SYSTEM_STATE.+slice.+state.+changed )|(ment ac)|(system.+state.+changed )|(\[timeout)|(PRM\|1\|D)|(kpr)|(kdp)|(\|lc)|(penalty))" /e /r /s</v>
      </c>
      <c r="AG168" s="1" t="str">
        <f t="shared" si="78"/>
        <v>NW</v>
      </c>
      <c r="AH168" s="92" t="str">
        <f t="shared" si="64"/>
        <v>"%USERPROFILE%\Documents\GitHub\eaglep3\Utilities\RefineRTDCRunTimes.py" --tripid 811-01 --locoid 4003 --swversion DE.1.0.8.0 --startMP 204:1002 --initTime 2016-11-01T08:16:56 --startdatetime 2016-11-01T08:21:17 --delay 1 --endMP 300:58929 --enddatetime 2016-11-01T08:33:52 --enforcementcount 0 &gt;&gt;C:\Users\stu\Documents\GitHub\eaglep3-reporting\EC\2016-11-01-refined-times.txt</v>
      </c>
      <c r="AI168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{"issue":{"subject":"","project_id":79,"tracker_id":40,"status_id":1,"priority_id":2,"assigned_to_id":23,"start_date":"2016-11-01","description":"","custom_fields":[{"id":1,"name":"Subdivision","value":"NW"},{"id":4,"name":"Milepost","value":"5.8929"},{"id":17,"name":"Train ID","value":"811-01"},{"id":16,"name":"Locomotive ID","value":"4003"},{"id":130,"name":"Impact","value":""},{"id":150,"name":"Time of Event (Mountain Time)","value":"08:33:52"},{"id":151,"name":"Denver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452</v>
      </c>
      <c r="B169" s="7">
        <v>4004</v>
      </c>
      <c r="C169" s="22" t="s">
        <v>253</v>
      </c>
      <c r="D169" s="22" t="s">
        <v>737</v>
      </c>
      <c r="E169" s="13">
        <v>42675.357893518521</v>
      </c>
      <c r="F169" s="13">
        <v>42675.359131944446</v>
      </c>
      <c r="G169" s="7">
        <v>1</v>
      </c>
      <c r="H169" s="13" t="s">
        <v>738</v>
      </c>
      <c r="I169" s="13">
        <v>42675.371886574074</v>
      </c>
      <c r="J169" s="7">
        <v>0</v>
      </c>
      <c r="K169" s="112" t="str">
        <f t="shared" si="68"/>
        <v>4003/4004</v>
      </c>
      <c r="L169" s="22" t="str">
        <f>VLOOKUP(A169,'Trips&amp;Operators'!$C$1:$E$10000,3,FALSE)</f>
        <v>LEVIN</v>
      </c>
      <c r="M169" s="6">
        <f t="shared" si="69"/>
        <v>1.2754629628034309E-2</v>
      </c>
      <c r="N169" s="7">
        <f t="shared" si="81"/>
        <v>18.366666664369404</v>
      </c>
      <c r="O169" s="7"/>
      <c r="P169" s="7"/>
      <c r="Q169" s="23"/>
      <c r="R169" s="23"/>
      <c r="S169" s="35">
        <f t="shared" si="70"/>
        <v>1</v>
      </c>
      <c r="T169" s="50" t="str">
        <f t="shared" si="71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07:35:22-0600',mode:absolute,to:'2016-11-01 09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2" t="str">
        <f t="shared" si="73"/>
        <v>N</v>
      </c>
      <c r="X169" s="177">
        <f t="shared" si="80"/>
        <v>1</v>
      </c>
      <c r="Y169" s="67">
        <f t="shared" si="74"/>
        <v>5.8608000000000002</v>
      </c>
      <c r="Z169" s="67">
        <f t="shared" si="75"/>
        <v>7.2900000000000006E-2</v>
      </c>
      <c r="AA169" s="67">
        <f t="shared" si="76"/>
        <v>5.7879000000000005</v>
      </c>
      <c r="AB169" s="64" t="e">
        <f>VLOOKUP(A169,Enforcements!$C$7:$K$21,8,0)</f>
        <v>#N/A</v>
      </c>
      <c r="AC169" s="60" t="e">
        <f>VLOOKUP(A169,Enforcements!$C$7:$E$21,3,0)</f>
        <v>#N/A</v>
      </c>
      <c r="AD169" s="61" t="str">
        <f t="shared" si="77"/>
        <v>0812-01</v>
      </c>
      <c r="AE169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69" s="88" t="str">
        <f t="shared" si="67"/>
        <v>"C:\Program Files (x86)\AstroGrep\AstroGrep.exe" /spath="%USERPROFILE%\AppData\Local\Temp\OnboardLogs" /stypes="app*4004*20161101*" /stext=" 14:.+((SYSTEM_STATE.+slice.+state.+changed )|(ment ac)|(system.+state.+changed )|(\[timeout)|(PRM\|1\|D)|(kpr)|(kdp)|(\|lc)|(penalty))" /e /r /s</v>
      </c>
      <c r="AG169" s="1" t="str">
        <f t="shared" si="78"/>
        <v>NW</v>
      </c>
      <c r="AH169" s="92" t="str">
        <f t="shared" si="64"/>
        <v>"%USERPROFILE%\Documents\GitHub\eaglep3\Utilities\RefineRTDCRunTimes.py" --tripid 812-01 --locoid 4004 --swversion DE.1.0.8.0 --startMP 300:58608 --initTime 2016-11-01T08:35:22 --startdatetime 2016-11-01T08:37:09 --delay 1 --endMP 204:729 --enddatetime 2016-11-01T08:55:31 --enforcementcount 0 &gt;&gt;C:\Users\stu\Documents\GitHub\eaglep3-reporting\EC\2016-11-01-refined-times.txt</v>
      </c>
      <c r="AI169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{"issue":{"subject":"","project_id":79,"tracker_id":40,"status_id":1,"priority_id":2,"assigned_to_id":23,"start_date":"2016-11-01","description":"","custom_fields":[{"id":1,"name":"Subdivision","value":"NW"},{"id":4,"name":"Milepost","value":"0.0729"},{"id":17,"name":"Train ID","value":"812-01"},{"id":16,"name":"Locomotive ID","value":"4004"},{"id":130,"name":"Impact","value":""},{"id":150,"name":"Time of Event (Mountain Time)","value":"08:55:31"},{"id":151,"name":"Denver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459</v>
      </c>
      <c r="B170" s="7">
        <v>4003</v>
      </c>
      <c r="C170" s="22" t="s">
        <v>253</v>
      </c>
      <c r="D170" s="22" t="s">
        <v>369</v>
      </c>
      <c r="E170" s="13">
        <v>42675.38758101852</v>
      </c>
      <c r="F170" s="13">
        <v>42675.389780092592</v>
      </c>
      <c r="G170" s="7">
        <v>1</v>
      </c>
      <c r="H170" s="13" t="s">
        <v>739</v>
      </c>
      <c r="I170" s="13">
        <v>42675.398414351854</v>
      </c>
      <c r="J170" s="7">
        <v>0</v>
      </c>
      <c r="K170" s="112" t="str">
        <f t="shared" si="68"/>
        <v>4003/4004</v>
      </c>
      <c r="L170" s="22" t="str">
        <f>VLOOKUP(A170,'Trips&amp;Operators'!$C$1:$E$10000,3,FALSE)</f>
        <v>LEVIN</v>
      </c>
      <c r="M170" s="6">
        <f t="shared" si="69"/>
        <v>8.6342592621804215E-3</v>
      </c>
      <c r="N170" s="7">
        <f t="shared" si="81"/>
        <v>12.433333337539807</v>
      </c>
      <c r="O170" s="7"/>
      <c r="P170" s="7"/>
      <c r="Q170" s="23"/>
      <c r="R170" s="23"/>
      <c r="S170" s="35">
        <f t="shared" si="70"/>
        <v>1</v>
      </c>
      <c r="T170" s="50" t="str">
        <f t="shared" si="71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08:18:07-0600',mode:absolute,to:'2016-11-01 10:33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0" s="52" t="str">
        <f t="shared" si="73"/>
        <v>N</v>
      </c>
      <c r="X170" s="177">
        <f t="shared" si="80"/>
        <v>1</v>
      </c>
      <c r="Y170" s="67">
        <f t="shared" si="74"/>
        <v>0.1016</v>
      </c>
      <c r="Z170" s="67">
        <f t="shared" si="75"/>
        <v>5.8930999999999996</v>
      </c>
      <c r="AA170" s="67">
        <f t="shared" si="76"/>
        <v>5.7914999999999992</v>
      </c>
      <c r="AB170" s="64" t="e">
        <f>VLOOKUP(A170,Enforcements!$C$7:$K$21,8,0)</f>
        <v>#N/A</v>
      </c>
      <c r="AC170" s="60" t="e">
        <f>VLOOKUP(A170,Enforcements!$C$7:$E$21,3,0)</f>
        <v>#N/A</v>
      </c>
      <c r="AD170" s="61" t="str">
        <f t="shared" si="77"/>
        <v>0813-01</v>
      </c>
      <c r="AE170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70" s="88" t="str">
        <f t="shared" si="67"/>
        <v>"C:\Program Files (x86)\AstroGrep\AstroGrep.exe" /spath="%USERPROFILE%\AppData\Local\Temp\OnboardLogs" /stypes="app*4003*20161101*" /stext=" 15:.+((SYSTEM_STATE.+slice.+state.+changed )|(ment ac)|(system.+state.+changed )|(\[timeout)|(PRM\|1\|D)|(kpr)|(kdp)|(\|lc)|(penalty))" /e /r /s</v>
      </c>
      <c r="AG170" s="1" t="str">
        <f t="shared" si="78"/>
        <v>NW</v>
      </c>
      <c r="AH170" s="92" t="str">
        <f t="shared" si="64"/>
        <v>"%USERPROFILE%\Documents\GitHub\eaglep3\Utilities\RefineRTDCRunTimes.py" --tripid 813-01 --locoid 4003 --swversion DE.1.0.8.0 --startMP 204:1016 --initTime 2016-11-01T09:18:07 --startdatetime 2016-11-01T09:21:17 --delay 1 --endMP 300:58931 --enddatetime 2016-11-01T09:33:43 --enforcementcount 0 &gt;&gt;C:\Users\stu\Documents\GitHub\eaglep3-reporting\EC\2016-11-01-refined-times.txt</v>
      </c>
      <c r="AI170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{"issue":{"subject":"","project_id":79,"tracker_id":40,"status_id":1,"priority_id":2,"assigned_to_id":23,"start_date":"2016-11-01","description":"","custom_fields":[{"id":1,"name":"Subdivision","value":"NW"},{"id":4,"name":"Milepost","value":"5.8931"},{"id":17,"name":"Train ID","value":"813-01"},{"id":16,"name":"Locomotive ID","value":"4003"},{"id":130,"name":"Impact","value":""},{"id":150,"name":"Time of Event (Mountain Time)","value":"09:33:43"},{"id":151,"name":"Denver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s="21" customFormat="1" x14ac:dyDescent="0.25">
      <c r="A171" s="37" t="s">
        <v>461</v>
      </c>
      <c r="B171" s="7">
        <v>4004</v>
      </c>
      <c r="C171" s="22" t="s">
        <v>253</v>
      </c>
      <c r="D171" s="22" t="s">
        <v>308</v>
      </c>
      <c r="E171" s="13">
        <v>42675.399502314816</v>
      </c>
      <c r="F171" s="13">
        <v>42675.400763888887</v>
      </c>
      <c r="G171" s="7">
        <v>1</v>
      </c>
      <c r="H171" s="13" t="s">
        <v>361</v>
      </c>
      <c r="I171" s="13">
        <v>42675.412974537037</v>
      </c>
      <c r="J171" s="7">
        <v>0</v>
      </c>
      <c r="K171" s="112" t="str">
        <f t="shared" si="68"/>
        <v>4003/4004</v>
      </c>
      <c r="L171" s="22" t="str">
        <f>VLOOKUP(A171,'Trips&amp;Operators'!$C$1:$E$10000,3,FALSE)</f>
        <v>LEVIN</v>
      </c>
      <c r="M171" s="6">
        <f t="shared" si="69"/>
        <v>1.2210648150357883E-2</v>
      </c>
      <c r="N171" s="7">
        <f t="shared" si="81"/>
        <v>17.583333336515352</v>
      </c>
      <c r="O171" s="7"/>
      <c r="P171" s="7"/>
      <c r="Q171" s="23"/>
      <c r="R171" s="23"/>
      <c r="S171" s="35">
        <f t="shared" si="70"/>
        <v>1</v>
      </c>
      <c r="T171" s="50" t="str">
        <f t="shared" si="71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08:35:17-0600',mode:absolute,to:'2016-11-01 10:54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1" s="52" t="str">
        <f t="shared" si="73"/>
        <v>N</v>
      </c>
      <c r="X171" s="177">
        <f t="shared" si="80"/>
        <v>1</v>
      </c>
      <c r="Y171" s="67">
        <f t="shared" si="74"/>
        <v>5.8616999999999999</v>
      </c>
      <c r="Z171" s="67">
        <f t="shared" si="75"/>
        <v>6.7500000000000004E-2</v>
      </c>
      <c r="AA171" s="67">
        <f t="shared" si="76"/>
        <v>5.7942</v>
      </c>
      <c r="AB171" s="64" t="e">
        <f>VLOOKUP(A171,Enforcements!$C$7:$K$21,8,0)</f>
        <v>#N/A</v>
      </c>
      <c r="AC171" s="60" t="e">
        <f>VLOOKUP(A171,Enforcements!$C$7:$E$21,3,0)</f>
        <v>#N/A</v>
      </c>
      <c r="AD171" s="61" t="str">
        <f t="shared" si="77"/>
        <v>0814-01</v>
      </c>
      <c r="AE171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71" s="88" t="str">
        <f t="shared" si="67"/>
        <v>"C:\Program Files (x86)\AstroGrep\AstroGrep.exe" /spath="%USERPROFILE%\AppData\Local\Temp\OnboardLogs" /stypes="app*4004*20161101*" /stext=" 15:.+((SYSTEM_STATE.+slice.+state.+changed )|(ment ac)|(system.+state.+changed )|(\[timeout)|(PRM\|1\|D)|(kpr)|(kdp)|(\|lc)|(penalty))" /e /r /s</v>
      </c>
      <c r="AG171" s="1" t="str">
        <f t="shared" si="78"/>
        <v>NW</v>
      </c>
      <c r="AH171" s="92" t="str">
        <f t="shared" si="64"/>
        <v>"%USERPROFILE%\Documents\GitHub\eaglep3\Utilities\RefineRTDCRunTimes.py" --tripid 814-01 --locoid 4004 --swversion DE.1.0.8.0 --startMP 300:58617 --initTime 2016-11-01T09:35:17 --startdatetime 2016-11-01T09:37:06 --delay 1 --endMP 204:675 --enddatetime 2016-11-01T09:54:41 --enforcementcount 0 &gt;&gt;C:\Users\stu\Documents\GitHub\eaglep3-reporting\EC\2016-11-01-refined-times.txt</v>
      </c>
      <c r="AI171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{"issue":{"subject":"","project_id":79,"tracker_id":40,"status_id":1,"priority_id":2,"assigned_to_id":23,"start_date":"2016-11-01","description":"","custom_fields":[{"id":1,"name":"Subdivision","value":"NW"},{"id":4,"name":"Milepost","value":"0.0675"},{"id":17,"name":"Train ID","value":"814-01"},{"id":16,"name":"Locomotive ID","value":"4004"},{"id":130,"name":"Impact","value":""},{"id":150,"name":"Time of Event (Mountain Time)","value":"09:54:41"},{"id":151,"name":"Denver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466</v>
      </c>
      <c r="B172" s="7">
        <v>4003</v>
      </c>
      <c r="C172" s="22" t="s">
        <v>253</v>
      </c>
      <c r="D172" s="22" t="s">
        <v>740</v>
      </c>
      <c r="E172" s="13">
        <v>42675.429050925923</v>
      </c>
      <c r="F172" s="13">
        <v>42675.431435185186</v>
      </c>
      <c r="G172" s="7">
        <v>1</v>
      </c>
      <c r="H172" s="13" t="s">
        <v>741</v>
      </c>
      <c r="I172" s="13">
        <v>42675.440405092595</v>
      </c>
      <c r="J172" s="7">
        <v>0</v>
      </c>
      <c r="K172" s="112" t="str">
        <f t="shared" si="68"/>
        <v>4003/4004</v>
      </c>
      <c r="L172" s="22" t="str">
        <f>VLOOKUP(A172,'Trips&amp;Operators'!$C$1:$E$10000,3,FALSE)</f>
        <v>LEVIN</v>
      </c>
      <c r="M172" s="6">
        <f t="shared" si="69"/>
        <v>8.969907408754807E-3</v>
      </c>
      <c r="N172" s="7">
        <f t="shared" si="81"/>
        <v>12.916666668606922</v>
      </c>
      <c r="O172" s="7"/>
      <c r="P172" s="7"/>
      <c r="Q172" s="23"/>
      <c r="R172" s="23"/>
      <c r="S172" s="35">
        <f t="shared" si="70"/>
        <v>1</v>
      </c>
      <c r="T172" s="50" t="str">
        <f t="shared" si="71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09:17:50-0600',mode:absolute,to:'2016-11-01 11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2" t="str">
        <f t="shared" si="73"/>
        <v>N</v>
      </c>
      <c r="X172" s="177">
        <f t="shared" si="80"/>
        <v>1</v>
      </c>
      <c r="Y172" s="67">
        <f t="shared" si="74"/>
        <v>9.8299999999999998E-2</v>
      </c>
      <c r="Z172" s="67">
        <f t="shared" si="75"/>
        <v>5.8928000000000003</v>
      </c>
      <c r="AA172" s="67">
        <f t="shared" si="76"/>
        <v>5.7945000000000002</v>
      </c>
      <c r="AB172" s="64" t="e">
        <f>VLOOKUP(A172,Enforcements!$C$7:$K$21,8,0)</f>
        <v>#N/A</v>
      </c>
      <c r="AC172" s="60" t="e">
        <f>VLOOKUP(A172,Enforcements!$C$7:$E$21,3,0)</f>
        <v>#N/A</v>
      </c>
      <c r="AD172" s="61" t="str">
        <f t="shared" si="77"/>
        <v>0815-01</v>
      </c>
      <c r="AE172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72" s="88" t="str">
        <f t="shared" si="67"/>
        <v>"C:\Program Files (x86)\AstroGrep\AstroGrep.exe" /spath="%USERPROFILE%\AppData\Local\Temp\OnboardLogs" /stypes="app*4003*20161101*" /stext=" 16:.+((SYSTEM_STATE.+slice.+state.+changed )|(ment ac)|(system.+state.+changed )|(\[timeout)|(PRM\|1\|D)|(kpr)|(kdp)|(\|lc)|(penalty))" /e /r /s</v>
      </c>
      <c r="AG172" s="1" t="str">
        <f t="shared" si="78"/>
        <v>NW</v>
      </c>
      <c r="AH172" s="92" t="str">
        <f t="shared" si="64"/>
        <v>"%USERPROFILE%\Documents\GitHub\eaglep3\Utilities\RefineRTDCRunTimes.py" --tripid 815-01 --locoid 4003 --swversion DE.1.0.8.0 --startMP 204:983 --initTime 2016-11-01T10:17:50 --startdatetime 2016-11-01T10:21:16 --delay 1 --endMP 300:58928 --enddatetime 2016-11-01T10:34:11 --enforcementcount 0 &gt;&gt;C:\Users\stu\Documents\GitHub\eaglep3-reporting\EC\2016-11-01-refined-times.txt</v>
      </c>
      <c r="AI172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{"issue":{"subject":"","project_id":79,"tracker_id":40,"status_id":1,"priority_id":2,"assigned_to_id":23,"start_date":"2016-11-01","description":"","custom_fields":[{"id":1,"name":"Subdivision","value":"NW"},{"id":4,"name":"Milepost","value":"5.8928"},{"id":17,"name":"Train ID","value":"815-01"},{"id":16,"name":"Locomotive ID","value":"4003"},{"id":130,"name":"Impact","value":""},{"id":150,"name":"Time of Event (Mountain Time)","value":"10:34:11"},{"id":151,"name":"Denver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470</v>
      </c>
      <c r="B173" s="7">
        <v>4004</v>
      </c>
      <c r="C173" s="22" t="s">
        <v>253</v>
      </c>
      <c r="D173" s="22" t="s">
        <v>722</v>
      </c>
      <c r="E173" s="13">
        <v>42675.441307870373</v>
      </c>
      <c r="F173" s="13">
        <v>42675.442766203705</v>
      </c>
      <c r="G173" s="7">
        <v>1</v>
      </c>
      <c r="H173" s="13" t="s">
        <v>742</v>
      </c>
      <c r="I173" s="13">
        <v>42675.454375000001</v>
      </c>
      <c r="J173" s="7">
        <v>0</v>
      </c>
      <c r="K173" s="112" t="str">
        <f t="shared" si="68"/>
        <v>4003/4004</v>
      </c>
      <c r="L173" s="22" t="str">
        <f>VLOOKUP(A173,'Trips&amp;Operators'!$C$1:$E$10000,3,FALSE)</f>
        <v>LEVIN</v>
      </c>
      <c r="M173" s="6">
        <f t="shared" si="69"/>
        <v>1.1608796296059154E-2</v>
      </c>
      <c r="N173" s="7">
        <f t="shared" si="81"/>
        <v>16.716666666325182</v>
      </c>
      <c r="O173" s="7"/>
      <c r="P173" s="7"/>
      <c r="Q173" s="23"/>
      <c r="R173" s="23"/>
      <c r="S173" s="35">
        <f t="shared" si="70"/>
        <v>1</v>
      </c>
      <c r="T173" s="50" t="str">
        <f t="shared" si="71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09:35:29-0600',mode:absolute,to:'2016-11-01 11:54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2" t="str">
        <f t="shared" si="73"/>
        <v>N</v>
      </c>
      <c r="X173" s="177">
        <f t="shared" si="80"/>
        <v>1</v>
      </c>
      <c r="Y173" s="67">
        <f t="shared" si="74"/>
        <v>5.86</v>
      </c>
      <c r="Z173" s="67">
        <f t="shared" si="75"/>
        <v>6.9400000000000003E-2</v>
      </c>
      <c r="AA173" s="67">
        <f t="shared" si="76"/>
        <v>5.7906000000000004</v>
      </c>
      <c r="AB173" s="64" t="e">
        <f>VLOOKUP(A173,Enforcements!$C$7:$K$21,8,0)</f>
        <v>#N/A</v>
      </c>
      <c r="AC173" s="60" t="e">
        <f>VLOOKUP(A173,Enforcements!$C$7:$E$21,3,0)</f>
        <v>#N/A</v>
      </c>
      <c r="AD173" s="61" t="str">
        <f t="shared" si="77"/>
        <v>0816-01</v>
      </c>
      <c r="AE173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73" s="88" t="str">
        <f t="shared" si="67"/>
        <v>"C:\Program Files (x86)\AstroGrep\AstroGrep.exe" /spath="%USERPROFILE%\AppData\Local\Temp\OnboardLogs" /stypes="app*4004*20161101*" /stext=" 16:.+((SYSTEM_STATE.+slice.+state.+changed )|(ment ac)|(system.+state.+changed )|(\[timeout)|(PRM\|1\|D)|(kpr)|(kdp)|(\|lc)|(penalty))" /e /r /s</v>
      </c>
      <c r="AG173" s="1" t="str">
        <f t="shared" si="78"/>
        <v>NW</v>
      </c>
      <c r="AH173" s="92" t="str">
        <f t="shared" si="64"/>
        <v>"%USERPROFILE%\Documents\GitHub\eaglep3\Utilities\RefineRTDCRunTimes.py" --tripid 816-01 --locoid 4004 --swversion DE.1.0.8.0 --startMP 300:58600 --initTime 2016-11-01T10:35:29 --startdatetime 2016-11-01T10:37:35 --delay 1 --endMP 204:694 --enddatetime 2016-11-01T10:54:18 --enforcementcount 0 &gt;&gt;C:\Users\stu\Documents\GitHub\eaglep3-reporting\EC\2016-11-01-refined-times.txt</v>
      </c>
      <c r="AI173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{"issue":{"subject":"","project_id":79,"tracker_id":40,"status_id":1,"priority_id":2,"assigned_to_id":23,"start_date":"2016-11-01","description":"","custom_fields":[{"id":1,"name":"Subdivision","value":"NW"},{"id":4,"name":"Milepost","value":"0.0694"},{"id":17,"name":"Train ID","value":"816-01"},{"id":16,"name":"Locomotive ID","value":"4004"},{"id":130,"name":"Impact","value":""},{"id":150,"name":"Time of Event (Mountain Time)","value":"10:54:18"},{"id":151,"name":"Denver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477</v>
      </c>
      <c r="B174" s="7">
        <v>4003</v>
      </c>
      <c r="C174" s="22" t="s">
        <v>253</v>
      </c>
      <c r="D174" s="22" t="s">
        <v>367</v>
      </c>
      <c r="E174" s="13">
        <v>42675.470104166663</v>
      </c>
      <c r="F174" s="13">
        <v>42675.473101851851</v>
      </c>
      <c r="G174" s="7">
        <v>1</v>
      </c>
      <c r="H174" s="13" t="s">
        <v>279</v>
      </c>
      <c r="I174" s="13">
        <v>42675.481932870367</v>
      </c>
      <c r="J174" s="7">
        <v>0</v>
      </c>
      <c r="K174" s="112" t="str">
        <f t="shared" si="68"/>
        <v>4003/4004</v>
      </c>
      <c r="L174" s="22" t="str">
        <f>VLOOKUP(A174,'Trips&amp;Operators'!$C$1:$E$10000,3,FALSE)</f>
        <v>LEVIN</v>
      </c>
      <c r="M174" s="6">
        <f t="shared" si="69"/>
        <v>8.8310185165028088E-3</v>
      </c>
      <c r="N174" s="7">
        <f t="shared" si="81"/>
        <v>12.716666663764045</v>
      </c>
      <c r="O174" s="7"/>
      <c r="P174" s="7"/>
      <c r="Q174" s="23"/>
      <c r="R174" s="23"/>
      <c r="S174" s="35">
        <f t="shared" si="70"/>
        <v>1</v>
      </c>
      <c r="T174" s="50" t="str">
        <f t="shared" si="71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10:16:57-0600',mode:absolute,to:'2016-11-01 12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4" s="52" t="str">
        <f t="shared" si="73"/>
        <v>N</v>
      </c>
      <c r="X174" s="177">
        <f t="shared" si="80"/>
        <v>1</v>
      </c>
      <c r="Y174" s="67">
        <f t="shared" si="74"/>
        <v>9.9699999999999997E-2</v>
      </c>
      <c r="Z174" s="67">
        <f t="shared" si="75"/>
        <v>5.8925999999999998</v>
      </c>
      <c r="AA174" s="67">
        <f t="shared" si="76"/>
        <v>5.7928999999999995</v>
      </c>
      <c r="AB174" s="64" t="e">
        <f>VLOOKUP(A174,Enforcements!$C$7:$K$21,8,0)</f>
        <v>#N/A</v>
      </c>
      <c r="AC174" s="60" t="e">
        <f>VLOOKUP(A174,Enforcements!$C$7:$E$21,3,0)</f>
        <v>#N/A</v>
      </c>
      <c r="AD174" s="61" t="str">
        <f t="shared" si="77"/>
        <v>0817-01</v>
      </c>
      <c r="AE174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74" s="88" t="str">
        <f t="shared" si="67"/>
        <v>"C:\Program Files (x86)\AstroGrep\AstroGrep.exe" /spath="%USERPROFILE%\AppData\Local\Temp\OnboardLogs" /stypes="app*4003*20161101*" /stext=" 17:.+((SYSTEM_STATE.+slice.+state.+changed )|(ment ac)|(system.+state.+changed )|(\[timeout)|(PRM\|1\|D)|(kpr)|(kdp)|(\|lc)|(penalty))" /e /r /s</v>
      </c>
      <c r="AG174" s="1" t="str">
        <f t="shared" si="78"/>
        <v>NW</v>
      </c>
      <c r="AH174" s="92" t="str">
        <f t="shared" si="64"/>
        <v>"%USERPROFILE%\Documents\GitHub\eaglep3\Utilities\RefineRTDCRunTimes.py" --tripid 817-01 --locoid 4003 --swversion DE.1.0.8.0 --startMP 204:997 --initTime 2016-11-01T11:16:57 --startdatetime 2016-11-01T11:21:16 --delay 1 --endMP 300:58926 --enddatetime 2016-11-01T11:33:59 --enforcementcount 0 &gt;&gt;C:\Users\stu\Documents\GitHub\eaglep3-reporting\EC\2016-11-01-refined-times.txt</v>
      </c>
      <c r="AI174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{"issue":{"subject":"","project_id":79,"tracker_id":40,"status_id":1,"priority_id":2,"assigned_to_id":23,"start_date":"2016-11-01","description":"","custom_fields":[{"id":1,"name":"Subdivision","value":"NW"},{"id":4,"name":"Milepost","value":"5.8926"},{"id":17,"name":"Train ID","value":"817-01"},{"id":16,"name":"Locomotive ID","value":"4003"},{"id":130,"name":"Impact","value":""},{"id":150,"name":"Time of Event (Mountain Time)","value":"11:33:59"},{"id":151,"name":"Denver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480</v>
      </c>
      <c r="B175" s="7">
        <v>4004</v>
      </c>
      <c r="C175" s="22" t="s">
        <v>253</v>
      </c>
      <c r="D175" s="22" t="s">
        <v>743</v>
      </c>
      <c r="E175" s="13">
        <v>42675.482951388891</v>
      </c>
      <c r="F175" s="13">
        <v>42675.484317129631</v>
      </c>
      <c r="G175" s="7">
        <v>1</v>
      </c>
      <c r="H175" s="13" t="s">
        <v>365</v>
      </c>
      <c r="I175" s="13">
        <v>42675.496469907404</v>
      </c>
      <c r="J175" s="7">
        <v>0</v>
      </c>
      <c r="K175" s="112" t="str">
        <f t="shared" si="68"/>
        <v>4003/4004</v>
      </c>
      <c r="L175" s="22" t="str">
        <f>VLOOKUP(A175,'Trips&amp;Operators'!$C$1:$E$10000,3,FALSE)</f>
        <v>LEVIN</v>
      </c>
      <c r="M175" s="6">
        <f t="shared" si="69"/>
        <v>1.2152777773735579E-2</v>
      </c>
      <c r="N175" s="7">
        <f t="shared" si="81"/>
        <v>17.499999994179234</v>
      </c>
      <c r="O175" s="7"/>
      <c r="P175" s="7"/>
      <c r="Q175" s="23"/>
      <c r="R175" s="23"/>
      <c r="S175" s="35">
        <f t="shared" si="70"/>
        <v>1</v>
      </c>
      <c r="T175" s="50" t="str">
        <f t="shared" si="71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10:35:27-0600',mode:absolute,to:'2016-11-01 12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5" s="52" t="str">
        <f t="shared" si="73"/>
        <v>N</v>
      </c>
      <c r="X175" s="177">
        <f t="shared" si="80"/>
        <v>1</v>
      </c>
      <c r="Y175" s="67">
        <f t="shared" si="74"/>
        <v>5.8615000000000004</v>
      </c>
      <c r="Z175" s="67">
        <f t="shared" si="75"/>
        <v>7.0999999999999994E-2</v>
      </c>
      <c r="AA175" s="67">
        <f t="shared" si="76"/>
        <v>5.7905000000000006</v>
      </c>
      <c r="AB175" s="64" t="e">
        <f>VLOOKUP(A175,Enforcements!$C$7:$K$21,8,0)</f>
        <v>#N/A</v>
      </c>
      <c r="AC175" s="60" t="e">
        <f>VLOOKUP(A175,Enforcements!$C$7:$E$21,3,0)</f>
        <v>#N/A</v>
      </c>
      <c r="AD175" s="61" t="str">
        <f t="shared" si="77"/>
        <v>0818-01</v>
      </c>
      <c r="AE175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75" s="88" t="str">
        <f t="shared" si="67"/>
        <v>"C:\Program Files (x86)\AstroGrep\AstroGrep.exe" /spath="%USERPROFILE%\AppData\Local\Temp\OnboardLogs" /stypes="app*4004*20161101*" /stext=" 17:.+((SYSTEM_STATE.+slice.+state.+changed )|(ment ac)|(system.+state.+changed )|(\[timeout)|(PRM\|1\|D)|(kpr)|(kdp)|(\|lc)|(penalty))" /e /r /s</v>
      </c>
      <c r="AG175" s="1" t="str">
        <f t="shared" si="78"/>
        <v>NW</v>
      </c>
      <c r="AH175" s="92" t="str">
        <f t="shared" si="64"/>
        <v>"%USERPROFILE%\Documents\GitHub\eaglep3\Utilities\RefineRTDCRunTimes.py" --tripid 818-01 --locoid 4004 --swversion DE.1.0.8.0 --startMP 300:58615 --initTime 2016-11-01T11:35:27 --startdatetime 2016-11-01T11:37:25 --delay 1 --endMP 204:710 --enddatetime 2016-11-01T11:54:55 --enforcementcount 0 &gt;&gt;C:\Users\stu\Documents\GitHub\eaglep3-reporting\EC\2016-11-01-refined-times.txt</v>
      </c>
      <c r="AI175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{"issue":{"subject":"","project_id":79,"tracker_id":40,"status_id":1,"priority_id":2,"assigned_to_id":23,"start_date":"2016-11-01","description":"","custom_fields":[{"id":1,"name":"Subdivision","value":"NW"},{"id":4,"name":"Milepost","value":"0.071"},{"id":17,"name":"Train ID","value":"818-01"},{"id":16,"name":"Locomotive ID","value":"4004"},{"id":130,"name":"Impact","value":""},{"id":150,"name":"Time of Event (Mountain Time)","value":"11:54:55"},{"id":151,"name":"Denver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487</v>
      </c>
      <c r="B176" s="7">
        <v>4003</v>
      </c>
      <c r="C176" s="22" t="s">
        <v>253</v>
      </c>
      <c r="D176" s="22" t="s">
        <v>744</v>
      </c>
      <c r="E176" s="13">
        <v>42675.511516203704</v>
      </c>
      <c r="F176" s="13">
        <v>42675.514768518522</v>
      </c>
      <c r="G176" s="7">
        <v>1</v>
      </c>
      <c r="H176" s="13" t="s">
        <v>741</v>
      </c>
      <c r="I176" s="13">
        <v>42675.523553240739</v>
      </c>
      <c r="J176" s="7">
        <v>0</v>
      </c>
      <c r="K176" s="112" t="str">
        <f t="shared" si="68"/>
        <v>4003/4004</v>
      </c>
      <c r="L176" s="22" t="str">
        <f>VLOOKUP(A176,'Trips&amp;Operators'!$C$1:$E$10000,3,FALSE)</f>
        <v>LEVIN</v>
      </c>
      <c r="M176" s="6">
        <f t="shared" si="69"/>
        <v>8.7847222166601568E-3</v>
      </c>
      <c r="N176" s="7">
        <f t="shared" si="81"/>
        <v>12.649999991990626</v>
      </c>
      <c r="O176" s="7"/>
      <c r="P176" s="7"/>
      <c r="Q176" s="23"/>
      <c r="R176" s="23"/>
      <c r="S176" s="35">
        <f t="shared" si="70"/>
        <v>1</v>
      </c>
      <c r="T176" s="50" t="str">
        <f t="shared" si="71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11:16:35-0600',mode:absolute,to:'2016-11-01 13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6" s="52" t="str">
        <f t="shared" si="73"/>
        <v>N</v>
      </c>
      <c r="X176" s="177">
        <f t="shared" si="80"/>
        <v>1</v>
      </c>
      <c r="Y176" s="67">
        <f t="shared" si="74"/>
        <v>9.8500000000000004E-2</v>
      </c>
      <c r="Z176" s="67">
        <f t="shared" si="75"/>
        <v>5.8928000000000003</v>
      </c>
      <c r="AA176" s="67">
        <f t="shared" si="76"/>
        <v>5.7943000000000007</v>
      </c>
      <c r="AB176" s="64" t="e">
        <f>VLOOKUP(A176,Enforcements!$C$7:$K$21,8,0)</f>
        <v>#N/A</v>
      </c>
      <c r="AC176" s="60" t="e">
        <f>VLOOKUP(A176,Enforcements!$C$7:$E$21,3,0)</f>
        <v>#N/A</v>
      </c>
      <c r="AD176" s="61" t="str">
        <f t="shared" si="77"/>
        <v>0819-01</v>
      </c>
      <c r="AE176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76" s="88" t="str">
        <f t="shared" si="67"/>
        <v>"C:\Program Files (x86)\AstroGrep\AstroGrep.exe" /spath="%USERPROFILE%\AppData\Local\Temp\OnboardLogs" /stypes="app*4003*20161101*" /stext=" 18:.+((SYSTEM_STATE.+slice.+state.+changed )|(ment ac)|(system.+state.+changed )|(\[timeout)|(PRM\|1\|D)|(kpr)|(kdp)|(\|lc)|(penalty))" /e /r /s</v>
      </c>
      <c r="AG176" s="1" t="str">
        <f t="shared" si="78"/>
        <v>NW</v>
      </c>
      <c r="AH176" s="92" t="str">
        <f t="shared" si="64"/>
        <v>"%USERPROFILE%\Documents\GitHub\eaglep3\Utilities\RefineRTDCRunTimes.py" --tripid 819-01 --locoid 4003 --swversion DE.1.0.8.0 --startMP 204:985 --initTime 2016-11-01T12:16:35 --startdatetime 2016-11-01T12:21:16 --delay 1 --endMP 300:58928 --enddatetime 2016-11-01T12:33:55 --enforcementcount 0 &gt;&gt;C:\Users\stu\Documents\GitHub\eaglep3-reporting\EC\2016-11-01-refined-times.txt</v>
      </c>
      <c r="AI176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{"issue":{"subject":"","project_id":79,"tracker_id":40,"status_id":1,"priority_id":2,"assigned_to_id":23,"start_date":"2016-11-01","description":"","custom_fields":[{"id":1,"name":"Subdivision","value":"NW"},{"id":4,"name":"Milepost","value":"5.8928"},{"id":17,"name":"Train ID","value":"819-01"},{"id":16,"name":"Locomotive ID","value":"4003"},{"id":130,"name":"Impact","value":""},{"id":150,"name":"Time of Event (Mountain Time)","value":"12:33:55"},{"id":151,"name":"Denver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490</v>
      </c>
      <c r="B177" s="7">
        <v>4004</v>
      </c>
      <c r="C177" s="22" t="s">
        <v>253</v>
      </c>
      <c r="D177" s="22" t="s">
        <v>368</v>
      </c>
      <c r="E177" s="13">
        <v>42675.524525462963</v>
      </c>
      <c r="F177" s="13">
        <v>42675.525729166664</v>
      </c>
      <c r="G177" s="7">
        <v>1</v>
      </c>
      <c r="H177" s="13" t="s">
        <v>745</v>
      </c>
      <c r="I177" s="13">
        <v>42675.537858796299</v>
      </c>
      <c r="J177" s="7">
        <v>0</v>
      </c>
      <c r="K177" s="112" t="str">
        <f t="shared" si="68"/>
        <v>4003/4004</v>
      </c>
      <c r="L177" s="22" t="str">
        <f>VLOOKUP(A177,'Trips&amp;Operators'!$C$1:$E$10000,3,FALSE)</f>
        <v>LEVIN</v>
      </c>
      <c r="M177" s="6">
        <f t="shared" si="69"/>
        <v>1.212962963472819E-2</v>
      </c>
      <c r="N177" s="7">
        <f t="shared" si="81"/>
        <v>17.466666674008593</v>
      </c>
      <c r="O177" s="7"/>
      <c r="P177" s="7"/>
      <c r="Q177" s="23"/>
      <c r="R177" s="23"/>
      <c r="S177" s="35">
        <f t="shared" si="70"/>
        <v>1</v>
      </c>
      <c r="T177" s="50" t="str">
        <f t="shared" si="71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11:35:19-0600',mode:absolute,to:'2016-11-01 13:54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7" s="52" t="str">
        <f t="shared" si="73"/>
        <v>N</v>
      </c>
      <c r="X177" s="177">
        <f t="shared" si="80"/>
        <v>1</v>
      </c>
      <c r="Y177" s="67">
        <f t="shared" si="74"/>
        <v>5.8609</v>
      </c>
      <c r="Z177" s="67">
        <f t="shared" si="75"/>
        <v>7.0599999999999996E-2</v>
      </c>
      <c r="AA177" s="67">
        <f t="shared" si="76"/>
        <v>5.7903000000000002</v>
      </c>
      <c r="AB177" s="64" t="e">
        <f>VLOOKUP(A177,Enforcements!$C$7:$K$21,8,0)</f>
        <v>#N/A</v>
      </c>
      <c r="AC177" s="60" t="e">
        <f>VLOOKUP(A177,Enforcements!$C$7:$E$21,3,0)</f>
        <v>#N/A</v>
      </c>
      <c r="AD177" s="61" t="str">
        <f t="shared" si="77"/>
        <v>0820-01</v>
      </c>
      <c r="AE177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77" s="88" t="str">
        <f t="shared" si="67"/>
        <v>"C:\Program Files (x86)\AstroGrep\AstroGrep.exe" /spath="%USERPROFILE%\AppData\Local\Temp\OnboardLogs" /stypes="app*4004*20161101*" /stext=" 18:.+((SYSTEM_STATE.+slice.+state.+changed )|(ment ac)|(system.+state.+changed )|(\[timeout)|(PRM\|1\|D)|(kpr)|(kdp)|(\|lc)|(penalty))" /e /r /s</v>
      </c>
      <c r="AG177" s="1" t="str">
        <f t="shared" si="78"/>
        <v>NW</v>
      </c>
      <c r="AH177" s="92" t="str">
        <f t="shared" si="64"/>
        <v>"%USERPROFILE%\Documents\GitHub\eaglep3\Utilities\RefineRTDCRunTimes.py" --tripid 820-01 --locoid 4004 --swversion DE.1.0.8.0 --startMP 300:58609 --initTime 2016-11-01T12:35:19 --startdatetime 2016-11-01T12:37:03 --delay 1 --endMP 204:706 --enddatetime 2016-11-01T12:54:31 --enforcementcount 0 &gt;&gt;C:\Users\stu\Documents\GitHub\eaglep3-reporting\EC\2016-11-01-refined-times.txt</v>
      </c>
      <c r="AI177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{"issue":{"subject":"","project_id":79,"tracker_id":40,"status_id":1,"priority_id":2,"assigned_to_id":23,"start_date":"2016-11-01","description":"","custom_fields":[{"id":1,"name":"Subdivision","value":"NW"},{"id":4,"name":"Milepost","value":"0.0706"},{"id":17,"name":"Train ID","value":"820-01"},{"id":16,"name":"Locomotive ID","value":"4004"},{"id":130,"name":"Impact","value":""},{"id":150,"name":"Time of Event (Mountain Time)","value":"12:54:31"},{"id":151,"name":"Denver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7" t="s">
        <v>497</v>
      </c>
      <c r="B178" s="7">
        <v>4003</v>
      </c>
      <c r="C178" s="22" t="s">
        <v>253</v>
      </c>
      <c r="D178" s="22" t="s">
        <v>746</v>
      </c>
      <c r="E178" s="13">
        <v>42675.551631944443</v>
      </c>
      <c r="F178" s="13">
        <v>42675.556493055556</v>
      </c>
      <c r="G178" s="7">
        <v>2</v>
      </c>
      <c r="H178" s="13" t="s">
        <v>747</v>
      </c>
      <c r="I178" s="13">
        <v>42675.565833333334</v>
      </c>
      <c r="J178" s="7">
        <v>0</v>
      </c>
      <c r="K178" s="112" t="str">
        <f t="shared" si="68"/>
        <v>4003/4004</v>
      </c>
      <c r="L178" s="22" t="str">
        <f>VLOOKUP(A178,'Trips&amp;Operators'!$C$1:$E$10000,3,FALSE)</f>
        <v>NICHOLSON</v>
      </c>
      <c r="M178" s="6">
        <f t="shared" si="69"/>
        <v>9.340277778392192E-3</v>
      </c>
      <c r="N178" s="7">
        <f t="shared" si="81"/>
        <v>13.450000000884756</v>
      </c>
      <c r="O178" s="7"/>
      <c r="P178" s="7"/>
      <c r="Q178" s="23"/>
      <c r="R178" s="23"/>
      <c r="S178" s="35">
        <f t="shared" si="70"/>
        <v>1</v>
      </c>
      <c r="T178" s="50" t="str">
        <f t="shared" si="71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12:14:21-0600',mode:absolute,to:'2016-11-01 14:34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8" s="52" t="str">
        <f t="shared" si="73"/>
        <v>N</v>
      </c>
      <c r="X178" s="177">
        <f t="shared" si="80"/>
        <v>1</v>
      </c>
      <c r="Y178" s="67">
        <f t="shared" si="74"/>
        <v>9.8799999999999999E-2</v>
      </c>
      <c r="Z178" s="67">
        <f t="shared" si="75"/>
        <v>5.8964999999999996</v>
      </c>
      <c r="AA178" s="67">
        <f t="shared" si="76"/>
        <v>5.7976999999999999</v>
      </c>
      <c r="AB178" s="64" t="e">
        <f>VLOOKUP(A178,Enforcements!$C$7:$K$21,8,0)</f>
        <v>#N/A</v>
      </c>
      <c r="AC178" s="60" t="e">
        <f>VLOOKUP(A178,Enforcements!$C$7:$E$21,3,0)</f>
        <v>#N/A</v>
      </c>
      <c r="AD178" s="61" t="str">
        <f t="shared" si="77"/>
        <v>0821-01</v>
      </c>
      <c r="AE178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78" s="88" t="str">
        <f t="shared" si="67"/>
        <v>"C:\Program Files (x86)\AstroGrep\AstroGrep.exe" /spath="%USERPROFILE%\AppData\Local\Temp\OnboardLogs" /stypes="app*4003*20161101*" /stext=" 19:.+((SYSTEM_STATE.+slice.+state.+changed )|(ment ac)|(system.+state.+changed )|(\[timeout)|(PRM\|1\|D)|(kpr)|(kdp)|(\|lc)|(penalty))" /e /r /s</v>
      </c>
      <c r="AG178" s="1" t="str">
        <f t="shared" si="78"/>
        <v>NW</v>
      </c>
      <c r="AH178" s="92" t="str">
        <f t="shared" si="64"/>
        <v>"%USERPROFILE%\Documents\GitHub\eaglep3\Utilities\RefineRTDCRunTimes.py" --tripid 821-01 --locoid 4003 --swversion DE.1.0.8.0 --startMP 204:988 --initTime 2016-11-01T13:14:21 --startdatetime 2016-11-01T13:21:21 --delay 2 --endMP 300:58965 --enddatetime 2016-11-01T13:34:48 --enforcementcount 0 &gt;&gt;C:\Users\stu\Documents\GitHub\eaglep3-reporting\EC\2016-11-01-refined-times.txt</v>
      </c>
      <c r="AI178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{"issue":{"subject":"","project_id":79,"tracker_id":40,"status_id":1,"priority_id":2,"assigned_to_id":23,"start_date":"2016-11-01","description":"","custom_fields":[{"id":1,"name":"Subdivision","value":"NW"},{"id":4,"name":"Milepost","value":"5.8965"},{"id":17,"name":"Train ID","value":"821-01"},{"id":16,"name":"Locomotive ID","value":"4003"},{"id":130,"name":"Impact","value":""},{"id":150,"name":"Time of Event (Mountain Time)","value":"13:34:48"},{"id":151,"name":"Denver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499</v>
      </c>
      <c r="B179" s="7">
        <v>4004</v>
      </c>
      <c r="C179" s="22" t="s">
        <v>253</v>
      </c>
      <c r="D179" s="22" t="s">
        <v>748</v>
      </c>
      <c r="E179" s="13">
        <v>42675.567349537036</v>
      </c>
      <c r="F179" s="13">
        <v>42675.569224537037</v>
      </c>
      <c r="G179" s="7">
        <v>1</v>
      </c>
      <c r="H179" s="13" t="s">
        <v>749</v>
      </c>
      <c r="I179" s="13">
        <v>42675.579837962963</v>
      </c>
      <c r="J179" s="7">
        <v>0</v>
      </c>
      <c r="K179" s="112" t="str">
        <f t="shared" si="68"/>
        <v>4003/4004</v>
      </c>
      <c r="L179" s="22" t="str">
        <f>VLOOKUP(A179,'Trips&amp;Operators'!$C$1:$E$10000,3,FALSE)</f>
        <v>NICHOLSON</v>
      </c>
      <c r="M179" s="6">
        <f t="shared" si="69"/>
        <v>1.0613425925839692E-2</v>
      </c>
      <c r="N179" s="7">
        <f t="shared" si="81"/>
        <v>15.283333333209157</v>
      </c>
      <c r="O179" s="7"/>
      <c r="P179" s="7"/>
      <c r="Q179" s="23"/>
      <c r="R179" s="23"/>
      <c r="S179" s="35">
        <f t="shared" si="70"/>
        <v>1</v>
      </c>
      <c r="T179" s="50" t="str">
        <f t="shared" si="71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12:36:59-0600',mode:absolute,to:'2016-11-01 14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9" s="52" t="str">
        <f t="shared" si="73"/>
        <v>N</v>
      </c>
      <c r="X179" s="177">
        <f t="shared" si="80"/>
        <v>1</v>
      </c>
      <c r="Y179" s="67">
        <f t="shared" si="74"/>
        <v>5.8659999999999997</v>
      </c>
      <c r="Z179" s="67">
        <f t="shared" si="75"/>
        <v>6.8400000000000002E-2</v>
      </c>
      <c r="AA179" s="67">
        <f t="shared" si="76"/>
        <v>5.7976000000000001</v>
      </c>
      <c r="AB179" s="64" t="e">
        <f>VLOOKUP(A179,Enforcements!$C$7:$K$21,8,0)</f>
        <v>#N/A</v>
      </c>
      <c r="AC179" s="60" t="e">
        <f>VLOOKUP(A179,Enforcements!$C$7:$E$21,3,0)</f>
        <v>#N/A</v>
      </c>
      <c r="AD179" s="61" t="str">
        <f t="shared" si="77"/>
        <v>0822-01</v>
      </c>
      <c r="AE179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79" s="88" t="str">
        <f t="shared" si="67"/>
        <v>"C:\Program Files (x86)\AstroGrep\AstroGrep.exe" /spath="%USERPROFILE%\AppData\Local\Temp\OnboardLogs" /stypes="app*4004*20161101*" /stext=" 19:.+((SYSTEM_STATE.+slice.+state.+changed )|(ment ac)|(system.+state.+changed )|(\[timeout)|(PRM\|1\|D)|(kpr)|(kdp)|(\|lc)|(penalty))" /e /r /s</v>
      </c>
      <c r="AG179" s="1" t="str">
        <f t="shared" si="78"/>
        <v>NW</v>
      </c>
      <c r="AH179" s="92" t="str">
        <f t="shared" si="64"/>
        <v>"%USERPROFILE%\Documents\GitHub\eaglep3\Utilities\RefineRTDCRunTimes.py" --tripid 822-01 --locoid 4004 --swversion DE.1.0.8.0 --startMP 300:58660 --initTime 2016-11-01T13:36:59 --startdatetime 2016-11-01T13:39:41 --delay 1 --endMP 204:684 --enddatetime 2016-11-01T13:54:58 --enforcementcount 0 &gt;&gt;C:\Users\stu\Documents\GitHub\eaglep3-reporting\EC\2016-11-01-refined-times.txt</v>
      </c>
      <c r="AI179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{"issue":{"subject":"","project_id":79,"tracker_id":40,"status_id":1,"priority_id":2,"assigned_to_id":23,"start_date":"2016-11-01","description":"","custom_fields":[{"id":1,"name":"Subdivision","value":"NW"},{"id":4,"name":"Milepost","value":"0.0684"},{"id":17,"name":"Train ID","value":"822-01"},{"id":16,"name":"Locomotive ID","value":"4004"},{"id":130,"name":"Impact","value":""},{"id":150,"name":"Time of Event (Mountain Time)","value":"13:54:58"},{"id":151,"name":"Denver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502</v>
      </c>
      <c r="B180" s="7">
        <v>4003</v>
      </c>
      <c r="C180" s="22" t="s">
        <v>253</v>
      </c>
      <c r="D180" s="22" t="s">
        <v>371</v>
      </c>
      <c r="E180" s="13">
        <v>42675.582465277781</v>
      </c>
      <c r="F180" s="13">
        <v>42675.59815972222</v>
      </c>
      <c r="G180" s="7">
        <v>1</v>
      </c>
      <c r="H180" s="13" t="s">
        <v>363</v>
      </c>
      <c r="I180" s="13">
        <v>42675.607615740744</v>
      </c>
      <c r="J180" s="7">
        <v>0</v>
      </c>
      <c r="K180" s="112" t="str">
        <f t="shared" si="68"/>
        <v>4003/4004</v>
      </c>
      <c r="L180" s="22" t="str">
        <f>VLOOKUP(A180,'Trips&amp;Operators'!$C$1:$E$10000,3,FALSE)</f>
        <v>NICHOLSON</v>
      </c>
      <c r="M180" s="6">
        <f t="shared" si="69"/>
        <v>9.456018524360843E-3</v>
      </c>
      <c r="N180" s="7">
        <f t="shared" si="81"/>
        <v>13.616666675079614</v>
      </c>
      <c r="O180" s="7"/>
      <c r="P180" s="7"/>
      <c r="Q180" s="23"/>
      <c r="R180" s="23"/>
      <c r="S180" s="35">
        <f t="shared" si="70"/>
        <v>1</v>
      </c>
      <c r="T180" s="50" t="str">
        <f t="shared" si="71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12:58:45-0600',mode:absolute,to:'2016-11-01 15:34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0" s="52" t="str">
        <f t="shared" si="73"/>
        <v>N</v>
      </c>
      <c r="X180" s="177">
        <f t="shared" si="80"/>
        <v>1</v>
      </c>
      <c r="Y180" s="67">
        <f t="shared" si="74"/>
        <v>9.74E-2</v>
      </c>
      <c r="Z180" s="67">
        <f t="shared" si="75"/>
        <v>5.8943000000000003</v>
      </c>
      <c r="AA180" s="67">
        <f t="shared" si="76"/>
        <v>5.7968999999999999</v>
      </c>
      <c r="AB180" s="64" t="e">
        <f>VLOOKUP(A180,Enforcements!$C$7:$K$21,8,0)</f>
        <v>#N/A</v>
      </c>
      <c r="AC180" s="60" t="e">
        <f>VLOOKUP(A180,Enforcements!$C$7:$E$21,3,0)</f>
        <v>#N/A</v>
      </c>
      <c r="AD180" s="61" t="str">
        <f t="shared" si="77"/>
        <v>0823-01</v>
      </c>
      <c r="AE180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80" s="88" t="str">
        <f t="shared" si="67"/>
        <v>"C:\Program Files (x86)\AstroGrep\AstroGrep.exe" /spath="%USERPROFILE%\AppData\Local\Temp\OnboardLogs" /stypes="app*4003*20161101*" /stext=" 20:.+((SYSTEM_STATE.+slice.+state.+changed )|(ment ac)|(system.+state.+changed )|(\[timeout)|(PRM\|1\|D)|(kpr)|(kdp)|(\|lc)|(penalty))" /e /r /s</v>
      </c>
      <c r="AG180" s="1" t="str">
        <f t="shared" si="78"/>
        <v>NW</v>
      </c>
      <c r="AH180" s="92" t="str">
        <f t="shared" si="64"/>
        <v>"%USERPROFILE%\Documents\GitHub\eaglep3\Utilities\RefineRTDCRunTimes.py" --tripid 823-01 --locoid 4003 --swversion DE.1.0.8.0 --startMP 204:974 --initTime 2016-11-01T13:58:45 --startdatetime 2016-11-01T14:21:21 --delay 1 --endMP 300:58943 --enddatetime 2016-11-01T14:34:58 --enforcementcount 0 &gt;&gt;C:\Users\stu\Documents\GitHub\eaglep3-reporting\EC\2016-11-01-refined-times.txt</v>
      </c>
      <c r="AI180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{"issue":{"subject":"","project_id":79,"tracker_id":40,"status_id":1,"priority_id":2,"assigned_to_id":23,"start_date":"2016-11-01","description":"","custom_fields":[{"id":1,"name":"Subdivision","value":"NW"},{"id":4,"name":"Milepost","value":"5.8943"},{"id":17,"name":"Train ID","value":"823-01"},{"id":16,"name":"Locomotive ID","value":"4003"},{"id":130,"name":"Impact","value":""},{"id":150,"name":"Time of Event (Mountain Time)","value":"14:34:58"},{"id":151,"name":"Denver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508</v>
      </c>
      <c r="B181" s="7">
        <v>4004</v>
      </c>
      <c r="C181" s="22" t="s">
        <v>253</v>
      </c>
      <c r="D181" s="22" t="s">
        <v>750</v>
      </c>
      <c r="E181" s="13">
        <v>42675.608854166669</v>
      </c>
      <c r="F181" s="13">
        <v>42675.610486111109</v>
      </c>
      <c r="G181" s="7">
        <v>1</v>
      </c>
      <c r="H181" s="13" t="s">
        <v>361</v>
      </c>
      <c r="I181" s="13">
        <v>42675.621863425928</v>
      </c>
      <c r="J181" s="7">
        <v>0</v>
      </c>
      <c r="K181" s="112" t="str">
        <f t="shared" si="68"/>
        <v>4003/4004</v>
      </c>
      <c r="L181" s="22" t="str">
        <f>VLOOKUP(A181,'Trips&amp;Operators'!$C$1:$E$10000,3,FALSE)</f>
        <v>NICHOLSON</v>
      </c>
      <c r="M181" s="6">
        <f t="shared" si="69"/>
        <v>1.1377314818673767E-2</v>
      </c>
      <c r="N181" s="7">
        <f t="shared" si="81"/>
        <v>16.383333338890225</v>
      </c>
      <c r="O181" s="7"/>
      <c r="P181" s="7"/>
      <c r="Q181" s="23"/>
      <c r="R181" s="23"/>
      <c r="S181" s="35">
        <f t="shared" si="70"/>
        <v>1</v>
      </c>
      <c r="T181" s="50" t="str">
        <f t="shared" si="71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13:36:45-0600',mode:absolute,to:'2016-11-01 15:55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1" s="52" t="str">
        <f t="shared" si="73"/>
        <v>N</v>
      </c>
      <c r="X181" s="177">
        <f t="shared" si="80"/>
        <v>1</v>
      </c>
      <c r="Y181" s="67">
        <f t="shared" si="74"/>
        <v>5.8628</v>
      </c>
      <c r="Z181" s="67">
        <f t="shared" si="75"/>
        <v>6.7500000000000004E-2</v>
      </c>
      <c r="AA181" s="67">
        <f t="shared" si="76"/>
        <v>5.7953000000000001</v>
      </c>
      <c r="AB181" s="64" t="e">
        <f>VLOOKUP(A181,Enforcements!$C$7:$K$21,8,0)</f>
        <v>#N/A</v>
      </c>
      <c r="AC181" s="60" t="e">
        <f>VLOOKUP(A181,Enforcements!$C$7:$E$21,3,0)</f>
        <v>#N/A</v>
      </c>
      <c r="AD181" s="61" t="str">
        <f t="shared" si="77"/>
        <v>0824-01</v>
      </c>
      <c r="AE181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81" s="88" t="str">
        <f t="shared" si="67"/>
        <v>"C:\Program Files (x86)\AstroGrep\AstroGrep.exe" /spath="%USERPROFILE%\AppData\Local\Temp\OnboardLogs" /stypes="app*4004*20161101*" /stext=" 20:.+((SYSTEM_STATE.+slice.+state.+changed )|(ment ac)|(system.+state.+changed )|(\[timeout)|(PRM\|1\|D)|(kpr)|(kdp)|(\|lc)|(penalty))" /e /r /s</v>
      </c>
      <c r="AG181" s="1" t="str">
        <f t="shared" si="78"/>
        <v>NW</v>
      </c>
      <c r="AH181" s="92" t="str">
        <f t="shared" si="64"/>
        <v>"%USERPROFILE%\Documents\GitHub\eaglep3\Utilities\RefineRTDCRunTimes.py" --tripid 824-01 --locoid 4004 --swversion DE.1.0.8.0 --startMP 300:58628 --initTime 2016-11-01T14:36:45 --startdatetime 2016-11-01T14:39:06 --delay 1 --endMP 204:675 --enddatetime 2016-11-01T14:55:29 --enforcementcount 0 &gt;&gt;C:\Users\stu\Documents\GitHub\eaglep3-reporting\EC\2016-11-01-refined-times.txt</v>
      </c>
      <c r="AI181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{"issue":{"subject":"","project_id":79,"tracker_id":40,"status_id":1,"priority_id":2,"assigned_to_id":23,"start_date":"2016-11-01","description":"","custom_fields":[{"id":1,"name":"Subdivision","value":"NW"},{"id":4,"name":"Milepost","value":"0.0675"},{"id":17,"name":"Train ID","value":"824-01"},{"id":16,"name":"Locomotive ID","value":"4004"},{"id":130,"name":"Impact","value":""},{"id":150,"name":"Time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512</v>
      </c>
      <c r="B182" s="7">
        <v>4003</v>
      </c>
      <c r="C182" s="22" t="s">
        <v>253</v>
      </c>
      <c r="D182" s="22" t="s">
        <v>751</v>
      </c>
      <c r="E182" s="13">
        <v>42675.623692129629</v>
      </c>
      <c r="F182" s="13">
        <v>42675.639803240738</v>
      </c>
      <c r="G182" s="7">
        <v>1</v>
      </c>
      <c r="H182" s="13" t="s">
        <v>752</v>
      </c>
      <c r="I182" s="13">
        <v>42675.649247685185</v>
      </c>
      <c r="J182" s="7">
        <v>0</v>
      </c>
      <c r="K182" s="112" t="str">
        <f t="shared" si="68"/>
        <v>4003/4004</v>
      </c>
      <c r="L182" s="22" t="str">
        <f>VLOOKUP(A182,'Trips&amp;Operators'!$C$1:$E$10000,3,FALSE)</f>
        <v>NICHOLSON</v>
      </c>
      <c r="M182" s="6">
        <f t="shared" si="69"/>
        <v>9.4444444475811906E-3</v>
      </c>
      <c r="N182" s="7">
        <f t="shared" si="81"/>
        <v>13.600000004516914</v>
      </c>
      <c r="O182" s="7"/>
      <c r="P182" s="7"/>
      <c r="Q182" s="23"/>
      <c r="R182" s="23"/>
      <c r="S182" s="35">
        <f t="shared" si="70"/>
        <v>1</v>
      </c>
      <c r="T182" s="50" t="str">
        <f t="shared" si="71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13:58:07-0600',mode:absolute,to:'2016-11-01 16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2" s="52" t="str">
        <f t="shared" si="73"/>
        <v>N</v>
      </c>
      <c r="X182" s="177">
        <f t="shared" si="80"/>
        <v>1</v>
      </c>
      <c r="Y182" s="67">
        <f t="shared" si="74"/>
        <v>9.7900000000000001E-2</v>
      </c>
      <c r="Z182" s="67">
        <f t="shared" si="75"/>
        <v>5.8963000000000001</v>
      </c>
      <c r="AA182" s="67">
        <f t="shared" si="76"/>
        <v>5.7984</v>
      </c>
      <c r="AB182" s="64" t="e">
        <f>VLOOKUP(A182,Enforcements!$C$7:$K$21,8,0)</f>
        <v>#N/A</v>
      </c>
      <c r="AC182" s="60" t="e">
        <f>VLOOKUP(A182,Enforcements!$C$7:$E$21,3,0)</f>
        <v>#N/A</v>
      </c>
      <c r="AD182" s="61" t="str">
        <f t="shared" si="77"/>
        <v>0825-01</v>
      </c>
      <c r="AE182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82" s="88" t="str">
        <f t="shared" si="67"/>
        <v>"C:\Program Files (x86)\AstroGrep\AstroGrep.exe" /spath="%USERPROFILE%\AppData\Local\Temp\OnboardLogs" /stypes="app*4003*20161101*" /stext=" 21:.+((SYSTEM_STATE.+slice.+state.+changed )|(ment ac)|(system.+state.+changed )|(\[timeout)|(PRM\|1\|D)|(kpr)|(kdp)|(\|lc)|(penalty))" /e /r /s</v>
      </c>
      <c r="AG182" s="1" t="str">
        <f t="shared" si="78"/>
        <v>NW</v>
      </c>
      <c r="AH182" s="92" t="str">
        <f t="shared" si="64"/>
        <v>"%USERPROFILE%\Documents\GitHub\eaglep3\Utilities\RefineRTDCRunTimes.py" --tripid 825-01 --locoid 4003 --swversion DE.1.0.8.0 --startMP 204:979 --initTime 2016-11-01T14:58:07 --startdatetime 2016-11-01T15:21:19 --delay 1 --endMP 300:58963 --enddatetime 2016-11-01T15:34:55 --enforcementcount 0 &gt;&gt;C:\Users\stu\Documents\GitHub\eaglep3-reporting\EC\2016-11-01-refined-times.txt</v>
      </c>
      <c r="AI182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{"issue":{"subject":"","project_id":79,"tracker_id":40,"status_id":1,"priority_id":2,"assigned_to_id":23,"start_date":"2016-11-01","description":"","custom_fields":[{"id":1,"name":"Subdivision","value":"NW"},{"id":4,"name":"Milepost","value":"5.8963"},{"id":17,"name":"Train ID","value":"825-01"},{"id":16,"name":"Locomotive ID","value":"4003"},{"id":130,"name":"Impact","value":""},{"id":150,"name":"Time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519</v>
      </c>
      <c r="B183" s="7">
        <v>4004</v>
      </c>
      <c r="C183" s="22" t="s">
        <v>253</v>
      </c>
      <c r="D183" s="22" t="s">
        <v>753</v>
      </c>
      <c r="E183" s="13">
        <v>42675.650972222225</v>
      </c>
      <c r="F183" s="13">
        <v>42675.652604166666</v>
      </c>
      <c r="G183" s="7">
        <v>1</v>
      </c>
      <c r="H183" s="13" t="s">
        <v>754</v>
      </c>
      <c r="I183" s="13">
        <v>42675.664166666669</v>
      </c>
      <c r="J183" s="7">
        <v>0</v>
      </c>
      <c r="K183" s="112" t="str">
        <f t="shared" si="68"/>
        <v>4003/4004</v>
      </c>
      <c r="L183" s="22" t="str">
        <f>VLOOKUP(A183,'Trips&amp;Operators'!$C$1:$E$10000,3,FALSE)</f>
        <v>NICHOLSON</v>
      </c>
      <c r="M183" s="6">
        <f t="shared" si="69"/>
        <v>1.156250000349246E-2</v>
      </c>
      <c r="N183" s="7">
        <f t="shared" si="81"/>
        <v>16.650000005029142</v>
      </c>
      <c r="O183" s="7"/>
      <c r="P183" s="7"/>
      <c r="Q183" s="23"/>
      <c r="R183" s="23"/>
      <c r="S183" s="35">
        <f t="shared" si="70"/>
        <v>1</v>
      </c>
      <c r="T183" s="50" t="str">
        <f t="shared" si="71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14:37:24-0600',mode:absolute,to:'2016-11-01 16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3" s="52" t="str">
        <f t="shared" si="73"/>
        <v>N</v>
      </c>
      <c r="X183" s="177">
        <f t="shared" si="80"/>
        <v>1</v>
      </c>
      <c r="Y183" s="67">
        <f t="shared" si="74"/>
        <v>5.8647</v>
      </c>
      <c r="Z183" s="67">
        <f t="shared" si="75"/>
        <v>6.7799999999999999E-2</v>
      </c>
      <c r="AA183" s="67">
        <f t="shared" si="76"/>
        <v>5.7968999999999999</v>
      </c>
      <c r="AB183" s="64" t="e">
        <f>VLOOKUP(A183,Enforcements!$C$7:$K$21,8,0)</f>
        <v>#N/A</v>
      </c>
      <c r="AC183" s="60" t="e">
        <f>VLOOKUP(A183,Enforcements!$C$7:$E$21,3,0)</f>
        <v>#N/A</v>
      </c>
      <c r="AD183" s="61" t="str">
        <f t="shared" si="77"/>
        <v>0826-01</v>
      </c>
      <c r="AE183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83" s="88" t="str">
        <f t="shared" si="67"/>
        <v>"C:\Program Files (x86)\AstroGrep\AstroGrep.exe" /spath="%USERPROFILE%\AppData\Local\Temp\OnboardLogs" /stypes="app*4004*20161101*" /stext=" 21:.+((SYSTEM_STATE.+slice.+state.+changed )|(ment ac)|(system.+state.+changed )|(\[timeout)|(PRM\|1\|D)|(kpr)|(kdp)|(\|lc)|(penalty))" /e /r /s</v>
      </c>
      <c r="AG183" s="1" t="str">
        <f t="shared" si="78"/>
        <v>NW</v>
      </c>
      <c r="AH183" s="92" t="str">
        <f t="shared" si="64"/>
        <v>"%USERPROFILE%\Documents\GitHub\eaglep3\Utilities\RefineRTDCRunTimes.py" --tripid 826-01 --locoid 4004 --swversion DE.1.0.8.0 --startMP 300:58647 --initTime 2016-11-01T15:37:24 --startdatetime 2016-11-01T15:39:45 --delay 1 --endMP 204:678 --enddatetime 2016-11-01T15:56:24 --enforcementcount 0 &gt;&gt;C:\Users\stu\Documents\GitHub\eaglep3-reporting\EC\2016-11-01-refined-times.txt</v>
      </c>
      <c r="AI183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{"issue":{"subject":"","project_id":79,"tracker_id":40,"status_id":1,"priority_id":2,"assigned_to_id":23,"start_date":"2016-11-01","description":"","custom_fields":[{"id":1,"name":"Subdivision","value":"NW"},{"id":4,"name":"Milepost","value":"0.0678"},{"id":17,"name":"Train ID","value":"826-01"},{"id":16,"name":"Locomotive ID","value":"4004"},{"id":130,"name":"Impact","value":""},{"id":150,"name":"Time of Event (Mountain Time)","value":"15:56:24"},{"id":151,"name":"Denver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1" customFormat="1" x14ac:dyDescent="0.25">
      <c r="A184" s="37" t="s">
        <v>520</v>
      </c>
      <c r="B184" s="7">
        <v>4009</v>
      </c>
      <c r="C184" s="22" t="s">
        <v>253</v>
      </c>
      <c r="D184" s="22" t="s">
        <v>755</v>
      </c>
      <c r="E184" s="13">
        <v>42675.653680555559</v>
      </c>
      <c r="F184" s="13">
        <v>42675.660810185182</v>
      </c>
      <c r="G184" s="7">
        <v>1</v>
      </c>
      <c r="H184" s="13" t="s">
        <v>756</v>
      </c>
      <c r="I184" s="13">
        <v>42675.670949074076</v>
      </c>
      <c r="J184" s="7">
        <v>0</v>
      </c>
      <c r="K184" s="112" t="str">
        <f t="shared" si="68"/>
        <v>4009/4010</v>
      </c>
      <c r="L184" s="22" t="str">
        <f>VLOOKUP(A184,'Trips&amp;Operators'!$C$1:$E$10000,3,FALSE)</f>
        <v>STAMBAUGH</v>
      </c>
      <c r="M184" s="6">
        <f t="shared" si="69"/>
        <v>1.0138888894289266E-2</v>
      </c>
      <c r="N184" s="7">
        <f t="shared" si="81"/>
        <v>14.600000007776543</v>
      </c>
      <c r="O184" s="7"/>
      <c r="P184" s="7"/>
      <c r="Q184" s="23"/>
      <c r="R184" s="23"/>
      <c r="S184" s="35">
        <f t="shared" si="70"/>
        <v>1</v>
      </c>
      <c r="T184" s="50" t="str">
        <f t="shared" si="71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14:41:18-0600',mode:absolute,to:'2016-11-01 17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4" s="52" t="str">
        <f t="shared" si="73"/>
        <v>N</v>
      </c>
      <c r="X184" s="177">
        <f t="shared" si="80"/>
        <v>1</v>
      </c>
      <c r="Y184" s="67">
        <f t="shared" si="74"/>
        <v>9.6199999999999994E-2</v>
      </c>
      <c r="Z184" s="67">
        <f t="shared" si="75"/>
        <v>5.8924000000000003</v>
      </c>
      <c r="AA184" s="67">
        <f t="shared" si="76"/>
        <v>5.7962000000000007</v>
      </c>
      <c r="AB184" s="64" t="e">
        <f>VLOOKUP(A184,Enforcements!$C$7:$K$21,8,0)</f>
        <v>#N/A</v>
      </c>
      <c r="AC184" s="60" t="e">
        <f>VLOOKUP(A184,Enforcements!$C$7:$E$21,3,0)</f>
        <v>#N/A</v>
      </c>
      <c r="AD184" s="61" t="str">
        <f t="shared" si="77"/>
        <v>0827-01</v>
      </c>
      <c r="AE184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84" s="88" t="str">
        <f t="shared" si="67"/>
        <v>"C:\Program Files (x86)\AstroGrep\AstroGrep.exe" /spath="%USERPROFILE%\AppData\Local\Temp\OnboardLogs" /stypes="app*4009*20161101*" /stext=" 22:.+((SYSTEM_STATE.+slice.+state.+changed )|(ment ac)|(system.+state.+changed )|(\[timeout)|(PRM\|1\|D)|(kpr)|(kdp)|(\|lc)|(penalty))" /e /r /s</v>
      </c>
      <c r="AG184" s="1" t="str">
        <f t="shared" si="78"/>
        <v>NW</v>
      </c>
      <c r="AH184" s="92" t="str">
        <f t="shared" si="64"/>
        <v>"%USERPROFILE%\Documents\GitHub\eaglep3\Utilities\RefineRTDCRunTimes.py" --tripid 827-01 --locoid 4009 --swversion DE.1.0.8.0 --startMP 204:962 --initTime 2016-11-01T15:41:18 --startdatetime 2016-11-01T15:51:34 --delay 1 --endMP 300:58924 --enddatetime 2016-11-01T16:06:10 --enforcementcount 0 &gt;&gt;C:\Users\stu\Documents\GitHub\eaglep3-reporting\EC\2016-11-01-refined-times.txt</v>
      </c>
      <c r="AI184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{"issue":{"subject":"","project_id":79,"tracker_id":40,"status_id":1,"priority_id":2,"assigned_to_id":23,"start_date":"2016-11-01","description":"","custom_fields":[{"id":1,"name":"Subdivision","value":"NW"},{"id":4,"name":"Milepost","value":"5.8924"},{"id":17,"name":"Train ID","value":"827-01"},{"id":16,"name":"Locomotive ID","value":"4009"},{"id":130,"name":"Impact","value":""},{"id":150,"name":"Time of Event (Mountain Time)","value":"16:06:10"},{"id":151,"name":"Denver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526</v>
      </c>
      <c r="B185" s="7">
        <v>4010</v>
      </c>
      <c r="C185" s="22" t="s">
        <v>253</v>
      </c>
      <c r="D185" s="22" t="s">
        <v>737</v>
      </c>
      <c r="E185" s="13">
        <v>42675.672013888892</v>
      </c>
      <c r="F185" s="13">
        <v>42675.673842592594</v>
      </c>
      <c r="G185" s="7">
        <v>1</v>
      </c>
      <c r="H185" s="13" t="s">
        <v>757</v>
      </c>
      <c r="I185" s="13">
        <v>42675.684837962966</v>
      </c>
      <c r="J185" s="7">
        <v>0</v>
      </c>
      <c r="K185" s="112" t="str">
        <f t="shared" si="68"/>
        <v>4009/4010</v>
      </c>
      <c r="L185" s="22" t="str">
        <f>VLOOKUP(A185,'Trips&amp;Operators'!$C$1:$E$10000,3,FALSE)</f>
        <v>STAMBAUGH</v>
      </c>
      <c r="M185" s="6">
        <f t="shared" si="69"/>
        <v>1.099537037225673E-2</v>
      </c>
      <c r="N185" s="7">
        <f t="shared" si="81"/>
        <v>15.833333336049691</v>
      </c>
      <c r="O185" s="7"/>
      <c r="P185" s="7"/>
      <c r="Q185" s="23"/>
      <c r="R185" s="23"/>
      <c r="S185" s="35">
        <f t="shared" si="70"/>
        <v>1</v>
      </c>
      <c r="T185" s="50" t="str">
        <f t="shared" si="71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15:07:42-0600',mode:absolute,to:'2016-11-01 17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5" s="52" t="str">
        <f t="shared" si="73"/>
        <v>N</v>
      </c>
      <c r="X185" s="177">
        <f t="shared" si="80"/>
        <v>1</v>
      </c>
      <c r="Y185" s="67">
        <f t="shared" si="74"/>
        <v>5.8608000000000002</v>
      </c>
      <c r="Z185" s="67">
        <f t="shared" si="75"/>
        <v>6.8699999999999997E-2</v>
      </c>
      <c r="AA185" s="67">
        <f t="shared" si="76"/>
        <v>5.7921000000000005</v>
      </c>
      <c r="AB185" s="64" t="e">
        <f>VLOOKUP(A185,Enforcements!$C$7:$K$21,8,0)</f>
        <v>#N/A</v>
      </c>
      <c r="AC185" s="60" t="e">
        <f>VLOOKUP(A185,Enforcements!$C$7:$E$21,3,0)</f>
        <v>#N/A</v>
      </c>
      <c r="AD185" s="61" t="str">
        <f t="shared" si="77"/>
        <v>0828-01</v>
      </c>
      <c r="AE185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85" s="88" t="str">
        <f t="shared" si="67"/>
        <v>"C:\Program Files (x86)\AstroGrep\AstroGrep.exe" /spath="%USERPROFILE%\AppData\Local\Temp\OnboardLogs" /stypes="app*4010*20161101*" /stext=" 22:.+((SYSTEM_STATE.+slice.+state.+changed )|(ment ac)|(system.+state.+changed )|(\[timeout)|(PRM\|1\|D)|(kpr)|(kdp)|(\|lc)|(penalty))" /e /r /s</v>
      </c>
      <c r="AG185" s="1" t="str">
        <f t="shared" si="78"/>
        <v>NW</v>
      </c>
      <c r="AH185" s="92" t="str">
        <f t="shared" si="64"/>
        <v>"%USERPROFILE%\Documents\GitHub\eaglep3\Utilities\RefineRTDCRunTimes.py" --tripid 828-01 --locoid 4010 --swversion DE.1.0.8.0 --startMP 300:58608 --initTime 2016-11-01T16:07:42 --startdatetime 2016-11-01T16:10:20 --delay 1 --endMP 204:687 --enddatetime 2016-11-01T16:26:10 --enforcementcount 0 &gt;&gt;C:\Users\stu\Documents\GitHub\eaglep3-reporting\EC\2016-11-01-refined-times.txt</v>
      </c>
      <c r="AI185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{"issue":{"subject":"","project_id":79,"tracker_id":40,"status_id":1,"priority_id":2,"assigned_to_id":23,"start_date":"2016-11-01","description":"","custom_fields":[{"id":1,"name":"Subdivision","value":"NW"},{"id":4,"name":"Milepost","value":"0.0687"},{"id":17,"name":"Train ID","value":"828-01"},{"id":16,"name":"Locomotive ID","value":"4010"},{"id":130,"name":"Impact","value":""},{"id":150,"name":"Time of Event (Mountain Time)","value":"16:26:10"},{"id":151,"name":"Denver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525</v>
      </c>
      <c r="B186" s="7">
        <v>4003</v>
      </c>
      <c r="C186" s="22" t="s">
        <v>253</v>
      </c>
      <c r="D186" s="22" t="s">
        <v>758</v>
      </c>
      <c r="E186" s="13">
        <v>42675.666284722225</v>
      </c>
      <c r="F186" s="13">
        <v>42675.681469907409</v>
      </c>
      <c r="G186" s="7">
        <v>1</v>
      </c>
      <c r="H186" s="13" t="s">
        <v>360</v>
      </c>
      <c r="I186" s="13">
        <v>42675.690891203703</v>
      </c>
      <c r="J186" s="7">
        <v>0</v>
      </c>
      <c r="K186" s="112" t="str">
        <f t="shared" si="68"/>
        <v>4003/4004</v>
      </c>
      <c r="L186" s="22" t="str">
        <f>VLOOKUP(A186,'Trips&amp;Operators'!$C$1:$E$10000,3,FALSE)</f>
        <v>NICHOLSON</v>
      </c>
      <c r="M186" s="6">
        <f t="shared" si="69"/>
        <v>9.4212962940218858E-3</v>
      </c>
      <c r="N186" s="7">
        <f t="shared" si="81"/>
        <v>13.566666663391516</v>
      </c>
      <c r="O186" s="7"/>
      <c r="P186" s="7"/>
      <c r="Q186" s="23"/>
      <c r="R186" s="23"/>
      <c r="S186" s="35">
        <f t="shared" si="70"/>
        <v>1</v>
      </c>
      <c r="T186" s="50" t="str">
        <f t="shared" si="71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14:59:27-0600',mode:absolute,to:'2016-11-01 17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6" s="52" t="str">
        <f t="shared" si="73"/>
        <v>N</v>
      </c>
      <c r="X186" s="177">
        <f t="shared" si="80"/>
        <v>1</v>
      </c>
      <c r="Y186" s="67">
        <f t="shared" si="74"/>
        <v>9.6699999999999994E-2</v>
      </c>
      <c r="Z186" s="67">
        <f t="shared" si="75"/>
        <v>5.8954000000000004</v>
      </c>
      <c r="AA186" s="67">
        <f t="shared" si="76"/>
        <v>5.7987000000000002</v>
      </c>
      <c r="AB186" s="64" t="e">
        <f>VLOOKUP(A186,Enforcements!$C$7:$K$21,8,0)</f>
        <v>#N/A</v>
      </c>
      <c r="AC186" s="60" t="e">
        <f>VLOOKUP(A186,Enforcements!$C$7:$E$21,3,0)</f>
        <v>#N/A</v>
      </c>
      <c r="AD186" s="61" t="str">
        <f t="shared" si="77"/>
        <v>0829-01</v>
      </c>
      <c r="AE186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86" s="88" t="str">
        <f t="shared" si="67"/>
        <v>"C:\Program Files (x86)\AstroGrep\AstroGrep.exe" /spath="%USERPROFILE%\AppData\Local\Temp\OnboardLogs" /stypes="app*4003*20161101*" /stext=" 22:.+((SYSTEM_STATE.+slice.+state.+changed )|(ment ac)|(system.+state.+changed )|(\[timeout)|(PRM\|1\|D)|(kpr)|(kdp)|(\|lc)|(penalty))" /e /r /s</v>
      </c>
      <c r="AG186" s="1" t="str">
        <f t="shared" si="78"/>
        <v>NW</v>
      </c>
      <c r="AH186" s="92" t="str">
        <f t="shared" si="64"/>
        <v>"%USERPROFILE%\Documents\GitHub\eaglep3\Utilities\RefineRTDCRunTimes.py" --tripid 829-01 --locoid 4003 --swversion DE.1.0.8.0 --startMP 204:967 --initTime 2016-11-01T15:59:27 --startdatetime 2016-11-01T16:21:19 --delay 1 --endMP 300:58954 --enddatetime 2016-11-01T16:34:53 --enforcementcount 0 &gt;&gt;C:\Users\stu\Documents\GitHub\eaglep3-reporting\EC\2016-11-01-refined-times.txt</v>
      </c>
      <c r="AI186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{"issue":{"subject":"","project_id":79,"tracker_id":40,"status_id":1,"priority_id":2,"assigned_to_id":23,"start_date":"2016-11-01","description":"","custom_fields":[{"id":1,"name":"Subdivision","value":"NW"},{"id":4,"name":"Milepost","value":"5.8954"},{"id":17,"name":"Train ID","value":"829-01"},{"id":16,"name":"Locomotive ID","value":"4003"},{"id":130,"name":"Impact","value":""},{"id":150,"name":"Time of Event (Mountain Time)","value":"16:34:53"},{"id":151,"name":"Denver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399</v>
      </c>
      <c r="B187" s="7">
        <v>4004</v>
      </c>
      <c r="C187" s="22" t="s">
        <v>253</v>
      </c>
      <c r="D187" s="22" t="s">
        <v>358</v>
      </c>
      <c r="E187" s="13">
        <v>42675.692314814813</v>
      </c>
      <c r="F187" s="13">
        <v>42675.694050925929</v>
      </c>
      <c r="G187" s="7">
        <v>1</v>
      </c>
      <c r="H187" s="13" t="s">
        <v>362</v>
      </c>
      <c r="I187" s="13">
        <v>42675.705729166664</v>
      </c>
      <c r="J187" s="7">
        <v>0</v>
      </c>
      <c r="K187" s="112" t="str">
        <f t="shared" si="68"/>
        <v>4003/4004</v>
      </c>
      <c r="L187" s="22" t="str">
        <f>VLOOKUP(A187,'Trips&amp;Operators'!$C$1:$E$10000,3,FALSE)</f>
        <v>NICHOLSON</v>
      </c>
      <c r="M187" s="6">
        <f t="shared" si="69"/>
        <v>1.1678240734909195E-2</v>
      </c>
      <c r="N187" s="7">
        <f t="shared" si="81"/>
        <v>16.816666658269241</v>
      </c>
      <c r="O187" s="7"/>
      <c r="P187" s="7"/>
      <c r="Q187" s="23"/>
      <c r="R187" s="23"/>
      <c r="S187" s="35">
        <f t="shared" si="70"/>
        <v>1</v>
      </c>
      <c r="T187" s="50" t="str">
        <f t="shared" si="71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15:36:56-0600',mode:absolute,to:'2016-11-01 17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7" s="52" t="str">
        <f t="shared" si="73"/>
        <v>N</v>
      </c>
      <c r="X187" s="177">
        <f t="shared" si="80"/>
        <v>1</v>
      </c>
      <c r="Y187" s="67">
        <f t="shared" si="74"/>
        <v>5.8640999999999996</v>
      </c>
      <c r="Z187" s="67">
        <f t="shared" si="75"/>
        <v>6.8199999999999997E-2</v>
      </c>
      <c r="AA187" s="67">
        <f t="shared" si="76"/>
        <v>5.7958999999999996</v>
      </c>
      <c r="AB187" s="64" t="e">
        <f>VLOOKUP(A187,Enforcements!$C$7:$K$21,8,0)</f>
        <v>#N/A</v>
      </c>
      <c r="AC187" s="60" t="e">
        <f>VLOOKUP(A187,Enforcements!$C$7:$E$21,3,0)</f>
        <v>#N/A</v>
      </c>
      <c r="AD187" s="61" t="str">
        <f t="shared" si="77"/>
        <v>0830-01</v>
      </c>
      <c r="AE187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87" s="88" t="str">
        <f t="shared" si="67"/>
        <v>"C:\Program Files (x86)\AstroGrep\AstroGrep.exe" /spath="%USERPROFILE%\AppData\Local\Temp\OnboardLogs" /stypes="app*4004*20161101*" /stext=" 22:.+((SYSTEM_STATE.+slice.+state.+changed )|(ment ac)|(system.+state.+changed )|(\[timeout)|(PRM\|1\|D)|(kpr)|(kdp)|(\|lc)|(penalty))" /e /r /s</v>
      </c>
      <c r="AG187" s="1" t="str">
        <f t="shared" si="78"/>
        <v>NW</v>
      </c>
      <c r="AH187" s="92" t="str">
        <f t="shared" si="64"/>
        <v>"%USERPROFILE%\Documents\GitHub\eaglep3\Utilities\RefineRTDCRunTimes.py" --tripid 830-01 --locoid 4004 --swversion DE.1.0.8.0 --startMP 300:58641 --initTime 2016-11-01T16:36:56 --startdatetime 2016-11-01T16:39:26 --delay 1 --endMP 204:682 --enddatetime 2016-11-01T16:56:15 --enforcementcount 0 &gt;&gt;C:\Users\stu\Documents\GitHub\eaglep3-reporting\EC\2016-11-01-refined-times.txt</v>
      </c>
      <c r="AI187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{"issue":{"subject":"","project_id":79,"tracker_id":40,"status_id":1,"priority_id":2,"assigned_to_id":23,"start_date":"2016-11-01","description":"","custom_fields":[{"id":1,"name":"Subdivision","value":"NW"},{"id":4,"name":"Milepost","value":"0.0682"},{"id":17,"name":"Train ID","value":"830-01"},{"id":16,"name":"Locomotive ID","value":"4004"},{"id":130,"name":"Impact","value":""},{"id":150,"name":"Time of Event (Mountain Time)","value":"16:56:15"},{"id":151,"name":"Denver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529</v>
      </c>
      <c r="B188" s="7">
        <v>4009</v>
      </c>
      <c r="C188" s="22" t="s">
        <v>253</v>
      </c>
      <c r="D188" s="22" t="s">
        <v>744</v>
      </c>
      <c r="E188" s="13">
        <v>42675.686030092591</v>
      </c>
      <c r="F188" s="13">
        <v>42675.702743055554</v>
      </c>
      <c r="G188" s="7">
        <v>1</v>
      </c>
      <c r="H188" s="13" t="s">
        <v>279</v>
      </c>
      <c r="I188" s="13">
        <v>42675.712129629632</v>
      </c>
      <c r="J188" s="7">
        <v>0</v>
      </c>
      <c r="K188" s="112" t="str">
        <f t="shared" si="68"/>
        <v>4009/4010</v>
      </c>
      <c r="L188" s="22" t="str">
        <f>VLOOKUP(A188,'Trips&amp;Operators'!$C$1:$E$10000,3,FALSE)</f>
        <v>STAMBAUGH</v>
      </c>
      <c r="M188" s="6">
        <f t="shared" si="69"/>
        <v>9.3865740782348439E-3</v>
      </c>
      <c r="N188" s="7">
        <f t="shared" si="81"/>
        <v>13.516666672658175</v>
      </c>
      <c r="O188" s="7"/>
      <c r="P188" s="7"/>
      <c r="Q188" s="23"/>
      <c r="R188" s="23"/>
      <c r="S188" s="35">
        <f t="shared" si="70"/>
        <v>1</v>
      </c>
      <c r="T188" s="50" t="str">
        <f t="shared" si="71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15:27:53-0600',mode:absolute,to:'2016-11-01 18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88" s="52" t="str">
        <f t="shared" si="73"/>
        <v>N</v>
      </c>
      <c r="X188" s="177">
        <f t="shared" si="80"/>
        <v>1</v>
      </c>
      <c r="Y188" s="67">
        <f t="shared" si="74"/>
        <v>9.8500000000000004E-2</v>
      </c>
      <c r="Z188" s="67">
        <f t="shared" si="75"/>
        <v>5.8925999999999998</v>
      </c>
      <c r="AA188" s="67">
        <f t="shared" si="76"/>
        <v>5.7941000000000003</v>
      </c>
      <c r="AB188" s="64" t="e">
        <f>VLOOKUP(A188,Enforcements!$C$7:$K$21,8,0)</f>
        <v>#N/A</v>
      </c>
      <c r="AC188" s="60" t="e">
        <f>VLOOKUP(A188,Enforcements!$C$7:$E$21,3,0)</f>
        <v>#N/A</v>
      </c>
      <c r="AD188" s="61" t="str">
        <f t="shared" si="77"/>
        <v>0831-01</v>
      </c>
      <c r="AE188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88" s="88" t="str">
        <f t="shared" si="67"/>
        <v>"C:\Program Files (x86)\AstroGrep\AstroGrep.exe" /spath="%USERPROFILE%\AppData\Local\Temp\OnboardLogs" /stypes="app*4009*20161101*" /stext=" 23:.+((SYSTEM_STATE.+slice.+state.+changed )|(ment ac)|(system.+state.+changed )|(\[timeout)|(PRM\|1\|D)|(kpr)|(kdp)|(\|lc)|(penalty))" /e /r /s</v>
      </c>
      <c r="AG188" s="1" t="str">
        <f t="shared" si="78"/>
        <v>NW</v>
      </c>
      <c r="AH188" s="92" t="str">
        <f t="shared" si="64"/>
        <v>"%USERPROFILE%\Documents\GitHub\eaglep3\Utilities\RefineRTDCRunTimes.py" --tripid 831-01 --locoid 4009 --swversion DE.1.0.8.0 --startMP 204:985 --initTime 2016-11-01T16:27:53 --startdatetime 2016-11-01T16:51:57 --delay 1 --endMP 300:58926 --enddatetime 2016-11-01T17:05:28 --enforcementcount 0 &gt;&gt;C:\Users\stu\Documents\GitHub\eaglep3-reporting\EC\2016-11-01-refined-times.txt</v>
      </c>
      <c r="AI188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{"issue":{"subject":"","project_id":79,"tracker_id":40,"status_id":1,"priority_id":2,"assigned_to_id":23,"start_date":"2016-11-01","description":"","custom_fields":[{"id":1,"name":"Subdivision","value":"NW"},{"id":4,"name":"Milepost","value":"5.8926"},{"id":17,"name":"Train ID","value":"831-01"},{"id":16,"name":"Locomotive ID","value":"4009"},{"id":130,"name":"Impact","value":""},{"id":150,"name":"Time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400</v>
      </c>
      <c r="B189" s="7">
        <v>4010</v>
      </c>
      <c r="C189" s="22" t="s">
        <v>253</v>
      </c>
      <c r="D189" s="22" t="s">
        <v>759</v>
      </c>
      <c r="E189" s="13">
        <v>42675.713009259256</v>
      </c>
      <c r="F189" s="13">
        <v>42675.714155092595</v>
      </c>
      <c r="G189" s="7">
        <v>1</v>
      </c>
      <c r="H189" s="13" t="s">
        <v>760</v>
      </c>
      <c r="I189" s="13">
        <v>42675.726273148146</v>
      </c>
      <c r="J189" s="7">
        <v>0</v>
      </c>
      <c r="K189" s="112" t="str">
        <f t="shared" si="68"/>
        <v>4009/4010</v>
      </c>
      <c r="L189" s="22" t="str">
        <f>VLOOKUP(A189,'Trips&amp;Operators'!$C$1:$E$10000,3,FALSE)</f>
        <v>STAMBAUGH</v>
      </c>
      <c r="M189" s="6">
        <f t="shared" si="69"/>
        <v>1.211805555067258E-2</v>
      </c>
      <c r="N189" s="7">
        <f t="shared" si="81"/>
        <v>17.449999992968515</v>
      </c>
      <c r="O189" s="7"/>
      <c r="P189" s="7"/>
      <c r="Q189" s="23"/>
      <c r="R189" s="23"/>
      <c r="S189" s="35">
        <f t="shared" si="70"/>
        <v>1</v>
      </c>
      <c r="T189" s="50" t="str">
        <f t="shared" si="71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16:06:44-0600',mode:absolute,to:'2016-11-01 18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9" s="52" t="str">
        <f t="shared" si="73"/>
        <v>N</v>
      </c>
      <c r="X189" s="177">
        <f t="shared" ref="X189:X220" si="82">VALUE(LEFT(AD189,4))-VALUE(LEFT(AD188,4))</f>
        <v>1</v>
      </c>
      <c r="Y189" s="67">
        <f t="shared" si="74"/>
        <v>5.8611000000000004</v>
      </c>
      <c r="Z189" s="67">
        <f t="shared" si="75"/>
        <v>7.8700000000000006E-2</v>
      </c>
      <c r="AA189" s="67">
        <f t="shared" si="76"/>
        <v>5.7824</v>
      </c>
      <c r="AB189" s="64" t="e">
        <f>VLOOKUP(A189,Enforcements!$C$7:$K$21,8,0)</f>
        <v>#N/A</v>
      </c>
      <c r="AC189" s="60" t="e">
        <f>VLOOKUP(A189,Enforcements!$C$7:$E$21,3,0)</f>
        <v>#N/A</v>
      </c>
      <c r="AD189" s="61" t="str">
        <f t="shared" si="77"/>
        <v>0832-01</v>
      </c>
      <c r="AE189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89" s="88" t="str">
        <f t="shared" si="67"/>
        <v>"C:\Program Files (x86)\AstroGrep\AstroGrep.exe" /spath="%USERPROFILE%\AppData\Local\Temp\OnboardLogs" /stypes="app*4010*20161101*" /stext=" 23:.+((SYSTEM_STATE.+slice.+state.+changed )|(ment ac)|(system.+state.+changed )|(\[timeout)|(PRM\|1\|D)|(kpr)|(kdp)|(\|lc)|(penalty))" /e /r /s</v>
      </c>
      <c r="AG189" s="1" t="str">
        <f t="shared" si="78"/>
        <v>NW</v>
      </c>
      <c r="AH189" s="92" t="str">
        <f t="shared" si="64"/>
        <v>"%USERPROFILE%\Documents\GitHub\eaglep3\Utilities\RefineRTDCRunTimes.py" --tripid 832-01 --locoid 4010 --swversion DE.1.0.8.0 --startMP 300:58611 --initTime 2016-11-01T17:06:44 --startdatetime 2016-11-01T17:08:23 --delay 1 --endMP 204:787 --enddatetime 2016-11-01T17:25:50 --enforcementcount 0 &gt;&gt;C:\Users\stu\Documents\GitHub\eaglep3-reporting\EC\2016-11-01-refined-times.txt</v>
      </c>
      <c r="AI189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{"issue":{"subject":"","project_id":79,"tracker_id":40,"status_id":1,"priority_id":2,"assigned_to_id":23,"start_date":"2016-11-01","description":"","custom_fields":[{"id":1,"name":"Subdivision","value":"NW"},{"id":4,"name":"Milepost","value":"0.0787"},{"id":17,"name":"Train ID","value":"832-01"},{"id":16,"name":"Locomotive ID","value":"4010"},{"id":130,"name":"Impact","value":""},{"id":150,"name":"Time of Event (Mountain Time)","value":"17:25:50"},{"id":151,"name":"Denver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536</v>
      </c>
      <c r="B190" s="7">
        <v>4003</v>
      </c>
      <c r="C190" s="22" t="s">
        <v>253</v>
      </c>
      <c r="D190" s="22" t="s">
        <v>371</v>
      </c>
      <c r="E190" s="13">
        <v>42675.707766203705</v>
      </c>
      <c r="F190" s="13">
        <v>42675.72314814815</v>
      </c>
      <c r="G190" s="7">
        <v>1</v>
      </c>
      <c r="H190" s="13" t="s">
        <v>310</v>
      </c>
      <c r="I190" s="13">
        <v>42675.733032407406</v>
      </c>
      <c r="J190" s="7">
        <v>0</v>
      </c>
      <c r="K190" s="112" t="str">
        <f t="shared" si="68"/>
        <v>4003/4004</v>
      </c>
      <c r="L190" s="22" t="str">
        <f>VLOOKUP(A190,'Trips&amp;Operators'!$C$1:$E$10000,3,FALSE)</f>
        <v>NICHOLSON</v>
      </c>
      <c r="M190" s="6">
        <f t="shared" si="69"/>
        <v>9.8842592560686171E-3</v>
      </c>
      <c r="N190" s="7">
        <f t="shared" ref="N190:N221" si="83">24*60*SUM($M190:$M190)</f>
        <v>14.233333328738809</v>
      </c>
      <c r="O190" s="7"/>
      <c r="P190" s="7"/>
      <c r="Q190" s="23"/>
      <c r="R190" s="23"/>
      <c r="S190" s="35">
        <f t="shared" si="70"/>
        <v>1</v>
      </c>
      <c r="T190" s="50" t="str">
        <f t="shared" si="71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15:59:11-0600',mode:absolute,to:'2016-11-01 18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2" t="str">
        <f t="shared" si="73"/>
        <v>N</v>
      </c>
      <c r="X190" s="177">
        <f t="shared" si="82"/>
        <v>1</v>
      </c>
      <c r="Y190" s="67">
        <f t="shared" si="74"/>
        <v>9.74E-2</v>
      </c>
      <c r="Z190" s="67">
        <f t="shared" si="75"/>
        <v>5.8940999999999999</v>
      </c>
      <c r="AA190" s="67">
        <f t="shared" si="76"/>
        <v>5.7966999999999995</v>
      </c>
      <c r="AB190" s="64" t="e">
        <f>VLOOKUP(A190,Enforcements!$C$7:$K$21,8,0)</f>
        <v>#N/A</v>
      </c>
      <c r="AC190" s="60" t="e">
        <f>VLOOKUP(A190,Enforcements!$C$7:$E$21,3,0)</f>
        <v>#N/A</v>
      </c>
      <c r="AD190" s="61" t="str">
        <f t="shared" si="77"/>
        <v>0833-01</v>
      </c>
      <c r="AE190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90" s="88" t="str">
        <f t="shared" si="67"/>
        <v>"C:\Program Files (x86)\AstroGrep\AstroGrep.exe" /spath="%USERPROFILE%\AppData\Local\Temp\OnboardLogs" /stypes="app*4003*20161101*" /stext=" 23:.+((SYSTEM_STATE.+slice.+state.+changed )|(ment ac)|(system.+state.+changed )|(\[timeout)|(PRM\|1\|D)|(kpr)|(kdp)|(\|lc)|(penalty))" /e /r /s</v>
      </c>
      <c r="AG190" s="1" t="str">
        <f t="shared" si="78"/>
        <v>NW</v>
      </c>
      <c r="AH190" s="92" t="str">
        <f t="shared" si="64"/>
        <v>"%USERPROFILE%\Documents\GitHub\eaglep3\Utilities\RefineRTDCRunTimes.py" --tripid 833-01 --locoid 4003 --swversion DE.1.0.8.0 --startMP 204:974 --initTime 2016-11-01T16:59:11 --startdatetime 2016-11-01T17:21:20 --delay 1 --endMP 300:58941 --enddatetime 2016-11-01T17:35:34 --enforcementcount 0 &gt;&gt;C:\Users\stu\Documents\GitHub\eaglep3-reporting\EC\2016-11-01-refined-times.txt</v>
      </c>
      <c r="AI190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{"issue":{"subject":"","project_id":79,"tracker_id":40,"status_id":1,"priority_id":2,"assigned_to_id":23,"start_date":"2016-11-01","description":"","custom_fields":[{"id":1,"name":"Subdivision","value":"NW"},{"id":4,"name":"Milepost","value":"5.8941"},{"id":17,"name":"Train ID","value":"833-01"},{"id":16,"name":"Locomotive ID","value":"4003"},{"id":130,"name":"Impact","value":""},{"id":150,"name":"Time of Event (Mountain Time)","value":"17:35:34"},{"id":151,"name":"Denver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542</v>
      </c>
      <c r="B191" s="7">
        <v>4004</v>
      </c>
      <c r="C191" s="22" t="s">
        <v>253</v>
      </c>
      <c r="D191" s="22" t="s">
        <v>364</v>
      </c>
      <c r="E191" s="13">
        <v>42675.734432870369</v>
      </c>
      <c r="F191" s="13">
        <v>42675.736030092594</v>
      </c>
      <c r="G191" s="7">
        <v>1</v>
      </c>
      <c r="H191" s="13" t="s">
        <v>362</v>
      </c>
      <c r="I191" s="13">
        <v>42675.74763888889</v>
      </c>
      <c r="J191" s="7">
        <v>0</v>
      </c>
      <c r="K191" s="112" t="str">
        <f t="shared" si="68"/>
        <v>4003/4004</v>
      </c>
      <c r="L191" s="22" t="str">
        <f>VLOOKUP(A191,'Trips&amp;Operators'!$C$1:$E$10000,3,FALSE)</f>
        <v>NICHOLSON</v>
      </c>
      <c r="M191" s="6">
        <f t="shared" si="69"/>
        <v>1.1608796296059154E-2</v>
      </c>
      <c r="N191" s="7">
        <f t="shared" si="83"/>
        <v>16.716666666325182</v>
      </c>
      <c r="O191" s="7"/>
      <c r="P191" s="7"/>
      <c r="Q191" s="23"/>
      <c r="R191" s="23"/>
      <c r="S191" s="35">
        <f t="shared" si="70"/>
        <v>1</v>
      </c>
      <c r="T191" s="50" t="str">
        <f t="shared" si="71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16:37:35-0600',mode:absolute,to:'2016-11-01 18:56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2" t="str">
        <f t="shared" si="73"/>
        <v>N</v>
      </c>
      <c r="X191" s="177">
        <f t="shared" si="82"/>
        <v>1</v>
      </c>
      <c r="Y191" s="67">
        <f t="shared" si="74"/>
        <v>5.8624000000000001</v>
      </c>
      <c r="Z191" s="67">
        <f t="shared" si="75"/>
        <v>6.8199999999999997E-2</v>
      </c>
      <c r="AA191" s="67">
        <f t="shared" si="76"/>
        <v>5.7942</v>
      </c>
      <c r="AB191" s="64" t="e">
        <f>VLOOKUP(A191,Enforcements!$C$7:$K$21,8,0)</f>
        <v>#N/A</v>
      </c>
      <c r="AC191" s="60" t="e">
        <f>VLOOKUP(A191,Enforcements!$C$7:$E$21,3,0)</f>
        <v>#N/A</v>
      </c>
      <c r="AD191" s="61" t="str">
        <f t="shared" si="77"/>
        <v>0834-01</v>
      </c>
      <c r="AE191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91" s="88" t="str">
        <f t="shared" si="67"/>
        <v>"C:\Program Files (x86)\AstroGrep\AstroGrep.exe" /spath="%USERPROFILE%\AppData\Local\Temp\OnboardLogs" /stypes="app*4004*20161101*" /stext=" 23:.+((SYSTEM_STATE.+slice.+state.+changed )|(ment ac)|(system.+state.+changed )|(\[timeout)|(PRM\|1\|D)|(kpr)|(kdp)|(\|lc)|(penalty))" /e /r /s</v>
      </c>
      <c r="AG191" s="1" t="str">
        <f t="shared" si="78"/>
        <v>NW</v>
      </c>
      <c r="AH191" s="92" t="str">
        <f t="shared" si="64"/>
        <v>"%USERPROFILE%\Documents\GitHub\eaglep3\Utilities\RefineRTDCRunTimes.py" --tripid 834-01 --locoid 4004 --swversion DE.1.0.8.0 --startMP 300:58624 --initTime 2016-11-01T17:37:35 --startdatetime 2016-11-01T17:39:53 --delay 1 --endMP 204:682 --enddatetime 2016-11-01T17:56:36 --enforcementcount 0 &gt;&gt;C:\Users\stu\Documents\GitHub\eaglep3-reporting\EC\2016-11-01-refined-times.txt</v>
      </c>
      <c r="AI191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{"issue":{"subject":"","project_id":79,"tracker_id":40,"status_id":1,"priority_id":2,"assigned_to_id":23,"start_date":"2016-11-01","description":"","custom_fields":[{"id":1,"name":"Subdivision","value":"NW"},{"id":4,"name":"Milepost","value":"0.0682"},{"id":17,"name":"Train ID","value":"834-01"},{"id":16,"name":"Locomotive ID","value":"4004"},{"id":130,"name":"Impact","value":""},{"id":150,"name":"Time of Event (Mountain Time)","value":"17:56:36"},{"id":151,"name":"Denver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540</v>
      </c>
      <c r="B192" s="7">
        <v>4009</v>
      </c>
      <c r="C192" s="22" t="s">
        <v>253</v>
      </c>
      <c r="D192" s="22" t="s">
        <v>761</v>
      </c>
      <c r="E192" s="13">
        <v>42675.731909722221</v>
      </c>
      <c r="F192" s="13">
        <v>42675.744560185187</v>
      </c>
      <c r="G192" s="7">
        <v>1</v>
      </c>
      <c r="H192" s="13" t="s">
        <v>762</v>
      </c>
      <c r="I192" s="13">
        <v>42675.754201388889</v>
      </c>
      <c r="J192" s="7">
        <v>0</v>
      </c>
      <c r="K192" s="112" t="str">
        <f t="shared" si="68"/>
        <v>4009/4010</v>
      </c>
      <c r="L192" s="22" t="str">
        <f>VLOOKUP(A192,'Trips&amp;Operators'!$C$1:$E$10000,3,FALSE)</f>
        <v>STAMBAUGH</v>
      </c>
      <c r="M192" s="6">
        <f t="shared" si="69"/>
        <v>9.6412037019035779E-3</v>
      </c>
      <c r="N192" s="7">
        <f t="shared" si="83"/>
        <v>13.883333330741152</v>
      </c>
      <c r="O192" s="7"/>
      <c r="P192" s="7"/>
      <c r="Q192" s="23"/>
      <c r="R192" s="23"/>
      <c r="S192" s="35">
        <f t="shared" si="70"/>
        <v>1</v>
      </c>
      <c r="T192" s="50" t="str">
        <f t="shared" si="71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16:33:57-0600',mode:absolute,to:'2016-11-01 19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2" s="52" t="str">
        <f t="shared" si="73"/>
        <v>N</v>
      </c>
      <c r="X192" s="177">
        <f t="shared" si="82"/>
        <v>1</v>
      </c>
      <c r="Y192" s="67">
        <f t="shared" si="74"/>
        <v>0.1062</v>
      </c>
      <c r="Z192" s="67">
        <f t="shared" si="75"/>
        <v>5.8916000000000004</v>
      </c>
      <c r="AA192" s="67">
        <f t="shared" si="76"/>
        <v>5.7854000000000001</v>
      </c>
      <c r="AB192" s="64" t="e">
        <f>VLOOKUP(A192,Enforcements!$C$7:$K$21,8,0)</f>
        <v>#N/A</v>
      </c>
      <c r="AC192" s="60" t="e">
        <f>VLOOKUP(A192,Enforcements!$C$7:$E$21,3,0)</f>
        <v>#N/A</v>
      </c>
      <c r="AD192" s="61" t="str">
        <f t="shared" si="77"/>
        <v>0835-01</v>
      </c>
      <c r="AE192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92" s="88" t="str">
        <f t="shared" si="67"/>
        <v>"C:\Program Files (x86)\AstroGrep\AstroGrep.exe" /spath="%USERPROFILE%\AppData\Local\Temp\OnboardLogs" /stypes="app*4009*20161102*" /stext=" 00:.+((SYSTEM_STATE.+slice.+state.+changed )|(ment ac)|(system.+state.+changed )|(\[timeout)|(PRM\|1\|D)|(kpr)|(kdp)|(\|lc)|(penalty))" /e /r /s</v>
      </c>
      <c r="AG192" s="1" t="str">
        <f t="shared" si="78"/>
        <v>NW</v>
      </c>
      <c r="AH192" s="92" t="str">
        <f t="shared" si="64"/>
        <v>"%USERPROFILE%\Documents\GitHub\eaglep3\Utilities\RefineRTDCRunTimes.py" --tripid 835-01 --locoid 4009 --swversion DE.1.0.8.0 --startMP 204:1062 --initTime 2016-11-01T17:33:57 --startdatetime 2016-11-01T17:52:10 --delay 1 --endMP 300:58916 --enddatetime 2016-11-01T18:06:03 --enforcementcount 0 &gt;&gt;C:\Users\stu\Documents\GitHub\eaglep3-reporting\EC\2016-11-01-refined-times.txt</v>
      </c>
      <c r="AI192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{"issue":{"subject":"","project_id":79,"tracker_id":40,"status_id":1,"priority_id":2,"assigned_to_id":23,"start_date":"2016-11-01","description":"","custom_fields":[{"id":1,"name":"Subdivision","value":"NW"},{"id":4,"name":"Milepost","value":"5.8916"},{"id":17,"name":"Train ID","value":"835-01"},{"id":16,"name":"Locomotive ID","value":"4009"},{"id":130,"name":"Impact","value":""},{"id":150,"name":"Time of Event (Mountain Time)","value":"18:06:03"},{"id":151,"name":"Denver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402</v>
      </c>
      <c r="B193" s="7">
        <v>4010</v>
      </c>
      <c r="C193" s="22" t="s">
        <v>253</v>
      </c>
      <c r="D193" s="22" t="s">
        <v>759</v>
      </c>
      <c r="E193" s="13">
        <v>42675.755370370367</v>
      </c>
      <c r="F193" s="13">
        <v>42675.75675925926</v>
      </c>
      <c r="G193" s="7">
        <v>1</v>
      </c>
      <c r="H193" s="13" t="s">
        <v>763</v>
      </c>
      <c r="I193" s="13">
        <v>42675.768923611111</v>
      </c>
      <c r="J193" s="7">
        <v>0</v>
      </c>
      <c r="K193" s="112" t="str">
        <f t="shared" si="68"/>
        <v>4009/4010</v>
      </c>
      <c r="L193" s="22" t="str">
        <f>VLOOKUP(A193,'Trips&amp;Operators'!$C$1:$E$10000,3,FALSE)</f>
        <v>STAMBAUGH</v>
      </c>
      <c r="M193" s="6">
        <f t="shared" si="69"/>
        <v>1.2164351850515231E-2</v>
      </c>
      <c r="N193" s="7">
        <f t="shared" si="83"/>
        <v>17.516666664741933</v>
      </c>
      <c r="O193" s="7"/>
      <c r="P193" s="7"/>
      <c r="Q193" s="23"/>
      <c r="R193" s="23"/>
      <c r="S193" s="35">
        <f t="shared" si="70"/>
        <v>1</v>
      </c>
      <c r="T193" s="50" t="str">
        <f t="shared" si="71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17:07:44-0600',mode:absolute,to:'2016-11-01 19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3" s="52" t="str">
        <f t="shared" si="73"/>
        <v>N</v>
      </c>
      <c r="X193" s="177">
        <f t="shared" si="82"/>
        <v>1</v>
      </c>
      <c r="Y193" s="67">
        <f t="shared" si="74"/>
        <v>5.8611000000000004</v>
      </c>
      <c r="Z193" s="67">
        <f t="shared" si="75"/>
        <v>7.0800000000000002E-2</v>
      </c>
      <c r="AA193" s="67">
        <f t="shared" si="76"/>
        <v>5.7903000000000002</v>
      </c>
      <c r="AB193" s="64" t="e">
        <f>VLOOKUP(A193,Enforcements!$C$7:$K$21,8,0)</f>
        <v>#N/A</v>
      </c>
      <c r="AC193" s="60" t="e">
        <f>VLOOKUP(A193,Enforcements!$C$7:$E$21,3,0)</f>
        <v>#N/A</v>
      </c>
      <c r="AD193" s="61" t="str">
        <f t="shared" si="77"/>
        <v>0836-01</v>
      </c>
      <c r="AE193" s="91" t="str">
        <f t="shared" si="6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193" s="88" t="str">
        <f t="shared" si="67"/>
        <v>"C:\Program Files (x86)\AstroGrep\AstroGrep.exe" /spath="%USERPROFILE%\AppData\Local\Temp\OnboardLogs" /stypes="app*4010*20161102*" /stext=" 00:.+((SYSTEM_STATE.+slice.+state.+changed )|(ment ac)|(system.+state.+changed )|(\[timeout)|(PRM\|1\|D)|(kpr)|(kdp)|(\|lc)|(penalty))" /e /r /s</v>
      </c>
      <c r="AG193" s="1" t="str">
        <f t="shared" si="78"/>
        <v>NW</v>
      </c>
      <c r="AH193" s="92" t="str">
        <f t="shared" si="64"/>
        <v>"%USERPROFILE%\Documents\GitHub\eaglep3\Utilities\RefineRTDCRunTimes.py" --tripid 836-01 --locoid 4010 --swversion DE.1.0.8.0 --startMP 300:58611 --initTime 2016-11-01T18:07:44 --startdatetime 2016-11-01T18:09:44 --delay 1 --endMP 204:708 --enddatetime 2016-11-01T18:27:15 --enforcementcount 0 &gt;&gt;C:\Users\stu\Documents\GitHub\eaglep3-reporting\EC\2016-11-01-refined-times.txt</v>
      </c>
      <c r="AI193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{"issue":{"subject":"","project_id":79,"tracker_id":40,"status_id":1,"priority_id":2,"assigned_to_id":23,"start_date":"2016-11-01","description":"","custom_fields":[{"id":1,"name":"Subdivision","value":"NW"},{"id":4,"name":"Milepost","value":"0.0708"},{"id":17,"name":"Train ID","value":"836-01"},{"id":16,"name":"Locomotive ID","value":"4010"},{"id":130,"name":"Impact","value":""},{"id":150,"name":"Time of Event (Mountain Time)","value":"18:27:15"},{"id":151,"name":"Denver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548</v>
      </c>
      <c r="B194" s="7">
        <v>4003</v>
      </c>
      <c r="C194" s="22" t="s">
        <v>253</v>
      </c>
      <c r="D194" s="22" t="s">
        <v>758</v>
      </c>
      <c r="E194" s="13">
        <v>42675.749791666669</v>
      </c>
      <c r="F194" s="13">
        <v>42675.764849537038</v>
      </c>
      <c r="G194" s="7">
        <v>1</v>
      </c>
      <c r="H194" s="13" t="s">
        <v>310</v>
      </c>
      <c r="I194" s="13">
        <v>42675.774791666663</v>
      </c>
      <c r="J194" s="7">
        <v>0</v>
      </c>
      <c r="K194" s="112" t="str">
        <f t="shared" si="68"/>
        <v>4003/4004</v>
      </c>
      <c r="L194" s="22" t="str">
        <f>VLOOKUP(A194,'Trips&amp;Operators'!$C$1:$E$10000,3,FALSE)</f>
        <v>NICHOLSON</v>
      </c>
      <c r="M194" s="6">
        <f t="shared" si="69"/>
        <v>9.9421296254149638E-3</v>
      </c>
      <c r="N194" s="7">
        <f t="shared" si="83"/>
        <v>14.316666660597548</v>
      </c>
      <c r="O194" s="7"/>
      <c r="P194" s="7"/>
      <c r="Q194" s="23"/>
      <c r="R194" s="23"/>
      <c r="S194" s="35">
        <f t="shared" si="70"/>
        <v>1</v>
      </c>
      <c r="T194" s="50" t="str">
        <f t="shared" si="71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16:59:42-0600',mode:absolute,to:'2016-11-01 19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4" s="52" t="str">
        <f t="shared" si="73"/>
        <v>N</v>
      </c>
      <c r="X194" s="177">
        <f t="shared" si="82"/>
        <v>1</v>
      </c>
      <c r="Y194" s="67">
        <f t="shared" si="74"/>
        <v>9.6699999999999994E-2</v>
      </c>
      <c r="Z194" s="67">
        <f t="shared" si="75"/>
        <v>5.8940999999999999</v>
      </c>
      <c r="AA194" s="67">
        <f t="shared" si="76"/>
        <v>5.7973999999999997</v>
      </c>
      <c r="AB194" s="64" t="e">
        <f>VLOOKUP(A194,Enforcements!$C$7:$K$21,8,0)</f>
        <v>#N/A</v>
      </c>
      <c r="AC194" s="60" t="e">
        <f>VLOOKUP(A194,Enforcements!$C$7:$E$21,3,0)</f>
        <v>#N/A</v>
      </c>
      <c r="AD194" s="61" t="str">
        <f t="shared" si="77"/>
        <v>0837-01</v>
      </c>
      <c r="AE194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94" s="88" t="str">
        <f t="shared" si="67"/>
        <v>"C:\Program Files (x86)\AstroGrep\AstroGrep.exe" /spath="%USERPROFILE%\AppData\Local\Temp\OnboardLogs" /stypes="app*4003*20161102*" /stext=" 00:.+((SYSTEM_STATE.+slice.+state.+changed )|(ment ac)|(system.+state.+changed )|(\[timeout)|(PRM\|1\|D)|(kpr)|(kdp)|(\|lc)|(penalty))" /e /r /s</v>
      </c>
      <c r="AG194" s="1" t="str">
        <f t="shared" si="78"/>
        <v>NW</v>
      </c>
      <c r="AH194" s="92" t="str">
        <f t="shared" si="64"/>
        <v>"%USERPROFILE%\Documents\GitHub\eaglep3\Utilities\RefineRTDCRunTimes.py" --tripid 837-01 --locoid 4003 --swversion DE.1.0.8.0 --startMP 204:967 --initTime 2016-11-01T17:59:42 --startdatetime 2016-11-01T18:21:23 --delay 1 --endMP 300:58941 --enddatetime 2016-11-01T18:35:42 --enforcementcount 0 &gt;&gt;C:\Users\stu\Documents\GitHub\eaglep3-reporting\EC\2016-11-01-refined-times.txt</v>
      </c>
      <c r="AI194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{"issue":{"subject":"","project_id":79,"tracker_id":40,"status_id":1,"priority_id":2,"assigned_to_id":23,"start_date":"2016-11-01","description":"","custom_fields":[{"id":1,"name":"Subdivision","value":"NW"},{"id":4,"name":"Milepost","value":"5.8941"},{"id":17,"name":"Train ID","value":"837-01"},{"id":16,"name":"Locomotive ID","value":"4003"},{"id":130,"name":"Impact","value":""},{"id":150,"name":"Time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555</v>
      </c>
      <c r="B195" s="7">
        <v>4004</v>
      </c>
      <c r="C195" s="22" t="s">
        <v>253</v>
      </c>
      <c r="D195" s="22" t="s">
        <v>309</v>
      </c>
      <c r="E195" s="13">
        <v>42675.77611111111</v>
      </c>
      <c r="F195" s="13">
        <v>42675.77783564815</v>
      </c>
      <c r="G195" s="7">
        <v>1</v>
      </c>
      <c r="H195" s="13" t="s">
        <v>757</v>
      </c>
      <c r="I195" s="13">
        <v>42675.790821759256</v>
      </c>
      <c r="J195" s="7">
        <v>0</v>
      </c>
      <c r="K195" s="112" t="str">
        <f t="shared" si="68"/>
        <v>4003/4004</v>
      </c>
      <c r="L195" s="22" t="str">
        <f>VLOOKUP(A195,'Trips&amp;Operators'!$C$1:$E$10000,3,FALSE)</f>
        <v>NICHOLSON</v>
      </c>
      <c r="M195" s="6">
        <f t="shared" si="69"/>
        <v>1.2986111105419695E-2</v>
      </c>
      <c r="N195" s="7">
        <f t="shared" si="83"/>
        <v>18.699999991804361</v>
      </c>
      <c r="O195" s="7"/>
      <c r="P195" s="7"/>
      <c r="Q195" s="23"/>
      <c r="R195" s="23"/>
      <c r="S195" s="35">
        <f t="shared" si="70"/>
        <v>1</v>
      </c>
      <c r="T195" s="50" t="str">
        <f t="shared" si="71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17:37:36-0600',mode:absolute,to:'2016-11-01 19:58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5" s="52" t="str">
        <f t="shared" si="73"/>
        <v>N</v>
      </c>
      <c r="X195" s="177">
        <f t="shared" si="82"/>
        <v>1</v>
      </c>
      <c r="Y195" s="67">
        <f t="shared" si="74"/>
        <v>5.8625999999999996</v>
      </c>
      <c r="Z195" s="67">
        <f t="shared" si="75"/>
        <v>6.8699999999999997E-2</v>
      </c>
      <c r="AA195" s="67">
        <f t="shared" si="76"/>
        <v>5.7938999999999998</v>
      </c>
      <c r="AB195" s="64" t="e">
        <f>VLOOKUP(A195,Enforcements!$C$7:$K$21,8,0)</f>
        <v>#N/A</v>
      </c>
      <c r="AC195" s="60" t="e">
        <f>VLOOKUP(A195,Enforcements!$C$7:$E$21,3,0)</f>
        <v>#N/A</v>
      </c>
      <c r="AD195" s="61" t="str">
        <f t="shared" si="77"/>
        <v>0838-01</v>
      </c>
      <c r="AE195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95" s="88" t="str">
        <f t="shared" si="67"/>
        <v>"C:\Program Files (x86)\AstroGrep\AstroGrep.exe" /spath="%USERPROFILE%\AppData\Local\Temp\OnboardLogs" /stypes="app*4004*20161102*" /stext=" 00:.+((SYSTEM_STATE.+slice.+state.+changed )|(ment ac)|(system.+state.+changed )|(\[timeout)|(PRM\|1\|D)|(kpr)|(kdp)|(\|lc)|(penalty))" /e /r /s</v>
      </c>
      <c r="AG195" s="1" t="str">
        <f t="shared" si="78"/>
        <v>NW</v>
      </c>
      <c r="AH195" s="92" t="str">
        <f t="shared" si="64"/>
        <v>"%USERPROFILE%\Documents\GitHub\eaglep3\Utilities\RefineRTDCRunTimes.py" --tripid 838-01 --locoid 4004 --swversion DE.1.0.8.0 --startMP 300:58626 --initTime 2016-11-01T18:37:36 --startdatetime 2016-11-01T18:40:05 --delay 1 --endMP 204:687 --enddatetime 2016-11-01T18:58:47 --enforcementcount 0 &gt;&gt;C:\Users\stu\Documents\GitHub\eaglep3-reporting\EC\2016-11-01-refined-times.txt</v>
      </c>
      <c r="AI195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{"issue":{"subject":"","project_id":79,"tracker_id":40,"status_id":1,"priority_id":2,"assigned_to_id":23,"start_date":"2016-11-01","description":"","custom_fields":[{"id":1,"name":"Subdivision","value":"NW"},{"id":4,"name":"Milepost","value":"0.0687"},{"id":17,"name":"Train ID","value":"838-01"},{"id":16,"name":"Locomotive ID","value":"4004"},{"id":130,"name":"Impact","value":""},{"id":150,"name":"Time of Event (Mountain Time)","value":"18:58:47"},{"id":151,"name":"Denver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7" t="s">
        <v>553</v>
      </c>
      <c r="B196" s="7">
        <v>4009</v>
      </c>
      <c r="C196" s="22" t="s">
        <v>253</v>
      </c>
      <c r="D196" s="22" t="s">
        <v>727</v>
      </c>
      <c r="E196" s="13">
        <v>42675.770578703705</v>
      </c>
      <c r="F196" s="13">
        <v>42675.785902777781</v>
      </c>
      <c r="G196" s="7">
        <v>0</v>
      </c>
      <c r="H196" s="13" t="s">
        <v>295</v>
      </c>
      <c r="I196" s="13">
        <v>42675.795636574076</v>
      </c>
      <c r="J196" s="7">
        <v>0</v>
      </c>
      <c r="K196" s="112" t="str">
        <f t="shared" si="68"/>
        <v>4009/4010</v>
      </c>
      <c r="L196" s="22" t="str">
        <f>VLOOKUP(A196,'Trips&amp;Operators'!$C$1:$E$10000,3,FALSE)</f>
        <v>STAMBAUGH</v>
      </c>
      <c r="M196" s="6">
        <f t="shared" si="69"/>
        <v>9.7337962943129241E-3</v>
      </c>
      <c r="N196" s="7">
        <f t="shared" si="83"/>
        <v>14.016666663810611</v>
      </c>
      <c r="O196" s="7"/>
      <c r="P196" s="7"/>
      <c r="Q196" s="23"/>
      <c r="R196" s="23"/>
      <c r="S196" s="35">
        <f t="shared" si="70"/>
        <v>1</v>
      </c>
      <c r="T196" s="50" t="str">
        <f t="shared" si="71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17:29:38-0600',mode:absolute,to:'2016-11-01 20:05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6" s="52" t="str">
        <f t="shared" si="73"/>
        <v>N</v>
      </c>
      <c r="X196" s="177">
        <f t="shared" si="82"/>
        <v>1</v>
      </c>
      <c r="Y196" s="67">
        <f t="shared" si="74"/>
        <v>0.1</v>
      </c>
      <c r="Z196" s="67">
        <f t="shared" si="75"/>
        <v>5.8929</v>
      </c>
      <c r="AA196" s="67">
        <f t="shared" si="76"/>
        <v>5.7929000000000004</v>
      </c>
      <c r="AB196" s="64" t="e">
        <f>VLOOKUP(A196,Enforcements!$C$7:$K$21,8,0)</f>
        <v>#N/A</v>
      </c>
      <c r="AC196" s="60" t="e">
        <f>VLOOKUP(A196,Enforcements!$C$7:$E$21,3,0)</f>
        <v>#N/A</v>
      </c>
      <c r="AD196" s="61" t="str">
        <f t="shared" si="77"/>
        <v>0839-01</v>
      </c>
      <c r="AE196" s="91" t="str">
        <f t="shared" si="6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196" s="88" t="str">
        <f t="shared" si="67"/>
        <v>"C:\Program Files (x86)\AstroGrep\AstroGrep.exe" /spath="%USERPROFILE%\AppData\Local\Temp\OnboardLogs" /stypes="app*4009*20161102*" /stext=" 01:.+((SYSTEM_STATE.+slice.+state.+changed )|(ment ac)|(system.+state.+changed )|(\[timeout)|(PRM\|1\|D)|(kpr)|(kdp)|(\|lc)|(penalty))" /e /r /s</v>
      </c>
      <c r="AG196" s="1" t="str">
        <f t="shared" si="78"/>
        <v>NW</v>
      </c>
      <c r="AH196" s="92" t="str">
        <f t="shared" si="64"/>
        <v>"%USERPROFILE%\Documents\GitHub\eaglep3\Utilities\RefineRTDCRunTimes.py" --tripid 839-01 --locoid 4009 --swversion DE.1.0.8.0 --startMP 204:1000 --initTime 2016-11-01T18:29:38 --startdatetime 2016-11-01T18:51:42 --delay 0 --endMP 300:58929 --enddatetime 2016-11-01T19:05:43 --enforcementcount 0 &gt;&gt;C:\Users\stu\Documents\GitHub\eaglep3-reporting\EC\2016-11-01-refined-times.txt</v>
      </c>
      <c r="AI196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{"issue":{"subject":"","project_id":79,"tracker_id":40,"status_id":1,"priority_id":2,"assigned_to_id":23,"start_date":"2016-11-01","description":"","custom_fields":[{"id":1,"name":"Subdivision","value":"NW"},{"id":4,"name":"Milepost","value":"5.8929"},{"id":17,"name":"Train ID","value":"839-01"},{"id":16,"name":"Locomotive ID","value":"4009"},{"id":130,"name":"Impact","value":""},{"id":150,"name":"Time of Event (Mountain Time)","value":"19:05:43"},{"id":151,"name":"Denver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91" s="21" customFormat="1" x14ac:dyDescent="0.25">
      <c r="A197" s="37" t="s">
        <v>566</v>
      </c>
      <c r="B197" s="7">
        <v>4004</v>
      </c>
      <c r="C197" s="22" t="s">
        <v>253</v>
      </c>
      <c r="D197" s="22" t="s">
        <v>356</v>
      </c>
      <c r="E197" s="13">
        <v>42675.817349537036</v>
      </c>
      <c r="F197" s="13">
        <v>42675.819201388891</v>
      </c>
      <c r="G197" s="7">
        <v>1</v>
      </c>
      <c r="H197" s="13" t="s">
        <v>370</v>
      </c>
      <c r="I197" s="13">
        <v>42675.830763888887</v>
      </c>
      <c r="J197" s="7">
        <v>0</v>
      </c>
      <c r="K197" s="112" t="str">
        <f t="shared" si="68"/>
        <v>4003/4004</v>
      </c>
      <c r="L197" s="22" t="str">
        <f>VLOOKUP(A197,'Trips&amp;Operators'!$C$1:$E$10000,3,FALSE)</f>
        <v>NICHOLSON</v>
      </c>
      <c r="M197" s="6">
        <f t="shared" si="69"/>
        <v>1.1562499996216502E-2</v>
      </c>
      <c r="N197" s="7">
        <f t="shared" si="83"/>
        <v>16.649999994551763</v>
      </c>
      <c r="O197" s="7"/>
      <c r="P197" s="7"/>
      <c r="Q197" s="23"/>
      <c r="R197" s="23"/>
      <c r="S197" s="35">
        <f t="shared" si="70"/>
        <v>1</v>
      </c>
      <c r="T197" s="50" t="str">
        <f t="shared" si="71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18:36:59-0600',mode:absolute,to:'2016-11-01 20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7" s="52" t="str">
        <f t="shared" si="73"/>
        <v>N</v>
      </c>
      <c r="X197" s="177">
        <f t="shared" si="82"/>
        <v>1</v>
      </c>
      <c r="Y197" s="67">
        <f t="shared" si="74"/>
        <v>5.8639999999999999</v>
      </c>
      <c r="Z197" s="67">
        <f t="shared" si="75"/>
        <v>6.4899999999999999E-2</v>
      </c>
      <c r="AA197" s="67">
        <f t="shared" si="76"/>
        <v>5.7991000000000001</v>
      </c>
      <c r="AB197" s="64" t="e">
        <f>VLOOKUP(A197,Enforcements!$C$7:$K$21,8,0)</f>
        <v>#N/A</v>
      </c>
      <c r="AC197" s="60" t="e">
        <f>VLOOKUP(A197,Enforcements!$C$7:$E$21,3,0)</f>
        <v>#N/A</v>
      </c>
      <c r="AD197" s="61" t="str">
        <f t="shared" si="77"/>
        <v>0840-01</v>
      </c>
      <c r="AE197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97" s="88" t="str">
        <f t="shared" si="67"/>
        <v>"C:\Program Files (x86)\AstroGrep\AstroGrep.exe" /spath="%USERPROFILE%\AppData\Local\Temp\OnboardLogs" /stypes="app*4004*20161102*" /stext=" 01:.+((SYSTEM_STATE.+slice.+state.+changed )|(ment ac)|(system.+state.+changed )|(\[timeout)|(PRM\|1\|D)|(kpr)|(kdp)|(\|lc)|(penalty))" /e /r /s</v>
      </c>
      <c r="AG197" s="1" t="str">
        <f t="shared" si="78"/>
        <v>NW</v>
      </c>
      <c r="AH197" s="92" t="str">
        <f t="shared" si="64"/>
        <v>"%USERPROFILE%\Documents\GitHub\eaglep3\Utilities\RefineRTDCRunTimes.py" --tripid 840-01 --locoid 4004 --swversion DE.1.0.8.0 --startMP 300:58640 --initTime 2016-11-01T19:36:59 --startdatetime 2016-11-01T19:39:39 --delay 1 --endMP 204:649 --enddatetime 2016-11-01T19:56:18 --enforcementcount 0 &gt;&gt;C:\Users\stu\Documents\GitHub\eaglep3-reporting\EC\2016-11-01-refined-times.txt</v>
      </c>
      <c r="AI197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{"issue":{"subject":"","project_id":79,"tracker_id":40,"status_id":1,"priority_id":2,"assigned_to_id":23,"start_date":"2016-11-01","description":"","custom_fields":[{"id":1,"name":"Subdivision","value":"NW"},{"id":4,"name":"Milepost","value":"0.0649"},{"id":17,"name":"Train ID","value":"840-01"},{"id":16,"name":"Locomotive ID","value":"4004"},{"id":130,"name":"Impact","value":""},{"id":150,"name":"Time of Event (Mountain Time)","value":"19:56:18"},{"id":151,"name":"Denver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1" customFormat="1" x14ac:dyDescent="0.25">
      <c r="A198" s="37" t="s">
        <v>559</v>
      </c>
      <c r="B198" s="7">
        <v>4003</v>
      </c>
      <c r="C198" s="22" t="s">
        <v>253</v>
      </c>
      <c r="D198" s="22" t="s">
        <v>355</v>
      </c>
      <c r="E198" s="13">
        <v>42675.793680555558</v>
      </c>
      <c r="F198" s="13">
        <v>42675.806539351855</v>
      </c>
      <c r="G198" s="7">
        <v>1</v>
      </c>
      <c r="H198" s="13" t="s">
        <v>764</v>
      </c>
      <c r="I198" s="13">
        <v>42675.816296296296</v>
      </c>
      <c r="J198" s="7">
        <v>0</v>
      </c>
      <c r="K198" s="112" t="str">
        <f t="shared" si="68"/>
        <v>4003/4004</v>
      </c>
      <c r="L198" s="22" t="str">
        <f>VLOOKUP(A198,'Trips&amp;Operators'!$C$1:$E$10000,3,FALSE)</f>
        <v>NICHOLSON</v>
      </c>
      <c r="M198" s="6">
        <f t="shared" si="69"/>
        <v>9.7569444405962713E-3</v>
      </c>
      <c r="N198" s="7">
        <f t="shared" si="83"/>
        <v>14.049999994458631</v>
      </c>
      <c r="O198" s="7"/>
      <c r="P198" s="7"/>
      <c r="Q198" s="23"/>
      <c r="R198" s="23"/>
      <c r="S198" s="35">
        <f t="shared" si="70"/>
        <v>1</v>
      </c>
      <c r="T198" s="50" t="str">
        <f t="shared" si="71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18:02:54-0600',mode:absolute,to:'2016-11-01 20:35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8" s="52" t="str">
        <f t="shared" si="73"/>
        <v>N</v>
      </c>
      <c r="X198" s="177">
        <f t="shared" si="82"/>
        <v>1</v>
      </c>
      <c r="Y198" s="67">
        <f t="shared" si="74"/>
        <v>9.7100000000000006E-2</v>
      </c>
      <c r="Z198" s="67">
        <f t="shared" si="75"/>
        <v>5.8949999999999996</v>
      </c>
      <c r="AA198" s="67">
        <f t="shared" si="76"/>
        <v>5.7978999999999994</v>
      </c>
      <c r="AB198" s="64" t="e">
        <f>VLOOKUP(A198,Enforcements!$C$7:$K$21,8,0)</f>
        <v>#N/A</v>
      </c>
      <c r="AC198" s="60" t="e">
        <f>VLOOKUP(A198,Enforcements!$C$7:$E$21,3,0)</f>
        <v>#N/A</v>
      </c>
      <c r="AD198" s="61" t="str">
        <f t="shared" si="77"/>
        <v>0841-01</v>
      </c>
      <c r="AE198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198" s="88" t="str">
        <f t="shared" si="67"/>
        <v>"C:\Program Files (x86)\AstroGrep\AstroGrep.exe" /spath="%USERPROFILE%\AppData\Local\Temp\OnboardLogs" /stypes="app*4003*20161102*" /stext=" 01:.+((SYSTEM_STATE.+slice.+state.+changed )|(ment ac)|(system.+state.+changed )|(\[timeout)|(PRM\|1\|D)|(kpr)|(kdp)|(\|lc)|(penalty))" /e /r /s</v>
      </c>
      <c r="AG198" s="1" t="str">
        <f t="shared" si="78"/>
        <v>NW</v>
      </c>
      <c r="AH198" s="92" t="str">
        <f t="shared" si="64"/>
        <v>"%USERPROFILE%\Documents\GitHub\eaglep3\Utilities\RefineRTDCRunTimes.py" --tripid 841-01 --locoid 4003 --swversion DE.1.0.8.0 --startMP 204:971 --initTime 2016-11-01T19:02:54 --startdatetime 2016-11-01T19:21:25 --delay 1 --endMP 300:58950 --enddatetime 2016-11-01T19:35:28 --enforcementcount 0 &gt;&gt;C:\Users\stu\Documents\GitHub\eaglep3-reporting\EC\2016-11-01-refined-times.txt</v>
      </c>
      <c r="AI198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{"issue":{"subject":"","project_id":79,"tracker_id":40,"status_id":1,"priority_id":2,"assigned_to_id":23,"start_date":"2016-11-01","description":"","custom_fields":[{"id":1,"name":"Subdivision","value":"NW"},{"id":4,"name":"Milepost","value":"5.895"},{"id":17,"name":"Train ID","value":"841-01"},{"id":16,"name":"Locomotive ID","value":"4003"},{"id":130,"name":"Impact","value":""},{"id":150,"name":"Time of Event (Mountain Time)","value":"19:35:28"},{"id":151,"name":"Denver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1" customFormat="1" x14ac:dyDescent="0.25">
      <c r="A199" s="37" t="s">
        <v>572</v>
      </c>
      <c r="B199" s="7">
        <v>4004</v>
      </c>
      <c r="C199" s="22" t="s">
        <v>253</v>
      </c>
      <c r="D199" s="22" t="s">
        <v>765</v>
      </c>
      <c r="E199" s="13">
        <v>42675.860555555555</v>
      </c>
      <c r="F199" s="13">
        <v>42675.861956018518</v>
      </c>
      <c r="G199" s="7">
        <v>1</v>
      </c>
      <c r="H199" s="13" t="s">
        <v>766</v>
      </c>
      <c r="I199" s="13">
        <v>42675.872557870367</v>
      </c>
      <c r="J199" s="7">
        <v>0</v>
      </c>
      <c r="K199" s="112" t="str">
        <f t="shared" si="68"/>
        <v>4003/4004</v>
      </c>
      <c r="L199" s="22" t="str">
        <f>VLOOKUP(A199,'Trips&amp;Operators'!$C$1:$E$10000,3,FALSE)</f>
        <v>NICHOLSON</v>
      </c>
      <c r="M199" s="6">
        <f t="shared" si="69"/>
        <v>1.060185184906004E-2</v>
      </c>
      <c r="N199" s="7">
        <f t="shared" si="83"/>
        <v>15.266666662646458</v>
      </c>
      <c r="O199" s="7"/>
      <c r="P199" s="7"/>
      <c r="Q199" s="23"/>
      <c r="R199" s="23"/>
      <c r="S199" s="35">
        <f t="shared" si="70"/>
        <v>1</v>
      </c>
      <c r="T199" s="50" t="str">
        <f t="shared" si="71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19:39:12-0600',mode:absolute,to:'2016-11-01 21:56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9" s="52" t="str">
        <f t="shared" si="73"/>
        <v>N</v>
      </c>
      <c r="X199" s="177">
        <f t="shared" si="82"/>
        <v>1</v>
      </c>
      <c r="Y199" s="67">
        <f t="shared" si="74"/>
        <v>5.8644999999999996</v>
      </c>
      <c r="Z199" s="67">
        <f t="shared" si="75"/>
        <v>6.7299999999999999E-2</v>
      </c>
      <c r="AA199" s="67">
        <f t="shared" si="76"/>
        <v>5.7971999999999992</v>
      </c>
      <c r="AB199" s="64" t="e">
        <f>VLOOKUP(A199,Enforcements!$C$7:$K$21,8,0)</f>
        <v>#N/A</v>
      </c>
      <c r="AC199" s="60" t="e">
        <f>VLOOKUP(A199,Enforcements!$C$7:$E$21,3,0)</f>
        <v>#N/A</v>
      </c>
      <c r="AD199" s="61" t="str">
        <f t="shared" si="77"/>
        <v>0842-01</v>
      </c>
      <c r="AE199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199" s="88" t="str">
        <f t="shared" si="67"/>
        <v>"C:\Program Files (x86)\AstroGrep\AstroGrep.exe" /spath="%USERPROFILE%\AppData\Local\Temp\OnboardLogs" /stypes="app*4004*20161102*" /stext=" 02:.+((SYSTEM_STATE.+slice.+state.+changed )|(ment ac)|(system.+state.+changed )|(\[timeout)|(PRM\|1\|D)|(kpr)|(kdp)|(\|lc)|(penalty))" /e /r /s</v>
      </c>
      <c r="AG199" s="1" t="str">
        <f t="shared" si="78"/>
        <v>NW</v>
      </c>
      <c r="AH199" s="92" t="str">
        <f t="shared" si="64"/>
        <v>"%USERPROFILE%\Documents\GitHub\eaglep3\Utilities\RefineRTDCRunTimes.py" --tripid 842-01 --locoid 4004 --swversion DE.1.0.8.0 --startMP 300:58645 --initTime 2016-11-01T20:39:12 --startdatetime 2016-11-01T20:41:13 --delay 1 --endMP 204:673 --enddatetime 2016-11-01T20:56:29 --enforcementcount 0 &gt;&gt;C:\Users\stu\Documents\GitHub\eaglep3-reporting\EC\2016-11-01-refined-times.txt</v>
      </c>
      <c r="AI199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{"issue":{"subject":"","project_id":79,"tracker_id":40,"status_id":1,"priority_id":2,"assigned_to_id":23,"start_date":"2016-11-01","description":"","custom_fields":[{"id":1,"name":"Subdivision","value":"NW"},{"id":4,"name":"Milepost","value":"0.0673"},{"id":17,"name":"Train ID","value":"842-01"},{"id":16,"name":"Locomotive ID","value":"4004"},{"id":130,"name":"Impact","value":""},{"id":150,"name":"Time of Event (Mountain Time)","value":"20:56:29"},{"id":151,"name":"Denver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1" customFormat="1" x14ac:dyDescent="0.25">
      <c r="A200" s="37" t="s">
        <v>569</v>
      </c>
      <c r="B200" s="7">
        <v>4003</v>
      </c>
      <c r="C200" s="22" t="s">
        <v>253</v>
      </c>
      <c r="D200" s="22" t="s">
        <v>366</v>
      </c>
      <c r="E200" s="13">
        <v>42675.835370370369</v>
      </c>
      <c r="F200" s="13">
        <v>42675.849594907406</v>
      </c>
      <c r="G200" s="7">
        <v>1</v>
      </c>
      <c r="H200" s="13" t="s">
        <v>752</v>
      </c>
      <c r="I200" s="13">
        <v>42675.859571759262</v>
      </c>
      <c r="J200" s="7">
        <v>0</v>
      </c>
      <c r="K200" s="112" t="str">
        <f t="shared" si="68"/>
        <v>4003/4004</v>
      </c>
      <c r="L200" s="22" t="str">
        <f>VLOOKUP(A200,'Trips&amp;Operators'!$C$1:$E$10000,3,FALSE)</f>
        <v>NICHOLSON</v>
      </c>
      <c r="M200" s="6">
        <f t="shared" si="69"/>
        <v>9.976851855753921E-3</v>
      </c>
      <c r="N200" s="7">
        <f t="shared" si="83"/>
        <v>14.366666672285646</v>
      </c>
      <c r="O200" s="7"/>
      <c r="P200" s="7"/>
      <c r="Q200" s="23"/>
      <c r="R200" s="23"/>
      <c r="S200" s="35">
        <f t="shared" si="70"/>
        <v>1</v>
      </c>
      <c r="T200" s="50" t="str">
        <f t="shared" si="71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19:02:56-0600',mode:absolute,to:'2016-11-01 21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0" s="52" t="str">
        <f t="shared" si="73"/>
        <v>N</v>
      </c>
      <c r="X200" s="177">
        <f t="shared" si="82"/>
        <v>1</v>
      </c>
      <c r="Y200" s="67">
        <f t="shared" si="74"/>
        <v>9.69E-2</v>
      </c>
      <c r="Z200" s="67">
        <f t="shared" si="75"/>
        <v>5.8963000000000001</v>
      </c>
      <c r="AA200" s="67">
        <f t="shared" si="76"/>
        <v>5.7994000000000003</v>
      </c>
      <c r="AB200" s="64" t="e">
        <f>VLOOKUP(A200,Enforcements!$C$7:$K$21,8,0)</f>
        <v>#N/A</v>
      </c>
      <c r="AC200" s="60" t="e">
        <f>VLOOKUP(A200,Enforcements!$C$7:$E$21,3,0)</f>
        <v>#N/A</v>
      </c>
      <c r="AD200" s="61" t="str">
        <f t="shared" si="77"/>
        <v>0843-01</v>
      </c>
      <c r="AE200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200" s="88" t="str">
        <f t="shared" si="67"/>
        <v>"C:\Program Files (x86)\AstroGrep\AstroGrep.exe" /spath="%USERPROFILE%\AppData\Local\Temp\OnboardLogs" /stypes="app*4003*20161102*" /stext=" 02:.+((SYSTEM_STATE.+slice.+state.+changed )|(ment ac)|(system.+state.+changed )|(\[timeout)|(PRM\|1\|D)|(kpr)|(kdp)|(\|lc)|(penalty))" /e /r /s</v>
      </c>
      <c r="AG200" s="1" t="str">
        <f t="shared" si="78"/>
        <v>NW</v>
      </c>
      <c r="AH200" s="92" t="str">
        <f t="shared" si="64"/>
        <v>"%USERPROFILE%\Documents\GitHub\eaglep3\Utilities\RefineRTDCRunTimes.py" --tripid 843-01 --locoid 4003 --swversion DE.1.0.8.0 --startMP 204:969 --initTime 2016-11-01T20:02:56 --startdatetime 2016-11-01T20:23:25 --delay 1 --endMP 300:58963 --enddatetime 2016-11-01T20:37:47 --enforcementcount 0 &gt;&gt;C:\Users\stu\Documents\GitHub\eaglep3-reporting\EC\2016-11-01-refined-times.txt</v>
      </c>
      <c r="AI200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{"issue":{"subject":"","project_id":79,"tracker_id":40,"status_id":1,"priority_id":2,"assigned_to_id":23,"start_date":"2016-11-01","description":"","custom_fields":[{"id":1,"name":"Subdivision","value":"NW"},{"id":4,"name":"Milepost","value":"5.8963"},{"id":17,"name":"Train ID","value":"843-01"},{"id":16,"name":"Locomotive ID","value":"4003"},{"id":130,"name":"Impact","value":""},{"id":150,"name":"Time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x14ac:dyDescent="0.25">
      <c r="A201" s="37" t="s">
        <v>582</v>
      </c>
      <c r="B201" s="7">
        <v>4004</v>
      </c>
      <c r="C201" s="22" t="s">
        <v>253</v>
      </c>
      <c r="D201" s="22" t="s">
        <v>357</v>
      </c>
      <c r="E201" s="13">
        <v>42675.901354166665</v>
      </c>
      <c r="F201" s="13">
        <v>42675.903020833335</v>
      </c>
      <c r="G201" s="7">
        <v>1</v>
      </c>
      <c r="H201" s="13" t="s">
        <v>767</v>
      </c>
      <c r="I201" s="13">
        <v>42675.913587962961</v>
      </c>
      <c r="J201" s="7">
        <v>0</v>
      </c>
      <c r="K201" s="112" t="str">
        <f t="shared" si="68"/>
        <v>4003/4004</v>
      </c>
      <c r="L201" s="22" t="str">
        <f>VLOOKUP(A201,'Trips&amp;Operators'!$C$1:$E$10000,3,FALSE)</f>
        <v>STAMBAUGH</v>
      </c>
      <c r="M201" s="6">
        <f t="shared" si="69"/>
        <v>1.056712962599704E-2</v>
      </c>
      <c r="N201" s="7">
        <f t="shared" si="83"/>
        <v>15.216666661435738</v>
      </c>
      <c r="O201" s="7"/>
      <c r="P201" s="7"/>
      <c r="Q201" s="23"/>
      <c r="R201" s="23"/>
      <c r="S201" s="35">
        <f t="shared" si="70"/>
        <v>1</v>
      </c>
      <c r="T201" s="50" t="str">
        <f t="shared" si="71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20:37:57-0600',mode:absolute,to:'2016-11-01 22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1" s="52" t="str">
        <f t="shared" si="73"/>
        <v>N</v>
      </c>
      <c r="X201" s="177">
        <f t="shared" si="82"/>
        <v>1</v>
      </c>
      <c r="Y201" s="67">
        <f t="shared" si="74"/>
        <v>5.8597999999999999</v>
      </c>
      <c r="Z201" s="67">
        <f t="shared" si="75"/>
        <v>7.0099999999999996E-2</v>
      </c>
      <c r="AA201" s="67">
        <f t="shared" si="76"/>
        <v>5.7896999999999998</v>
      </c>
      <c r="AB201" s="64" t="e">
        <f>VLOOKUP(A201,Enforcements!$C$7:$K$21,8,0)</f>
        <v>#N/A</v>
      </c>
      <c r="AC201" s="60" t="e">
        <f>VLOOKUP(A201,Enforcements!$C$7:$E$21,3,0)</f>
        <v>#N/A</v>
      </c>
      <c r="AD201" s="61" t="str">
        <f t="shared" si="77"/>
        <v>0844-01</v>
      </c>
      <c r="AE201" s="91" t="str">
        <f t="shared" si="6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201" s="88" t="str">
        <f t="shared" si="67"/>
        <v>"C:\Program Files (x86)\AstroGrep\AstroGrep.exe" /spath="%USERPROFILE%\AppData\Local\Temp\OnboardLogs" /stypes="app*4004*20161102*" /stext=" 03:.+((SYSTEM_STATE.+slice.+state.+changed )|(ment ac)|(system.+state.+changed )|(\[timeout)|(PRM\|1\|D)|(kpr)|(kdp)|(\|lc)|(penalty))" /e /r /s</v>
      </c>
      <c r="AG201" s="1" t="str">
        <f t="shared" si="78"/>
        <v>NW</v>
      </c>
      <c r="AH201" s="92" t="str">
        <f t="shared" si="64"/>
        <v>"%USERPROFILE%\Documents\GitHub\eaglep3\Utilities\RefineRTDCRunTimes.py" --tripid 844-01 --locoid 4004 --swversion DE.1.0.8.0 --startMP 300:58598 --initTime 2016-11-01T21:37:57 --startdatetime 2016-11-01T21:40:21 --delay 1 --endMP 204:701 --enddatetime 2016-11-01T21:55:34 --enforcementcount 0 &gt;&gt;C:\Users\stu\Documents\GitHub\eaglep3-reporting\EC\2016-11-01-refined-times.txt</v>
      </c>
      <c r="AI201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{"issue":{"subject":"","project_id":79,"tracker_id":40,"status_id":1,"priority_id":2,"assigned_to_id":23,"start_date":"2016-11-01","description":"","custom_fields":[{"id":1,"name":"Subdivision","value":"NW"},{"id":4,"name":"Milepost","value":"0.0701"},{"id":17,"name":"Train ID","value":"844-01"},{"id":16,"name":"Locomotive ID","value":"4004"},{"id":130,"name":"Impact","value":""},{"id":150,"name":"Time of Event (Mountain Time)","value":"21:55:34"},{"id":151,"name":"Denver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575</v>
      </c>
      <c r="B202" s="7">
        <v>4003</v>
      </c>
      <c r="C202" s="22" t="s">
        <v>253</v>
      </c>
      <c r="D202" s="22" t="s">
        <v>751</v>
      </c>
      <c r="E202" s="13">
        <v>42675.874849537038</v>
      </c>
      <c r="F202" s="13">
        <v>42675.89</v>
      </c>
      <c r="G202" s="7">
        <v>1</v>
      </c>
      <c r="H202" s="13" t="s">
        <v>762</v>
      </c>
      <c r="I202" s="13">
        <v>42675.899409722224</v>
      </c>
      <c r="J202" s="7">
        <v>0</v>
      </c>
      <c r="K202" s="112" t="str">
        <f t="shared" si="68"/>
        <v>4003/4004</v>
      </c>
      <c r="L202" s="22" t="str">
        <f>VLOOKUP(A202,'Trips&amp;Operators'!$C$1:$E$10000,3,FALSE)</f>
        <v>STAMBAUGH</v>
      </c>
      <c r="M202" s="6">
        <f t="shared" si="69"/>
        <v>9.4097222245181911E-3</v>
      </c>
      <c r="N202" s="7">
        <f t="shared" si="83"/>
        <v>13.550000003306195</v>
      </c>
      <c r="O202" s="7"/>
      <c r="P202" s="7"/>
      <c r="Q202" s="23"/>
      <c r="R202" s="23"/>
      <c r="S202" s="35">
        <f t="shared" si="70"/>
        <v>1</v>
      </c>
      <c r="T202" s="50" t="str">
        <f t="shared" si="71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19:59:47-0600',mode:absolute,to:'2016-11-01 22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2" t="str">
        <f t="shared" si="73"/>
        <v>N</v>
      </c>
      <c r="X202" s="177">
        <f t="shared" si="82"/>
        <v>1</v>
      </c>
      <c r="Y202" s="67">
        <f t="shared" si="74"/>
        <v>9.7900000000000001E-2</v>
      </c>
      <c r="Z202" s="67">
        <f t="shared" si="75"/>
        <v>5.8916000000000004</v>
      </c>
      <c r="AA202" s="67">
        <f t="shared" si="76"/>
        <v>5.7937000000000003</v>
      </c>
      <c r="AB202" s="64" t="e">
        <f>VLOOKUP(A202,Enforcements!$C$7:$K$21,8,0)</f>
        <v>#N/A</v>
      </c>
      <c r="AC202" s="60" t="e">
        <f>VLOOKUP(A202,Enforcements!$C$7:$E$21,3,0)</f>
        <v>#N/A</v>
      </c>
      <c r="AD202" s="61" t="str">
        <f t="shared" si="77"/>
        <v>0845-01</v>
      </c>
      <c r="AE202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202" s="88" t="str">
        <f t="shared" si="67"/>
        <v>"C:\Program Files (x86)\AstroGrep\AstroGrep.exe" /spath="%USERPROFILE%\AppData\Local\Temp\OnboardLogs" /stypes="app*4003*20161102*" /stext=" 03:.+((SYSTEM_STATE.+slice.+state.+changed )|(ment ac)|(system.+state.+changed )|(\[timeout)|(PRM\|1\|D)|(kpr)|(kdp)|(\|lc)|(penalty))" /e /r /s</v>
      </c>
      <c r="AG202" s="1" t="str">
        <f t="shared" si="78"/>
        <v>NW</v>
      </c>
      <c r="AH202" s="92" t="str">
        <f t="shared" si="64"/>
        <v>"%USERPROFILE%\Documents\GitHub\eaglep3\Utilities\RefineRTDCRunTimes.py" --tripid 845-01 --locoid 4003 --swversion DE.1.0.8.0 --startMP 204:979 --initTime 2016-11-01T20:59:47 --startdatetime 2016-11-01T21:21:36 --delay 1 --endMP 300:58916 --enddatetime 2016-11-01T21:35:09 --enforcementcount 0 &gt;&gt;C:\Users\stu\Documents\GitHub\eaglep3-reporting\EC\2016-11-01-refined-times.txt</v>
      </c>
      <c r="AI202" s="122" t="str">
        <f t="shared" si="65"/>
        <v>echo {"issue":{"subject":"","project_id":79,"tracker_id":40,"status_id":1,"priority_id":2,"assigned_to_id":23,"start_date":"2016-11-01","description":"","custom_fields":[{"id":1,"name":"Subdivision","value":"NW"},{"id":4,"name":"Milepost","value":"5.8916"},{"id":17,"name":"Train ID","value":"845-01"},{"id":16,"name":"Locomotive ID","value":"4003"},{"id":130,"name":"Impact","value":""},{"id":150,"name":"Time of Event (Mountain Time)","value":"21:35:09"},{"id":151,"name":"Denver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s="21" customFormat="1" x14ac:dyDescent="0.25">
      <c r="A203" s="37" t="s">
        <v>581</v>
      </c>
      <c r="B203" s="7">
        <v>4003</v>
      </c>
      <c r="C203" s="22" t="s">
        <v>253</v>
      </c>
      <c r="D203" s="22" t="s">
        <v>768</v>
      </c>
      <c r="E203" s="13">
        <v>42675.915254629632</v>
      </c>
      <c r="F203" s="13">
        <v>42675.931689814817</v>
      </c>
      <c r="G203" s="7">
        <v>1</v>
      </c>
      <c r="H203" s="13" t="s">
        <v>769</v>
      </c>
      <c r="I203" s="13">
        <v>42675.941319444442</v>
      </c>
      <c r="J203" s="7">
        <v>0</v>
      </c>
      <c r="K203" s="112" t="str">
        <f t="shared" si="68"/>
        <v>4003/4004</v>
      </c>
      <c r="L203" s="22" t="str">
        <f>VLOOKUP(A203,'Trips&amp;Operators'!$C$1:$E$10000,3,FALSE)</f>
        <v>STAMBAUGH</v>
      </c>
      <c r="M203" s="6">
        <f t="shared" si="69"/>
        <v>9.6296296251239255E-3</v>
      </c>
      <c r="N203" s="7">
        <f t="shared" si="83"/>
        <v>13.866666660178453</v>
      </c>
      <c r="O203" s="7"/>
      <c r="P203" s="7"/>
      <c r="Q203" s="23"/>
      <c r="R203" s="23"/>
      <c r="S203" s="35">
        <f t="shared" si="70"/>
        <v>1</v>
      </c>
      <c r="T203" s="50" t="str">
        <f t="shared" si="71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20:57:58-0600',mode:absolute,to:'2016-11-01 23:35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52" t="str">
        <f t="shared" si="73"/>
        <v>N</v>
      </c>
      <c r="X203" s="177">
        <f t="shared" si="82"/>
        <v>2</v>
      </c>
      <c r="Y203" s="67">
        <f t="shared" si="74"/>
        <v>9.7600000000000006E-2</v>
      </c>
      <c r="Z203" s="67">
        <f t="shared" si="75"/>
        <v>5.8926999999999996</v>
      </c>
      <c r="AA203" s="67">
        <f t="shared" si="76"/>
        <v>5.7950999999999997</v>
      </c>
      <c r="AB203" s="64" t="e">
        <f>VLOOKUP(A203,Enforcements!$C$7:$K$21,8,0)</f>
        <v>#N/A</v>
      </c>
      <c r="AC203" s="60" t="e">
        <f>VLOOKUP(A203,Enforcements!$C$7:$E$21,3,0)</f>
        <v>#N/A</v>
      </c>
      <c r="AD203" s="61" t="str">
        <f t="shared" si="77"/>
        <v>0847-01</v>
      </c>
      <c r="AE203" s="91" t="str">
        <f t="shared" si="66"/>
        <v>aws s3 cp s3://rtdc.mdm.uploadarchive.raw/RTDC4003/ "%USERPROFILE%\AppData\Local\Temp\OnboardLogs"\RTDC4003\2016-11-01 --exclude "*" --recursive --include "*20161101*" &amp; "%USERPROFILE%\Documents\GitHub\mrs-test-scripts\Headless Mode &amp; Sideloading\WalkAndUnGZ.bat" "%USERPROFILE%\AppData\Local\Temp\OnboardLogs"\RTDC4003\2016-11-01 &amp; aws s3 cp s3://rtdc.mdm.uploadarchive.raw/RTDC4003/ "%USERPROFILE%\AppData\Local\Temp\OnboardLogs"\RTDC4003\2016-11-02 --exclude "*" --recursive --include "*20161102*" &amp; "%USERPROFILE%\Documents\GitHub\mrs-test-scripts\Headless Mode &amp; Sideloading\WalkAndUnGZ.bat" "%USERPROFILE%\AppData\Local\Temp\OnboardLogs"\RTDC4003\2016-11-02</v>
      </c>
      <c r="AF203" s="88" t="str">
        <f t="shared" si="67"/>
        <v>"C:\Program Files (x86)\AstroGrep\AstroGrep.exe" /spath="%USERPROFILE%\AppData\Local\Temp\OnboardLogs" /stypes="app*4003*20161102*" /stext=" 04:.+((SYSTEM_STATE.+slice.+state.+changed )|(ment ac)|(system.+state.+changed )|(\[timeout)|(PRM\|1\|D)|(kpr)|(kdp)|(\|lc)|(penalty))" /e /r /s</v>
      </c>
      <c r="AG203" s="1" t="str">
        <f t="shared" si="78"/>
        <v>NW</v>
      </c>
      <c r="AH203" s="92" t="str">
        <f t="shared" ref="AH203:AH247" si="8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847-01 --locoid 4003 --swversion DE.1.0.8.0 --startMP 204:976 --initTime 2016-11-01T21:57:58 --startdatetime 2016-11-01T22:21:38 --delay 1 --endMP 300:58927 --enddatetime 2016-11-01T22:35:30 --enforcementcount 0 &gt;&gt;C:\Users\stu\Documents\GitHub\eaglep3-reporting\EC\2016-11-01-refined-times.txt</v>
      </c>
      <c r="AI203" s="122" t="str">
        <f t="shared" ref="AI203:AI247" si="8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{"issue":{"subject":"","project_id":79,"tracker_id":40,"status_id":1,"priority_id":2,"assigned_to_id":23,"start_date":"2016-11-01","description":"","custom_fields":[{"id":1,"name":"Subdivision","value":"NW"},{"id":4,"name":"Milepost","value":"5.8927"},{"id":17,"name":"Train ID","value":"847-01"},{"id":16,"name":"Locomotive ID","value":"4003"},{"id":130,"name":"Impact","value":""},{"id":150,"name":"Time of Event (Mountain Time)","value":"22:35:30"},{"id":151,"name":"Denver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7" t="s">
        <v>556</v>
      </c>
      <c r="B204" s="7">
        <v>4014</v>
      </c>
      <c r="C204" s="22" t="s">
        <v>253</v>
      </c>
      <c r="D204" s="22" t="s">
        <v>242</v>
      </c>
      <c r="E204" s="13">
        <v>42675.779224537036</v>
      </c>
      <c r="F204" s="13">
        <v>42675.780891203707</v>
      </c>
      <c r="G204" s="7">
        <v>1</v>
      </c>
      <c r="H204" s="13" t="s">
        <v>352</v>
      </c>
      <c r="I204" s="13">
        <v>42675.786689814813</v>
      </c>
      <c r="J204" s="7">
        <v>0</v>
      </c>
      <c r="K204" s="112" t="str">
        <f t="shared" si="68"/>
        <v>4013/4014</v>
      </c>
      <c r="L204" s="22" t="str">
        <f>VLOOKUP(A204,'Trips&amp;Operators'!$C$1:$E$10000,3,FALSE)</f>
        <v>MCREYNOLDS</v>
      </c>
      <c r="M204" s="6">
        <f t="shared" si="69"/>
        <v>5.798611106001772E-3</v>
      </c>
      <c r="N204" s="7">
        <f t="shared" si="83"/>
        <v>8.3499999926425517</v>
      </c>
      <c r="O204" s="7"/>
      <c r="P204" s="7"/>
      <c r="Q204" s="23"/>
      <c r="R204" s="23"/>
      <c r="S204" s="35">
        <f t="shared" si="70"/>
        <v>1</v>
      </c>
      <c r="T204" s="50" t="str">
        <f t="shared" si="71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17:42:05-0600',mode:absolute,to:'2016-11-01 19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4" s="52" t="str">
        <f t="shared" si="73"/>
        <v>Y</v>
      </c>
      <c r="X204" s="177">
        <f t="shared" si="82"/>
        <v>-544</v>
      </c>
      <c r="Y204" s="67">
        <f t="shared" si="74"/>
        <v>4.5699999999999998E-2</v>
      </c>
      <c r="Z204" s="67">
        <f t="shared" si="75"/>
        <v>2.3298999999999999</v>
      </c>
      <c r="AA204" s="67">
        <f t="shared" si="76"/>
        <v>2.2841999999999998</v>
      </c>
      <c r="AB204" s="64" t="e">
        <f>VLOOKUP(A204,Enforcements!$C$7:$K$21,8,0)</f>
        <v>#N/A</v>
      </c>
      <c r="AC204" s="60" t="e">
        <f>VLOOKUP(A204,Enforcements!$C$7:$E$21,3,0)</f>
        <v>#N/A</v>
      </c>
      <c r="AD204" s="61" t="str">
        <f t="shared" si="77"/>
        <v>0303-01</v>
      </c>
      <c r="AE204" s="91" t="str">
        <f t="shared" si="66"/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AF204" s="88" t="str">
        <f t="shared" si="67"/>
        <v>"C:\Program Files (x86)\AstroGrep\AstroGrep.exe" /spath="%USERPROFILE%\AppData\Local\Temp\OnboardLogs" /stypes="app*4014*20161102*" /stext=" 00:.+((SYSTEM_STATE.+slice.+state.+changed )|(ment ac)|(system.+state.+changed )|(\[timeout)|(PRM\|1\|D)|(kpr)|(kdp)|(\|lc)|(penalty))" /e /r /s</v>
      </c>
      <c r="AG204" s="1" t="str">
        <f t="shared" si="78"/>
        <v>Other</v>
      </c>
      <c r="AH204" s="92" t="str">
        <f t="shared" si="84"/>
        <v>"%USERPROFILE%\Documents\GitHub\eaglep3\Utilities\RefineRTDCRunTimes.py" --tripid 303-01 --locoid 4014 --swversion DE.1.0.8.0 --startMP 204:457 --initTime 2016-11-01T18:42:05 --startdatetime 2016-11-01T18:44:29 --delay 1 --endMP 300:23299 --enddatetime 2016-11-01T18:52:50 --enforcementcount 0 &gt;&gt;C:\Users\stu\Documents\GitHub\eaglep3-reporting\EC\2016-11-01-refined-times.txt</v>
      </c>
      <c r="AI204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{"issue":{"subject":"","project_id":79,"tracker_id":40,"status_id":1,"priority_id":2,"assigned_to_id":23,"start_date":"2016-11-01","description":"","custom_fields":[{"id":1,"name":"Subdivision","value":"Other"},{"id":4,"name":"Milepost","value":"2.3299"},{"id":17,"name":"Train ID","value":"303-01"},{"id":16,"name":"Locomotive ID","value":"4014"},{"id":130,"name":"Impact","value":""},{"id":150,"name":"Time of Event (Mountain Time)","value":"18:52:50"},{"id":151,"name":"Denver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s="21" customFormat="1" x14ac:dyDescent="0.25">
      <c r="A205" s="37" t="s">
        <v>404</v>
      </c>
      <c r="B205" s="7">
        <v>4008</v>
      </c>
      <c r="C205" s="22" t="s">
        <v>253</v>
      </c>
      <c r="D205" s="22" t="s">
        <v>666</v>
      </c>
      <c r="E205" s="13">
        <v>42675.143148148149</v>
      </c>
      <c r="F205" s="13">
        <v>42675.14471064815</v>
      </c>
      <c r="G205" s="7">
        <v>1</v>
      </c>
      <c r="H205" s="13" t="s">
        <v>667</v>
      </c>
      <c r="I205" s="13">
        <v>42675.151076388887</v>
      </c>
      <c r="J205" s="7">
        <v>0</v>
      </c>
      <c r="K205" s="112" t="str">
        <f t="shared" si="68"/>
        <v>4007/4008</v>
      </c>
      <c r="L205" s="22" t="str">
        <f>VLOOKUP(A205,'Trips&amp;Operators'!$C$1:$E$10000,3,FALSE)</f>
        <v>LALONDE</v>
      </c>
      <c r="M205" s="6">
        <f t="shared" si="69"/>
        <v>6.3657407372375019E-3</v>
      </c>
      <c r="N205" s="7">
        <f t="shared" si="83"/>
        <v>9.1666666616220027</v>
      </c>
      <c r="O205" s="7"/>
      <c r="P205" s="7"/>
      <c r="Q205" s="23"/>
      <c r="R205" s="23"/>
      <c r="S205" s="35">
        <f t="shared" si="70"/>
        <v>1</v>
      </c>
      <c r="T205" s="50" t="str">
        <f t="shared" si="71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02:26:08-0600',mode:absolute,to:'2016-11-01 04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05" s="52" t="str">
        <f t="shared" si="73"/>
        <v>Y</v>
      </c>
      <c r="X205" s="177">
        <f t="shared" si="82"/>
        <v>1</v>
      </c>
      <c r="Y205" s="67">
        <f t="shared" si="74"/>
        <v>2.2338</v>
      </c>
      <c r="Z205" s="67">
        <f t="shared" si="75"/>
        <v>1.18E-2</v>
      </c>
      <c r="AA205" s="67">
        <f t="shared" si="76"/>
        <v>2.222</v>
      </c>
      <c r="AB205" s="64" t="e">
        <f>VLOOKUP(A205,Enforcements!$C$7:$K$21,8,0)</f>
        <v>#N/A</v>
      </c>
      <c r="AC205" s="60" t="e">
        <f>VLOOKUP(A205,Enforcements!$C$7:$E$21,3,0)</f>
        <v>#N/A</v>
      </c>
      <c r="AD205" s="61" t="str">
        <f t="shared" si="77"/>
        <v>0304-01</v>
      </c>
      <c r="AE205" s="91" t="str">
        <f t="shared" ref="AE205:AE247" si="86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AF205" s="88" t="str">
        <f t="shared" ref="AF205:AF247" si="87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/stypes="app*4008*20161101*" /stext=" 09:.+((SYSTEM_STATE.+slice.+state.+changed )|(ment ac)|(system.+state.+changed )|(\[timeout)|(PRM\|1\|D)|(kpr)|(kdp)|(\|lc)|(penalty))" /e /r /s</v>
      </c>
      <c r="AG205" s="1" t="str">
        <f t="shared" si="78"/>
        <v>Other</v>
      </c>
      <c r="AH205" s="92" t="str">
        <f t="shared" si="84"/>
        <v>"%USERPROFILE%\Documents\GitHub\eaglep3\Utilities\RefineRTDCRunTimes.py" --tripid 304-01 --locoid 4008 --swversion DE.1.0.8.0 --startMP 300:22338 --initTime 2016-11-01T03:26:08 --startdatetime 2016-11-01T03:28:23 --delay 1 --endMP 204:118 --enddatetime 2016-11-01T03:37:33 --enforcementcount 0 &gt;&gt;C:\Users\stu\Documents\GitHub\eaglep3-reporting\EC\2016-11-01-refined-times.txt</v>
      </c>
      <c r="AI205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{"issue":{"subject":"","project_id":79,"tracker_id":40,"status_id":1,"priority_id":2,"assigned_to_id":23,"start_date":"2016-11-01","description":"","custom_fields":[{"id":1,"name":"Subdivision","value":"Other"},{"id":4,"name":"Milepost","value":"0.0118"},{"id":17,"name":"Train ID","value":"304-01"},{"id":16,"name":"Locomotive ID","value":"4008"},{"id":130,"name":"Impact","value":""},{"id":150,"name":"Time of Event (Mountain Time)","value":"03:37:33"},{"id":151,"name":"Denver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1" customFormat="1" x14ac:dyDescent="0.25">
      <c r="A206" s="37" t="s">
        <v>562</v>
      </c>
      <c r="B206" s="7">
        <v>4038</v>
      </c>
      <c r="C206" s="22" t="s">
        <v>253</v>
      </c>
      <c r="D206" s="22" t="s">
        <v>242</v>
      </c>
      <c r="E206" s="13">
        <v>42675.80059027778</v>
      </c>
      <c r="F206" s="13">
        <v>25568.708333333332</v>
      </c>
      <c r="G206" s="7">
        <v>1</v>
      </c>
      <c r="H206" s="13" t="s">
        <v>668</v>
      </c>
      <c r="I206" s="13">
        <v>25568.708333333332</v>
      </c>
      <c r="J206" s="7">
        <v>0</v>
      </c>
      <c r="K206" s="112" t="str">
        <f t="shared" si="68"/>
        <v>4037/4038</v>
      </c>
      <c r="L206" s="22" t="str">
        <f>VLOOKUP(A206,'Trips&amp;Operators'!$C$1:$E$10000,3,FALSE)</f>
        <v>YOUNG</v>
      </c>
      <c r="M206" s="6">
        <f t="shared" si="69"/>
        <v>0</v>
      </c>
      <c r="N206" s="7">
        <f t="shared" si="83"/>
        <v>0</v>
      </c>
      <c r="O206" s="7"/>
      <c r="P206" s="7"/>
      <c r="Q206" s="23"/>
      <c r="R206" s="23"/>
      <c r="S206" s="35">
        <f t="shared" si="70"/>
        <v>1</v>
      </c>
      <c r="T206" s="50" t="str">
        <f t="shared" si="71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18:12:51-0600',mode:absolute,to:'1969-12-31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6" s="52" t="str">
        <f t="shared" si="73"/>
        <v>Y</v>
      </c>
      <c r="X206" s="177">
        <f t="shared" si="82"/>
        <v>1</v>
      </c>
      <c r="Y206" s="67">
        <f t="shared" si="74"/>
        <v>4.5699999999999998E-2</v>
      </c>
      <c r="Z206" s="67">
        <f t="shared" si="75"/>
        <v>2.2974999999999999</v>
      </c>
      <c r="AA206" s="67">
        <f t="shared" si="76"/>
        <v>2.2517999999999998</v>
      </c>
      <c r="AB206" s="64" t="e">
        <f>VLOOKUP(A206,Enforcements!$C$7:$K$21,8,0)</f>
        <v>#N/A</v>
      </c>
      <c r="AC206" s="60" t="e">
        <f>VLOOKUP(A206,Enforcements!$C$7:$E$21,3,0)</f>
        <v>#N/A</v>
      </c>
      <c r="AD206" s="61" t="str">
        <f t="shared" si="77"/>
        <v>0305-01</v>
      </c>
      <c r="AE206" s="91" t="str">
        <f t="shared" si="86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6" s="88" t="str">
        <f t="shared" si="87"/>
        <v>"C:\Program Files (x86)\AstroGrep\AstroGrep.exe" /spath="%USERPROFILE%\AppData\Local\Temp\OnboardLogs" /stypes="app*4038*19691231*" /stext=" 23:.+((SYSTEM_STATE.+slice.+state.+changed )|(ment ac)|(system.+state.+changed )|(\[timeout)|(PRM\|1\|D)|(kpr)|(kdp)|(\|lc)|(penalty))" /e /r /s</v>
      </c>
      <c r="AG206" s="1" t="str">
        <f t="shared" si="78"/>
        <v>Other</v>
      </c>
      <c r="AH206" s="92" t="str">
        <f t="shared" si="84"/>
        <v>"%USERPROFILE%\Documents\GitHub\eaglep3\Utilities\RefineRTDCRunTimes.py" --tripid 305-01 --locoid 4038 --swversion DE.1.0.8.0 --startMP 204:457 --initTime 2016-11-01T19:12:51 --startdatetime 1969-12-31T17:00:00 --delay 1 --endMP 300:22975 --enddatetime 1969-12-31T17:00:00 --enforcementcount 0 &gt;&gt;C:\Users\stu\Documents\GitHub\eaglep3-reporting\EC\2016-11-01-refined-times.txt</v>
      </c>
      <c r="AI206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{"issue":{"subject":"","project_id":79,"tracker_id":40,"status_id":1,"priority_id":2,"assigned_to_id":23,"start_date":"1969-12-31","description":"","custom_fields":[{"id":1,"name":"Subdivision","value":"Other"},{"id":4,"name":"Milepost","value":"2.2975"},{"id":17,"name":"Train ID","value":"305-01"},{"id":16,"name":"Locomotive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406</v>
      </c>
      <c r="B207" s="7">
        <v>4030</v>
      </c>
      <c r="C207" s="22" t="s">
        <v>253</v>
      </c>
      <c r="D207" s="22" t="s">
        <v>669</v>
      </c>
      <c r="E207" s="13">
        <v>42675.162881944445</v>
      </c>
      <c r="F207" s="13">
        <v>42675.164201388892</v>
      </c>
      <c r="G207" s="7">
        <v>1</v>
      </c>
      <c r="H207" s="13" t="s">
        <v>205</v>
      </c>
      <c r="I207" s="13">
        <v>42675.170057870368</v>
      </c>
      <c r="J207" s="7">
        <v>0</v>
      </c>
      <c r="K207" s="112" t="str">
        <f t="shared" si="68"/>
        <v>4029/4030</v>
      </c>
      <c r="L207" s="22" t="str">
        <f>VLOOKUP(A207,'Trips&amp;Operators'!$C$1:$E$10000,3,FALSE)</f>
        <v>BADERTSCHER</v>
      </c>
      <c r="M207" s="6">
        <f t="shared" si="69"/>
        <v>5.8564814753481187E-3</v>
      </c>
      <c r="N207" s="7">
        <f t="shared" si="83"/>
        <v>8.4333333245012909</v>
      </c>
      <c r="O207" s="7"/>
      <c r="P207" s="7"/>
      <c r="Q207" s="23"/>
      <c r="R207" s="23"/>
      <c r="S207" s="35">
        <f t="shared" si="70"/>
        <v>1</v>
      </c>
      <c r="T207" s="50" t="str">
        <f t="shared" si="71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2"/>
        <v>https://search-rtdc-monitor-bjffxe2xuh6vdkpspy63sjmuny.us-east-1.es.amazonaws.com/_plugin/kibana/#/discover/Steve-Slow-Train-Analysis-(2080s-and-2083s)?_g=(refreshInterval:(display:Off,section:0,value:0),time:(from:'2016-11-01 02:54:33-0600',mode:absolute,to:'2016-11-01 05:04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7" s="52" t="str">
        <f t="shared" si="73"/>
        <v>Y</v>
      </c>
      <c r="X207" s="177">
        <f t="shared" si="82"/>
        <v>1</v>
      </c>
      <c r="Y207" s="67">
        <f t="shared" si="74"/>
        <v>2.2273999999999998</v>
      </c>
      <c r="Z207" s="67">
        <f t="shared" si="75"/>
        <v>1.49E-2</v>
      </c>
      <c r="AA207" s="67">
        <f t="shared" si="76"/>
        <v>2.2124999999999999</v>
      </c>
      <c r="AB207" s="64" t="e">
        <f>VLOOKUP(A207,Enforcements!$C$7:$K$21,8,0)</f>
        <v>#N/A</v>
      </c>
      <c r="AC207" s="60" t="e">
        <f>VLOOKUP(A207,Enforcements!$C$7:$E$21,3,0)</f>
        <v>#N/A</v>
      </c>
      <c r="AD207" s="61" t="str">
        <f t="shared" si="77"/>
        <v>0306-01</v>
      </c>
      <c r="AE207" s="91" t="str">
        <f t="shared" si="86"/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AF207" s="88" t="str">
        <f t="shared" si="87"/>
        <v>"C:\Program Files (x86)\AstroGrep\AstroGrep.exe" /spath="%USERPROFILE%\AppData\Local\Temp\OnboardLogs" /stypes="app*4030*20161101*" /stext=" 10:.+((SYSTEM_STATE.+slice.+state.+changed )|(ment ac)|(system.+state.+changed )|(\[timeout)|(PRM\|1\|D)|(kpr)|(kdp)|(\|lc)|(penalty))" /e /r /s</v>
      </c>
      <c r="AG207" s="1" t="str">
        <f t="shared" si="78"/>
        <v>Other</v>
      </c>
      <c r="AH207" s="92" t="str">
        <f t="shared" si="84"/>
        <v>"%USERPROFILE%\Documents\GitHub\eaglep3\Utilities\RefineRTDCRunTimes.py" --tripid 306-01 --locoid 4030 --swversion DE.1.0.8.0 --startMP 300:22274 --initTime 2016-11-01T03:54:33 --startdatetime 2016-11-01T03:56:27 --delay 1 --endMP 204:149 --enddatetime 2016-11-01T04:04:53 --enforcementcount 0 &gt;&gt;C:\Users\stu\Documents\GitHub\eaglep3-reporting\EC\2016-11-01-refined-times.txt</v>
      </c>
      <c r="AI207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{"issue":{"subject":"","project_id":79,"tracker_id":40,"status_id":1,"priority_id":2,"assigned_to_id":23,"start_date":"2016-11-01","description":"","custom_fields":[{"id":1,"name":"Subdivision","value":"Other"},{"id":4,"name":"Milepost","value":"0.0149"},{"id":17,"name":"Train ID","value":"306-01"},{"id":16,"name":"Locomotive ID","value":"4030"},{"id":130,"name":"Impact","value":""},{"id":150,"name":"Time of Event (Mountain Time)","value":"04:04:53"},{"id":151,"name":"Denver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565</v>
      </c>
      <c r="B208" s="7">
        <v>4007</v>
      </c>
      <c r="C208" s="22" t="s">
        <v>253</v>
      </c>
      <c r="D208" s="22" t="s">
        <v>259</v>
      </c>
      <c r="E208" s="13">
        <v>42675.817199074074</v>
      </c>
      <c r="F208" s="13">
        <v>25568.708333333332</v>
      </c>
      <c r="G208" s="7">
        <v>1</v>
      </c>
      <c r="H208" s="13" t="s">
        <v>670</v>
      </c>
      <c r="I208" s="13">
        <v>25568.708333333332</v>
      </c>
      <c r="J208" s="7">
        <v>0</v>
      </c>
      <c r="K208" s="112" t="str">
        <f t="shared" ref="K208:K247" si="88">IF(ISEVEN(B208),(B208-1)&amp;"/"&amp;B208,B208&amp;"/"&amp;(B208+1))</f>
        <v>4007/4008</v>
      </c>
      <c r="L208" s="22" t="str">
        <f>VLOOKUP(A208,'Trips&amp;Operators'!$C$1:$E$10000,3,FALSE)</f>
        <v>ROMERO</v>
      </c>
      <c r="M208" s="6">
        <f t="shared" ref="M208:M247" si="89">I208-F208</f>
        <v>0</v>
      </c>
      <c r="N208" s="7">
        <f t="shared" si="83"/>
        <v>0</v>
      </c>
      <c r="O208" s="7"/>
      <c r="P208" s="7"/>
      <c r="Q208" s="23"/>
      <c r="R208" s="23"/>
      <c r="S208" s="35">
        <f t="shared" ref="S208:S247" si="90">SUM(U208:U208)/IF(AG208="EC",12,1)</f>
        <v>1</v>
      </c>
      <c r="T208" s="50" t="str">
        <f t="shared" ref="T208:T247" si="91"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ref="V208:V247" si="92"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https://search-rtdc-monitor-bjffxe2xuh6vdkpspy63sjmuny.us-east-1.es.amazonaws.com/_plugin/kibana/#/discover/Steve-Slow-Train-Analysis-(2080s-and-2083s)?_g=(refreshInterval:(display:Off,section:0,value:0),time:(from:'2016-11-01 18:36:46-0600',mode:absolute,to:'1969-12-31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08" s="52" t="str">
        <f t="shared" ref="W208:W247" si="93">IF(AA208&lt;IF(AG208="EC",23,5.65),"Y","N")</f>
        <v>Y</v>
      </c>
      <c r="X208" s="177">
        <f t="shared" si="82"/>
        <v>1</v>
      </c>
      <c r="Y208" s="67">
        <f t="shared" ref="Y208:Y247" si="94">RIGHT(D208,LEN(D208)-4)/10000</f>
        <v>4.58E-2</v>
      </c>
      <c r="Z208" s="67">
        <f t="shared" ref="Z208:Z247" si="95">RIGHT(H208,LEN(H208)-4)/10000</f>
        <v>2.3306</v>
      </c>
      <c r="AA208" s="67">
        <f t="shared" ref="AA208:AA271" si="96">ABS(Z208-Y208)</f>
        <v>2.2848000000000002</v>
      </c>
      <c r="AB208" s="64" t="e">
        <f>VLOOKUP(A208,Enforcements!$C$7:$K$21,8,0)</f>
        <v>#N/A</v>
      </c>
      <c r="AC208" s="60" t="e">
        <f>VLOOKUP(A208,Enforcements!$C$7:$E$21,3,0)</f>
        <v>#N/A</v>
      </c>
      <c r="AD208" s="61" t="str">
        <f t="shared" ref="AD208:AD247" si="97">IF(LEN(A208)=6,"0"&amp;A208,A208)</f>
        <v>0307-01</v>
      </c>
      <c r="AE208" s="91" t="str">
        <f t="shared" si="86"/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08" s="88" t="str">
        <f t="shared" si="87"/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08" s="1" t="str">
        <f t="shared" ref="AG208:AG247" si="98">IFERROR(IF(VALUE(LEFT(AD208,2))&lt;=2,"EC",IF(OR(VALUE(LEFT(AD208,2))=8,VALUE(LEFT(AD208,2))=18),"NW","Other")),"Other")</f>
        <v>Other</v>
      </c>
      <c r="AH208" s="92" t="str">
        <f t="shared" si="84"/>
        <v>"%USERPROFILE%\Documents\GitHub\eaglep3\Utilities\RefineRTDCRunTimes.py" --tripid 307-01 --locoid 4007 --swversion DE.1.0.8.0 --startMP 204:458 --initTime 2016-11-01T19:36:46 --startdatetime 1969-12-31T17:00:00 --delay 1 --endMP 300:23306 --enddatetime 1969-12-31T17:00:00 --enforcementcount 0 &gt;&gt;C:\Users\stu\Documents\GitHub\eaglep3-reporting\EC\2016-11-01-refined-times.txt</v>
      </c>
      <c r="AI208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ID","value":"307-01"},{"id":16,"name":"Locomotive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1" customFormat="1" x14ac:dyDescent="0.25">
      <c r="A209" s="37" t="s">
        <v>373</v>
      </c>
      <c r="B209" s="7">
        <v>4039</v>
      </c>
      <c r="C209" s="22" t="s">
        <v>253</v>
      </c>
      <c r="D209" s="22" t="s">
        <v>671</v>
      </c>
      <c r="E209" s="13">
        <v>42675.175694444442</v>
      </c>
      <c r="F209" s="13">
        <v>42675.177604166667</v>
      </c>
      <c r="G209" s="7">
        <v>2</v>
      </c>
      <c r="H209" s="13" t="s">
        <v>672</v>
      </c>
      <c r="I209" s="13">
        <v>42675.183796296296</v>
      </c>
      <c r="J209" s="7">
        <v>0</v>
      </c>
      <c r="K209" s="112" t="str">
        <f t="shared" si="88"/>
        <v>4039/4040</v>
      </c>
      <c r="L209" s="22" t="str">
        <f>VLOOKUP(A209,'Trips&amp;Operators'!$C$1:$E$10000,3,FALSE)</f>
        <v>SPECTOR</v>
      </c>
      <c r="M209" s="6">
        <f t="shared" si="89"/>
        <v>6.1921296291984618E-3</v>
      </c>
      <c r="N209" s="7">
        <f t="shared" si="83"/>
        <v>8.916666666045785</v>
      </c>
      <c r="O209" s="7"/>
      <c r="P209" s="7"/>
      <c r="Q209" s="23"/>
      <c r="R209" s="23"/>
      <c r="S209" s="35">
        <f t="shared" si="90"/>
        <v>1</v>
      </c>
      <c r="T209" s="50" t="str">
        <f t="shared" si="91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03:13:00-0600',mode:absolute,to:'2016-11-01 05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9" s="52" t="str">
        <f t="shared" si="93"/>
        <v>Y</v>
      </c>
      <c r="X209" s="177">
        <f t="shared" si="82"/>
        <v>1</v>
      </c>
      <c r="Y209" s="67">
        <f t="shared" si="94"/>
        <v>2.3374000000000001</v>
      </c>
      <c r="Z209" s="67">
        <f t="shared" si="95"/>
        <v>8.5000000000000006E-3</v>
      </c>
      <c r="AA209" s="67">
        <f t="shared" si="96"/>
        <v>2.3289</v>
      </c>
      <c r="AB209" s="64" t="e">
        <f>VLOOKUP(A209,Enforcements!$C$7:$K$21,8,0)</f>
        <v>#N/A</v>
      </c>
      <c r="AC209" s="60" t="e">
        <f>VLOOKUP(A209,Enforcements!$C$7:$E$21,3,0)</f>
        <v>#N/A</v>
      </c>
      <c r="AD209" s="61" t="str">
        <f t="shared" si="97"/>
        <v>0308-01</v>
      </c>
      <c r="AE209" s="91" t="str">
        <f t="shared" si="86"/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AF209" s="88" t="str">
        <f t="shared" si="87"/>
        <v>"C:\Program Files (x86)\AstroGrep\AstroGrep.exe" /spath="%USERPROFILE%\AppData\Local\Temp\OnboardLogs" /stypes="app*4039*20161101*" /stext=" 10:.+((SYSTEM_STATE.+slice.+state.+changed )|(ment ac)|(system.+state.+changed )|(\[timeout)|(PRM\|1\|D)|(kpr)|(kdp)|(\|lc)|(penalty))" /e /r /s</v>
      </c>
      <c r="AG209" s="1" t="str">
        <f t="shared" si="98"/>
        <v>Other</v>
      </c>
      <c r="AH209" s="92" t="str">
        <f t="shared" si="84"/>
        <v>"%USERPROFILE%\Documents\GitHub\eaglep3\Utilities\RefineRTDCRunTimes.py" --tripid 308-01 --locoid 4039 --swversion DE.1.0.8.0 --startMP 300:23374 --initTime 2016-11-01T04:13:00 --startdatetime 2016-11-01T04:15:45 --delay 2 --endMP 204:85 --enddatetime 2016-11-01T04:24:40 --enforcementcount 0 &gt;&gt;C:\Users\stu\Documents\GitHub\eaglep3-reporting\EC\2016-11-01-refined-times.txt</v>
      </c>
      <c r="AI209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{"issue":{"subject":"","project_id":79,"tracker_id":40,"status_id":1,"priority_id":2,"assigned_to_id":23,"start_date":"2016-11-01","description":"","custom_fields":[{"id":1,"name":"Subdivision","value":"Other"},{"id":4,"name":"Milepost","value":"0.0085"},{"id":17,"name":"Train ID","value":"308-01"},{"id":16,"name":"Locomotive ID","value":"4039"},{"id":130,"name":"Impact","value":""},{"id":150,"name":"Time of Event (Mountain Time)","value":"04:24:40"},{"id":151,"name":"Denver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1" customFormat="1" x14ac:dyDescent="0.25">
      <c r="A210" s="37" t="s">
        <v>595</v>
      </c>
      <c r="B210" s="7">
        <v>4022</v>
      </c>
      <c r="C210" s="22" t="s">
        <v>253</v>
      </c>
      <c r="D210" s="22" t="s">
        <v>211</v>
      </c>
      <c r="E210" s="13">
        <v>42676.028738425928</v>
      </c>
      <c r="F210" s="13">
        <v>42676.030636574076</v>
      </c>
      <c r="G210" s="7">
        <v>1</v>
      </c>
      <c r="H210" s="13" t="s">
        <v>673</v>
      </c>
      <c r="I210" s="13">
        <v>42676.036782407406</v>
      </c>
      <c r="J210" s="7">
        <v>0</v>
      </c>
      <c r="K210" s="112" t="str">
        <f t="shared" si="88"/>
        <v>4021/4022</v>
      </c>
      <c r="L210" s="22" t="str">
        <f>VLOOKUP(A210,'Trips&amp;Operators'!$C$1:$E$10000,3,FALSE)</f>
        <v>JOHNSON</v>
      </c>
      <c r="M210" s="6">
        <f t="shared" si="89"/>
        <v>6.1458333293558098E-3</v>
      </c>
      <c r="N210" s="7">
        <f t="shared" si="83"/>
        <v>8.8499999942723662</v>
      </c>
      <c r="O210" s="7"/>
      <c r="P210" s="7"/>
      <c r="Q210" s="23"/>
      <c r="R210" s="23"/>
      <c r="S210" s="35">
        <f t="shared" si="90"/>
        <v>1</v>
      </c>
      <c r="T210" s="50" t="str">
        <f t="shared" si="91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23:41:23-0600',mode:absolute,to:'2016-11-02 01:52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93"/>
        <v>Y</v>
      </c>
      <c r="X210" s="177">
        <f t="shared" si="82"/>
        <v>1</v>
      </c>
      <c r="Y210" s="67">
        <f t="shared" si="94"/>
        <v>4.5499999999999999E-2</v>
      </c>
      <c r="Z210" s="67">
        <f t="shared" si="95"/>
        <v>2.2841</v>
      </c>
      <c r="AA210" s="67">
        <f t="shared" si="96"/>
        <v>2.2385999999999999</v>
      </c>
      <c r="AB210" s="64" t="e">
        <f>VLOOKUP(A210,Enforcements!$C$7:$K$21,8,0)</f>
        <v>#N/A</v>
      </c>
      <c r="AC210" s="60" t="e">
        <f>VLOOKUP(A210,Enforcements!$C$7:$E$21,3,0)</f>
        <v>#N/A</v>
      </c>
      <c r="AD210" s="61" t="str">
        <f t="shared" si="97"/>
        <v>0309-01</v>
      </c>
      <c r="AE210" s="91" t="str">
        <f t="shared" si="86"/>
        <v>aws s3 cp s3://rtdc.mdm.uploadarchive.raw/RTDC4022/ "%USERPROFILE%\AppData\Local\Temp\OnboardLogs"\RTDC4022\2016-11-02 --exclude "*" --recursive --include "*20161102*" &amp; "%USERPROFILE%\Documents\GitHub\mrs-test-scripts\Headless Mode &amp; Sideloading\WalkAndUnGZ.bat" "%USERPROFILE%\AppData\Local\Temp\OnboardLogs"\RTDC4022\2016-11-02 &amp; aws s3 cp s3://rtdc.mdm.uploadarchive.raw/RTDC4022/ "%USERPROFILE%\AppData\Local\Temp\OnboardLogs"\RTDC4022\2016-11-03 --exclude "*" --recursive --include "*20161103*" &amp; "%USERPROFILE%\Documents\GitHub\mrs-test-scripts\Headless Mode &amp; Sideloading\WalkAndUnGZ.bat" "%USERPROFILE%\AppData\Local\Temp\OnboardLogs"\RTDC4022\2016-11-03</v>
      </c>
      <c r="AF210" s="88" t="str">
        <f t="shared" si="87"/>
        <v>"C:\Program Files (x86)\AstroGrep\AstroGrep.exe" /spath="%USERPROFILE%\AppData\Local\Temp\OnboardLogs" /stypes="app*4022*20161102*" /stext=" 06:.+((SYSTEM_STATE.+slice.+state.+changed )|(ment ac)|(system.+state.+changed )|(\[timeout)|(PRM\|1\|D)|(kpr)|(kdp)|(\|lc)|(penalty))" /e /r /s</v>
      </c>
      <c r="AG210" s="1" t="str">
        <f t="shared" si="98"/>
        <v>Other</v>
      </c>
      <c r="AH210" s="92" t="str">
        <f t="shared" si="84"/>
        <v>"%USERPROFILE%\Documents\GitHub\eaglep3\Utilities\RefineRTDCRunTimes.py" --tripid 309-01 --locoid 4022 --swversion DE.1.0.8.0 --startMP 204:455 --initTime 2016-11-02T00:41:23 --startdatetime 2016-11-02T00:44:07 --delay 1 --endMP 300:22841 --enddatetime 2016-11-02T00:52:58 --enforcementcount 0 &gt;&gt;C:\Users\stu\Documents\GitHub\eaglep3-reporting\EC\2016-11-01-refined-times.txt</v>
      </c>
      <c r="AI210" s="122" t="str">
        <f t="shared" si="85"/>
        <v>echo {"issue":{"subject":"","project_id":79,"tracker_id":40,"status_id":1,"priority_id":2,"assigned_to_id":23,"start_date":"2016-11-02","description":"","custom_fields":[{"id":1,"name":"Subdivision","value":"Other"},{"id":4,"name":"Milepost","value":"2.2841"},{"id":17,"name":"Train ID","value":"309-01"},{"id":16,"name":"Locomotive ID","value":"4022"},{"id":130,"name":"Impact","value":""},{"id":150,"name":"Time of Event (Mountain Time)","value":"00:52:58"},{"id":151,"name":"Denver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1" customFormat="1" x14ac:dyDescent="0.25">
      <c r="A211" s="37" t="s">
        <v>409</v>
      </c>
      <c r="B211" s="7">
        <v>4013</v>
      </c>
      <c r="C211" s="22" t="s">
        <v>253</v>
      </c>
      <c r="D211" s="22" t="s">
        <v>674</v>
      </c>
      <c r="E211" s="13">
        <v>42675.182881944442</v>
      </c>
      <c r="F211" s="13">
        <v>42675.184178240743</v>
      </c>
      <c r="G211" s="7">
        <v>1</v>
      </c>
      <c r="H211" s="13" t="s">
        <v>205</v>
      </c>
      <c r="I211" s="13">
        <v>42675.195277777777</v>
      </c>
      <c r="J211" s="7">
        <v>0</v>
      </c>
      <c r="K211" s="112" t="str">
        <f t="shared" si="88"/>
        <v>4013/4014</v>
      </c>
      <c r="L211" s="22" t="str">
        <f>VLOOKUP(A211,'Trips&amp;Operators'!$C$1:$E$10000,3,FALSE)</f>
        <v>DAVIS</v>
      </c>
      <c r="M211" s="6">
        <f t="shared" si="89"/>
        <v>1.1099537034169771E-2</v>
      </c>
      <c r="N211" s="7">
        <f t="shared" si="83"/>
        <v>15.98333332920447</v>
      </c>
      <c r="O211" s="7"/>
      <c r="P211" s="7"/>
      <c r="Q211" s="23"/>
      <c r="R211" s="23"/>
      <c r="S211" s="35">
        <f t="shared" si="90"/>
        <v>1</v>
      </c>
      <c r="T211" s="50" t="str">
        <f t="shared" si="91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03:23:21-0600',mode:absolute,to:'2016-11-01 05:41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11" s="52" t="str">
        <f t="shared" si="93"/>
        <v>Y</v>
      </c>
      <c r="X211" s="177">
        <f t="shared" si="82"/>
        <v>1</v>
      </c>
      <c r="Y211" s="67">
        <f t="shared" si="94"/>
        <v>2.1806999999999999</v>
      </c>
      <c r="Z211" s="67">
        <f t="shared" si="95"/>
        <v>1.49E-2</v>
      </c>
      <c r="AA211" s="67">
        <f t="shared" si="96"/>
        <v>2.1657999999999999</v>
      </c>
      <c r="AB211" s="64" t="e">
        <f>VLOOKUP(A211,Enforcements!$C$7:$K$21,8,0)</f>
        <v>#N/A</v>
      </c>
      <c r="AC211" s="60" t="e">
        <f>VLOOKUP(A211,Enforcements!$C$7:$E$21,3,0)</f>
        <v>#N/A</v>
      </c>
      <c r="AD211" s="61" t="str">
        <f t="shared" si="97"/>
        <v>0310-01</v>
      </c>
      <c r="AE211" s="91" t="str">
        <f t="shared" si="86"/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AF211" s="88" t="str">
        <f t="shared" si="87"/>
        <v>"C:\Program Files (x86)\AstroGrep\AstroGrep.exe" /spath="%USERPROFILE%\AppData\Local\Temp\OnboardLogs" /stypes="app*4013*20161101*" /stext=" 10:.+((SYSTEM_STATE.+slice.+state.+changed )|(ment ac)|(system.+state.+changed )|(\[timeout)|(PRM\|1\|D)|(kpr)|(kdp)|(\|lc)|(penalty))" /e /r /s</v>
      </c>
      <c r="AG211" s="1" t="str">
        <f t="shared" si="98"/>
        <v>Other</v>
      </c>
      <c r="AH211" s="92" t="str">
        <f t="shared" si="84"/>
        <v>"%USERPROFILE%\Documents\GitHub\eaglep3\Utilities\RefineRTDCRunTimes.py" --tripid 310-01 --locoid 4013 --swversion DE.1.0.8.0 --startMP 300:21807 --initTime 2016-11-01T04:23:21 --startdatetime 2016-11-01T04:25:13 --delay 1 --endMP 204:149 --enddatetime 2016-11-01T04:41:12 --enforcementcount 0 &gt;&gt;C:\Users\stu\Documents\GitHub\eaglep3-reporting\EC\2016-11-01-refined-times.txt</v>
      </c>
      <c r="AI211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{"issue":{"subject":"","project_id":79,"tracker_id":40,"status_id":1,"priority_id":2,"assigned_to_id":23,"start_date":"2016-11-01","description":"","custom_fields":[{"id":1,"name":"Subdivision","value":"Other"},{"id":4,"name":"Milepost","value":"0.0149"},{"id":17,"name":"Train ID","value":"310-01"},{"id":16,"name":"Locomotive ID","value":"4013"},{"id":130,"name":"Impact","value":""},{"id":150,"name":"Time of Event (Mountain Time)","value":"04:41:12"},{"id":151,"name":"Denver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1" customFormat="1" x14ac:dyDescent="0.25">
      <c r="A212" s="37" t="s">
        <v>403</v>
      </c>
      <c r="B212" s="7">
        <v>4029</v>
      </c>
      <c r="C212" s="22" t="s">
        <v>253</v>
      </c>
      <c r="D212" s="22" t="s">
        <v>259</v>
      </c>
      <c r="E212" s="13">
        <v>42676.052824074075</v>
      </c>
      <c r="F212" s="13">
        <v>42676.054872685185</v>
      </c>
      <c r="G212" s="7">
        <v>1</v>
      </c>
      <c r="H212" s="13" t="s">
        <v>675</v>
      </c>
      <c r="I212" s="13">
        <v>42676.060659722221</v>
      </c>
      <c r="J212" s="7">
        <v>0</v>
      </c>
      <c r="K212" s="112" t="str">
        <f t="shared" si="88"/>
        <v>4029/4030</v>
      </c>
      <c r="L212" s="22" t="str">
        <f>VLOOKUP(A212,'Trips&amp;Operators'!$C$1:$E$10000,3,FALSE)</f>
        <v>CRAYTON</v>
      </c>
      <c r="M212" s="6">
        <f t="shared" si="89"/>
        <v>5.7870370364980772E-3</v>
      </c>
      <c r="N212" s="7">
        <f t="shared" si="83"/>
        <v>8.3333333325572312</v>
      </c>
      <c r="O212" s="7"/>
      <c r="P212" s="7"/>
      <c r="Q212" s="23"/>
      <c r="R212" s="23"/>
      <c r="S212" s="35">
        <f t="shared" si="90"/>
        <v>1</v>
      </c>
      <c r="T212" s="50" t="str">
        <f t="shared" si="91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https://search-rtdc-monitor-bjffxe2xuh6vdkpspy63sjmuny.us-east-1.es.amazonaws.com/_plugin/kibana/#/discover/Steve-Slow-Train-Analysis-(2080s-and-2083s)?_g=(refreshInterval:(display:Off,section:0,value:0),time:(from:'2016-11-02 00:16:04-0600',mode:absolute,to:'2016-11-02 02:27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2" s="52" t="str">
        <f t="shared" si="93"/>
        <v>Y</v>
      </c>
      <c r="X212" s="177">
        <f t="shared" si="82"/>
        <v>1</v>
      </c>
      <c r="Y212" s="67">
        <f t="shared" si="94"/>
        <v>4.58E-2</v>
      </c>
      <c r="Z212" s="67">
        <f t="shared" si="95"/>
        <v>2.2563</v>
      </c>
      <c r="AA212" s="67">
        <f t="shared" si="96"/>
        <v>2.2105000000000001</v>
      </c>
      <c r="AB212" s="64" t="e">
        <f>VLOOKUP(A212,Enforcements!$C$7:$K$21,8,0)</f>
        <v>#N/A</v>
      </c>
      <c r="AC212" s="60" t="e">
        <f>VLOOKUP(A212,Enforcements!$C$7:$E$21,3,0)</f>
        <v>#N/A</v>
      </c>
      <c r="AD212" s="61" t="str">
        <f t="shared" si="97"/>
        <v>0311-01</v>
      </c>
      <c r="AE212" s="91" t="str">
        <f t="shared" si="86"/>
        <v>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 &amp; 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</v>
      </c>
      <c r="AF212" s="88" t="str">
        <f t="shared" si="87"/>
        <v>"C:\Program Files (x86)\AstroGrep\AstroGrep.exe" /spath="%USERPROFILE%\AppData\Local\Temp\OnboardLogs" /stypes="app*4029*20161102*" /stext=" 07:.+((SYSTEM_STATE.+slice.+state.+changed )|(ment ac)|(system.+state.+changed )|(\[timeout)|(PRM\|1\|D)|(kpr)|(kdp)|(\|lc)|(penalty))" /e /r /s</v>
      </c>
      <c r="AG212" s="1" t="str">
        <f t="shared" si="98"/>
        <v>Other</v>
      </c>
      <c r="AH212" s="92" t="str">
        <f t="shared" si="84"/>
        <v>"%USERPROFILE%\Documents\GitHub\eaglep3\Utilities\RefineRTDCRunTimes.py" --tripid 311-01 --locoid 4029 --swversion DE.1.0.8.0 --startMP 204:458 --initTime 2016-11-02T01:16:04 --startdatetime 2016-11-02T01:19:01 --delay 1 --endMP 300:22563 --enddatetime 2016-11-02T01:27:21 --enforcementcount 0 &gt;&gt;C:\Users\stu\Documents\GitHub\eaglep3-reporting\EC\2016-11-01-refined-times.txt</v>
      </c>
      <c r="AI212" s="122" t="str">
        <f t="shared" si="85"/>
        <v>echo {"issue":{"subject":"","project_id":79,"tracker_id":40,"status_id":1,"priority_id":2,"assigned_to_id":23,"start_date":"2016-11-02","description":"","custom_fields":[{"id":1,"name":"Subdivision","value":"Other"},{"id":4,"name":"Milepost","value":"2.2563"},{"id":17,"name":"Train ID","value":"311-01"},{"id":16,"name":"Locomotive ID","value":"4029"},{"id":130,"name":"Impact","value":""},{"id":150,"name":"Time of Event (Mountain Time)","value":"01:27:21"},{"id":151,"name":"Denver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1" customFormat="1" x14ac:dyDescent="0.25">
      <c r="A213" s="37" t="s">
        <v>599</v>
      </c>
      <c r="B213" s="7">
        <v>4040</v>
      </c>
      <c r="C213" s="22" t="s">
        <v>253</v>
      </c>
      <c r="D213" s="22" t="s">
        <v>676</v>
      </c>
      <c r="E213" s="13">
        <v>42676.091898148145</v>
      </c>
      <c r="F213" s="13">
        <v>42676.093136574076</v>
      </c>
      <c r="G213" s="7">
        <v>1</v>
      </c>
      <c r="H213" s="13" t="s">
        <v>677</v>
      </c>
      <c r="I213" s="13">
        <v>42676.100023148145</v>
      </c>
      <c r="J213" s="7">
        <v>0</v>
      </c>
      <c r="K213" s="112" t="str">
        <f t="shared" si="88"/>
        <v>4039/4040</v>
      </c>
      <c r="L213" s="22" t="str">
        <f>VLOOKUP(A213,'Trips&amp;Operators'!$C$1:$E$10000,3,FALSE)</f>
        <v>CHANDLER</v>
      </c>
      <c r="M213" s="6">
        <f t="shared" si="89"/>
        <v>6.8865740686305799E-3</v>
      </c>
      <c r="N213" s="7">
        <f t="shared" si="83"/>
        <v>9.916666658828035</v>
      </c>
      <c r="O213" s="7"/>
      <c r="P213" s="7"/>
      <c r="Q213" s="23"/>
      <c r="R213" s="23"/>
      <c r="S213" s="35">
        <f t="shared" si="90"/>
        <v>1</v>
      </c>
      <c r="T213" s="50" t="str">
        <f t="shared" si="91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https://search-rtdc-monitor-bjffxe2xuh6vdkpspy63sjmuny.us-east-1.es.amazonaws.com/_plugin/kibana/#/discover/Steve-Slow-Train-Analysis-(2080s-and-2083s)?_g=(refreshInterval:(display:Off,section:0,value:0),time:(from:'2016-11-02 01:12:20-0600',mode:absolute,to:'2016-11-02 03:24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3" s="52" t="str">
        <f t="shared" si="93"/>
        <v>Y</v>
      </c>
      <c r="X213" s="177">
        <f t="shared" si="82"/>
        <v>4</v>
      </c>
      <c r="Y213" s="67">
        <f t="shared" si="94"/>
        <v>3.8800000000000001E-2</v>
      </c>
      <c r="Z213" s="67">
        <f t="shared" si="95"/>
        <v>2.2231000000000001</v>
      </c>
      <c r="AA213" s="67">
        <f t="shared" si="96"/>
        <v>2.1842999999999999</v>
      </c>
      <c r="AB213" s="64" t="e">
        <f>VLOOKUP(A213,Enforcements!$C$7:$K$21,8,0)</f>
        <v>#N/A</v>
      </c>
      <c r="AC213" s="60" t="e">
        <f>VLOOKUP(A213,Enforcements!$C$7:$E$21,3,0)</f>
        <v>#N/A</v>
      </c>
      <c r="AD213" s="61" t="str">
        <f t="shared" si="97"/>
        <v>0315-01</v>
      </c>
      <c r="AE213" s="91" t="str">
        <f t="shared" si="86"/>
        <v>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 &amp; aws s3 cp s3://rtdc.mdm.uploadarchive.raw/RTDC4040/ "%USERPROFILE%\AppData\Local\Temp\OnboardLogs"\RTDC4040\2016-11-03 --exclude "*" --recursive --include "*20161103*" &amp; "%USERPROFILE%\Documents\GitHub\mrs-test-scripts\Headless Mode &amp; Sideloading\WalkAndUnGZ.bat" "%USERPROFILE%\AppData\Local\Temp\OnboardLogs"\RTDC4040\2016-11-03</v>
      </c>
      <c r="AF213" s="88" t="str">
        <f t="shared" si="87"/>
        <v>"C:\Program Files (x86)\AstroGrep\AstroGrep.exe" /spath="%USERPROFILE%\AppData\Local\Temp\OnboardLogs" /stypes="app*4040*20161102*" /stext=" 08:.+((SYSTEM_STATE.+slice.+state.+changed )|(ment ac)|(system.+state.+changed )|(\[timeout)|(PRM\|1\|D)|(kpr)|(kdp)|(\|lc)|(penalty))" /e /r /s</v>
      </c>
      <c r="AG213" s="1" t="str">
        <f t="shared" si="98"/>
        <v>Other</v>
      </c>
      <c r="AH213" s="92" t="str">
        <f t="shared" si="84"/>
        <v>"%USERPROFILE%\Documents\GitHub\eaglep3\Utilities\RefineRTDCRunTimes.py" --tripid 315-01 --locoid 4040 --swversion DE.1.0.8.0 --startMP 204:388 --initTime 2016-11-02T02:12:20 --startdatetime 2016-11-02T02:14:07 --delay 1 --endMP 300:22231 --enddatetime 2016-11-02T02:24:02 --enforcementcount 0 &gt;&gt;C:\Users\stu\Documents\GitHub\eaglep3-reporting\EC\2016-11-01-refined-times.txt</v>
      </c>
      <c r="AI213" s="122" t="str">
        <f t="shared" si="85"/>
        <v>echo {"issue":{"subject":"","project_id":79,"tracker_id":40,"status_id":1,"priority_id":2,"assigned_to_id":23,"start_date":"2016-11-02","description":"","custom_fields":[{"id":1,"name":"Subdivision","value":"Other"},{"id":4,"name":"Milepost","value":"2.2231"},{"id":17,"name":"Train ID","value":"315-01"},{"id":16,"name":"Locomotive ID","value":"4040"},{"id":130,"name":"Impact","value":""},{"id":150,"name":"Time of Event (Mountain Time)","value":"02:24:02"},{"id":151,"name":"Denver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1" customFormat="1" x14ac:dyDescent="0.25">
      <c r="A214" s="37" t="s">
        <v>335</v>
      </c>
      <c r="B214" s="7">
        <v>4002</v>
      </c>
      <c r="C214" s="22" t="s">
        <v>253</v>
      </c>
      <c r="D214" s="22" t="s">
        <v>353</v>
      </c>
      <c r="E214" s="13">
        <v>42675.088449074072</v>
      </c>
      <c r="F214" s="13">
        <v>25568.708333333332</v>
      </c>
      <c r="G214" s="7">
        <v>1</v>
      </c>
      <c r="H214" s="13" t="s">
        <v>354</v>
      </c>
      <c r="I214" s="13">
        <v>25568.708333333332</v>
      </c>
      <c r="J214" s="7">
        <v>0</v>
      </c>
      <c r="K214" s="112" t="str">
        <f t="shared" si="88"/>
        <v>4001/4002</v>
      </c>
      <c r="L214" s="22" t="str">
        <f>VLOOKUP(A214,'Trips&amp;Operators'!$C$1:$E$10000,3,FALSE)</f>
        <v>WHITED</v>
      </c>
      <c r="M214" s="6">
        <f t="shared" si="89"/>
        <v>0</v>
      </c>
      <c r="N214" s="7">
        <f t="shared" si="83"/>
        <v>0</v>
      </c>
      <c r="O214" s="7"/>
      <c r="P214" s="7"/>
      <c r="Q214" s="23"/>
      <c r="R214" s="23"/>
      <c r="S214" s="35">
        <f t="shared" si="90"/>
        <v>1</v>
      </c>
      <c r="T214" s="50" t="str">
        <f t="shared" si="91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01:07:22-0600',mode:absolute,to:'1969-12-31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 t="shared" si="93"/>
        <v>Y</v>
      </c>
      <c r="X214" s="177">
        <f t="shared" si="82"/>
        <v>0</v>
      </c>
      <c r="Y214" s="67">
        <f t="shared" si="94"/>
        <v>0.1242</v>
      </c>
      <c r="Z214" s="67">
        <f t="shared" si="95"/>
        <v>2.3022</v>
      </c>
      <c r="AA214" s="67">
        <f t="shared" si="96"/>
        <v>2.1779999999999999</v>
      </c>
      <c r="AB214" s="64" t="e">
        <f>VLOOKUP(A214,Enforcements!$C$7:$K$21,8,0)</f>
        <v>#N/A</v>
      </c>
      <c r="AC214" s="60" t="e">
        <f>VLOOKUP(A214,Enforcements!$C$7:$E$21,3,0)</f>
        <v>#N/A</v>
      </c>
      <c r="AD214" s="61" t="str">
        <f t="shared" si="97"/>
        <v>0315-31</v>
      </c>
      <c r="AE214" s="91" t="str">
        <f t="shared" si="86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 t="shared" si="87"/>
        <v>"C:\Program Files (x86)\AstroGrep\AstroGrep.exe" /spath="%USERPROFILE%\AppData\Local\Temp\OnboardLogs" /stypes="app*4002*19691231*" /stext=" 23:.+((SYSTEM_STATE.+slice.+state.+changed )|(ment ac)|(system.+state.+changed )|(\[timeout)|(PRM\|1\|D)|(kpr)|(kdp)|(\|lc)|(penalty))" /e /r /s</v>
      </c>
      <c r="AG214" s="1" t="str">
        <f t="shared" si="98"/>
        <v>Other</v>
      </c>
      <c r="AH214" s="92" t="str">
        <f t="shared" si="84"/>
        <v>"%USERPROFILE%\Documents\GitHub\eaglep3\Utilities\RefineRTDCRunTimes.py" --tripid 315-31 --locoid 4002 --swversion DE.1.0.8.0 --startMP 204:1242 --initTime 2016-11-01T02:07:22 --startdatetime 1969-12-31T17:00:00 --delay 1 --endMP 300:23022 --enddatetime 1969-12-31T17:00:00 --enforcementcount 0 &gt;&gt;C:\Users\stu\Documents\GitHub\eaglep3-reporting\EC\2016-11-01-refined-times.txt</v>
      </c>
      <c r="AI214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{"issue":{"subject":"","project_id":79,"tracker_id":40,"status_id":1,"priority_id":2,"assigned_to_id":23,"start_date":"1969-12-31","description":"","custom_fields":[{"id":1,"name":"Subdivision","value":"Other"},{"id":4,"name":"Milepost","value":"2.3022"},{"id":17,"name":"Train ID","value":"315-31"},{"id":16,"name":"Locomotive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7" t="s">
        <v>414</v>
      </c>
      <c r="B215" s="7">
        <v>4009</v>
      </c>
      <c r="C215" s="22" t="s">
        <v>253</v>
      </c>
      <c r="D215" s="22" t="s">
        <v>770</v>
      </c>
      <c r="E215" s="13">
        <v>42675.203541666669</v>
      </c>
      <c r="F215" s="13">
        <v>42675.207337962966</v>
      </c>
      <c r="G215" s="7">
        <v>5</v>
      </c>
      <c r="H215" s="13" t="s">
        <v>279</v>
      </c>
      <c r="I215" s="13">
        <v>42675.212418981479</v>
      </c>
      <c r="J215" s="7">
        <v>0</v>
      </c>
      <c r="K215" s="112" t="str">
        <f t="shared" si="88"/>
        <v>4009/4010</v>
      </c>
      <c r="L215" s="22" t="str">
        <f>VLOOKUP(A215,'Trips&amp;Operators'!$C$1:$E$10000,3,FALSE)</f>
        <v>STARKS</v>
      </c>
      <c r="M215" s="6">
        <f t="shared" si="89"/>
        <v>5.0810185130103491E-3</v>
      </c>
      <c r="N215" s="7">
        <f t="shared" si="83"/>
        <v>7.3166666587349027</v>
      </c>
      <c r="O215" s="7"/>
      <c r="P215" s="7"/>
      <c r="Q215" s="23"/>
      <c r="R215" s="23"/>
      <c r="S215" s="35">
        <f t="shared" si="90"/>
        <v>0</v>
      </c>
      <c r="T215" s="50" t="str">
        <f t="shared" si="91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03:53:06-0600',mode:absolute,to:'2016-11-01 06:05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5" s="52" t="str">
        <f t="shared" si="93"/>
        <v>Y</v>
      </c>
      <c r="X215" s="177">
        <f t="shared" si="82"/>
        <v>586</v>
      </c>
      <c r="Y215" s="67">
        <f t="shared" si="94"/>
        <v>2.9777999999999998</v>
      </c>
      <c r="Z215" s="67">
        <f t="shared" si="95"/>
        <v>5.8925999999999998</v>
      </c>
      <c r="AA215" s="67">
        <f t="shared" si="96"/>
        <v>2.9148000000000001</v>
      </c>
      <c r="AB215" s="64" t="e">
        <f>VLOOKUP(A215,Enforcements!$C$7:$K$21,8,0)</f>
        <v>#N/A</v>
      </c>
      <c r="AC215" s="60" t="e">
        <f>VLOOKUP(A215,Enforcements!$C$7:$E$21,3,0)</f>
        <v>#N/A</v>
      </c>
      <c r="AD215" s="61" t="str">
        <f t="shared" si="97"/>
        <v>0901-01</v>
      </c>
      <c r="AE215" s="91" t="str">
        <f t="shared" si="8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215" s="88" t="str">
        <f t="shared" si="87"/>
        <v>"C:\Program Files (x86)\AstroGrep\AstroGrep.exe" /spath="%USERPROFILE%\AppData\Local\Temp\OnboardLogs" /stypes="app*4009*20161101*" /stext=" 11:.+((SYSTEM_STATE.+slice.+state.+changed )|(ment ac)|(system.+state.+changed )|(\[timeout)|(PRM\|1\|D)|(kpr)|(kdp)|(\|lc)|(penalty))" /e /r /s</v>
      </c>
      <c r="AG215" s="1" t="str">
        <f t="shared" si="98"/>
        <v>Other</v>
      </c>
      <c r="AH215" s="92" t="str">
        <f t="shared" si="84"/>
        <v>"%USERPROFILE%\Documents\GitHub\eaglep3\Utilities\RefineRTDCRunTimes.py" --tripid 901-01 --locoid 4009 --swversion DE.1.0.8.0 --startMP 300:29778 --initTime 2016-11-01T04:53:06 --startdatetime 2016-11-01T04:58:34 --delay 5 --endMP 300:58926 --enddatetime 2016-11-01T05:05:53 --enforcementcount 0 &gt;&gt;C:\Users\stu\Documents\GitHub\eaglep3-reporting\EC\2016-11-01-refined-times.txt</v>
      </c>
      <c r="AI215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{"issue":{"subject":"","project_id":79,"tracker_id":40,"status_id":1,"priority_id":2,"assigned_to_id":23,"start_date":"2016-11-01","description":"","custom_fields":[{"id":1,"name":"Subdivision","value":"Other"},{"id":4,"name":"Milepost","value":"5.8926"},{"id":17,"name":"Train ID","value":"901-01"},{"id":16,"name":"Locomotive ID","value":"4009"},{"id":130,"name":"Impact","value":""},{"id":150,"name":"Time of Event (Mountain Time)","value":"05:05:53"},{"id":151,"name":"Denver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91" x14ac:dyDescent="0.25">
      <c r="A216" s="37" t="s">
        <v>423</v>
      </c>
      <c r="B216" s="7">
        <v>4004</v>
      </c>
      <c r="C216" s="22" t="s">
        <v>253</v>
      </c>
      <c r="D216" s="22" t="s">
        <v>771</v>
      </c>
      <c r="E216" s="13">
        <v>42675.245000000003</v>
      </c>
      <c r="F216" s="13">
        <v>42675.246168981481</v>
      </c>
      <c r="G216" s="7">
        <v>1</v>
      </c>
      <c r="H216" s="13" t="s">
        <v>772</v>
      </c>
      <c r="I216" s="13">
        <v>42675.251747685186</v>
      </c>
      <c r="J216" s="7">
        <v>0</v>
      </c>
      <c r="K216" s="112" t="str">
        <f t="shared" si="88"/>
        <v>4003/4004</v>
      </c>
      <c r="L216" s="22" t="str">
        <f>VLOOKUP(A216,'Trips&amp;Operators'!$C$1:$E$10000,3,FALSE)</f>
        <v>LEVIN</v>
      </c>
      <c r="M216" s="6">
        <f t="shared" si="89"/>
        <v>5.5787037053960375E-3</v>
      </c>
      <c r="N216" s="7">
        <f t="shared" si="83"/>
        <v>8.0333333357702941</v>
      </c>
      <c r="O216" s="7"/>
      <c r="P216" s="7"/>
      <c r="Q216" s="23"/>
      <c r="R216" s="23"/>
      <c r="S216" s="35">
        <f t="shared" si="90"/>
        <v>1</v>
      </c>
      <c r="T216" s="50" t="str">
        <f t="shared" si="91"/>
        <v>Southbound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04:52:48-0600',mode:absolute,to:'2016-11-01 07:02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6" s="52" t="str">
        <f t="shared" si="93"/>
        <v>Y</v>
      </c>
      <c r="X216" s="177">
        <f t="shared" si="82"/>
        <v>1</v>
      </c>
      <c r="Y216" s="67">
        <f t="shared" si="94"/>
        <v>2.2202000000000002</v>
      </c>
      <c r="Z216" s="67">
        <f t="shared" si="95"/>
        <v>7.17E-2</v>
      </c>
      <c r="AA216" s="67">
        <f t="shared" si="96"/>
        <v>2.1485000000000003</v>
      </c>
      <c r="AB216" s="64" t="e">
        <f>VLOOKUP(A216,Enforcements!$C$7:$K$21,8,0)</f>
        <v>#N/A</v>
      </c>
      <c r="AC216" s="60" t="e">
        <f>VLOOKUP(A216,Enforcements!$C$7:$E$21,3,0)</f>
        <v>#N/A</v>
      </c>
      <c r="AD216" s="61" t="str">
        <f t="shared" si="97"/>
        <v>0902-01</v>
      </c>
      <c r="AE216" s="91" t="str">
        <f t="shared" si="8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216" s="88" t="str">
        <f t="shared" si="87"/>
        <v>"C:\Program Files (x86)\AstroGrep\AstroGrep.exe" /spath="%USERPROFILE%\AppData\Local\Temp\OnboardLogs" /stypes="app*4004*20161101*" /stext=" 12:.+((SYSTEM_STATE.+slice.+state.+changed )|(ment ac)|(system.+state.+changed )|(\[timeout)|(PRM\|1\|D)|(kpr)|(kdp)|(\|lc)|(penalty))" /e /r /s</v>
      </c>
      <c r="AG216" s="1" t="str">
        <f t="shared" si="98"/>
        <v>Other</v>
      </c>
      <c r="AH216" s="92" t="str">
        <f t="shared" si="84"/>
        <v>"%USERPROFILE%\Documents\GitHub\eaglep3\Utilities\RefineRTDCRunTimes.py" --tripid 902-01 --locoid 4004 --swversion DE.1.0.8.0 --startMP 300:22202 --initTime 2016-11-01T05:52:48 --startdatetime 2016-11-01T05:54:29 --delay 1 --endMP 204:717 --enddatetime 2016-11-01T06:02:31 --enforcementcount 0 &gt;&gt;C:\Users\stu\Documents\GitHub\eaglep3-reporting\EC\2016-11-01-refined-times.txt</v>
      </c>
      <c r="AI216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{"issue":{"subject":"","project_id":79,"tracker_id":40,"status_id":1,"priority_id":2,"assigned_to_id":23,"start_date":"2016-11-01","description":"","custom_fields":[{"id":1,"name":"Subdivision","value":"Other"},{"id":4,"name":"Milepost","value":"0.0717"},{"id":17,"name":"Train ID","value":"902-01"},{"id":16,"name":"Locomotive ID","value":"4004"},{"id":130,"name":"Impact","value":""},{"id":150,"name":"Time of Event (Mountain Time)","value":"06:02:31"},{"id":151,"name":"Denver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91" x14ac:dyDescent="0.25">
      <c r="A217" s="37" t="s">
        <v>451</v>
      </c>
      <c r="B217" s="7">
        <v>4009</v>
      </c>
      <c r="C217" s="22" t="s">
        <v>253</v>
      </c>
      <c r="D217" s="22" t="s">
        <v>761</v>
      </c>
      <c r="E217" s="13">
        <v>42675.354178240741</v>
      </c>
      <c r="F217" s="13">
        <v>42675.355821759258</v>
      </c>
      <c r="G217" s="7">
        <v>2</v>
      </c>
      <c r="H217" s="13" t="s">
        <v>773</v>
      </c>
      <c r="I217" s="13">
        <v>42675.361273148148</v>
      </c>
      <c r="J217" s="7">
        <v>0</v>
      </c>
      <c r="K217" s="112" t="str">
        <f t="shared" si="88"/>
        <v>4009/4010</v>
      </c>
      <c r="L217" s="22" t="str">
        <f>VLOOKUP(A217,'Trips&amp;Operators'!$C$1:$E$10000,3,FALSE)</f>
        <v>STARKS</v>
      </c>
      <c r="M217" s="6">
        <f t="shared" si="89"/>
        <v>5.4513888899236917E-3</v>
      </c>
      <c r="N217" s="7">
        <f t="shared" si="83"/>
        <v>7.8500000014901161</v>
      </c>
      <c r="O217" s="7"/>
      <c r="P217" s="7"/>
      <c r="Q217" s="23"/>
      <c r="R217" s="23"/>
      <c r="S217" s="35">
        <f t="shared" si="90"/>
        <v>1</v>
      </c>
      <c r="T217" s="50" t="str">
        <f t="shared" si="91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07:30:01-0600',mode:absolute,to:'2016-11-01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7" s="52" t="str">
        <f t="shared" si="93"/>
        <v>Y</v>
      </c>
      <c r="X217" s="177">
        <f t="shared" si="82"/>
        <v>1</v>
      </c>
      <c r="Y217" s="67">
        <f t="shared" si="94"/>
        <v>0.1062</v>
      </c>
      <c r="Z217" s="67">
        <f t="shared" si="95"/>
        <v>2.4226999999999999</v>
      </c>
      <c r="AA217" s="67">
        <f t="shared" si="96"/>
        <v>2.3165</v>
      </c>
      <c r="AB217" s="64" t="e">
        <f>VLOOKUP(A217,Enforcements!$C$7:$K$21,8,0)</f>
        <v>#N/A</v>
      </c>
      <c r="AC217" s="60" t="e">
        <f>VLOOKUP(A217,Enforcements!$C$7:$E$21,3,0)</f>
        <v>#N/A</v>
      </c>
      <c r="AD217" s="61" t="str">
        <f t="shared" si="97"/>
        <v>0903-01</v>
      </c>
      <c r="AE217" s="91" t="str">
        <f t="shared" si="86"/>
        <v>aws s3 cp s3://rtdc.mdm.uploadarchive.raw/RTDC4009/ "%USERPROFILE%\AppData\Local\Temp\OnboardLogs"\RTDC4009\2016-11-01 --exclude "*" --recursive --include "*20161101*" &amp; "%USERPROFILE%\Documents\GitHub\mrs-test-scripts\Headless Mode &amp; Sideloading\WalkAndUnGZ.bat" "%USERPROFILE%\AppData\Local\Temp\OnboardLogs"\RTDC4009\2016-11-01 &amp; aws s3 cp s3://rtdc.mdm.uploadarchive.raw/RTDC4009/ "%USERPROFILE%\AppData\Local\Temp\OnboardLogs"\RTDC4009\2016-11-02 --exclude "*" --recursive --include "*20161102*" &amp; "%USERPROFILE%\Documents\GitHub\mrs-test-scripts\Headless Mode &amp; Sideloading\WalkAndUnGZ.bat" "%USERPROFILE%\AppData\Local\Temp\OnboardLogs"\RTDC4009\2016-11-02</v>
      </c>
      <c r="AF217" s="88" t="str">
        <f t="shared" si="87"/>
        <v>"C:\Program Files (x86)\AstroGrep\AstroGrep.exe" /spath="%USERPROFILE%\AppData\Local\Temp\OnboardLogs" /stypes="app*4009*20161101*" /stext=" 14:.+((SYSTEM_STATE.+slice.+state.+changed )|(ment ac)|(system.+state.+changed )|(\[timeout)|(PRM\|1\|D)|(kpr)|(kdp)|(\|lc)|(penalty))" /e /r /s</v>
      </c>
      <c r="AG217" s="1" t="str">
        <f t="shared" si="98"/>
        <v>Other</v>
      </c>
      <c r="AH217" s="92" t="str">
        <f t="shared" si="84"/>
        <v>"%USERPROFILE%\Documents\GitHub\eaglep3\Utilities\RefineRTDCRunTimes.py" --tripid 903-01 --locoid 4009 --swversion DE.1.0.8.0 --startMP 204:1062 --initTime 2016-11-01T08:30:01 --startdatetime 2016-11-01T08:32:23 --delay 2 --endMP 300:24227 --enddatetime 2016-11-01T08:40:14 --enforcementcount 0 &gt;&gt;C:\Users\stu\Documents\GitHub\eaglep3-reporting\EC\2016-11-01-refined-times.txt</v>
      </c>
      <c r="AI217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{"issue":{"subject":"","project_id":79,"tracker_id":40,"status_id":1,"priority_id":2,"assigned_to_id":23,"start_date":"2016-11-01","description":"","custom_fields":[{"id":1,"name":"Subdivision","value":"Other"},{"id":4,"name":"Milepost","value":"2.4227"},{"id":17,"name":"Train ID","value":"903-01"},{"id":16,"name":"Locomotive ID","value":"4009"},{"id":130,"name":"Impact","value":""},{"id":150,"name":"Time of Event (Mountain Time)","value":"08:40:14"},{"id":151,"name":"Denver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91" x14ac:dyDescent="0.25">
      <c r="A218" s="37" t="s">
        <v>515</v>
      </c>
      <c r="B218" s="7">
        <v>4010</v>
      </c>
      <c r="C218" s="22" t="s">
        <v>253</v>
      </c>
      <c r="D218" s="22" t="s">
        <v>774</v>
      </c>
      <c r="E218" s="13">
        <v>42675.642997685187</v>
      </c>
      <c r="F218" s="13">
        <v>42675.644085648149</v>
      </c>
      <c r="G218" s="7">
        <v>1</v>
      </c>
      <c r="H218" s="13" t="s">
        <v>775</v>
      </c>
      <c r="I218" s="13">
        <v>42675.650555555556</v>
      </c>
      <c r="J218" s="7">
        <v>0</v>
      </c>
      <c r="K218" s="112" t="str">
        <f t="shared" si="88"/>
        <v>4009/4010</v>
      </c>
      <c r="L218" s="22" t="str">
        <f>VLOOKUP(A218,'Trips&amp;Operators'!$C$1:$E$10000,3,FALSE)</f>
        <v>STAMBAUGH</v>
      </c>
      <c r="M218" s="6">
        <f t="shared" si="89"/>
        <v>6.4699074064265005E-3</v>
      </c>
      <c r="N218" s="7">
        <f t="shared" si="83"/>
        <v>9.3166666652541608</v>
      </c>
      <c r="O218" s="7"/>
      <c r="P218" s="7"/>
      <c r="Q218" s="23"/>
      <c r="R218" s="23"/>
      <c r="S218" s="35">
        <f t="shared" si="90"/>
        <v>1</v>
      </c>
      <c r="T218" s="50" t="str">
        <f t="shared" si="91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14:25:55-0600',mode:absolute,to:'2016-11-01 16:36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8" s="52" t="str">
        <f t="shared" si="93"/>
        <v>Y</v>
      </c>
      <c r="X218" s="177">
        <f t="shared" si="82"/>
        <v>1</v>
      </c>
      <c r="Y218" s="67">
        <f t="shared" si="94"/>
        <v>2.3578000000000001</v>
      </c>
      <c r="Z218" s="67">
        <f t="shared" si="95"/>
        <v>6.7000000000000004E-2</v>
      </c>
      <c r="AA218" s="67">
        <f t="shared" si="96"/>
        <v>2.2907999999999999</v>
      </c>
      <c r="AB218" s="64" t="e">
        <f>VLOOKUP(A218,Enforcements!$C$7:$K$21,8,0)</f>
        <v>#N/A</v>
      </c>
      <c r="AC218" s="60" t="e">
        <f>VLOOKUP(A218,Enforcements!$C$7:$E$21,3,0)</f>
        <v>#N/A</v>
      </c>
      <c r="AD218" s="61" t="str">
        <f t="shared" si="97"/>
        <v>0904-01</v>
      </c>
      <c r="AE218" s="91" t="str">
        <f t="shared" si="86"/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AF218" s="88" t="str">
        <f t="shared" si="87"/>
        <v>"C:\Program Files (x86)\AstroGrep\AstroGrep.exe" /spath="%USERPROFILE%\AppData\Local\Temp\OnboardLogs" /stypes="app*4010*20161101*" /stext=" 21:.+((SYSTEM_STATE.+slice.+state.+changed )|(ment ac)|(system.+state.+changed )|(\[timeout)|(PRM\|1\|D)|(kpr)|(kdp)|(\|lc)|(penalty))" /e /r /s</v>
      </c>
      <c r="AG218" s="1" t="str">
        <f t="shared" si="98"/>
        <v>Other</v>
      </c>
      <c r="AH218" s="92" t="str">
        <f t="shared" si="84"/>
        <v>"%USERPROFILE%\Documents\GitHub\eaglep3\Utilities\RefineRTDCRunTimes.py" --tripid 904-01 --locoid 4010 --swversion DE.1.0.8.0 --startMP 300:23578 --initTime 2016-11-01T15:25:55 --startdatetime 2016-11-01T15:27:29 --delay 1 --endMP 204:670 --enddatetime 2016-11-01T15:36:48 --enforcementcount 0 &gt;&gt;C:\Users\stu\Documents\GitHub\eaglep3-reporting\EC\2016-11-01-refined-times.txt</v>
      </c>
      <c r="AI218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{"issue":{"subject":"","project_id":79,"tracker_id":40,"status_id":1,"priority_id":2,"assigned_to_id":23,"start_date":"2016-11-01","description":"","custom_fields":[{"id":1,"name":"Subdivision","value":"Other"},{"id":4,"name":"Milepost","value":"0.067"},{"id":17,"name":"Train ID","value":"904-01"},{"id":16,"name":"Locomotive ID","value":"4010"},{"id":130,"name":"Impact","value":""},{"id":150,"name":"Time of Event (Mountain Time)","value":"15:36:48"},{"id":151,"name":"Denver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91" x14ac:dyDescent="0.25">
      <c r="A219" s="37" t="s">
        <v>561</v>
      </c>
      <c r="B219" s="7">
        <v>4010</v>
      </c>
      <c r="C219" s="22" t="s">
        <v>253</v>
      </c>
      <c r="D219" s="22" t="s">
        <v>776</v>
      </c>
      <c r="E219" s="13">
        <v>42675.796516203707</v>
      </c>
      <c r="F219" s="13">
        <v>25568.708333333332</v>
      </c>
      <c r="G219" s="7">
        <v>1</v>
      </c>
      <c r="H219" s="13" t="s">
        <v>777</v>
      </c>
      <c r="I219" s="13">
        <v>25568.708333333332</v>
      </c>
      <c r="J219" s="7">
        <v>0</v>
      </c>
      <c r="K219" s="112" t="str">
        <f t="shared" si="88"/>
        <v>4009/4010</v>
      </c>
      <c r="L219" s="22" t="str">
        <f>VLOOKUP(A219,'Trips&amp;Operators'!$C$1:$E$10000,3,FALSE)</f>
        <v>STAMBAUGH</v>
      </c>
      <c r="M219" s="6">
        <f t="shared" si="89"/>
        <v>0</v>
      </c>
      <c r="N219" s="7">
        <f t="shared" si="83"/>
        <v>0</v>
      </c>
      <c r="O219" s="7"/>
      <c r="P219" s="7"/>
      <c r="Q219" s="23"/>
      <c r="R219" s="23"/>
      <c r="S219" s="35">
        <f t="shared" si="90"/>
        <v>0</v>
      </c>
      <c r="T219" s="50" t="str">
        <f t="shared" si="91"/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18:06:59-0600',mode:absolute,to:'1969-12-31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9" s="52" t="str">
        <f t="shared" si="93"/>
        <v>Y</v>
      </c>
      <c r="X219" s="177">
        <f t="shared" si="82"/>
        <v>2</v>
      </c>
      <c r="Y219" s="67">
        <f t="shared" si="94"/>
        <v>5.8605999999999998</v>
      </c>
      <c r="Z219" s="67">
        <f t="shared" si="95"/>
        <v>2.8780000000000001</v>
      </c>
      <c r="AA219" s="67">
        <f t="shared" si="96"/>
        <v>2.9825999999999997</v>
      </c>
      <c r="AB219" s="64" t="e">
        <f>VLOOKUP(A219,Enforcements!$C$7:$K$21,8,0)</f>
        <v>#N/A</v>
      </c>
      <c r="AC219" s="60" t="e">
        <f>VLOOKUP(A219,Enforcements!$C$7:$E$21,3,0)</f>
        <v>#N/A</v>
      </c>
      <c r="AD219" s="61" t="str">
        <f t="shared" si="97"/>
        <v>0906-01</v>
      </c>
      <c r="AE219" s="91" t="str">
        <f t="shared" si="86"/>
        <v>aws s3 cp s3://rtdc.mdm.uploadarchive.raw/RTDC4010/ "%USERPROFILE%\AppData\Local\Temp\OnboardLogs"\RTDC4010\1969-12-31 --exclude "*" --recursive --include "*19691231*" &amp; "%USERPROFILE%\Documents\GitHub\mrs-test-scripts\Headless Mode &amp; Sideloading\WalkAndUnGZ.bat" "%USERPROFILE%\AppData\Local\Temp\OnboardLogs"\RTDC4010\1969-12-31 &amp; aws s3 cp s3://rtdc.mdm.uploadarchive.raw/RTDC4010/ "%USERPROFILE%\AppData\Local\Temp\OnboardLogs"\RTDC4010\1970-01-01 --exclude "*" --recursive --include "*19700101*" &amp; "%USERPROFILE%\Documents\GitHub\mrs-test-scripts\Headless Mode &amp; Sideloading\WalkAndUnGZ.bat" "%USERPROFILE%\AppData\Local\Temp\OnboardLogs"\RTDC4010\1970-01-01</v>
      </c>
      <c r="AF219" s="88" t="str">
        <f t="shared" si="87"/>
        <v>"C:\Program Files (x86)\AstroGrep\AstroGrep.exe" /spath="%USERPROFILE%\AppData\Local\Temp\OnboardLogs" /stypes="app*4010*19691231*" /stext=" 23:.+((SYSTEM_STATE.+slice.+state.+changed )|(ment ac)|(system.+state.+changed )|(\[timeout)|(PRM\|1\|D)|(kpr)|(kdp)|(\|lc)|(penalty))" /e /r /s</v>
      </c>
      <c r="AG219" s="1" t="str">
        <f t="shared" si="98"/>
        <v>Other</v>
      </c>
      <c r="AH219" s="92" t="str">
        <f t="shared" si="84"/>
        <v>"%USERPROFILE%\Documents\GitHub\eaglep3\Utilities\RefineRTDCRunTimes.py" --tripid 906-01 --locoid 4010 --swversion DE.1.0.8.0 --startMP 300:58606 --initTime 2016-11-01T19:06:59 --startdatetime 1969-12-31T17:00:00 --delay 1 --endMP 300:28780 --enddatetime 1969-12-31T17:00:00 --enforcementcount 0 &gt;&gt;C:\Users\stu\Documents\GitHub\eaglep3-reporting\EC\2016-11-01-refined-times.txt</v>
      </c>
      <c r="AI219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{"issue":{"subject":"","project_id":79,"tracker_id":40,"status_id":1,"priority_id":2,"assigned_to_id":23,"start_date":"1969-12-31","description":"","custom_fields":[{"id":1,"name":"Subdivision","value":"Other"},{"id":4,"name":"Milepost","value":"2.878"},{"id":17,"name":"Train ID","value":"906-01"},{"id":16,"name":"Locomotive ID","value":"4010"},{"id":130,"name":"Impact","value":""},{"id":150,"name":"Time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91" x14ac:dyDescent="0.25">
      <c r="A220" s="37" t="s">
        <v>586</v>
      </c>
      <c r="B220" s="7">
        <v>4004</v>
      </c>
      <c r="C220" s="22" t="s">
        <v>253</v>
      </c>
      <c r="D220" s="22" t="s">
        <v>778</v>
      </c>
      <c r="E220" s="13">
        <v>42675.942118055558</v>
      </c>
      <c r="F220" s="13">
        <v>42675.943715277775</v>
      </c>
      <c r="G220" s="7">
        <v>1</v>
      </c>
      <c r="H220" s="13" t="s">
        <v>779</v>
      </c>
      <c r="I220" s="13">
        <v>42675.948009259257</v>
      </c>
      <c r="J220" s="7">
        <v>0</v>
      </c>
      <c r="K220" s="112" t="str">
        <f t="shared" si="88"/>
        <v>4003/4004</v>
      </c>
      <c r="L220" s="22" t="str">
        <f>VLOOKUP(A220,'Trips&amp;Operators'!$C$1:$E$10000,3,FALSE)</f>
        <v>STAMBAUGH</v>
      </c>
      <c r="M220" s="6">
        <f t="shared" si="89"/>
        <v>4.2939814811688848E-3</v>
      </c>
      <c r="N220" s="7">
        <f t="shared" si="83"/>
        <v>6.1833333328831941</v>
      </c>
      <c r="O220" s="7"/>
      <c r="P220" s="7"/>
      <c r="Q220" s="23"/>
      <c r="R220" s="23"/>
      <c r="S220" s="35">
        <f t="shared" si="90"/>
        <v>0</v>
      </c>
      <c r="T220" s="50" t="str">
        <f t="shared" si="91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21:36:39-0600',mode:absolute,to:'2016-11-01 23:45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0" s="52" t="str">
        <f t="shared" si="93"/>
        <v>Y</v>
      </c>
      <c r="X220" s="177">
        <f t="shared" si="82"/>
        <v>2</v>
      </c>
      <c r="Y220" s="67">
        <f t="shared" si="94"/>
        <v>5.8604000000000003</v>
      </c>
      <c r="Z220" s="67">
        <f t="shared" si="95"/>
        <v>2.149</v>
      </c>
      <c r="AA220" s="67">
        <f t="shared" si="96"/>
        <v>3.7114000000000003</v>
      </c>
      <c r="AB220" s="64" t="e">
        <f>VLOOKUP(A220,Enforcements!$C$7:$K$21,8,0)</f>
        <v>#N/A</v>
      </c>
      <c r="AC220" s="60" t="e">
        <f>VLOOKUP(A220,Enforcements!$C$7:$E$21,3,0)</f>
        <v>#N/A</v>
      </c>
      <c r="AD220" s="61" t="str">
        <f t="shared" si="97"/>
        <v>0908-01</v>
      </c>
      <c r="AE220" s="91" t="str">
        <f t="shared" si="86"/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AF220" s="88" t="str">
        <f t="shared" si="87"/>
        <v>"C:\Program Files (x86)\AstroGrep\AstroGrep.exe" /spath="%USERPROFILE%\AppData\Local\Temp\OnboardLogs" /stypes="app*4004*20161102*" /stext=" 04:.+((SYSTEM_STATE.+slice.+state.+changed )|(ment ac)|(system.+state.+changed )|(\[timeout)|(PRM\|1\|D)|(kpr)|(kdp)|(\|lc)|(penalty))" /e /r /s</v>
      </c>
      <c r="AG220" s="1" t="str">
        <f t="shared" si="98"/>
        <v>Other</v>
      </c>
      <c r="AH220" s="92" t="str">
        <f t="shared" si="84"/>
        <v>"%USERPROFILE%\Documents\GitHub\eaglep3\Utilities\RefineRTDCRunTimes.py" --tripid 908-01 --locoid 4004 --swversion DE.1.0.8.0 --startMP 300:58604 --initTime 2016-11-01T22:36:39 --startdatetime 2016-11-01T22:38:57 --delay 1 --endMP 300:21490 --enddatetime 2016-11-01T22:45:08 --enforcementcount 0 &gt;&gt;C:\Users\stu\Documents\GitHub\eaglep3-reporting\EC\2016-11-01-refined-times.txt</v>
      </c>
      <c r="AI220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{"issue":{"subject":"","project_id":79,"tracker_id":40,"status_id":1,"priority_id":2,"assigned_to_id":23,"start_date":"2016-11-01","description":"","custom_fields":[{"id":1,"name":"Subdivision","value":"Other"},{"id":4,"name":"Milepost","value":"2.149"},{"id":17,"name":"Train ID","value":"908-01"},{"id":16,"name":"Locomotive ID","value":"4004"},{"id":130,"name":"Impact","value":""},{"id":150,"name":"Time of Event (Mountain Time)","value":"22:45:08"},{"id":151,"name":"Denver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91" x14ac:dyDescent="0.25">
      <c r="A221" s="37" t="s">
        <v>384</v>
      </c>
      <c r="B221" s="7">
        <v>4015</v>
      </c>
      <c r="C221" s="22" t="s">
        <v>253</v>
      </c>
      <c r="D221" s="22" t="s">
        <v>678</v>
      </c>
      <c r="E221" s="13">
        <v>42675.364305555559</v>
      </c>
      <c r="F221" s="13">
        <v>42675.386967592596</v>
      </c>
      <c r="G221" s="7">
        <v>1</v>
      </c>
      <c r="H221" s="13" t="s">
        <v>291</v>
      </c>
      <c r="I221" s="13">
        <v>42675.394305555557</v>
      </c>
      <c r="J221" s="7">
        <v>0</v>
      </c>
      <c r="K221" s="112" t="str">
        <f t="shared" si="88"/>
        <v>4015/4016</v>
      </c>
      <c r="L221" s="22" t="str">
        <f>VLOOKUP(A221,'Trips&amp;Operators'!$C$1:$E$10000,3,FALSE)</f>
        <v>PELLITIER</v>
      </c>
      <c r="M221" s="6">
        <f t="shared" si="89"/>
        <v>7.3379629611736163E-3</v>
      </c>
      <c r="N221" s="7">
        <f t="shared" si="83"/>
        <v>10.566666664090008</v>
      </c>
      <c r="O221" s="7"/>
      <c r="P221" s="7"/>
      <c r="Q221" s="23"/>
      <c r="R221" s="23"/>
      <c r="S221" s="35">
        <f t="shared" si="90"/>
        <v>0</v>
      </c>
      <c r="T221" s="50" t="e">
        <f t="shared" si="91"/>
        <v>#VALUE!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07:44:36-0600',mode:absolute,to:'2016-11-01 10:27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1" s="52" t="str">
        <f t="shared" si="93"/>
        <v>Y</v>
      </c>
      <c r="X221" s="177" t="e">
        <f t="shared" ref="X221:X247" si="99">VALUE(LEFT(AD221,4))-VALUE(LEFT(AD220,4))</f>
        <v>#VALUE!</v>
      </c>
      <c r="Y221" s="67">
        <f t="shared" si="94"/>
        <v>1.9951000000000001</v>
      </c>
      <c r="Z221" s="67">
        <f t="shared" si="95"/>
        <v>1.5800000000000002E-2</v>
      </c>
      <c r="AA221" s="67">
        <f t="shared" si="96"/>
        <v>1.9793000000000001</v>
      </c>
      <c r="AB221" s="64" t="e">
        <f>VLOOKUP(A221,Enforcements!$C$7:$K$21,8,0)</f>
        <v>#N/A</v>
      </c>
      <c r="AC221" s="60" t="e">
        <f>VLOOKUP(A221,Enforcements!$C$7:$E$21,3,0)</f>
        <v>#N/A</v>
      </c>
      <c r="AD221" s="61" t="str">
        <f t="shared" si="97"/>
        <v>50-01</v>
      </c>
      <c r="AE221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1" s="88" t="str">
        <f t="shared" si="87"/>
        <v>"C:\Program Files (x86)\AstroGrep\AstroGrep.exe" /spath="%USERPROFILE%\AppData\Local\Temp\OnboardLogs" /stypes="app*4015*20161101*" /stext=" 15:.+((SYSTEM_STATE.+slice.+state.+changed )|(ment ac)|(system.+state.+changed )|(\[timeout)|(PRM\|1\|D)|(kpr)|(kdp)|(\|lc)|(penalty))" /e /r /s</v>
      </c>
      <c r="AG221" s="1" t="str">
        <f t="shared" si="98"/>
        <v>Other</v>
      </c>
      <c r="AH221" s="92" t="str">
        <f t="shared" si="84"/>
        <v>"%USERPROFILE%\Documents\GitHub\eaglep3\Utilities\RefineRTDCRunTimes.py" --tripid 50-01 --locoid 4015 --swversion DE.1.0.8.0 --startMP 300:19951 --initTime 2016-11-01T08:44:36 --startdatetime 2016-11-01T09:17:14 --delay 1 --endMP 204:158 --enddatetime 2016-11-01T09:27:48 --enforcementcount 0 &gt;&gt;C:\Users\stu\Documents\GitHub\eaglep3-reporting\EC\2016-11-01-refined-times.txt</v>
      </c>
      <c r="AI221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{"issue":{"subject":"","project_id":79,"tracker_id":40,"status_id":1,"priority_id":2,"assigned_to_id":23,"start_date":"2016-11-01","description":"","custom_fields":[{"id":1,"name":"Subdivision","value":"Other"},{"id":4,"name":"Milepost","value":"0.0158"},{"id":17,"name":"Train ID","value":"50-01"},{"id":16,"name":"Locomotive ID","value":"4015"},{"id":130,"name":"Impact","value":""},{"id":150,"name":"Time of Event (Mountain Time)","value":"09:27:48"},{"id":151,"name":"Denver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91" x14ac:dyDescent="0.25">
      <c r="A222" s="37" t="s">
        <v>384</v>
      </c>
      <c r="B222" s="7">
        <v>4015</v>
      </c>
      <c r="C222" s="22" t="s">
        <v>253</v>
      </c>
      <c r="D222" s="22" t="s">
        <v>679</v>
      </c>
      <c r="E222" s="13">
        <v>42675.35864583333</v>
      </c>
      <c r="F222" s="13">
        <v>42675.376192129632</v>
      </c>
      <c r="G222" s="7">
        <v>3</v>
      </c>
      <c r="H222" s="13" t="s">
        <v>679</v>
      </c>
      <c r="I222" s="13">
        <v>42675.38318287037</v>
      </c>
      <c r="J222" s="7">
        <v>0</v>
      </c>
      <c r="K222" s="112" t="str">
        <f t="shared" si="88"/>
        <v>4015/4016</v>
      </c>
      <c r="L222" s="22" t="str">
        <f>VLOOKUP(A222,'Trips&amp;Operators'!$C$1:$E$10000,3,FALSE)</f>
        <v>PELLITIER</v>
      </c>
      <c r="M222" s="6">
        <f t="shared" si="89"/>
        <v>6.9907407378195785E-3</v>
      </c>
      <c r="N222" s="7">
        <f t="shared" ref="N222:N247" si="100">24*60*SUM($M222:$M222)</f>
        <v>10.066666662460193</v>
      </c>
      <c r="O222" s="7"/>
      <c r="P222" s="7"/>
      <c r="Q222" s="23"/>
      <c r="R222" s="23"/>
      <c r="S222" s="35">
        <f t="shared" si="90"/>
        <v>0</v>
      </c>
      <c r="T222" s="50" t="e">
        <f t="shared" si="91"/>
        <v>#VALUE!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07:36:27-0600',mode:absolute,to:'2016-11-01 10:11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2" s="52" t="str">
        <f t="shared" si="93"/>
        <v>Y</v>
      </c>
      <c r="X222" s="177" t="e">
        <f t="shared" si="99"/>
        <v>#VALUE!</v>
      </c>
      <c r="Y222" s="67">
        <f t="shared" si="94"/>
        <v>2.5124</v>
      </c>
      <c r="Z222" s="67">
        <f t="shared" si="95"/>
        <v>2.5124</v>
      </c>
      <c r="AA222" s="67">
        <f t="shared" si="96"/>
        <v>0</v>
      </c>
      <c r="AB222" s="64" t="e">
        <f>VLOOKUP(A222,Enforcements!$C$7:$K$21,8,0)</f>
        <v>#N/A</v>
      </c>
      <c r="AC222" s="60" t="e">
        <f>VLOOKUP(A222,Enforcements!$C$7:$E$21,3,0)</f>
        <v>#N/A</v>
      </c>
      <c r="AD222" s="61" t="str">
        <f t="shared" si="97"/>
        <v>50-01</v>
      </c>
      <c r="AE222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2" s="88" t="str">
        <f t="shared" si="87"/>
        <v>"C:\Program Files (x86)\AstroGrep\AstroGrep.exe" /spath="%USERPROFILE%\AppData\Local\Temp\OnboardLogs" /stypes="app*4015*20161101*" /stext=" 15:.+((SYSTEM_STATE.+slice.+state.+changed )|(ment ac)|(system.+state.+changed )|(\[timeout)|(PRM\|1\|D)|(kpr)|(kdp)|(\|lc)|(penalty))" /e /r /s</v>
      </c>
      <c r="AG222" s="1" t="str">
        <f t="shared" si="98"/>
        <v>Other</v>
      </c>
      <c r="AH222" s="92" t="str">
        <f t="shared" si="84"/>
        <v>"%USERPROFILE%\Documents\GitHub\eaglep3\Utilities\RefineRTDCRunTimes.py" --tripid 50-01 --locoid 4015 --swversion DE.1.0.8.0 --startMP 300:25124 --initTime 2016-11-01T08:36:27 --startdatetime 2016-11-01T09:01:43 --delay 3 --endMP 300:25124 --enddatetime 2016-11-01T09:11:47 --enforcementcount 0 &gt;&gt;C:\Users\stu\Documents\GitHub\eaglep3-reporting\EC\2016-11-01-refined-times.txt</v>
      </c>
      <c r="AI222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{"issue":{"subject":"","project_id":79,"tracker_id":40,"status_id":1,"priority_id":2,"assigned_to_id":23,"start_date":"2016-11-01","description":"","custom_fields":[{"id":1,"name":"Subdivision","value":"Other"},{"id":4,"name":"Milepost","value":"2.5124"},{"id":17,"name":"Train ID","value":"50-01"},{"id":16,"name":"Locomotive ID","value":"4015"},{"id":130,"name":"Impact","value":""},{"id":150,"name":"Time of Event (Mountain Time)","value":"09:11:47"},{"id":151,"name":"Denver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91" x14ac:dyDescent="0.25">
      <c r="A223" s="37" t="s">
        <v>384</v>
      </c>
      <c r="B223" s="7">
        <v>4015</v>
      </c>
      <c r="C223" s="22" t="s">
        <v>253</v>
      </c>
      <c r="D223" s="22" t="s">
        <v>680</v>
      </c>
      <c r="E223" s="13">
        <v>42675.411030092589</v>
      </c>
      <c r="F223" s="13">
        <v>42675.434745370374</v>
      </c>
      <c r="G223" s="7">
        <v>1</v>
      </c>
      <c r="H223" s="13" t="s">
        <v>681</v>
      </c>
      <c r="I223" s="13">
        <v>42675.448807870373</v>
      </c>
      <c r="J223" s="7">
        <v>0</v>
      </c>
      <c r="K223" s="112" t="str">
        <f t="shared" si="88"/>
        <v>4015/4016</v>
      </c>
      <c r="L223" s="22" t="str">
        <f>VLOOKUP(A223,'Trips&amp;Operators'!$C$1:$E$10000,3,FALSE)</f>
        <v>PELLITIER</v>
      </c>
      <c r="M223" s="6">
        <f t="shared" si="89"/>
        <v>1.4062499998544808E-2</v>
      </c>
      <c r="N223" s="7">
        <f t="shared" si="100"/>
        <v>20.249999997904524</v>
      </c>
      <c r="O223" s="7"/>
      <c r="P223" s="7"/>
      <c r="Q223" s="23"/>
      <c r="R223" s="23"/>
      <c r="S223" s="35">
        <f t="shared" si="90"/>
        <v>0</v>
      </c>
      <c r="T223" s="50" t="e">
        <f t="shared" si="91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08:51:53-0600',mode:absolute,to:'2016-11-01 11:46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3" s="52" t="str">
        <f t="shared" si="93"/>
        <v>Y</v>
      </c>
      <c r="X223" s="177" t="e">
        <f t="shared" si="99"/>
        <v>#VALUE!</v>
      </c>
      <c r="Y223" s="67">
        <f t="shared" si="94"/>
        <v>4.1924000000000001</v>
      </c>
      <c r="Z223" s="67">
        <f t="shared" si="95"/>
        <v>1.55E-2</v>
      </c>
      <c r="AA223" s="67">
        <f t="shared" si="96"/>
        <v>4.1768999999999998</v>
      </c>
      <c r="AB223" s="64" t="e">
        <f>VLOOKUP(A223,Enforcements!$C$7:$K$21,8,0)</f>
        <v>#N/A</v>
      </c>
      <c r="AC223" s="60" t="e">
        <f>VLOOKUP(A223,Enforcements!$C$7:$E$21,3,0)</f>
        <v>#N/A</v>
      </c>
      <c r="AD223" s="61" t="str">
        <f t="shared" si="97"/>
        <v>50-01</v>
      </c>
      <c r="AE223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3" s="88" t="str">
        <f t="shared" si="87"/>
        <v>"C:\Program Files (x86)\AstroGrep\AstroGrep.exe" /spath="%USERPROFILE%\AppData\Local\Temp\OnboardLogs" /stypes="app*4015*20161101*" /stext=" 16:.+((SYSTEM_STATE.+slice.+state.+changed )|(ment ac)|(system.+state.+changed )|(\[timeout)|(PRM\|1\|D)|(kpr)|(kdp)|(\|lc)|(penalty))" /e /r /s</v>
      </c>
      <c r="AG223" s="1" t="str">
        <f t="shared" si="98"/>
        <v>Other</v>
      </c>
      <c r="AH223" s="92" t="str">
        <f t="shared" si="84"/>
        <v>"%USERPROFILE%\Documents\GitHub\eaglep3\Utilities\RefineRTDCRunTimes.py" --tripid 50-01 --locoid 4015 --swversion DE.1.0.8.0 --startMP 300:41924 --initTime 2016-11-01T09:51:53 --startdatetime 2016-11-01T10:26:02 --delay 1 --endMP 204:155 --enddatetime 2016-11-01T10:46:17 --enforcementcount 0 &gt;&gt;C:\Users\stu\Documents\GitHub\eaglep3-reporting\EC\2016-11-01-refined-times.txt</v>
      </c>
      <c r="AI223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{"issue":{"subject":"","project_id":79,"tracker_id":40,"status_id":1,"priority_id":2,"assigned_to_id":23,"start_date":"2016-11-01","description":"","custom_fields":[{"id":1,"name":"Subdivision","value":"Other"},{"id":4,"name":"Milepost","value":"0.0155"},{"id":17,"name":"Train ID","value":"50-01"},{"id":16,"name":"Locomotive ID","value":"4015"},{"id":130,"name":"Impact","value":""},{"id":150,"name":"Time of Event (Mountain Time)","value":"10:46:17"},{"id":151,"name":"Denver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91" x14ac:dyDescent="0.25">
      <c r="A224" s="37" t="s">
        <v>384</v>
      </c>
      <c r="B224" s="7">
        <v>4015</v>
      </c>
      <c r="C224" s="22" t="s">
        <v>253</v>
      </c>
      <c r="D224" s="22" t="s">
        <v>682</v>
      </c>
      <c r="E224" s="13">
        <v>42675.466087962966</v>
      </c>
      <c r="F224" s="13">
        <v>42675.49795138889</v>
      </c>
      <c r="G224" s="7">
        <v>0</v>
      </c>
      <c r="H224" s="13" t="s">
        <v>683</v>
      </c>
      <c r="I224" s="13">
        <v>42675.505023148151</v>
      </c>
      <c r="J224" s="7">
        <v>0</v>
      </c>
      <c r="K224" s="112" t="str">
        <f t="shared" si="88"/>
        <v>4015/4016</v>
      </c>
      <c r="L224" s="22" t="str">
        <f>VLOOKUP(A224,'Trips&amp;Operators'!$C$1:$E$10000,3,FALSE)</f>
        <v>PELLITIER</v>
      </c>
      <c r="M224" s="6">
        <f t="shared" si="89"/>
        <v>7.07175926072523E-3</v>
      </c>
      <c r="N224" s="7">
        <f t="shared" si="100"/>
        <v>10.183333335444331</v>
      </c>
      <c r="O224" s="7"/>
      <c r="P224" s="7"/>
      <c r="Q224" s="23"/>
      <c r="R224" s="23"/>
      <c r="S224" s="35">
        <f t="shared" si="90"/>
        <v>0</v>
      </c>
      <c r="T224" s="50" t="e">
        <f t="shared" si="91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10:11:10-0600',mode:absolute,to:'2016-11-01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4" s="52" t="str">
        <f t="shared" si="93"/>
        <v>Y</v>
      </c>
      <c r="X224" s="177" t="e">
        <f t="shared" si="99"/>
        <v>#VALUE!</v>
      </c>
      <c r="Y224" s="67">
        <f t="shared" si="94"/>
        <v>4.2046999999999999</v>
      </c>
      <c r="Z224" s="67">
        <f t="shared" si="95"/>
        <v>1.5699999999999999E-2</v>
      </c>
      <c r="AA224" s="67">
        <f t="shared" si="96"/>
        <v>4.1890000000000001</v>
      </c>
      <c r="AB224" s="64" t="e">
        <f>VLOOKUP(A224,Enforcements!$C$7:$K$21,8,0)</f>
        <v>#N/A</v>
      </c>
      <c r="AC224" s="60" t="e">
        <f>VLOOKUP(A224,Enforcements!$C$7:$E$21,3,0)</f>
        <v>#N/A</v>
      </c>
      <c r="AD224" s="61" t="str">
        <f t="shared" si="97"/>
        <v>50-01</v>
      </c>
      <c r="AE224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4" s="88" t="str">
        <f t="shared" si="87"/>
        <v>"C:\Program Files (x86)\AstroGrep\AstroGrep.exe" /spath="%USERPROFILE%\AppData\Local\Temp\OnboardLogs" /stypes="app*4015*20161101*" /stext=" 18:.+((SYSTEM_STATE.+slice.+state.+changed )|(ment ac)|(system.+state.+changed )|(\[timeout)|(PRM\|1\|D)|(kpr)|(kdp)|(\|lc)|(penalty))" /e /r /s</v>
      </c>
      <c r="AG224" s="1" t="str">
        <f t="shared" si="98"/>
        <v>Other</v>
      </c>
      <c r="AH224" s="92" t="str">
        <f t="shared" si="84"/>
        <v>"%USERPROFILE%\Documents\GitHub\eaglep3\Utilities\RefineRTDCRunTimes.py" --tripid 50-01 --locoid 4015 --swversion DE.1.0.8.0 --startMP 300:42047 --initTime 2016-11-01T11:11:10 --startdatetime 2016-11-01T11:57:03 --delay 0 --endMP 204:157 --enddatetime 2016-11-01T12:07:14 --enforcementcount 0 &gt;&gt;C:\Users\stu\Documents\GitHub\eaglep3-reporting\EC\2016-11-01-refined-times.txt</v>
      </c>
      <c r="AI224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{"issue":{"subject":"","project_id":79,"tracker_id":40,"status_id":1,"priority_id":2,"assigned_to_id":23,"start_date":"2016-11-01","description":"","custom_fields":[{"id":1,"name":"Subdivision","value":"Other"},{"id":4,"name":"Milepost","value":"0.0157"},{"id":17,"name":"Train ID","value":"50-01"},{"id":16,"name":"Locomotive ID","value":"4015"},{"id":130,"name":"Impact","value":""},{"id":150,"name":"Time of Event (Mountain Time)","value":"12:07:14"},{"id":151,"name":"Denver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384</v>
      </c>
      <c r="B225" s="7">
        <v>4015</v>
      </c>
      <c r="C225" s="22" t="s">
        <v>253</v>
      </c>
      <c r="D225" s="22" t="s">
        <v>684</v>
      </c>
      <c r="E225" s="13">
        <v>42675.597245370373</v>
      </c>
      <c r="F225" s="13">
        <v>25568.708333333332</v>
      </c>
      <c r="G225" s="7">
        <v>0</v>
      </c>
      <c r="H225" s="13" t="s">
        <v>685</v>
      </c>
      <c r="I225" s="13">
        <v>25568.708333333332</v>
      </c>
      <c r="J225" s="7">
        <v>0</v>
      </c>
      <c r="K225" s="112" t="str">
        <f t="shared" si="88"/>
        <v>4015/4016</v>
      </c>
      <c r="L225" s="22" t="str">
        <f>VLOOKUP(A225,'Trips&amp;Operators'!$C$1:$E$10000,3,FALSE)</f>
        <v>PELLITIER</v>
      </c>
      <c r="M225" s="6">
        <f t="shared" si="89"/>
        <v>0</v>
      </c>
      <c r="N225" s="7">
        <f t="shared" si="100"/>
        <v>0</v>
      </c>
      <c r="O225" s="7"/>
      <c r="P225" s="7"/>
      <c r="Q225" s="23"/>
      <c r="R225" s="23"/>
      <c r="S225" s="35">
        <f t="shared" si="90"/>
        <v>0</v>
      </c>
      <c r="T225" s="50" t="e">
        <f t="shared" si="91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13:20:02-0600',mode:absolute,to:'1969-12-31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5" s="52" t="str">
        <f t="shared" si="93"/>
        <v>Y</v>
      </c>
      <c r="X225" s="177" t="e">
        <f t="shared" si="99"/>
        <v>#VALUE!</v>
      </c>
      <c r="Y225" s="67">
        <f t="shared" si="94"/>
        <v>4.2054999999999998</v>
      </c>
      <c r="Z225" s="67">
        <f t="shared" si="95"/>
        <v>1.8599999999999998E-2</v>
      </c>
      <c r="AA225" s="67">
        <f t="shared" si="96"/>
        <v>4.1868999999999996</v>
      </c>
      <c r="AB225" s="64" t="e">
        <f>VLOOKUP(A225,Enforcements!$C$7:$K$21,8,0)</f>
        <v>#N/A</v>
      </c>
      <c r="AC225" s="60" t="e">
        <f>VLOOKUP(A225,Enforcements!$C$7:$E$21,3,0)</f>
        <v>#N/A</v>
      </c>
      <c r="AD225" s="61" t="str">
        <f t="shared" si="97"/>
        <v>50-01</v>
      </c>
      <c r="AE225" s="91" t="str">
        <f t="shared" si="86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5" s="88" t="str">
        <f t="shared" si="87"/>
        <v>"C:\Program Files (x86)\AstroGrep\AstroGrep.exe" /spath="%USERPROFILE%\AppData\Local\Temp\OnboardLogs" /stypes="app*4015*19691231*" /stext=" 23:.+((SYSTEM_STATE.+slice.+state.+changed )|(ment ac)|(system.+state.+changed )|(\[timeout)|(PRM\|1\|D)|(kpr)|(kdp)|(\|lc)|(penalty))" /e /r /s</v>
      </c>
      <c r="AG225" s="1" t="str">
        <f t="shared" si="98"/>
        <v>Other</v>
      </c>
      <c r="AH225" s="92" t="str">
        <f t="shared" si="84"/>
        <v>"%USERPROFILE%\Documents\GitHub\eaglep3\Utilities\RefineRTDCRunTimes.py" --tripid 50-01 --locoid 4015 --swversion DE.1.0.8.0 --startMP 300:42055 --initTime 2016-11-01T14:20:02 --startdatetime 1969-12-31T17:00:00 --delay 0 --endMP 204:186 --enddatetime 1969-12-31T17:00:00 --enforcementcount 0 &gt;&gt;C:\Users\stu\Documents\GitHub\eaglep3-reporting\EC\2016-11-01-refined-times.txt</v>
      </c>
      <c r="AI225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{"issue":{"subject":"","project_id":79,"tracker_id":40,"status_id":1,"priority_id":2,"assigned_to_id":23,"start_date":"1969-12-31","description":"","custom_fields":[{"id":1,"name":"Subdivision","value":"Other"},{"id":4,"name":"Milepost","value":"0.0186"},{"id":17,"name":"Train ID","value":"50-01"},{"id":16,"name":"Locomotive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384</v>
      </c>
      <c r="B226" s="7">
        <v>4015</v>
      </c>
      <c r="C226" s="22" t="s">
        <v>253</v>
      </c>
      <c r="D226" s="22" t="s">
        <v>686</v>
      </c>
      <c r="E226" s="13">
        <v>42675.618726851855</v>
      </c>
      <c r="F226" s="13">
        <v>25568.708333333332</v>
      </c>
      <c r="G226" s="7">
        <v>1</v>
      </c>
      <c r="H226" s="13" t="s">
        <v>686</v>
      </c>
      <c r="I226" s="13">
        <v>25568.708333333332</v>
      </c>
      <c r="J226" s="7">
        <v>0</v>
      </c>
      <c r="K226" s="112" t="str">
        <f t="shared" si="88"/>
        <v>4015/4016</v>
      </c>
      <c r="L226" s="22" t="str">
        <f>VLOOKUP(A226,'Trips&amp;Operators'!$C$1:$E$10000,3,FALSE)</f>
        <v>PELLITIER</v>
      </c>
      <c r="M226" s="6">
        <f t="shared" si="89"/>
        <v>0</v>
      </c>
      <c r="N226" s="7">
        <f t="shared" si="100"/>
        <v>0</v>
      </c>
      <c r="O226" s="7"/>
      <c r="P226" s="7"/>
      <c r="Q226" s="23"/>
      <c r="R226" s="23"/>
      <c r="S226" s="35">
        <f t="shared" si="90"/>
        <v>0</v>
      </c>
      <c r="T226" s="50" t="e">
        <f t="shared" si="91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13:50:58-0600',mode:absolute,to:'1969-12-31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6" s="52" t="str">
        <f t="shared" si="93"/>
        <v>Y</v>
      </c>
      <c r="X226" s="177" t="e">
        <f t="shared" si="99"/>
        <v>#VALUE!</v>
      </c>
      <c r="Y226" s="67">
        <f t="shared" si="94"/>
        <v>4.2119</v>
      </c>
      <c r="Z226" s="67">
        <f t="shared" si="95"/>
        <v>4.2119</v>
      </c>
      <c r="AA226" s="67">
        <f t="shared" si="96"/>
        <v>0</v>
      </c>
      <c r="AB226" s="64" t="e">
        <f>VLOOKUP(A226,Enforcements!$C$7:$K$21,8,0)</f>
        <v>#N/A</v>
      </c>
      <c r="AC226" s="60" t="e">
        <f>VLOOKUP(A226,Enforcements!$C$7:$E$21,3,0)</f>
        <v>#N/A</v>
      </c>
      <c r="AD226" s="61" t="str">
        <f t="shared" si="97"/>
        <v>50-01</v>
      </c>
      <c r="AE226" s="91" t="str">
        <f t="shared" si="86"/>
        <v>aws s3 cp s3://rtdc.mdm.uploadarchive.raw/RTDC4015/ "%USERPROFILE%\AppData\Local\Temp\OnboardLogs"\RTDC4015\1969-12-31 --exclude "*" --recursive --include "*19691231*" &amp; "%USERPROFILE%\Documents\GitHub\mrs-test-scripts\Headless Mode &amp; Sideloading\WalkAndUnGZ.bat" "%USERPROFILE%\AppData\Local\Temp\OnboardLogs"\RTDC4015\1969-12-31 &amp; aws s3 cp s3://rtdc.mdm.uploadarchive.raw/RTDC4015/ "%USERPROFILE%\AppData\Local\Temp\OnboardLogs"\RTDC4015\1970-01-01 --exclude "*" --recursive --include "*19700101*" &amp; "%USERPROFILE%\Documents\GitHub\mrs-test-scripts\Headless Mode &amp; Sideloading\WalkAndUnGZ.bat" "%USERPROFILE%\AppData\Local\Temp\OnboardLogs"\RTDC4015\1970-01-01</v>
      </c>
      <c r="AF226" s="88" t="str">
        <f t="shared" si="87"/>
        <v>"C:\Program Files (x86)\AstroGrep\AstroGrep.exe" /spath="%USERPROFILE%\AppData\Local\Temp\OnboardLogs" /stypes="app*4015*19691231*" /stext=" 23:.+((SYSTEM_STATE.+slice.+state.+changed )|(ment ac)|(system.+state.+changed )|(\[timeout)|(PRM\|1\|D)|(kpr)|(kdp)|(\|lc)|(penalty))" /e /r /s</v>
      </c>
      <c r="AG226" s="1" t="str">
        <f t="shared" si="98"/>
        <v>Other</v>
      </c>
      <c r="AH226" s="92" t="str">
        <f t="shared" si="84"/>
        <v>"%USERPROFILE%\Documents\GitHub\eaglep3\Utilities\RefineRTDCRunTimes.py" --tripid 50-01 --locoid 4015 --swversion DE.1.0.8.0 --startMP 300:42119 --initTime 2016-11-01T14:50:58 --startdatetime 1969-12-31T17:00:00 --delay 1 --endMP 300:42119 --enddatetime 1969-12-31T17:00:00 --enforcementcount 0 &gt;&gt;C:\Users\stu\Documents\GitHub\eaglep3-reporting\EC\2016-11-01-refined-times.txt</v>
      </c>
      <c r="AI226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{"issue":{"subject":"","project_id":79,"tracker_id":40,"status_id":1,"priority_id":2,"assigned_to_id":23,"start_date":"1969-12-31","description":"","custom_fields":[{"id":1,"name":"Subdivision","value":"Other"},{"id":4,"name":"Milepost","value":"4.2119"},{"id":17,"name":"Train ID","value":"50-01"},{"id":16,"name":"Locomotive ID","value":"4015"},{"id":130,"name":"Impact","value":""},{"id":150,"name":"Time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384</v>
      </c>
      <c r="B227" s="7">
        <v>4015</v>
      </c>
      <c r="C227" s="22" t="s">
        <v>253</v>
      </c>
      <c r="D227" s="22" t="s">
        <v>687</v>
      </c>
      <c r="E227" s="13">
        <v>42675.433229166665</v>
      </c>
      <c r="F227" s="13">
        <v>42675.468807870369</v>
      </c>
      <c r="G227" s="7">
        <v>1</v>
      </c>
      <c r="H227" s="13" t="s">
        <v>688</v>
      </c>
      <c r="I227" s="13">
        <v>42675.479062500002</v>
      </c>
      <c r="J227" s="7">
        <v>0</v>
      </c>
      <c r="K227" s="112" t="str">
        <f t="shared" si="88"/>
        <v>4015/4016</v>
      </c>
      <c r="L227" s="22" t="str">
        <f>VLOOKUP(A227,'Trips&amp;Operators'!$C$1:$E$10000,3,FALSE)</f>
        <v>PELLITIER</v>
      </c>
      <c r="M227" s="6">
        <f t="shared" si="89"/>
        <v>1.025462963298196E-2</v>
      </c>
      <c r="N227" s="7">
        <f t="shared" si="100"/>
        <v>14.766666671494022</v>
      </c>
      <c r="O227" s="7"/>
      <c r="P227" s="7"/>
      <c r="Q227" s="23"/>
      <c r="R227" s="23"/>
      <c r="S227" s="35">
        <f t="shared" si="90"/>
        <v>0</v>
      </c>
      <c r="T227" s="50" t="e">
        <f t="shared" si="91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09:23:51-0600',mode:absolute,to:'2016-11-01 12:29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7" s="52" t="str">
        <f t="shared" si="93"/>
        <v>Y</v>
      </c>
      <c r="X227" s="177" t="e">
        <f t="shared" si="99"/>
        <v>#VALUE!</v>
      </c>
      <c r="Y227" s="67">
        <f t="shared" si="94"/>
        <v>4.2135999999999996</v>
      </c>
      <c r="Z227" s="67">
        <f t="shared" si="95"/>
        <v>9.7299999999999998E-2</v>
      </c>
      <c r="AA227" s="67">
        <f t="shared" si="96"/>
        <v>4.1162999999999998</v>
      </c>
      <c r="AB227" s="64" t="e">
        <f>VLOOKUP(A227,Enforcements!$C$7:$K$21,8,0)</f>
        <v>#N/A</v>
      </c>
      <c r="AC227" s="60" t="e">
        <f>VLOOKUP(A227,Enforcements!$C$7:$E$21,3,0)</f>
        <v>#N/A</v>
      </c>
      <c r="AD227" s="61" t="str">
        <f t="shared" si="97"/>
        <v>50-01</v>
      </c>
      <c r="AE227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7" s="88" t="str">
        <f t="shared" si="87"/>
        <v>"C:\Program Files (x86)\AstroGrep\AstroGrep.exe" /spath="%USERPROFILE%\AppData\Local\Temp\OnboardLogs" /stypes="app*4015*20161101*" /stext=" 17:.+((SYSTEM_STATE.+slice.+state.+changed )|(ment ac)|(system.+state.+changed )|(\[timeout)|(PRM\|1\|D)|(kpr)|(kdp)|(\|lc)|(penalty))" /e /r /s</v>
      </c>
      <c r="AG227" s="1" t="str">
        <f t="shared" si="98"/>
        <v>Other</v>
      </c>
      <c r="AH227" s="92" t="str">
        <f t="shared" si="84"/>
        <v>"%USERPROFILE%\Documents\GitHub\eaglep3\Utilities\RefineRTDCRunTimes.py" --tripid 50-01 --locoid 4015 --swversion DE.1.0.8.0 --startMP 300:42136 --initTime 2016-11-01T10:23:51 --startdatetime 2016-11-01T11:15:05 --delay 1 --endMP 204:973 --enddatetime 2016-11-01T11:29:51 --enforcementcount 0 &gt;&gt;C:\Users\stu\Documents\GitHub\eaglep3-reporting\EC\2016-11-01-refined-times.txt</v>
      </c>
      <c r="AI227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{"issue":{"subject":"","project_id":79,"tracker_id":40,"status_id":1,"priority_id":2,"assigned_to_id":23,"start_date":"2016-11-01","description":"","custom_fields":[{"id":1,"name":"Subdivision","value":"Other"},{"id":4,"name":"Milepost","value":"0.0973"},{"id":17,"name":"Train ID","value":"50-01"},{"id":16,"name":"Locomotive ID","value":"4015"},{"id":130,"name":"Impact","value":""},{"id":150,"name":"Time of Event (Mountain Time)","value":"11:29:51"},{"id":151,"name":"Denver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384</v>
      </c>
      <c r="B228" s="7">
        <v>4015</v>
      </c>
      <c r="C228" s="22" t="s">
        <v>253</v>
      </c>
      <c r="D228" s="22" t="s">
        <v>689</v>
      </c>
      <c r="E228" s="13">
        <v>42675.495787037034</v>
      </c>
      <c r="F228" s="13">
        <v>42675.553067129629</v>
      </c>
      <c r="G228" s="7">
        <v>2</v>
      </c>
      <c r="H228" s="13" t="s">
        <v>621</v>
      </c>
      <c r="I228" s="13">
        <v>42675.560173611113</v>
      </c>
      <c r="J228" s="7">
        <v>0</v>
      </c>
      <c r="K228" s="112" t="str">
        <f t="shared" si="88"/>
        <v>4015/4016</v>
      </c>
      <c r="L228" s="22" t="str">
        <f>VLOOKUP(A228,'Trips&amp;Operators'!$C$1:$E$10000,3,FALSE)</f>
        <v>PELLITIER</v>
      </c>
      <c r="M228" s="6">
        <f t="shared" si="89"/>
        <v>7.1064814837882295E-3</v>
      </c>
      <c r="N228" s="7">
        <f t="shared" si="100"/>
        <v>10.233333336655051</v>
      </c>
      <c r="O228" s="7"/>
      <c r="P228" s="7"/>
      <c r="Q228" s="23"/>
      <c r="R228" s="23"/>
      <c r="S228" s="35">
        <f t="shared" si="90"/>
        <v>0</v>
      </c>
      <c r="T228" s="50" t="e">
        <f t="shared" si="91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10:53:56-0600',mode:absolute,to:'2016-11-01 14:26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8" s="52" t="str">
        <f t="shared" si="93"/>
        <v>Y</v>
      </c>
      <c r="X228" s="177" t="e">
        <f t="shared" si="99"/>
        <v>#VALUE!</v>
      </c>
      <c r="Y228" s="67">
        <f t="shared" si="94"/>
        <v>4.2153</v>
      </c>
      <c r="Z228" s="67">
        <f t="shared" si="95"/>
        <v>1.78E-2</v>
      </c>
      <c r="AA228" s="67">
        <f t="shared" si="96"/>
        <v>4.1974999999999998</v>
      </c>
      <c r="AB228" s="64" t="e">
        <f>VLOOKUP(A228,Enforcements!$C$7:$K$21,8,0)</f>
        <v>#N/A</v>
      </c>
      <c r="AC228" s="60" t="e">
        <f>VLOOKUP(A228,Enforcements!$C$7:$E$21,3,0)</f>
        <v>#N/A</v>
      </c>
      <c r="AD228" s="61" t="str">
        <f t="shared" si="97"/>
        <v>50-01</v>
      </c>
      <c r="AE228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8" s="88" t="str">
        <f t="shared" si="87"/>
        <v>"C:\Program Files (x86)\AstroGrep\AstroGrep.exe" /spath="%USERPROFILE%\AppData\Local\Temp\OnboardLogs" /stypes="app*4015*20161101*" /stext=" 19:.+((SYSTEM_STATE.+slice.+state.+changed )|(ment ac)|(system.+state.+changed )|(\[timeout)|(PRM\|1\|D)|(kpr)|(kdp)|(\|lc)|(penalty))" /e /r /s</v>
      </c>
      <c r="AG228" s="1" t="str">
        <f t="shared" si="98"/>
        <v>Other</v>
      </c>
      <c r="AH228" s="92" t="str">
        <f t="shared" si="84"/>
        <v>"%USERPROFILE%\Documents\GitHub\eaglep3\Utilities\RefineRTDCRunTimes.py" --tripid 50-01 --locoid 4015 --swversion DE.1.0.8.0 --startMP 300:42153 --initTime 2016-11-01T11:53:56 --startdatetime 2016-11-01T13:16:25 --delay 2 --endMP 204:178 --enddatetime 2016-11-01T13:26:39 --enforcementcount 0 &gt;&gt;C:\Users\stu\Documents\GitHub\eaglep3-reporting\EC\2016-11-01-refined-times.txt</v>
      </c>
      <c r="AI228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{"issue":{"subject":"","project_id":79,"tracker_id":40,"status_id":1,"priority_id":2,"assigned_to_id":23,"start_date":"2016-11-01","description":"","custom_fields":[{"id":1,"name":"Subdivision","value":"Other"},{"id":4,"name":"Milepost","value":"0.0178"},{"id":17,"name":"Train ID","value":"50-01"},{"id":16,"name":"Locomotive ID","value":"4015"},{"id":130,"name":"Impact","value":""},{"id":150,"name":"Time of Event (Mountain Time)","value":"13:26:39"},{"id":151,"name":"Denver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384</v>
      </c>
      <c r="B229" s="7">
        <v>4015</v>
      </c>
      <c r="C229" s="22" t="s">
        <v>253</v>
      </c>
      <c r="D229" s="22" t="s">
        <v>690</v>
      </c>
      <c r="E229" s="13">
        <v>42675.551226851851</v>
      </c>
      <c r="F229" s="13">
        <v>42675.578738425924</v>
      </c>
      <c r="G229" s="7">
        <v>1</v>
      </c>
      <c r="H229" s="13" t="s">
        <v>233</v>
      </c>
      <c r="I229" s="13">
        <v>42675.586030092592</v>
      </c>
      <c r="J229" s="7">
        <v>0</v>
      </c>
      <c r="K229" s="112" t="str">
        <f t="shared" si="88"/>
        <v>4015/4016</v>
      </c>
      <c r="L229" s="22" t="str">
        <f>VLOOKUP(A229,'Trips&amp;Operators'!$C$1:$E$10000,3,FALSE)</f>
        <v>PELLITIER</v>
      </c>
      <c r="M229" s="6">
        <f t="shared" si="89"/>
        <v>7.291666668606922E-3</v>
      </c>
      <c r="N229" s="7">
        <f t="shared" si="100"/>
        <v>10.500000002793968</v>
      </c>
      <c r="O229" s="7"/>
      <c r="P229" s="7"/>
      <c r="Q229" s="23"/>
      <c r="R229" s="23"/>
      <c r="S229" s="35">
        <f t="shared" si="90"/>
        <v>0</v>
      </c>
      <c r="T229" s="50" t="e">
        <f t="shared" si="91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12:13:46-0600',mode:absolute,to:'2016-11-01 15:03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9" s="52" t="str">
        <f t="shared" si="93"/>
        <v>Y</v>
      </c>
      <c r="X229" s="177" t="e">
        <f t="shared" si="99"/>
        <v>#VALUE!</v>
      </c>
      <c r="Y229" s="67">
        <f t="shared" si="94"/>
        <v>4.2183999999999999</v>
      </c>
      <c r="Z229" s="67">
        <f t="shared" si="95"/>
        <v>1.38E-2</v>
      </c>
      <c r="AA229" s="67">
        <f t="shared" si="96"/>
        <v>4.2046000000000001</v>
      </c>
      <c r="AB229" s="64" t="e">
        <f>VLOOKUP(A229,Enforcements!$C$7:$K$21,8,0)</f>
        <v>#N/A</v>
      </c>
      <c r="AC229" s="60" t="e">
        <f>VLOOKUP(A229,Enforcements!$C$7:$E$21,3,0)</f>
        <v>#N/A</v>
      </c>
      <c r="AD229" s="61" t="str">
        <f t="shared" si="97"/>
        <v>50-01</v>
      </c>
      <c r="AE229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29" s="88" t="str">
        <f t="shared" si="87"/>
        <v>"C:\Program Files (x86)\AstroGrep\AstroGrep.exe" /spath="%USERPROFILE%\AppData\Local\Temp\OnboardLogs" /stypes="app*4015*20161101*" /stext=" 20:.+((SYSTEM_STATE.+slice.+state.+changed )|(ment ac)|(system.+state.+changed )|(\[timeout)|(PRM\|1\|D)|(kpr)|(kdp)|(\|lc)|(penalty))" /e /r /s</v>
      </c>
      <c r="AG229" s="1" t="str">
        <f t="shared" si="98"/>
        <v>Other</v>
      </c>
      <c r="AH229" s="92" t="str">
        <f t="shared" si="84"/>
        <v>"%USERPROFILE%\Documents\GitHub\eaglep3\Utilities\RefineRTDCRunTimes.py" --tripid 50-01 --locoid 4015 --swversion DE.1.0.8.0 --startMP 300:42184 --initTime 2016-11-01T13:13:46 --startdatetime 2016-11-01T13:53:23 --delay 1 --endMP 204:138 --enddatetime 2016-11-01T14:03:53 --enforcementcount 0 &gt;&gt;C:\Users\stu\Documents\GitHub\eaglep3-reporting\EC\2016-11-01-refined-times.txt</v>
      </c>
      <c r="AI229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{"issue":{"subject":"","project_id":79,"tracker_id":40,"status_id":1,"priority_id":2,"assigned_to_id":23,"start_date":"2016-11-01","description":"","custom_fields":[{"id":1,"name":"Subdivision","value":"Other"},{"id":4,"name":"Milepost","value":"0.0138"},{"id":17,"name":"Train ID","value":"50-01"},{"id":16,"name":"Locomotive ID","value":"4015"},{"id":130,"name":"Impact","value":""},{"id":150,"name":"Time of Event (Mountain Time)","value":"14:03:53"},{"id":151,"name":"Denver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384</v>
      </c>
      <c r="B230" s="7">
        <v>4015</v>
      </c>
      <c r="C230" s="22" t="s">
        <v>253</v>
      </c>
      <c r="D230" s="22" t="s">
        <v>691</v>
      </c>
      <c r="E230" s="13">
        <v>42675.385266203702</v>
      </c>
      <c r="F230" s="13">
        <v>42675.412905092591</v>
      </c>
      <c r="G230" s="7">
        <v>1</v>
      </c>
      <c r="H230" s="13" t="s">
        <v>692</v>
      </c>
      <c r="I230" s="13">
        <v>42675.420324074075</v>
      </c>
      <c r="J230" s="7">
        <v>0</v>
      </c>
      <c r="K230" s="112" t="str">
        <f t="shared" si="88"/>
        <v>4015/4016</v>
      </c>
      <c r="L230" s="22" t="str">
        <f>VLOOKUP(A230,'Trips&amp;Operators'!$C$1:$E$10000,3,FALSE)</f>
        <v>PELLITIER</v>
      </c>
      <c r="M230" s="6">
        <f t="shared" si="89"/>
        <v>7.4189814840792678E-3</v>
      </c>
      <c r="N230" s="7">
        <f t="shared" si="100"/>
        <v>10.683333337074146</v>
      </c>
      <c r="O230" s="7"/>
      <c r="P230" s="7"/>
      <c r="Q230" s="23"/>
      <c r="R230" s="23"/>
      <c r="S230" s="35">
        <f t="shared" si="90"/>
        <v>0</v>
      </c>
      <c r="T230" s="50" t="e">
        <f t="shared" si="91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08:14:47-0600',mode:absolute,to:'2016-11-01 11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0" s="52" t="str">
        <f t="shared" si="93"/>
        <v>Y</v>
      </c>
      <c r="X230" s="177" t="e">
        <f t="shared" si="99"/>
        <v>#VALUE!</v>
      </c>
      <c r="Y230" s="67">
        <f t="shared" si="94"/>
        <v>4.2222</v>
      </c>
      <c r="Z230" s="67">
        <f t="shared" si="95"/>
        <v>1.2800000000000001E-2</v>
      </c>
      <c r="AA230" s="67">
        <f t="shared" si="96"/>
        <v>4.2093999999999996</v>
      </c>
      <c r="AB230" s="64" t="e">
        <f>VLOOKUP(A230,Enforcements!$C$7:$K$21,8,0)</f>
        <v>#N/A</v>
      </c>
      <c r="AC230" s="60" t="e">
        <f>VLOOKUP(A230,Enforcements!$C$7:$E$21,3,0)</f>
        <v>#N/A</v>
      </c>
      <c r="AD230" s="61" t="str">
        <f t="shared" si="97"/>
        <v>50-01</v>
      </c>
      <c r="AE230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30" s="88" t="str">
        <f t="shared" si="87"/>
        <v>"C:\Program Files (x86)\AstroGrep\AstroGrep.exe" /spath="%USERPROFILE%\AppData\Local\Temp\OnboardLogs" /stypes="app*4015*20161101*" /stext=" 16:.+((SYSTEM_STATE.+slice.+state.+changed )|(ment ac)|(system.+state.+changed )|(\[timeout)|(PRM\|1\|D)|(kpr)|(kdp)|(\|lc)|(penalty))" /e /r /s</v>
      </c>
      <c r="AG230" s="1" t="str">
        <f t="shared" si="98"/>
        <v>Other</v>
      </c>
      <c r="AH230" s="92" t="str">
        <f t="shared" si="84"/>
        <v>"%USERPROFILE%\Documents\GitHub\eaglep3\Utilities\RefineRTDCRunTimes.py" --tripid 50-01 --locoid 4015 --swversion DE.1.0.8.0 --startMP 300:42222 --initTime 2016-11-01T09:14:47 --startdatetime 2016-11-01T09:54:35 --delay 1 --endMP 204:128 --enddatetime 2016-11-01T10:05:16 --enforcementcount 0 &gt;&gt;C:\Users\stu\Documents\GitHub\eaglep3-reporting\EC\2016-11-01-refined-times.txt</v>
      </c>
      <c r="AI230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{"issue":{"subject":"","project_id":79,"tracker_id":40,"status_id":1,"priority_id":2,"assigned_to_id":23,"start_date":"2016-11-01","description":"","custom_fields":[{"id":1,"name":"Subdivision","value":"Other"},{"id":4,"name":"Milepost","value":"0.0128"},{"id":17,"name":"Train ID","value":"50-01"},{"id":16,"name":"Locomotive ID","value":"4015"},{"id":130,"name":"Impact","value":""},{"id":150,"name":"Time of Event (Mountain Time)","value":"10:05:16"},{"id":151,"name":"Denver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384</v>
      </c>
      <c r="B231" s="7">
        <v>4015</v>
      </c>
      <c r="C231" s="22" t="s">
        <v>253</v>
      </c>
      <c r="D231" s="22" t="s">
        <v>693</v>
      </c>
      <c r="E231" s="13">
        <v>42675.57671296296</v>
      </c>
      <c r="F231" s="13">
        <v>42675.59851851852</v>
      </c>
      <c r="G231" s="7">
        <v>1</v>
      </c>
      <c r="H231" s="13" t="s">
        <v>694</v>
      </c>
      <c r="I231" s="13">
        <v>42675.605497685188</v>
      </c>
      <c r="J231" s="7">
        <v>0</v>
      </c>
      <c r="K231" s="112" t="str">
        <f t="shared" si="88"/>
        <v>4015/4016</v>
      </c>
      <c r="L231" s="22" t="str">
        <f>VLOOKUP(A231,'Trips&amp;Operators'!$C$1:$E$10000,3,FALSE)</f>
        <v>PELLITIER</v>
      </c>
      <c r="M231" s="6">
        <f t="shared" si="89"/>
        <v>6.9791666683158837E-3</v>
      </c>
      <c r="N231" s="7">
        <f t="shared" si="100"/>
        <v>10.050000002374873</v>
      </c>
      <c r="O231" s="7"/>
      <c r="P231" s="7"/>
      <c r="Q231" s="23"/>
      <c r="R231" s="23"/>
      <c r="S231" s="35">
        <f t="shared" si="90"/>
        <v>0</v>
      </c>
      <c r="T231" s="50" t="e">
        <f t="shared" si="91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12:50:28-0600',mode:absolute,to:'2016-11-01 15:31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31" s="52" t="str">
        <f t="shared" si="93"/>
        <v>Y</v>
      </c>
      <c r="X231" s="177" t="e">
        <f t="shared" si="99"/>
        <v>#VALUE!</v>
      </c>
      <c r="Y231" s="67">
        <f t="shared" si="94"/>
        <v>4.2237</v>
      </c>
      <c r="Z231" s="67">
        <f t="shared" si="95"/>
        <v>1.6199999999999999E-2</v>
      </c>
      <c r="AA231" s="67">
        <f t="shared" si="96"/>
        <v>4.2074999999999996</v>
      </c>
      <c r="AB231" s="64" t="e">
        <f>VLOOKUP(A231,Enforcements!$C$7:$K$21,8,0)</f>
        <v>#N/A</v>
      </c>
      <c r="AC231" s="60" t="e">
        <f>VLOOKUP(A231,Enforcements!$C$7:$E$21,3,0)</f>
        <v>#N/A</v>
      </c>
      <c r="AD231" s="61" t="str">
        <f t="shared" si="97"/>
        <v>50-01</v>
      </c>
      <c r="AE231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31" s="88" t="str">
        <f t="shared" si="87"/>
        <v>"C:\Program Files (x86)\AstroGrep\AstroGrep.exe" /spath="%USERPROFILE%\AppData\Local\Temp\OnboardLogs" /stypes="app*4015*20161101*" /stext=" 20:.+((SYSTEM_STATE.+slice.+state.+changed )|(ment ac)|(system.+state.+changed )|(\[timeout)|(PRM\|1\|D)|(kpr)|(kdp)|(\|lc)|(penalty))" /e /r /s</v>
      </c>
      <c r="AG231" s="1" t="str">
        <f t="shared" si="98"/>
        <v>Other</v>
      </c>
      <c r="AH231" s="92" t="str">
        <f t="shared" si="84"/>
        <v>"%USERPROFILE%\Documents\GitHub\eaglep3\Utilities\RefineRTDCRunTimes.py" --tripid 50-01 --locoid 4015 --swversion DE.1.0.8.0 --startMP 300:42237 --initTime 2016-11-01T13:50:28 --startdatetime 2016-11-01T14:21:52 --delay 1 --endMP 204:162 --enddatetime 2016-11-01T14:31:55 --enforcementcount 0 &gt;&gt;C:\Users\stu\Documents\GitHub\eaglep3-reporting\EC\2016-11-01-refined-times.txt</v>
      </c>
      <c r="AI231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{"issue":{"subject":"","project_id":79,"tracker_id":40,"status_id":1,"priority_id":2,"assigned_to_id":23,"start_date":"2016-11-01","description":"","custom_fields":[{"id":1,"name":"Subdivision","value":"Other"},{"id":4,"name":"Milepost","value":"0.0162"},{"id":17,"name":"Train ID","value":"50-01"},{"id":16,"name":"Locomotive ID","value":"4015"},{"id":130,"name":"Impact","value":""},{"id":150,"name":"Time of Event (Mountain Time)","value":"14:31:55"},{"id":151,"name":"Denver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384</v>
      </c>
      <c r="B232" s="7">
        <v>4016</v>
      </c>
      <c r="C232" s="22" t="s">
        <v>253</v>
      </c>
      <c r="D232" s="22" t="s">
        <v>695</v>
      </c>
      <c r="E232" s="13">
        <v>42675.455937500003</v>
      </c>
      <c r="F232" s="13">
        <v>42675.482523148145</v>
      </c>
      <c r="G232" s="7">
        <v>1</v>
      </c>
      <c r="H232" s="13" t="s">
        <v>696</v>
      </c>
      <c r="I232" s="13">
        <v>42675.492893518516</v>
      </c>
      <c r="J232" s="7">
        <v>0</v>
      </c>
      <c r="K232" s="112" t="str">
        <f t="shared" si="88"/>
        <v>4015/4016</v>
      </c>
      <c r="L232" s="22" t="str">
        <f>VLOOKUP(A232,'Trips&amp;Operators'!$C$1:$E$10000,3,FALSE)</f>
        <v>PELLITIER</v>
      </c>
      <c r="M232" s="6">
        <f t="shared" si="89"/>
        <v>1.0370370371674653E-2</v>
      </c>
      <c r="N232" s="7">
        <f t="shared" si="100"/>
        <v>14.933333335211501</v>
      </c>
      <c r="O232" s="7"/>
      <c r="P232" s="7"/>
      <c r="Q232" s="23"/>
      <c r="R232" s="23"/>
      <c r="S232" s="35">
        <f t="shared" si="90"/>
        <v>0</v>
      </c>
      <c r="T232" s="50" t="e">
        <f t="shared" si="91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09:56:33-0600',mode:absolute,to:'2016-11-01 12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2" s="52" t="str">
        <f t="shared" si="93"/>
        <v>Y</v>
      </c>
      <c r="X232" s="177" t="e">
        <f t="shared" si="99"/>
        <v>#VALUE!</v>
      </c>
      <c r="Y232" s="67">
        <f t="shared" si="94"/>
        <v>0.12889999999999999</v>
      </c>
      <c r="Z232" s="67">
        <f t="shared" si="95"/>
        <v>4.2336999999999998</v>
      </c>
      <c r="AA232" s="67">
        <f t="shared" si="96"/>
        <v>4.1048</v>
      </c>
      <c r="AB232" s="64" t="e">
        <f>VLOOKUP(A232,Enforcements!$C$7:$K$21,8,0)</f>
        <v>#N/A</v>
      </c>
      <c r="AC232" s="60" t="e">
        <f>VLOOKUP(A232,Enforcements!$C$7:$E$21,3,0)</f>
        <v>#N/A</v>
      </c>
      <c r="AD232" s="61" t="str">
        <f t="shared" si="97"/>
        <v>50-01</v>
      </c>
      <c r="AE232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2" s="88" t="str">
        <f t="shared" si="87"/>
        <v>"C:\Program Files (x86)\AstroGrep\AstroGrep.exe" /spath="%USERPROFILE%\AppData\Local\Temp\OnboardLogs" /stypes="app*4016*20161101*" /stext=" 17:.+((SYSTEM_STATE.+slice.+state.+changed )|(ment ac)|(system.+state.+changed )|(\[timeout)|(PRM\|1\|D)|(kpr)|(kdp)|(\|lc)|(penalty))" /e /r /s</v>
      </c>
      <c r="AG232" s="1" t="str">
        <f t="shared" si="98"/>
        <v>Other</v>
      </c>
      <c r="AH232" s="92" t="str">
        <f t="shared" si="84"/>
        <v>"%USERPROFILE%\Documents\GitHub\eaglep3\Utilities\RefineRTDCRunTimes.py" --tripid 50-01 --locoid 4016 --swversion DE.1.0.8.0 --startMP 204:1289 --initTime 2016-11-01T10:56:33 --startdatetime 2016-11-01T11:34:50 --delay 1 --endMP 300:42337 --enddatetime 2016-11-01T11:49:46 --enforcementcount 0 &gt;&gt;C:\Users\stu\Documents\GitHub\eaglep3-reporting\EC\2016-11-01-refined-times.txt</v>
      </c>
      <c r="AI232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{"issue":{"subject":"","project_id":79,"tracker_id":40,"status_id":1,"priority_id":2,"assigned_to_id":23,"start_date":"2016-11-01","description":"","custom_fields":[{"id":1,"name":"Subdivision","value":"Other"},{"id":4,"name":"Milepost","value":"4.2337"},{"id":17,"name":"Train ID","value":"50-01"},{"id":16,"name":"Locomotive ID","value":"4016"},{"id":130,"name":"Impact","value":""},{"id":150,"name":"Time of Event (Mountain Time)","value":"11:49:46"},{"id":151,"name":"Denver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384</v>
      </c>
      <c r="B233" s="7">
        <v>4016</v>
      </c>
      <c r="C233" s="22" t="s">
        <v>253</v>
      </c>
      <c r="D233" s="22" t="s">
        <v>697</v>
      </c>
      <c r="E233" s="13">
        <v>42675.374282407407</v>
      </c>
      <c r="F233" s="13">
        <v>42675.400277777779</v>
      </c>
      <c r="G233" s="7">
        <v>1</v>
      </c>
      <c r="H233" s="13" t="s">
        <v>698</v>
      </c>
      <c r="I233" s="13">
        <v>42675.409131944441</v>
      </c>
      <c r="J233" s="7">
        <v>0</v>
      </c>
      <c r="K233" s="112" t="str">
        <f t="shared" si="88"/>
        <v>4015/4016</v>
      </c>
      <c r="L233" s="22" t="str">
        <f>VLOOKUP(A233,'Trips&amp;Operators'!$C$1:$E$10000,3,FALSE)</f>
        <v>PELLITIER</v>
      </c>
      <c r="M233" s="6">
        <f t="shared" si="89"/>
        <v>8.8541666627861559E-3</v>
      </c>
      <c r="N233" s="7">
        <f t="shared" si="100"/>
        <v>12.749999994412065</v>
      </c>
      <c r="O233" s="7"/>
      <c r="P233" s="7"/>
      <c r="Q233" s="23"/>
      <c r="R233" s="23"/>
      <c r="S233" s="35">
        <f t="shared" si="90"/>
        <v>0</v>
      </c>
      <c r="T233" s="50" t="e">
        <f t="shared" si="91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07:58:58-0600',mode:absolute,to:'2016-11-01 10:49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3" s="52" t="str">
        <f t="shared" si="93"/>
        <v>Y</v>
      </c>
      <c r="X233" s="177" t="e">
        <f t="shared" si="99"/>
        <v>#VALUE!</v>
      </c>
      <c r="Y233" s="67">
        <f t="shared" si="94"/>
        <v>4.3299999999999998E-2</v>
      </c>
      <c r="Z233" s="67">
        <f t="shared" si="95"/>
        <v>4.2542</v>
      </c>
      <c r="AA233" s="67">
        <f t="shared" si="96"/>
        <v>4.2108999999999996</v>
      </c>
      <c r="AB233" s="64" t="e">
        <f>VLOOKUP(A233,Enforcements!$C$7:$K$21,8,0)</f>
        <v>#N/A</v>
      </c>
      <c r="AC233" s="60" t="e">
        <f>VLOOKUP(A233,Enforcements!$C$7:$E$21,3,0)</f>
        <v>#N/A</v>
      </c>
      <c r="AD233" s="61" t="str">
        <f t="shared" si="97"/>
        <v>50-01</v>
      </c>
      <c r="AE233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3" s="88" t="str">
        <f t="shared" si="87"/>
        <v>"C:\Program Files (x86)\AstroGrep\AstroGrep.exe" /spath="%USERPROFILE%\AppData\Local\Temp\OnboardLogs" /stypes="app*4016*20161101*" /stext=" 15:.+((SYSTEM_STATE.+slice.+state.+changed )|(ment ac)|(system.+state.+changed )|(\[timeout)|(PRM\|1\|D)|(kpr)|(kdp)|(\|lc)|(penalty))" /e /r /s</v>
      </c>
      <c r="AG233" s="1" t="str">
        <f t="shared" si="98"/>
        <v>Other</v>
      </c>
      <c r="AH233" s="92" t="str">
        <f t="shared" si="84"/>
        <v>"%USERPROFILE%\Documents\GitHub\eaglep3\Utilities\RefineRTDCRunTimes.py" --tripid 50-01 --locoid 4016 --swversion DE.1.0.8.0 --startMP 204:433 --initTime 2016-11-01T08:58:58 --startdatetime 2016-11-01T09:36:24 --delay 1 --endMP 300:42542 --enddatetime 2016-11-01T09:49:09 --enforcementcount 0 &gt;&gt;C:\Users\stu\Documents\GitHub\eaglep3-reporting\EC\2016-11-01-refined-times.txt</v>
      </c>
      <c r="AI233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{"issue":{"subject":"","project_id":79,"tracker_id":40,"status_id":1,"priority_id":2,"assigned_to_id":23,"start_date":"2016-11-01","description":"","custom_fields":[{"id":1,"name":"Subdivision","value":"Other"},{"id":4,"name":"Milepost","value":"4.2542"},{"id":17,"name":"Train ID","value":"50-01"},{"id":16,"name":"Locomotive ID","value":"4016"},{"id":130,"name":"Impact","value":""},{"id":150,"name":"Time of Event (Mountain Time)","value":"09:49:09"},{"id":151,"name":"Denver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384</v>
      </c>
      <c r="B234" s="7">
        <v>4016</v>
      </c>
      <c r="C234" s="22" t="s">
        <v>253</v>
      </c>
      <c r="D234" s="22" t="s">
        <v>216</v>
      </c>
      <c r="E234" s="13">
        <v>42675.480868055558</v>
      </c>
      <c r="F234" s="13">
        <v>42675.49795138889</v>
      </c>
      <c r="G234" s="7">
        <v>0</v>
      </c>
      <c r="H234" s="13" t="s">
        <v>699</v>
      </c>
      <c r="I234" s="13">
        <v>42675.505023148151</v>
      </c>
      <c r="J234" s="7">
        <v>0</v>
      </c>
      <c r="K234" s="112" t="str">
        <f t="shared" si="88"/>
        <v>4015/4016</v>
      </c>
      <c r="L234" s="22" t="str">
        <f>VLOOKUP(A234,'Trips&amp;Operators'!$C$1:$E$10000,3,FALSE)</f>
        <v>PELLITIER</v>
      </c>
      <c r="M234" s="6">
        <f t="shared" si="89"/>
        <v>7.07175926072523E-3</v>
      </c>
      <c r="N234" s="7">
        <f t="shared" si="100"/>
        <v>10.183333335444331</v>
      </c>
      <c r="O234" s="7"/>
      <c r="P234" s="7"/>
      <c r="Q234" s="23"/>
      <c r="R234" s="23"/>
      <c r="S234" s="35">
        <f t="shared" si="90"/>
        <v>0</v>
      </c>
      <c r="T234" s="50" t="e">
        <f t="shared" si="91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10:32:27-0600',mode:absolute,to:'2016-11-01 13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4" s="52" t="str">
        <f t="shared" si="93"/>
        <v>Y</v>
      </c>
      <c r="X234" s="177" t="e">
        <f t="shared" si="99"/>
        <v>#VALUE!</v>
      </c>
      <c r="Y234" s="67">
        <f t="shared" si="94"/>
        <v>4.5100000000000001E-2</v>
      </c>
      <c r="Z234" s="67">
        <f t="shared" si="95"/>
        <v>4.2455999999999996</v>
      </c>
      <c r="AA234" s="67">
        <f t="shared" si="96"/>
        <v>4.2004999999999999</v>
      </c>
      <c r="AB234" s="64" t="e">
        <f>VLOOKUP(A234,Enforcements!$C$7:$K$21,8,0)</f>
        <v>#N/A</v>
      </c>
      <c r="AC234" s="60" t="e">
        <f>VLOOKUP(A234,Enforcements!$C$7:$E$21,3,0)</f>
        <v>#N/A</v>
      </c>
      <c r="AD234" s="61" t="str">
        <f t="shared" si="97"/>
        <v>50-01</v>
      </c>
      <c r="AE234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4" s="88" t="str">
        <f t="shared" si="87"/>
        <v>"C:\Program Files (x86)\AstroGrep\AstroGrep.exe" /spath="%USERPROFILE%\AppData\Local\Temp\OnboardLogs" /stypes="app*4016*20161101*" /stext=" 18:.+((SYSTEM_STATE.+slice.+state.+changed )|(ment ac)|(system.+state.+changed )|(\[timeout)|(PRM\|1\|D)|(kpr)|(kdp)|(\|lc)|(penalty))" /e /r /s</v>
      </c>
      <c r="AG234" s="1" t="str">
        <f t="shared" si="98"/>
        <v>Other</v>
      </c>
      <c r="AH234" s="92" t="str">
        <f t="shared" si="84"/>
        <v>"%USERPROFILE%\Documents\GitHub\eaglep3\Utilities\RefineRTDCRunTimes.py" --tripid 50-01 --locoid 4016 --swversion DE.1.0.8.0 --startMP 204:451 --initTime 2016-11-01T11:32:27 --startdatetime 2016-11-01T11:57:03 --delay 0 --endMP 300:42456 --enddatetime 2016-11-01T12:07:14 --enforcementcount 0 &gt;&gt;C:\Users\stu\Documents\GitHub\eaglep3-reporting\EC\2016-11-01-refined-times.txt</v>
      </c>
      <c r="AI234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{"issue":{"subject":"","project_id":79,"tracker_id":40,"status_id":1,"priority_id":2,"assigned_to_id":23,"start_date":"2016-11-01","description":"","custom_fields":[{"id":1,"name":"Subdivision","value":"Other"},{"id":4,"name":"Milepost","value":"4.2456"},{"id":17,"name":"Train ID","value":"50-01"},{"id":16,"name":"Locomotive ID","value":"4016"},{"id":130,"name":"Impact","value":""},{"id":150,"name":"Time of Event (Mountain Time)","value":"12:07:14"},{"id":151,"name":"Denver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384</v>
      </c>
      <c r="B235" s="7">
        <v>4016</v>
      </c>
      <c r="C235" s="22" t="s">
        <v>253</v>
      </c>
      <c r="D235" s="22" t="s">
        <v>216</v>
      </c>
      <c r="E235" s="13">
        <v>42675.562916666669</v>
      </c>
      <c r="F235" s="13">
        <v>42675.589571759258</v>
      </c>
      <c r="G235" s="7">
        <v>2</v>
      </c>
      <c r="H235" s="13" t="s">
        <v>700</v>
      </c>
      <c r="I235" s="13">
        <v>42675.596099537041</v>
      </c>
      <c r="J235" s="7">
        <v>0</v>
      </c>
      <c r="K235" s="112" t="str">
        <f t="shared" si="88"/>
        <v>4015/4016</v>
      </c>
      <c r="L235" s="22" t="str">
        <f>VLOOKUP(A235,'Trips&amp;Operators'!$C$1:$E$10000,3,FALSE)</f>
        <v>PELLITIER</v>
      </c>
      <c r="M235" s="6">
        <f t="shared" si="89"/>
        <v>6.5277777830488048E-3</v>
      </c>
      <c r="N235" s="7">
        <f t="shared" si="100"/>
        <v>9.400000007590279</v>
      </c>
      <c r="O235" s="7"/>
      <c r="P235" s="7"/>
      <c r="Q235" s="23"/>
      <c r="R235" s="23"/>
      <c r="S235" s="35">
        <f t="shared" si="90"/>
        <v>0</v>
      </c>
      <c r="T235" s="50" t="e">
        <f t="shared" si="91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12:30:36-0600',mode:absolute,to:'2016-11-01 15:18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5" s="52" t="str">
        <f t="shared" si="93"/>
        <v>Y</v>
      </c>
      <c r="X235" s="177" t="e">
        <f t="shared" si="99"/>
        <v>#VALUE!</v>
      </c>
      <c r="Y235" s="67">
        <f t="shared" si="94"/>
        <v>4.5100000000000001E-2</v>
      </c>
      <c r="Z235" s="67">
        <f t="shared" si="95"/>
        <v>4.2525000000000004</v>
      </c>
      <c r="AA235" s="67">
        <f t="shared" si="96"/>
        <v>4.2074000000000007</v>
      </c>
      <c r="AB235" s="64" t="e">
        <f>VLOOKUP(A235,Enforcements!$C$7:$K$21,8,0)</f>
        <v>#N/A</v>
      </c>
      <c r="AC235" s="60" t="e">
        <f>VLOOKUP(A235,Enforcements!$C$7:$E$21,3,0)</f>
        <v>#N/A</v>
      </c>
      <c r="AD235" s="61" t="str">
        <f t="shared" si="97"/>
        <v>50-01</v>
      </c>
      <c r="AE235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5" s="88" t="str">
        <f t="shared" si="87"/>
        <v>"C:\Program Files (x86)\AstroGrep\AstroGrep.exe" /spath="%USERPROFILE%\AppData\Local\Temp\OnboardLogs" /stypes="app*4016*20161101*" /stext=" 20:.+((SYSTEM_STATE.+slice.+state.+changed )|(ment ac)|(system.+state.+changed )|(\[timeout)|(PRM\|1\|D)|(kpr)|(kdp)|(\|lc)|(penalty))" /e /r /s</v>
      </c>
      <c r="AG235" s="1" t="str">
        <f t="shared" si="98"/>
        <v>Other</v>
      </c>
      <c r="AH235" s="92" t="str">
        <f t="shared" si="84"/>
        <v>"%USERPROFILE%\Documents\GitHub\eaglep3\Utilities\RefineRTDCRunTimes.py" --tripid 50-01 --locoid 4016 --swversion DE.1.0.8.0 --startMP 204:451 --initTime 2016-11-01T13:30:36 --startdatetime 2016-11-01T14:08:59 --delay 2 --endMP 300:42525 --enddatetime 2016-11-01T14:18:23 --enforcementcount 0 &gt;&gt;C:\Users\stu\Documents\GitHub\eaglep3-reporting\EC\2016-11-01-refined-times.txt</v>
      </c>
      <c r="AI235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{"issue":{"subject":"","project_id":79,"tracker_id":40,"status_id":1,"priority_id":2,"assigned_to_id":23,"start_date":"2016-11-01","description":"","custom_fields":[{"id":1,"name":"Subdivision","value":"Other"},{"id":4,"name":"Milepost","value":"4.2525"},{"id":17,"name":"Train ID","value":"50-01"},{"id":16,"name":"Locomotive ID","value":"4016"},{"id":130,"name":"Impact","value":""},{"id":150,"name":"Time of Event (Mountain Time)","value":"14:18:23"},{"id":151,"name":"Denver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384</v>
      </c>
      <c r="B236" s="7">
        <v>4016</v>
      </c>
      <c r="C236" s="22" t="s">
        <v>253</v>
      </c>
      <c r="D236" s="22" t="s">
        <v>242</v>
      </c>
      <c r="E236" s="13">
        <v>42675.397060185183</v>
      </c>
      <c r="F236" s="13">
        <v>42675.425752314812</v>
      </c>
      <c r="G236" s="7">
        <v>1</v>
      </c>
      <c r="H236" s="13" t="s">
        <v>701</v>
      </c>
      <c r="I236" s="13">
        <v>42675.43204861111</v>
      </c>
      <c r="J236" s="7">
        <v>0</v>
      </c>
      <c r="K236" s="112" t="str">
        <f t="shared" si="88"/>
        <v>4015/4016</v>
      </c>
      <c r="L236" s="22" t="str">
        <f>VLOOKUP(A236,'Trips&amp;Operators'!$C$1:$E$10000,3,FALSE)</f>
        <v>PELLITIER</v>
      </c>
      <c r="M236" s="6">
        <f t="shared" si="89"/>
        <v>6.2962962983874604E-3</v>
      </c>
      <c r="N236" s="7">
        <f t="shared" si="100"/>
        <v>9.066666669677943</v>
      </c>
      <c r="O236" s="7"/>
      <c r="P236" s="7"/>
      <c r="Q236" s="23"/>
      <c r="R236" s="23"/>
      <c r="S236" s="35">
        <f t="shared" si="90"/>
        <v>0</v>
      </c>
      <c r="T236" s="50" t="e">
        <f t="shared" si="91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08:31:46-0600',mode:absolute,to:'2016-11-01 11:22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6" s="52" t="str">
        <f t="shared" si="93"/>
        <v>Y</v>
      </c>
      <c r="X236" s="177" t="e">
        <f t="shared" si="99"/>
        <v>#VALUE!</v>
      </c>
      <c r="Y236" s="67">
        <f t="shared" si="94"/>
        <v>4.5699999999999998E-2</v>
      </c>
      <c r="Z236" s="67">
        <f t="shared" si="95"/>
        <v>4.2241999999999997</v>
      </c>
      <c r="AA236" s="67">
        <f t="shared" si="96"/>
        <v>4.1784999999999997</v>
      </c>
      <c r="AB236" s="64" t="e">
        <f>VLOOKUP(A236,Enforcements!$C$7:$K$21,8,0)</f>
        <v>#N/A</v>
      </c>
      <c r="AC236" s="60" t="e">
        <f>VLOOKUP(A236,Enforcements!$C$7:$E$21,3,0)</f>
        <v>#N/A</v>
      </c>
      <c r="AD236" s="61" t="str">
        <f t="shared" si="97"/>
        <v>50-01</v>
      </c>
      <c r="AE236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6" s="88" t="str">
        <f t="shared" si="87"/>
        <v>"C:\Program Files (x86)\AstroGrep\AstroGrep.exe" /spath="%USERPROFILE%\AppData\Local\Temp\OnboardLogs" /stypes="app*4016*20161101*" /stext=" 16:.+((SYSTEM_STATE.+slice.+state.+changed )|(ment ac)|(system.+state.+changed )|(\[timeout)|(PRM\|1\|D)|(kpr)|(kdp)|(\|lc)|(penalty))" /e /r /s</v>
      </c>
      <c r="AG236" s="1" t="str">
        <f t="shared" si="98"/>
        <v>Other</v>
      </c>
      <c r="AH236" s="92" t="str">
        <f t="shared" si="84"/>
        <v>"%USERPROFILE%\Documents\GitHub\eaglep3\Utilities\RefineRTDCRunTimes.py" --tripid 50-01 --locoid 4016 --swversion DE.1.0.8.0 --startMP 204:457 --initTime 2016-11-01T09:31:46 --startdatetime 2016-11-01T10:13:05 --delay 1 --endMP 300:42242 --enddatetime 2016-11-01T10:22:09 --enforcementcount 0 &gt;&gt;C:\Users\stu\Documents\GitHub\eaglep3-reporting\EC\2016-11-01-refined-times.txt</v>
      </c>
      <c r="AI236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{"issue":{"subject":"","project_id":79,"tracker_id":40,"status_id":1,"priority_id":2,"assigned_to_id":23,"start_date":"2016-11-01","description":"","custom_fields":[{"id":1,"name":"Subdivision","value":"Other"},{"id":4,"name":"Milepost","value":"4.2242"},{"id":17,"name":"Train ID","value":"50-01"},{"id":16,"name":"Locomotive ID","value":"4016"},{"id":130,"name":"Impact","value":""},{"id":150,"name":"Time of Event (Mountain Time)","value":"10:22:09"},{"id":151,"name":"Denver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384</v>
      </c>
      <c r="B237" s="7">
        <v>4016</v>
      </c>
      <c r="C237" s="22" t="s">
        <v>253</v>
      </c>
      <c r="D237" s="22" t="s">
        <v>702</v>
      </c>
      <c r="E237" s="13">
        <v>42675.423217592594</v>
      </c>
      <c r="F237" s="13">
        <v>42675.434745370374</v>
      </c>
      <c r="G237" s="7">
        <v>1</v>
      </c>
      <c r="H237" s="13" t="s">
        <v>703</v>
      </c>
      <c r="I237" s="13">
        <v>42675.448807870373</v>
      </c>
      <c r="J237" s="7">
        <v>0</v>
      </c>
      <c r="K237" s="112" t="str">
        <f t="shared" si="88"/>
        <v>4015/4016</v>
      </c>
      <c r="L237" s="22" t="str">
        <f>VLOOKUP(A237,'Trips&amp;Operators'!$C$1:$E$10000,3,FALSE)</f>
        <v>PELLITIER</v>
      </c>
      <c r="M237" s="6">
        <f t="shared" si="89"/>
        <v>1.4062499998544808E-2</v>
      </c>
      <c r="N237" s="7">
        <f t="shared" si="100"/>
        <v>20.249999997904524</v>
      </c>
      <c r="O237" s="7"/>
      <c r="P237" s="7"/>
      <c r="Q237" s="23"/>
      <c r="R237" s="23"/>
      <c r="S237" s="35">
        <f t="shared" si="90"/>
        <v>0</v>
      </c>
      <c r="T237" s="50" t="e">
        <f t="shared" si="91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09:09:26-0600',mode:absolute,to:'2016-11-01 11:46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7" s="52" t="str">
        <f t="shared" si="93"/>
        <v>Y</v>
      </c>
      <c r="X237" s="177" t="e">
        <f t="shared" si="99"/>
        <v>#VALUE!</v>
      </c>
      <c r="Y237" s="67">
        <f t="shared" si="94"/>
        <v>4.7E-2</v>
      </c>
      <c r="Z237" s="67">
        <f t="shared" si="95"/>
        <v>4.2401999999999997</v>
      </c>
      <c r="AA237" s="67">
        <f t="shared" si="96"/>
        <v>4.1932</v>
      </c>
      <c r="AB237" s="64" t="e">
        <f>VLOOKUP(A237,Enforcements!$C$7:$K$21,8,0)</f>
        <v>#N/A</v>
      </c>
      <c r="AC237" s="60" t="e">
        <f>VLOOKUP(A237,Enforcements!$C$7:$E$21,3,0)</f>
        <v>#N/A</v>
      </c>
      <c r="AD237" s="61" t="str">
        <f t="shared" si="97"/>
        <v>50-01</v>
      </c>
      <c r="AE237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7" s="88" t="str">
        <f t="shared" si="87"/>
        <v>"C:\Program Files (x86)\AstroGrep\AstroGrep.exe" /spath="%USERPROFILE%\AppData\Local\Temp\OnboardLogs" /stypes="app*4016*20161101*" /stext=" 16:.+((SYSTEM_STATE.+slice.+state.+changed )|(ment ac)|(system.+state.+changed )|(\[timeout)|(PRM\|1\|D)|(kpr)|(kdp)|(\|lc)|(penalty))" /e /r /s</v>
      </c>
      <c r="AG237" s="1" t="str">
        <f t="shared" si="98"/>
        <v>Other</v>
      </c>
      <c r="AH237" s="92" t="str">
        <f t="shared" si="84"/>
        <v>"%USERPROFILE%\Documents\GitHub\eaglep3\Utilities\RefineRTDCRunTimes.py" --tripid 50-01 --locoid 4016 --swversion DE.1.0.8.0 --startMP 204:470 --initTime 2016-11-01T10:09:26 --startdatetime 2016-11-01T10:26:02 --delay 1 --endMP 300:42402 --enddatetime 2016-11-01T10:46:17 --enforcementcount 0 &gt;&gt;C:\Users\stu\Documents\GitHub\eaglep3-reporting\EC\2016-11-01-refined-times.txt</v>
      </c>
      <c r="AI237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{"issue":{"subject":"","project_id":79,"tracker_id":40,"status_id":1,"priority_id":2,"assigned_to_id":23,"start_date":"2016-11-01","description":"","custom_fields":[{"id":1,"name":"Subdivision","value":"Other"},{"id":4,"name":"Milepost","value":"4.2402"},{"id":17,"name":"Train ID","value":"50-01"},{"id":16,"name":"Locomotive ID","value":"4016"},{"id":130,"name":"Impact","value":""},{"id":150,"name":"Time of Event (Mountain Time)","value":"10:46:17"},{"id":151,"name":"Denver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384</v>
      </c>
      <c r="B238" s="7">
        <v>4016</v>
      </c>
      <c r="C238" s="22" t="s">
        <v>253</v>
      </c>
      <c r="D238" s="22" t="s">
        <v>273</v>
      </c>
      <c r="E238" s="13">
        <v>42675.541261574072</v>
      </c>
      <c r="F238" s="13">
        <v>42675.565717592595</v>
      </c>
      <c r="G238" s="7">
        <v>2</v>
      </c>
      <c r="H238" s="13" t="s">
        <v>704</v>
      </c>
      <c r="I238" s="13">
        <v>42675.575138888889</v>
      </c>
      <c r="J238" s="7">
        <v>0</v>
      </c>
      <c r="K238" s="112" t="str">
        <f t="shared" si="88"/>
        <v>4015/4016</v>
      </c>
      <c r="L238" s="22" t="str">
        <f>VLOOKUP(A238,'Trips&amp;Operators'!$C$1:$E$10000,3,FALSE)</f>
        <v>PELLITIER</v>
      </c>
      <c r="M238" s="6">
        <f t="shared" si="89"/>
        <v>9.4212962940218858E-3</v>
      </c>
      <c r="N238" s="7">
        <f t="shared" si="100"/>
        <v>13.566666663391516</v>
      </c>
      <c r="O238" s="7"/>
      <c r="P238" s="7"/>
      <c r="Q238" s="23"/>
      <c r="R238" s="23"/>
      <c r="S238" s="35">
        <f t="shared" si="90"/>
        <v>0</v>
      </c>
      <c r="T238" s="50" t="e">
        <f t="shared" si="91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11:59:25-0600',mode:absolute,to:'2016-11-01 14:48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8" s="52" t="str">
        <f t="shared" si="93"/>
        <v>Y</v>
      </c>
      <c r="X238" s="177" t="e">
        <f t="shared" si="99"/>
        <v>#VALUE!</v>
      </c>
      <c r="Y238" s="67">
        <f t="shared" si="94"/>
        <v>4.7300000000000002E-2</v>
      </c>
      <c r="Z238" s="67">
        <f t="shared" si="95"/>
        <v>4.2504</v>
      </c>
      <c r="AA238" s="67">
        <f t="shared" si="96"/>
        <v>4.2031000000000001</v>
      </c>
      <c r="AB238" s="64" t="e">
        <f>VLOOKUP(A238,Enforcements!$C$7:$K$21,8,0)</f>
        <v>#N/A</v>
      </c>
      <c r="AC238" s="60" t="e">
        <f>VLOOKUP(A238,Enforcements!$C$7:$E$21,3,0)</f>
        <v>#N/A</v>
      </c>
      <c r="AD238" s="61" t="str">
        <f t="shared" si="97"/>
        <v>50-01</v>
      </c>
      <c r="AE238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8" s="88" t="str">
        <f t="shared" si="87"/>
        <v>"C:\Program Files (x86)\AstroGrep\AstroGrep.exe" /spath="%USERPROFILE%\AppData\Local\Temp\OnboardLogs" /stypes="app*4016*20161101*" /stext=" 19:.+((SYSTEM_STATE.+slice.+state.+changed )|(ment ac)|(system.+state.+changed )|(\[timeout)|(PRM\|1\|D)|(kpr)|(kdp)|(\|lc)|(penalty))" /e /r /s</v>
      </c>
      <c r="AG238" s="1" t="str">
        <f t="shared" si="98"/>
        <v>Other</v>
      </c>
      <c r="AH238" s="92" t="str">
        <f t="shared" si="84"/>
        <v>"%USERPROFILE%\Documents\GitHub\eaglep3\Utilities\RefineRTDCRunTimes.py" --tripid 50-01 --locoid 4016 --swversion DE.1.0.8.0 --startMP 204:473 --initTime 2016-11-01T12:59:25 --startdatetime 2016-11-01T13:34:38 --delay 2 --endMP 300:42504 --enddatetime 2016-11-01T13:48:12 --enforcementcount 0 &gt;&gt;C:\Users\stu\Documents\GitHub\eaglep3-reporting\EC\2016-11-01-refined-times.txt</v>
      </c>
      <c r="AI238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{"issue":{"subject":"","project_id":79,"tracker_id":40,"status_id":1,"priority_id":2,"assigned_to_id":23,"start_date":"2016-11-01","description":"","custom_fields":[{"id":1,"name":"Subdivision","value":"Other"},{"id":4,"name":"Milepost","value":"4.2504"},{"id":17,"name":"Train ID","value":"50-01"},{"id":16,"name":"Locomotive ID","value":"4016"},{"id":130,"name":"Impact","value":""},{"id":150,"name":"Time of Event (Mountain Time)","value":"13:48:12"},{"id":151,"name":"Denver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384</v>
      </c>
      <c r="B239" s="7">
        <v>4016</v>
      </c>
      <c r="C239" s="22" t="s">
        <v>253</v>
      </c>
      <c r="D239" s="22" t="s">
        <v>705</v>
      </c>
      <c r="E239" s="13">
        <v>42675.587256944447</v>
      </c>
      <c r="F239" s="13">
        <v>42675.61042824074</v>
      </c>
      <c r="G239" s="7">
        <v>1</v>
      </c>
      <c r="H239" s="13" t="s">
        <v>706</v>
      </c>
      <c r="I239" s="13">
        <v>42675.617210648146</v>
      </c>
      <c r="J239" s="7">
        <v>0</v>
      </c>
      <c r="K239" s="112" t="str">
        <f t="shared" si="88"/>
        <v>4015/4016</v>
      </c>
      <c r="L239" s="22" t="str">
        <f>VLOOKUP(A239,'Trips&amp;Operators'!$C$1:$E$10000,3,FALSE)</f>
        <v>PELLITIER</v>
      </c>
      <c r="M239" s="6">
        <f t="shared" si="89"/>
        <v>6.7824074067175388E-3</v>
      </c>
      <c r="N239" s="7">
        <f t="shared" si="100"/>
        <v>9.7666666656732559</v>
      </c>
      <c r="O239" s="7"/>
      <c r="P239" s="7"/>
      <c r="Q239" s="23"/>
      <c r="R239" s="23"/>
      <c r="S239" s="35">
        <f t="shared" si="90"/>
        <v>0</v>
      </c>
      <c r="T239" s="50" t="e">
        <f t="shared" si="91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13:05:39-0600',mode:absolute,to:'2016-11-01 15:48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9" s="52" t="str">
        <f t="shared" si="93"/>
        <v>Y</v>
      </c>
      <c r="X239" s="177" t="e">
        <f t="shared" si="99"/>
        <v>#VALUE!</v>
      </c>
      <c r="Y239" s="67">
        <f t="shared" si="94"/>
        <v>4.7899999999999998E-2</v>
      </c>
      <c r="Z239" s="67">
        <f t="shared" si="95"/>
        <v>4.2363999999999997</v>
      </c>
      <c r="AA239" s="67">
        <f t="shared" si="96"/>
        <v>4.1884999999999994</v>
      </c>
      <c r="AB239" s="64" t="e">
        <f>VLOOKUP(A239,Enforcements!$C$7:$K$21,8,0)</f>
        <v>#N/A</v>
      </c>
      <c r="AC239" s="60" t="e">
        <f>VLOOKUP(A239,Enforcements!$C$7:$E$21,3,0)</f>
        <v>#N/A</v>
      </c>
      <c r="AD239" s="61" t="str">
        <f t="shared" si="97"/>
        <v>50-01</v>
      </c>
      <c r="AE239" s="91" t="str">
        <f t="shared" si="86"/>
        <v>aws s3 cp s3://rtdc.mdm.uploadarchive.raw/RTDC4016/ "%USERPROFILE%\AppData\Local\Temp\OnboardLogs"\RTDC4016\2016-11-01 --exclude "*" --recursive --include "*20161101*" &amp; "%USERPROFILE%\Documents\GitHub\mrs-test-scripts\Headless Mode &amp; Sideloading\WalkAndUnGZ.bat" "%USERPROFILE%\AppData\Local\Temp\OnboardLogs"\RTDC4016\2016-11-01 &amp; aws s3 cp s3://rtdc.mdm.uploadarchive.raw/RTDC4016/ "%USERPROFILE%\AppData\Local\Temp\OnboardLogs"\RTDC4016\2016-11-02 --exclude "*" --recursive --include "*20161102*" &amp; "%USERPROFILE%\Documents\GitHub\mrs-test-scripts\Headless Mode &amp; Sideloading\WalkAndUnGZ.bat" "%USERPROFILE%\AppData\Local\Temp\OnboardLogs"\RTDC4016\2016-11-02</v>
      </c>
      <c r="AF239" s="88" t="str">
        <f t="shared" si="87"/>
        <v>"C:\Program Files (x86)\AstroGrep\AstroGrep.exe" /spath="%USERPROFILE%\AppData\Local\Temp\OnboardLogs" /stypes="app*4016*20161101*" /stext=" 20:.+((SYSTEM_STATE.+slice.+state.+changed )|(ment ac)|(system.+state.+changed )|(\[timeout)|(PRM\|1\|D)|(kpr)|(kdp)|(\|lc)|(penalty))" /e /r /s</v>
      </c>
      <c r="AG239" s="1" t="str">
        <f t="shared" si="98"/>
        <v>Other</v>
      </c>
      <c r="AH239" s="92" t="str">
        <f t="shared" si="84"/>
        <v>"%USERPROFILE%\Documents\GitHub\eaglep3\Utilities\RefineRTDCRunTimes.py" --tripid 50-01 --locoid 4016 --swversion DE.1.0.8.0 --startMP 204:479 --initTime 2016-11-01T14:05:39 --startdatetime 2016-11-01T14:39:01 --delay 1 --endMP 300:42364 --enddatetime 2016-11-01T14:48:47 --enforcementcount 0 &gt;&gt;C:\Users\stu\Documents\GitHub\eaglep3-reporting\EC\2016-11-01-refined-times.txt</v>
      </c>
      <c r="AI239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{"issue":{"subject":"","project_id":79,"tracker_id":40,"status_id":1,"priority_id":2,"assigned_to_id":23,"start_date":"2016-11-01","description":"","custom_fields":[{"id":1,"name":"Subdivision","value":"Other"},{"id":4,"name":"Milepost","value":"4.2364"},{"id":17,"name":"Train ID","value":"50-01"},{"id":16,"name":"Locomotive ID","value":"4016"},{"id":130,"name":"Impact","value":""},{"id":150,"name":"Time of Event (Mountain Time)","value":"14:48:47"},{"id":151,"name":"Denver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384</v>
      </c>
      <c r="B240" s="7">
        <v>4016</v>
      </c>
      <c r="C240" s="22" t="s">
        <v>253</v>
      </c>
      <c r="D240" s="22" t="s">
        <v>707</v>
      </c>
      <c r="E240" s="13">
        <v>42675.60701388889</v>
      </c>
      <c r="F240" s="13">
        <v>25568.708333333332</v>
      </c>
      <c r="G240" s="7">
        <v>1</v>
      </c>
      <c r="H240" s="13" t="s">
        <v>708</v>
      </c>
      <c r="I240" s="13">
        <v>25568.708333333332</v>
      </c>
      <c r="J240" s="7">
        <v>0</v>
      </c>
      <c r="K240" s="112" t="str">
        <f t="shared" si="88"/>
        <v>4015/4016</v>
      </c>
      <c r="L240" s="22" t="str">
        <f>VLOOKUP(A240,'Trips&amp;Operators'!$C$1:$E$10000,3,FALSE)</f>
        <v>PELLITIER</v>
      </c>
      <c r="M240" s="6">
        <f t="shared" si="89"/>
        <v>0</v>
      </c>
      <c r="N240" s="7">
        <f t="shared" si="100"/>
        <v>0</v>
      </c>
      <c r="O240" s="7"/>
      <c r="P240" s="7"/>
      <c r="Q240" s="23"/>
      <c r="R240" s="23"/>
      <c r="S240" s="35">
        <f t="shared" si="90"/>
        <v>0</v>
      </c>
      <c r="T240" s="50" t="e">
        <f t="shared" si="91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13:34:06-0600',mode:absolute,to:'1969-12-31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40" s="52" t="str">
        <f t="shared" si="93"/>
        <v>Y</v>
      </c>
      <c r="X240" s="177" t="e">
        <f t="shared" si="99"/>
        <v>#VALUE!</v>
      </c>
      <c r="Y240" s="67">
        <f t="shared" si="94"/>
        <v>4.8800000000000003E-2</v>
      </c>
      <c r="Z240" s="67">
        <f t="shared" si="95"/>
        <v>4.2415000000000003</v>
      </c>
      <c r="AA240" s="67">
        <f t="shared" si="96"/>
        <v>4.1927000000000003</v>
      </c>
      <c r="AB240" s="64" t="e">
        <f>VLOOKUP(A240,Enforcements!$C$7:$K$21,8,0)</f>
        <v>#N/A</v>
      </c>
      <c r="AC240" s="60" t="e">
        <f>VLOOKUP(A240,Enforcements!$C$7:$E$21,3,0)</f>
        <v>#N/A</v>
      </c>
      <c r="AD240" s="61" t="str">
        <f t="shared" si="97"/>
        <v>50-01</v>
      </c>
      <c r="AE240" s="91" t="str">
        <f t="shared" si="86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40" s="88" t="str">
        <f t="shared" si="87"/>
        <v>"C:\Program Files (x86)\AstroGrep\AstroGrep.exe" /spath="%USERPROFILE%\AppData\Local\Temp\OnboardLogs" /stypes="app*4016*19691231*" /stext=" 23:.+((SYSTEM_STATE.+slice.+state.+changed )|(ment ac)|(system.+state.+changed )|(\[timeout)|(PRM\|1\|D)|(kpr)|(kdp)|(\|lc)|(penalty))" /e /r /s</v>
      </c>
      <c r="AG240" s="1" t="str">
        <f t="shared" si="98"/>
        <v>Other</v>
      </c>
      <c r="AH240" s="92" t="str">
        <f t="shared" si="84"/>
        <v>"%USERPROFILE%\Documents\GitHub\eaglep3\Utilities\RefineRTDCRunTimes.py" --tripid 50-01 --locoid 4016 --swversion DE.1.0.8.0 --startMP 204:488 --initTime 2016-11-01T14:34:06 --startdatetime 1969-12-31T17:00:00 --delay 1 --endMP 300:42415 --enddatetime 1969-12-31T17:00:00 --enforcementcount 0 &gt;&gt;C:\Users\stu\Documents\GitHub\eaglep3-reporting\EC\2016-11-01-refined-times.txt</v>
      </c>
      <c r="AI240" s="122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{"issue":{"subject":"","project_id":79,"tracker_id":40,"status_id":1,"priority_id":2,"assigned_to_id":23,"start_date":"1969-12-31","description":"","custom_fields":[{"id":1,"name":"Subdivision","value":"Other"},{"id":4,"name":"Milepost","value":"4.2415"},{"id":17,"name":"Train ID","value":"50-01"},{"id":16,"name":"Locomotive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468</v>
      </c>
      <c r="B241" s="7">
        <v>4012</v>
      </c>
      <c r="C241" s="22" t="s">
        <v>253</v>
      </c>
      <c r="D241" s="22" t="s">
        <v>709</v>
      </c>
      <c r="E241" s="13">
        <v>42675.437476851854</v>
      </c>
      <c r="F241" s="13">
        <v>42675.441018518519</v>
      </c>
      <c r="G241" s="7">
        <v>4</v>
      </c>
      <c r="H241" s="13" t="s">
        <v>710</v>
      </c>
      <c r="I241" s="13">
        <v>42675.446608796294</v>
      </c>
      <c r="J241" s="7">
        <v>0</v>
      </c>
      <c r="K241" s="112" t="str">
        <f t="shared" si="88"/>
        <v>4011/4012</v>
      </c>
      <c r="L241" s="22" t="str">
        <f>VLOOKUP(A241,'Trips&amp;Operators'!$C$1:$E$10000,3,FALSE)</f>
        <v>HOLCOMB</v>
      </c>
      <c r="M241" s="6">
        <f t="shared" si="89"/>
        <v>5.5902777748997323E-3</v>
      </c>
      <c r="N241" s="7">
        <f t="shared" si="100"/>
        <v>8.0499999958556145</v>
      </c>
      <c r="O241" s="7"/>
      <c r="P241" s="7"/>
      <c r="Q241" s="23"/>
      <c r="R241" s="23"/>
      <c r="S241" s="35">
        <f t="shared" si="90"/>
        <v>0</v>
      </c>
      <c r="T241" s="50" t="e">
        <f t="shared" si="91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09:29:58-0600',mode:absolute,to:'2016-11-01 11:43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41" s="52" t="str">
        <f t="shared" si="93"/>
        <v>Y</v>
      </c>
      <c r="X241" s="177" t="e">
        <f t="shared" si="99"/>
        <v>#VALUE!</v>
      </c>
      <c r="Y241" s="67">
        <f t="shared" si="94"/>
        <v>2.1943000000000001</v>
      </c>
      <c r="Z241" s="67">
        <f t="shared" si="95"/>
        <v>1.2200000000000001E-2</v>
      </c>
      <c r="AA241" s="67">
        <f t="shared" si="96"/>
        <v>2.1821000000000002</v>
      </c>
      <c r="AB241" s="64" t="e">
        <f>VLOOKUP(A241,Enforcements!$C$7:$K$21,8,0)</f>
        <v>#N/A</v>
      </c>
      <c r="AC241" s="60" t="e">
        <f>VLOOKUP(A241,Enforcements!$C$7:$E$21,3,0)</f>
        <v>#N/A</v>
      </c>
      <c r="AD241" s="61" t="str">
        <f t="shared" si="97"/>
        <v>52-01</v>
      </c>
      <c r="AE241" s="91" t="str">
        <f t="shared" si="86"/>
        <v>aws s3 cp s3://rtdc.mdm.uploadarchive.raw/RTDC4012/ "%USERPROFILE%\AppData\Local\Temp\OnboardLogs"\RTDC4012\2016-11-01 --exclude "*" --recursive --include "*20161101*" &amp; "%USERPROFILE%\Documents\GitHub\mrs-test-scripts\Headless Mode &amp; Sideloading\WalkAndUnGZ.bat" "%USERPROFILE%\AppData\Local\Temp\OnboardLogs"\RTDC4012\2016-11-01 &amp; aws s3 cp s3://rtdc.mdm.uploadarchive.raw/RTDC4012/ "%USERPROFILE%\AppData\Local\Temp\OnboardLogs"\RTDC4012\2016-11-02 --exclude "*" --recursive --include "*20161102*" &amp; "%USERPROFILE%\Documents\GitHub\mrs-test-scripts\Headless Mode &amp; Sideloading\WalkAndUnGZ.bat" "%USERPROFILE%\AppData\Local\Temp\OnboardLogs"\RTDC4012\2016-11-02</v>
      </c>
      <c r="AF241" s="88" t="str">
        <f t="shared" si="87"/>
        <v>"C:\Program Files (x86)\AstroGrep\AstroGrep.exe" /spath="%USERPROFILE%\AppData\Local\Temp\OnboardLogs" /stypes="app*4012*20161101*" /stext=" 16:.+((SYSTEM_STATE.+slice.+state.+changed )|(ment ac)|(system.+state.+changed )|(\[timeout)|(PRM\|1\|D)|(kpr)|(kdp)|(\|lc)|(penalty))" /e /r /s</v>
      </c>
      <c r="AG241" s="1" t="str">
        <f t="shared" si="98"/>
        <v>Other</v>
      </c>
      <c r="AH241" s="92" t="str">
        <f t="shared" si="84"/>
        <v>"%USERPROFILE%\Documents\GitHub\eaglep3\Utilities\RefineRTDCRunTimes.py" --tripid 52-01 --locoid 4012 --swversion DE.1.0.8.0 --startMP 300:21943 --initTime 2016-11-01T10:29:58 --startdatetime 2016-11-01T10:35:04 --delay 4 --endMP 204:122 --enddatetime 2016-11-01T10:43:07 --enforcementcount 0 &gt;&gt;C:\Users\stu\Documents\GitHub\eaglep3-reporting\EC\2016-11-01-refined-times.txt</v>
      </c>
      <c r="AI241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{"issue":{"subject":"","project_id":79,"tracker_id":40,"status_id":1,"priority_id":2,"assigned_to_id":23,"start_date":"2016-11-01","description":"","custom_fields":[{"id":1,"name":"Subdivision","value":"Other"},{"id":4,"name":"Milepost","value":"0.0122"},{"id":17,"name":"Train ID","value":"52-01"},{"id":16,"name":"Locomotive ID","value":"4012"},{"id":130,"name":"Impact","value":""},{"id":150,"name":"Time of Event (Mountain Time)","value":"10:43:07"},{"id":151,"name":"Denver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 s="37" t="s">
        <v>389</v>
      </c>
      <c r="B242" s="7">
        <v>4011</v>
      </c>
      <c r="C242" s="22" t="s">
        <v>253</v>
      </c>
      <c r="D242" s="22" t="s">
        <v>711</v>
      </c>
      <c r="E242" s="13">
        <v>42675.4684375</v>
      </c>
      <c r="F242" s="13">
        <v>42675.474374999998</v>
      </c>
      <c r="G242" s="7">
        <v>3</v>
      </c>
      <c r="H242" s="13" t="s">
        <v>712</v>
      </c>
      <c r="I242" s="13">
        <v>42675.481550925928</v>
      </c>
      <c r="J242" s="7">
        <v>0</v>
      </c>
      <c r="K242" s="112" t="str">
        <f t="shared" si="88"/>
        <v>4011/4012</v>
      </c>
      <c r="L242" s="22" t="str">
        <f>VLOOKUP(A242,'Trips&amp;Operators'!$C$1:$E$10000,3,FALSE)</f>
        <v>BRANNON</v>
      </c>
      <c r="M242" s="6">
        <f t="shared" si="89"/>
        <v>7.1759259299142286E-3</v>
      </c>
      <c r="N242" s="7">
        <f t="shared" si="100"/>
        <v>10.333333339076489</v>
      </c>
      <c r="O242" s="7"/>
      <c r="P242" s="7"/>
      <c r="Q242" s="23"/>
      <c r="R242" s="23"/>
      <c r="S242" s="35">
        <f t="shared" si="90"/>
        <v>0</v>
      </c>
      <c r="T242" s="50" t="e">
        <f t="shared" si="91"/>
        <v>#VALUE!</v>
      </c>
      <c r="U242" s="17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10:14:33-0600',mode:absolute,to:'2016-11-01 12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42" s="52" t="str">
        <f t="shared" si="93"/>
        <v>Y</v>
      </c>
      <c r="X242" s="177" t="e">
        <f t="shared" si="99"/>
        <v>#VALUE!</v>
      </c>
      <c r="Y242" s="67">
        <f t="shared" si="94"/>
        <v>4.2999999999999997E-2</v>
      </c>
      <c r="Z242" s="67">
        <f t="shared" si="95"/>
        <v>2.4226000000000001</v>
      </c>
      <c r="AA242" s="67">
        <f t="shared" si="96"/>
        <v>2.3795999999999999</v>
      </c>
      <c r="AB242" s="64" t="e">
        <f>VLOOKUP(A242,Enforcements!$C$7:$K$21,8,0)</f>
        <v>#N/A</v>
      </c>
      <c r="AC242" s="60" t="e">
        <f>VLOOKUP(A242,Enforcements!$C$7:$E$21,3,0)</f>
        <v>#N/A</v>
      </c>
      <c r="AD242" s="61" t="str">
        <f t="shared" si="97"/>
        <v>53-01</v>
      </c>
      <c r="AE242" s="91" t="str">
        <f t="shared" si="86"/>
        <v>aws s3 cp s3://rtdc.mdm.uploadarchive.raw/RTDC4011/ "%USERPROFILE%\AppData\Local\Temp\OnboardLogs"\RTDC4011\2016-11-01 --exclude "*" --recursive --include "*20161101*" &amp; "%USERPROFILE%\Documents\GitHub\mrs-test-scripts\Headless Mode &amp; Sideloading\WalkAndUnGZ.bat" "%USERPROFILE%\AppData\Local\Temp\OnboardLogs"\RTDC4011\2016-11-01 &amp; aws s3 cp s3://rtdc.mdm.uploadarchive.raw/RTDC4011/ "%USERPROFILE%\AppData\Local\Temp\OnboardLogs"\RTDC4011\2016-11-02 --exclude "*" --recursive --include "*20161102*" &amp; "%USERPROFILE%\Documents\GitHub\mrs-test-scripts\Headless Mode &amp; Sideloading\WalkAndUnGZ.bat" "%USERPROFILE%\AppData\Local\Temp\OnboardLogs"\RTDC4011\2016-11-02</v>
      </c>
      <c r="AF242" s="88" t="str">
        <f t="shared" si="87"/>
        <v>"C:\Program Files (x86)\AstroGrep\AstroGrep.exe" /spath="%USERPROFILE%\AppData\Local\Temp\OnboardLogs" /stypes="app*4011*20161101*" /stext=" 17:.+((SYSTEM_STATE.+slice.+state.+changed )|(ment ac)|(system.+state.+changed )|(\[timeout)|(PRM\|1\|D)|(kpr)|(kdp)|(\|lc)|(penalty))" /e /r /s</v>
      </c>
      <c r="AG242" s="1" t="str">
        <f t="shared" si="98"/>
        <v>Other</v>
      </c>
      <c r="AH242" s="92" t="str">
        <f t="shared" si="84"/>
        <v>"%USERPROFILE%\Documents\GitHub\eaglep3\Utilities\RefineRTDCRunTimes.py" --tripid 53-01 --locoid 4011 --swversion DE.1.0.8.0 --startMP 204:430 --initTime 2016-11-01T11:14:33 --startdatetime 2016-11-01T11:23:06 --delay 3 --endMP 300:24226 --enddatetime 2016-11-01T11:33:26 --enforcementcount 0 &gt;&gt;C:\Users\stu\Documents\GitHub\eaglep3-reporting\EC\2016-11-01-refined-times.txt</v>
      </c>
      <c r="AI242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{"issue":{"subject":"","project_id":79,"tracker_id":40,"status_id":1,"priority_id":2,"assigned_to_id":23,"start_date":"2016-11-01","description":"","custom_fields":[{"id":1,"name":"Subdivision","value":"Other"},{"id":4,"name":"Milepost","value":"2.4226"},{"id":17,"name":"Train ID","value":"53-01"},{"id":16,"name":"Locomotive ID","value":"4011"},{"id":130,"name":"Impact","value":""},{"id":150,"name":"Time of Event (Mountain Time)","value":"11:33:26"},{"id":151,"name":"Denver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3"/>
      <c r="AK242" s="53"/>
      <c r="AL242" s="53"/>
    </row>
    <row r="243" spans="1:38" x14ac:dyDescent="0.25">
      <c r="A243" s="37" t="s">
        <v>388</v>
      </c>
      <c r="B243" s="7">
        <v>4045</v>
      </c>
      <c r="C243" s="22" t="s">
        <v>253</v>
      </c>
      <c r="D243" s="22" t="s">
        <v>713</v>
      </c>
      <c r="E243" s="13">
        <v>42675.459618055553</v>
      </c>
      <c r="F243" s="13">
        <v>42675.48978009259</v>
      </c>
      <c r="G243" s="7">
        <v>1</v>
      </c>
      <c r="H243" s="13" t="s">
        <v>714</v>
      </c>
      <c r="I243" s="13">
        <v>42675.514456018522</v>
      </c>
      <c r="J243" s="7">
        <v>0</v>
      </c>
      <c r="K243" s="112" t="str">
        <f t="shared" si="88"/>
        <v>4045/4046</v>
      </c>
      <c r="L243" s="22" t="str">
        <f>VLOOKUP(A243,'Trips&amp;Operators'!$C$1:$E$10000,3,FALSE)</f>
        <v>BONDS</v>
      </c>
      <c r="M243" s="6">
        <f t="shared" si="89"/>
        <v>2.4675925931660458E-2</v>
      </c>
      <c r="N243" s="7">
        <f t="shared" si="100"/>
        <v>35.53333334159106</v>
      </c>
      <c r="O243" s="7"/>
      <c r="P243" s="7"/>
      <c r="Q243" s="23"/>
      <c r="R243" s="23"/>
      <c r="S243" s="35">
        <f t="shared" si="90"/>
        <v>0</v>
      </c>
      <c r="T243" s="50" t="e">
        <f t="shared" si="91"/>
        <v>#VALUE!</v>
      </c>
      <c r="U243" s="17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10:01:51-0600',mode:absolute,to:'2016-11-01 13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3" s="52" t="str">
        <f t="shared" si="93"/>
        <v>Y</v>
      </c>
      <c r="X243" s="177" t="e">
        <f t="shared" si="99"/>
        <v>#VALUE!</v>
      </c>
      <c r="Y243" s="67">
        <f t="shared" si="94"/>
        <v>2.2174</v>
      </c>
      <c r="Z243" s="67">
        <f t="shared" si="95"/>
        <v>0.09</v>
      </c>
      <c r="AA243" s="67">
        <f t="shared" si="96"/>
        <v>2.1274000000000002</v>
      </c>
      <c r="AB243" s="64" t="e">
        <f>VLOOKUP(A243,Enforcements!$C$7:$K$21,8,0)</f>
        <v>#N/A</v>
      </c>
      <c r="AC243" s="60" t="e">
        <f>VLOOKUP(A243,Enforcements!$C$7:$E$21,3,0)</f>
        <v>#N/A</v>
      </c>
      <c r="AD243" s="61" t="str">
        <f t="shared" si="97"/>
        <v>54-01</v>
      </c>
      <c r="AE243" s="91" t="str">
        <f t="shared" si="86"/>
        <v>aws s3 cp s3://rtdc.mdm.uploadarchive.raw/RTDC4045/ "%USERPROFILE%\AppData\Local\Temp\OnboardLogs"\RTDC4045\2016-11-01 --exclude "*" --recursive --include "*20161101*" &amp; "%USERPROFILE%\Documents\GitHub\mrs-test-scripts\Headless Mode &amp; Sideloading\WalkAndUnGZ.bat" "%USERPROFILE%\AppData\Local\Temp\OnboardLogs"\RTDC4045\2016-11-01 &amp; 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</v>
      </c>
      <c r="AF243" s="88" t="str">
        <f t="shared" si="87"/>
        <v>"C:\Program Files (x86)\AstroGrep\AstroGrep.exe" /spath="%USERPROFILE%\AppData\Local\Temp\OnboardLogs" /stypes="app*4045*20161101*" /stext=" 18:.+((SYSTEM_STATE.+slice.+state.+changed )|(ment ac)|(system.+state.+changed )|(\[timeout)|(PRM\|1\|D)|(kpr)|(kdp)|(\|lc)|(penalty))" /e /r /s</v>
      </c>
      <c r="AG243" s="1" t="str">
        <f t="shared" si="98"/>
        <v>Other</v>
      </c>
      <c r="AH243" s="92" t="str">
        <f t="shared" si="84"/>
        <v>"%USERPROFILE%\Documents\GitHub\eaglep3\Utilities\RefineRTDCRunTimes.py" --tripid 54-01 --locoid 4045 --swversion DE.1.0.8.0 --startMP 300:22174 --initTime 2016-11-01T11:01:51 --startdatetime 2016-11-01T11:45:17 --delay 1 --endMP 204:900 --enddatetime 2016-11-01T12:20:49 --enforcementcount 0 &gt;&gt;C:\Users\stu\Documents\GitHub\eaglep3-reporting\EC\2016-11-01-refined-times.txt</v>
      </c>
      <c r="AI243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{"issue":{"subject":"","project_id":79,"tracker_id":40,"status_id":1,"priority_id":2,"assigned_to_id":23,"start_date":"2016-11-01","description":"","custom_fields":[{"id":1,"name":"Subdivision","value":"Other"},{"id":4,"name":"Milepost","value":"0.09"},{"id":17,"name":"Train ID","value":"54-01"},{"id":16,"name":"Locomotive ID","value":"4045"},{"id":130,"name":"Impact","value":""},{"id":150,"name":"Time of Event (Mountain Time)","value":"12:20:49"},{"id":151,"name":"Denver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3"/>
      <c r="AK243" s="53"/>
      <c r="AL243" s="53"/>
    </row>
    <row r="244" spans="1:38" x14ac:dyDescent="0.25">
      <c r="A244" s="37" t="s">
        <v>482</v>
      </c>
      <c r="B244" s="7">
        <v>4046</v>
      </c>
      <c r="C244" s="22" t="s">
        <v>253</v>
      </c>
      <c r="D244" s="22" t="s">
        <v>715</v>
      </c>
      <c r="E244" s="13">
        <v>42675.485405092593</v>
      </c>
      <c r="F244" s="13">
        <v>42675.488946759258</v>
      </c>
      <c r="G244" s="7">
        <v>3</v>
      </c>
      <c r="H244" s="13" t="s">
        <v>716</v>
      </c>
      <c r="I244" s="13">
        <v>42675.49559027778</v>
      </c>
      <c r="J244" s="7">
        <v>0</v>
      </c>
      <c r="K244" s="112" t="str">
        <f t="shared" si="88"/>
        <v>4045/4046</v>
      </c>
      <c r="L244" s="22" t="str">
        <f>VLOOKUP(A244,'Trips&amp;Operators'!$C$1:$E$10000,3,FALSE)</f>
        <v>RICHARDSON</v>
      </c>
      <c r="M244" s="6">
        <f t="shared" si="89"/>
        <v>6.6435185217414983E-3</v>
      </c>
      <c r="N244" s="7">
        <f t="shared" si="100"/>
        <v>9.5666666713077575</v>
      </c>
      <c r="O244" s="7"/>
      <c r="P244" s="7"/>
      <c r="Q244" s="23"/>
      <c r="R244" s="23"/>
      <c r="S244" s="35">
        <f t="shared" si="90"/>
        <v>0</v>
      </c>
      <c r="T244" s="50" t="e">
        <f t="shared" si="91"/>
        <v>#VALUE!</v>
      </c>
      <c r="U244" s="17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10:38:59-0600',mode:absolute,to:'2016-11-01 12:53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44" s="52" t="str">
        <f t="shared" si="93"/>
        <v>Y</v>
      </c>
      <c r="X244" s="177" t="e">
        <f t="shared" si="99"/>
        <v>#VALUE!</v>
      </c>
      <c r="Y244" s="67">
        <f t="shared" si="94"/>
        <v>0.1212</v>
      </c>
      <c r="Z244" s="67">
        <f t="shared" si="95"/>
        <v>2.4243000000000001</v>
      </c>
      <c r="AA244" s="67">
        <f t="shared" si="96"/>
        <v>2.3031000000000001</v>
      </c>
      <c r="AB244" s="64" t="e">
        <f>VLOOKUP(A244,Enforcements!$C$7:$K$21,8,0)</f>
        <v>#N/A</v>
      </c>
      <c r="AC244" s="60" t="e">
        <f>VLOOKUP(A244,Enforcements!$C$7:$E$21,3,0)</f>
        <v>#N/A</v>
      </c>
      <c r="AD244" s="61" t="str">
        <f t="shared" si="97"/>
        <v>55-01</v>
      </c>
      <c r="AE244" s="91" t="str">
        <f t="shared" si="86"/>
        <v>aws s3 cp s3://rtdc.mdm.uploadarchive.raw/RTDC4046/ "%USERPROFILE%\AppData\Local\Temp\OnboardLogs"\RTDC4046\2016-11-01 --exclude "*" --recursive --include "*20161101*" &amp; "%USERPROFILE%\Documents\GitHub\mrs-test-scripts\Headless Mode &amp; Sideloading\WalkAndUnGZ.bat" "%USERPROFILE%\AppData\Local\Temp\OnboardLogs"\RTDC4046\2016-11-01 &amp; 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</v>
      </c>
      <c r="AF244" s="88" t="str">
        <f t="shared" si="87"/>
        <v>"C:\Program Files (x86)\AstroGrep\AstroGrep.exe" /spath="%USERPROFILE%\AppData\Local\Temp\OnboardLogs" /stypes="app*4046*20161101*" /stext=" 17:.+((SYSTEM_STATE.+slice.+state.+changed )|(ment ac)|(system.+state.+changed )|(\[timeout)|(PRM\|1\|D)|(kpr)|(kdp)|(\|lc)|(penalty))" /e /r /s</v>
      </c>
      <c r="AG244" s="1" t="str">
        <f t="shared" si="98"/>
        <v>Other</v>
      </c>
      <c r="AH244" s="92" t="str">
        <f t="shared" si="84"/>
        <v>"%USERPROFILE%\Documents\GitHub\eaglep3\Utilities\RefineRTDCRunTimes.py" --tripid 55-01 --locoid 4046 --swversion DE.1.0.8.0 --startMP 204:1212 --initTime 2016-11-01T11:38:59 --startdatetime 2016-11-01T11:44:05 --delay 3 --endMP 300:24243 --enddatetime 2016-11-01T11:53:39 --enforcementcount 0 &gt;&gt;C:\Users\stu\Documents\GitHub\eaglep3-reporting\EC\2016-11-01-refined-times.txt</v>
      </c>
      <c r="AI244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{"issue":{"subject":"","project_id":79,"tracker_id":40,"status_id":1,"priority_id":2,"assigned_to_id":23,"start_date":"2016-11-01","description":"","custom_fields":[{"id":1,"name":"Subdivision","value":"Other"},{"id":4,"name":"Milepost","value":"2.4243"},{"id":17,"name":"Train ID","value":"55-01"},{"id":16,"name":"Locomotive ID","value":"4046"},{"id":130,"name":"Impact","value":""},{"id":150,"name":"Time of Event (Mountain Time)","value":"11:53:39"},{"id":151,"name":"Denver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3"/>
      <c r="AK244" s="53"/>
      <c r="AL244" s="53"/>
    </row>
    <row r="245" spans="1:38" x14ac:dyDescent="0.25">
      <c r="A245" s="37" t="s">
        <v>544</v>
      </c>
      <c r="B245" s="7">
        <v>4045</v>
      </c>
      <c r="C245" s="22" t="s">
        <v>253</v>
      </c>
      <c r="D245" s="22" t="s">
        <v>717</v>
      </c>
      <c r="E245" s="13">
        <v>42675.737511574072</v>
      </c>
      <c r="F245" s="13">
        <v>42675.74324074074</v>
      </c>
      <c r="G245" s="7">
        <v>8</v>
      </c>
      <c r="H245" s="13">
        <v>8.5368055555555546</v>
      </c>
      <c r="I245" s="13">
        <v>42675.749756944446</v>
      </c>
      <c r="J245" s="7">
        <v>0</v>
      </c>
      <c r="K245" s="112" t="str">
        <f t="shared" si="88"/>
        <v>4045/4046</v>
      </c>
      <c r="L245" s="22" t="str">
        <f>VLOOKUP(A245,'Trips&amp;Operators'!$C$1:$E$10000,3,FALSE)</f>
        <v>YANAI</v>
      </c>
      <c r="M245" s="6">
        <f t="shared" si="89"/>
        <v>6.5162037062691525E-3</v>
      </c>
      <c r="N245" s="7">
        <f t="shared" si="100"/>
        <v>9.3833333370275795</v>
      </c>
      <c r="O245" s="7"/>
      <c r="P245" s="7"/>
      <c r="Q245" s="23"/>
      <c r="R245" s="23"/>
      <c r="S245" s="35">
        <f t="shared" si="90"/>
        <v>0</v>
      </c>
      <c r="T245" s="50" t="e">
        <f t="shared" si="91"/>
        <v>#VALUE!</v>
      </c>
      <c r="U245" s="17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16:42:01-0600',mode:absolute,to:'2016-11-01 18:59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45" s="52" t="str">
        <f t="shared" si="93"/>
        <v>N</v>
      </c>
      <c r="X245" s="177" t="e">
        <f t="shared" si="99"/>
        <v>#VALUE!</v>
      </c>
      <c r="Y245" s="67">
        <f t="shared" si="94"/>
        <v>2.3235000000000001</v>
      </c>
      <c r="Z245" s="67">
        <f t="shared" si="95"/>
        <v>68055555.555500001</v>
      </c>
      <c r="AA245" s="67">
        <f t="shared" si="96"/>
        <v>68055553.231999993</v>
      </c>
      <c r="AB245" s="64" t="e">
        <f>VLOOKUP(A245,Enforcements!$C$7:$K$21,8,0)</f>
        <v>#N/A</v>
      </c>
      <c r="AC245" s="60" t="e">
        <f>VLOOKUP(A245,Enforcements!$C$7:$E$21,3,0)</f>
        <v>#N/A</v>
      </c>
      <c r="AD245" s="61" t="str">
        <f t="shared" si="97"/>
        <v>58-01</v>
      </c>
      <c r="AE245" s="91" t="str">
        <f t="shared" si="86"/>
        <v>aws s3 cp s3://rtdc.mdm.uploadarchive.raw/RTDC4045/ "%USERPROFILE%\AppData\Local\Temp\OnboardLogs"\RTDC4045\2016-11-01 --exclude "*" --recursive --include "*20161101*" &amp; "%USERPROFILE%\Documents\GitHub\mrs-test-scripts\Headless Mode &amp; Sideloading\WalkAndUnGZ.bat" "%USERPROFILE%\AppData\Local\Temp\OnboardLogs"\RTDC4045\2016-11-01 &amp; 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</v>
      </c>
      <c r="AF245" s="88" t="str">
        <f t="shared" si="87"/>
        <v>"C:\Program Files (x86)\AstroGrep\AstroGrep.exe" /spath="%USERPROFILE%\AppData\Local\Temp\OnboardLogs" /stypes="app*4045*20161101*" /stext=" 23:.+((SYSTEM_STATE.+slice.+state.+changed )|(ment ac)|(system.+state.+changed )|(\[timeout)|(PRM\|1\|D)|(kpr)|(kdp)|(\|lc)|(penalty))" /e /r /s</v>
      </c>
      <c r="AG245" s="1" t="str">
        <f t="shared" si="98"/>
        <v>Other</v>
      </c>
      <c r="AH245" s="92" t="str">
        <f t="shared" si="84"/>
        <v>"%USERPROFILE%\Documents\GitHub\eaglep3\Utilities\RefineRTDCRunTimes.py" --tripid 58-01 --locoid 4045 --swversion DE.1.0.8.0 --startMP 300:23235 --initTime 2016-11-01T17:42:01 --startdatetime 2016-11-01T17:50:16 --delay 8 --endMP 8.53680555555555 --enddatetime 2016-11-01T17:59:39 --enforcementcount 0 &gt;&gt;C:\Users\stu\Documents\GitHub\eaglep3-reporting\EC\2016-11-01-refined-times.txt</v>
      </c>
      <c r="AI245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68055555.5555"},{"id":17,"name":"Train ID","value":"58-01"},{"id":16,"name":"Locomotive ID","value":"4045"},{"id":130,"name":"Impact","value":""},{"id":150,"name":"Time of Event (Mountain Time)","value":"17:59:39"},{"id":151,"name":"Denver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3"/>
      <c r="AK245" s="53"/>
      <c r="AL245" s="53"/>
    </row>
    <row r="246" spans="1:38" x14ac:dyDescent="0.25">
      <c r="A246" s="37" t="s">
        <v>576</v>
      </c>
      <c r="B246" s="7">
        <v>4046</v>
      </c>
      <c r="C246" s="22" t="s">
        <v>253</v>
      </c>
      <c r="D246" s="22" t="s">
        <v>718</v>
      </c>
      <c r="E246" s="13">
        <v>42675.87667824074</v>
      </c>
      <c r="F246" s="13">
        <v>42675.87840277778</v>
      </c>
      <c r="G246" s="7">
        <v>1</v>
      </c>
      <c r="H246" s="13" t="s">
        <v>719</v>
      </c>
      <c r="I246" s="13">
        <v>42675.883206018516</v>
      </c>
      <c r="J246" s="7">
        <v>0</v>
      </c>
      <c r="K246" s="112" t="str">
        <f t="shared" si="88"/>
        <v>4045/4046</v>
      </c>
      <c r="L246" s="22" t="str">
        <f>VLOOKUP(A246,'Trips&amp;Operators'!$C$1:$E$10000,3,FALSE)</f>
        <v>BRUDER</v>
      </c>
      <c r="M246" s="6">
        <f t="shared" si="89"/>
        <v>4.8032407357823104E-3</v>
      </c>
      <c r="N246" s="7">
        <f t="shared" si="100"/>
        <v>6.9166666595265269</v>
      </c>
      <c r="O246" s="7"/>
      <c r="P246" s="7"/>
      <c r="Q246" s="23"/>
      <c r="R246" s="23"/>
      <c r="S246" s="35">
        <f t="shared" si="90"/>
        <v>0</v>
      </c>
      <c r="T246" s="50" t="e">
        <f t="shared" si="91"/>
        <v>#VALUE!</v>
      </c>
      <c r="U246" s="17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20:02:25-0600',mode:absolute,to:'2016-11-01 22:11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46" s="52" t="str">
        <f t="shared" si="93"/>
        <v>Y</v>
      </c>
      <c r="X246" s="177" t="e">
        <f t="shared" si="99"/>
        <v>#VALUE!</v>
      </c>
      <c r="Y246" s="67">
        <f t="shared" si="94"/>
        <v>3.6999999999999998E-2</v>
      </c>
      <c r="Z246" s="67">
        <f t="shared" si="95"/>
        <v>2.3311999999999999</v>
      </c>
      <c r="AA246" s="67">
        <f t="shared" si="96"/>
        <v>2.2942</v>
      </c>
      <c r="AB246" s="64" t="e">
        <f>VLOOKUP(A246,Enforcements!$C$7:$K$21,8,0)</f>
        <v>#N/A</v>
      </c>
      <c r="AC246" s="60" t="e">
        <f>VLOOKUP(A246,Enforcements!$C$7:$E$21,3,0)</f>
        <v>#N/A</v>
      </c>
      <c r="AD246" s="61" t="str">
        <f t="shared" si="97"/>
        <v>59-01</v>
      </c>
      <c r="AE246" s="91" t="str">
        <f t="shared" si="86"/>
        <v>aws s3 cp s3://rtdc.mdm.uploadarchive.raw/RTDC4046/ "%USERPROFILE%\AppData\Local\Temp\OnboardLogs"\RTDC4046\2016-11-01 --exclude "*" --recursive --include "*20161101*" &amp; "%USERPROFILE%\Documents\GitHub\mrs-test-scripts\Headless Mode &amp; Sideloading\WalkAndUnGZ.bat" "%USERPROFILE%\AppData\Local\Temp\OnboardLogs"\RTDC4046\2016-11-01 &amp; aws s3 cp s3://rtdc.mdm.uploadarchive.raw/RTDC4046/ "%USERPROFILE%\AppData\Local\Temp\OnboardLogs"\RTDC4046\2016-11-02 --exclude "*" --recursive --include "*20161102*" &amp; "%USERPROFILE%\Documents\GitHub\mrs-test-scripts\Headless Mode &amp; Sideloading\WalkAndUnGZ.bat" "%USERPROFILE%\AppData\Local\Temp\OnboardLogs"\RTDC4046\2016-11-02</v>
      </c>
      <c r="AF246" s="88" t="str">
        <f t="shared" si="87"/>
        <v>"C:\Program Files (x86)\AstroGrep\AstroGrep.exe" /spath="%USERPROFILE%\AppData\Local\Temp\OnboardLogs" /stypes="app*4046*20161102*" /stext=" 03:.+((SYSTEM_STATE.+slice.+state.+changed )|(ment ac)|(system.+state.+changed )|(\[timeout)|(PRM\|1\|D)|(kpr)|(kdp)|(\|lc)|(penalty))" /e /r /s</v>
      </c>
      <c r="AG246" s="1" t="str">
        <f t="shared" si="98"/>
        <v>Other</v>
      </c>
      <c r="AH246" s="92" t="str">
        <f t="shared" si="84"/>
        <v>"%USERPROFILE%\Documents\GitHub\eaglep3\Utilities\RefineRTDCRunTimes.py" --tripid 59-01 --locoid 4046 --swversion DE.1.0.8.0 --startMP 204:370 --initTime 2016-11-01T21:02:25 --startdatetime 2016-11-01T21:04:54 --delay 1 --endMP 300:23312 --enddatetime 2016-11-01T21:11:49 --enforcementcount 0 &gt;&gt;C:\Users\stu\Documents\GitHub\eaglep3-reporting\EC\2016-11-01-refined-times.txt</v>
      </c>
      <c r="AI246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{"issue":{"subject":"","project_id":79,"tracker_id":40,"status_id":1,"priority_id":2,"assigned_to_id":23,"start_date":"2016-11-01","description":"","custom_fields":[{"id":1,"name":"Subdivision","value":"Other"},{"id":4,"name":"Milepost","value":"2.3312"},{"id":17,"name":"Train ID","value":"59-01"},{"id":16,"name":"Locomotive ID","value":"4046"},{"id":130,"name":"Impact","value":""},{"id":150,"name":"Time of Event (Mountain Time)","value":"21:11:49"},{"id":151,"name":"Denver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3"/>
      <c r="AK246" s="53"/>
      <c r="AL246" s="53"/>
    </row>
    <row r="247" spans="1:38" x14ac:dyDescent="0.25">
      <c r="A247" s="37" t="s">
        <v>401</v>
      </c>
      <c r="B247" s="7">
        <v>4015</v>
      </c>
      <c r="C247" s="22" t="s">
        <v>253</v>
      </c>
      <c r="D247" s="22" t="s">
        <v>720</v>
      </c>
      <c r="E247" s="13">
        <v>42675.75271990741</v>
      </c>
      <c r="F247" s="13">
        <v>42675.755497685182</v>
      </c>
      <c r="G247" s="7">
        <v>3</v>
      </c>
      <c r="H247" s="13" t="s">
        <v>721</v>
      </c>
      <c r="I247" s="13">
        <v>42675.766365740739</v>
      </c>
      <c r="J247" s="7">
        <v>0</v>
      </c>
      <c r="K247" s="112" t="str">
        <f t="shared" si="88"/>
        <v>4015/4016</v>
      </c>
      <c r="L247" s="22" t="str">
        <f>VLOOKUP(A247,'Trips&amp;Operators'!$C$1:$E$10000,3,FALSE)</f>
        <v>DELGADO</v>
      </c>
      <c r="M247" s="6">
        <f t="shared" si="89"/>
        <v>1.0868055556784384E-2</v>
      </c>
      <c r="N247" s="7">
        <f t="shared" si="100"/>
        <v>15.650000001769513</v>
      </c>
      <c r="O247" s="7"/>
      <c r="P247" s="7"/>
      <c r="Q247" s="23"/>
      <c r="R247" s="23"/>
      <c r="S247" s="35">
        <f t="shared" si="90"/>
        <v>0</v>
      </c>
      <c r="T247" s="50" t="e">
        <f t="shared" si="91"/>
        <v>#VALUE!</v>
      </c>
      <c r="U247" s="17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98" t="str">
        <f t="shared" si="92"/>
        <v>https://search-rtdc-monitor-bjffxe2xuh6vdkpspy63sjmuny.us-east-1.es.amazonaws.com/_plugin/kibana/#/discover/Steve-Slow-Train-Analysis-(2080s-and-2083s)?_g=(refreshInterval:(display:Off,section:0,value:0),time:(from:'2016-11-01 17:03:55-0600',mode:absolute,to:'2016-11-01 19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7" s="52" t="str">
        <f t="shared" si="93"/>
        <v>Y</v>
      </c>
      <c r="X247" s="177" t="e">
        <f t="shared" si="99"/>
        <v>#VALUE!</v>
      </c>
      <c r="Y247" s="67">
        <f t="shared" si="94"/>
        <v>2.1913999999999998</v>
      </c>
      <c r="Z247" s="67">
        <f t="shared" si="95"/>
        <v>0.17249999999999999</v>
      </c>
      <c r="AA247" s="67">
        <f t="shared" si="96"/>
        <v>2.0188999999999999</v>
      </c>
      <c r="AB247" s="64" t="e">
        <f>VLOOKUP(A247,Enforcements!$C$7:$K$21,8,0)</f>
        <v>#N/A</v>
      </c>
      <c r="AC247" s="60" t="e">
        <f>VLOOKUP(A247,Enforcements!$C$7:$E$21,3,0)</f>
        <v>#N/A</v>
      </c>
      <c r="AD247" s="61" t="str">
        <f t="shared" si="97"/>
        <v>60-01</v>
      </c>
      <c r="AE247" s="91" t="str">
        <f t="shared" si="86"/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AF247" s="88" t="str">
        <f t="shared" si="87"/>
        <v>"C:\Program Files (x86)\AstroGrep\AstroGrep.exe" /spath="%USERPROFILE%\AppData\Local\Temp\OnboardLogs" /stypes="app*4015*20161102*" /stext=" 00:.+((SYSTEM_STATE.+slice.+state.+changed )|(ment ac)|(system.+state.+changed )|(\[timeout)|(PRM\|1\|D)|(kpr)|(kdp)|(\|lc)|(penalty))" /e /r /s</v>
      </c>
      <c r="AG247" s="1" t="str">
        <f t="shared" si="98"/>
        <v>Other</v>
      </c>
      <c r="AH247" s="92" t="str">
        <f t="shared" si="84"/>
        <v>"%USERPROFILE%\Documents\GitHub\eaglep3\Utilities\RefineRTDCRunTimes.py" --tripid 60-01 --locoid 4015 --swversion DE.1.0.8.0 --startMP 300:21914 --initTime 2016-11-01T18:03:55 --startdatetime 2016-11-01T18:07:55 --delay 3 --endMP 204:1725 --enddatetime 2016-11-01T18:23:34 --enforcementcount 0 &gt;&gt;C:\Users\stu\Documents\GitHub\eaglep3-reporting\EC\2016-11-01-refined-times.txt</v>
      </c>
      <c r="AI247" s="122" t="str">
        <f t="shared" si="85"/>
        <v>echo {"issue":{"subject":"","project_id":79,"tracker_id":40,"status_id":1,"priority_id":2,"assigned_to_id":23,"start_date":"2016-11-01","description":"","custom_fields":[{"id":1,"name":"Subdivision","value":"Other"},{"id":4,"name":"Milepost","value":"0.1725"},{"id":17,"name":"Train ID","value":"60-01"},{"id":16,"name":"Locomotive ID","value":"4015"},{"id":130,"name":"Impact","value":""},{"id":150,"name":"Time of Event (Mountain Time)","value":"18:23:34"},{"id":151,"name":"Denver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3"/>
      <c r="AK247" s="53"/>
      <c r="AL247" s="53"/>
    </row>
    <row r="248" spans="1:3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  <row r="249" spans="1:3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</row>
    <row r="250" spans="1:3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</row>
    <row r="251" spans="1:3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</row>
    <row r="252" spans="1:3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</row>
    <row r="253" spans="1:3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</row>
    <row r="254" spans="1:3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</row>
    <row r="255" spans="1:3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</row>
    <row r="256" spans="1:3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</row>
    <row r="257" spans="1:3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</row>
    <row r="258" spans="1:3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</row>
    <row r="259" spans="1:3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</row>
    <row r="260" spans="1:3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</row>
    <row r="261" spans="1:3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</row>
    <row r="262" spans="1:3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</row>
    <row r="263" spans="1:3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</row>
    <row r="264" spans="1:3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</row>
    <row r="265" spans="1:3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</row>
    <row r="266" spans="1:3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</row>
    <row r="267" spans="1:3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</row>
  </sheetData>
  <autoFilter ref="A12:AG267"/>
  <sortState ref="A13:AH200">
    <sortCondition ref="AG13:AG200"/>
    <sortCondition ref="AD13:AD200"/>
  </sortState>
  <mergeCells count="1">
    <mergeCell ref="A11:P11"/>
  </mergeCells>
  <conditionalFormatting sqref="W11:W12 W268:X1048576 W13:X247">
    <cfRule type="cellIs" dxfId="36" priority="344" operator="equal">
      <formula>"Y"</formula>
    </cfRule>
  </conditionalFormatting>
  <conditionalFormatting sqref="X268:X1048576 X13:X247">
    <cfRule type="cellIs" dxfId="35" priority="327" operator="greaterThan">
      <formula>1</formula>
    </cfRule>
  </conditionalFormatting>
  <conditionalFormatting sqref="X268:X1048576 X12:X247">
    <cfRule type="cellIs" dxfId="34" priority="324" operator="equal">
      <formula>0</formula>
    </cfRule>
  </conditionalFormatting>
  <conditionalFormatting sqref="A13:S247">
    <cfRule type="expression" dxfId="33" priority="318" stopIfTrue="1">
      <formula>$P13&gt;0</formula>
    </cfRule>
    <cfRule type="expression" dxfId="32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8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9" customWidth="1"/>
    <col min="5" max="5" width="18.5703125" style="139" customWidth="1"/>
    <col min="6" max="6" width="5.7109375" style="139" customWidth="1"/>
    <col min="7" max="7" width="5.85546875" style="139" customWidth="1"/>
    <col min="8" max="8" width="7.85546875" style="139" customWidth="1"/>
    <col min="9" max="9" width="9" style="139" customWidth="1"/>
    <col min="10" max="10" width="11.5703125" style="139" hidden="1" customWidth="1"/>
    <col min="11" max="11" width="9.140625" style="139" customWidth="1"/>
    <col min="12" max="12" width="7.85546875" style="139" customWidth="1"/>
    <col min="13" max="13" width="7.85546875" style="2" customWidth="1"/>
    <col min="14" max="14" width="13.5703125" style="138" bestFit="1" customWidth="1"/>
    <col min="15" max="15" width="5.140625" style="169" customWidth="1"/>
    <col min="16" max="16" width="30.7109375" style="139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41" customWidth="1"/>
  </cols>
  <sheetData>
    <row r="1" spans="1:29" s="21" customFormat="1" ht="15.75" hidden="1" thickBot="1" x14ac:dyDescent="0.3">
      <c r="A1" s="8"/>
      <c r="D1" s="139"/>
      <c r="E1" s="139"/>
      <c r="F1" s="139"/>
      <c r="G1" s="139"/>
      <c r="H1" s="139"/>
      <c r="I1" s="139"/>
      <c r="J1" s="139"/>
      <c r="K1" s="139"/>
      <c r="L1" s="139"/>
      <c r="M1" s="2"/>
      <c r="N1" s="138"/>
      <c r="O1" s="169"/>
      <c r="P1" s="139"/>
      <c r="R1" s="89"/>
      <c r="S1" s="101"/>
      <c r="T1" s="86"/>
      <c r="V1" s="48"/>
      <c r="AC1" s="141"/>
    </row>
    <row r="2" spans="1:29" s="21" customFormat="1" x14ac:dyDescent="0.25">
      <c r="A2" s="8"/>
      <c r="D2" s="139"/>
      <c r="E2" s="139"/>
      <c r="F2" s="139"/>
      <c r="G2" s="139"/>
      <c r="H2" s="139"/>
      <c r="I2" s="139"/>
      <c r="J2" s="139"/>
      <c r="K2" s="139"/>
      <c r="L2" s="150" t="s">
        <v>80</v>
      </c>
      <c r="M2" s="134"/>
      <c r="N2" s="151"/>
      <c r="O2" s="181">
        <f>COUNTIF($O$7:$O$337,"=Y")</f>
        <v>3</v>
      </c>
      <c r="P2" s="136"/>
      <c r="R2" s="89"/>
      <c r="S2" s="101"/>
      <c r="T2" s="86"/>
      <c r="V2" s="48"/>
      <c r="AC2" s="142"/>
    </row>
    <row r="3" spans="1:29" s="21" customFormat="1" ht="15.75" thickBot="1" x14ac:dyDescent="0.3">
      <c r="A3" s="8"/>
      <c r="D3" s="139"/>
      <c r="E3" s="139"/>
      <c r="F3" s="139"/>
      <c r="G3" s="139"/>
      <c r="H3" s="139"/>
      <c r="I3" s="139"/>
      <c r="J3" s="139"/>
      <c r="K3" s="139"/>
      <c r="L3" s="152" t="s">
        <v>81</v>
      </c>
      <c r="M3" s="135"/>
      <c r="N3" s="153"/>
      <c r="O3" s="182">
        <f>COUNTA($O$7:$O$337)-O2</f>
        <v>33</v>
      </c>
      <c r="P3" s="136"/>
      <c r="R3" s="89"/>
      <c r="S3" s="101"/>
      <c r="T3" s="86"/>
      <c r="V3" s="48"/>
      <c r="AC3" s="142"/>
    </row>
    <row r="4" spans="1:29" s="21" customFormat="1" x14ac:dyDescent="0.25">
      <c r="A4" s="8"/>
      <c r="D4" s="139"/>
      <c r="E4" s="139"/>
      <c r="F4" s="139"/>
      <c r="G4" s="139"/>
      <c r="H4" s="139"/>
      <c r="I4" s="139"/>
      <c r="J4" s="139"/>
      <c r="K4" s="139"/>
      <c r="L4" s="139"/>
      <c r="M4" s="2"/>
      <c r="N4" s="138"/>
      <c r="O4" s="169"/>
      <c r="P4" s="139"/>
      <c r="R4" s="89"/>
      <c r="S4" s="101"/>
      <c r="T4" s="86"/>
      <c r="V4" s="48"/>
      <c r="AC4" s="142"/>
    </row>
    <row r="5" spans="1:29" s="10" customFormat="1" ht="15" customHeight="1" x14ac:dyDescent="0.25">
      <c r="A5" s="185" t="str">
        <f>"Eagle P3 Braking Events - "&amp;TEXT(Variables!$A$2,"YYYY-mm-dd")</f>
        <v>Eagle P3 Braking Events - 2016-11-01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4"/>
      <c r="R5" s="99"/>
      <c r="S5" s="102"/>
      <c r="T5" s="104"/>
      <c r="V5" s="49"/>
      <c r="AC5" s="143"/>
    </row>
    <row r="6" spans="1:29" s="133" customFormat="1" ht="69.75" customHeight="1" x14ac:dyDescent="0.2">
      <c r="A6" s="123" t="s">
        <v>38</v>
      </c>
      <c r="B6" s="124" t="s">
        <v>37</v>
      </c>
      <c r="C6" s="124" t="s">
        <v>36</v>
      </c>
      <c r="D6" s="140" t="s">
        <v>35</v>
      </c>
      <c r="E6" s="140" t="s">
        <v>34</v>
      </c>
      <c r="F6" s="140" t="s">
        <v>33</v>
      </c>
      <c r="G6" s="140" t="s">
        <v>32</v>
      </c>
      <c r="H6" s="140" t="s">
        <v>31</v>
      </c>
      <c r="I6" s="140" t="s">
        <v>158</v>
      </c>
      <c r="J6" s="140" t="s">
        <v>30</v>
      </c>
      <c r="K6" s="140" t="s">
        <v>29</v>
      </c>
      <c r="L6" s="140" t="s">
        <v>28</v>
      </c>
      <c r="M6" s="125" t="s">
        <v>159</v>
      </c>
      <c r="N6" s="155" t="s">
        <v>47</v>
      </c>
      <c r="O6" s="183" t="s">
        <v>27</v>
      </c>
      <c r="P6" s="140" t="s">
        <v>24</v>
      </c>
      <c r="Q6" s="126"/>
      <c r="R6" s="127" t="s">
        <v>89</v>
      </c>
      <c r="S6" s="128" t="s">
        <v>55</v>
      </c>
      <c r="T6" s="129" t="s">
        <v>88</v>
      </c>
      <c r="U6" s="124" t="s">
        <v>83</v>
      </c>
      <c r="V6" s="130" t="s">
        <v>84</v>
      </c>
      <c r="W6" s="126" t="s">
        <v>96</v>
      </c>
      <c r="X6" s="126" t="s">
        <v>97</v>
      </c>
      <c r="Y6" s="131" t="s">
        <v>148</v>
      </c>
      <c r="Z6" s="132" t="s">
        <v>149</v>
      </c>
      <c r="AA6" s="132" t="s">
        <v>122</v>
      </c>
      <c r="AB6" s="132" t="s">
        <v>150</v>
      </c>
      <c r="AC6" s="144" t="s">
        <v>180</v>
      </c>
    </row>
    <row r="7" spans="1:29" s="1" customFormat="1" x14ac:dyDescent="0.25">
      <c r="A7" s="36">
        <v>42675.534918981481</v>
      </c>
      <c r="B7" s="31" t="s">
        <v>316</v>
      </c>
      <c r="C7" s="31" t="s">
        <v>392</v>
      </c>
      <c r="D7" s="31" t="s">
        <v>98</v>
      </c>
      <c r="E7" s="31" t="s">
        <v>393</v>
      </c>
      <c r="F7" s="47">
        <v>790</v>
      </c>
      <c r="G7" s="47">
        <v>843</v>
      </c>
      <c r="H7" s="47">
        <v>98007</v>
      </c>
      <c r="I7" s="47">
        <v>93456</v>
      </c>
      <c r="J7" s="31" t="s">
        <v>219</v>
      </c>
      <c r="K7" s="47">
        <v>126678</v>
      </c>
      <c r="L7" s="157" t="s">
        <v>51</v>
      </c>
      <c r="M7" s="158">
        <f t="shared" ref="M7:M42" si="0">CONVERT((I7-K7)/10000,"mi","ft")*IF(L7="Increasing Mileposts (1)",-1,1)</f>
        <v>-17541.216</v>
      </c>
      <c r="N7" s="159" t="str">
        <f>VLOOKUP(C7,'Trips&amp;Operators'!$C$1:$E$99999,3,FALSE)</f>
        <v>HELVIE</v>
      </c>
      <c r="O7" s="184" t="s">
        <v>217</v>
      </c>
      <c r="P7" s="160" t="s">
        <v>801</v>
      </c>
      <c r="Q7" s="31"/>
      <c r="R7" s="100" t="str">
        <f>VLOOKUP(C7,'Train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7" s="103" t="str">
        <f>VLOOKUP(C7,'Train Runs'!$A$13:$AE$10011,22,0)</f>
        <v>https://search-rtdc-monitor-bjffxe2xuh6vdkpspy63sjmuny.us-east-1.es.amazonaws.com/_plugin/kibana/#/discover/Steve-Slow-Train-Analysis-(2080s-and-2083s)?_g=(refreshInterval:(display:Off,section:0,value:0),time:(from:'2016-11-01 11:21:09-0600',mode:absolute,to:'2016-11-01 14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 t="shared" ref="T7:T42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/stypes="*4039*201611011*" /stext=" 18:.+((SYSTEM_STATE.+slice.+state.+changed )|(ment ac)|(system.+state.+changed )|(\[timeout)|(PRM\|1\|D)|(kpr)|(kdp)|(\|lc)|(penalty))" /e /r /s</v>
      </c>
      <c r="U7" s="9" t="str">
        <f t="shared" ref="U7:U42" si="2">MID(B7,13,4)</f>
        <v>4039</v>
      </c>
      <c r="V7" s="36">
        <f t="shared" ref="V7:V42" si="3">A7+6/24</f>
        <v>42675.784918981481</v>
      </c>
      <c r="W7" s="50" t="str">
        <f t="shared" ref="W7:W42" si="4">IF(VALUE(LEFT(IF(LEN(C7)=6,"0"&amp;C7,C7),2))&lt;=2,"EC",IF(OR(VALUE(LEFT(IF(LEN(C7)=6,"0"&amp;C7,C7),2))=8,VALUE(LEFT(IF(LEN(C7)=6,"0"&amp;C7,C7),2))=18),"NW","Other"))</f>
        <v>EC</v>
      </c>
      <c r="X7" s="50" t="str">
        <f t="shared" ref="X7:X42" si="5">IF(AND(E7="TRACK WARRANT AUTHORITY",G7&lt;10),"OMIT","KEEP")</f>
        <v>KEEP</v>
      </c>
      <c r="Y7" s="122" t="str">
        <f t="shared" ref="Y7:Y4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{"issue":{"subject":"Legitimate overspeed","project_id":79,"tracker_id":40,"status_id":1,"priority_id":2,"assigned_to_id":23,"start_date":"2016-11-01","description":"","custom_fields":[{"id":1,"name":"Subdivision","value":"EC"},{"id":4,"name":"Milepost","value":"12.6678"},{"id":17,"name":"Train ID","value":"164-01"},{"id":16,"name":"Locomotive ID","value":"4039"},{"id":130,"name":"Impact","value":""},{"id":150,"name":"Time of Event (Mountain Time)","value":"12:50:17"},{"id":151,"name":"Denver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41" t="str">
        <f t="shared" ref="AC7:AC42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"%USERPROFILE%\AppData\Local\Temp\OnboardLogs"\RTDC4039\*4039*201611011* | grep -SE "((Enforcement Ac)|(PRM))" -</v>
      </c>
    </row>
    <row r="8" spans="1:29" s="1" customFormat="1" x14ac:dyDescent="0.25">
      <c r="A8" s="36">
        <v>42675.275555555556</v>
      </c>
      <c r="B8" s="31" t="s">
        <v>261</v>
      </c>
      <c r="C8" s="31" t="s">
        <v>377</v>
      </c>
      <c r="D8" s="31" t="s">
        <v>49</v>
      </c>
      <c r="E8" s="31" t="s">
        <v>154</v>
      </c>
      <c r="F8" s="47">
        <v>200</v>
      </c>
      <c r="G8" s="47">
        <v>261</v>
      </c>
      <c r="H8" s="47">
        <v>26530</v>
      </c>
      <c r="I8" s="47">
        <v>27070</v>
      </c>
      <c r="J8" s="31" t="s">
        <v>153</v>
      </c>
      <c r="K8" s="47">
        <v>27053</v>
      </c>
      <c r="L8" s="157" t="s">
        <v>50</v>
      </c>
      <c r="M8" s="158">
        <f t="shared" si="0"/>
        <v>-8.9760000000000009</v>
      </c>
      <c r="N8" s="159" t="str">
        <f>VLOOKUP(C8,'Trips&amp;Operators'!$C$1:$E$99999,3,FALSE)</f>
        <v>DAVIS</v>
      </c>
      <c r="O8" s="184" t="s">
        <v>217</v>
      </c>
      <c r="P8" s="160" t="s">
        <v>802</v>
      </c>
      <c r="Q8" s="31"/>
      <c r="R8" s="100" t="str">
        <f>VLOOKUP(C8,'Train Runs'!$A$13:$AE$10011,31,0)</f>
        <v>aws s3 cp s3://rtdc.mdm.uploadarchive.raw/RTDC4014/ "%USERPROFILE%\AppData\Local\Temp\OnboardLogs"\RTDC4014\2016-11-01 --exclude "*" --recursive --include "*20161101*" &amp; "%USERPROFILE%\Documents\GitHub\mrs-test-scripts\Headless Mode &amp; Sideloading\WalkAndUnGZ.bat" "%USERPROFILE%\AppData\Local\Temp\OnboardLogs"\RTDC4014\2016-11-01 &amp; aws s3 cp s3://rtdc.mdm.uploadarchive.raw/RTDC4014/ "%USERPROFILE%\AppData\Local\Temp\OnboardLogs"\RTDC4014\2016-11-02 --exclude "*" --recursive --include "*20161102*" &amp; "%USERPROFILE%\Documents\GitHub\mrs-test-scripts\Headless Mode &amp; Sideloading\WalkAndUnGZ.bat" "%USERPROFILE%\AppData\Local\Temp\OnboardLogs"\RTDC4014\2016-11-02</v>
      </c>
      <c r="S8" s="103" t="str">
        <f>VLOOKUP(C8,'Train Runs'!$A$13:$AE$10011,22,0)</f>
        <v>https://search-rtdc-monitor-bjffxe2xuh6vdkpspy63sjmuny.us-east-1.es.amazonaws.com/_plugin/kibana/#/discover/Steve-Slow-Train-Analysis-(2080s-and-2083s)?_g=(refreshInterval:(display:Off,section:0,value:0),time:(from:'2016-11-01 05:26:08-0600',mode:absolute,to:'2016-11-01 08:08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5" t="str">
        <f t="shared" si="1"/>
        <v>"C:\Program Files (x86)\AstroGrep\AstroGrep.exe" /spath="%USERPROFILE%\AppData\Local\Temp\OnboardLogs" /stypes="*4014*201611011*" /stext=" 12:.+((SYSTEM_STATE.+slice.+state.+changed )|(ment ac)|(system.+state.+changed )|(\[timeout)|(PRM\|1\|D)|(kpr)|(kdp)|(\|lc)|(penalty))" /e /r /s</v>
      </c>
      <c r="U8" s="9" t="str">
        <f t="shared" si="2"/>
        <v>4014</v>
      </c>
      <c r="V8" s="36">
        <f t="shared" si="3"/>
        <v>42675.525555555556</v>
      </c>
      <c r="W8" s="50" t="str">
        <f t="shared" si="4"/>
        <v>EC</v>
      </c>
      <c r="X8" s="50" t="str">
        <f t="shared" si="5"/>
        <v>KEEP</v>
      </c>
      <c r="Y8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arrival","project_id":79,"tracker_id":40,"status_id":1,"priority_id":2,"assigned_to_id":23,"start_date":"2016-11-01","description":"","custom_fields":[{"id":1,"name":"Subdivision","value":"EC"},{"id":4,"name":"Milepost","value":"2.7053"},{"id":17,"name":"Train ID","value":"123-01"},{"id":16,"name":"Locomotive ID","value":"4014"},{"id":130,"name":"Impact","value":""},{"id":150,"name":"Time of Event (Mountain Time)","value":"06:36:48"},{"id":151,"name":"Denver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41" t="str">
        <f t="shared" si="7"/>
        <v>grep -hSE -A100 "Enforcement Action" "%USERPROFILE%\AppData\Local\Temp\OnboardLogs"\RTDC4014\*4014*201611011* | grep -SE "((Enforcement Ac)|(PRM))" -</v>
      </c>
    </row>
    <row r="9" spans="1:29" s="1" customFormat="1" x14ac:dyDescent="0.25">
      <c r="A9" s="36">
        <v>42675.325439814813</v>
      </c>
      <c r="B9" s="31" t="s">
        <v>316</v>
      </c>
      <c r="C9" s="31" t="s">
        <v>381</v>
      </c>
      <c r="D9" s="31" t="s">
        <v>98</v>
      </c>
      <c r="E9" s="31" t="s">
        <v>154</v>
      </c>
      <c r="F9" s="47">
        <v>190</v>
      </c>
      <c r="G9" s="47">
        <v>242</v>
      </c>
      <c r="H9" s="47">
        <v>27055</v>
      </c>
      <c r="I9" s="47">
        <v>26301</v>
      </c>
      <c r="J9" s="31" t="s">
        <v>153</v>
      </c>
      <c r="K9" s="47">
        <v>27350</v>
      </c>
      <c r="L9" s="157" t="s">
        <v>51</v>
      </c>
      <c r="M9" s="158">
        <f t="shared" si="0"/>
        <v>-553.87199999999996</v>
      </c>
      <c r="N9" s="159" t="str">
        <f>VLOOKUP(C9,'Trips&amp;Operators'!$C$1:$E$99999,3,FALSE)</f>
        <v>RICHARDSON</v>
      </c>
      <c r="O9" s="184" t="s">
        <v>217</v>
      </c>
      <c r="P9" s="160" t="s">
        <v>802</v>
      </c>
      <c r="Q9" s="31"/>
      <c r="R9" s="100" t="str">
        <f>VLOOKUP(C9,'Train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9" s="103" t="str">
        <f>VLOOKUP(C9,'Train Runs'!$A$13:$AE$10011,22,0)</f>
        <v>https://search-rtdc-monitor-bjffxe2xuh6vdkpspy63sjmuny.us-east-1.es.amazonaws.com/_plugin/kibana/#/discover/Steve-Slow-Train-Analysis-(2080s-and-2083s)?_g=(refreshInterval:(display:Off,section:0,value:0),time:(from:'2016-11-01 06:02:06-0600',mode:absolute,to:'2016-11-01 08:57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9" s="105" t="str">
        <f t="shared" si="1"/>
        <v>"C:\Program Files (x86)\AstroGrep\AstroGrep.exe" /spath="%USERPROFILE%\AppData\Local\Temp\OnboardLogs" /stypes="*4039*201611011*" /stext=" 13:.+((SYSTEM_STATE.+slice.+state.+changed )|(ment ac)|(system.+state.+changed )|(\[timeout)|(PRM\|1\|D)|(kpr)|(kdp)|(\|lc)|(penalty))" /e /r /s</v>
      </c>
      <c r="U9" s="9" t="str">
        <f t="shared" si="2"/>
        <v>4039</v>
      </c>
      <c r="V9" s="36">
        <f t="shared" si="3"/>
        <v>42675.575439814813</v>
      </c>
      <c r="W9" s="50" t="str">
        <f t="shared" si="4"/>
        <v>EC</v>
      </c>
      <c r="X9" s="50" t="str">
        <f t="shared" si="5"/>
        <v>KEEP</v>
      </c>
      <c r="Y9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arrival","project_id":79,"tracker_id":40,"status_id":1,"priority_id":2,"assigned_to_id":23,"start_date":"2016-11-01","description":"","custom_fields":[{"id":1,"name":"Subdivision","value":"EC"},{"id":4,"name":"Milepost","value":"2.735"},{"id":17,"name":"Train ID","value":"122-01"},{"id":16,"name":"Locomotive ID","value":"4039"},{"id":130,"name":"Impact","value":""},{"id":150,"name":"Time of Event (Mountain Time)","value":"07:48:38"},{"id":151,"name":"Denver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41" t="str">
        <f t="shared" si="7"/>
        <v>grep -hSE -A100 "Enforcement Action" "%USERPROFILE%\AppData\Local\Temp\OnboardLogs"\RTDC4039\*4039*201611011* | grep -SE "((Enforcement Ac)|(PRM))" -</v>
      </c>
    </row>
    <row r="10" spans="1:29" s="1" customFormat="1" x14ac:dyDescent="0.25">
      <c r="A10" s="36">
        <v>42675.394502314812</v>
      </c>
      <c r="B10" s="31" t="s">
        <v>316</v>
      </c>
      <c r="C10" s="31" t="s">
        <v>383</v>
      </c>
      <c r="D10" s="31" t="s">
        <v>98</v>
      </c>
      <c r="E10" s="31" t="s">
        <v>154</v>
      </c>
      <c r="F10" s="47">
        <v>190</v>
      </c>
      <c r="G10" s="47">
        <v>242</v>
      </c>
      <c r="H10" s="47">
        <v>27021</v>
      </c>
      <c r="I10" s="47">
        <v>26481</v>
      </c>
      <c r="J10" s="31" t="s">
        <v>153</v>
      </c>
      <c r="K10" s="47">
        <v>27350</v>
      </c>
      <c r="L10" s="157" t="s">
        <v>51</v>
      </c>
      <c r="M10" s="158">
        <f t="shared" si="0"/>
        <v>-458.83199999999999</v>
      </c>
      <c r="N10" s="159" t="str">
        <f>VLOOKUP(C10,'Trips&amp;Operators'!$C$1:$E$99999,3,FALSE)</f>
        <v>RICHARDSON</v>
      </c>
      <c r="O10" s="184" t="s">
        <v>217</v>
      </c>
      <c r="P10" s="160" t="s">
        <v>802</v>
      </c>
      <c r="Q10" s="31"/>
      <c r="R10" s="100" t="str">
        <f>VLOOKUP(C10,'Train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10" s="103" t="str">
        <f>VLOOKUP(C10,'Train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07:50:42-0600',mode:absolute,to:'2016-11-01 10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0" s="105" t="str">
        <f t="shared" si="1"/>
        <v>"C:\Program Files (x86)\AstroGrep\AstroGrep.exe" /spath="%USERPROFILE%\AppData\Local\Temp\OnboardLogs" /stypes="*4039*201611011*" /stext=" 15:.+((SYSTEM_STATE.+slice.+state.+changed )|(ment ac)|(system.+state.+changed )|(\[timeout)|(PRM\|1\|D)|(kpr)|(kdp)|(\|lc)|(penalty))" /e /r /s</v>
      </c>
      <c r="U10" s="9" t="str">
        <f t="shared" si="2"/>
        <v>4039</v>
      </c>
      <c r="V10" s="36">
        <f t="shared" si="3"/>
        <v>42675.644502314812</v>
      </c>
      <c r="W10" s="50" t="str">
        <f t="shared" si="4"/>
        <v>EC</v>
      </c>
      <c r="X10" s="50" t="str">
        <f t="shared" si="5"/>
        <v>KEEP</v>
      </c>
      <c r="Y10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arrival","project_id":79,"tracker_id":40,"status_id":1,"priority_id":2,"assigned_to_id":23,"start_date":"2016-11-01","description":"","custom_fields":[{"id":1,"name":"Subdivision","value":"EC"},{"id":4,"name":"Milepost","value":"2.735"},{"id":17,"name":"Train ID","value":"136-01"},{"id":16,"name":"Locomotive ID","value":"4039"},{"id":130,"name":"Impact","value":""},{"id":150,"name":"Time of Event (Mountain Time)","value":"09:28:05"},{"id":151,"name":"Denver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41" t="str">
        <f t="shared" si="7"/>
        <v>grep -hSE -A100 "Enforcement Action" "%USERPROFILE%\AppData\Local\Temp\OnboardLogs"\RTDC4039\*4039*201611011* | grep -SE "((Enforcement Ac)|(PRM))" -</v>
      </c>
    </row>
    <row r="11" spans="1:29" s="1" customFormat="1" x14ac:dyDescent="0.25">
      <c r="A11" s="36">
        <v>42675.412708333337</v>
      </c>
      <c r="B11" s="31" t="s">
        <v>254</v>
      </c>
      <c r="C11" s="31" t="s">
        <v>386</v>
      </c>
      <c r="D11" s="31" t="s">
        <v>49</v>
      </c>
      <c r="E11" s="31" t="s">
        <v>154</v>
      </c>
      <c r="F11" s="47">
        <v>280</v>
      </c>
      <c r="G11" s="47">
        <v>363</v>
      </c>
      <c r="H11" s="47">
        <v>32279</v>
      </c>
      <c r="I11" s="47">
        <v>33178</v>
      </c>
      <c r="J11" s="31" t="s">
        <v>153</v>
      </c>
      <c r="K11" s="47">
        <v>33137</v>
      </c>
      <c r="L11" s="157" t="s">
        <v>50</v>
      </c>
      <c r="M11" s="158">
        <f t="shared" si="0"/>
        <v>-21.648000000000003</v>
      </c>
      <c r="N11" s="159" t="str">
        <f>VLOOKUP(C11,'Trips&amp;Operators'!$C$1:$E$99999,3,FALSE)</f>
        <v>RICHARDSON</v>
      </c>
      <c r="O11" s="184" t="s">
        <v>217</v>
      </c>
      <c r="P11" s="160" t="s">
        <v>802</v>
      </c>
      <c r="Q11" s="31"/>
      <c r="R11" s="100" t="str">
        <f>VLOOKUP(C11,'Train Runs'!$A$13:$AE$10011,31,0)</f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S11" s="103" t="str">
        <f>VLOOKUP(C11,'Train Runs'!$A$13:$AE$10011,22,0)</f>
        <v>https://search-rtdc-monitor-bjffxe2xuh6vdkpspy63sjmuny.us-east-1.es.amazonaws.com/_plugin/kibana/#/discover/Steve-Slow-Train-Analysis-(2080s-and-2083s)?_g=(refreshInterval:(display:Off,section:0,value:0),time:(from:'2016-11-01 08:42:36-0600',mode:absolute,to:'2016-11-01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1" s="105" t="str">
        <f t="shared" si="1"/>
        <v>"C:\Program Files (x86)\AstroGrep\AstroGrep.exe" /spath="%USERPROFILE%\AppData\Local\Temp\OnboardLogs" /stypes="*4040*201611011*" /stext=" 15:.+((SYSTEM_STATE.+slice.+state.+changed )|(ment ac)|(system.+state.+changed )|(\[timeout)|(PRM\|1\|D)|(kpr)|(kdp)|(\|lc)|(penalty))" /e /r /s</v>
      </c>
      <c r="U11" s="9" t="str">
        <f t="shared" si="2"/>
        <v>4040</v>
      </c>
      <c r="V11" s="36">
        <f t="shared" si="3"/>
        <v>42675.662708333337</v>
      </c>
      <c r="W11" s="50" t="str">
        <f t="shared" si="4"/>
        <v>EC</v>
      </c>
      <c r="X11" s="50" t="str">
        <f t="shared" si="5"/>
        <v>KEEP</v>
      </c>
      <c r="Y11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arrival","project_id":79,"tracker_id":40,"status_id":1,"priority_id":2,"assigned_to_id":23,"start_date":"2016-11-01","description":"","custom_fields":[{"id":1,"name":"Subdivision","value":"EC"},{"id":4,"name":"Milepost","value":"3.3137"},{"id":17,"name":"Train ID","value":"149-01"},{"id":16,"name":"Locomotive ID","value":"4040"},{"id":130,"name":"Impact","value":""},{"id":150,"name":"Time of Event (Mountain Time)","value":"09:54:18"},{"id":151,"name":"Denver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41" t="str">
        <f t="shared" si="7"/>
        <v>grep -hSE -A100 "Enforcement Action" "%USERPROFILE%\AppData\Local\Temp\OnboardLogs"\RTDC4040\*4040*201611011* | grep -SE "((Enforcement Ac)|(PRM))" -</v>
      </c>
    </row>
    <row r="12" spans="1:29" s="1" customFormat="1" x14ac:dyDescent="0.25">
      <c r="A12" s="36">
        <v>42675.390034722222</v>
      </c>
      <c r="B12" s="31" t="s">
        <v>316</v>
      </c>
      <c r="C12" s="31" t="s">
        <v>383</v>
      </c>
      <c r="D12" s="31" t="s">
        <v>49</v>
      </c>
      <c r="E12" s="31" t="s">
        <v>154</v>
      </c>
      <c r="F12" s="47">
        <v>430</v>
      </c>
      <c r="G12" s="47">
        <v>552</v>
      </c>
      <c r="H12" s="47">
        <v>55483</v>
      </c>
      <c r="I12" s="47">
        <v>53458</v>
      </c>
      <c r="J12" s="31" t="s">
        <v>153</v>
      </c>
      <c r="K12" s="47">
        <v>53277</v>
      </c>
      <c r="L12" s="157" t="s">
        <v>51</v>
      </c>
      <c r="M12" s="158">
        <f t="shared" si="0"/>
        <v>95.567999999999998</v>
      </c>
      <c r="N12" s="159" t="str">
        <f>VLOOKUP(C12,'Trips&amp;Operators'!$C$1:$E$99999,3,FALSE)</f>
        <v>RICHARDSON</v>
      </c>
      <c r="O12" s="184" t="s">
        <v>217</v>
      </c>
      <c r="P12" s="160" t="s">
        <v>802</v>
      </c>
      <c r="Q12" s="31"/>
      <c r="R12" s="100" t="str">
        <f>VLOOKUP(C12,'Train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12" s="103" t="str">
        <f>VLOOKUP(C12,'Train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07:50:42-0600',mode:absolute,to:'2016-11-01 10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12" s="105" t="str">
        <f t="shared" si="1"/>
        <v>"C:\Program Files (x86)\AstroGrep\AstroGrep.exe" /spath="%USERPROFILE%\AppData\Local\Temp\OnboardLogs" /stypes="*4039*201611011*" /stext=" 15:.+((SYSTEM_STATE.+slice.+state.+changed )|(ment ac)|(system.+state.+changed )|(\[timeout)|(PRM\|1\|D)|(kpr)|(kdp)|(\|lc)|(penalty))" /e /r /s</v>
      </c>
      <c r="U12" s="9" t="str">
        <f t="shared" si="2"/>
        <v>4039</v>
      </c>
      <c r="V12" s="36">
        <f t="shared" si="3"/>
        <v>42675.640034722222</v>
      </c>
      <c r="W12" s="50" t="str">
        <f t="shared" si="4"/>
        <v>EC</v>
      </c>
      <c r="X12" s="50" t="str">
        <f t="shared" si="5"/>
        <v>KEEP</v>
      </c>
      <c r="Y12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arrival","project_id":79,"tracker_id":40,"status_id":1,"priority_id":2,"assigned_to_id":23,"start_date":"2016-11-01","description":"","custom_fields":[{"id":1,"name":"Subdivision","value":"EC"},{"id":4,"name":"Milepost","value":"5.3277"},{"id":17,"name":"Train ID","value":"136-01"},{"id":16,"name":"Locomotive ID","value":"4039"},{"id":130,"name":"Impact","value":""},{"id":150,"name":"Time of Event (Mountain Time)","value":"09:21:39"},{"id":151,"name":"Denver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41" t="str">
        <f t="shared" si="7"/>
        <v>grep -hSE -A100 "Enforcement Action" "%USERPROFILE%\AppData\Local\Temp\OnboardLogs"\RTDC4039\*4039*201611011* | grep -SE "((Enforcement Ac)|(PRM))" -</v>
      </c>
    </row>
    <row r="13" spans="1:29" s="1" customFormat="1" x14ac:dyDescent="0.25">
      <c r="A13" s="36">
        <v>42675.379004629627</v>
      </c>
      <c r="B13" s="31" t="s">
        <v>379</v>
      </c>
      <c r="C13" s="31" t="s">
        <v>382</v>
      </c>
      <c r="D13" s="31" t="s">
        <v>49</v>
      </c>
      <c r="E13" s="31" t="s">
        <v>154</v>
      </c>
      <c r="F13" s="47">
        <v>290</v>
      </c>
      <c r="G13" s="47">
        <v>427</v>
      </c>
      <c r="H13" s="47">
        <v>59925</v>
      </c>
      <c r="I13" s="47">
        <v>58784</v>
      </c>
      <c r="J13" s="31" t="s">
        <v>153</v>
      </c>
      <c r="K13" s="47">
        <v>58904</v>
      </c>
      <c r="L13" s="157" t="s">
        <v>51</v>
      </c>
      <c r="M13" s="158">
        <f t="shared" si="0"/>
        <v>-63.36</v>
      </c>
      <c r="N13" s="159" t="str">
        <f>VLOOKUP(C13,'Trips&amp;Operators'!$C$1:$E$99999,3,FALSE)</f>
        <v>BADERTSCHER</v>
      </c>
      <c r="O13" s="184" t="s">
        <v>217</v>
      </c>
      <c r="P13" s="160" t="s">
        <v>802</v>
      </c>
      <c r="Q13" s="31"/>
      <c r="R13" s="100" t="str">
        <f>VLOOKUP(C13,'Train Runs'!$A$13:$AE$10011,31,0)</f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S13" s="103" t="str">
        <f>VLOOKUP(C13,'Train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07:30:31-0600',mode:absolute,to:'2016-11-01 10:19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3" s="105" t="str">
        <f t="shared" si="1"/>
        <v>"C:\Program Files (x86)\AstroGrep\AstroGrep.exe" /spath="%USERPROFILE%\AppData\Local\Temp\OnboardLogs" /stypes="*4041*201611011*" /stext=" 15:.+((SYSTEM_STATE.+slice.+state.+changed )|(ment ac)|(system.+state.+changed )|(\[timeout)|(PRM\|1\|D)|(kpr)|(kdp)|(\|lc)|(penalty))" /e /r /s</v>
      </c>
      <c r="U13" s="9" t="str">
        <f t="shared" si="2"/>
        <v>4041</v>
      </c>
      <c r="V13" s="36">
        <f t="shared" si="3"/>
        <v>42675.629004629627</v>
      </c>
      <c r="W13" s="50" t="str">
        <f t="shared" si="4"/>
        <v>EC</v>
      </c>
      <c r="X13" s="50" t="str">
        <f t="shared" si="5"/>
        <v>KEEP</v>
      </c>
      <c r="Y13" s="122" t="str">
        <f t="shared" si="6"/>
        <v>echo {"issue":{"subject":"Early arrival","project_id":79,"tracker_id":40,"status_id":1,"priority_id":2,"assigned_to_id":23,"start_date":"2016-11-01","description":"","custom_fields":[{"id":1,"name":"Subdivision","value":"EC"},{"id":4,"name":"Milepost","value":"5.8904"},{"id":17,"name":"Train ID","value":"134-01"},{"id":16,"name":"Locomotive ID","value":"4041"},{"id":130,"name":"Impact","value":""},{"id":150,"name":"Time of Event (Mountain Time)","value":"09:05:46"},{"id":151,"name":"Denver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41" t="str">
        <f t="shared" si="7"/>
        <v>grep -hSE -A100 "Enforcement Action" "%USERPROFILE%\AppData\Local\Temp\OnboardLogs"\RTDC4041\*4041*201611011* | grep -SE "((Enforcement Ac)|(PRM))" -</v>
      </c>
    </row>
    <row r="14" spans="1:29" s="1" customFormat="1" x14ac:dyDescent="0.25">
      <c r="A14" s="36">
        <v>42675.314328703702</v>
      </c>
      <c r="B14" s="31" t="s">
        <v>379</v>
      </c>
      <c r="C14" s="31" t="s">
        <v>380</v>
      </c>
      <c r="D14" s="31" t="s">
        <v>98</v>
      </c>
      <c r="E14" s="31" t="s">
        <v>218</v>
      </c>
      <c r="F14" s="47">
        <v>450</v>
      </c>
      <c r="G14" s="47">
        <v>504</v>
      </c>
      <c r="H14" s="47">
        <v>15154</v>
      </c>
      <c r="I14" s="47">
        <v>13232</v>
      </c>
      <c r="J14" s="31" t="s">
        <v>219</v>
      </c>
      <c r="K14" s="47">
        <v>15167</v>
      </c>
      <c r="L14" s="157" t="s">
        <v>51</v>
      </c>
      <c r="M14" s="158">
        <f t="shared" si="0"/>
        <v>-1021.68</v>
      </c>
      <c r="N14" s="159" t="str">
        <f>VLOOKUP(C14,'Trips&amp;Operators'!$C$1:$E$99999,3,FALSE)</f>
        <v>BADERTSCHER</v>
      </c>
      <c r="O14" s="184" t="s">
        <v>217</v>
      </c>
      <c r="P14" s="160"/>
      <c r="Q14" s="31"/>
      <c r="R14" s="100" t="str">
        <f>VLOOKUP(C14,'Train Runs'!$A$13:$AE$10011,31,0)</f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S14" s="103" t="str">
        <f>VLOOKUP(C14,'Train Runs'!$A$13:$AE$10011,22,0)</f>
        <v>https://search-rtdc-monitor-bjffxe2xuh6vdkpspy63sjmuny.us-east-1.es.amazonaws.com/_plugin/kibana/#/discover/Steve-Slow-Train-Analysis-(2080s-and-2083s)?_g=(refreshInterval:(display:Off,section:0,value:0),time:(from:'2016-11-01 05:46:24-0600',mode:absolute,to:'2016-11-01 08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4" s="105" t="str">
        <f t="shared" si="1"/>
        <v>"C:\Program Files (x86)\AstroGrep\AstroGrep.exe" /spath="%USERPROFILE%\AppData\Local\Temp\OnboardLogs" /stypes="*4041*201611011*" /stext=" 13:.+((SYSTEM_STATE.+slice.+state.+changed )|(ment ac)|(system.+state.+changed )|(\[timeout)|(PRM\|1\|D)|(kpr)|(kdp)|(\|lc)|(penalty))" /e /r /s</v>
      </c>
      <c r="U14" s="9" t="str">
        <f t="shared" si="2"/>
        <v>4041</v>
      </c>
      <c r="V14" s="36">
        <f t="shared" si="3"/>
        <v>42675.564328703702</v>
      </c>
      <c r="W14" s="50" t="str">
        <f t="shared" si="4"/>
        <v>EC</v>
      </c>
      <c r="X14" s="50" t="str">
        <f t="shared" si="5"/>
        <v>KEEP</v>
      </c>
      <c r="Y14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{"issue":{"subject":"","project_id":79,"tracker_id":40,"status_id":1,"priority_id":2,"assigned_to_id":23,"start_date":"2016-11-01","description":"","custom_fields":[{"id":1,"name":"Subdivision","value":"EC"},{"id":4,"name":"Milepost","value":"1.5167"},{"id":17,"name":"Train ID","value":"120-01"},{"id":16,"name":"Locomotive ID","value":"4041"},{"id":130,"name":"Impact","value":""},{"id":150,"name":"Time of Event (Mountain Time)","value":"07:32:38"},{"id":151,"name":"Denver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41" t="str">
        <f t="shared" si="7"/>
        <v>grep -hSE -A100 "Enforcement Action" "%USERPROFILE%\AppData\Local\Temp\OnboardLogs"\RTDC4041\*4041*201611011* | grep -SE "((Enforcement Ac)|(PRM))" -</v>
      </c>
    </row>
    <row r="15" spans="1:29" s="1" customFormat="1" x14ac:dyDescent="0.25">
      <c r="A15" s="36">
        <v>42675.269560185188</v>
      </c>
      <c r="B15" s="31" t="s">
        <v>244</v>
      </c>
      <c r="C15" s="31" t="s">
        <v>376</v>
      </c>
      <c r="D15" s="31" t="s">
        <v>49</v>
      </c>
      <c r="E15" s="31" t="s">
        <v>218</v>
      </c>
      <c r="F15" s="47">
        <v>300</v>
      </c>
      <c r="G15" s="47">
        <v>358</v>
      </c>
      <c r="H15" s="47">
        <v>22347</v>
      </c>
      <c r="I15" s="47">
        <v>21358</v>
      </c>
      <c r="J15" s="31" t="s">
        <v>219</v>
      </c>
      <c r="K15" s="47">
        <v>21848</v>
      </c>
      <c r="L15" s="157" t="s">
        <v>51</v>
      </c>
      <c r="M15" s="158">
        <f t="shared" si="0"/>
        <v>-258.72000000000003</v>
      </c>
      <c r="N15" s="159" t="str">
        <f>VLOOKUP(C15,'Trips&amp;Operators'!$C$1:$E$99999,3,FALSE)</f>
        <v>LOPES</v>
      </c>
      <c r="O15" s="184" t="s">
        <v>217</v>
      </c>
      <c r="P15" s="160"/>
      <c r="Q15" s="31"/>
      <c r="R15" s="100" t="str">
        <f>VLOOKUP(C15,'Train Runs'!$A$13:$AE$10011,31,0)</f>
        <v>aws s3 cp s3://rtdc.mdm.uploadarchive.raw/RTDC4021/ "%USERPROFILE%\AppData\Local\Temp\OnboardLogs"\RTDC4021\2016-11-01 --exclude "*" --recursive --include "*20161101*" &amp; "%USERPROFILE%\Documents\GitHub\mrs-test-scripts\Headless Mode &amp; Sideloading\WalkAndUnGZ.bat" "%USERPROFILE%\AppData\Local\Temp\OnboardLogs"\RTDC4021\2016-11-01 &amp; aws s3 cp s3://rtdc.mdm.uploadarchive.raw/RTDC4021/ "%USERPROFILE%\AppData\Local\Temp\OnboardLogs"\RTDC4021\2016-11-02 --exclude "*" --recursive --include "*20161102*" &amp; "%USERPROFILE%\Documents\GitHub\mrs-test-scripts\Headless Mode &amp; Sideloading\WalkAndUnGZ.bat" "%USERPROFILE%\AppData\Local\Temp\OnboardLogs"\RTDC4021\2016-11-02</v>
      </c>
      <c r="S15" s="103" t="str">
        <f>VLOOKUP(C15,'Train Runs'!$A$13:$AE$10011,22,0)</f>
        <v>https://search-rtdc-monitor-bjffxe2xuh6vdkpspy63sjmuny.us-east-1.es.amazonaws.com/_plugin/kibana/#/discover/Steve-Slow-Train-Analysis-(2080s-and-2083s)?_g=(refreshInterval:(display:Off,section:0,value:0),time:(from:'2016-11-01 04:49:25-0600',mode:absolute,to:'2016-11-01 07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5" s="105" t="str">
        <f t="shared" si="1"/>
        <v>"C:\Program Files (x86)\AstroGrep\AstroGrep.exe" /spath="%USERPROFILE%\AppData\Local\Temp\OnboardLogs" /stypes="*4021*201611011*" /stext=" 12:.+((SYSTEM_STATE.+slice.+state.+changed )|(ment ac)|(system.+state.+changed )|(\[timeout)|(PRM\|1\|D)|(kpr)|(kdp)|(\|lc)|(penalty))" /e /r /s</v>
      </c>
      <c r="U15" s="9" t="str">
        <f t="shared" si="2"/>
        <v>4021</v>
      </c>
      <c r="V15" s="36">
        <f t="shared" si="3"/>
        <v>42675.519560185188</v>
      </c>
      <c r="W15" s="50" t="str">
        <f t="shared" si="4"/>
        <v>EC</v>
      </c>
      <c r="X15" s="50" t="str">
        <f t="shared" si="5"/>
        <v>KEEP</v>
      </c>
      <c r="Y15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{"issue":{"subject":"","project_id":79,"tracker_id":40,"status_id":1,"priority_id":2,"assigned_to_id":23,"start_date":"2016-11-01","description":"","custom_fields":[{"id":1,"name":"Subdivision","value":"EC"},{"id":4,"name":"Milepost","value":"2.1848"},{"id":17,"name":"Train ID","value":"112-01"},{"id":16,"name":"Locomotive ID","value":"4021"},{"id":130,"name":"Impact","value":""},{"id":150,"name":"Time of Event (Mountain Time)","value":"06:28:10"},{"id":151,"name":"Denver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41" t="str">
        <f t="shared" si="7"/>
        <v>grep -hSE -A100 "Enforcement Action" "%USERPROFILE%\AppData\Local\Temp\OnboardLogs"\RTDC4021\*4021*201611011* | grep -SE "((Enforcement Ac)|(PRM))" -</v>
      </c>
    </row>
    <row r="16" spans="1:29" s="1" customFormat="1" x14ac:dyDescent="0.25">
      <c r="A16" s="36">
        <v>42675.430115740739</v>
      </c>
      <c r="B16" s="31" t="s">
        <v>254</v>
      </c>
      <c r="C16" s="31" t="s">
        <v>386</v>
      </c>
      <c r="D16" s="31" t="s">
        <v>49</v>
      </c>
      <c r="E16" s="31" t="s">
        <v>218</v>
      </c>
      <c r="F16" s="47">
        <v>350</v>
      </c>
      <c r="G16" s="47">
        <v>465</v>
      </c>
      <c r="H16" s="47">
        <v>223591</v>
      </c>
      <c r="I16" s="47">
        <v>224667</v>
      </c>
      <c r="J16" s="31" t="s">
        <v>219</v>
      </c>
      <c r="K16" s="47">
        <v>224578</v>
      </c>
      <c r="L16" s="157" t="s">
        <v>50</v>
      </c>
      <c r="M16" s="158">
        <f t="shared" si="0"/>
        <v>-46.991999999999997</v>
      </c>
      <c r="N16" s="159" t="str">
        <f>VLOOKUP(C16,'Trips&amp;Operators'!$C$1:$E$99999,3,FALSE)</f>
        <v>RICHARDSON</v>
      </c>
      <c r="O16" s="184" t="s">
        <v>217</v>
      </c>
      <c r="P16" s="160"/>
      <c r="Q16" s="31"/>
      <c r="R16" s="100" t="str">
        <f>VLOOKUP(C16,'Train Runs'!$A$13:$AE$10011,31,0)</f>
        <v>aws s3 cp s3://rtdc.mdm.uploadarchive.raw/RTDC4040/ "%USERPROFILE%\AppData\Local\Temp\OnboardLogs"\RTDC4040\2016-11-01 --exclude "*" --recursive --include "*20161101*" &amp; "%USERPROFILE%\Documents\GitHub\mrs-test-scripts\Headless Mode &amp; Sideloading\WalkAndUnGZ.bat" "%USERPROFILE%\AppData\Local\Temp\OnboardLogs"\RTDC4040\2016-11-01 &amp; aws s3 cp s3://rtdc.mdm.uploadarchive.raw/RTDC4040/ "%USERPROFILE%\AppData\Local\Temp\OnboardLogs"\RTDC4040\2016-11-02 --exclude "*" --recursive --include "*20161102*" &amp; "%USERPROFILE%\Documents\GitHub\mrs-test-scripts\Headless Mode &amp; Sideloading\WalkAndUnGZ.bat" "%USERPROFILE%\AppData\Local\Temp\OnboardLogs"\RTDC4040\2016-11-02</v>
      </c>
      <c r="S16" s="103" t="str">
        <f>VLOOKUP(C16,'Train Runs'!$A$13:$AE$10011,22,0)</f>
        <v>https://search-rtdc-monitor-bjffxe2xuh6vdkpspy63sjmuny.us-east-1.es.amazonaws.com/_plugin/kibana/#/discover/Steve-Slow-Train-Analysis-(2080s-and-2083s)?_g=(refreshInterval:(display:Off,section:0,value:0),time:(from:'2016-11-01 08:42:36-0600',mode:absolute,to:'2016-11-01 11:22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16" s="105" t="str">
        <f t="shared" si="1"/>
        <v>"C:\Program Files (x86)\AstroGrep\AstroGrep.exe" /spath="%USERPROFILE%\AppData\Local\Temp\OnboardLogs" /stypes="*4040*201611011*" /stext=" 16:.+((SYSTEM_STATE.+slice.+state.+changed )|(ment ac)|(system.+state.+changed )|(\[timeout)|(PRM\|1\|D)|(kpr)|(kdp)|(\|lc)|(penalty))" /e /r /s</v>
      </c>
      <c r="U16" s="9" t="str">
        <f t="shared" si="2"/>
        <v>4040</v>
      </c>
      <c r="V16" s="36">
        <f t="shared" si="3"/>
        <v>42675.680115740739</v>
      </c>
      <c r="W16" s="50" t="str">
        <f t="shared" si="4"/>
        <v>EC</v>
      </c>
      <c r="X16" s="50" t="str">
        <f t="shared" si="5"/>
        <v>KEEP</v>
      </c>
      <c r="Y16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{"issue":{"subject":"","project_id":79,"tracker_id":40,"status_id":1,"priority_id":2,"assigned_to_id":23,"start_date":"2016-11-01","description":"","custom_fields":[{"id":1,"name":"Subdivision","value":"EC"},{"id":4,"name":"Milepost","value":"22.4578"},{"id":17,"name":"Train ID","value":"149-01"},{"id":16,"name":"Locomotive ID","value":"4040"},{"id":130,"name":"Impact","value":""},{"id":150,"name":"Time of Event (Mountain Time)","value":"10:19:22"},{"id":151,"name":"Denver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41" t="str">
        <f t="shared" si="7"/>
        <v>grep -hSE -A100 "Enforcement Action" "%USERPROFILE%\AppData\Local\Temp\OnboardLogs"\RTDC4040\*4040*201611011* | grep -SE "((Enforcement Ac)|(PRM))" -</v>
      </c>
    </row>
    <row r="17" spans="1:30" s="1" customFormat="1" x14ac:dyDescent="0.25">
      <c r="A17" s="36">
        <v>42675.596168981479</v>
      </c>
      <c r="B17" s="31" t="s">
        <v>390</v>
      </c>
      <c r="C17" s="31" t="s">
        <v>394</v>
      </c>
      <c r="D17" s="31" t="s">
        <v>98</v>
      </c>
      <c r="E17" s="31" t="s">
        <v>220</v>
      </c>
      <c r="F17" s="47">
        <v>0</v>
      </c>
      <c r="G17" s="47">
        <v>25</v>
      </c>
      <c r="H17" s="47">
        <v>4536</v>
      </c>
      <c r="I17" s="47">
        <v>4540</v>
      </c>
      <c r="J17" s="31" t="s">
        <v>221</v>
      </c>
      <c r="K17" s="47">
        <v>4677</v>
      </c>
      <c r="L17" s="157" t="s">
        <v>51</v>
      </c>
      <c r="M17" s="158">
        <f t="shared" si="0"/>
        <v>-72.335999999999999</v>
      </c>
      <c r="N17" s="159" t="str">
        <f>VLOOKUP(C17,'Trips&amp;Operators'!$C$1:$E$99999,3,FALSE)</f>
        <v>BARTLETT</v>
      </c>
      <c r="O17" s="184" t="s">
        <v>318</v>
      </c>
      <c r="P17" s="160" t="s">
        <v>792</v>
      </c>
      <c r="Q17" s="31"/>
      <c r="R17" s="100" t="str">
        <f>VLOOKUP(C17,'Train Runs'!$A$13:$AE$10011,31,0)</f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S17" s="103" t="str">
        <f>VLOOKUP(C17,'Train Runs'!$A$13:$AE$10011,22,0)</f>
        <v>https://search-rtdc-monitor-bjffxe2xuh6vdkpspy63sjmuny.us-east-1.es.amazonaws.com/_plugin/kibana/#/discover/Steve-Slow-Train-Analysis-(2080s-and-2083s)?_g=(refreshInterval:(display:Off,section:0,value:0),time:(from:'2016-11-01 12:35:24-0600',mode:absolute,to:'2016-11-01 15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7" s="105" t="str">
        <f t="shared" si="1"/>
        <v>"C:\Program Files (x86)\AstroGrep\AstroGrep.exe" /spath="%USERPROFILE%\AppData\Local\Temp\OnboardLogs" /stypes="*4008*201611012*" /stext=" 20:.+((SYSTEM_STATE.+slice.+state.+changed )|(ment ac)|(system.+state.+changed )|(\[timeout)|(PRM\|1\|D)|(kpr)|(kdp)|(\|lc)|(penalty))" /e /r /s</v>
      </c>
      <c r="U17" s="9" t="str">
        <f t="shared" si="2"/>
        <v>4008</v>
      </c>
      <c r="V17" s="36">
        <f t="shared" si="3"/>
        <v>42675.846168981479</v>
      </c>
      <c r="W17" s="50" t="str">
        <f t="shared" si="4"/>
        <v>EC</v>
      </c>
      <c r="X17" s="50" t="str">
        <f t="shared" si="5"/>
        <v>KEEP</v>
      </c>
      <c r="Y17" s="122" t="str">
        <f t="shared" si="6"/>
        <v>echo {"issue":{"subject":"Wi-MAX outage","project_id":79,"tracker_id":40,"status_id":1,"priority_id":2,"assigned_to_id":23,"start_date":"2016-11-01","description":"http://stevetu21.github.io/eaglep3/load_kml.html?kml=http://rtdc.gmaps-snips.s3.amazonaws.com/dc80d510-4c0c-48e3-b47a-03ed747ffb27.kml","custom_fields":[{"id":1,"name":"Subdivision","value":"EC"},{"id":4,"name":"Milepost","value":"0.4677"},{"id":17,"name":"Train ID","value":"174-01"},{"id":16,"name":"Locomotive ID","value":"4008"},{"id":130,"name":"Impact","value":"Enforcement"},{"id":150,"name":"Time of Event (Mountain Time)","value":"14:18:29"},{"id":151,"name":"Denver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187" t="s">
        <v>793</v>
      </c>
      <c r="AA17" s="53" t="s">
        <v>125</v>
      </c>
      <c r="AB17" s="53" t="s">
        <v>138</v>
      </c>
      <c r="AC17" s="141" t="str">
        <f t="shared" si="7"/>
        <v>grep -hSE -A100 "Enforcement Action" "%USERPROFILE%\AppData\Local\Temp\OnboardLogs"\RTDC4008\*4008*201611012* | grep -SE "((Enforcement Ac)|(PRM))" -</v>
      </c>
    </row>
    <row r="18" spans="1:30" s="1" customFormat="1" x14ac:dyDescent="0.25">
      <c r="A18" s="36">
        <v>42675.596458333333</v>
      </c>
      <c r="B18" s="31" t="s">
        <v>390</v>
      </c>
      <c r="C18" s="31" t="s">
        <v>394</v>
      </c>
      <c r="D18" s="31" t="s">
        <v>98</v>
      </c>
      <c r="E18" s="31" t="s">
        <v>220</v>
      </c>
      <c r="F18" s="47">
        <v>0</v>
      </c>
      <c r="G18" s="47">
        <v>11</v>
      </c>
      <c r="H18" s="47">
        <v>4544</v>
      </c>
      <c r="I18" s="47">
        <v>4550</v>
      </c>
      <c r="J18" s="31" t="s">
        <v>221</v>
      </c>
      <c r="K18" s="47">
        <v>4677</v>
      </c>
      <c r="L18" s="157" t="s">
        <v>51</v>
      </c>
      <c r="M18" s="158">
        <f t="shared" si="0"/>
        <v>-67.055999999999997</v>
      </c>
      <c r="N18" s="159" t="str">
        <f>VLOOKUP(C18,'Trips&amp;Operators'!$C$1:$E$99999,3,FALSE)</f>
        <v>BARTLETT</v>
      </c>
      <c r="O18" s="184" t="s">
        <v>318</v>
      </c>
      <c r="P18" s="160" t="s">
        <v>792</v>
      </c>
      <c r="Q18" s="31"/>
      <c r="R18" s="100" t="str">
        <f>VLOOKUP(C18,'Train Runs'!$A$13:$AE$10011,31,0)</f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S18" s="103" t="str">
        <f>VLOOKUP(C18,'Train Runs'!$A$13:$AE$10011,22,0)</f>
        <v>https://search-rtdc-monitor-bjffxe2xuh6vdkpspy63sjmuny.us-east-1.es.amazonaws.com/_plugin/kibana/#/discover/Steve-Slow-Train-Analysis-(2080s-and-2083s)?_g=(refreshInterval:(display:Off,section:0,value:0),time:(from:'2016-11-01 12:35:24-0600',mode:absolute,to:'2016-11-01 15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5" t="str">
        <f t="shared" si="1"/>
        <v>"C:\Program Files (x86)\AstroGrep\AstroGrep.exe" /spath="%USERPROFILE%\AppData\Local\Temp\OnboardLogs" /stypes="*4008*201611012*" /stext=" 20:.+((SYSTEM_STATE.+slice.+state.+changed )|(ment ac)|(system.+state.+changed )|(\[timeout)|(PRM\|1\|D)|(kpr)|(kdp)|(\|lc)|(penalty))" /e /r /s</v>
      </c>
      <c r="U18" s="9" t="str">
        <f t="shared" si="2"/>
        <v>4008</v>
      </c>
      <c r="V18" s="36">
        <f t="shared" si="3"/>
        <v>42675.846458333333</v>
      </c>
      <c r="W18" s="50" t="str">
        <f t="shared" si="4"/>
        <v>EC</v>
      </c>
      <c r="X18" s="50" t="str">
        <f t="shared" si="5"/>
        <v>KEEP</v>
      </c>
      <c r="Y18" s="122" t="str">
        <f t="shared" si="6"/>
        <v>echo {"issue":{"subject":"Wi-MAX outage","project_id":79,"tracker_id":40,"status_id":1,"priority_id":2,"assigned_to_id":23,"start_date":"2016-11-01","description":"","custom_fields":[{"id":1,"name":"Subdivision","value":"EC"},{"id":4,"name":"Milepost","value":"0.4677"},{"id":17,"name":"Train ID","value":"174-01"},{"id":16,"name":"Locomotive ID","value":"4008"},{"id":130,"name":"Impact","value":""},{"id":150,"name":"Time of Event (Mountain Time)","value":"14:18:54"},{"id":151,"name":"Denver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41" t="str">
        <f t="shared" si="7"/>
        <v>grep -hSE -A100 "Enforcement Action" "%USERPROFILE%\AppData\Local\Temp\OnboardLogs"\RTDC4008\*4008*201611012* | grep -SE "((Enforcement Ac)|(PRM))" -</v>
      </c>
    </row>
    <row r="19" spans="1:30" s="1" customFormat="1" x14ac:dyDescent="0.25">
      <c r="A19" s="36">
        <v>42675.518576388888</v>
      </c>
      <c r="B19" s="31" t="s">
        <v>390</v>
      </c>
      <c r="C19" s="31" t="s">
        <v>391</v>
      </c>
      <c r="D19" s="31" t="s">
        <v>98</v>
      </c>
      <c r="E19" s="31" t="s">
        <v>220</v>
      </c>
      <c r="F19" s="47">
        <v>200</v>
      </c>
      <c r="G19" s="47">
        <v>253</v>
      </c>
      <c r="H19" s="47">
        <v>95938</v>
      </c>
      <c r="I19" s="47">
        <v>95266</v>
      </c>
      <c r="J19" s="31" t="s">
        <v>221</v>
      </c>
      <c r="K19" s="47">
        <v>104776</v>
      </c>
      <c r="L19" s="157" t="s">
        <v>51</v>
      </c>
      <c r="M19" s="158">
        <f t="shared" si="0"/>
        <v>-5021.28</v>
      </c>
      <c r="N19" s="159" t="str">
        <f>VLOOKUP(C19,'Trips&amp;Operators'!$C$1:$E$99999,3,FALSE)</f>
        <v>BARTLETT</v>
      </c>
      <c r="O19" s="184" t="s">
        <v>217</v>
      </c>
      <c r="P19" s="160" t="s">
        <v>805</v>
      </c>
      <c r="Q19" s="31"/>
      <c r="R19" s="100" t="str">
        <f>VLOOKUP(C19,'Train Runs'!$A$13:$AE$10011,31,0)</f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S19" s="103" t="str">
        <f>VLOOKUP(C19,'Train Runs'!$A$13:$AE$10011,22,0)</f>
        <v>https://search-rtdc-monitor-bjffxe2xuh6vdkpspy63sjmuny.us-east-1.es.amazonaws.com/_plugin/kibana/#/discover/Steve-Slow-Train-Analysis-(2080s-and-2083s)?_g=(refreshInterval:(display:Off,section:0,value:0),time:(from:'2016-11-01 10:41:19-0600',mode:absolute,to:'2016-11-01 13:47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9" s="105" t="str">
        <f t="shared" si="1"/>
        <v>"C:\Program Files (x86)\AstroGrep\AstroGrep.exe" /spath="%USERPROFILE%\AppData\Local\Temp\OnboardLogs" /stypes="*4008*201611011*" /stext=" 18:.+((SYSTEM_STATE.+slice.+state.+changed )|(ment ac)|(system.+state.+changed )|(\[timeout)|(PRM\|1\|D)|(kpr)|(kdp)|(\|lc)|(penalty))" /e /r /s</v>
      </c>
      <c r="U19" s="9" t="str">
        <f t="shared" si="2"/>
        <v>4008</v>
      </c>
      <c r="V19" s="36">
        <f t="shared" si="3"/>
        <v>42675.768576388888</v>
      </c>
      <c r="W19" s="50" t="str">
        <f t="shared" si="4"/>
        <v>EC</v>
      </c>
      <c r="X19" s="50" t="str">
        <f t="shared" si="5"/>
        <v>KEEP</v>
      </c>
      <c r="Y19" s="122" t="str">
        <f t="shared" si="6"/>
        <v>echo {"issue":{"subject":"Overspeed","project_id":79,"tracker_id":40,"status_id":1,"priority_id":2,"assigned_to_id":23,"start_date":"2016-11-01","description":"","custom_fields":[{"id":1,"name":"Subdivision","value":"EC"},{"id":4,"name":"Milepost","value":"10.4776"},{"id":17,"name":"Train ID","value":"160-01"},{"id":16,"name":"Locomotive ID","value":"4008"},{"id":130,"name":"Impact","value":""},{"id":150,"name":"Time of Event (Mountain Time)","value":"12:26:45"},{"id":151,"name":"Denver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41" t="str">
        <f t="shared" si="7"/>
        <v>grep -hSE -A100 "Enforcement Action" "%USERPROFILE%\AppData\Local\Temp\OnboardLogs"\RTDC4008\*4008*201611011* | grep -SE "((Enforcement Ac)|(PRM))" -</v>
      </c>
    </row>
    <row r="20" spans="1:30" x14ac:dyDescent="0.25">
      <c r="A20" s="36">
        <v>42675.412662037037</v>
      </c>
      <c r="B20" s="31" t="s">
        <v>238</v>
      </c>
      <c r="C20" s="31" t="s">
        <v>385</v>
      </c>
      <c r="D20" s="31" t="s">
        <v>49</v>
      </c>
      <c r="E20" s="31" t="s">
        <v>220</v>
      </c>
      <c r="F20" s="47">
        <v>0</v>
      </c>
      <c r="G20" s="47">
        <v>403</v>
      </c>
      <c r="H20" s="47">
        <v>129429</v>
      </c>
      <c r="I20" s="47">
        <v>128285</v>
      </c>
      <c r="J20" s="31" t="s">
        <v>221</v>
      </c>
      <c r="K20" s="47">
        <v>127587</v>
      </c>
      <c r="L20" s="157" t="s">
        <v>51</v>
      </c>
      <c r="M20" s="158">
        <f t="shared" si="0"/>
        <v>368.54399999999998</v>
      </c>
      <c r="N20" s="159" t="str">
        <f>VLOOKUP(C20,'Trips&amp;Operators'!$C$1:$E$99999,3,FALSE)</f>
        <v>MACDONALD</v>
      </c>
      <c r="O20" s="184" t="s">
        <v>217</v>
      </c>
      <c r="P20" s="160" t="s">
        <v>803</v>
      </c>
      <c r="Q20" s="31"/>
      <c r="R20" s="100" t="str">
        <f>VLOOKUP(C20,'Train Runs'!$A$13:$AE$10011,31,0)</f>
        <v>aws s3 cp s3://rtdc.mdm.uploadarchive.raw/RTDC4037/ "%USERPROFILE%\AppData\Local\Temp\OnboardLogs"\RTDC4037\2016-11-01 --exclude "*" --recursive --include "*20161101*" &amp; "%USERPROFILE%\Documents\GitHub\mrs-test-scripts\Headless Mode &amp; Sideloading\WalkAndUnGZ.bat" "%USERPROFILE%\AppData\Local\Temp\OnboardLogs"\RTDC4037\2016-11-01 &amp; aws s3 cp s3://rtdc.mdm.uploadarchive.raw/RTDC4037/ "%USERPROFILE%\AppData\Local\Temp\OnboardLogs"\RTDC4037\2016-11-02 --exclude "*" --recursive --include "*20161102*" &amp; "%USERPROFILE%\Documents\GitHub\mrs-test-scripts\Headless Mode &amp; Sideloading\WalkAndUnGZ.bat" "%USERPROFILE%\AppData\Local\Temp\OnboardLogs"\RTDC4037\2016-11-02</v>
      </c>
      <c r="S20" s="103" t="str">
        <f>VLOOKUP(C20,'Train Runs'!$A$13:$AE$10011,22,0)</f>
        <v>https://search-rtdc-monitor-bjffxe2xuh6vdkpspy63sjmuny.us-east-1.es.amazonaws.com/_plugin/kibana/#/discover/Steve-Slow-Train-Analysis-(2080s-and-2083s)?_g=(refreshInterval:(display:Off,section:0,value:0),time:(from:'2016-11-01 08:29:23-0600',mode:absolute,to:'2016-11-01 11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0" s="105" t="str">
        <f t="shared" si="1"/>
        <v>"C:\Program Files (x86)\AstroGrep\AstroGrep.exe" /spath="%USERPROFILE%\AppData\Local\Temp\OnboardLogs" /stypes="*4037*201611011*" /stext=" 15:.+((SYSTEM_STATE.+slice.+state.+changed )|(ment ac)|(system.+state.+changed )|(\[timeout)|(PRM\|1\|D)|(kpr)|(kdp)|(\|lc)|(penalty))" /e /r /s</v>
      </c>
      <c r="U20" s="9" t="str">
        <f t="shared" si="2"/>
        <v>4037</v>
      </c>
      <c r="V20" s="36">
        <f t="shared" si="3"/>
        <v>42675.662662037037</v>
      </c>
      <c r="W20" s="50" t="str">
        <f t="shared" si="4"/>
        <v>EC</v>
      </c>
      <c r="X20" s="50" t="str">
        <f t="shared" si="5"/>
        <v>KEEP</v>
      </c>
      <c r="Y20" s="122" t="str">
        <f t="shared" si="6"/>
        <v>echo {"issue":{"subject":"40th 4S STOP, cleared afterward","project_id":79,"tracker_id":40,"status_id":1,"priority_id":2,"assigned_to_id":23,"start_date":"2016-11-01","description":"","custom_fields":[{"id":1,"name":"Subdivision","value":"EC"},{"id":4,"name":"Milepost","value":"12.7587"},{"id":17,"name":"Train ID","value":"142-01"},{"id":16,"name":"Locomotive ID","value":"4037"},{"id":130,"name":"Impact","value":""},{"id":150,"name":"Time of Event (Mountain Time)","value":"09:54:14"},{"id":151,"name":"Denver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41" t="str">
        <f t="shared" si="7"/>
        <v>grep -hSE -A100 "Enforcement Action" "%USERPROFILE%\AppData\Local\Temp\OnboardLogs"\RTDC4037\*4037*201611011* | grep -SE "((Enforcement Ac)|(PRM))" -</v>
      </c>
      <c r="AD20" s="1"/>
    </row>
    <row r="21" spans="1:30" s="1" customFormat="1" x14ac:dyDescent="0.25">
      <c r="A21" s="36">
        <v>42675.600127314814</v>
      </c>
      <c r="B21" s="31" t="s">
        <v>316</v>
      </c>
      <c r="C21" s="31" t="s">
        <v>397</v>
      </c>
      <c r="D21" s="31" t="s">
        <v>49</v>
      </c>
      <c r="E21" s="31" t="s">
        <v>220</v>
      </c>
      <c r="F21" s="47">
        <v>0</v>
      </c>
      <c r="G21" s="47">
        <v>378</v>
      </c>
      <c r="H21" s="47">
        <v>129092</v>
      </c>
      <c r="I21" s="47">
        <v>128229</v>
      </c>
      <c r="J21" s="31" t="s">
        <v>221</v>
      </c>
      <c r="K21" s="47">
        <v>127587</v>
      </c>
      <c r="L21" s="157" t="s">
        <v>51</v>
      </c>
      <c r="M21" s="158">
        <f t="shared" si="0"/>
        <v>338.97599999999994</v>
      </c>
      <c r="N21" s="159" t="str">
        <f>VLOOKUP(C21,'Trips&amp;Operators'!$C$1:$E$99999,3,FALSE)</f>
        <v>HELVIE</v>
      </c>
      <c r="O21" s="184" t="s">
        <v>217</v>
      </c>
      <c r="P21" s="160" t="s">
        <v>803</v>
      </c>
      <c r="Q21" s="31"/>
      <c r="R21" s="100" t="str">
        <f>VLOOKUP(C21,'Train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21" s="103" t="str">
        <f>VLOOKUP(C21,'Train Runs'!$A$13:$AE$10011,22,0)</f>
        <v>https://search-rtdc-monitor-bjffxe2xuh6vdkpspy63sjmuny.us-east-1.es.amazonaws.com/_plugin/kibana/#/discover/Steve-Slow-Train-Analysis-(2080s-and-2083s)?_g=(refreshInterval:(display:Off,section:0,value:0),time:(from:'2016-11-01 13:06:10-0600',mode:absolute,to:'2016-11-01 15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 t="shared" si="1"/>
        <v>"C:\Program Files (x86)\AstroGrep\AstroGrep.exe" /spath="%USERPROFILE%\AppData\Local\Temp\OnboardLogs" /stypes="*4039*201611012*" /stext=" 20:.+((SYSTEM_STATE.+slice.+state.+changed )|(ment ac)|(system.+state.+changed )|(\[timeout)|(PRM\|1\|D)|(kpr)|(kdp)|(\|lc)|(penalty))" /e /r /s</v>
      </c>
      <c r="U21" s="9" t="str">
        <f t="shared" si="2"/>
        <v>4039</v>
      </c>
      <c r="V21" s="36">
        <f t="shared" si="3"/>
        <v>42675.850127314814</v>
      </c>
      <c r="W21" s="50" t="str">
        <f t="shared" si="4"/>
        <v>EC</v>
      </c>
      <c r="X21" s="50" t="str">
        <f t="shared" si="5"/>
        <v>KEEP</v>
      </c>
      <c r="Y21" s="122" t="str">
        <f t="shared" si="6"/>
        <v>echo {"issue":{"subject":"40th 4S STOP, cleared afterward","project_id":79,"tracker_id":40,"status_id":1,"priority_id":2,"assigned_to_id":23,"start_date":"2016-11-01","description":"","custom_fields":[{"id":1,"name":"Subdivision","value":"EC"},{"id":4,"name":"Milepost","value":"12.7587"},{"id":17,"name":"Train ID","value":"178-01"},{"id":16,"name":"Locomotive ID","value":"4039"},{"id":130,"name":"Impact","value":""},{"id":150,"name":"Time of Event (Mountain Time)","value":"14:24:11"},{"id":151,"name":"Denver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41" t="str">
        <f t="shared" si="7"/>
        <v>grep -hSE -A100 "Enforcement Action" "%USERPROFILE%\AppData\Local\Temp\OnboardLogs"\RTDC4039\*4039*201611012* | grep -SE "((Enforcement Ac)|(PRM))" -</v>
      </c>
    </row>
    <row r="22" spans="1:30" x14ac:dyDescent="0.25">
      <c r="A22" s="36">
        <v>42675.240613425929</v>
      </c>
      <c r="B22" s="31" t="s">
        <v>260</v>
      </c>
      <c r="C22" s="31" t="s">
        <v>375</v>
      </c>
      <c r="D22" s="31" t="s">
        <v>49</v>
      </c>
      <c r="E22" s="31" t="s">
        <v>220</v>
      </c>
      <c r="F22" s="47">
        <v>0</v>
      </c>
      <c r="G22" s="47">
        <v>707</v>
      </c>
      <c r="H22" s="47">
        <v>197979</v>
      </c>
      <c r="I22" s="47">
        <v>194926</v>
      </c>
      <c r="J22" s="31" t="s">
        <v>221</v>
      </c>
      <c r="K22" s="47">
        <v>191723</v>
      </c>
      <c r="L22" s="157" t="s">
        <v>51</v>
      </c>
      <c r="M22" s="158">
        <f t="shared" si="0"/>
        <v>1691.184</v>
      </c>
      <c r="N22" s="159" t="str">
        <f>VLOOKUP(C22,'Trips&amp;Operators'!$C$1:$E$99999,3,FALSE)</f>
        <v>DAVIS</v>
      </c>
      <c r="O22" s="184" t="s">
        <v>217</v>
      </c>
      <c r="P22" s="160" t="s">
        <v>804</v>
      </c>
      <c r="Q22" s="31"/>
      <c r="R22" s="100" t="str">
        <f>VLOOKUP(C22,'Train Runs'!$A$13:$AE$10011,31,0)</f>
        <v>aws s3 cp s3://rtdc.mdm.uploadarchive.raw/RTDC4013/ "%USERPROFILE%\AppData\Local\Temp\OnboardLogs"\RTDC4013\2016-11-01 --exclude "*" --recursive --include "*20161101*" &amp; "%USERPROFILE%\Documents\GitHub\mrs-test-scripts\Headless Mode &amp; Sideloading\WalkAndUnGZ.bat" "%USERPROFILE%\AppData\Local\Temp\OnboardLogs"\RTDC4013\2016-11-01 &amp; aws s3 cp s3://rtdc.mdm.uploadarchive.raw/RTDC4013/ "%USERPROFILE%\AppData\Local\Temp\OnboardLogs"\RTDC4013\2016-11-02 --exclude "*" --recursive --include "*20161102*" &amp; "%USERPROFILE%\Documents\GitHub\mrs-test-scripts\Headless Mode &amp; Sideloading\WalkAndUnGZ.bat" "%USERPROFILE%\AppData\Local\Temp\OnboardLogs"\RTDC4013\2016-11-02</v>
      </c>
      <c r="S22" s="103" t="str">
        <f>VLOOKUP(C22,'Train Runs'!$A$13:$AE$10011,22,0)</f>
        <v>https://search-rtdc-monitor-bjffxe2xuh6vdkpspy63sjmuny.us-east-1.es.amazonaws.com/_plugin/kibana/#/discover/Steve-Slow-Train-Analysis-(2080s-and-2083s)?_g=(refreshInterval:(display:Off,section:0,value:0),time:(from:'2016-11-01 04:36:44-0600',mode:absolute,to:'2016-11-01 07:21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2" s="105" t="str">
        <f t="shared" si="1"/>
        <v>"C:\Program Files (x86)\AstroGrep\AstroGrep.exe" /spath="%USERPROFILE%\AppData\Local\Temp\OnboardLogs" /stypes="*4013*201611011*" /stext=" 11:.+((SYSTEM_STATE.+slice.+state.+changed )|(ment ac)|(system.+state.+changed )|(\[timeout)|(PRM\|1\|D)|(kpr)|(kdp)|(\|lc)|(penalty))" /e /r /s</v>
      </c>
      <c r="U22" s="9" t="str">
        <f t="shared" si="2"/>
        <v>4013</v>
      </c>
      <c r="V22" s="36">
        <f t="shared" si="3"/>
        <v>42675.490613425929</v>
      </c>
      <c r="W22" s="50" t="str">
        <f t="shared" si="4"/>
        <v>EC</v>
      </c>
      <c r="X22" s="50" t="str">
        <f t="shared" si="5"/>
        <v>KEEP</v>
      </c>
      <c r="Y22" s="122" t="str">
        <f t="shared" si="6"/>
        <v>echo {"issue":{"subject":"Pena 4S STOP, cleared afterward","project_id":79,"tracker_id":40,"status_id":1,"priority_id":2,"assigned_to_id":23,"start_date":"2016-11-01","description":"","custom_fields":[{"id":1,"name":"Subdivision","value":"EC"},{"id":4,"name":"Milepost","value":"19.1723"},{"id":17,"name":"Train ID","value":"110-01"},{"id":16,"name":"Locomotive ID","value":"4013"},{"id":130,"name":"Impact","value":""},{"id":150,"name":"Time of Event (Mountain Time)","value":"05:46:29"},{"id":151,"name":"Denver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41" t="str">
        <f t="shared" si="7"/>
        <v>grep -hSE -A100 "Enforcement Action" "%USERPROFILE%\AppData\Local\Temp\OnboardLogs"\RTDC4013\*4013*201611011* | grep -SE "((Enforcement Ac)|(PRM))" -</v>
      </c>
      <c r="AD22" s="1"/>
    </row>
    <row r="23" spans="1:30" x14ac:dyDescent="0.25">
      <c r="A23" s="36">
        <v>42675.595543981479</v>
      </c>
      <c r="B23" s="31" t="s">
        <v>390</v>
      </c>
      <c r="C23" s="31" t="s">
        <v>394</v>
      </c>
      <c r="D23" s="31" t="s">
        <v>49</v>
      </c>
      <c r="E23" s="31" t="s">
        <v>395</v>
      </c>
      <c r="F23" s="47">
        <v>0</v>
      </c>
      <c r="G23" s="47">
        <v>164</v>
      </c>
      <c r="H23" s="47">
        <v>4827</v>
      </c>
      <c r="I23" s="47">
        <v>4554</v>
      </c>
      <c r="J23" s="31" t="s">
        <v>396</v>
      </c>
      <c r="K23" s="47">
        <v>4677</v>
      </c>
      <c r="L23" s="157" t="s">
        <v>51</v>
      </c>
      <c r="M23" s="158">
        <f t="shared" si="0"/>
        <v>-64.944000000000003</v>
      </c>
      <c r="N23" s="159" t="str">
        <f>VLOOKUP(C23,'Trips&amp;Operators'!$C$1:$E$99999,3,FALSE)</f>
        <v>BARTLETT</v>
      </c>
      <c r="O23" s="184" t="s">
        <v>318</v>
      </c>
      <c r="P23" s="160" t="s">
        <v>792</v>
      </c>
      <c r="Q23" s="31"/>
      <c r="R23" s="100" t="str">
        <f>VLOOKUP(C23,'Train Runs'!$A$13:$AE$10011,31,0)</f>
        <v>aws s3 cp s3://rtdc.mdm.uploadarchive.raw/RTDC4008/ "%USERPROFILE%\AppData\Local\Temp\OnboardLogs"\RTDC4008\2016-11-01 --exclude "*" --recursive --include "*20161101*" &amp; "%USERPROFILE%\Documents\GitHub\mrs-test-scripts\Headless Mode &amp; Sideloading\WalkAndUnGZ.bat" "%USERPROFILE%\AppData\Local\Temp\OnboardLogs"\RTDC4008\2016-11-01 &amp; aws s3 cp s3://rtdc.mdm.uploadarchive.raw/RTDC4008/ "%USERPROFILE%\AppData\Local\Temp\OnboardLogs"\RTDC4008\2016-11-02 --exclude "*" --recursive --include "*20161102*" &amp; "%USERPROFILE%\Documents\GitHub\mrs-test-scripts\Headless Mode &amp; Sideloading\WalkAndUnGZ.bat" "%USERPROFILE%\AppData\Local\Temp\OnboardLogs"\RTDC4008\2016-11-02</v>
      </c>
      <c r="S23" s="103" t="str">
        <f>VLOOKUP(C23,'Train Runs'!$A$13:$AE$10011,22,0)</f>
        <v>https://search-rtdc-monitor-bjffxe2xuh6vdkpspy63sjmuny.us-east-1.es.amazonaws.com/_plugin/kibana/#/discover/Steve-Slow-Train-Analysis-(2080s-and-2083s)?_g=(refreshInterval:(display:Off,section:0,value:0),time:(from:'2016-11-01 12:35:24-0600',mode:absolute,to:'2016-11-01 15:18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3" s="105" t="str">
        <f t="shared" si="1"/>
        <v>"C:\Program Files (x86)\AstroGrep\AstroGrep.exe" /spath="%USERPROFILE%\AppData\Local\Temp\OnboardLogs" /stypes="*4008*201611012*" /stext=" 20:.+((SYSTEM_STATE.+slice.+state.+changed )|(ment ac)|(system.+state.+changed )|(\[timeout)|(PRM\|1\|D)|(kpr)|(kdp)|(\|lc)|(penalty))" /e /r /s</v>
      </c>
      <c r="U23" s="9" t="str">
        <f t="shared" si="2"/>
        <v>4008</v>
      </c>
      <c r="V23" s="36">
        <f t="shared" si="3"/>
        <v>42675.845543981479</v>
      </c>
      <c r="W23" s="50" t="str">
        <f t="shared" si="4"/>
        <v>EC</v>
      </c>
      <c r="X23" s="50" t="str">
        <f t="shared" si="5"/>
        <v>KEEP</v>
      </c>
      <c r="Y23" s="122" t="str">
        <f t="shared" si="6"/>
        <v>echo {"issue":{"subject":"Wi-MAX outage","project_id":79,"tracker_id":40,"status_id":1,"priority_id":2,"assigned_to_id":23,"start_date":"2016-11-01","description":"http://stevetu21.github.io/eaglep3/load_kml.html?kml=http://rtdc.gmaps-snips.s3.amazonaws.com/dc80d510-4c0c-48e3-b47a-03ed747ffb27.kml","custom_fields":[{"id":1,"name":"Subdivision","value":"EC"},{"id":4,"name":"Milepost","value":"0.4677"},{"id":17,"name":"Train ID","value":"174-01"},{"id":16,"name":"Locomotive ID","value":"4008"},{"id":130,"name":"Impact","value":"Enforcement"},{"id":150,"name":"Time of Event (Mountain Time)","value":"14:17:35"},{"id":151,"name":"Denver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53" t="s">
        <v>793</v>
      </c>
      <c r="AA23" s="53" t="s">
        <v>125</v>
      </c>
      <c r="AB23" s="53" t="s">
        <v>138</v>
      </c>
      <c r="AC23" s="141" t="str">
        <f t="shared" si="7"/>
        <v>grep -hSE -A100 "Enforcement Action" "%USERPROFILE%\AppData\Local\Temp\OnboardLogs"\RTDC4008\*4008*201611012* | grep -SE "((Enforcement Ac)|(PRM))" -</v>
      </c>
      <c r="AD23" s="1"/>
    </row>
    <row r="24" spans="1:30" x14ac:dyDescent="0.25">
      <c r="A24" s="36">
        <v>42675.331678240742</v>
      </c>
      <c r="B24" s="31" t="s">
        <v>316</v>
      </c>
      <c r="C24" s="31" t="s">
        <v>381</v>
      </c>
      <c r="D24" s="31" t="s">
        <v>49</v>
      </c>
      <c r="E24" s="31" t="s">
        <v>222</v>
      </c>
      <c r="F24" s="47">
        <v>0</v>
      </c>
      <c r="G24" s="47">
        <v>84</v>
      </c>
      <c r="H24" s="47">
        <v>287</v>
      </c>
      <c r="I24" s="47">
        <v>178</v>
      </c>
      <c r="J24" s="31" t="s">
        <v>223</v>
      </c>
      <c r="K24" s="47">
        <v>1</v>
      </c>
      <c r="L24" s="157" t="s">
        <v>51</v>
      </c>
      <c r="M24" s="158">
        <f t="shared" si="0"/>
        <v>93.456000000000003</v>
      </c>
      <c r="N24" s="159" t="str">
        <f>VLOOKUP(C24,'Trips&amp;Operators'!$C$1:$E$99999,3,FALSE)</f>
        <v>RICHARDSON</v>
      </c>
      <c r="O24" s="184" t="s">
        <v>217</v>
      </c>
      <c r="P24" s="160"/>
      <c r="Q24" s="31"/>
      <c r="R24" s="100" t="str">
        <f>VLOOKUP(C24,'Train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24" s="103" t="str">
        <f>VLOOKUP(C24,'Train Runs'!$A$13:$AE$10011,22,0)</f>
        <v>https://search-rtdc-monitor-bjffxe2xuh6vdkpspy63sjmuny.us-east-1.es.amazonaws.com/_plugin/kibana/#/discover/Steve-Slow-Train-Analysis-(2080s-and-2083s)?_g=(refreshInterval:(display:Off,section:0,value:0),time:(from:'2016-11-01 06:02:06-0600',mode:absolute,to:'2016-11-01 08:57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4" s="105" t="str">
        <f t="shared" si="1"/>
        <v>"C:\Program Files (x86)\AstroGrep\AstroGrep.exe" /spath="%USERPROFILE%\AppData\Local\Temp\OnboardLogs" /stypes="*4039*201611011*" /stext=" 13:.+((SYSTEM_STATE.+slice.+state.+changed )|(ment ac)|(system.+state.+changed )|(\[timeout)|(PRM\|1\|D)|(kpr)|(kdp)|(\|lc)|(penalty))" /e /r /s</v>
      </c>
      <c r="U24" s="9" t="str">
        <f t="shared" si="2"/>
        <v>4039</v>
      </c>
      <c r="V24" s="36">
        <f t="shared" si="3"/>
        <v>42675.581678240742</v>
      </c>
      <c r="W24" s="50" t="str">
        <f t="shared" si="4"/>
        <v>EC</v>
      </c>
      <c r="X24" s="50" t="str">
        <f t="shared" si="5"/>
        <v>KEEP</v>
      </c>
      <c r="Y24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{"issue":{"subject":"","project_id":79,"tracker_id":40,"status_id":1,"priority_id":2,"assigned_to_id":23,"start_date":"2016-11-01","description":"","custom_fields":[{"id":1,"name":"Subdivision","value":"EC"},{"id":4,"name":"Milepost","value":"0.0001"},{"id":17,"name":"Train ID","value":"122-01"},{"id":16,"name":"Locomotive ID","value":"4039"},{"id":130,"name":"Impact","value":""},{"id":150,"name":"Time of Event (Mountain Time)","value":"07:57:37"},{"id":151,"name":"Denver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41" t="str">
        <f t="shared" si="7"/>
        <v>grep -hSE -A100 "Enforcement Action" "%USERPROFILE%\AppData\Local\Temp\OnboardLogs"\RTDC4039\*4039*201611011* | grep -SE "((Enforcement Ac)|(PRM))" -</v>
      </c>
      <c r="AD24" s="1"/>
    </row>
    <row r="25" spans="1:30" ht="15" customHeight="1" x14ac:dyDescent="0.25">
      <c r="A25" s="36">
        <v>42675.40215277778</v>
      </c>
      <c r="B25" s="31" t="s">
        <v>316</v>
      </c>
      <c r="C25" s="31" t="s">
        <v>383</v>
      </c>
      <c r="D25" s="31" t="s">
        <v>49</v>
      </c>
      <c r="E25" s="31" t="s">
        <v>222</v>
      </c>
      <c r="F25" s="47">
        <v>0</v>
      </c>
      <c r="G25" s="47">
        <v>72</v>
      </c>
      <c r="H25" s="47">
        <v>223</v>
      </c>
      <c r="I25" s="47">
        <v>156</v>
      </c>
      <c r="J25" s="31" t="s">
        <v>223</v>
      </c>
      <c r="K25" s="47">
        <v>1</v>
      </c>
      <c r="L25" s="157" t="s">
        <v>51</v>
      </c>
      <c r="M25" s="158">
        <f t="shared" si="0"/>
        <v>81.84</v>
      </c>
      <c r="N25" s="159" t="str">
        <f>VLOOKUP(C25,'Trips&amp;Operators'!$C$1:$E$99999,3,FALSE)</f>
        <v>RICHARDSON</v>
      </c>
      <c r="O25" s="184" t="s">
        <v>217</v>
      </c>
      <c r="P25" s="160"/>
      <c r="Q25" s="31"/>
      <c r="R25" s="100" t="str">
        <f>VLOOKUP(C25,'Train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25" s="103" t="str">
        <f>VLOOKUP(C25,'Train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07:50:42-0600',mode:absolute,to:'2016-11-01 10:39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5" s="105" t="str">
        <f t="shared" si="1"/>
        <v>"C:\Program Files (x86)\AstroGrep\AstroGrep.exe" /spath="%USERPROFILE%\AppData\Local\Temp\OnboardLogs" /stypes="*4039*201611011*" /stext=" 15:.+((SYSTEM_STATE.+slice.+state.+changed )|(ment ac)|(system.+state.+changed )|(\[timeout)|(PRM\|1\|D)|(kpr)|(kdp)|(\|lc)|(penalty))" /e /r /s</v>
      </c>
      <c r="U25" s="9" t="str">
        <f t="shared" si="2"/>
        <v>4039</v>
      </c>
      <c r="V25" s="36">
        <f t="shared" si="3"/>
        <v>42675.65215277778</v>
      </c>
      <c r="W25" s="50" t="str">
        <f t="shared" si="4"/>
        <v>EC</v>
      </c>
      <c r="X25" s="50" t="str">
        <f t="shared" si="5"/>
        <v>KEEP</v>
      </c>
      <c r="Y25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{"issue":{"subject":"","project_id":79,"tracker_id":40,"status_id":1,"priority_id":2,"assigned_to_id":23,"start_date":"2016-11-01","description":"","custom_fields":[{"id":1,"name":"Subdivision","value":"EC"},{"id":4,"name":"Milepost","value":"0.0001"},{"id":17,"name":"Train ID","value":"136-01"},{"id":16,"name":"Locomotive ID","value":"4039"},{"id":130,"name":"Impact","value":""},{"id":150,"name":"Time of Event (Mountain Time)","value":"09:39:06"},{"id":151,"name":"Denver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41" t="str">
        <f t="shared" si="7"/>
        <v>grep -hSE -A100 "Enforcement Action" "%USERPROFILE%\AppData\Local\Temp\OnboardLogs"\RTDC4039\*4039*201611011* | grep -SE "((Enforcement Ac)|(PRM))" -</v>
      </c>
      <c r="AD25" s="1"/>
    </row>
    <row r="26" spans="1:30" x14ac:dyDescent="0.25">
      <c r="A26" s="36">
        <v>42675.460219907407</v>
      </c>
      <c r="B26" s="31" t="s">
        <v>379</v>
      </c>
      <c r="C26" s="31" t="s">
        <v>387</v>
      </c>
      <c r="D26" s="31" t="s">
        <v>49</v>
      </c>
      <c r="E26" s="31" t="s">
        <v>222</v>
      </c>
      <c r="F26" s="47">
        <v>0</v>
      </c>
      <c r="G26" s="47">
        <v>80</v>
      </c>
      <c r="H26" s="47">
        <v>274</v>
      </c>
      <c r="I26" s="47">
        <v>198</v>
      </c>
      <c r="J26" s="31" t="s">
        <v>223</v>
      </c>
      <c r="K26" s="47">
        <v>1</v>
      </c>
      <c r="L26" s="157" t="s">
        <v>51</v>
      </c>
      <c r="M26" s="158">
        <f t="shared" si="0"/>
        <v>104.01600000000001</v>
      </c>
      <c r="N26" s="159" t="str">
        <f>VLOOKUP(C26,'Trips&amp;Operators'!$C$1:$E$99999,3,FALSE)</f>
        <v>BADERTSCHER</v>
      </c>
      <c r="O26" s="184" t="s">
        <v>217</v>
      </c>
      <c r="P26" s="160"/>
      <c r="Q26" s="31"/>
      <c r="R26" s="100" t="str">
        <f>VLOOKUP(C26,'Train Runs'!$A$13:$AE$10011,31,0)</f>
        <v>aws s3 cp s3://rtdc.mdm.uploadarchive.raw/RTDC4041/ "%USERPROFILE%\AppData\Local\Temp\OnboardLogs"\RTDC4041\2016-11-01 --exclude "*" --recursive --include "*20161101*" &amp; "%USERPROFILE%\Documents\GitHub\mrs-test-scripts\Headless Mode &amp; Sideloading\WalkAndUnGZ.bat" "%USERPROFILE%\AppData\Local\Temp\OnboardLogs"\RTDC4041\2016-11-01 &amp; aws s3 cp s3://rtdc.mdm.uploadarchive.raw/RTDC4041/ "%USERPROFILE%\AppData\Local\Temp\OnboardLogs"\RTDC4041\2016-11-02 --exclude "*" --recursive --include "*20161102*" &amp; "%USERPROFILE%\Documents\GitHub\mrs-test-scripts\Headless Mode &amp; Sideloading\WalkAndUnGZ.bat" "%USERPROFILE%\AppData\Local\Temp\OnboardLogs"\RTDC4041\2016-11-02</v>
      </c>
      <c r="S26" s="103" t="str">
        <f>VLOOKUP(C26,'Train Runs'!$A$13:$AE$10011,22,0)</f>
        <v>https://search-rtdc-monitor-bjffxe2xuh6vdkpspy63sjmuny.us-east-1.es.amazonaws.com/_plugin/kibana/#/discover/Steve-Slow-Train-Analysis-(2080s-and-2083s)?_g=(refreshInterval:(display:Off,section:0,value:0),time:(from:'2016-11-01 09:18:58-0600',mode:absolute,to:'2016-11-01 12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/stypes="*4041*201611011*" /stext=" 17:.+((SYSTEM_STATE.+slice.+state.+changed )|(ment ac)|(system.+state.+changed )|(\[timeout)|(PRM\|1\|D)|(kpr)|(kdp)|(\|lc)|(penalty))" /e /r /s</v>
      </c>
      <c r="U26" s="9" t="str">
        <f t="shared" si="2"/>
        <v>4041</v>
      </c>
      <c r="V26" s="36">
        <f t="shared" si="3"/>
        <v>42675.710219907407</v>
      </c>
      <c r="W26" s="50" t="str">
        <f t="shared" si="4"/>
        <v>EC</v>
      </c>
      <c r="X26" s="50" t="str">
        <f t="shared" si="5"/>
        <v>KEEP</v>
      </c>
      <c r="Y26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{"issue":{"subject":"","project_id":79,"tracker_id":40,"status_id":1,"priority_id":2,"assigned_to_id":23,"start_date":"2016-11-01","description":"","custom_fields":[{"id":1,"name":"Subdivision","value":"EC"},{"id":4,"name":"Milepost","value":"0.0001"},{"id":17,"name":"Train ID","value":"148-01"},{"id":16,"name":"Locomotive ID","value":"4041"},{"id":130,"name":"Impact","value":""},{"id":150,"name":"Time of Event (Mountain Time)","value":"11:02:43"},{"id":151,"name":"Denver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41" t="str">
        <f t="shared" si="7"/>
        <v>grep -hSE -A100 "Enforcement Action" "%USERPROFILE%\AppData\Local\Temp\OnboardLogs"\RTDC4041\*4041*201611011* | grep -SE "((Enforcement Ac)|(PRM))" -</v>
      </c>
      <c r="AD26" s="1"/>
    </row>
    <row r="27" spans="1:30" x14ac:dyDescent="0.25">
      <c r="A27" s="36">
        <v>42675.658379629633</v>
      </c>
      <c r="B27" s="31" t="s">
        <v>230</v>
      </c>
      <c r="C27" s="31" t="s">
        <v>398</v>
      </c>
      <c r="D27" s="31" t="s">
        <v>49</v>
      </c>
      <c r="E27" s="31" t="s">
        <v>222</v>
      </c>
      <c r="F27" s="47">
        <v>0</v>
      </c>
      <c r="G27" s="47">
        <v>86</v>
      </c>
      <c r="H27" s="47">
        <v>340</v>
      </c>
      <c r="I27" s="47">
        <v>238</v>
      </c>
      <c r="J27" s="31" t="s">
        <v>223</v>
      </c>
      <c r="K27" s="47">
        <v>1</v>
      </c>
      <c r="L27" s="157" t="s">
        <v>51</v>
      </c>
      <c r="M27" s="158">
        <f t="shared" si="0"/>
        <v>125.136</v>
      </c>
      <c r="N27" s="159" t="str">
        <f>VLOOKUP(C27,'Trips&amp;Operators'!$C$1:$E$99999,3,FALSE)</f>
        <v>ROMERO</v>
      </c>
      <c r="O27" s="184" t="s">
        <v>217</v>
      </c>
      <c r="P27" s="160"/>
      <c r="Q27" s="31"/>
      <c r="R27" s="100" t="str">
        <f>VLOOKUP(C27,'Train Runs'!$A$13:$AE$10011,31,0)</f>
        <v>aws s3 cp s3://rtdc.mdm.uploadarchive.raw/RTDC4030/ "%USERPROFILE%\AppData\Local\Temp\OnboardLogs"\RTDC4030\2016-11-01 --exclude "*" --recursive --include "*20161101*" &amp; "%USERPROFILE%\Documents\GitHub\mrs-test-scripts\Headless Mode &amp; Sideloading\WalkAndUnGZ.bat" "%USERPROFILE%\AppData\Local\Temp\OnboardLogs"\RTDC4030\2016-11-01 &amp; aws s3 cp s3://rtdc.mdm.uploadarchive.raw/RTDC4030/ "%USERPROFILE%\AppData\Local\Temp\OnboardLogs"\RTDC4030\2016-11-02 --exclude "*" --recursive --include "*20161102*" &amp; "%USERPROFILE%\Documents\GitHub\mrs-test-scripts\Headless Mode &amp; Sideloading\WalkAndUnGZ.bat" "%USERPROFILE%\AppData\Local\Temp\OnboardLogs"\RTDC4030\2016-11-02</v>
      </c>
      <c r="S27" s="103" t="str">
        <f>VLOOKUP(C27,'Train Runs'!$A$13:$AE$10011,22,0)</f>
        <v>https://search-rtdc-monitor-bjffxe2xuh6vdkpspy63sjmuny.us-east-1.es.amazonaws.com/_plugin/kibana/#/discover/Steve-Slow-Train-Analysis-(2080s-and-2083s)?_g=(refreshInterval:(display:Off,section:0,value:0),time:(from:'2016-11-01 14:05:48-0600',mode:absolute,to:'2016-11-01 16:48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7" s="105" t="str">
        <f t="shared" si="1"/>
        <v>"C:\Program Files (x86)\AstroGrep\AstroGrep.exe" /spath="%USERPROFILE%\AppData\Local\Temp\OnboardLogs" /stypes="*4030*201611012*" /stext=" 21:.+((SYSTEM_STATE.+slice.+state.+changed )|(ment ac)|(system.+state.+changed )|(\[timeout)|(PRM\|1\|D)|(kpr)|(kdp)|(\|lc)|(penalty))" /e /r /s</v>
      </c>
      <c r="U27" s="9" t="str">
        <f t="shared" si="2"/>
        <v>4030</v>
      </c>
      <c r="V27" s="36">
        <f t="shared" si="3"/>
        <v>42675.908379629633</v>
      </c>
      <c r="W27" s="50" t="str">
        <f t="shared" si="4"/>
        <v>EC</v>
      </c>
      <c r="X27" s="50" t="str">
        <f t="shared" si="5"/>
        <v>KEEP</v>
      </c>
      <c r="Y27" s="122" t="str">
        <f t="shared" si="6"/>
        <v>echo {"issue":{"subject":"","project_id":79,"tracker_id":40,"status_id":1,"priority_id":2,"assigned_to_id":23,"start_date":"2016-11-01","description":"","custom_fields":[{"id":1,"name":"Subdivision","value":"EC"},{"id":4,"name":"Milepost","value":"0.0001"},{"id":17,"name":"Train ID","value":"186-01"},{"id":16,"name":"Locomotive ID","value":"4030"},{"id":130,"name":"Impact","value":""},{"id":150,"name":"Time of Event (Mountain Time)","value":"15:48:04"},{"id":151,"name":"Denver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41" t="str">
        <f t="shared" si="7"/>
        <v>grep -hSE -A100 "Enforcement Action" "%USERPROFILE%\AppData\Local\Temp\OnboardLogs"\RTDC4030\*4030*201611012* | grep -SE "((Enforcement Ac)|(PRM))" -</v>
      </c>
      <c r="AD27" s="1"/>
    </row>
    <row r="28" spans="1:30" x14ac:dyDescent="0.25">
      <c r="A28" s="36">
        <v>42675.216273148151</v>
      </c>
      <c r="B28" s="31" t="s">
        <v>189</v>
      </c>
      <c r="C28" s="31" t="s">
        <v>374</v>
      </c>
      <c r="D28" s="31" t="s">
        <v>98</v>
      </c>
      <c r="E28" s="31" t="s">
        <v>220</v>
      </c>
      <c r="F28" s="47">
        <v>0</v>
      </c>
      <c r="G28" s="47">
        <v>12</v>
      </c>
      <c r="H28" s="47">
        <v>57973</v>
      </c>
      <c r="I28" s="47">
        <v>57916</v>
      </c>
      <c r="J28" s="31" t="s">
        <v>221</v>
      </c>
      <c r="K28" s="47">
        <v>57971</v>
      </c>
      <c r="L28" s="157" t="s">
        <v>50</v>
      </c>
      <c r="M28" s="158">
        <f t="shared" si="0"/>
        <v>29.04</v>
      </c>
      <c r="N28" s="159" t="str">
        <f>VLOOKUP(C28,'Trips&amp;Operators'!$C$1:$E$99999,3,FALSE)</f>
        <v>STARKS</v>
      </c>
      <c r="O28" s="184" t="s">
        <v>217</v>
      </c>
      <c r="P28" s="160" t="s">
        <v>796</v>
      </c>
      <c r="Q28" s="31"/>
      <c r="R28" s="100" t="str">
        <f>VLOOKUP(C28,'Train Runs'!$A$13:$AE$10011,31,0)</f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S28" s="103" t="str">
        <f>VLOOKUP(C28,'Train Runs'!$A$13:$AE$10011,22,0)</f>
        <v>https://search-rtdc-monitor-bjffxe2xuh6vdkpspy63sjmuny.us-east-1.es.amazonaws.com/_plugin/kibana/#/discover/Steve-Slow-Train-Analysis-(2080s-and-2083s)?_g=(refreshInterval:(display:Off,section:0,value:0),time:(from:'2016-11-01 04:07:42-0600',mode:absolute,to:'2016-11-01 06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8" s="105" t="str">
        <f t="shared" si="1"/>
        <v>"C:\Program Files (x86)\AstroGrep\AstroGrep.exe" /spath="%USERPROFILE%\AppData\Local\Temp\OnboardLogs" /stypes="*4010*201611011*" /stext=" 11:.+((SYSTEM_STATE.+slice.+state.+changed )|(ment ac)|(system.+state.+changed )|(\[timeout)|(PRM\|1\|D)|(kpr)|(kdp)|(\|lc)|(penalty))" /e /r /s</v>
      </c>
      <c r="U28" s="9" t="str">
        <f t="shared" si="2"/>
        <v>4010</v>
      </c>
      <c r="V28" s="36">
        <f t="shared" si="3"/>
        <v>42675.466273148151</v>
      </c>
      <c r="W28" s="50" t="str">
        <f t="shared" si="4"/>
        <v>NW</v>
      </c>
      <c r="X28" s="50" t="str">
        <f t="shared" si="5"/>
        <v>KEEP</v>
      </c>
      <c r="Y28" s="122" t="str">
        <f t="shared" si="6"/>
        <v>echo {"issue":{"subject":"Direction of travel kept changing - most likely reverser handle wasn't set to FORWARD","project_id":79,"tracker_id":40,"status_id":1,"priority_id":2,"assigned_to_id":23,"start_date":"2016-11-01","description":"","custom_fields":[{"id":1,"name":"Subdivision","value":"NW"},{"id":4,"name":"Milepost","value":"5.7971"},{"id":17,"name":"Train ID","value":"800-01"},{"id":16,"name":"Locomotive ID","value":"4010"},{"id":130,"name":"Impact","value":""},{"id":150,"name":"Time of Event (Mountain Time)","value":"05:11:26"},{"id":151,"name":"Denver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41" t="str">
        <f t="shared" si="7"/>
        <v>grep -hSE -A100 "Enforcement Action" "%USERPROFILE%\AppData\Local\Temp\OnboardLogs"\RTDC4010\*4010*201611011* | grep -SE "((Enforcement Ac)|(PRM))" -</v>
      </c>
      <c r="AD28" s="1"/>
    </row>
    <row r="29" spans="1:30" x14ac:dyDescent="0.25">
      <c r="A29" s="36">
        <v>42675.216643518521</v>
      </c>
      <c r="B29" s="31" t="s">
        <v>189</v>
      </c>
      <c r="C29" s="31" t="s">
        <v>374</v>
      </c>
      <c r="D29" s="31" t="s">
        <v>49</v>
      </c>
      <c r="E29" s="31" t="s">
        <v>220</v>
      </c>
      <c r="F29" s="47">
        <v>0</v>
      </c>
      <c r="G29" s="47">
        <v>44</v>
      </c>
      <c r="H29" s="47">
        <v>57916</v>
      </c>
      <c r="I29" s="47">
        <v>57842</v>
      </c>
      <c r="J29" s="31" t="s">
        <v>221</v>
      </c>
      <c r="K29" s="47">
        <v>57971</v>
      </c>
      <c r="L29" s="157" t="s">
        <v>50</v>
      </c>
      <c r="M29" s="158">
        <f t="shared" si="0"/>
        <v>68.111999999999995</v>
      </c>
      <c r="N29" s="159" t="str">
        <f>VLOOKUP(C29,'Trips&amp;Operators'!$C$1:$E$99999,3,FALSE)</f>
        <v>STARKS</v>
      </c>
      <c r="O29" s="184" t="s">
        <v>217</v>
      </c>
      <c r="P29" s="160" t="s">
        <v>796</v>
      </c>
      <c r="Q29" s="31"/>
      <c r="R29" s="100" t="str">
        <f>VLOOKUP(C29,'Train Runs'!$A$13:$AE$10011,31,0)</f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S29" s="103" t="str">
        <f>VLOOKUP(C29,'Train Runs'!$A$13:$AE$10011,22,0)</f>
        <v>https://search-rtdc-monitor-bjffxe2xuh6vdkpspy63sjmuny.us-east-1.es.amazonaws.com/_plugin/kibana/#/discover/Steve-Slow-Train-Analysis-(2080s-and-2083s)?_g=(refreshInterval:(display:Off,section:0,value:0),time:(from:'2016-11-01 04:07:42-0600',mode:absolute,to:'2016-11-01 06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9" s="105" t="str">
        <f t="shared" si="1"/>
        <v>"C:\Program Files (x86)\AstroGrep\AstroGrep.exe" /spath="%USERPROFILE%\AppData\Local\Temp\OnboardLogs" /stypes="*4010*201611011*" /stext=" 11:.+((SYSTEM_STATE.+slice.+state.+changed )|(ment ac)|(system.+state.+changed )|(\[timeout)|(PRM\|1\|D)|(kpr)|(kdp)|(\|lc)|(penalty))" /e /r /s</v>
      </c>
      <c r="U29" s="9" t="str">
        <f t="shared" si="2"/>
        <v>4010</v>
      </c>
      <c r="V29" s="36">
        <f t="shared" si="3"/>
        <v>42675.466643518521</v>
      </c>
      <c r="W29" s="50" t="str">
        <f t="shared" si="4"/>
        <v>NW</v>
      </c>
      <c r="X29" s="50" t="str">
        <f t="shared" si="5"/>
        <v>KEEP</v>
      </c>
      <c r="Y29" s="122" t="str">
        <f t="shared" si="6"/>
        <v>echo {"issue":{"subject":"Direction of travel kept changing - most likely reverser handle wasn't set to FORWARD","project_id":79,"tracker_id":40,"status_id":1,"priority_id":2,"assigned_to_id":23,"start_date":"2016-11-01","description":"","custom_fields":[{"id":1,"name":"Subdivision","value":"NW"},{"id":4,"name":"Milepost","value":"5.7971"},{"id":17,"name":"Train ID","value":"800-01"},{"id":16,"name":"Locomotive ID","value":"4010"},{"id":130,"name":"Impact","value":""},{"id":150,"name":"Time of Event (Mountain Time)","value":"05:11:58"},{"id":151,"name":"Denver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41" t="str">
        <f t="shared" si="7"/>
        <v>grep -hSE -A100 "Enforcement Action" "%USERPROFILE%\AppData\Local\Temp\OnboardLogs"\RTDC4010\*4010*201611011* | grep -SE "((Enforcement Ac)|(PRM))" -</v>
      </c>
      <c r="AD29" s="1"/>
    </row>
    <row r="30" spans="1:30" x14ac:dyDescent="0.25">
      <c r="A30" s="36">
        <v>42675.217060185183</v>
      </c>
      <c r="B30" s="31" t="s">
        <v>189</v>
      </c>
      <c r="C30" s="31" t="s">
        <v>374</v>
      </c>
      <c r="D30" s="31" t="s">
        <v>49</v>
      </c>
      <c r="E30" s="31" t="s">
        <v>220</v>
      </c>
      <c r="F30" s="47">
        <v>0</v>
      </c>
      <c r="G30" s="47">
        <v>39</v>
      </c>
      <c r="H30" s="47">
        <v>57838</v>
      </c>
      <c r="I30" s="47">
        <v>57779</v>
      </c>
      <c r="J30" s="31" t="s">
        <v>221</v>
      </c>
      <c r="K30" s="47">
        <v>57971</v>
      </c>
      <c r="L30" s="157" t="s">
        <v>50</v>
      </c>
      <c r="M30" s="158">
        <f t="shared" si="0"/>
        <v>101.376</v>
      </c>
      <c r="N30" s="159" t="str">
        <f>VLOOKUP(C30,'Trips&amp;Operators'!$C$1:$E$99999,3,FALSE)</f>
        <v>STARKS</v>
      </c>
      <c r="O30" s="184" t="s">
        <v>217</v>
      </c>
      <c r="P30" s="160" t="s">
        <v>796</v>
      </c>
      <c r="Q30" s="31"/>
      <c r="R30" s="100" t="str">
        <f>VLOOKUP(C30,'Train Runs'!$A$13:$AE$10011,31,0)</f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S30" s="103" t="str">
        <f>VLOOKUP(C30,'Train Runs'!$A$13:$AE$10011,22,0)</f>
        <v>https://search-rtdc-monitor-bjffxe2xuh6vdkpspy63sjmuny.us-east-1.es.amazonaws.com/_plugin/kibana/#/discover/Steve-Slow-Train-Analysis-(2080s-and-2083s)?_g=(refreshInterval:(display:Off,section:0,value:0),time:(from:'2016-11-01 04:07:42-0600',mode:absolute,to:'2016-11-01 06:12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0" s="105" t="str">
        <f t="shared" si="1"/>
        <v>"C:\Program Files (x86)\AstroGrep\AstroGrep.exe" /spath="%USERPROFILE%\AppData\Local\Temp\OnboardLogs" /stypes="*4010*201611011*" /stext=" 11:.+((SYSTEM_STATE.+slice.+state.+changed )|(ment ac)|(system.+state.+changed )|(\[timeout)|(PRM\|1\|D)|(kpr)|(kdp)|(\|lc)|(penalty))" /e /r /s</v>
      </c>
      <c r="U30" s="9" t="str">
        <f t="shared" si="2"/>
        <v>4010</v>
      </c>
      <c r="V30" s="36">
        <f t="shared" si="3"/>
        <v>42675.467060185183</v>
      </c>
      <c r="W30" s="50" t="str">
        <f t="shared" si="4"/>
        <v>NW</v>
      </c>
      <c r="X30" s="50" t="str">
        <f t="shared" si="5"/>
        <v>KEEP</v>
      </c>
      <c r="Y30" s="122" t="str">
        <f t="shared" si="6"/>
        <v>echo {"issue":{"subject":"Direction of travel kept changing - most likely reverser handle wasn't set to FORWARD","project_id":79,"tracker_id":40,"status_id":1,"priority_id":2,"assigned_to_id":23,"start_date":"2016-11-01","description":"","custom_fields":[{"id":1,"name":"Subdivision","value":"NW"},{"id":4,"name":"Milepost","value":"5.7971"},{"id":17,"name":"Train ID","value":"800-01"},{"id":16,"name":"Locomotive ID","value":"4010"},{"id":130,"name":"Impact","value":""},{"id":150,"name":"Time of Event (Mountain Time)","value":"05:12:34"},{"id":151,"name":"Denver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41" t="str">
        <f t="shared" si="7"/>
        <v>grep -hSE -A100 "Enforcement Action" "%USERPROFILE%\AppData\Local\Temp\OnboardLogs"\RTDC4010\*4010*201611011* | grep -SE "((Enforcement Ac)|(PRM))" -</v>
      </c>
      <c r="AD30" s="1"/>
    </row>
    <row r="31" spans="1:30" ht="15" customHeight="1" x14ac:dyDescent="0.25">
      <c r="A31" s="36">
        <v>42675.288541666669</v>
      </c>
      <c r="B31" s="31" t="s">
        <v>323</v>
      </c>
      <c r="C31" s="31" t="s">
        <v>378</v>
      </c>
      <c r="D31" s="31" t="s">
        <v>49</v>
      </c>
      <c r="E31" s="31" t="s">
        <v>222</v>
      </c>
      <c r="F31" s="47">
        <v>0</v>
      </c>
      <c r="G31" s="47">
        <v>54</v>
      </c>
      <c r="H31" s="47">
        <v>741</v>
      </c>
      <c r="I31" s="47">
        <v>705</v>
      </c>
      <c r="J31" s="31" t="s">
        <v>223</v>
      </c>
      <c r="K31" s="47">
        <v>575</v>
      </c>
      <c r="L31" s="157" t="s">
        <v>51</v>
      </c>
      <c r="M31" s="158">
        <f t="shared" si="0"/>
        <v>68.64</v>
      </c>
      <c r="N31" s="159" t="str">
        <f>VLOOKUP(C31,'Trips&amp;Operators'!$C$1:$E$99999,3,FALSE)</f>
        <v>LEVIN</v>
      </c>
      <c r="O31" s="184" t="s">
        <v>217</v>
      </c>
      <c r="P31" s="160"/>
      <c r="Q31" s="31"/>
      <c r="R31" s="100" t="str">
        <f>VLOOKUP(C31,'Train Runs'!$A$13:$AE$10011,31,0)</f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S31" s="103" t="str">
        <f>VLOOKUP(C31,'Train Runs'!$A$13:$AE$10011,22,0)</f>
        <v>https://search-rtdc-monitor-bjffxe2xuh6vdkpspy63sjmuny.us-east-1.es.amazonaws.com/_plugin/kibana/#/discover/Steve-Slow-Train-Analysis-(2080s-and-2083s)?_g=(refreshInterval:(display:Off,section:0,value:0),time:(from:'2016-11-01 05:35:30-0600',mode:absolute,to:'2016-11-01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1" s="105" t="str">
        <f t="shared" si="1"/>
        <v>"C:\Program Files (x86)\AstroGrep\AstroGrep.exe" /spath="%USERPROFILE%\AppData\Local\Temp\OnboardLogs" /stypes="*4004*201611011*" /stext=" 12:.+((SYSTEM_STATE.+slice.+state.+changed )|(ment ac)|(system.+state.+changed )|(\[timeout)|(PRM\|1\|D)|(kpr)|(kdp)|(\|lc)|(penalty))" /e /r /s</v>
      </c>
      <c r="U31" s="9" t="str">
        <f t="shared" si="2"/>
        <v>4004</v>
      </c>
      <c r="V31" s="36">
        <f t="shared" si="3"/>
        <v>42675.538541666669</v>
      </c>
      <c r="W31" s="50" t="str">
        <f t="shared" si="4"/>
        <v>NW</v>
      </c>
      <c r="X31" s="50" t="str">
        <f t="shared" si="5"/>
        <v>KEEP</v>
      </c>
      <c r="Y31" s="122" t="str">
        <f t="shared" si="6"/>
        <v>echo {"issue":{"subject":"","project_id":79,"tracker_id":40,"status_id":1,"priority_id":2,"assigned_to_id":23,"start_date":"2016-11-01","description":"","custom_fields":[{"id":1,"name":"Subdivision","value":"NW"},{"id":4,"name":"Milepost","value":"0.0575"},{"id":17,"name":"Train ID","value":"804-01"},{"id":16,"name":"Locomotive ID","value":"4004"},{"id":130,"name":"Impact","value":""},{"id":150,"name":"Time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41" t="str">
        <f t="shared" si="7"/>
        <v>grep -hSE -A100 "Enforcement Action" "%USERPROFILE%\AppData\Local\Temp\OnboardLogs"\RTDC4004\*4004*201611011* | grep -SE "((Enforcement Ac)|(PRM))" -</v>
      </c>
      <c r="AD31" s="1"/>
    </row>
    <row r="32" spans="1:30" x14ac:dyDescent="0.25">
      <c r="A32" s="36">
        <v>42675.705729166664</v>
      </c>
      <c r="B32" s="31" t="s">
        <v>323</v>
      </c>
      <c r="C32" s="31" t="s">
        <v>399</v>
      </c>
      <c r="D32" s="31" t="s">
        <v>49</v>
      </c>
      <c r="E32" s="31" t="s">
        <v>222</v>
      </c>
      <c r="F32" s="47">
        <v>0</v>
      </c>
      <c r="G32" s="47">
        <v>33</v>
      </c>
      <c r="H32" s="47">
        <v>682</v>
      </c>
      <c r="I32" s="47">
        <v>656</v>
      </c>
      <c r="J32" s="31" t="s">
        <v>223</v>
      </c>
      <c r="K32" s="47">
        <v>575</v>
      </c>
      <c r="L32" s="157" t="s">
        <v>51</v>
      </c>
      <c r="M32" s="158">
        <f t="shared" si="0"/>
        <v>42.768000000000001</v>
      </c>
      <c r="N32" s="159" t="str">
        <f>VLOOKUP(C32,'Trips&amp;Operators'!$C$1:$E$99999,3,FALSE)</f>
        <v>NICHOLSON</v>
      </c>
      <c r="O32" s="184" t="s">
        <v>217</v>
      </c>
      <c r="P32" s="160"/>
      <c r="Q32" s="31"/>
      <c r="R32" s="100" t="str">
        <f>VLOOKUP(C32,'Train Runs'!$A$13:$AE$10011,31,0)</f>
        <v>aws s3 cp s3://rtdc.mdm.uploadarchive.raw/RTDC4004/ "%USERPROFILE%\AppData\Local\Temp\OnboardLogs"\RTDC4004\2016-11-01 --exclude "*" --recursive --include "*20161101*" &amp; "%USERPROFILE%\Documents\GitHub\mrs-test-scripts\Headless Mode &amp; Sideloading\WalkAndUnGZ.bat" "%USERPROFILE%\AppData\Local\Temp\OnboardLogs"\RTDC4004\2016-11-01 &amp; aws s3 cp s3://rtdc.mdm.uploadarchive.raw/RTDC4004/ "%USERPROFILE%\AppData\Local\Temp\OnboardLogs"\RTDC4004\2016-11-02 --exclude "*" --recursive --include "*20161102*" &amp; "%USERPROFILE%\Documents\GitHub\mrs-test-scripts\Headless Mode &amp; Sideloading\WalkAndUnGZ.bat" "%USERPROFILE%\AppData\Local\Temp\OnboardLogs"\RTDC4004\2016-11-02</v>
      </c>
      <c r="S32" s="103" t="str">
        <f>VLOOKUP(C32,'Train Runs'!$A$13:$AE$10011,22,0)</f>
        <v>https://search-rtdc-monitor-bjffxe2xuh6vdkpspy63sjmuny.us-east-1.es.amazonaws.com/_plugin/kibana/#/discover/Steve-Slow-Train-Analysis-(2080s-and-2083s)?_g=(refreshInterval:(display:Off,section:0,value:0),time:(from:'2016-11-01 15:36:56-0600',mode:absolute,to:'2016-11-01 17:56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2" s="105" t="str">
        <f t="shared" si="1"/>
        <v>"C:\Program Files (x86)\AstroGrep\AstroGrep.exe" /spath="%USERPROFILE%\AppData\Local\Temp\OnboardLogs" /stypes="*4004*201611012*" /stext=" 22:.+((SYSTEM_STATE.+slice.+state.+changed )|(ment ac)|(system.+state.+changed )|(\[timeout)|(PRM\|1\|D)|(kpr)|(kdp)|(\|lc)|(penalty))" /e /r /s</v>
      </c>
      <c r="U32" s="9" t="str">
        <f t="shared" si="2"/>
        <v>4004</v>
      </c>
      <c r="V32" s="36">
        <f t="shared" si="3"/>
        <v>42675.955729166664</v>
      </c>
      <c r="W32" s="50" t="str">
        <f t="shared" si="4"/>
        <v>NW</v>
      </c>
      <c r="X32" s="50" t="str">
        <f t="shared" si="5"/>
        <v>KEEP</v>
      </c>
      <c r="Y32" s="122" t="str">
        <f t="shared" si="6"/>
        <v>echo {"issue":{"subject":"","project_id":79,"tracker_id":40,"status_id":1,"priority_id":2,"assigned_to_id":23,"start_date":"2016-11-01","description":"","custom_fields":[{"id":1,"name":"Subdivision","value":"NW"},{"id":4,"name":"Milepost","value":"0.0575"},{"id":17,"name":"Train ID","value":"830-01"},{"id":16,"name":"Locomotive ID","value":"4004"},{"id":130,"name":"Impact","value":""},{"id":150,"name":"Time of Event (Mountain Time)","value":"16:56:15"},{"id":151,"name":"Denver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41" t="str">
        <f t="shared" si="7"/>
        <v>grep -hSE -A100 "Enforcement Action" "%USERPROFILE%\AppData\Local\Temp\OnboardLogs"\RTDC4004\*4004*201611012* | grep -SE "((Enforcement Ac)|(PRM))" -</v>
      </c>
      <c r="AD32" s="1"/>
    </row>
    <row r="33" spans="1:30" ht="15" customHeight="1" x14ac:dyDescent="0.25">
      <c r="A33" s="36">
        <v>42675.726284722223</v>
      </c>
      <c r="B33" s="31" t="s">
        <v>189</v>
      </c>
      <c r="C33" s="31" t="s">
        <v>400</v>
      </c>
      <c r="D33" s="31" t="s">
        <v>49</v>
      </c>
      <c r="E33" s="31" t="s">
        <v>222</v>
      </c>
      <c r="F33" s="47">
        <v>0</v>
      </c>
      <c r="G33" s="47">
        <v>66</v>
      </c>
      <c r="H33" s="47">
        <v>797</v>
      </c>
      <c r="I33" s="47">
        <v>750</v>
      </c>
      <c r="J33" s="31" t="s">
        <v>223</v>
      </c>
      <c r="K33" s="47">
        <v>575</v>
      </c>
      <c r="L33" s="157" t="s">
        <v>51</v>
      </c>
      <c r="M33" s="158">
        <f t="shared" si="0"/>
        <v>92.4</v>
      </c>
      <c r="N33" s="159" t="str">
        <f>VLOOKUP(C33,'Trips&amp;Operators'!$C$1:$E$99999,3,FALSE)</f>
        <v>STAMBAUGH</v>
      </c>
      <c r="O33" s="184" t="s">
        <v>217</v>
      </c>
      <c r="P33" s="160"/>
      <c r="Q33" s="31"/>
      <c r="R33" s="100" t="str">
        <f>VLOOKUP(C33,'Train Runs'!$A$13:$AE$10011,31,0)</f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S33" s="103" t="str">
        <f>VLOOKUP(C33,'Train Runs'!$A$13:$AE$10011,22,0)</f>
        <v>https://search-rtdc-monitor-bjffxe2xuh6vdkpspy63sjmuny.us-east-1.es.amazonaws.com/_plugin/kibana/#/discover/Steve-Slow-Train-Analysis-(2080s-and-2083s)?_g=(refreshInterval:(display:Off,section:0,value:0),time:(from:'2016-11-01 16:06:44-0600',mode:absolute,to:'2016-11-01 18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3" s="105" t="str">
        <f t="shared" si="1"/>
        <v>"C:\Program Files (x86)\AstroGrep\AstroGrep.exe" /spath="%USERPROFILE%\AppData\Local\Temp\OnboardLogs" /stypes="*4010*201611012*" /stext=" 23:.+((SYSTEM_STATE.+slice.+state.+changed )|(ment ac)|(system.+state.+changed )|(\[timeout)|(PRM\|1\|D)|(kpr)|(kdp)|(\|lc)|(penalty))" /e /r /s</v>
      </c>
      <c r="U33" s="9" t="str">
        <f t="shared" si="2"/>
        <v>4010</v>
      </c>
      <c r="V33" s="36">
        <f t="shared" si="3"/>
        <v>42675.976284722223</v>
      </c>
      <c r="W33" s="50" t="str">
        <f t="shared" si="4"/>
        <v>NW</v>
      </c>
      <c r="X33" s="50" t="str">
        <f t="shared" si="5"/>
        <v>KEEP</v>
      </c>
      <c r="Y33" s="122" t="str">
        <f t="shared" si="6"/>
        <v>echo {"issue":{"subject":"","project_id":79,"tracker_id":40,"status_id":1,"priority_id":2,"assigned_to_id":23,"start_date":"2016-11-01","description":"","custom_fields":[{"id":1,"name":"Subdivision","value":"NW"},{"id":4,"name":"Milepost","value":"0.0575"},{"id":17,"name":"Train ID","value":"832-01"},{"id":16,"name":"Locomotive ID","value":"4010"},{"id":130,"name":"Impact","value":""},{"id":150,"name":"Time of Event (Mountain Time)","value":"17:25:51"},{"id":151,"name":"Denver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41" t="str">
        <f t="shared" si="7"/>
        <v>grep -hSE -A100 "Enforcement Action" "%USERPROFILE%\AppData\Local\Temp\OnboardLogs"\RTDC4010\*4010*201611012* | grep -SE "((Enforcement Ac)|(PRM))" -</v>
      </c>
      <c r="AD33" s="1"/>
    </row>
    <row r="34" spans="1:30" x14ac:dyDescent="0.25">
      <c r="A34" s="36">
        <v>42675.768935185188</v>
      </c>
      <c r="B34" s="31" t="s">
        <v>189</v>
      </c>
      <c r="C34" s="31" t="s">
        <v>402</v>
      </c>
      <c r="D34" s="31" t="s">
        <v>49</v>
      </c>
      <c r="E34" s="31" t="s">
        <v>222</v>
      </c>
      <c r="F34" s="47">
        <v>0</v>
      </c>
      <c r="G34" s="47">
        <v>41</v>
      </c>
      <c r="H34" s="47">
        <v>715</v>
      </c>
      <c r="I34" s="47">
        <v>678</v>
      </c>
      <c r="J34" s="31" t="s">
        <v>223</v>
      </c>
      <c r="K34" s="47">
        <v>575</v>
      </c>
      <c r="L34" s="157" t="s">
        <v>51</v>
      </c>
      <c r="M34" s="158">
        <f t="shared" si="0"/>
        <v>54.384</v>
      </c>
      <c r="N34" s="159" t="str">
        <f>VLOOKUP(C34,'Trips&amp;Operators'!$C$1:$E$99999,3,FALSE)</f>
        <v>STAMBAUGH</v>
      </c>
      <c r="O34" s="184" t="s">
        <v>217</v>
      </c>
      <c r="P34" s="160"/>
      <c r="Q34" s="31"/>
      <c r="R34" s="100" t="str">
        <f>VLOOKUP(C34,'Train Runs'!$A$13:$AE$10011,31,0)</f>
        <v>aws s3 cp s3://rtdc.mdm.uploadarchive.raw/RTDC4010/ "%USERPROFILE%\AppData\Local\Temp\OnboardLogs"\RTDC4010\2016-11-01 --exclude "*" --recursive --include "*20161101*" &amp; "%USERPROFILE%\Documents\GitHub\mrs-test-scripts\Headless Mode &amp; Sideloading\WalkAndUnGZ.bat" "%USERPROFILE%\AppData\Local\Temp\OnboardLogs"\RTDC4010\2016-11-01 &amp; aws s3 cp s3://rtdc.mdm.uploadarchive.raw/RTDC4010/ "%USERPROFILE%\AppData\Local\Temp\OnboardLogs"\RTDC4010\2016-11-02 --exclude "*" --recursive --include "*20161102*" &amp; "%USERPROFILE%\Documents\GitHub\mrs-test-scripts\Headless Mode &amp; Sideloading\WalkAndUnGZ.bat" "%USERPROFILE%\AppData\Local\Temp\OnboardLogs"\RTDC4010\2016-11-02</v>
      </c>
      <c r="S34" s="103" t="str">
        <f>VLOOKUP(C34,'Train Runs'!$A$13:$AE$10011,22,0)</f>
        <v>https://search-rtdc-monitor-bjffxe2xuh6vdkpspy63sjmuny.us-east-1.es.amazonaws.com/_plugin/kibana/#/discover/Steve-Slow-Train-Analysis-(2080s-and-2083s)?_g=(refreshInterval:(display:Off,section:0,value:0),time:(from:'2016-11-01 17:07:44-0600',mode:absolute,to:'2016-11-01 19:27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4" s="105" t="str">
        <f t="shared" si="1"/>
        <v>"C:\Program Files (x86)\AstroGrep\AstroGrep.exe" /spath="%USERPROFILE%\AppData\Local\Temp\OnboardLogs" /stypes="*4010*201611020*" /stext=" 00:.+((SYSTEM_STATE.+slice.+state.+changed )|(ment ac)|(system.+state.+changed )|(\[timeout)|(PRM\|1\|D)|(kpr)|(kdp)|(\|lc)|(penalty))" /e /r /s</v>
      </c>
      <c r="U34" s="9" t="str">
        <f t="shared" si="2"/>
        <v>4010</v>
      </c>
      <c r="V34" s="36">
        <f t="shared" si="3"/>
        <v>42676.018935185188</v>
      </c>
      <c r="W34" s="50" t="str">
        <f t="shared" si="4"/>
        <v>NW</v>
      </c>
      <c r="X34" s="50" t="str">
        <f t="shared" si="5"/>
        <v>KEEP</v>
      </c>
      <c r="Y34" s="122" t="str">
        <f t="shared" si="6"/>
        <v>echo {"issue":{"subject":"","project_id":79,"tracker_id":40,"status_id":1,"priority_id":2,"assigned_to_id":23,"start_date":"2016-11-01","description":"","custom_fields":[{"id":1,"name":"Subdivision","value":"NW"},{"id":4,"name":"Milepost","value":"0.0575"},{"id":17,"name":"Train ID","value":"836-01"},{"id":16,"name":"Locomotive ID","value":"4010"},{"id":130,"name":"Impact","value":""},{"id":150,"name":"Time of Event (Mountain Time)","value":"18:27:16"},{"id":151,"name":"Denver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41" t="str">
        <f t="shared" si="7"/>
        <v>grep -hSE -A100 "Enforcement Action" "%USERPROFILE%\AppData\Local\Temp\OnboardLogs"\RTDC4010\*4010*201611020* | grep -SE "((Enforcement Ac)|(PRM))" -</v>
      </c>
      <c r="AD34" s="1"/>
    </row>
    <row r="35" spans="1:30" x14ac:dyDescent="0.25">
      <c r="A35" s="36">
        <v>42675.477233796293</v>
      </c>
      <c r="B35" s="31" t="s">
        <v>241</v>
      </c>
      <c r="C35" s="31" t="s">
        <v>389</v>
      </c>
      <c r="D35" s="31" t="s">
        <v>98</v>
      </c>
      <c r="E35" s="31" t="s">
        <v>218</v>
      </c>
      <c r="F35" s="47">
        <v>200</v>
      </c>
      <c r="G35" s="47">
        <v>258</v>
      </c>
      <c r="H35" s="47">
        <v>6358</v>
      </c>
      <c r="I35" s="47">
        <v>7009</v>
      </c>
      <c r="J35" s="31" t="s">
        <v>219</v>
      </c>
      <c r="K35" s="47">
        <v>5315</v>
      </c>
      <c r="L35" s="157" t="s">
        <v>50</v>
      </c>
      <c r="M35" s="158">
        <f t="shared" si="0"/>
        <v>-894.43200000000002</v>
      </c>
      <c r="N35" s="159" t="str">
        <f>VLOOKUP(C35,'Trips&amp;Operators'!$C$1:$E$99999,3,FALSE)</f>
        <v>BRANNON</v>
      </c>
      <c r="O35" s="184" t="s">
        <v>217</v>
      </c>
      <c r="P35" s="160"/>
      <c r="Q35" s="31"/>
      <c r="R35" s="100" t="str">
        <f>VLOOKUP(C35,'Train Runs'!$A$13:$AE$10011,31,0)</f>
        <v>aws s3 cp s3://rtdc.mdm.uploadarchive.raw/RTDC4011/ "%USERPROFILE%\AppData\Local\Temp\OnboardLogs"\RTDC4011\2016-11-01 --exclude "*" --recursive --include "*20161101*" &amp; "%USERPROFILE%\Documents\GitHub\mrs-test-scripts\Headless Mode &amp; Sideloading\WalkAndUnGZ.bat" "%USERPROFILE%\AppData\Local\Temp\OnboardLogs"\RTDC4011\2016-11-01 &amp; aws s3 cp s3://rtdc.mdm.uploadarchive.raw/RTDC4011/ "%USERPROFILE%\AppData\Local\Temp\OnboardLogs"\RTDC4011\2016-11-02 --exclude "*" --recursive --include "*20161102*" &amp; "%USERPROFILE%\Documents\GitHub\mrs-test-scripts\Headless Mode &amp; Sideloading\WalkAndUnGZ.bat" "%USERPROFILE%\AppData\Local\Temp\OnboardLogs"\RTDC4011\2016-11-02</v>
      </c>
      <c r="S35" s="103" t="str">
        <f>VLOOKUP(C35,'Train Runs'!$A$13:$AE$10011,22,0)</f>
        <v>https://search-rtdc-monitor-bjffxe2xuh6vdkpspy63sjmuny.us-east-1.es.amazonaws.com/_plugin/kibana/#/discover/Steve-Slow-Train-Analysis-(2080s-and-2083s)?_g=(refreshInterval:(display:Off,section:0,value:0),time:(from:'2016-11-01 10:14:33-0600',mode:absolute,to:'2016-11-01 12:33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/stypes="*4011*201611011*" /stext=" 17:.+((SYSTEM_STATE.+slice.+state.+changed )|(ment ac)|(system.+state.+changed )|(\[timeout)|(PRM\|1\|D)|(kpr)|(kdp)|(\|lc)|(penalty))" /e /r /s</v>
      </c>
      <c r="U35" s="9" t="str">
        <f t="shared" si="2"/>
        <v>4011</v>
      </c>
      <c r="V35" s="36">
        <f t="shared" si="3"/>
        <v>42675.727233796293</v>
      </c>
      <c r="W35" s="50" t="str">
        <f t="shared" si="4"/>
        <v>Other</v>
      </c>
      <c r="X35" s="50" t="str">
        <f t="shared" si="5"/>
        <v>KEEP</v>
      </c>
      <c r="Y35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{"issue":{"subject":"","project_id":79,"tracker_id":40,"status_id":1,"priority_id":2,"assigned_to_id":23,"start_date":"2016-11-01","description":"","custom_fields":[{"id":1,"name":"Subdivision","value":"Other"},{"id":4,"name":"Milepost","value":"0.5315"},{"id":17,"name":"Train ID","value":"53-01"},{"id":16,"name":"Locomotive ID","value":"4011"},{"id":130,"name":"Impact","value":""},{"id":150,"name":"Time of Event (Mountain Time)","value":"11:27:13"},{"id":151,"name":"Denver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41" t="str">
        <f t="shared" si="7"/>
        <v>grep -hSE -A100 "Enforcement Action" "%USERPROFILE%\AppData\Local\Temp\OnboardLogs"\RTDC4011\*4011*201611011* | grep -SE "((Enforcement Ac)|(PRM))" -</v>
      </c>
      <c r="AD35" s="1"/>
    </row>
    <row r="36" spans="1:30" x14ac:dyDescent="0.25">
      <c r="A36" s="36">
        <v>42675.40457175926</v>
      </c>
      <c r="B36" s="31" t="s">
        <v>234</v>
      </c>
      <c r="C36" s="31" t="s">
        <v>384</v>
      </c>
      <c r="D36" s="31" t="s">
        <v>49</v>
      </c>
      <c r="E36" s="31" t="s">
        <v>218</v>
      </c>
      <c r="F36" s="47">
        <v>300</v>
      </c>
      <c r="G36" s="47">
        <v>356</v>
      </c>
      <c r="H36" s="47">
        <v>20843</v>
      </c>
      <c r="I36" s="47">
        <v>21816</v>
      </c>
      <c r="J36" s="31" t="s">
        <v>219</v>
      </c>
      <c r="K36" s="47">
        <v>21299</v>
      </c>
      <c r="L36" s="157" t="s">
        <v>50</v>
      </c>
      <c r="M36" s="158">
        <f t="shared" si="0"/>
        <v>-272.976</v>
      </c>
      <c r="N36" s="159" t="str">
        <f>VLOOKUP(C36,'Trips&amp;Operators'!$C$1:$E$99999,3,FALSE)</f>
        <v>PELLITIER</v>
      </c>
      <c r="O36" s="184" t="s">
        <v>217</v>
      </c>
      <c r="P36" s="160"/>
      <c r="Q36" s="31"/>
      <c r="R36" s="100" t="str">
        <f>VLOOKUP(C36,'Train Runs'!$A$13:$AE$10011,31,0)</f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S36" s="103" t="str">
        <f>VLOOKUP(C36,'Train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07:44:36-0600',mode:absolute,to:'2016-11-01 10:27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6" s="105" t="str">
        <f t="shared" si="1"/>
        <v>"C:\Program Files (x86)\AstroGrep\AstroGrep.exe" /spath="%USERPROFILE%\AppData\Local\Temp\OnboardLogs" /stypes="*4016*201611011*" /stext=" 15:.+((SYSTEM_STATE.+slice.+state.+changed )|(ment ac)|(system.+state.+changed )|(\[timeout)|(PRM\|1\|D)|(kpr)|(kdp)|(\|lc)|(penalty))" /e /r /s</v>
      </c>
      <c r="U36" s="9" t="str">
        <f t="shared" si="2"/>
        <v>4016</v>
      </c>
      <c r="V36" s="36">
        <f t="shared" si="3"/>
        <v>42675.65457175926</v>
      </c>
      <c r="W36" s="50" t="str">
        <f t="shared" si="4"/>
        <v>Other</v>
      </c>
      <c r="X36" s="50" t="str">
        <f t="shared" si="5"/>
        <v>KEEP</v>
      </c>
      <c r="Y36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{"issue":{"subject":"","project_id":79,"tracker_id":40,"status_id":1,"priority_id":2,"assigned_to_id":23,"start_date":"2016-11-01","description":"","custom_fields":[{"id":1,"name":"Subdivision","value":"Other"},{"id":4,"name":"Milepost","value":"2.1299"},{"id":17,"name":"Train ID","value":"50-01"},{"id":16,"name":"Locomotive ID","value":"4016"},{"id":130,"name":"Impact","value":""},{"id":150,"name":"Time of Event (Mountain Time)","value":"09:42:35"},{"id":151,"name":"Denver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41" t="str">
        <f t="shared" si="7"/>
        <v>grep -hSE -A100 "Enforcement Action" "%USERPROFILE%\AppData\Local\Temp\OnboardLogs"\RTDC4016\*4016*201611011* | grep -SE "((Enforcement Ac)|(PRM))" -</v>
      </c>
      <c r="AD36" s="1"/>
    </row>
    <row r="37" spans="1:30" x14ac:dyDescent="0.25">
      <c r="A37" s="36">
        <v>42676.060659722221</v>
      </c>
      <c r="B37" s="31" t="s">
        <v>229</v>
      </c>
      <c r="C37" s="31" t="s">
        <v>403</v>
      </c>
      <c r="D37" s="31" t="s">
        <v>98</v>
      </c>
      <c r="E37" s="31" t="s">
        <v>220</v>
      </c>
      <c r="F37" s="47">
        <v>0</v>
      </c>
      <c r="G37" s="47">
        <v>108</v>
      </c>
      <c r="H37" s="47">
        <v>22425</v>
      </c>
      <c r="I37" s="47">
        <v>22593</v>
      </c>
      <c r="J37" s="31" t="s">
        <v>221</v>
      </c>
      <c r="K37" s="47">
        <v>22314</v>
      </c>
      <c r="L37" s="157" t="s">
        <v>50</v>
      </c>
      <c r="M37" s="158">
        <f t="shared" si="0"/>
        <v>-147.31200000000001</v>
      </c>
      <c r="N37" s="159" t="str">
        <f>VLOOKUP(C37,'Trips&amp;Operators'!$C$1:$E$99999,3,FALSE)</f>
        <v>CRAYTON</v>
      </c>
      <c r="O37" s="184" t="s">
        <v>217</v>
      </c>
      <c r="P37" s="160"/>
      <c r="Q37" s="31"/>
      <c r="R37" s="100" t="str">
        <f>VLOOKUP(C37,'Train Runs'!$A$13:$AE$10011,31,0)</f>
        <v>aws s3 cp s3://rtdc.mdm.uploadarchive.raw/RTDC4029/ "%USERPROFILE%\AppData\Local\Temp\OnboardLogs"\RTDC4029\2016-11-02 --exclude "*" --recursive --include "*20161102*" &amp; "%USERPROFILE%\Documents\GitHub\mrs-test-scripts\Headless Mode &amp; Sideloading\WalkAndUnGZ.bat" "%USERPROFILE%\AppData\Local\Temp\OnboardLogs"\RTDC4029\2016-11-02 &amp; aws s3 cp s3://rtdc.mdm.uploadarchive.raw/RTDC4029/ "%USERPROFILE%\AppData\Local\Temp\OnboardLogs"\RTDC4029\2016-11-03 --exclude "*" --recursive --include "*20161103*" &amp; "%USERPROFILE%\Documents\GitHub\mrs-test-scripts\Headless Mode &amp; Sideloading\WalkAndUnGZ.bat" "%USERPROFILE%\AppData\Local\Temp\OnboardLogs"\RTDC4029\2016-11-03</v>
      </c>
      <c r="S37" s="103" t="str">
        <f>VLOOKUP(C37,'Train Runs'!$A$13:$AE$10011,22,0)</f>
        <v>https://search-rtdc-monitor-bjffxe2xuh6vdkpspy63sjmuny.us-east-1.es.amazonaws.com/_plugin/kibana/#/discover/Steve-Slow-Train-Analysis-(2080s-and-2083s)?_g=(refreshInterval:(display:Off,section:0,value:0),time:(from:'2016-11-02 00:16:04-0600',mode:absolute,to:'2016-11-02 02:27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/stypes="*4029*201611020*" /stext=" 07:.+((SYSTEM_STATE.+slice.+state.+changed )|(ment ac)|(system.+state.+changed )|(\[timeout)|(PRM\|1\|D)|(kpr)|(kdp)|(\|lc)|(penalty))" /e /r /s</v>
      </c>
      <c r="U37" s="9" t="str">
        <f t="shared" si="2"/>
        <v>4029</v>
      </c>
      <c r="V37" s="36">
        <f t="shared" si="3"/>
        <v>42676.310659722221</v>
      </c>
      <c r="W37" s="50" t="str">
        <f t="shared" si="4"/>
        <v>Other</v>
      </c>
      <c r="X37" s="50" t="str">
        <f t="shared" si="5"/>
        <v>KEEP</v>
      </c>
      <c r="Y37" s="122" t="str">
        <f t="shared" si="6"/>
        <v>echo {"issue":{"subject":"","project_id":79,"tracker_id":40,"status_id":1,"priority_id":2,"assigned_to_id":23,"start_date":"2016-11-02","description":"","custom_fields":[{"id":1,"name":"Subdivision","value":"Other"},{"id":4,"name":"Milepost","value":"2.2314"},{"id":17,"name":"Train ID","value":"311-01"},{"id":16,"name":"Locomotive ID","value":"4029"},{"id":130,"name":"Impact","value":""},{"id":150,"name":"Time of Event (Mountain Time)","value":"01:27:21"},{"id":151,"name":"Denver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41" t="str">
        <f t="shared" si="7"/>
        <v>grep -hSE -A100 "Enforcement Action" "%USERPROFILE%\AppData\Local\Temp\OnboardLogs"\RTDC4029\*4029*201611020* | grep -SE "((Enforcement Ac)|(PRM))" -</v>
      </c>
      <c r="AD37" s="1"/>
    </row>
    <row r="38" spans="1:30" x14ac:dyDescent="0.25">
      <c r="A38" s="36">
        <v>42675.491111111114</v>
      </c>
      <c r="B38" s="31" t="s">
        <v>234</v>
      </c>
      <c r="C38" s="31" t="s">
        <v>384</v>
      </c>
      <c r="D38" s="31" t="s">
        <v>98</v>
      </c>
      <c r="E38" s="31" t="s">
        <v>220</v>
      </c>
      <c r="F38" s="47">
        <v>200</v>
      </c>
      <c r="G38" s="47">
        <v>259</v>
      </c>
      <c r="H38" s="47">
        <v>39595</v>
      </c>
      <c r="I38" s="47">
        <v>40200</v>
      </c>
      <c r="J38" s="31" t="s">
        <v>221</v>
      </c>
      <c r="K38" s="47">
        <v>37575</v>
      </c>
      <c r="L38" s="157" t="s">
        <v>50</v>
      </c>
      <c r="M38" s="158">
        <f t="shared" si="0"/>
        <v>-1386</v>
      </c>
      <c r="N38" s="159" t="str">
        <f>VLOOKUP(C38,'Trips&amp;Operators'!$C$1:$E$99999,3,FALSE)</f>
        <v>PELLITIER</v>
      </c>
      <c r="O38" s="184" t="s">
        <v>217</v>
      </c>
      <c r="P38" s="160"/>
      <c r="Q38" s="31"/>
      <c r="R38" s="100" t="str">
        <f>VLOOKUP(C38,'Train Runs'!$A$13:$AE$10011,31,0)</f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S38" s="103" t="str">
        <f>VLOOKUP(C38,'Train Runs'!$A$13:$AE$10011,22,0)</f>
        <v>https://search-rtdc-monitor-bjffxe2xuh6vdkpspy63sjmuny.us-east-1.es.amazonaws.com/_plugin/kibana/#/discover/Steve-Slow-Train-Analysis-(2080s-and-2083s)?_g=(refreshInterval:(display:Off,section:0,value:0),time:(from:'2016-11-01 07:44:36-0600',mode:absolute,to:'2016-11-01 10:27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8" s="105" t="str">
        <f t="shared" si="1"/>
        <v>"C:\Program Files (x86)\AstroGrep\AstroGrep.exe" /spath="%USERPROFILE%\AppData\Local\Temp\OnboardLogs" /stypes="*4016*201611011*" /stext=" 17:.+((SYSTEM_STATE.+slice.+state.+changed )|(ment ac)|(system.+state.+changed )|(\[timeout)|(PRM\|1\|D)|(kpr)|(kdp)|(\|lc)|(penalty))" /e /r /s</v>
      </c>
      <c r="U38" s="9" t="str">
        <f t="shared" si="2"/>
        <v>4016</v>
      </c>
      <c r="V38" s="36">
        <f t="shared" si="3"/>
        <v>42675.741111111114</v>
      </c>
      <c r="W38" s="50" t="str">
        <f t="shared" si="4"/>
        <v>Other</v>
      </c>
      <c r="X38" s="50" t="str">
        <f t="shared" si="5"/>
        <v>KEEP</v>
      </c>
      <c r="Y38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{"issue":{"subject":"","project_id":79,"tracker_id":40,"status_id":1,"priority_id":2,"assigned_to_id":23,"start_date":"2016-11-01","description":"","custom_fields":[{"id":1,"name":"Subdivision","value":"Other"},{"id":4,"name":"Milepost","value":"3.7575"},{"id":17,"name":"Train ID","value":"50-01"},{"id":16,"name":"Locomotive ID","value":"4016"},{"id":130,"name":"Impact","value":""},{"id":150,"name":"Time of Event (Mountain Time)","value":"11:47:12"},{"id":151,"name":"Denver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41" t="str">
        <f t="shared" si="7"/>
        <v>grep -hSE -A100 "Enforcement Action" "%USERPROFILE%\AppData\Local\Temp\OnboardLogs"\RTDC4016\*4016*201611011* | grep -SE "((Enforcement Ac)|(PRM))" -</v>
      </c>
      <c r="AD38" s="1"/>
    </row>
    <row r="39" spans="1:30" x14ac:dyDescent="0.25">
      <c r="A39" s="36">
        <v>42675.183796296296</v>
      </c>
      <c r="B39" s="31" t="s">
        <v>316</v>
      </c>
      <c r="C39" s="31" t="s">
        <v>373</v>
      </c>
      <c r="D39" s="31" t="s">
        <v>49</v>
      </c>
      <c r="E39" s="31" t="s">
        <v>222</v>
      </c>
      <c r="F39" s="47">
        <v>0</v>
      </c>
      <c r="G39" s="47">
        <v>82</v>
      </c>
      <c r="H39" s="47">
        <v>263</v>
      </c>
      <c r="I39" s="47">
        <v>152</v>
      </c>
      <c r="J39" s="31" t="s">
        <v>223</v>
      </c>
      <c r="K39" s="47">
        <v>1</v>
      </c>
      <c r="L39" s="157" t="s">
        <v>51</v>
      </c>
      <c r="M39" s="158">
        <f t="shared" si="0"/>
        <v>79.727999999999994</v>
      </c>
      <c r="N39" s="159" t="str">
        <f>VLOOKUP(C39,'Trips&amp;Operators'!$C$1:$E$99999,3,FALSE)</f>
        <v>SPECTOR</v>
      </c>
      <c r="O39" s="184" t="s">
        <v>217</v>
      </c>
      <c r="P39" s="160"/>
      <c r="Q39" s="31"/>
      <c r="R39" s="100" t="str">
        <f>VLOOKUP(C39,'Train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39" s="103" t="str">
        <f>VLOOKUP(C39,'Train Runs'!$A$13:$AE$10011,22,0)</f>
        <v>https://search-rtdc-monitor-bjffxe2xuh6vdkpspy63sjmuny.us-east-1.es.amazonaws.com/_plugin/kibana/#/discover/Steve-Slow-Train-Analysis-(2080s-and-2083s)?_g=(refreshInterval:(display:Off,section:0,value:0),time:(from:'2016-11-01 03:13:00-0600',mode:absolute,to:'2016-11-01 05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9" s="105" t="str">
        <f t="shared" si="1"/>
        <v>"C:\Program Files (x86)\AstroGrep\AstroGrep.exe" /spath="%USERPROFILE%\AppData\Local\Temp\OnboardLogs" /stypes="*4039*201611011*" /stext=" 10:.+((SYSTEM_STATE.+slice.+state.+changed )|(ment ac)|(system.+state.+changed )|(\[timeout)|(PRM\|1\|D)|(kpr)|(kdp)|(\|lc)|(penalty))" /e /r /s</v>
      </c>
      <c r="U39" s="9" t="str">
        <f t="shared" si="2"/>
        <v>4039</v>
      </c>
      <c r="V39" s="36">
        <f t="shared" si="3"/>
        <v>42675.433796296296</v>
      </c>
      <c r="W39" s="50" t="str">
        <f t="shared" si="4"/>
        <v>Other</v>
      </c>
      <c r="X39" s="50" t="str">
        <f t="shared" si="5"/>
        <v>KEEP</v>
      </c>
      <c r="Y39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{"issue":{"subject":"","project_id":79,"tracker_id":40,"status_id":1,"priority_id":2,"assigned_to_id":23,"start_date":"2016-11-01","description":"","custom_fields":[{"id":1,"name":"Subdivision","value":"Other"},{"id":4,"name":"Milepost","value":"0.0001"},{"id":17,"name":"Train ID","value":"308-01"},{"id":16,"name":"Locomotive ID","value":"4039"},{"id":130,"name":"Impact","value":""},{"id":150,"name":"Time of Event (Mountain Time)","value":"04:24:40"},{"id":151,"name":"Denver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41" t="str">
        <f t="shared" si="7"/>
        <v>grep -hSE -A100 "Enforcement Action" "%USERPROFILE%\AppData\Local\Temp\OnboardLogs"\RTDC4039\*4039*201611011* | grep -SE "((Enforcement Ac)|(PRM))" -</v>
      </c>
      <c r="AD39" s="1"/>
    </row>
    <row r="40" spans="1:30" x14ac:dyDescent="0.25">
      <c r="A40" s="36">
        <v>42675.184201388889</v>
      </c>
      <c r="B40" s="31" t="s">
        <v>316</v>
      </c>
      <c r="C40" s="31" t="s">
        <v>373</v>
      </c>
      <c r="D40" s="31" t="s">
        <v>49</v>
      </c>
      <c r="E40" s="31" t="s">
        <v>222</v>
      </c>
      <c r="F40" s="47">
        <v>0</v>
      </c>
      <c r="G40" s="47">
        <v>40</v>
      </c>
      <c r="H40" s="47">
        <v>116</v>
      </c>
      <c r="I40" s="47">
        <v>56</v>
      </c>
      <c r="J40" s="31" t="s">
        <v>223</v>
      </c>
      <c r="K40" s="47">
        <v>1</v>
      </c>
      <c r="L40" s="157" t="s">
        <v>51</v>
      </c>
      <c r="M40" s="158">
        <f t="shared" si="0"/>
        <v>29.04</v>
      </c>
      <c r="N40" s="159" t="str">
        <f>VLOOKUP(C40,'Trips&amp;Operators'!$C$1:$E$99999,3,FALSE)</f>
        <v>SPECTOR</v>
      </c>
      <c r="O40" s="184" t="s">
        <v>217</v>
      </c>
      <c r="P40" s="160"/>
      <c r="Q40" s="31"/>
      <c r="R40" s="100" t="str">
        <f>VLOOKUP(C40,'Train Runs'!$A$13:$AE$10011,31,0)</f>
        <v>aws s3 cp s3://rtdc.mdm.uploadarchive.raw/RTDC4039/ "%USERPROFILE%\AppData\Local\Temp\OnboardLogs"\RTDC4039\2016-11-01 --exclude "*" --recursive --include "*20161101*" &amp; "%USERPROFILE%\Documents\GitHub\mrs-test-scripts\Headless Mode &amp; Sideloading\WalkAndUnGZ.bat" "%USERPROFILE%\AppData\Local\Temp\OnboardLogs"\RTDC4039\2016-11-01 &amp; aws s3 cp s3://rtdc.mdm.uploadarchive.raw/RTDC4039/ "%USERPROFILE%\AppData\Local\Temp\OnboardLogs"\RTDC4039\2016-11-02 --exclude "*" --recursive --include "*20161102*" &amp; "%USERPROFILE%\Documents\GitHub\mrs-test-scripts\Headless Mode &amp; Sideloading\WalkAndUnGZ.bat" "%USERPROFILE%\AppData\Local\Temp\OnboardLogs"\RTDC4039\2016-11-02</v>
      </c>
      <c r="S40" s="103" t="str">
        <f>VLOOKUP(C40,'Train Runs'!$A$13:$AE$10011,22,0)</f>
        <v>https://search-rtdc-monitor-bjffxe2xuh6vdkpspy63sjmuny.us-east-1.es.amazonaws.com/_plugin/kibana/#/discover/Steve-Slow-Train-Analysis-(2080s-and-2083s)?_g=(refreshInterval:(display:Off,section:0,value:0),time:(from:'2016-11-01 03:13:00-0600',mode:absolute,to:'2016-11-01 05:24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0" s="105" t="str">
        <f t="shared" si="1"/>
        <v>"C:\Program Files (x86)\AstroGrep\AstroGrep.exe" /spath="%USERPROFILE%\AppData\Local\Temp\OnboardLogs" /stypes="*4039*201611011*" /stext=" 10:.+((SYSTEM_STATE.+slice.+state.+changed )|(ment ac)|(system.+state.+changed )|(\[timeout)|(PRM\|1\|D)|(kpr)|(kdp)|(\|lc)|(penalty))" /e /r /s</v>
      </c>
      <c r="U40" s="9" t="str">
        <f t="shared" si="2"/>
        <v>4039</v>
      </c>
      <c r="V40" s="36">
        <f t="shared" si="3"/>
        <v>42675.434201388889</v>
      </c>
      <c r="W40" s="50" t="str">
        <f t="shared" si="4"/>
        <v>Other</v>
      </c>
      <c r="X40" s="50" t="str">
        <f t="shared" si="5"/>
        <v>KEEP</v>
      </c>
      <c r="Y40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{"issue":{"subject":"","project_id":79,"tracker_id":40,"status_id":1,"priority_id":2,"assigned_to_id":23,"start_date":"2016-11-01","description":"","custom_fields":[{"id":1,"name":"Subdivision","value":"Other"},{"id":4,"name":"Milepost","value":"0.0001"},{"id":17,"name":"Train ID","value":"308-01"},{"id":16,"name":"Locomotive ID","value":"4039"},{"id":130,"name":"Impact","value":""},{"id":150,"name":"Time of Event (Mountain Time)","value":"04:25:15"},{"id":151,"name":"Denver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41" t="str">
        <f t="shared" si="7"/>
        <v>grep -hSE -A100 "Enforcement Action" "%USERPROFILE%\AppData\Local\Temp\OnboardLogs"\RTDC4039\*4039*201611011* | grep -SE "((Enforcement Ac)|(PRM))" -</v>
      </c>
      <c r="AD40" s="1"/>
    </row>
    <row r="41" spans="1:30" x14ac:dyDescent="0.25">
      <c r="A41" s="36">
        <v>42675.46733796296</v>
      </c>
      <c r="B41" s="31" t="s">
        <v>296</v>
      </c>
      <c r="C41" s="31" t="s">
        <v>388</v>
      </c>
      <c r="D41" s="31" t="s">
        <v>49</v>
      </c>
      <c r="E41" s="31" t="s">
        <v>222</v>
      </c>
      <c r="F41" s="47">
        <v>0</v>
      </c>
      <c r="G41" s="47">
        <v>22</v>
      </c>
      <c r="H41" s="47">
        <v>897</v>
      </c>
      <c r="I41" s="47">
        <v>871</v>
      </c>
      <c r="J41" s="31" t="s">
        <v>223</v>
      </c>
      <c r="K41" s="47">
        <v>826</v>
      </c>
      <c r="L41" s="157" t="s">
        <v>51</v>
      </c>
      <c r="M41" s="158">
        <f t="shared" si="0"/>
        <v>23.76</v>
      </c>
      <c r="N41" s="159" t="str">
        <f>VLOOKUP(C41,'Trips&amp;Operators'!$C$1:$E$99999,3,FALSE)</f>
        <v>BONDS</v>
      </c>
      <c r="O41" s="184" t="s">
        <v>217</v>
      </c>
      <c r="P41" s="160"/>
      <c r="Q41" s="31"/>
      <c r="R41" s="100" t="str">
        <f>VLOOKUP(C41,'Train Runs'!$A$13:$AE$10011,31,0)</f>
        <v>aws s3 cp s3://rtdc.mdm.uploadarchive.raw/RTDC4045/ "%USERPROFILE%\AppData\Local\Temp\OnboardLogs"\RTDC4045\2016-11-01 --exclude "*" --recursive --include "*20161101*" &amp; "%USERPROFILE%\Documents\GitHub\mrs-test-scripts\Headless Mode &amp; Sideloading\WalkAndUnGZ.bat" "%USERPROFILE%\AppData\Local\Temp\OnboardLogs"\RTDC4045\2016-11-01 &amp; aws s3 cp s3://rtdc.mdm.uploadarchive.raw/RTDC4045/ "%USERPROFILE%\AppData\Local\Temp\OnboardLogs"\RTDC4045\2016-11-02 --exclude "*" --recursive --include "*20161102*" &amp; "%USERPROFILE%\Documents\GitHub\mrs-test-scripts\Headless Mode &amp; Sideloading\WalkAndUnGZ.bat" "%USERPROFILE%\AppData\Local\Temp\OnboardLogs"\RTDC4045\2016-11-02</v>
      </c>
      <c r="S41" s="103" t="str">
        <f>VLOOKUP(C41,'Train Runs'!$A$13:$AE$10011,22,0)</f>
        <v>https://search-rtdc-monitor-bjffxe2xuh6vdkpspy63sjmuny.us-east-1.es.amazonaws.com/_plugin/kibana/#/discover/Steve-Slow-Train-Analysis-(2080s-and-2083s)?_g=(refreshInterval:(display:Off,section:0,value:0),time:(from:'2016-11-01 10:01:51-0600',mode:absolute,to:'2016-11-01 13:20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 t="shared" si="1"/>
        <v>"C:\Program Files (x86)\AstroGrep\AstroGrep.exe" /spath="%USERPROFILE%\AppData\Local\Temp\OnboardLogs" /stypes="*4045*201611011*" /stext=" 17:.+((SYSTEM_STATE.+slice.+state.+changed )|(ment ac)|(system.+state.+changed )|(\[timeout)|(PRM\|1\|D)|(kpr)|(kdp)|(\|lc)|(penalty))" /e /r /s</v>
      </c>
      <c r="U41" s="9" t="str">
        <f t="shared" si="2"/>
        <v>4045</v>
      </c>
      <c r="V41" s="36">
        <f t="shared" si="3"/>
        <v>42675.71733796296</v>
      </c>
      <c r="W41" s="50" t="str">
        <f t="shared" si="4"/>
        <v>Other</v>
      </c>
      <c r="X41" s="50" t="str">
        <f t="shared" si="5"/>
        <v>KEEP</v>
      </c>
      <c r="Y41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{"issue":{"subject":"","project_id":79,"tracker_id":40,"status_id":1,"priority_id":2,"assigned_to_id":23,"start_date":"2016-11-01","description":"","custom_fields":[{"id":1,"name":"Subdivision","value":"Other"},{"id":4,"name":"Milepost","value":"0.0826"},{"id":17,"name":"Train ID","value":"54-01"},{"id":16,"name":"Locomotive ID","value":"4045"},{"id":130,"name":"Impact","value":""},{"id":150,"name":"Time of Event (Mountain Time)","value":"11:12:58"},{"id":151,"name":"Denver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41" t="str">
        <f t="shared" si="7"/>
        <v>grep -hSE -A100 "Enforcement Action" "%USERPROFILE%\AppData\Local\Temp\OnboardLogs"\RTDC4045\*4045*201611011* | grep -SE "((Enforcement Ac)|(PRM))" -</v>
      </c>
      <c r="AD41" s="1"/>
    </row>
    <row r="42" spans="1:30" x14ac:dyDescent="0.25">
      <c r="A42" s="36">
        <v>42675.766365740739</v>
      </c>
      <c r="B42" s="31" t="s">
        <v>235</v>
      </c>
      <c r="C42" s="31" t="s">
        <v>401</v>
      </c>
      <c r="D42" s="31" t="s">
        <v>98</v>
      </c>
      <c r="E42" s="31" t="s">
        <v>222</v>
      </c>
      <c r="F42" s="47">
        <v>0</v>
      </c>
      <c r="G42" s="47">
        <v>6</v>
      </c>
      <c r="H42" s="47">
        <v>839</v>
      </c>
      <c r="I42" s="47">
        <v>0</v>
      </c>
      <c r="J42" s="31" t="s">
        <v>223</v>
      </c>
      <c r="K42" s="47">
        <v>839</v>
      </c>
      <c r="L42" s="157" t="s">
        <v>51</v>
      </c>
      <c r="M42" s="158">
        <f t="shared" si="0"/>
        <v>-442.99200000000002</v>
      </c>
      <c r="N42" s="159" t="str">
        <f>VLOOKUP(C42,'Trips&amp;Operators'!$C$1:$E$99999,3,FALSE)</f>
        <v>DELGADO</v>
      </c>
      <c r="O42" s="184" t="s">
        <v>217</v>
      </c>
      <c r="P42" s="160"/>
      <c r="Q42" s="31"/>
      <c r="R42" s="100" t="str">
        <f>VLOOKUP(C42,'Train Runs'!$A$13:$AE$10011,31,0)</f>
        <v>aws s3 cp s3://rtdc.mdm.uploadarchive.raw/RTDC4015/ "%USERPROFILE%\AppData\Local\Temp\OnboardLogs"\RTDC4015\2016-11-01 --exclude "*" --recursive --include "*20161101*" &amp; "%USERPROFILE%\Documents\GitHub\mrs-test-scripts\Headless Mode &amp; Sideloading\WalkAndUnGZ.bat" "%USERPROFILE%\AppData\Local\Temp\OnboardLogs"\RTDC4015\2016-11-01 &amp; aws s3 cp s3://rtdc.mdm.uploadarchive.raw/RTDC4015/ "%USERPROFILE%\AppData\Local\Temp\OnboardLogs"\RTDC4015\2016-11-02 --exclude "*" --recursive --include "*20161102*" &amp; "%USERPROFILE%\Documents\GitHub\mrs-test-scripts\Headless Mode &amp; Sideloading\WalkAndUnGZ.bat" "%USERPROFILE%\AppData\Local\Temp\OnboardLogs"\RTDC4015\2016-11-02</v>
      </c>
      <c r="S42" s="103" t="str">
        <f>VLOOKUP(C42,'Train Runs'!$A$13:$AE$10011,22,0)</f>
        <v>https://search-rtdc-monitor-bjffxe2xuh6vdkpspy63sjmuny.us-east-1.es.amazonaws.com/_plugin/kibana/#/discover/Steve-Slow-Train-Analysis-(2080s-and-2083s)?_g=(refreshInterval:(display:Off,section:0,value:0),time:(from:'2016-11-01 17:03:55-0600',mode:absolute,to:'2016-11-01 19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2" s="105" t="str">
        <f t="shared" si="1"/>
        <v>"C:\Program Files (x86)\AstroGrep\AstroGrep.exe" /spath="%USERPROFILE%\AppData\Local\Temp\OnboardLogs" /stypes="*4015*201611020*" /stext=" 00:.+((SYSTEM_STATE.+slice.+state.+changed )|(ment ac)|(system.+state.+changed )|(\[timeout)|(PRM\|1\|D)|(kpr)|(kdp)|(\|lc)|(penalty))" /e /r /s</v>
      </c>
      <c r="U42" s="9" t="str">
        <f t="shared" si="2"/>
        <v>4015</v>
      </c>
      <c r="V42" s="36">
        <f t="shared" si="3"/>
        <v>42676.016365740739</v>
      </c>
      <c r="W42" s="50" t="str">
        <f t="shared" si="4"/>
        <v>Other</v>
      </c>
      <c r="X42" s="50" t="str">
        <f t="shared" si="5"/>
        <v>OMIT</v>
      </c>
      <c r="Y42" s="122" t="str">
        <f t="shared" si="6"/>
        <v>echo {"issue":{"subject":"","project_id":79,"tracker_id":40,"status_id":1,"priority_id":2,"assigned_to_id":23,"start_date":"2016-11-01","description":"","custom_fields":[{"id":1,"name":"Subdivision","value":"Other"},{"id":4,"name":"Milepost","value":"0.0839"},{"id":17,"name":"Train ID","value":"60-01"},{"id":16,"name":"Locomotive ID","value":"4015"},{"id":130,"name":"Impact","value":""},{"id":150,"name":"Time of Event (Mountain Time)","value":"18:23:34"},{"id":151,"name":"Denver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41" t="str">
        <f t="shared" si="7"/>
        <v>grep -hSE -A100 "Enforcement Action" "%USERPROFILE%\AppData\Local\Temp\OnboardLogs"\RTDC4015\*4015*201611020* | grep -SE "((Enforcement Ac)|(PRM))" -</v>
      </c>
      <c r="AD42" s="1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</sheetData>
  <autoFilter ref="A6:AC36">
    <sortState ref="A7:AC42">
      <sortCondition ref="W7:W42"/>
      <sortCondition ref="E7:E42"/>
      <sortCondition ref="K7:K42"/>
      <sortCondition ref="F7:F42"/>
    </sortState>
  </autoFilter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9:O1048576">
    <cfRule type="cellIs" dxfId="29" priority="36" operator="equal">
      <formula>"Y"</formula>
    </cfRule>
  </conditionalFormatting>
  <conditionalFormatting sqref="O2:O3">
    <cfRule type="cellIs" dxfId="28" priority="27" operator="equal">
      <formula>"Y"</formula>
    </cfRule>
  </conditionalFormatting>
  <conditionalFormatting sqref="O7:O42">
    <cfRule type="cellIs" dxfId="27" priority="21" operator="equal">
      <formula>"Y"</formula>
    </cfRule>
  </conditionalFormatting>
  <conditionalFormatting sqref="A7:P42">
    <cfRule type="expression" dxfId="26" priority="20">
      <formula>$O7="Y"</formula>
    </cfRule>
  </conditionalFormatting>
  <hyperlinks>
    <hyperlink ref="Z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AA7:AA42</xm:sqref>
        </x14:dataValidation>
        <x14:dataValidation type="list" allowBlank="1" showInputMessage="1" showErrorMessage="1">
          <x14:formula1>
            <xm:f>'Redmine List Values'!$C$2:$C$15</xm:f>
          </x14:formula1>
          <xm:sqref>AB7:AB42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workbookViewId="0">
      <selection activeCell="A3" sqref="A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11" bestFit="1" customWidth="1"/>
    <col min="4" max="4" width="9.85546875" style="10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2016-11-01</v>
      </c>
      <c r="C1" s="186"/>
      <c r="D1" s="186"/>
      <c r="E1" s="186"/>
      <c r="F1" s="186"/>
    </row>
    <row r="2" spans="1:11" s="24" customFormat="1" ht="45" x14ac:dyDescent="0.25">
      <c r="A2" s="179" t="s">
        <v>155</v>
      </c>
      <c r="B2" s="113" t="s">
        <v>58</v>
      </c>
      <c r="C2" s="108" t="s">
        <v>59</v>
      </c>
      <c r="D2" s="109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80"/>
      <c r="B3" s="47" t="str">
        <f>A3&amp;"-"&amp;IF(DAY(Variables!$A$2)&lt;10,0,"")&amp;DAY(Variables!$A$2)</f>
        <v>-01</v>
      </c>
      <c r="C3" s="161"/>
      <c r="D3" s="162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1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3" s="31" t="e">
        <f>VLOOKUP(B3,'Train Runs'!$A$13:$A$100008,1,FALSE)</f>
        <v>#N/A</v>
      </c>
      <c r="K3" s="21" t="e">
        <f t="shared" ref="K3:K13" si="1">IF(VLOOKUP(A3,$K$52:$K$75,1,FALSE),"Cancelled")</f>
        <v>#N/A</v>
      </c>
    </row>
    <row r="4" spans="1:11" x14ac:dyDescent="0.25">
      <c r="A4" s="180"/>
      <c r="B4" s="47" t="str">
        <f>A4&amp;"-"&amp;IF(DAY(Variables!$A$2)&lt;10,0,"")&amp;DAY(Variables!$A$2)</f>
        <v>-01</v>
      </c>
      <c r="C4" s="161"/>
      <c r="D4" s="162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4" s="31" t="e">
        <f>VLOOKUP(B4,'Train Runs'!$A$13:$A$100008,1,FALSE)</f>
        <v>#N/A</v>
      </c>
      <c r="K4" s="21" t="e">
        <f t="shared" si="1"/>
        <v>#N/A</v>
      </c>
    </row>
    <row r="5" spans="1:11" x14ac:dyDescent="0.25">
      <c r="A5" s="180"/>
      <c r="B5" s="47" t="str">
        <f>A5&amp;"-"&amp;IF(DAY(Variables!$A$2)&lt;10,0,"")&amp;DAY(Variables!$A$2)</f>
        <v>-01</v>
      </c>
      <c r="C5" s="161"/>
      <c r="D5" s="162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5" s="31" t="e">
        <f>VLOOKUP(B5,'Train Runs'!$A$13:$A$100008,1,FALSE)</f>
        <v>#N/A</v>
      </c>
      <c r="K5" s="21" t="e">
        <f t="shared" si="1"/>
        <v>#N/A</v>
      </c>
    </row>
    <row r="6" spans="1:11" x14ac:dyDescent="0.25">
      <c r="A6" s="180"/>
      <c r="B6" s="47" t="str">
        <f>A6&amp;"-"&amp;IF(DAY(Variables!$A$2)&lt;10,0,"")&amp;DAY(Variables!$A$2)</f>
        <v>-01</v>
      </c>
      <c r="C6" s="161"/>
      <c r="D6" s="162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6" s="31" t="e">
        <f>VLOOKUP(B6,'Train Runs'!$A$13:$A$100008,1,FALSE)</f>
        <v>#N/A</v>
      </c>
      <c r="K6" s="21" t="e">
        <f t="shared" si="1"/>
        <v>#N/A</v>
      </c>
    </row>
    <row r="7" spans="1:11" x14ac:dyDescent="0.25">
      <c r="A7" s="180"/>
      <c r="B7" s="47" t="str">
        <f>A7&amp;"-"&amp;IF(DAY(Variables!$A$2)&lt;10,0,"")&amp;DAY(Variables!$A$2)</f>
        <v>-01</v>
      </c>
      <c r="C7" s="161"/>
      <c r="D7" s="162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7" s="31" t="e">
        <f>VLOOKUP(B7,'Train Runs'!$A$13:$A$100008,1,FALSE)</f>
        <v>#N/A</v>
      </c>
      <c r="K7" s="21" t="e">
        <f t="shared" si="1"/>
        <v>#N/A</v>
      </c>
    </row>
    <row r="8" spans="1:11" x14ac:dyDescent="0.25">
      <c r="A8" s="180"/>
      <c r="B8" s="47" t="str">
        <f>A8&amp;"-"&amp;IF(DAY(Variables!$A$2)&lt;10,0,"")&amp;DAY(Variables!$A$2)</f>
        <v>-01</v>
      </c>
      <c r="C8" s="161"/>
      <c r="D8" s="162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8" s="31" t="e">
        <f>VLOOKUP(B8,'Train Runs'!$A$13:$A$100008,1,FALSE)</f>
        <v>#N/A</v>
      </c>
      <c r="K8" s="21" t="e">
        <f t="shared" si="1"/>
        <v>#N/A</v>
      </c>
    </row>
    <row r="9" spans="1:11" x14ac:dyDescent="0.25">
      <c r="A9" s="180"/>
      <c r="B9" s="47" t="str">
        <f>A9&amp;"-"&amp;IF(DAY(Variables!$A$2)&lt;10,0,"")&amp;DAY(Variables!$A$2)</f>
        <v>-01</v>
      </c>
      <c r="C9" s="161"/>
      <c r="D9" s="162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9" s="31" t="e">
        <f>VLOOKUP(B9,'Train Runs'!$A$13:$A$100008,1,FALSE)</f>
        <v>#N/A</v>
      </c>
      <c r="K9" s="21" t="e">
        <f t="shared" si="1"/>
        <v>#N/A</v>
      </c>
    </row>
    <row r="10" spans="1:11" x14ac:dyDescent="0.25">
      <c r="A10" s="180"/>
      <c r="B10" s="47" t="str">
        <f>A10&amp;"-"&amp;IF(DAY(Variables!$A$2)&lt;10,0,"")&amp;DAY(Variables!$A$2)</f>
        <v>-01</v>
      </c>
      <c r="C10" s="161"/>
      <c r="D10" s="162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0" s="31" t="e">
        <f>VLOOKUP(B10,'Train Runs'!$A$13:$A$100008,1,FALSE)</f>
        <v>#N/A</v>
      </c>
      <c r="K10" s="21" t="e">
        <f t="shared" si="1"/>
        <v>#N/A</v>
      </c>
    </row>
    <row r="11" spans="1:11" x14ac:dyDescent="0.25">
      <c r="A11" s="180"/>
      <c r="B11" s="47" t="str">
        <f>A11&amp;"-"&amp;IF(DAY(Variables!$A$2)&lt;10,0,"")&amp;DAY(Variables!$A$2)</f>
        <v>-01</v>
      </c>
      <c r="C11" s="161"/>
      <c r="D11" s="162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1" s="31" t="e">
        <f>VLOOKUP(B11,'Train Runs'!$A$13:$A$100008,1,FALSE)</f>
        <v>#N/A</v>
      </c>
      <c r="K11" s="21" t="e">
        <f t="shared" si="1"/>
        <v>#N/A</v>
      </c>
    </row>
    <row r="12" spans="1:11" x14ac:dyDescent="0.25">
      <c r="A12" s="180"/>
      <c r="B12" s="47" t="str">
        <f>A12&amp;"-"&amp;IF(DAY(Variables!$A$2)&lt;10,0,"")&amp;DAY(Variables!$A$2)</f>
        <v>-01</v>
      </c>
      <c r="C12" s="161"/>
      <c r="D12" s="162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2" s="31" t="e">
        <f>VLOOKUP(B12,'Train Runs'!$A$13:$A$100008,1,FALSE)</f>
        <v>#N/A</v>
      </c>
      <c r="K12" s="21" t="e">
        <f t="shared" si="1"/>
        <v>#N/A</v>
      </c>
    </row>
    <row r="13" spans="1:11" x14ac:dyDescent="0.25">
      <c r="A13" s="180"/>
      <c r="B13" s="47" t="str">
        <f>A13&amp;"-"&amp;IF(DAY(Variables!$A$2)&lt;10,0,"")&amp;DAY(Variables!$A$2)</f>
        <v>-01</v>
      </c>
      <c r="C13" s="161"/>
      <c r="D13" s="162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-01%22)),sort:!(Time,asc))</v>
      </c>
      <c r="J13" s="31" t="e">
        <f>VLOOKUP(B13,'Train Runs'!$A$13:$A$100008,1,FALSE)</f>
        <v>#N/A</v>
      </c>
      <c r="K13" s="21" t="e">
        <f t="shared" si="1"/>
        <v>#N/A</v>
      </c>
    </row>
    <row r="14" spans="1:11" x14ac:dyDescent="0.25">
      <c r="C14" s="110"/>
      <c r="D14" s="110"/>
      <c r="E14" s="31"/>
      <c r="F14" s="22"/>
      <c r="G14" s="22"/>
      <c r="H14" s="30"/>
      <c r="I14" s="50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6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182</v>
      </c>
      <c r="B1" s="21" t="s">
        <v>183</v>
      </c>
      <c r="C1" s="21" t="s">
        <v>0</v>
      </c>
      <c r="D1" s="21" t="s">
        <v>184</v>
      </c>
      <c r="E1" s="21" t="s">
        <v>185</v>
      </c>
      <c r="F1" s="21" t="str">
        <f>B1</f>
        <v>Source</v>
      </c>
      <c r="G1" s="8" t="str">
        <f>A1</f>
        <v>Time (US/Mountain)</v>
      </c>
    </row>
    <row r="2" spans="1:7" x14ac:dyDescent="0.25">
      <c r="A2" s="8">
        <v>42675.037812499999</v>
      </c>
      <c r="B2" s="21" t="s">
        <v>317</v>
      </c>
      <c r="C2" s="21" t="s">
        <v>333</v>
      </c>
      <c r="D2" s="21">
        <v>1800000</v>
      </c>
      <c r="E2" s="21" t="s">
        <v>283</v>
      </c>
      <c r="F2" s="21" t="str">
        <f t="shared" ref="F2:F65" si="0">B2</f>
        <v>rtdc.l.rtdc.4032:itc</v>
      </c>
      <c r="G2" s="8">
        <f t="shared" ref="G2:G65" si="1">A2</f>
        <v>42675.037812499999</v>
      </c>
    </row>
    <row r="3" spans="1:7" x14ac:dyDescent="0.25">
      <c r="A3" s="8">
        <v>42675.056574074071</v>
      </c>
      <c r="B3" s="21" t="s">
        <v>246</v>
      </c>
      <c r="C3" s="21" t="s">
        <v>334</v>
      </c>
      <c r="D3" s="21">
        <v>2480000</v>
      </c>
      <c r="E3" s="21" t="s">
        <v>332</v>
      </c>
      <c r="F3" s="21" t="str">
        <f t="shared" si="0"/>
        <v>rtdc.l.rtdc.4001:itc</v>
      </c>
      <c r="G3" s="8">
        <f t="shared" si="1"/>
        <v>42675.056574074071</v>
      </c>
    </row>
    <row r="4" spans="1:7" x14ac:dyDescent="0.25">
      <c r="A4" s="8">
        <v>42675.088750000003</v>
      </c>
      <c r="B4" s="21" t="s">
        <v>245</v>
      </c>
      <c r="C4" s="21" t="s">
        <v>335</v>
      </c>
      <c r="D4" s="21">
        <v>2480000</v>
      </c>
      <c r="E4" s="21" t="s">
        <v>332</v>
      </c>
      <c r="F4" s="21" t="str">
        <f t="shared" si="0"/>
        <v>rtdc.l.rtdc.4002:itc</v>
      </c>
      <c r="G4" s="8">
        <f t="shared" si="1"/>
        <v>42675.088750000003</v>
      </c>
    </row>
    <row r="5" spans="1:7" x14ac:dyDescent="0.25">
      <c r="A5" s="8">
        <v>42675.143807870372</v>
      </c>
      <c r="B5" s="21" t="s">
        <v>390</v>
      </c>
      <c r="C5" s="21" t="s">
        <v>404</v>
      </c>
      <c r="D5" s="21">
        <v>2530000</v>
      </c>
      <c r="E5" s="21" t="s">
        <v>320</v>
      </c>
      <c r="F5" s="21" t="str">
        <f t="shared" si="0"/>
        <v>rtdc.l.rtdc.4008:itc</v>
      </c>
      <c r="G5" s="8">
        <f t="shared" si="1"/>
        <v>42675.143807870372</v>
      </c>
    </row>
    <row r="6" spans="1:7" x14ac:dyDescent="0.25">
      <c r="A6" s="8">
        <v>42675.154432870368</v>
      </c>
      <c r="B6" s="21" t="s">
        <v>263</v>
      </c>
      <c r="C6" s="21" t="s">
        <v>405</v>
      </c>
      <c r="D6" s="21">
        <v>2530000</v>
      </c>
      <c r="E6" s="21" t="s">
        <v>320</v>
      </c>
      <c r="F6" s="21" t="str">
        <f t="shared" si="0"/>
        <v>rtdc.l.rtdc.4027:itc</v>
      </c>
      <c r="G6" s="8">
        <f t="shared" si="1"/>
        <v>42675.154432870368</v>
      </c>
    </row>
    <row r="7" spans="1:7" x14ac:dyDescent="0.25">
      <c r="A7" s="8">
        <v>42675.163518518515</v>
      </c>
      <c r="B7" s="21" t="s">
        <v>230</v>
      </c>
      <c r="C7" s="21" t="s">
        <v>406</v>
      </c>
      <c r="D7" s="21">
        <v>2550000</v>
      </c>
      <c r="E7" s="21" t="s">
        <v>321</v>
      </c>
      <c r="F7" s="21" t="str">
        <f t="shared" si="0"/>
        <v>rtdc.l.rtdc.4030:itc</v>
      </c>
      <c r="G7" s="8">
        <f t="shared" si="1"/>
        <v>42675.163518518515</v>
      </c>
    </row>
    <row r="8" spans="1:7" x14ac:dyDescent="0.25">
      <c r="A8" s="8">
        <v>42675.17292824074</v>
      </c>
      <c r="B8" s="21" t="s">
        <v>407</v>
      </c>
      <c r="C8" s="21" t="s">
        <v>408</v>
      </c>
      <c r="D8" s="21">
        <v>2550000</v>
      </c>
      <c r="E8" s="21" t="s">
        <v>321</v>
      </c>
      <c r="F8" s="21" t="str">
        <f t="shared" si="0"/>
        <v>rtdc.l.rtdc.4042:itc</v>
      </c>
      <c r="G8" s="8">
        <f t="shared" si="1"/>
        <v>42675.17292824074</v>
      </c>
    </row>
    <row r="9" spans="1:7" ht="15.75" thickBot="1" x14ac:dyDescent="0.3">
      <c r="A9" s="25">
        <v>42675.176666666666</v>
      </c>
      <c r="B9" s="21" t="s">
        <v>316</v>
      </c>
      <c r="C9" s="21" t="s">
        <v>373</v>
      </c>
      <c r="D9" s="21">
        <v>1090000</v>
      </c>
      <c r="E9" s="21" t="s">
        <v>322</v>
      </c>
      <c r="F9" s="21" t="str">
        <f t="shared" si="0"/>
        <v>rtdc.l.rtdc.4039:itc</v>
      </c>
      <c r="G9" s="8">
        <f t="shared" si="1"/>
        <v>42675.176666666666</v>
      </c>
    </row>
    <row r="10" spans="1:7" x14ac:dyDescent="0.25">
      <c r="A10" s="8">
        <v>42675.183437500003</v>
      </c>
      <c r="B10" s="21" t="s">
        <v>260</v>
      </c>
      <c r="C10" s="21" t="s">
        <v>409</v>
      </c>
      <c r="D10" s="21">
        <v>1990000</v>
      </c>
      <c r="E10" s="21" t="s">
        <v>281</v>
      </c>
      <c r="F10" s="21" t="str">
        <f t="shared" si="0"/>
        <v>rtdc.l.rtdc.4013:itc</v>
      </c>
      <c r="G10" s="8">
        <f t="shared" si="1"/>
        <v>42675.183437500003</v>
      </c>
    </row>
    <row r="11" spans="1:7" x14ac:dyDescent="0.25">
      <c r="A11" s="8">
        <v>42675.186030092591</v>
      </c>
      <c r="B11" s="21" t="s">
        <v>390</v>
      </c>
      <c r="C11" s="21" t="s">
        <v>410</v>
      </c>
      <c r="D11" s="21">
        <v>2530000</v>
      </c>
      <c r="E11" s="21" t="s">
        <v>320</v>
      </c>
      <c r="F11" s="21" t="str">
        <f t="shared" si="0"/>
        <v>rtdc.l.rtdc.4008:itc</v>
      </c>
      <c r="G11" s="8">
        <f t="shared" si="1"/>
        <v>42675.186030092591</v>
      </c>
    </row>
    <row r="12" spans="1:7" x14ac:dyDescent="0.25">
      <c r="A12" s="8">
        <v>42675.187326388892</v>
      </c>
      <c r="B12" s="21" t="s">
        <v>254</v>
      </c>
      <c r="C12" s="21" t="s">
        <v>411</v>
      </c>
      <c r="D12" s="21">
        <v>1090000</v>
      </c>
      <c r="E12" s="21" t="s">
        <v>322</v>
      </c>
      <c r="F12" s="21" t="str">
        <f t="shared" si="0"/>
        <v>rtdc.l.rtdc.4040:itc</v>
      </c>
      <c r="G12" s="8">
        <f t="shared" si="1"/>
        <v>42675.187326388892</v>
      </c>
    </row>
    <row r="13" spans="1:7" x14ac:dyDescent="0.25">
      <c r="A13" s="8">
        <v>42675.188240740739</v>
      </c>
      <c r="B13" s="21" t="s">
        <v>254</v>
      </c>
      <c r="C13" s="21" t="s">
        <v>411</v>
      </c>
      <c r="D13" s="21">
        <v>2380000</v>
      </c>
      <c r="E13" s="21" t="s">
        <v>412</v>
      </c>
      <c r="F13" s="21" t="str">
        <f t="shared" si="0"/>
        <v>rtdc.l.rtdc.4040:itc</v>
      </c>
      <c r="G13" s="8">
        <f t="shared" si="1"/>
        <v>42675.188240740739</v>
      </c>
    </row>
    <row r="14" spans="1:7" x14ac:dyDescent="0.25">
      <c r="A14" s="8">
        <v>42675.189722222225</v>
      </c>
      <c r="B14" s="21" t="s">
        <v>390</v>
      </c>
      <c r="C14" s="21" t="s">
        <v>410</v>
      </c>
      <c r="D14" s="21">
        <v>2530000</v>
      </c>
      <c r="E14" s="21" t="s">
        <v>320</v>
      </c>
      <c r="F14" s="21" t="str">
        <f t="shared" si="0"/>
        <v>rtdc.l.rtdc.4008:itc</v>
      </c>
      <c r="G14" s="8">
        <f t="shared" si="1"/>
        <v>42675.189722222225</v>
      </c>
    </row>
    <row r="15" spans="1:7" x14ac:dyDescent="0.25">
      <c r="A15" s="8">
        <v>42675.189872685187</v>
      </c>
      <c r="B15" s="21" t="s">
        <v>254</v>
      </c>
      <c r="C15" s="21" t="s">
        <v>411</v>
      </c>
      <c r="D15" s="21">
        <v>2380000</v>
      </c>
      <c r="E15" s="21" t="s">
        <v>412</v>
      </c>
      <c r="F15" s="21" t="str">
        <f t="shared" si="0"/>
        <v>rtdc.l.rtdc.4040:itc</v>
      </c>
      <c r="G15" s="8">
        <f t="shared" si="1"/>
        <v>42675.189872685187</v>
      </c>
    </row>
    <row r="16" spans="1:7" x14ac:dyDescent="0.25">
      <c r="A16" s="8">
        <v>42675.196782407409</v>
      </c>
      <c r="B16" s="21" t="s">
        <v>261</v>
      </c>
      <c r="C16" s="21" t="s">
        <v>413</v>
      </c>
      <c r="D16" s="21">
        <v>1990000</v>
      </c>
      <c r="E16" s="21" t="s">
        <v>281</v>
      </c>
      <c r="F16" s="21" t="str">
        <f t="shared" si="0"/>
        <v>rtdc.l.rtdc.4014:itc</v>
      </c>
      <c r="G16" s="8">
        <f t="shared" si="1"/>
        <v>42675.196782407409</v>
      </c>
    </row>
    <row r="17" spans="1:7" x14ac:dyDescent="0.25">
      <c r="A17" s="8">
        <v>42675.204108796293</v>
      </c>
      <c r="B17" s="21" t="s">
        <v>190</v>
      </c>
      <c r="C17" s="21" t="s">
        <v>414</v>
      </c>
      <c r="D17" s="21">
        <v>1110000</v>
      </c>
      <c r="E17" s="21" t="s">
        <v>298</v>
      </c>
      <c r="F17" s="21" t="str">
        <f t="shared" si="0"/>
        <v>rtdc.l.rtdc.4009:itc</v>
      </c>
      <c r="G17" s="8">
        <f t="shared" si="1"/>
        <v>42675.204108796293</v>
      </c>
    </row>
    <row r="18" spans="1:7" x14ac:dyDescent="0.25">
      <c r="A18" s="8">
        <v>42675.205312500002</v>
      </c>
      <c r="B18" s="21" t="s">
        <v>230</v>
      </c>
      <c r="C18" s="21" t="s">
        <v>415</v>
      </c>
      <c r="D18" s="21">
        <v>2550000</v>
      </c>
      <c r="E18" s="21" t="s">
        <v>321</v>
      </c>
      <c r="F18" s="21" t="str">
        <f t="shared" si="0"/>
        <v>rtdc.l.rtdc.4030:itc</v>
      </c>
      <c r="G18" s="8">
        <f t="shared" si="1"/>
        <v>42675.205312500002</v>
      </c>
    </row>
    <row r="19" spans="1:7" x14ac:dyDescent="0.25">
      <c r="A19" s="8">
        <v>42675.206423611111</v>
      </c>
      <c r="B19" s="21" t="s">
        <v>262</v>
      </c>
      <c r="C19" s="21" t="s">
        <v>416</v>
      </c>
      <c r="D19" s="21">
        <v>2440000</v>
      </c>
      <c r="E19" s="21" t="s">
        <v>417</v>
      </c>
      <c r="F19" s="21" t="str">
        <f t="shared" si="0"/>
        <v>rtdc.l.rtdc.4022:itc</v>
      </c>
      <c r="G19" s="8">
        <f t="shared" si="1"/>
        <v>42675.206423611111</v>
      </c>
    </row>
    <row r="20" spans="1:7" x14ac:dyDescent="0.25">
      <c r="A20" s="8">
        <v>42675.21056712963</v>
      </c>
      <c r="B20" s="21" t="s">
        <v>255</v>
      </c>
      <c r="C20" s="21" t="s">
        <v>418</v>
      </c>
      <c r="D20" s="21">
        <v>2560000</v>
      </c>
      <c r="E20" s="21" t="s">
        <v>319</v>
      </c>
      <c r="F20" s="21" t="str">
        <f t="shared" si="0"/>
        <v>rtdc.l.rtdc.4038:itc</v>
      </c>
      <c r="G20" s="8">
        <f t="shared" si="1"/>
        <v>42675.21056712963</v>
      </c>
    </row>
    <row r="21" spans="1:7" x14ac:dyDescent="0.25">
      <c r="A21" s="8">
        <v>42675.214282407411</v>
      </c>
      <c r="B21" s="21" t="s">
        <v>189</v>
      </c>
      <c r="C21" s="21" t="s">
        <v>374</v>
      </c>
      <c r="D21" s="21">
        <v>1110000</v>
      </c>
      <c r="E21" s="21" t="s">
        <v>298</v>
      </c>
      <c r="F21" s="21" t="str">
        <f t="shared" si="0"/>
        <v>rtdc.l.rtdc.4010:itc</v>
      </c>
      <c r="G21" s="8">
        <f t="shared" si="1"/>
        <v>42675.214282407411</v>
      </c>
    </row>
    <row r="22" spans="1:7" x14ac:dyDescent="0.25">
      <c r="A22" s="27">
        <v>42675.224398148152</v>
      </c>
      <c r="B22" s="21" t="s">
        <v>316</v>
      </c>
      <c r="C22" s="21" t="s">
        <v>419</v>
      </c>
      <c r="D22" s="21">
        <v>2380000</v>
      </c>
      <c r="E22" s="21" t="s">
        <v>412</v>
      </c>
      <c r="F22" s="21" t="str">
        <f t="shared" si="0"/>
        <v>rtdc.l.rtdc.4039:itc</v>
      </c>
      <c r="G22" s="8">
        <f t="shared" si="1"/>
        <v>42675.224398148152</v>
      </c>
    </row>
    <row r="23" spans="1:7" x14ac:dyDescent="0.25">
      <c r="A23" s="8">
        <v>42675.227002314816</v>
      </c>
      <c r="B23" s="21" t="s">
        <v>263</v>
      </c>
      <c r="C23" s="21" t="s">
        <v>420</v>
      </c>
      <c r="D23" s="21">
        <v>2450000</v>
      </c>
      <c r="E23" s="21" t="s">
        <v>324</v>
      </c>
      <c r="F23" s="21" t="str">
        <f t="shared" si="0"/>
        <v>rtdc.l.rtdc.4027:itc</v>
      </c>
      <c r="G23" s="8">
        <f t="shared" si="1"/>
        <v>42675.227002314816</v>
      </c>
    </row>
    <row r="24" spans="1:7" x14ac:dyDescent="0.25">
      <c r="A24" s="8">
        <v>42675.230520833335</v>
      </c>
      <c r="B24" s="21" t="s">
        <v>190</v>
      </c>
      <c r="C24" s="21" t="s">
        <v>421</v>
      </c>
      <c r="D24" s="21">
        <v>1110000</v>
      </c>
      <c r="E24" s="21" t="s">
        <v>298</v>
      </c>
      <c r="F24" s="21" t="str">
        <f t="shared" si="0"/>
        <v>rtdc.l.rtdc.4009:itc</v>
      </c>
      <c r="G24" s="8">
        <f t="shared" si="1"/>
        <v>42675.230520833335</v>
      </c>
    </row>
    <row r="25" spans="1:7" x14ac:dyDescent="0.25">
      <c r="A25" s="8">
        <v>42675.233923611115</v>
      </c>
      <c r="B25" s="21" t="s">
        <v>193</v>
      </c>
      <c r="C25" s="21" t="s">
        <v>422</v>
      </c>
      <c r="D25" s="21">
        <v>2530000</v>
      </c>
      <c r="E25" s="21" t="s">
        <v>320</v>
      </c>
      <c r="F25" s="21" t="str">
        <f t="shared" si="0"/>
        <v>rtdc.l.rtdc.4007:itc</v>
      </c>
      <c r="G25" s="8">
        <f t="shared" si="1"/>
        <v>42675.233923611115</v>
      </c>
    </row>
    <row r="26" spans="1:7" x14ac:dyDescent="0.25">
      <c r="A26" s="8">
        <v>42675.234375</v>
      </c>
      <c r="B26" s="21" t="s">
        <v>260</v>
      </c>
      <c r="C26" s="21" t="s">
        <v>375</v>
      </c>
      <c r="D26" s="21">
        <v>1990000</v>
      </c>
      <c r="E26" s="21" t="s">
        <v>281</v>
      </c>
      <c r="F26" s="21" t="str">
        <f t="shared" si="0"/>
        <v>rtdc.l.rtdc.4013:itc</v>
      </c>
      <c r="G26" s="8">
        <f t="shared" si="1"/>
        <v>42675.234375</v>
      </c>
    </row>
    <row r="27" spans="1:7" x14ac:dyDescent="0.25">
      <c r="A27" s="8">
        <v>42675.235162037039</v>
      </c>
      <c r="B27" s="21" t="s">
        <v>193</v>
      </c>
      <c r="C27" s="21" t="s">
        <v>422</v>
      </c>
      <c r="D27" s="21">
        <v>2530000</v>
      </c>
      <c r="E27" s="21" t="s">
        <v>320</v>
      </c>
      <c r="F27" s="21" t="str">
        <f t="shared" si="0"/>
        <v>rtdc.l.rtdc.4007:itc</v>
      </c>
      <c r="G27" s="8">
        <f t="shared" si="1"/>
        <v>42675.235162037039</v>
      </c>
    </row>
    <row r="28" spans="1:7" x14ac:dyDescent="0.25">
      <c r="A28" s="8">
        <v>42675.238599537035</v>
      </c>
      <c r="B28" s="21" t="s">
        <v>244</v>
      </c>
      <c r="C28" s="21" t="s">
        <v>376</v>
      </c>
      <c r="D28" s="21">
        <v>2440000</v>
      </c>
      <c r="E28" s="21" t="s">
        <v>417</v>
      </c>
      <c r="F28" s="21" t="str">
        <f t="shared" si="0"/>
        <v>rtdc.l.rtdc.4021:itc</v>
      </c>
      <c r="G28" s="8">
        <f t="shared" si="1"/>
        <v>42675.238599537035</v>
      </c>
    </row>
    <row r="29" spans="1:7" x14ac:dyDescent="0.25">
      <c r="A29" s="8">
        <v>42675.24322916667</v>
      </c>
      <c r="B29" s="21" t="s">
        <v>244</v>
      </c>
      <c r="C29" s="21" t="s">
        <v>376</v>
      </c>
      <c r="D29" s="21">
        <v>2440000</v>
      </c>
      <c r="E29" s="21" t="s">
        <v>417</v>
      </c>
      <c r="F29" s="21" t="str">
        <f t="shared" si="0"/>
        <v>rtdc.l.rtdc.4021:itc</v>
      </c>
      <c r="G29" s="8">
        <f t="shared" si="1"/>
        <v>42675.24322916667</v>
      </c>
    </row>
    <row r="30" spans="1:7" x14ac:dyDescent="0.25">
      <c r="A30" s="8">
        <v>42675.245416666665</v>
      </c>
      <c r="B30" s="21" t="s">
        <v>323</v>
      </c>
      <c r="C30" s="21" t="s">
        <v>423</v>
      </c>
      <c r="D30" s="21">
        <v>1300000</v>
      </c>
      <c r="E30" s="21" t="s">
        <v>113</v>
      </c>
      <c r="F30" s="21" t="str">
        <f t="shared" si="0"/>
        <v>rtdc.l.rtdc.4004:itc</v>
      </c>
      <c r="G30" s="8">
        <f t="shared" si="1"/>
        <v>42675.245416666665</v>
      </c>
    </row>
    <row r="31" spans="1:7" x14ac:dyDescent="0.25">
      <c r="A31" s="8">
        <v>42675.246261574073</v>
      </c>
      <c r="B31" s="21" t="s">
        <v>407</v>
      </c>
      <c r="C31" s="21" t="s">
        <v>424</v>
      </c>
      <c r="D31" s="21">
        <v>2550000</v>
      </c>
      <c r="E31" s="21" t="s">
        <v>321</v>
      </c>
      <c r="F31" s="21" t="str">
        <f t="shared" si="0"/>
        <v>rtdc.l.rtdc.4042:itc</v>
      </c>
      <c r="G31" s="8">
        <f t="shared" si="1"/>
        <v>42675.246261574073</v>
      </c>
    </row>
    <row r="32" spans="1:7" x14ac:dyDescent="0.25">
      <c r="A32" s="8">
        <v>42675.255428240744</v>
      </c>
      <c r="B32" s="21" t="s">
        <v>238</v>
      </c>
      <c r="C32" s="21" t="s">
        <v>425</v>
      </c>
      <c r="D32" s="21">
        <v>2560000</v>
      </c>
      <c r="E32" s="21" t="s">
        <v>319</v>
      </c>
      <c r="F32" s="21" t="str">
        <f t="shared" si="0"/>
        <v>rtdc.l.rtdc.4037:itc</v>
      </c>
      <c r="G32" s="8">
        <f t="shared" si="1"/>
        <v>42675.255428240744</v>
      </c>
    </row>
    <row r="33" spans="1:7" x14ac:dyDescent="0.25">
      <c r="A33" s="8">
        <v>42675.256122685183</v>
      </c>
      <c r="B33" s="21" t="s">
        <v>189</v>
      </c>
      <c r="C33" s="21" t="s">
        <v>421</v>
      </c>
      <c r="D33" s="21">
        <v>1110000</v>
      </c>
      <c r="E33" s="21" t="s">
        <v>298</v>
      </c>
      <c r="F33" s="21" t="str">
        <f t="shared" si="0"/>
        <v>rtdc.l.rtdc.4010:itc</v>
      </c>
      <c r="G33" s="8">
        <f t="shared" si="1"/>
        <v>42675.256122685183</v>
      </c>
    </row>
    <row r="34" spans="1:7" x14ac:dyDescent="0.25">
      <c r="A34" s="8">
        <v>42675.256388888891</v>
      </c>
      <c r="B34" s="21" t="s">
        <v>224</v>
      </c>
      <c r="C34" s="21" t="s">
        <v>426</v>
      </c>
      <c r="D34" s="21">
        <v>2450000</v>
      </c>
      <c r="E34" s="21" t="s">
        <v>324</v>
      </c>
      <c r="F34" s="21" t="str">
        <f t="shared" si="0"/>
        <v>rtdc.l.rtdc.4028:itc</v>
      </c>
      <c r="G34" s="8">
        <f t="shared" si="1"/>
        <v>42675.256388888891</v>
      </c>
    </row>
    <row r="35" spans="1:7" x14ac:dyDescent="0.25">
      <c r="A35" s="8">
        <v>42675.256527777776</v>
      </c>
      <c r="B35" s="21" t="s">
        <v>254</v>
      </c>
      <c r="C35" s="21" t="s">
        <v>427</v>
      </c>
      <c r="D35" s="21">
        <v>2380000</v>
      </c>
      <c r="E35" s="21" t="s">
        <v>412</v>
      </c>
      <c r="F35" s="21" t="str">
        <f t="shared" si="0"/>
        <v>rtdc.l.rtdc.4040:itc</v>
      </c>
      <c r="G35" s="8">
        <f t="shared" si="1"/>
        <v>42675.256527777776</v>
      </c>
    </row>
    <row r="36" spans="1:7" x14ac:dyDescent="0.25">
      <c r="A36" s="8">
        <v>42675.25681712963</v>
      </c>
      <c r="B36" s="21" t="s">
        <v>189</v>
      </c>
      <c r="C36" s="21" t="s">
        <v>428</v>
      </c>
      <c r="D36" s="21">
        <v>1110000</v>
      </c>
      <c r="E36" s="21" t="s">
        <v>298</v>
      </c>
      <c r="F36" s="21" t="str">
        <f t="shared" si="0"/>
        <v>rtdc.l.rtdc.4010:itc</v>
      </c>
      <c r="G36" s="8">
        <f t="shared" si="1"/>
        <v>42675.25681712963</v>
      </c>
    </row>
    <row r="37" spans="1:7" x14ac:dyDescent="0.25">
      <c r="A37" s="8">
        <v>42675.258136574077</v>
      </c>
      <c r="B37" s="21" t="s">
        <v>301</v>
      </c>
      <c r="C37" s="21" t="s">
        <v>429</v>
      </c>
      <c r="D37" s="21">
        <v>1300000</v>
      </c>
      <c r="E37" s="21" t="s">
        <v>113</v>
      </c>
      <c r="F37" s="21" t="str">
        <f t="shared" si="0"/>
        <v>rtdc.l.rtdc.4003:itc</v>
      </c>
      <c r="G37" s="8">
        <f t="shared" si="1"/>
        <v>42675.258136574077</v>
      </c>
    </row>
    <row r="38" spans="1:7" x14ac:dyDescent="0.25">
      <c r="A38" s="8">
        <v>42675.267569444448</v>
      </c>
      <c r="B38" s="21" t="s">
        <v>390</v>
      </c>
      <c r="C38" s="21" t="s">
        <v>430</v>
      </c>
      <c r="D38" s="21">
        <v>2530000</v>
      </c>
      <c r="E38" s="21" t="s">
        <v>320</v>
      </c>
      <c r="F38" s="21" t="str">
        <f t="shared" si="0"/>
        <v>rtdc.l.rtdc.4008:itc</v>
      </c>
      <c r="G38" s="8">
        <f t="shared" si="1"/>
        <v>42675.267569444448</v>
      </c>
    </row>
    <row r="39" spans="1:7" x14ac:dyDescent="0.25">
      <c r="A39" s="8">
        <v>42675.268483796295</v>
      </c>
      <c r="B39" s="21" t="s">
        <v>261</v>
      </c>
      <c r="C39" s="21" t="s">
        <v>377</v>
      </c>
      <c r="D39" s="21">
        <v>1990000</v>
      </c>
      <c r="E39" s="21" t="s">
        <v>281</v>
      </c>
      <c r="F39" s="21" t="str">
        <f t="shared" si="0"/>
        <v>rtdc.l.rtdc.4014:itc</v>
      </c>
      <c r="G39" s="8">
        <f t="shared" si="1"/>
        <v>42675.268483796295</v>
      </c>
    </row>
    <row r="40" spans="1:7" x14ac:dyDescent="0.25">
      <c r="A40" s="8">
        <v>42675.275046296294</v>
      </c>
      <c r="B40" s="26" t="s">
        <v>323</v>
      </c>
      <c r="C40" s="21" t="s">
        <v>378</v>
      </c>
      <c r="D40" s="21">
        <v>1300000</v>
      </c>
      <c r="E40" s="21" t="s">
        <v>113</v>
      </c>
      <c r="F40" s="21" t="str">
        <f t="shared" si="0"/>
        <v>rtdc.l.rtdc.4004:itc</v>
      </c>
      <c r="G40" s="8">
        <f t="shared" si="1"/>
        <v>42675.275046296294</v>
      </c>
    </row>
    <row r="41" spans="1:7" x14ac:dyDescent="0.25">
      <c r="A41" s="8">
        <v>42675.278078703705</v>
      </c>
      <c r="B41" s="21" t="s">
        <v>262</v>
      </c>
      <c r="C41" s="21" t="s">
        <v>431</v>
      </c>
      <c r="D41" s="21">
        <v>2440000</v>
      </c>
      <c r="E41" s="21" t="s">
        <v>417</v>
      </c>
      <c r="F41" s="21" t="str">
        <f t="shared" si="0"/>
        <v>rtdc.l.rtdc.4022:itc</v>
      </c>
      <c r="G41" s="8">
        <f t="shared" si="1"/>
        <v>42675.278078703705</v>
      </c>
    </row>
    <row r="42" spans="1:7" x14ac:dyDescent="0.25">
      <c r="A42" s="8">
        <v>42675.280555555553</v>
      </c>
      <c r="B42" s="21" t="s">
        <v>379</v>
      </c>
      <c r="C42" s="21" t="s">
        <v>380</v>
      </c>
      <c r="D42" s="21">
        <v>2550000</v>
      </c>
      <c r="E42" s="21" t="s">
        <v>321</v>
      </c>
      <c r="F42" s="21" t="str">
        <f t="shared" si="0"/>
        <v>rtdc.l.rtdc.4041:itc</v>
      </c>
      <c r="G42" s="8">
        <f t="shared" si="1"/>
        <v>42675.280555555553</v>
      </c>
    </row>
    <row r="43" spans="1:7" x14ac:dyDescent="0.25">
      <c r="A43" s="8">
        <v>42675.282418981478</v>
      </c>
      <c r="B43" s="21" t="s">
        <v>190</v>
      </c>
      <c r="C43" s="21" t="s">
        <v>432</v>
      </c>
      <c r="D43" s="21">
        <v>1110000</v>
      </c>
      <c r="E43" s="21" t="s">
        <v>298</v>
      </c>
      <c r="F43" s="21" t="str">
        <f t="shared" si="0"/>
        <v>rtdc.l.rtdc.4009:itc</v>
      </c>
      <c r="G43" s="8">
        <f t="shared" si="1"/>
        <v>42675.282418981478</v>
      </c>
    </row>
    <row r="44" spans="1:7" x14ac:dyDescent="0.25">
      <c r="A44" s="8">
        <v>42675.28266203704</v>
      </c>
      <c r="B44" s="21" t="s">
        <v>379</v>
      </c>
      <c r="C44" s="21" t="s">
        <v>380</v>
      </c>
      <c r="D44" s="21">
        <v>2550000</v>
      </c>
      <c r="E44" s="21" t="s">
        <v>321</v>
      </c>
      <c r="F44" s="21" t="str">
        <f t="shared" si="0"/>
        <v>rtdc.l.rtdc.4041:itc</v>
      </c>
      <c r="G44" s="8">
        <f t="shared" si="1"/>
        <v>42675.28266203704</v>
      </c>
    </row>
    <row r="45" spans="1:7" x14ac:dyDescent="0.25">
      <c r="A45" s="8">
        <v>42675.288136574076</v>
      </c>
      <c r="B45" s="21" t="s">
        <v>255</v>
      </c>
      <c r="C45" s="21" t="s">
        <v>433</v>
      </c>
      <c r="D45" s="21">
        <v>2560000</v>
      </c>
      <c r="E45" s="21" t="s">
        <v>319</v>
      </c>
      <c r="F45" s="21" t="str">
        <f t="shared" si="0"/>
        <v>rtdc.l.rtdc.4038:itc</v>
      </c>
      <c r="G45" s="8">
        <f t="shared" si="1"/>
        <v>42675.288136574076</v>
      </c>
    </row>
    <row r="46" spans="1:7" x14ac:dyDescent="0.25">
      <c r="A46" s="8">
        <v>42675.293634259258</v>
      </c>
      <c r="B46" s="21" t="s">
        <v>316</v>
      </c>
      <c r="C46" s="21" t="s">
        <v>381</v>
      </c>
      <c r="D46" s="21">
        <v>2380000</v>
      </c>
      <c r="E46" s="21" t="s">
        <v>412</v>
      </c>
      <c r="F46" s="21" t="str">
        <f t="shared" si="0"/>
        <v>rtdc.l.rtdc.4039:itc</v>
      </c>
      <c r="G46" s="8">
        <f t="shared" si="1"/>
        <v>42675.293634259258</v>
      </c>
    </row>
    <row r="47" spans="1:7" x14ac:dyDescent="0.25">
      <c r="A47" s="8">
        <v>42675.296550925923</v>
      </c>
      <c r="B47" s="21" t="s">
        <v>189</v>
      </c>
      <c r="C47" s="21" t="s">
        <v>434</v>
      </c>
      <c r="D47" s="21">
        <v>1110000</v>
      </c>
      <c r="E47" s="21" t="s">
        <v>298</v>
      </c>
      <c r="F47" s="21" t="str">
        <f t="shared" si="0"/>
        <v>rtdc.l.rtdc.4010:itc</v>
      </c>
      <c r="G47" s="8">
        <f t="shared" si="1"/>
        <v>42675.296550925923</v>
      </c>
    </row>
    <row r="48" spans="1:7" x14ac:dyDescent="0.25">
      <c r="A48" s="8">
        <v>42675.298344907409</v>
      </c>
      <c r="B48" s="21" t="s">
        <v>263</v>
      </c>
      <c r="C48" s="21" t="s">
        <v>435</v>
      </c>
      <c r="D48" s="21">
        <v>2450000</v>
      </c>
      <c r="E48" s="21" t="s">
        <v>324</v>
      </c>
      <c r="F48" s="21" t="str">
        <f t="shared" si="0"/>
        <v>rtdc.l.rtdc.4027:itc</v>
      </c>
      <c r="G48" s="8">
        <f t="shared" si="1"/>
        <v>42675.298344907409</v>
      </c>
    </row>
    <row r="49" spans="1:7" x14ac:dyDescent="0.25">
      <c r="A49" s="8">
        <v>42675.30332175926</v>
      </c>
      <c r="B49" s="21" t="s">
        <v>301</v>
      </c>
      <c r="C49" s="21" t="s">
        <v>436</v>
      </c>
      <c r="D49" s="21">
        <v>1300000</v>
      </c>
      <c r="E49" s="21" t="s">
        <v>113</v>
      </c>
      <c r="F49" s="21" t="str">
        <f t="shared" si="0"/>
        <v>rtdc.l.rtdc.4003:itc</v>
      </c>
      <c r="G49" s="8">
        <f t="shared" si="1"/>
        <v>42675.30332175926</v>
      </c>
    </row>
    <row r="50" spans="1:7" x14ac:dyDescent="0.25">
      <c r="A50" s="8">
        <v>42675.305833333332</v>
      </c>
      <c r="B50" s="21" t="s">
        <v>260</v>
      </c>
      <c r="C50" s="21" t="s">
        <v>437</v>
      </c>
      <c r="D50" s="21">
        <v>1990000</v>
      </c>
      <c r="E50" s="21" t="s">
        <v>281</v>
      </c>
      <c r="F50" s="21" t="str">
        <f t="shared" si="0"/>
        <v>rtdc.l.rtdc.4013:itc</v>
      </c>
      <c r="G50" s="8">
        <f t="shared" si="1"/>
        <v>42675.305833333332</v>
      </c>
    </row>
    <row r="51" spans="1:7" x14ac:dyDescent="0.25">
      <c r="A51" s="8">
        <v>42675.307974537034</v>
      </c>
      <c r="B51" s="21" t="s">
        <v>193</v>
      </c>
      <c r="C51" s="21" t="s">
        <v>438</v>
      </c>
      <c r="D51" s="21">
        <v>2530000</v>
      </c>
      <c r="E51" s="21" t="s">
        <v>320</v>
      </c>
      <c r="F51" s="21" t="str">
        <f t="shared" si="0"/>
        <v>rtdc.l.rtdc.4007:itc</v>
      </c>
      <c r="G51" s="8">
        <f t="shared" si="1"/>
        <v>42675.307974537034</v>
      </c>
    </row>
    <row r="52" spans="1:7" x14ac:dyDescent="0.25">
      <c r="A52" s="8">
        <v>42675.310902777775</v>
      </c>
      <c r="B52" s="21" t="s">
        <v>244</v>
      </c>
      <c r="C52" s="21" t="s">
        <v>439</v>
      </c>
      <c r="D52" s="21">
        <v>2440000</v>
      </c>
      <c r="E52" s="21" t="s">
        <v>417</v>
      </c>
      <c r="F52" s="21" t="str">
        <f t="shared" si="0"/>
        <v>rtdc.l.rtdc.4021:itc</v>
      </c>
      <c r="G52" s="8">
        <f t="shared" si="1"/>
        <v>42675.310902777775</v>
      </c>
    </row>
    <row r="53" spans="1:7" x14ac:dyDescent="0.25">
      <c r="A53" s="8">
        <v>42675.316435185188</v>
      </c>
      <c r="B53" s="21" t="s">
        <v>323</v>
      </c>
      <c r="C53" s="21" t="s">
        <v>440</v>
      </c>
      <c r="D53" s="21">
        <v>1300000</v>
      </c>
      <c r="E53" s="21" t="s">
        <v>113</v>
      </c>
      <c r="F53" s="21" t="str">
        <f t="shared" si="0"/>
        <v>rtdc.l.rtdc.4004:itc</v>
      </c>
      <c r="G53" s="8">
        <f t="shared" si="1"/>
        <v>42675.316435185188</v>
      </c>
    </row>
    <row r="54" spans="1:7" x14ac:dyDescent="0.25">
      <c r="A54" s="8">
        <v>42675.319467592592</v>
      </c>
      <c r="B54" s="21" t="s">
        <v>407</v>
      </c>
      <c r="C54" s="21" t="s">
        <v>441</v>
      </c>
      <c r="D54" s="21">
        <v>2550000</v>
      </c>
      <c r="E54" s="21" t="s">
        <v>321</v>
      </c>
      <c r="F54" s="21" t="str">
        <f t="shared" si="0"/>
        <v>rtdc.l.rtdc.4042:itc</v>
      </c>
      <c r="G54" s="8">
        <f t="shared" si="1"/>
        <v>42675.319467592592</v>
      </c>
    </row>
    <row r="55" spans="1:7" x14ac:dyDescent="0.25">
      <c r="A55" s="8">
        <v>42675.324305555558</v>
      </c>
      <c r="B55" s="21" t="s">
        <v>238</v>
      </c>
      <c r="C55" s="21" t="s">
        <v>442</v>
      </c>
      <c r="D55" s="21">
        <v>2560000</v>
      </c>
      <c r="E55" s="21" t="s">
        <v>319</v>
      </c>
      <c r="F55" s="21" t="str">
        <f t="shared" si="0"/>
        <v>rtdc.l.rtdc.4037:itc</v>
      </c>
      <c r="G55" s="8">
        <f t="shared" si="1"/>
        <v>42675.324305555558</v>
      </c>
    </row>
    <row r="56" spans="1:7" x14ac:dyDescent="0.25">
      <c r="A56" s="8">
        <v>42675.325127314813</v>
      </c>
      <c r="B56" s="21" t="s">
        <v>190</v>
      </c>
      <c r="C56" s="21" t="s">
        <v>443</v>
      </c>
      <c r="D56" s="21">
        <v>1110000</v>
      </c>
      <c r="E56" s="21" t="s">
        <v>298</v>
      </c>
      <c r="F56" s="21" t="str">
        <f t="shared" si="0"/>
        <v>rtdc.l.rtdc.4009:itc</v>
      </c>
      <c r="G56" s="8">
        <f t="shared" si="1"/>
        <v>42675.325127314813</v>
      </c>
    </row>
    <row r="57" spans="1:7" x14ac:dyDescent="0.25">
      <c r="A57" s="8">
        <v>42675.334444444445</v>
      </c>
      <c r="B57" s="21" t="s">
        <v>254</v>
      </c>
      <c r="C57" s="21" t="s">
        <v>444</v>
      </c>
      <c r="D57" s="21">
        <v>2380000</v>
      </c>
      <c r="E57" s="21" t="s">
        <v>412</v>
      </c>
      <c r="F57" s="21" t="str">
        <f t="shared" si="0"/>
        <v>rtdc.l.rtdc.4040:itc</v>
      </c>
      <c r="G57" s="8">
        <f t="shared" si="1"/>
        <v>42675.334444444445</v>
      </c>
    </row>
    <row r="58" spans="1:7" x14ac:dyDescent="0.25">
      <c r="A58" s="8">
        <v>42675.337916666664</v>
      </c>
      <c r="B58" s="21" t="s">
        <v>189</v>
      </c>
      <c r="C58" s="21" t="s">
        <v>445</v>
      </c>
      <c r="D58" s="21">
        <v>1110000</v>
      </c>
      <c r="E58" s="21" t="s">
        <v>298</v>
      </c>
      <c r="F58" s="21" t="str">
        <f t="shared" si="0"/>
        <v>rtdc.l.rtdc.4010:itc</v>
      </c>
      <c r="G58" s="8">
        <f t="shared" si="1"/>
        <v>42675.337916666664</v>
      </c>
    </row>
    <row r="59" spans="1:7" x14ac:dyDescent="0.25">
      <c r="A59" s="8">
        <v>42675.339826388888</v>
      </c>
      <c r="B59" s="21" t="s">
        <v>224</v>
      </c>
      <c r="C59" s="21" t="s">
        <v>446</v>
      </c>
      <c r="D59" s="21">
        <v>2450000</v>
      </c>
      <c r="E59" s="21" t="s">
        <v>324</v>
      </c>
      <c r="F59" s="21" t="str">
        <f t="shared" si="0"/>
        <v>rtdc.l.rtdc.4028:itc</v>
      </c>
      <c r="G59" s="8">
        <f t="shared" si="1"/>
        <v>42675.339826388888</v>
      </c>
    </row>
    <row r="60" spans="1:7" x14ac:dyDescent="0.25">
      <c r="A60" s="8">
        <v>42675.340798611112</v>
      </c>
      <c r="B60" s="21" t="s">
        <v>261</v>
      </c>
      <c r="C60" s="21" t="s">
        <v>447</v>
      </c>
      <c r="D60" s="21">
        <v>1990000</v>
      </c>
      <c r="E60" s="21" t="s">
        <v>281</v>
      </c>
      <c r="F60" s="21" t="str">
        <f t="shared" si="0"/>
        <v>rtdc.l.rtdc.4014:itc</v>
      </c>
      <c r="G60" s="8">
        <f t="shared" si="1"/>
        <v>42675.340798611112</v>
      </c>
    </row>
    <row r="61" spans="1:7" x14ac:dyDescent="0.25">
      <c r="A61" s="8">
        <v>42675.342326388891</v>
      </c>
      <c r="B61" s="21" t="s">
        <v>390</v>
      </c>
      <c r="C61" s="21" t="s">
        <v>448</v>
      </c>
      <c r="D61" s="21">
        <v>2530000</v>
      </c>
      <c r="E61" s="21" t="s">
        <v>320</v>
      </c>
      <c r="F61" s="21" t="str">
        <f t="shared" si="0"/>
        <v>rtdc.l.rtdc.4008:itc</v>
      </c>
      <c r="G61" s="8">
        <f t="shared" si="1"/>
        <v>42675.342326388891</v>
      </c>
    </row>
    <row r="62" spans="1:7" x14ac:dyDescent="0.25">
      <c r="A62" s="8">
        <v>42675.345451388886</v>
      </c>
      <c r="B62" s="21" t="s">
        <v>301</v>
      </c>
      <c r="C62" s="21" t="s">
        <v>449</v>
      </c>
      <c r="D62" s="21">
        <v>1300000</v>
      </c>
      <c r="E62" s="21" t="s">
        <v>113</v>
      </c>
      <c r="F62" s="21" t="str">
        <f t="shared" si="0"/>
        <v>rtdc.l.rtdc.4003:itc</v>
      </c>
      <c r="G62" s="8">
        <f t="shared" si="1"/>
        <v>42675.345451388886</v>
      </c>
    </row>
    <row r="63" spans="1:7" x14ac:dyDescent="0.25">
      <c r="A63" s="8">
        <v>42675.352175925924</v>
      </c>
      <c r="B63" s="21" t="s">
        <v>262</v>
      </c>
      <c r="C63" s="21" t="s">
        <v>450</v>
      </c>
      <c r="D63" s="21">
        <v>2440000</v>
      </c>
      <c r="E63" s="21" t="s">
        <v>417</v>
      </c>
      <c r="F63" s="21" t="str">
        <f t="shared" si="0"/>
        <v>rtdc.l.rtdc.4022:itc</v>
      </c>
      <c r="G63" s="8">
        <f t="shared" si="1"/>
        <v>42675.352175925924</v>
      </c>
    </row>
    <row r="64" spans="1:7" x14ac:dyDescent="0.25">
      <c r="A64" s="27">
        <v>42675.354861111111</v>
      </c>
      <c r="B64" s="21" t="s">
        <v>190</v>
      </c>
      <c r="C64" s="21" t="s">
        <v>451</v>
      </c>
      <c r="D64" s="21">
        <v>1110000</v>
      </c>
      <c r="E64" s="21" t="s">
        <v>298</v>
      </c>
      <c r="F64" s="21" t="str">
        <f t="shared" si="0"/>
        <v>rtdc.l.rtdc.4009:itc</v>
      </c>
      <c r="G64" s="8">
        <f t="shared" si="1"/>
        <v>42675.354861111111</v>
      </c>
    </row>
    <row r="65" spans="1:7" x14ac:dyDescent="0.25">
      <c r="A65" s="8">
        <v>42675.354872685188</v>
      </c>
      <c r="B65" s="21" t="s">
        <v>379</v>
      </c>
      <c r="C65" s="21" t="s">
        <v>382</v>
      </c>
      <c r="D65" s="21">
        <v>2550000</v>
      </c>
      <c r="E65" s="21" t="s">
        <v>321</v>
      </c>
      <c r="F65" s="21" t="str">
        <f t="shared" si="0"/>
        <v>rtdc.l.rtdc.4041:itc</v>
      </c>
      <c r="G65" s="8">
        <f t="shared" si="1"/>
        <v>42675.354872685188</v>
      </c>
    </row>
    <row r="66" spans="1:7" x14ac:dyDescent="0.25">
      <c r="A66" s="8">
        <v>42675.358298611114</v>
      </c>
      <c r="B66" s="21" t="s">
        <v>323</v>
      </c>
      <c r="C66" s="21" t="s">
        <v>452</v>
      </c>
      <c r="D66" s="21">
        <v>1300000</v>
      </c>
      <c r="E66" s="21" t="s">
        <v>113</v>
      </c>
      <c r="F66" s="21" t="str">
        <f t="shared" ref="F66:F129" si="2">B66</f>
        <v>rtdc.l.rtdc.4004:itc</v>
      </c>
      <c r="G66" s="8">
        <f t="shared" ref="G66:G129" si="3">A66</f>
        <v>42675.358298611114</v>
      </c>
    </row>
    <row r="67" spans="1:7" x14ac:dyDescent="0.25">
      <c r="A67" s="8">
        <v>42675.360023148147</v>
      </c>
      <c r="B67" s="21" t="s">
        <v>235</v>
      </c>
      <c r="C67" s="21" t="s">
        <v>384</v>
      </c>
      <c r="D67" s="21">
        <v>330000</v>
      </c>
      <c r="E67" s="21" t="s">
        <v>453</v>
      </c>
      <c r="F67" s="21" t="str">
        <f t="shared" si="2"/>
        <v>rtdc.l.rtdc.4015:itc</v>
      </c>
      <c r="G67" s="8">
        <f t="shared" si="3"/>
        <v>42675.360023148147</v>
      </c>
    </row>
    <row r="68" spans="1:7" x14ac:dyDescent="0.25">
      <c r="A68" s="8">
        <v>42675.361122685186</v>
      </c>
      <c r="B68" s="21" t="s">
        <v>255</v>
      </c>
      <c r="C68" s="21" t="s">
        <v>454</v>
      </c>
      <c r="D68" s="21">
        <v>2560000</v>
      </c>
      <c r="E68" s="21" t="s">
        <v>319</v>
      </c>
      <c r="F68" s="21" t="str">
        <f t="shared" si="2"/>
        <v>rtdc.l.rtdc.4038:itc</v>
      </c>
      <c r="G68" s="8">
        <f t="shared" si="3"/>
        <v>42675.361122685186</v>
      </c>
    </row>
    <row r="69" spans="1:7" x14ac:dyDescent="0.25">
      <c r="A69" s="8">
        <v>42675.364479166667</v>
      </c>
      <c r="B69" s="21" t="s">
        <v>235</v>
      </c>
      <c r="C69" s="21" t="s">
        <v>384</v>
      </c>
      <c r="D69" s="21">
        <v>330000</v>
      </c>
      <c r="E69" s="21" t="s">
        <v>453</v>
      </c>
      <c r="F69" s="21" t="str">
        <f t="shared" si="2"/>
        <v>rtdc.l.rtdc.4015:itc</v>
      </c>
      <c r="G69" s="8">
        <f t="shared" si="3"/>
        <v>42675.364479166667</v>
      </c>
    </row>
    <row r="70" spans="1:7" x14ac:dyDescent="0.25">
      <c r="A70" s="8">
        <v>42675.369027777779</v>
      </c>
      <c r="B70" s="21" t="s">
        <v>316</v>
      </c>
      <c r="C70" s="21" t="s">
        <v>383</v>
      </c>
      <c r="D70" s="21">
        <v>2380000</v>
      </c>
      <c r="E70" s="21" t="s">
        <v>412</v>
      </c>
      <c r="F70" s="21" t="str">
        <f t="shared" si="2"/>
        <v>rtdc.l.rtdc.4039:itc</v>
      </c>
      <c r="G70" s="8">
        <f t="shared" si="3"/>
        <v>42675.369027777779</v>
      </c>
    </row>
    <row r="71" spans="1:7" x14ac:dyDescent="0.25">
      <c r="A71" s="8">
        <v>42675.372546296298</v>
      </c>
      <c r="B71" s="21" t="s">
        <v>263</v>
      </c>
      <c r="C71" s="21" t="s">
        <v>455</v>
      </c>
      <c r="D71" s="21">
        <v>2450000</v>
      </c>
      <c r="E71" s="21" t="s">
        <v>324</v>
      </c>
      <c r="F71" s="21" t="str">
        <f t="shared" si="2"/>
        <v>rtdc.l.rtdc.4027:itc</v>
      </c>
      <c r="G71" s="8">
        <f t="shared" si="3"/>
        <v>42675.372546296298</v>
      </c>
    </row>
    <row r="72" spans="1:7" x14ac:dyDescent="0.25">
      <c r="A72" s="8">
        <v>42675.373483796298</v>
      </c>
      <c r="B72" s="21" t="s">
        <v>234</v>
      </c>
      <c r="C72" s="21" t="s">
        <v>384</v>
      </c>
      <c r="D72" s="21">
        <v>330000</v>
      </c>
      <c r="E72" s="21" t="s">
        <v>453</v>
      </c>
      <c r="F72" s="21" t="str">
        <f t="shared" si="2"/>
        <v>rtdc.l.rtdc.4016:itc</v>
      </c>
      <c r="G72" s="8">
        <f t="shared" si="3"/>
        <v>42675.373483796298</v>
      </c>
    </row>
    <row r="73" spans="1:7" x14ac:dyDescent="0.25">
      <c r="A73" s="8">
        <v>42675.374745370369</v>
      </c>
      <c r="B73" s="21" t="s">
        <v>234</v>
      </c>
      <c r="C73" s="21" t="s">
        <v>384</v>
      </c>
      <c r="D73" s="21">
        <v>330000</v>
      </c>
      <c r="E73" s="21" t="s">
        <v>453</v>
      </c>
      <c r="F73" s="21" t="str">
        <f t="shared" si="2"/>
        <v>rtdc.l.rtdc.4016:itc</v>
      </c>
      <c r="G73" s="8">
        <f t="shared" si="3"/>
        <v>42675.374745370369</v>
      </c>
    </row>
    <row r="74" spans="1:7" x14ac:dyDescent="0.25">
      <c r="A74" s="8">
        <v>42675.379930555559</v>
      </c>
      <c r="B74" s="21" t="s">
        <v>260</v>
      </c>
      <c r="C74" s="21" t="s">
        <v>456</v>
      </c>
      <c r="D74" s="21">
        <v>1990000</v>
      </c>
      <c r="E74" s="21" t="s">
        <v>281</v>
      </c>
      <c r="F74" s="21" t="str">
        <f t="shared" si="2"/>
        <v>rtdc.l.rtdc.4013:itc</v>
      </c>
      <c r="G74" s="8">
        <f t="shared" si="3"/>
        <v>42675.379930555559</v>
      </c>
    </row>
    <row r="75" spans="1:7" x14ac:dyDescent="0.25">
      <c r="A75" s="8">
        <v>42675.38082175926</v>
      </c>
      <c r="B75" s="21" t="s">
        <v>244</v>
      </c>
      <c r="C75" s="21" t="s">
        <v>457</v>
      </c>
      <c r="D75" s="21">
        <v>2440000</v>
      </c>
      <c r="E75" s="21" t="s">
        <v>417</v>
      </c>
      <c r="F75" s="21" t="str">
        <f t="shared" si="2"/>
        <v>rtdc.l.rtdc.4021:itc</v>
      </c>
      <c r="G75" s="8">
        <f t="shared" si="3"/>
        <v>42675.38082175926</v>
      </c>
    </row>
    <row r="76" spans="1:7" x14ac:dyDescent="0.25">
      <c r="A76" s="8">
        <v>42675.383217592593</v>
      </c>
      <c r="B76" s="21" t="s">
        <v>193</v>
      </c>
      <c r="C76" s="21" t="s">
        <v>458</v>
      </c>
      <c r="D76" s="21">
        <v>2530000</v>
      </c>
      <c r="E76" s="21" t="s">
        <v>320</v>
      </c>
      <c r="F76" s="21" t="str">
        <f t="shared" si="2"/>
        <v>rtdc.l.rtdc.4007:itc</v>
      </c>
      <c r="G76" s="8">
        <f t="shared" si="3"/>
        <v>42675.383217592593</v>
      </c>
    </row>
    <row r="77" spans="1:7" x14ac:dyDescent="0.25">
      <c r="A77" s="8">
        <v>42675.384664351855</v>
      </c>
      <c r="B77" s="21" t="s">
        <v>235</v>
      </c>
      <c r="C77" s="21" t="s">
        <v>384</v>
      </c>
      <c r="D77" s="21">
        <v>330000</v>
      </c>
      <c r="E77" s="21" t="s">
        <v>453</v>
      </c>
      <c r="F77" s="21" t="str">
        <f t="shared" si="2"/>
        <v>rtdc.l.rtdc.4015:itc</v>
      </c>
      <c r="G77" s="8">
        <f t="shared" si="3"/>
        <v>42675.384664351855</v>
      </c>
    </row>
    <row r="78" spans="1:7" x14ac:dyDescent="0.25">
      <c r="A78" s="8">
        <v>42675.385659722226</v>
      </c>
      <c r="B78" s="21" t="s">
        <v>235</v>
      </c>
      <c r="C78" s="21" t="s">
        <v>384</v>
      </c>
      <c r="D78" s="21">
        <v>330000</v>
      </c>
      <c r="E78" s="21" t="s">
        <v>453</v>
      </c>
      <c r="F78" s="21" t="str">
        <f t="shared" si="2"/>
        <v>rtdc.l.rtdc.4015:itc</v>
      </c>
      <c r="G78" s="8">
        <f t="shared" si="3"/>
        <v>42675.385659722226</v>
      </c>
    </row>
    <row r="79" spans="1:7" x14ac:dyDescent="0.25">
      <c r="A79" s="8">
        <v>42675.388078703705</v>
      </c>
      <c r="B79" s="21" t="s">
        <v>301</v>
      </c>
      <c r="C79" s="21" t="s">
        <v>459</v>
      </c>
      <c r="D79" s="21">
        <v>1300000</v>
      </c>
      <c r="E79" s="21" t="s">
        <v>113</v>
      </c>
      <c r="F79" s="21" t="str">
        <f t="shared" si="2"/>
        <v>rtdc.l.rtdc.4003:itc</v>
      </c>
      <c r="G79" s="8">
        <f t="shared" si="3"/>
        <v>42675.388078703705</v>
      </c>
    </row>
    <row r="80" spans="1:7" x14ac:dyDescent="0.25">
      <c r="A80" s="8">
        <v>42675.390532407408</v>
      </c>
      <c r="B80" s="21" t="s">
        <v>407</v>
      </c>
      <c r="C80" s="21" t="s">
        <v>460</v>
      </c>
      <c r="D80" s="21">
        <v>2550000</v>
      </c>
      <c r="E80" s="21" t="s">
        <v>321</v>
      </c>
      <c r="F80" s="21" t="str">
        <f t="shared" si="2"/>
        <v>rtdc.l.rtdc.4042:itc</v>
      </c>
      <c r="G80" s="8">
        <f t="shared" si="3"/>
        <v>42675.390532407408</v>
      </c>
    </row>
    <row r="81" spans="1:7" x14ac:dyDescent="0.25">
      <c r="A81" s="8">
        <v>42675.395868055559</v>
      </c>
      <c r="B81" s="21" t="s">
        <v>238</v>
      </c>
      <c r="C81" s="21" t="s">
        <v>385</v>
      </c>
      <c r="D81" s="21">
        <v>2560000</v>
      </c>
      <c r="E81" s="21" t="s">
        <v>319</v>
      </c>
      <c r="F81" s="21" t="str">
        <f t="shared" si="2"/>
        <v>rtdc.l.rtdc.4037:itc</v>
      </c>
      <c r="G81" s="8">
        <f t="shared" si="3"/>
        <v>42675.395868055559</v>
      </c>
    </row>
    <row r="82" spans="1:7" x14ac:dyDescent="0.25">
      <c r="A82" s="8">
        <v>42675.39739583333</v>
      </c>
      <c r="B82" s="21" t="s">
        <v>234</v>
      </c>
      <c r="C82" s="21" t="s">
        <v>384</v>
      </c>
      <c r="D82" s="21">
        <v>330000</v>
      </c>
      <c r="E82" s="21" t="s">
        <v>453</v>
      </c>
      <c r="F82" s="21" t="str">
        <f t="shared" si="2"/>
        <v>rtdc.l.rtdc.4016:itc</v>
      </c>
      <c r="G82" s="8">
        <f t="shared" si="3"/>
        <v>42675.39739583333</v>
      </c>
    </row>
    <row r="83" spans="1:7" x14ac:dyDescent="0.25">
      <c r="A83" s="8">
        <v>42675.399918981479</v>
      </c>
      <c r="B83" s="21" t="s">
        <v>323</v>
      </c>
      <c r="C83" s="21" t="s">
        <v>461</v>
      </c>
      <c r="D83" s="21">
        <v>1300000</v>
      </c>
      <c r="E83" s="21" t="s">
        <v>113</v>
      </c>
      <c r="F83" s="21" t="str">
        <f t="shared" si="2"/>
        <v>rtdc.l.rtdc.4004:itc</v>
      </c>
      <c r="G83" s="8">
        <f t="shared" si="3"/>
        <v>42675.399918981479</v>
      </c>
    </row>
    <row r="84" spans="1:7" x14ac:dyDescent="0.25">
      <c r="A84" s="8">
        <v>42675.402118055557</v>
      </c>
      <c r="B84" s="21" t="s">
        <v>407</v>
      </c>
      <c r="C84" s="21" t="s">
        <v>460</v>
      </c>
      <c r="D84" s="21">
        <v>2550000</v>
      </c>
      <c r="E84" s="21" t="s">
        <v>321</v>
      </c>
      <c r="F84" s="21" t="str">
        <f t="shared" si="2"/>
        <v>rtdc.l.rtdc.4042:itc</v>
      </c>
      <c r="G84" s="8">
        <f t="shared" si="3"/>
        <v>42675.402118055557</v>
      </c>
    </row>
    <row r="85" spans="1:7" x14ac:dyDescent="0.25">
      <c r="A85" s="8">
        <v>42675.405115740738</v>
      </c>
      <c r="B85" s="21" t="s">
        <v>254</v>
      </c>
      <c r="C85" s="21" t="s">
        <v>386</v>
      </c>
      <c r="D85" s="21">
        <v>2380000</v>
      </c>
      <c r="E85" s="21" t="s">
        <v>412</v>
      </c>
      <c r="F85" s="21" t="str">
        <f t="shared" si="2"/>
        <v>rtdc.l.rtdc.4040:itc</v>
      </c>
      <c r="G85" s="8">
        <f t="shared" si="3"/>
        <v>42675.405115740738</v>
      </c>
    </row>
    <row r="86" spans="1:7" x14ac:dyDescent="0.25">
      <c r="A86" s="8">
        <v>42675.411550925928</v>
      </c>
      <c r="B86" s="21" t="s">
        <v>235</v>
      </c>
      <c r="C86" s="21" t="s">
        <v>384</v>
      </c>
      <c r="D86" s="21">
        <v>330000</v>
      </c>
      <c r="E86" s="21" t="s">
        <v>453</v>
      </c>
      <c r="F86" s="21" t="str">
        <f t="shared" si="2"/>
        <v>rtdc.l.rtdc.4015:itc</v>
      </c>
      <c r="G86" s="8">
        <f t="shared" si="3"/>
        <v>42675.411550925928</v>
      </c>
    </row>
    <row r="87" spans="1:7" x14ac:dyDescent="0.25">
      <c r="A87" s="8">
        <v>42675.412245370368</v>
      </c>
      <c r="B87" s="21" t="s">
        <v>261</v>
      </c>
      <c r="C87" s="21" t="s">
        <v>462</v>
      </c>
      <c r="D87" s="21">
        <v>1990000</v>
      </c>
      <c r="E87" s="21" t="s">
        <v>281</v>
      </c>
      <c r="F87" s="21" t="str">
        <f t="shared" si="2"/>
        <v>rtdc.l.rtdc.4014:itc</v>
      </c>
      <c r="G87" s="8">
        <f t="shared" si="3"/>
        <v>42675.412245370368</v>
      </c>
    </row>
    <row r="88" spans="1:7" x14ac:dyDescent="0.25">
      <c r="A88" s="8">
        <v>42675.41337962963</v>
      </c>
      <c r="B88" s="21" t="s">
        <v>224</v>
      </c>
      <c r="C88" s="21" t="s">
        <v>463</v>
      </c>
      <c r="D88" s="21">
        <v>2450000</v>
      </c>
      <c r="E88" s="21" t="s">
        <v>324</v>
      </c>
      <c r="F88" s="21" t="str">
        <f t="shared" si="2"/>
        <v>rtdc.l.rtdc.4028:itc</v>
      </c>
      <c r="G88" s="8">
        <f t="shared" si="3"/>
        <v>42675.41337962963</v>
      </c>
    </row>
    <row r="89" spans="1:7" x14ac:dyDescent="0.25">
      <c r="A89" s="8">
        <v>42675.416030092594</v>
      </c>
      <c r="B89" s="21" t="s">
        <v>390</v>
      </c>
      <c r="C89" s="21" t="s">
        <v>464</v>
      </c>
      <c r="D89" s="21">
        <v>2530000</v>
      </c>
      <c r="E89" s="21" t="s">
        <v>320</v>
      </c>
      <c r="F89" s="21" t="str">
        <f t="shared" si="2"/>
        <v>rtdc.l.rtdc.4008:itc</v>
      </c>
      <c r="G89" s="8">
        <f t="shared" si="3"/>
        <v>42675.416030092594</v>
      </c>
    </row>
    <row r="90" spans="1:7" x14ac:dyDescent="0.25">
      <c r="A90" s="8">
        <v>42675.421400462961</v>
      </c>
      <c r="B90" s="21" t="s">
        <v>262</v>
      </c>
      <c r="C90" s="21" t="s">
        <v>465</v>
      </c>
      <c r="D90" s="21">
        <v>2440000</v>
      </c>
      <c r="E90" s="21" t="s">
        <v>417</v>
      </c>
      <c r="F90" s="21" t="str">
        <f t="shared" si="2"/>
        <v>rtdc.l.rtdc.4022:itc</v>
      </c>
      <c r="G90" s="8">
        <f t="shared" si="3"/>
        <v>42675.421400462961</v>
      </c>
    </row>
    <row r="91" spans="1:7" x14ac:dyDescent="0.25">
      <c r="A91" s="8">
        <v>42675.422442129631</v>
      </c>
      <c r="B91" s="21" t="s">
        <v>234</v>
      </c>
      <c r="C91" s="21" t="s">
        <v>384</v>
      </c>
      <c r="D91" s="21">
        <v>330000</v>
      </c>
      <c r="E91" s="21" t="s">
        <v>453</v>
      </c>
      <c r="F91" s="21" t="str">
        <f t="shared" si="2"/>
        <v>rtdc.l.rtdc.4016:itc</v>
      </c>
      <c r="G91" s="8">
        <f t="shared" si="3"/>
        <v>42675.422442129631</v>
      </c>
    </row>
    <row r="92" spans="1:7" x14ac:dyDescent="0.25">
      <c r="A92" s="8">
        <v>42675.42359953704</v>
      </c>
      <c r="B92" s="21" t="s">
        <v>234</v>
      </c>
      <c r="C92" s="21" t="s">
        <v>384</v>
      </c>
      <c r="D92" s="21">
        <v>330000</v>
      </c>
      <c r="E92" s="21" t="s">
        <v>453</v>
      </c>
      <c r="F92" s="21" t="str">
        <f t="shared" si="2"/>
        <v>rtdc.l.rtdc.4016:itc</v>
      </c>
      <c r="G92" s="8">
        <f t="shared" si="3"/>
        <v>42675.42359953704</v>
      </c>
    </row>
    <row r="93" spans="1:7" x14ac:dyDescent="0.25">
      <c r="A93" s="8">
        <v>42675.429444444446</v>
      </c>
      <c r="B93" s="21" t="s">
        <v>301</v>
      </c>
      <c r="C93" s="21" t="s">
        <v>466</v>
      </c>
      <c r="D93" s="21">
        <v>1300000</v>
      </c>
      <c r="E93" s="21" t="s">
        <v>113</v>
      </c>
      <c r="F93" s="21" t="str">
        <f t="shared" si="2"/>
        <v>rtdc.l.rtdc.4003:itc</v>
      </c>
      <c r="G93" s="8">
        <f t="shared" si="3"/>
        <v>42675.429444444446</v>
      </c>
    </row>
    <row r="94" spans="1:7" x14ac:dyDescent="0.25">
      <c r="A94" s="8">
        <v>42675.430162037039</v>
      </c>
      <c r="B94" s="21" t="s">
        <v>379</v>
      </c>
      <c r="C94" s="21" t="s">
        <v>387</v>
      </c>
      <c r="D94" s="21">
        <v>2550000</v>
      </c>
      <c r="E94" s="21" t="s">
        <v>321</v>
      </c>
      <c r="F94" s="21" t="str">
        <f t="shared" si="2"/>
        <v>rtdc.l.rtdc.4041:itc</v>
      </c>
      <c r="G94" s="8">
        <f t="shared" si="3"/>
        <v>42675.430162037039</v>
      </c>
    </row>
    <row r="95" spans="1:7" x14ac:dyDescent="0.25">
      <c r="A95" s="8">
        <v>42675.433530092596</v>
      </c>
      <c r="B95" s="21" t="s">
        <v>255</v>
      </c>
      <c r="C95" s="21" t="s">
        <v>467</v>
      </c>
      <c r="D95" s="21">
        <v>1110000</v>
      </c>
      <c r="E95" s="21" t="s">
        <v>298</v>
      </c>
      <c r="F95" s="21" t="str">
        <f t="shared" si="2"/>
        <v>rtdc.l.rtdc.4038:itc</v>
      </c>
      <c r="G95" s="8">
        <f t="shared" si="3"/>
        <v>42675.433530092596</v>
      </c>
    </row>
    <row r="96" spans="1:7" x14ac:dyDescent="0.25">
      <c r="A96" s="8">
        <v>42675.433657407404</v>
      </c>
      <c r="B96" s="21" t="s">
        <v>235</v>
      </c>
      <c r="C96" s="21" t="s">
        <v>384</v>
      </c>
      <c r="D96" s="21">
        <v>330000</v>
      </c>
      <c r="E96" s="21" t="s">
        <v>453</v>
      </c>
      <c r="F96" s="21" t="str">
        <f t="shared" si="2"/>
        <v>rtdc.l.rtdc.4015:itc</v>
      </c>
      <c r="G96" s="8">
        <f t="shared" si="3"/>
        <v>42675.433657407404</v>
      </c>
    </row>
    <row r="97" spans="1:7" x14ac:dyDescent="0.25">
      <c r="A97" s="8">
        <v>42675.438020833331</v>
      </c>
      <c r="B97" s="21" t="s">
        <v>280</v>
      </c>
      <c r="C97" s="21" t="s">
        <v>468</v>
      </c>
      <c r="D97" s="21">
        <v>2420000</v>
      </c>
      <c r="E97" s="21" t="s">
        <v>325</v>
      </c>
      <c r="F97" s="21" t="str">
        <f t="shared" si="2"/>
        <v>rtdc.l.rtdc.4012:itc</v>
      </c>
      <c r="G97" s="8">
        <f t="shared" si="3"/>
        <v>42675.438020833331</v>
      </c>
    </row>
    <row r="98" spans="1:7" x14ac:dyDescent="0.25">
      <c r="A98" s="8">
        <v>42675.441180555557</v>
      </c>
      <c r="B98" s="21" t="s">
        <v>316</v>
      </c>
      <c r="C98" s="21" t="s">
        <v>469</v>
      </c>
      <c r="D98" s="21">
        <v>2380000</v>
      </c>
      <c r="E98" s="21" t="s">
        <v>412</v>
      </c>
      <c r="F98" s="21" t="str">
        <f t="shared" si="2"/>
        <v>rtdc.l.rtdc.4039:itc</v>
      </c>
      <c r="G98" s="8">
        <f t="shared" si="3"/>
        <v>42675.441180555557</v>
      </c>
    </row>
    <row r="99" spans="1:7" x14ac:dyDescent="0.25">
      <c r="A99" s="8">
        <v>42675.441782407404</v>
      </c>
      <c r="B99" s="21" t="s">
        <v>323</v>
      </c>
      <c r="C99" s="21" t="s">
        <v>470</v>
      </c>
      <c r="D99" s="21">
        <v>1300000</v>
      </c>
      <c r="E99" s="21" t="s">
        <v>113</v>
      </c>
      <c r="F99" s="21" t="str">
        <f t="shared" si="2"/>
        <v>rtdc.l.rtdc.4004:itc</v>
      </c>
      <c r="G99" s="8">
        <f t="shared" si="3"/>
        <v>42675.441782407404</v>
      </c>
    </row>
    <row r="100" spans="1:7" x14ac:dyDescent="0.25">
      <c r="A100" s="8">
        <v>42675.445219907408</v>
      </c>
      <c r="B100" s="21" t="s">
        <v>263</v>
      </c>
      <c r="C100" s="21" t="s">
        <v>471</v>
      </c>
      <c r="D100" s="21">
        <v>2450000</v>
      </c>
      <c r="E100" s="21" t="s">
        <v>324</v>
      </c>
      <c r="F100" s="21" t="str">
        <f t="shared" si="2"/>
        <v>rtdc.l.rtdc.4027:itc</v>
      </c>
      <c r="G100" s="8">
        <f t="shared" si="3"/>
        <v>42675.445219907408</v>
      </c>
    </row>
    <row r="101" spans="1:7" x14ac:dyDescent="0.25">
      <c r="A101" s="8">
        <v>42675.451365740744</v>
      </c>
      <c r="B101" s="21" t="s">
        <v>260</v>
      </c>
      <c r="C101" s="21" t="s">
        <v>472</v>
      </c>
      <c r="D101" s="21">
        <v>1990000</v>
      </c>
      <c r="E101" s="21" t="s">
        <v>281</v>
      </c>
      <c r="F101" s="21" t="str">
        <f t="shared" si="2"/>
        <v>rtdc.l.rtdc.4013:itc</v>
      </c>
      <c r="G101" s="8">
        <f t="shared" si="3"/>
        <v>42675.451365740744</v>
      </c>
    </row>
    <row r="102" spans="1:7" x14ac:dyDescent="0.25">
      <c r="A102" s="8">
        <v>42675.454386574071</v>
      </c>
      <c r="B102" s="21" t="s">
        <v>193</v>
      </c>
      <c r="C102" s="21" t="s">
        <v>473</v>
      </c>
      <c r="D102" s="21">
        <v>1280000</v>
      </c>
      <c r="E102" s="21" t="s">
        <v>299</v>
      </c>
      <c r="F102" s="21" t="str">
        <f t="shared" si="2"/>
        <v>rtdc.l.rtdc.4007:itc</v>
      </c>
      <c r="G102" s="8">
        <f t="shared" si="3"/>
        <v>42675.454386574071</v>
      </c>
    </row>
    <row r="103" spans="1:7" x14ac:dyDescent="0.25">
      <c r="A103" s="8">
        <v>42675.454733796294</v>
      </c>
      <c r="B103" s="21" t="s">
        <v>244</v>
      </c>
      <c r="C103" s="21" t="s">
        <v>474</v>
      </c>
      <c r="D103" s="21">
        <v>2440000</v>
      </c>
      <c r="E103" s="21" t="s">
        <v>417</v>
      </c>
      <c r="F103" s="21" t="str">
        <f t="shared" si="2"/>
        <v>rtdc.l.rtdc.4021:itc</v>
      </c>
      <c r="G103" s="8">
        <f t="shared" si="3"/>
        <v>42675.454733796294</v>
      </c>
    </row>
    <row r="104" spans="1:7" x14ac:dyDescent="0.25">
      <c r="A104" s="8">
        <v>42675.45517361111</v>
      </c>
      <c r="B104" s="21" t="s">
        <v>234</v>
      </c>
      <c r="C104" s="21" t="s">
        <v>384</v>
      </c>
      <c r="D104" s="21">
        <v>330000</v>
      </c>
      <c r="E104" s="21" t="s">
        <v>453</v>
      </c>
      <c r="F104" s="21" t="str">
        <f t="shared" si="2"/>
        <v>rtdc.l.rtdc.4016:itc</v>
      </c>
      <c r="G104" s="8">
        <f t="shared" si="3"/>
        <v>42675.45517361111</v>
      </c>
    </row>
    <row r="105" spans="1:7" x14ac:dyDescent="0.25">
      <c r="A105" s="8">
        <v>42675.456388888888</v>
      </c>
      <c r="B105" s="21" t="s">
        <v>234</v>
      </c>
      <c r="C105" s="21" t="s">
        <v>384</v>
      </c>
      <c r="D105" s="21">
        <v>330000</v>
      </c>
      <c r="E105" s="21" t="s">
        <v>453</v>
      </c>
      <c r="F105" s="21" t="str">
        <f t="shared" si="2"/>
        <v>rtdc.l.rtdc.4016:itc</v>
      </c>
      <c r="G105" s="8">
        <f t="shared" si="3"/>
        <v>42675.456388888888</v>
      </c>
    </row>
    <row r="106" spans="1:7" x14ac:dyDescent="0.25">
      <c r="A106" s="8">
        <v>42675.460081018522</v>
      </c>
      <c r="B106" s="21" t="s">
        <v>296</v>
      </c>
      <c r="C106" s="21" t="s">
        <v>388</v>
      </c>
      <c r="D106" s="21">
        <v>940000</v>
      </c>
      <c r="E106" s="21" t="s">
        <v>329</v>
      </c>
      <c r="F106" s="21" t="str">
        <f t="shared" si="2"/>
        <v>rtdc.l.rtdc.4045:itc</v>
      </c>
      <c r="G106" s="8">
        <f t="shared" si="3"/>
        <v>42675.460081018522</v>
      </c>
    </row>
    <row r="107" spans="1:7" x14ac:dyDescent="0.25">
      <c r="A107" s="8">
        <v>42675.46292824074</v>
      </c>
      <c r="B107" s="21" t="s">
        <v>407</v>
      </c>
      <c r="C107" s="21" t="s">
        <v>475</v>
      </c>
      <c r="D107" s="21">
        <v>2420000</v>
      </c>
      <c r="E107" s="21" t="s">
        <v>325</v>
      </c>
      <c r="F107" s="21" t="str">
        <f t="shared" si="2"/>
        <v>rtdc.l.rtdc.4042:itc</v>
      </c>
      <c r="G107" s="8">
        <f t="shared" si="3"/>
        <v>42675.46292824074</v>
      </c>
    </row>
    <row r="108" spans="1:7" x14ac:dyDescent="0.25">
      <c r="A108" s="8">
        <v>42675.466261574074</v>
      </c>
      <c r="B108" s="21" t="s">
        <v>235</v>
      </c>
      <c r="C108" s="21" t="s">
        <v>384</v>
      </c>
      <c r="D108" s="21">
        <v>330000</v>
      </c>
      <c r="E108" s="21" t="s">
        <v>453</v>
      </c>
      <c r="F108" s="21" t="str">
        <f t="shared" si="2"/>
        <v>rtdc.l.rtdc.4015:itc</v>
      </c>
      <c r="G108" s="8">
        <f t="shared" si="3"/>
        <v>42675.466261574074</v>
      </c>
    </row>
    <row r="109" spans="1:7" x14ac:dyDescent="0.25">
      <c r="A109" s="8">
        <v>42675.469907407409</v>
      </c>
      <c r="B109" s="21" t="s">
        <v>241</v>
      </c>
      <c r="C109" s="21" t="s">
        <v>389</v>
      </c>
      <c r="D109" s="21">
        <v>1190000</v>
      </c>
      <c r="E109" s="21" t="s">
        <v>476</v>
      </c>
      <c r="F109" s="21" t="str">
        <f t="shared" si="2"/>
        <v>rtdc.l.rtdc.4011:itc</v>
      </c>
      <c r="G109" s="8">
        <f t="shared" si="3"/>
        <v>42675.469907407409</v>
      </c>
    </row>
    <row r="110" spans="1:7" x14ac:dyDescent="0.25">
      <c r="A110" s="8">
        <v>42675.47047453704</v>
      </c>
      <c r="B110" s="21" t="s">
        <v>301</v>
      </c>
      <c r="C110" s="21" t="s">
        <v>477</v>
      </c>
      <c r="D110" s="21">
        <v>1300000</v>
      </c>
      <c r="E110" s="21" t="s">
        <v>113</v>
      </c>
      <c r="F110" s="21" t="str">
        <f t="shared" si="2"/>
        <v>rtdc.l.rtdc.4003:itc</v>
      </c>
      <c r="G110" s="8">
        <f t="shared" si="3"/>
        <v>42675.47047453704</v>
      </c>
    </row>
    <row r="111" spans="1:7" x14ac:dyDescent="0.25">
      <c r="A111" s="8">
        <v>42675.473240740743</v>
      </c>
      <c r="B111" s="21" t="s">
        <v>238</v>
      </c>
      <c r="C111" s="21" t="s">
        <v>478</v>
      </c>
      <c r="D111" s="21">
        <v>1110000</v>
      </c>
      <c r="E111" s="21" t="s">
        <v>298</v>
      </c>
      <c r="F111" s="21" t="str">
        <f t="shared" si="2"/>
        <v>rtdc.l.rtdc.4037:itc</v>
      </c>
      <c r="G111" s="8">
        <f t="shared" si="3"/>
        <v>42675.473240740743</v>
      </c>
    </row>
    <row r="112" spans="1:7" x14ac:dyDescent="0.25">
      <c r="A112" s="8">
        <v>42675.476944444446</v>
      </c>
      <c r="B112" s="21" t="s">
        <v>254</v>
      </c>
      <c r="C112" s="21" t="s">
        <v>479</v>
      </c>
      <c r="D112" s="21">
        <v>1540000</v>
      </c>
      <c r="E112" s="21" t="s">
        <v>327</v>
      </c>
      <c r="F112" s="21" t="str">
        <f t="shared" si="2"/>
        <v>rtdc.l.rtdc.4040:itc</v>
      </c>
      <c r="G112" s="8">
        <f t="shared" si="3"/>
        <v>42675.476944444446</v>
      </c>
    </row>
    <row r="113" spans="1:7" x14ac:dyDescent="0.25">
      <c r="A113" s="8">
        <v>42675.481041666666</v>
      </c>
      <c r="B113" s="21" t="s">
        <v>234</v>
      </c>
      <c r="C113" s="21" t="s">
        <v>384</v>
      </c>
      <c r="D113" s="21">
        <v>330000</v>
      </c>
      <c r="E113" s="21" t="s">
        <v>453</v>
      </c>
      <c r="F113" s="21" t="str">
        <f t="shared" si="2"/>
        <v>rtdc.l.rtdc.4016:itc</v>
      </c>
      <c r="G113" s="8">
        <f t="shared" si="3"/>
        <v>42675.481041666666</v>
      </c>
    </row>
    <row r="114" spans="1:7" x14ac:dyDescent="0.25">
      <c r="A114" s="8">
        <v>42675.48333333333</v>
      </c>
      <c r="B114" s="21" t="s">
        <v>323</v>
      </c>
      <c r="C114" s="21" t="s">
        <v>480</v>
      </c>
      <c r="D114" s="21">
        <v>1300000</v>
      </c>
      <c r="E114" s="21" t="s">
        <v>113</v>
      </c>
      <c r="F114" s="21" t="str">
        <f t="shared" si="2"/>
        <v>rtdc.l.rtdc.4004:itc</v>
      </c>
      <c r="G114" s="8">
        <f t="shared" si="3"/>
        <v>42675.48333333333</v>
      </c>
    </row>
    <row r="115" spans="1:7" x14ac:dyDescent="0.25">
      <c r="A115" s="8">
        <v>42675.485833333332</v>
      </c>
      <c r="B115" s="21" t="s">
        <v>261</v>
      </c>
      <c r="C115" s="21" t="s">
        <v>388</v>
      </c>
      <c r="D115" s="21">
        <v>940000</v>
      </c>
      <c r="E115" s="21" t="s">
        <v>329</v>
      </c>
      <c r="F115" s="21" t="str">
        <f t="shared" si="2"/>
        <v>rtdc.l.rtdc.4014:itc</v>
      </c>
      <c r="G115" s="8">
        <f t="shared" si="3"/>
        <v>42675.485833333332</v>
      </c>
    </row>
    <row r="116" spans="1:7" x14ac:dyDescent="0.25">
      <c r="A116" s="8">
        <v>42675.486354166664</v>
      </c>
      <c r="B116" s="21" t="s">
        <v>224</v>
      </c>
      <c r="C116" s="21" t="s">
        <v>481</v>
      </c>
      <c r="D116" s="21">
        <v>2450000</v>
      </c>
      <c r="E116" s="21" t="s">
        <v>324</v>
      </c>
      <c r="F116" s="21" t="str">
        <f t="shared" si="2"/>
        <v>rtdc.l.rtdc.4028:itc</v>
      </c>
      <c r="G116" s="8">
        <f t="shared" si="3"/>
        <v>42675.486354166664</v>
      </c>
    </row>
    <row r="117" spans="1:7" x14ac:dyDescent="0.25">
      <c r="A117" s="8">
        <v>42675.487349537034</v>
      </c>
      <c r="B117" s="21" t="s">
        <v>297</v>
      </c>
      <c r="C117" s="21" t="s">
        <v>482</v>
      </c>
      <c r="D117" s="21">
        <v>2380000</v>
      </c>
      <c r="E117" s="21" t="s">
        <v>412</v>
      </c>
      <c r="F117" s="21" t="str">
        <f t="shared" si="2"/>
        <v>rtdc.l.rtdc.4046:itc</v>
      </c>
      <c r="G117" s="8">
        <f t="shared" si="3"/>
        <v>42675.487349537034</v>
      </c>
    </row>
    <row r="118" spans="1:7" x14ac:dyDescent="0.25">
      <c r="A118" s="8">
        <v>42675.487638888888</v>
      </c>
      <c r="B118" s="21" t="s">
        <v>261</v>
      </c>
      <c r="C118" s="21" t="s">
        <v>483</v>
      </c>
      <c r="D118" s="21">
        <v>2540000</v>
      </c>
      <c r="E118" s="21" t="s">
        <v>326</v>
      </c>
      <c r="F118" s="21" t="str">
        <f t="shared" si="2"/>
        <v>rtdc.l.rtdc.4014:itc</v>
      </c>
      <c r="G118" s="8">
        <f t="shared" si="3"/>
        <v>42675.487638888888</v>
      </c>
    </row>
    <row r="119" spans="1:7" x14ac:dyDescent="0.25">
      <c r="A119" s="8">
        <v>42675.488113425927</v>
      </c>
      <c r="B119" s="21" t="s">
        <v>390</v>
      </c>
      <c r="C119" s="21" t="s">
        <v>391</v>
      </c>
      <c r="D119" s="21">
        <v>1280000</v>
      </c>
      <c r="E119" s="21" t="s">
        <v>299</v>
      </c>
      <c r="F119" s="21" t="str">
        <f t="shared" si="2"/>
        <v>rtdc.l.rtdc.4008:itc</v>
      </c>
      <c r="G119" s="8">
        <f t="shared" si="3"/>
        <v>42675.488113425927</v>
      </c>
    </row>
    <row r="120" spans="1:7" x14ac:dyDescent="0.25">
      <c r="A120" s="8">
        <v>42675.49596064815</v>
      </c>
      <c r="B120" s="21" t="s">
        <v>235</v>
      </c>
      <c r="C120" s="21" t="s">
        <v>384</v>
      </c>
      <c r="D120" s="21">
        <v>330000</v>
      </c>
      <c r="E120" s="21" t="s">
        <v>453</v>
      </c>
      <c r="F120" s="21" t="str">
        <f t="shared" si="2"/>
        <v>rtdc.l.rtdc.4015:itc</v>
      </c>
      <c r="G120" s="8">
        <f t="shared" si="3"/>
        <v>42675.49596064815</v>
      </c>
    </row>
    <row r="121" spans="1:7" x14ac:dyDescent="0.25">
      <c r="A121" s="8">
        <v>42675.500775462962</v>
      </c>
      <c r="B121" s="21" t="s">
        <v>262</v>
      </c>
      <c r="C121" s="21" t="s">
        <v>484</v>
      </c>
      <c r="D121" s="21">
        <v>1140000</v>
      </c>
      <c r="E121" s="21" t="s">
        <v>237</v>
      </c>
      <c r="F121" s="21" t="str">
        <f t="shared" si="2"/>
        <v>rtdc.l.rtdc.4022:itc</v>
      </c>
      <c r="G121" s="8">
        <f t="shared" si="3"/>
        <v>42675.500775462962</v>
      </c>
    </row>
    <row r="122" spans="1:7" x14ac:dyDescent="0.25">
      <c r="A122" s="8">
        <v>42675.505381944444</v>
      </c>
      <c r="B122" s="26" t="s">
        <v>379</v>
      </c>
      <c r="C122" s="21" t="s">
        <v>485</v>
      </c>
      <c r="D122" s="21">
        <v>2420000</v>
      </c>
      <c r="E122" s="21" t="s">
        <v>325</v>
      </c>
      <c r="F122" s="21" t="str">
        <f t="shared" si="2"/>
        <v>rtdc.l.rtdc.4041:itc</v>
      </c>
      <c r="G122" s="8">
        <f t="shared" si="3"/>
        <v>42675.505381944444</v>
      </c>
    </row>
    <row r="123" spans="1:7" x14ac:dyDescent="0.25">
      <c r="A123" s="8">
        <v>42675.507152777776</v>
      </c>
      <c r="B123" s="21" t="s">
        <v>255</v>
      </c>
      <c r="C123" s="21" t="s">
        <v>486</v>
      </c>
      <c r="D123" s="21">
        <v>930000</v>
      </c>
      <c r="E123" s="21" t="s">
        <v>282</v>
      </c>
      <c r="F123" s="21" t="str">
        <f t="shared" si="2"/>
        <v>rtdc.l.rtdc.4038:itc</v>
      </c>
      <c r="G123" s="8">
        <f t="shared" si="3"/>
        <v>42675.507152777776</v>
      </c>
    </row>
    <row r="124" spans="1:7" x14ac:dyDescent="0.25">
      <c r="A124" s="8">
        <v>42675.507951388892</v>
      </c>
      <c r="B124" s="21" t="s">
        <v>255</v>
      </c>
      <c r="C124" s="21" t="s">
        <v>486</v>
      </c>
      <c r="D124" s="21">
        <v>930000</v>
      </c>
      <c r="E124" s="21" t="s">
        <v>282</v>
      </c>
      <c r="F124" s="21" t="str">
        <f t="shared" si="2"/>
        <v>rtdc.l.rtdc.4038:itc</v>
      </c>
      <c r="G124" s="8">
        <f t="shared" si="3"/>
        <v>42675.507951388892</v>
      </c>
    </row>
    <row r="125" spans="1:7" x14ac:dyDescent="0.25">
      <c r="A125" s="8">
        <v>42675.51185185185</v>
      </c>
      <c r="B125" s="21" t="s">
        <v>301</v>
      </c>
      <c r="C125" s="21" t="s">
        <v>487</v>
      </c>
      <c r="D125" s="21">
        <v>1300000</v>
      </c>
      <c r="E125" s="21" t="s">
        <v>113</v>
      </c>
      <c r="F125" s="21" t="str">
        <f t="shared" si="2"/>
        <v>rtdc.l.rtdc.4003:itc</v>
      </c>
      <c r="G125" s="8">
        <f t="shared" si="3"/>
        <v>42675.51185185185</v>
      </c>
    </row>
    <row r="126" spans="1:7" x14ac:dyDescent="0.25">
      <c r="A126" s="8">
        <v>42675.515625</v>
      </c>
      <c r="B126" s="21" t="s">
        <v>316</v>
      </c>
      <c r="C126" s="21" t="s">
        <v>392</v>
      </c>
      <c r="D126" s="21">
        <v>1540000</v>
      </c>
      <c r="E126" s="21" t="s">
        <v>327</v>
      </c>
      <c r="F126" s="21" t="str">
        <f t="shared" si="2"/>
        <v>rtdc.l.rtdc.4039:itc</v>
      </c>
      <c r="G126" s="8">
        <f t="shared" si="3"/>
        <v>42675.515625</v>
      </c>
    </row>
    <row r="127" spans="1:7" x14ac:dyDescent="0.25">
      <c r="A127" s="8">
        <v>42675.51766203704</v>
      </c>
      <c r="B127" s="21" t="s">
        <v>229</v>
      </c>
      <c r="C127" s="21" t="s">
        <v>488</v>
      </c>
      <c r="D127" s="21">
        <v>2470000</v>
      </c>
      <c r="E127" s="21" t="s">
        <v>331</v>
      </c>
      <c r="F127" s="21" t="str">
        <f t="shared" si="2"/>
        <v>rtdc.l.rtdc.4029:itc</v>
      </c>
      <c r="G127" s="8">
        <f t="shared" si="3"/>
        <v>42675.51766203704</v>
      </c>
    </row>
    <row r="128" spans="1:7" x14ac:dyDescent="0.25">
      <c r="A128" s="8">
        <v>42675.519768518519</v>
      </c>
      <c r="B128" s="21" t="s">
        <v>260</v>
      </c>
      <c r="C128" s="21" t="s">
        <v>489</v>
      </c>
      <c r="D128" s="21">
        <v>2540000</v>
      </c>
      <c r="E128" s="21" t="s">
        <v>326</v>
      </c>
      <c r="F128" s="21" t="str">
        <f t="shared" si="2"/>
        <v>rtdc.l.rtdc.4013:itc</v>
      </c>
      <c r="G128" s="8">
        <f t="shared" si="3"/>
        <v>42675.519768518519</v>
      </c>
    </row>
    <row r="129" spans="1:7" x14ac:dyDescent="0.25">
      <c r="A129" s="8">
        <v>42675.52484953704</v>
      </c>
      <c r="B129" s="21" t="s">
        <v>323</v>
      </c>
      <c r="C129" s="21" t="s">
        <v>490</v>
      </c>
      <c r="D129" s="21">
        <v>1300000</v>
      </c>
      <c r="E129" s="21" t="s">
        <v>113</v>
      </c>
      <c r="F129" s="21" t="str">
        <f t="shared" si="2"/>
        <v>rtdc.l.rtdc.4004:itc</v>
      </c>
      <c r="G129" s="8">
        <f t="shared" si="3"/>
        <v>42675.52484953704</v>
      </c>
    </row>
    <row r="130" spans="1:7" x14ac:dyDescent="0.25">
      <c r="A130" s="8">
        <v>42675.534733796296</v>
      </c>
      <c r="B130" s="21" t="s">
        <v>193</v>
      </c>
      <c r="C130" s="21" t="s">
        <v>491</v>
      </c>
      <c r="D130" s="21">
        <v>1280000</v>
      </c>
      <c r="E130" s="21" t="s">
        <v>299</v>
      </c>
      <c r="F130" s="21" t="str">
        <f t="shared" ref="F130:F193" si="4">B130</f>
        <v>rtdc.l.rtdc.4007:itc</v>
      </c>
      <c r="G130" s="8">
        <f t="shared" ref="G130:G193" si="5">A130</f>
        <v>42675.534733796296</v>
      </c>
    </row>
    <row r="131" spans="1:7" x14ac:dyDescent="0.25">
      <c r="A131" s="8">
        <v>42675.536932870367</v>
      </c>
      <c r="B131" s="21" t="s">
        <v>234</v>
      </c>
      <c r="C131" s="21" t="s">
        <v>384</v>
      </c>
      <c r="D131" s="21">
        <v>330000</v>
      </c>
      <c r="E131" s="21" t="s">
        <v>453</v>
      </c>
      <c r="F131" s="21" t="str">
        <f t="shared" si="4"/>
        <v>rtdc.l.rtdc.4016:itc</v>
      </c>
      <c r="G131" s="8">
        <f t="shared" si="5"/>
        <v>42675.536932870367</v>
      </c>
    </row>
    <row r="132" spans="1:7" x14ac:dyDescent="0.25">
      <c r="A132" s="8">
        <v>42675.539074074077</v>
      </c>
      <c r="B132" s="21" t="s">
        <v>234</v>
      </c>
      <c r="C132" s="21" t="s">
        <v>384</v>
      </c>
      <c r="D132" s="21">
        <v>330000</v>
      </c>
      <c r="E132" s="21" t="s">
        <v>453</v>
      </c>
      <c r="F132" s="21" t="str">
        <f t="shared" si="4"/>
        <v>rtdc.l.rtdc.4016:itc</v>
      </c>
      <c r="G132" s="8">
        <f t="shared" si="5"/>
        <v>42675.539074074077</v>
      </c>
    </row>
    <row r="133" spans="1:7" x14ac:dyDescent="0.25">
      <c r="A133" s="8">
        <v>42675.539178240739</v>
      </c>
      <c r="B133" s="21" t="s">
        <v>244</v>
      </c>
      <c r="C133" s="21" t="s">
        <v>492</v>
      </c>
      <c r="D133" s="21">
        <v>1140000</v>
      </c>
      <c r="E133" s="21" t="s">
        <v>237</v>
      </c>
      <c r="F133" s="21" t="str">
        <f t="shared" si="4"/>
        <v>rtdc.l.rtdc.4021:itc</v>
      </c>
      <c r="G133" s="8">
        <f t="shared" si="5"/>
        <v>42675.539178240739</v>
      </c>
    </row>
    <row r="134" spans="1:7" x14ac:dyDescent="0.25">
      <c r="A134" s="8">
        <v>42675.539652777778</v>
      </c>
      <c r="B134" s="21" t="s">
        <v>234</v>
      </c>
      <c r="C134" s="21" t="s">
        <v>384</v>
      </c>
      <c r="D134" s="21">
        <v>330000</v>
      </c>
      <c r="E134" s="21" t="s">
        <v>453</v>
      </c>
      <c r="F134" s="21" t="str">
        <f t="shared" si="4"/>
        <v>rtdc.l.rtdc.4016:itc</v>
      </c>
      <c r="G134" s="8">
        <f t="shared" si="5"/>
        <v>42675.539652777778</v>
      </c>
    </row>
    <row r="135" spans="1:7" x14ac:dyDescent="0.25">
      <c r="A135" s="8">
        <v>42675.541701388887</v>
      </c>
      <c r="B135" s="21" t="s">
        <v>234</v>
      </c>
      <c r="C135" s="21" t="s">
        <v>384</v>
      </c>
      <c r="D135" s="21">
        <v>330000</v>
      </c>
      <c r="E135" s="21" t="s">
        <v>453</v>
      </c>
      <c r="F135" s="21" t="str">
        <f t="shared" si="4"/>
        <v>rtdc.l.rtdc.4016:itc</v>
      </c>
      <c r="G135" s="8">
        <f t="shared" si="5"/>
        <v>42675.541701388887</v>
      </c>
    </row>
    <row r="136" spans="1:7" x14ac:dyDescent="0.25">
      <c r="A136" s="8">
        <v>42675.546203703707</v>
      </c>
      <c r="B136" s="21" t="s">
        <v>407</v>
      </c>
      <c r="C136" s="21" t="s">
        <v>493</v>
      </c>
      <c r="D136" s="21">
        <v>2420000</v>
      </c>
      <c r="E136" s="21" t="s">
        <v>325</v>
      </c>
      <c r="F136" s="21" t="str">
        <f t="shared" si="4"/>
        <v>rtdc.l.rtdc.4042:itc</v>
      </c>
      <c r="G136" s="8">
        <f t="shared" si="5"/>
        <v>42675.546203703707</v>
      </c>
    </row>
    <row r="137" spans="1:7" x14ac:dyDescent="0.25">
      <c r="A137" s="8">
        <v>42675.547546296293</v>
      </c>
      <c r="B137" s="21" t="s">
        <v>238</v>
      </c>
      <c r="C137" s="21" t="s">
        <v>494</v>
      </c>
      <c r="D137" s="21">
        <v>930000</v>
      </c>
      <c r="E137" s="21" t="s">
        <v>282</v>
      </c>
      <c r="F137" s="21" t="str">
        <f t="shared" si="4"/>
        <v>rtdc.l.rtdc.4037:itc</v>
      </c>
      <c r="G137" s="8">
        <f t="shared" si="5"/>
        <v>42675.547546296293</v>
      </c>
    </row>
    <row r="138" spans="1:7" x14ac:dyDescent="0.25">
      <c r="A138" s="8">
        <v>42675.549571759257</v>
      </c>
      <c r="B138" s="21" t="s">
        <v>230</v>
      </c>
      <c r="C138" s="21" t="s">
        <v>495</v>
      </c>
      <c r="D138" s="21">
        <v>2470000</v>
      </c>
      <c r="E138" s="21" t="s">
        <v>331</v>
      </c>
      <c r="F138" s="21" t="str">
        <f t="shared" si="4"/>
        <v>rtdc.l.rtdc.4030:itc</v>
      </c>
      <c r="G138" s="8">
        <f t="shared" si="5"/>
        <v>42675.549571759257</v>
      </c>
    </row>
    <row r="139" spans="1:7" x14ac:dyDescent="0.25">
      <c r="A139" s="8">
        <v>42675.551238425927</v>
      </c>
      <c r="B139" s="21" t="s">
        <v>254</v>
      </c>
      <c r="C139" s="21" t="s">
        <v>496</v>
      </c>
      <c r="D139" s="21">
        <v>1540000</v>
      </c>
      <c r="E139" s="21" t="s">
        <v>327</v>
      </c>
      <c r="F139" s="21" t="str">
        <f t="shared" si="4"/>
        <v>rtdc.l.rtdc.4040:itc</v>
      </c>
      <c r="G139" s="8">
        <f t="shared" si="5"/>
        <v>42675.551238425927</v>
      </c>
    </row>
    <row r="140" spans="1:7" x14ac:dyDescent="0.25">
      <c r="A140" s="8">
        <v>42675.551400462966</v>
      </c>
      <c r="B140" s="21" t="s">
        <v>235</v>
      </c>
      <c r="C140" s="21" t="s">
        <v>384</v>
      </c>
      <c r="D140" s="21">
        <v>330000</v>
      </c>
      <c r="E140" s="21" t="s">
        <v>453</v>
      </c>
      <c r="F140" s="21" t="str">
        <f t="shared" si="4"/>
        <v>rtdc.l.rtdc.4015:itc</v>
      </c>
      <c r="G140" s="8">
        <f t="shared" si="5"/>
        <v>42675.551400462966</v>
      </c>
    </row>
    <row r="141" spans="1:7" x14ac:dyDescent="0.25">
      <c r="A141" s="8">
        <v>42675.552395833336</v>
      </c>
      <c r="B141" s="21" t="s">
        <v>301</v>
      </c>
      <c r="C141" s="21" t="s">
        <v>497</v>
      </c>
      <c r="D141" s="21">
        <v>2460000</v>
      </c>
      <c r="E141" s="21" t="s">
        <v>328</v>
      </c>
      <c r="F141" s="21" t="str">
        <f t="shared" si="4"/>
        <v>rtdc.l.rtdc.4003:itc</v>
      </c>
      <c r="G141" s="8">
        <f t="shared" si="5"/>
        <v>42675.552395833336</v>
      </c>
    </row>
    <row r="142" spans="1:7" x14ac:dyDescent="0.25">
      <c r="A142" s="8">
        <v>42675.557592592595</v>
      </c>
      <c r="B142" s="21" t="s">
        <v>230</v>
      </c>
      <c r="C142" s="21" t="s">
        <v>495</v>
      </c>
      <c r="D142" s="21">
        <v>2470000</v>
      </c>
      <c r="E142" s="21" t="s">
        <v>331</v>
      </c>
      <c r="F142" s="21" t="str">
        <f t="shared" si="4"/>
        <v>rtdc.l.rtdc.4030:itc</v>
      </c>
      <c r="G142" s="8">
        <f t="shared" si="5"/>
        <v>42675.557592592595</v>
      </c>
    </row>
    <row r="143" spans="1:7" x14ac:dyDescent="0.25">
      <c r="A143" s="8">
        <v>42675.557962962965</v>
      </c>
      <c r="B143" s="21" t="s">
        <v>261</v>
      </c>
      <c r="C143" s="21" t="s">
        <v>498</v>
      </c>
      <c r="D143" s="21">
        <v>2540000</v>
      </c>
      <c r="E143" s="21" t="s">
        <v>326</v>
      </c>
      <c r="F143" s="21" t="str">
        <f t="shared" si="4"/>
        <v>rtdc.l.rtdc.4014:itc</v>
      </c>
      <c r="G143" s="8">
        <f t="shared" si="5"/>
        <v>42675.557962962965</v>
      </c>
    </row>
    <row r="144" spans="1:7" x14ac:dyDescent="0.25">
      <c r="A144" s="8">
        <v>42675.558287037034</v>
      </c>
      <c r="B144" s="21" t="s">
        <v>230</v>
      </c>
      <c r="C144" s="21" t="s">
        <v>495</v>
      </c>
      <c r="D144" s="21">
        <v>2470000</v>
      </c>
      <c r="E144" s="21" t="s">
        <v>331</v>
      </c>
      <c r="F144" s="21" t="str">
        <f t="shared" si="4"/>
        <v>rtdc.l.rtdc.4030:itc</v>
      </c>
      <c r="G144" s="8">
        <f t="shared" si="5"/>
        <v>42675.558287037034</v>
      </c>
    </row>
    <row r="145" spans="1:7" x14ac:dyDescent="0.25">
      <c r="A145" s="8">
        <v>42675.559652777774</v>
      </c>
      <c r="B145" s="21" t="s">
        <v>230</v>
      </c>
      <c r="C145" s="21" t="s">
        <v>495</v>
      </c>
      <c r="D145" s="21">
        <v>2470000</v>
      </c>
      <c r="E145" s="21" t="s">
        <v>331</v>
      </c>
      <c r="F145" s="21" t="str">
        <f t="shared" si="4"/>
        <v>rtdc.l.rtdc.4030:itc</v>
      </c>
      <c r="G145" s="8">
        <f t="shared" si="5"/>
        <v>42675.559652777774</v>
      </c>
    </row>
    <row r="146" spans="1:7" x14ac:dyDescent="0.25">
      <c r="A146" s="8">
        <v>42675.562083333331</v>
      </c>
      <c r="B146" s="21" t="s">
        <v>234</v>
      </c>
      <c r="C146" s="21" t="s">
        <v>384</v>
      </c>
      <c r="D146" s="21">
        <v>330000</v>
      </c>
      <c r="E146" s="21" t="s">
        <v>453</v>
      </c>
      <c r="F146" s="21" t="str">
        <f t="shared" si="4"/>
        <v>rtdc.l.rtdc.4016:itc</v>
      </c>
      <c r="G146" s="8">
        <f t="shared" si="5"/>
        <v>42675.562083333331</v>
      </c>
    </row>
    <row r="147" spans="1:7" x14ac:dyDescent="0.25">
      <c r="A147" s="8">
        <v>42675.563090277778</v>
      </c>
      <c r="B147" s="21" t="s">
        <v>234</v>
      </c>
      <c r="C147" s="21" t="s">
        <v>384</v>
      </c>
      <c r="D147" s="21">
        <v>330000</v>
      </c>
      <c r="E147" s="21" t="s">
        <v>453</v>
      </c>
      <c r="F147" s="21" t="str">
        <f t="shared" si="4"/>
        <v>rtdc.l.rtdc.4016:itc</v>
      </c>
      <c r="G147" s="8">
        <f t="shared" si="5"/>
        <v>42675.563090277778</v>
      </c>
    </row>
    <row r="148" spans="1:7" x14ac:dyDescent="0.25">
      <c r="A148" s="8">
        <v>42675.566724537035</v>
      </c>
      <c r="B148" s="21" t="s">
        <v>390</v>
      </c>
      <c r="C148" s="21" t="s">
        <v>394</v>
      </c>
      <c r="D148" s="21">
        <v>1280000</v>
      </c>
      <c r="E148" s="21" t="s">
        <v>299</v>
      </c>
      <c r="F148" s="21" t="str">
        <f t="shared" si="4"/>
        <v>rtdc.l.rtdc.4008:itc</v>
      </c>
      <c r="G148" s="8">
        <f t="shared" si="5"/>
        <v>42675.566724537035</v>
      </c>
    </row>
    <row r="149" spans="1:7" x14ac:dyDescent="0.25">
      <c r="A149" s="8">
        <v>42675.568067129629</v>
      </c>
      <c r="B149" s="21" t="s">
        <v>323</v>
      </c>
      <c r="C149" s="21" t="s">
        <v>499</v>
      </c>
      <c r="D149" s="21">
        <v>2460000</v>
      </c>
      <c r="E149" s="21" t="s">
        <v>328</v>
      </c>
      <c r="F149" s="21" t="str">
        <f t="shared" si="4"/>
        <v>rtdc.l.rtdc.4004:itc</v>
      </c>
      <c r="G149" s="8">
        <f t="shared" si="5"/>
        <v>42675.568067129629</v>
      </c>
    </row>
    <row r="150" spans="1:7" x14ac:dyDescent="0.25">
      <c r="A150" s="8">
        <v>42675.574120370373</v>
      </c>
      <c r="B150" s="21" t="s">
        <v>262</v>
      </c>
      <c r="C150" s="21" t="s">
        <v>500</v>
      </c>
      <c r="D150" s="21">
        <v>1140000</v>
      </c>
      <c r="E150" s="21" t="s">
        <v>237</v>
      </c>
      <c r="F150" s="21" t="str">
        <f t="shared" si="4"/>
        <v>rtdc.l.rtdc.4022:itc</v>
      </c>
      <c r="G150" s="8">
        <f t="shared" si="5"/>
        <v>42675.574120370373</v>
      </c>
    </row>
    <row r="151" spans="1:7" x14ac:dyDescent="0.25">
      <c r="A151" s="8">
        <v>42675.576886574076</v>
      </c>
      <c r="B151" s="21" t="s">
        <v>235</v>
      </c>
      <c r="C151" s="21" t="s">
        <v>384</v>
      </c>
      <c r="D151" s="21">
        <v>330000</v>
      </c>
      <c r="E151" s="21" t="s">
        <v>453</v>
      </c>
      <c r="F151" s="21" t="str">
        <f t="shared" si="4"/>
        <v>rtdc.l.rtdc.4015:itc</v>
      </c>
      <c r="G151" s="8">
        <f t="shared" si="5"/>
        <v>42675.576886574076</v>
      </c>
    </row>
    <row r="152" spans="1:7" x14ac:dyDescent="0.25">
      <c r="A152" s="8">
        <v>42675.576979166668</v>
      </c>
      <c r="B152" s="21" t="s">
        <v>379</v>
      </c>
      <c r="C152" s="21" t="s">
        <v>501</v>
      </c>
      <c r="D152" s="21">
        <v>2420000</v>
      </c>
      <c r="E152" s="21" t="s">
        <v>325</v>
      </c>
      <c r="F152" s="21" t="str">
        <f t="shared" si="4"/>
        <v>rtdc.l.rtdc.4041:itc</v>
      </c>
      <c r="G152" s="8">
        <f t="shared" si="5"/>
        <v>42675.576979166668</v>
      </c>
    </row>
    <row r="153" spans="1:7" x14ac:dyDescent="0.25">
      <c r="A153" s="8">
        <v>42675.579502314817</v>
      </c>
      <c r="B153" s="21" t="s">
        <v>262</v>
      </c>
      <c r="C153" s="21" t="s">
        <v>500</v>
      </c>
      <c r="D153" s="21">
        <v>1140000</v>
      </c>
      <c r="E153" s="21" t="s">
        <v>237</v>
      </c>
      <c r="F153" s="21" t="str">
        <f t="shared" si="4"/>
        <v>rtdc.l.rtdc.4022:itc</v>
      </c>
      <c r="G153" s="8">
        <f t="shared" si="5"/>
        <v>42675.579502314817</v>
      </c>
    </row>
    <row r="154" spans="1:7" x14ac:dyDescent="0.25">
      <c r="A154" s="8">
        <v>42675.583136574074</v>
      </c>
      <c r="B154" s="21" t="s">
        <v>301</v>
      </c>
      <c r="C154" s="21" t="s">
        <v>502</v>
      </c>
      <c r="D154" s="21">
        <v>2460000</v>
      </c>
      <c r="E154" s="21" t="s">
        <v>328</v>
      </c>
      <c r="F154" s="21" t="str">
        <f t="shared" si="4"/>
        <v>rtdc.l.rtdc.4003:itc</v>
      </c>
      <c r="G154" s="8">
        <f t="shared" si="5"/>
        <v>42675.583136574074</v>
      </c>
    </row>
    <row r="155" spans="1:7" x14ac:dyDescent="0.25">
      <c r="A155" s="8">
        <v>42675.583344907405</v>
      </c>
      <c r="B155" s="21" t="s">
        <v>255</v>
      </c>
      <c r="C155" s="21" t="s">
        <v>503</v>
      </c>
      <c r="D155" s="21">
        <v>930000</v>
      </c>
      <c r="E155" s="21" t="s">
        <v>282</v>
      </c>
      <c r="F155" s="21" t="str">
        <f t="shared" si="4"/>
        <v>rtdc.l.rtdc.4038:itc</v>
      </c>
      <c r="G155" s="8">
        <f t="shared" si="5"/>
        <v>42675.583344907405</v>
      </c>
    </row>
    <row r="156" spans="1:7" x14ac:dyDescent="0.25">
      <c r="A156" s="8">
        <v>42675.587442129632</v>
      </c>
      <c r="B156" s="21" t="s">
        <v>234</v>
      </c>
      <c r="C156" s="21" t="s">
        <v>384</v>
      </c>
      <c r="D156" s="21">
        <v>330000</v>
      </c>
      <c r="E156" s="21" t="s">
        <v>453</v>
      </c>
      <c r="F156" s="21" t="str">
        <f t="shared" si="4"/>
        <v>rtdc.l.rtdc.4016:itc</v>
      </c>
      <c r="G156" s="8">
        <f t="shared" si="5"/>
        <v>42675.587442129632</v>
      </c>
    </row>
    <row r="157" spans="1:7" x14ac:dyDescent="0.25">
      <c r="A157" s="8">
        <v>42675.588090277779</v>
      </c>
      <c r="B157" s="21" t="s">
        <v>316</v>
      </c>
      <c r="C157" s="21" t="s">
        <v>397</v>
      </c>
      <c r="D157" s="21">
        <v>1540000</v>
      </c>
      <c r="E157" s="21" t="s">
        <v>327</v>
      </c>
      <c r="F157" s="21" t="str">
        <f t="shared" si="4"/>
        <v>rtdc.l.rtdc.4039:itc</v>
      </c>
      <c r="G157" s="8">
        <f t="shared" si="5"/>
        <v>42675.588090277779</v>
      </c>
    </row>
    <row r="158" spans="1:7" x14ac:dyDescent="0.25">
      <c r="A158" s="8">
        <v>42675.589953703704</v>
      </c>
      <c r="B158" s="21" t="s">
        <v>229</v>
      </c>
      <c r="C158" s="21" t="s">
        <v>504</v>
      </c>
      <c r="D158" s="21">
        <v>2470000</v>
      </c>
      <c r="E158" s="21" t="s">
        <v>331</v>
      </c>
      <c r="F158" s="21" t="str">
        <f t="shared" si="4"/>
        <v>rtdc.l.rtdc.4029:itc</v>
      </c>
      <c r="G158" s="8">
        <f t="shared" si="5"/>
        <v>42675.589953703704</v>
      </c>
    </row>
    <row r="159" spans="1:7" x14ac:dyDescent="0.25">
      <c r="A159" s="8">
        <v>42675.593240740738</v>
      </c>
      <c r="B159" s="21" t="s">
        <v>260</v>
      </c>
      <c r="C159" s="21" t="s">
        <v>505</v>
      </c>
      <c r="D159" s="21">
        <v>2540000</v>
      </c>
      <c r="E159" s="21" t="s">
        <v>326</v>
      </c>
      <c r="F159" s="21" t="str">
        <f t="shared" si="4"/>
        <v>rtdc.l.rtdc.4013:itc</v>
      </c>
      <c r="G159" s="8">
        <f t="shared" si="5"/>
        <v>42675.593240740738</v>
      </c>
    </row>
    <row r="160" spans="1:7" x14ac:dyDescent="0.25">
      <c r="A160" s="8">
        <v>42675.597418981481</v>
      </c>
      <c r="B160" s="21" t="s">
        <v>235</v>
      </c>
      <c r="C160" s="21" t="s">
        <v>384</v>
      </c>
      <c r="D160" s="21">
        <v>330000</v>
      </c>
      <c r="E160" s="21" t="s">
        <v>453</v>
      </c>
      <c r="F160" s="21" t="str">
        <f t="shared" si="4"/>
        <v>rtdc.l.rtdc.4015:itc</v>
      </c>
      <c r="G160" s="8">
        <f t="shared" si="5"/>
        <v>42675.597418981481</v>
      </c>
    </row>
    <row r="161" spans="1:7" x14ac:dyDescent="0.25">
      <c r="A161" s="8">
        <v>42675.600694444445</v>
      </c>
      <c r="B161" s="21" t="s">
        <v>193</v>
      </c>
      <c r="C161" s="21" t="s">
        <v>506</v>
      </c>
      <c r="D161" s="21">
        <v>1280000</v>
      </c>
      <c r="E161" s="21" t="s">
        <v>299</v>
      </c>
      <c r="F161" s="21" t="str">
        <f t="shared" si="4"/>
        <v>rtdc.l.rtdc.4007:itc</v>
      </c>
      <c r="G161" s="8">
        <f t="shared" si="5"/>
        <v>42675.600694444445</v>
      </c>
    </row>
    <row r="162" spans="1:7" x14ac:dyDescent="0.25">
      <c r="A162" s="8">
        <v>42675.607187499998</v>
      </c>
      <c r="B162" s="21" t="s">
        <v>234</v>
      </c>
      <c r="C162" s="21" t="s">
        <v>384</v>
      </c>
      <c r="D162" s="21">
        <v>330000</v>
      </c>
      <c r="E162" s="21" t="s">
        <v>453</v>
      </c>
      <c r="F162" s="21" t="str">
        <f t="shared" si="4"/>
        <v>rtdc.l.rtdc.4016:itc</v>
      </c>
      <c r="G162" s="8">
        <f t="shared" si="5"/>
        <v>42675.607187499998</v>
      </c>
    </row>
    <row r="163" spans="1:7" x14ac:dyDescent="0.25">
      <c r="A163" s="8">
        <v>42675.607604166667</v>
      </c>
      <c r="B163" s="21" t="s">
        <v>244</v>
      </c>
      <c r="C163" s="21" t="s">
        <v>507</v>
      </c>
      <c r="D163" s="21">
        <v>1140000</v>
      </c>
      <c r="E163" s="21" t="s">
        <v>237</v>
      </c>
      <c r="F163" s="21" t="str">
        <f t="shared" si="4"/>
        <v>rtdc.l.rtdc.4021:itc</v>
      </c>
      <c r="G163" s="8">
        <f t="shared" si="5"/>
        <v>42675.607604166667</v>
      </c>
    </row>
    <row r="164" spans="1:7" x14ac:dyDescent="0.25">
      <c r="A164" s="8">
        <v>42675.609398148146</v>
      </c>
      <c r="B164" s="21" t="s">
        <v>323</v>
      </c>
      <c r="C164" s="21" t="s">
        <v>508</v>
      </c>
      <c r="D164" s="21">
        <v>2460000</v>
      </c>
      <c r="E164" s="21" t="s">
        <v>328</v>
      </c>
      <c r="F164" s="21" t="str">
        <f t="shared" si="4"/>
        <v>rtdc.l.rtdc.4004:itc</v>
      </c>
      <c r="G164" s="8">
        <f t="shared" si="5"/>
        <v>42675.609398148146</v>
      </c>
    </row>
    <row r="165" spans="1:7" x14ac:dyDescent="0.25">
      <c r="A165" s="8">
        <v>42675.612592592595</v>
      </c>
      <c r="B165" s="21" t="s">
        <v>407</v>
      </c>
      <c r="C165" s="21" t="s">
        <v>509</v>
      </c>
      <c r="D165" s="21">
        <v>2420000</v>
      </c>
      <c r="E165" s="21" t="s">
        <v>325</v>
      </c>
      <c r="F165" s="21" t="str">
        <f t="shared" si="4"/>
        <v>rtdc.l.rtdc.4042:itc</v>
      </c>
      <c r="G165" s="8">
        <f t="shared" si="5"/>
        <v>42675.612592592595</v>
      </c>
    </row>
    <row r="166" spans="1:7" x14ac:dyDescent="0.25">
      <c r="A166" s="8">
        <v>42675.618900462963</v>
      </c>
      <c r="B166" s="21" t="s">
        <v>235</v>
      </c>
      <c r="C166" s="21" t="s">
        <v>384</v>
      </c>
      <c r="D166" s="21">
        <v>330000</v>
      </c>
      <c r="E166" s="21" t="s">
        <v>453</v>
      </c>
      <c r="F166" s="21" t="str">
        <f t="shared" si="4"/>
        <v>rtdc.l.rtdc.4015:itc</v>
      </c>
      <c r="G166" s="8">
        <f t="shared" si="5"/>
        <v>42675.618900462963</v>
      </c>
    </row>
    <row r="167" spans="1:7" x14ac:dyDescent="0.25">
      <c r="A167" s="8">
        <v>42675.619733796295</v>
      </c>
      <c r="B167" s="21" t="s">
        <v>238</v>
      </c>
      <c r="C167" s="21" t="s">
        <v>510</v>
      </c>
      <c r="D167" s="21">
        <v>930000</v>
      </c>
      <c r="E167" s="21" t="s">
        <v>282</v>
      </c>
      <c r="F167" s="21" t="str">
        <f t="shared" si="4"/>
        <v>rtdc.l.rtdc.4037:itc</v>
      </c>
      <c r="G167" s="8">
        <f t="shared" si="5"/>
        <v>42675.619733796295</v>
      </c>
    </row>
    <row r="168" spans="1:7" x14ac:dyDescent="0.25">
      <c r="A168" s="8">
        <v>42675.622395833336</v>
      </c>
      <c r="B168" s="21" t="s">
        <v>254</v>
      </c>
      <c r="C168" s="21" t="s">
        <v>511</v>
      </c>
      <c r="D168" s="21">
        <v>1540000</v>
      </c>
      <c r="E168" s="21" t="s">
        <v>327</v>
      </c>
      <c r="F168" s="21" t="str">
        <f t="shared" si="4"/>
        <v>rtdc.l.rtdc.4040:itc</v>
      </c>
      <c r="G168" s="8">
        <f t="shared" si="5"/>
        <v>42675.622395833336</v>
      </c>
    </row>
    <row r="169" spans="1:7" x14ac:dyDescent="0.25">
      <c r="A169" s="8">
        <v>42675.624178240738</v>
      </c>
      <c r="B169" s="21" t="s">
        <v>301</v>
      </c>
      <c r="C169" s="21" t="s">
        <v>512</v>
      </c>
      <c r="D169" s="21">
        <v>2460000</v>
      </c>
      <c r="E169" s="21" t="s">
        <v>328</v>
      </c>
      <c r="F169" s="21" t="str">
        <f t="shared" si="4"/>
        <v>rtdc.l.rtdc.4003:itc</v>
      </c>
      <c r="G169" s="8">
        <f t="shared" si="5"/>
        <v>42675.624178240738</v>
      </c>
    </row>
    <row r="170" spans="1:7" x14ac:dyDescent="0.25">
      <c r="A170" s="8">
        <v>42675.625601851854</v>
      </c>
      <c r="B170" s="21" t="s">
        <v>235</v>
      </c>
      <c r="C170" s="21" t="s">
        <v>384</v>
      </c>
      <c r="D170" s="21">
        <v>330000</v>
      </c>
      <c r="E170" s="21" t="s">
        <v>453</v>
      </c>
      <c r="F170" s="21" t="str">
        <f t="shared" si="4"/>
        <v>rtdc.l.rtdc.4015:itc</v>
      </c>
      <c r="G170" s="8">
        <f t="shared" si="5"/>
        <v>42675.625601851854</v>
      </c>
    </row>
    <row r="171" spans="1:7" x14ac:dyDescent="0.25">
      <c r="A171" s="8">
        <v>42675.629490740743</v>
      </c>
      <c r="B171" s="21" t="s">
        <v>230</v>
      </c>
      <c r="C171" s="21" t="s">
        <v>398</v>
      </c>
      <c r="D171" s="21">
        <v>2470000</v>
      </c>
      <c r="E171" s="21" t="s">
        <v>331</v>
      </c>
      <c r="F171" s="21" t="str">
        <f t="shared" si="4"/>
        <v>rtdc.l.rtdc.4030:itc</v>
      </c>
      <c r="G171" s="8">
        <f t="shared" si="5"/>
        <v>42675.629490740743</v>
      </c>
    </row>
    <row r="172" spans="1:7" x14ac:dyDescent="0.25">
      <c r="A172" s="8">
        <v>42675.633043981485</v>
      </c>
      <c r="B172" s="21" t="s">
        <v>261</v>
      </c>
      <c r="C172" s="21" t="s">
        <v>513</v>
      </c>
      <c r="D172" s="21">
        <v>2540000</v>
      </c>
      <c r="E172" s="21" t="s">
        <v>326</v>
      </c>
      <c r="F172" s="21" t="str">
        <f t="shared" si="4"/>
        <v>rtdc.l.rtdc.4014:itc</v>
      </c>
      <c r="G172" s="8">
        <f t="shared" si="5"/>
        <v>42675.633043981485</v>
      </c>
    </row>
    <row r="173" spans="1:7" x14ac:dyDescent="0.25">
      <c r="A173" s="8">
        <v>42675.640613425923</v>
      </c>
      <c r="B173" s="21" t="s">
        <v>390</v>
      </c>
      <c r="C173" s="21" t="s">
        <v>514</v>
      </c>
      <c r="D173" s="21">
        <v>1280000</v>
      </c>
      <c r="E173" s="21" t="s">
        <v>299</v>
      </c>
      <c r="F173" s="21" t="str">
        <f t="shared" si="4"/>
        <v>rtdc.l.rtdc.4008:itc</v>
      </c>
      <c r="G173" s="8">
        <f t="shared" si="5"/>
        <v>42675.640613425923</v>
      </c>
    </row>
    <row r="174" spans="1:7" x14ac:dyDescent="0.25">
      <c r="A174" s="8">
        <v>42675.64340277778</v>
      </c>
      <c r="B174" s="21" t="s">
        <v>189</v>
      </c>
      <c r="C174" s="21" t="s">
        <v>515</v>
      </c>
      <c r="D174" s="21">
        <v>2000000</v>
      </c>
      <c r="E174" s="21" t="s">
        <v>516</v>
      </c>
      <c r="F174" s="21" t="str">
        <f t="shared" si="4"/>
        <v>rtdc.l.rtdc.4010:itc</v>
      </c>
      <c r="G174" s="8">
        <f t="shared" si="5"/>
        <v>42675.64340277778</v>
      </c>
    </row>
    <row r="175" spans="1:7" x14ac:dyDescent="0.25">
      <c r="A175" s="8">
        <v>42675.646435185183</v>
      </c>
      <c r="B175" s="21" t="s">
        <v>262</v>
      </c>
      <c r="C175" s="21" t="s">
        <v>517</v>
      </c>
      <c r="D175" s="21">
        <v>1140000</v>
      </c>
      <c r="E175" s="21" t="s">
        <v>237</v>
      </c>
      <c r="F175" s="21" t="str">
        <f t="shared" si="4"/>
        <v>rtdc.l.rtdc.4022:itc</v>
      </c>
      <c r="G175" s="8">
        <f t="shared" si="5"/>
        <v>42675.646435185183</v>
      </c>
    </row>
    <row r="176" spans="1:7" x14ac:dyDescent="0.25">
      <c r="A176" s="8">
        <v>42675.650127314817</v>
      </c>
      <c r="B176" s="21" t="s">
        <v>379</v>
      </c>
      <c r="C176" s="21" t="s">
        <v>518</v>
      </c>
      <c r="D176" s="21">
        <v>2420000</v>
      </c>
      <c r="E176" s="21" t="s">
        <v>325</v>
      </c>
      <c r="F176" s="21" t="str">
        <f t="shared" si="4"/>
        <v>rtdc.l.rtdc.4041:itc</v>
      </c>
      <c r="G176" s="8">
        <f t="shared" si="5"/>
        <v>42675.650127314817</v>
      </c>
    </row>
    <row r="177" spans="1:7" x14ac:dyDescent="0.25">
      <c r="A177" s="8">
        <v>42675.651412037034</v>
      </c>
      <c r="B177" s="21" t="s">
        <v>323</v>
      </c>
      <c r="C177" s="21" t="s">
        <v>519</v>
      </c>
      <c r="D177" s="21">
        <v>2460000</v>
      </c>
      <c r="E177" s="21" t="s">
        <v>328</v>
      </c>
      <c r="F177" s="21" t="str">
        <f t="shared" si="4"/>
        <v>rtdc.l.rtdc.4004:itc</v>
      </c>
      <c r="G177" s="8">
        <f t="shared" si="5"/>
        <v>42675.651412037034</v>
      </c>
    </row>
    <row r="178" spans="1:7" x14ac:dyDescent="0.25">
      <c r="A178" s="8">
        <v>42675.654351851852</v>
      </c>
      <c r="B178" s="21" t="s">
        <v>190</v>
      </c>
      <c r="C178" s="21" t="s">
        <v>520</v>
      </c>
      <c r="D178" s="21">
        <v>2000000</v>
      </c>
      <c r="E178" s="21" t="s">
        <v>516</v>
      </c>
      <c r="F178" s="21" t="str">
        <f t="shared" si="4"/>
        <v>rtdc.l.rtdc.4009:itc</v>
      </c>
      <c r="G178" s="8">
        <f t="shared" si="5"/>
        <v>42675.654351851852</v>
      </c>
    </row>
    <row r="179" spans="1:7" x14ac:dyDescent="0.25">
      <c r="A179" s="8">
        <v>42675.654467592591</v>
      </c>
      <c r="B179" s="21" t="s">
        <v>255</v>
      </c>
      <c r="C179" s="21" t="s">
        <v>521</v>
      </c>
      <c r="D179" s="21">
        <v>930000</v>
      </c>
      <c r="E179" s="21" t="s">
        <v>282</v>
      </c>
      <c r="F179" s="21" t="str">
        <f t="shared" si="4"/>
        <v>rtdc.l.rtdc.4038:itc</v>
      </c>
      <c r="G179" s="8">
        <f t="shared" si="5"/>
        <v>42675.654467592591</v>
      </c>
    </row>
    <row r="180" spans="1:7" x14ac:dyDescent="0.25">
      <c r="A180" s="8">
        <v>42675.661527777775</v>
      </c>
      <c r="B180" s="21" t="s">
        <v>316</v>
      </c>
      <c r="C180" s="21" t="s">
        <v>522</v>
      </c>
      <c r="D180" s="21">
        <v>1540000</v>
      </c>
      <c r="E180" s="21" t="s">
        <v>327</v>
      </c>
      <c r="F180" s="21" t="str">
        <f t="shared" si="4"/>
        <v>rtdc.l.rtdc.4039:itc</v>
      </c>
      <c r="G180" s="8">
        <f t="shared" si="5"/>
        <v>42675.661527777775</v>
      </c>
    </row>
    <row r="181" spans="1:7" x14ac:dyDescent="0.25">
      <c r="A181" s="8">
        <v>42675.661828703705</v>
      </c>
      <c r="B181" s="21" t="s">
        <v>229</v>
      </c>
      <c r="C181" s="21" t="s">
        <v>523</v>
      </c>
      <c r="D181" s="21">
        <v>2470000</v>
      </c>
      <c r="E181" s="21" t="s">
        <v>331</v>
      </c>
      <c r="F181" s="21" t="str">
        <f t="shared" si="4"/>
        <v>rtdc.l.rtdc.4029:itc</v>
      </c>
      <c r="G181" s="8">
        <f t="shared" si="5"/>
        <v>42675.661828703705</v>
      </c>
    </row>
    <row r="182" spans="1:7" x14ac:dyDescent="0.25">
      <c r="A182" s="8">
        <v>42675.664861111109</v>
      </c>
      <c r="B182" s="21" t="s">
        <v>260</v>
      </c>
      <c r="C182" s="21" t="s">
        <v>524</v>
      </c>
      <c r="D182" s="21">
        <v>2540000</v>
      </c>
      <c r="E182" s="21" t="s">
        <v>326</v>
      </c>
      <c r="F182" s="21" t="str">
        <f t="shared" si="4"/>
        <v>rtdc.l.rtdc.4013:itc</v>
      </c>
      <c r="G182" s="8">
        <f t="shared" si="5"/>
        <v>42675.664861111109</v>
      </c>
    </row>
    <row r="183" spans="1:7" x14ac:dyDescent="0.25">
      <c r="A183" s="8">
        <v>42675.666898148149</v>
      </c>
      <c r="B183" s="21" t="s">
        <v>301</v>
      </c>
      <c r="C183" s="21" t="s">
        <v>525</v>
      </c>
      <c r="D183" s="21">
        <v>2460000</v>
      </c>
      <c r="E183" s="21" t="s">
        <v>328</v>
      </c>
      <c r="F183" s="21" t="str">
        <f t="shared" si="4"/>
        <v>rtdc.l.rtdc.4003:itc</v>
      </c>
      <c r="G183" s="8">
        <f t="shared" si="5"/>
        <v>42675.666898148149</v>
      </c>
    </row>
    <row r="184" spans="1:7" x14ac:dyDescent="0.25">
      <c r="A184" s="8">
        <v>42675.672893518517</v>
      </c>
      <c r="B184" s="21" t="s">
        <v>189</v>
      </c>
      <c r="C184" s="21" t="s">
        <v>526</v>
      </c>
      <c r="D184" s="21">
        <v>2000000</v>
      </c>
      <c r="E184" s="21" t="s">
        <v>516</v>
      </c>
      <c r="F184" s="21" t="str">
        <f t="shared" si="4"/>
        <v>rtdc.l.rtdc.4010:itc</v>
      </c>
      <c r="G184" s="8">
        <f t="shared" si="5"/>
        <v>42675.672893518517</v>
      </c>
    </row>
    <row r="185" spans="1:7" x14ac:dyDescent="0.25">
      <c r="A185" s="8">
        <v>42675.673692129632</v>
      </c>
      <c r="B185" s="21" t="s">
        <v>193</v>
      </c>
      <c r="C185" s="21" t="s">
        <v>527</v>
      </c>
      <c r="D185" s="21">
        <v>1280000</v>
      </c>
      <c r="E185" s="21" t="s">
        <v>299</v>
      </c>
      <c r="F185" s="21" t="str">
        <f t="shared" si="4"/>
        <v>rtdc.l.rtdc.4007:itc</v>
      </c>
      <c r="G185" s="8">
        <f t="shared" si="5"/>
        <v>42675.673692129632</v>
      </c>
    </row>
    <row r="186" spans="1:7" x14ac:dyDescent="0.25">
      <c r="A186" s="8">
        <v>42675.683217592596</v>
      </c>
      <c r="B186" s="21" t="s">
        <v>244</v>
      </c>
      <c r="C186" s="21" t="s">
        <v>528</v>
      </c>
      <c r="D186" s="21">
        <v>1140000</v>
      </c>
      <c r="E186" s="21" t="s">
        <v>237</v>
      </c>
      <c r="F186" s="21" t="str">
        <f t="shared" si="4"/>
        <v>rtdc.l.rtdc.4021:itc</v>
      </c>
      <c r="G186" s="8">
        <f t="shared" si="5"/>
        <v>42675.683217592596</v>
      </c>
    </row>
    <row r="187" spans="1:7" x14ac:dyDescent="0.25">
      <c r="A187" s="8">
        <v>42675.686412037037</v>
      </c>
      <c r="B187" s="21" t="s">
        <v>190</v>
      </c>
      <c r="C187" s="21" t="s">
        <v>529</v>
      </c>
      <c r="D187" s="21">
        <v>2000000</v>
      </c>
      <c r="E187" s="21" t="s">
        <v>516</v>
      </c>
      <c r="F187" s="21" t="str">
        <f t="shared" si="4"/>
        <v>rtdc.l.rtdc.4009:itc</v>
      </c>
      <c r="G187" s="8">
        <f t="shared" si="5"/>
        <v>42675.686412037037</v>
      </c>
    </row>
    <row r="188" spans="1:7" x14ac:dyDescent="0.25">
      <c r="A188" s="8">
        <v>42675.689479166664</v>
      </c>
      <c r="B188" s="21" t="s">
        <v>407</v>
      </c>
      <c r="C188" s="21" t="s">
        <v>530</v>
      </c>
      <c r="D188" s="21">
        <v>2420000</v>
      </c>
      <c r="E188" s="21" t="s">
        <v>325</v>
      </c>
      <c r="F188" s="21" t="str">
        <f t="shared" si="4"/>
        <v>rtdc.l.rtdc.4042:itc</v>
      </c>
      <c r="G188" s="8">
        <f t="shared" si="5"/>
        <v>42675.689479166664</v>
      </c>
    </row>
    <row r="189" spans="1:7" x14ac:dyDescent="0.25">
      <c r="A189" s="8">
        <v>42675.69290509259</v>
      </c>
      <c r="B189" s="21" t="s">
        <v>323</v>
      </c>
      <c r="C189" s="21" t="s">
        <v>399</v>
      </c>
      <c r="D189" s="21">
        <v>2460000</v>
      </c>
      <c r="E189" s="21" t="s">
        <v>328</v>
      </c>
      <c r="F189" s="21" t="str">
        <f t="shared" si="4"/>
        <v>rtdc.l.rtdc.4004:itc</v>
      </c>
      <c r="G189" s="8">
        <f t="shared" si="5"/>
        <v>42675.69290509259</v>
      </c>
    </row>
    <row r="190" spans="1:7" x14ac:dyDescent="0.25">
      <c r="A190" s="8">
        <v>42675.693182870367</v>
      </c>
      <c r="B190" s="21" t="s">
        <v>238</v>
      </c>
      <c r="C190" s="21" t="s">
        <v>531</v>
      </c>
      <c r="D190" s="21">
        <v>930000</v>
      </c>
      <c r="E190" s="21" t="s">
        <v>282</v>
      </c>
      <c r="F190" s="21" t="str">
        <f t="shared" si="4"/>
        <v>rtdc.l.rtdc.4037:itc</v>
      </c>
      <c r="G190" s="8">
        <f t="shared" si="5"/>
        <v>42675.693182870367</v>
      </c>
    </row>
    <row r="191" spans="1:7" x14ac:dyDescent="0.25">
      <c r="A191" s="8">
        <v>42675.696342592593</v>
      </c>
      <c r="B191" s="21" t="s">
        <v>254</v>
      </c>
      <c r="C191" s="21" t="s">
        <v>532</v>
      </c>
      <c r="D191" s="21">
        <v>1540000</v>
      </c>
      <c r="E191" s="21" t="s">
        <v>327</v>
      </c>
      <c r="F191" s="21" t="str">
        <f t="shared" si="4"/>
        <v>rtdc.l.rtdc.4040:itc</v>
      </c>
      <c r="G191" s="8">
        <f t="shared" si="5"/>
        <v>42675.696342592593</v>
      </c>
    </row>
    <row r="192" spans="1:7" x14ac:dyDescent="0.25">
      <c r="A192" s="8">
        <v>42675.69835648148</v>
      </c>
      <c r="B192" s="21" t="s">
        <v>230</v>
      </c>
      <c r="C192" s="21" t="s">
        <v>533</v>
      </c>
      <c r="D192" s="21">
        <v>2470000</v>
      </c>
      <c r="E192" s="21" t="s">
        <v>331</v>
      </c>
      <c r="F192" s="21" t="str">
        <f t="shared" si="4"/>
        <v>rtdc.l.rtdc.4030:itc</v>
      </c>
      <c r="G192" s="8">
        <f t="shared" si="5"/>
        <v>42675.69835648148</v>
      </c>
    </row>
    <row r="193" spans="1:7" x14ac:dyDescent="0.25">
      <c r="A193" s="8">
        <v>42675.705300925925</v>
      </c>
      <c r="B193" s="21" t="s">
        <v>390</v>
      </c>
      <c r="C193" s="21" t="s">
        <v>534</v>
      </c>
      <c r="D193" s="21">
        <v>1280000</v>
      </c>
      <c r="E193" s="21" t="s">
        <v>299</v>
      </c>
      <c r="F193" s="21" t="str">
        <f t="shared" si="4"/>
        <v>rtdc.l.rtdc.4008:itc</v>
      </c>
      <c r="G193" s="8">
        <f t="shared" si="5"/>
        <v>42675.705300925925</v>
      </c>
    </row>
    <row r="194" spans="1:7" x14ac:dyDescent="0.25">
      <c r="A194" s="8">
        <v>42675.705520833333</v>
      </c>
      <c r="B194" s="21" t="s">
        <v>261</v>
      </c>
      <c r="C194" s="21" t="s">
        <v>535</v>
      </c>
      <c r="D194" s="21">
        <v>2540000</v>
      </c>
      <c r="E194" s="21" t="s">
        <v>326</v>
      </c>
      <c r="F194" s="21" t="str">
        <f t="shared" ref="F194:F235" si="6">B194</f>
        <v>rtdc.l.rtdc.4014:itc</v>
      </c>
      <c r="G194" s="8">
        <f t="shared" ref="G194:G235" si="7">A194</f>
        <v>42675.705520833333</v>
      </c>
    </row>
    <row r="195" spans="1:7" x14ac:dyDescent="0.25">
      <c r="A195" s="8">
        <v>42675.708229166667</v>
      </c>
      <c r="B195" s="21" t="s">
        <v>301</v>
      </c>
      <c r="C195" s="21" t="s">
        <v>536</v>
      </c>
      <c r="D195" s="21">
        <v>2460000</v>
      </c>
      <c r="E195" s="21" t="s">
        <v>328</v>
      </c>
      <c r="F195" s="21" t="str">
        <f t="shared" si="6"/>
        <v>rtdc.l.rtdc.4003:itc</v>
      </c>
      <c r="G195" s="8">
        <f t="shared" si="7"/>
        <v>42675.708229166667</v>
      </c>
    </row>
    <row r="196" spans="1:7" x14ac:dyDescent="0.25">
      <c r="A196" s="8">
        <v>42675.713425925926</v>
      </c>
      <c r="B196" s="21" t="s">
        <v>189</v>
      </c>
      <c r="C196" s="21" t="s">
        <v>400</v>
      </c>
      <c r="D196" s="21">
        <v>2000000</v>
      </c>
      <c r="E196" s="21" t="s">
        <v>516</v>
      </c>
      <c r="F196" s="21" t="str">
        <f t="shared" si="6"/>
        <v>rtdc.l.rtdc.4010:itc</v>
      </c>
      <c r="G196" s="8">
        <f t="shared" si="7"/>
        <v>42675.713425925926</v>
      </c>
    </row>
    <row r="197" spans="1:7" x14ac:dyDescent="0.25">
      <c r="A197" s="8">
        <v>42675.717800925922</v>
      </c>
      <c r="B197" s="21" t="s">
        <v>262</v>
      </c>
      <c r="C197" s="21" t="s">
        <v>537</v>
      </c>
      <c r="D197" s="21">
        <v>2430000</v>
      </c>
      <c r="E197" s="21" t="s">
        <v>330</v>
      </c>
      <c r="F197" s="21" t="str">
        <f t="shared" si="6"/>
        <v>rtdc.l.rtdc.4022:itc</v>
      </c>
      <c r="G197" s="8">
        <f t="shared" si="7"/>
        <v>42675.717800925922</v>
      </c>
    </row>
    <row r="198" spans="1:7" x14ac:dyDescent="0.25">
      <c r="A198" s="8">
        <v>42675.724687499998</v>
      </c>
      <c r="B198" s="21" t="s">
        <v>379</v>
      </c>
      <c r="C198" s="21" t="s">
        <v>538</v>
      </c>
      <c r="D198" s="21">
        <v>2420000</v>
      </c>
      <c r="E198" s="21" t="s">
        <v>325</v>
      </c>
      <c r="F198" s="21" t="str">
        <f t="shared" si="6"/>
        <v>rtdc.l.rtdc.4041:itc</v>
      </c>
      <c r="G198" s="8">
        <f t="shared" si="7"/>
        <v>42675.724687499998</v>
      </c>
    </row>
    <row r="199" spans="1:7" x14ac:dyDescent="0.25">
      <c r="A199" s="8">
        <v>42675.725868055553</v>
      </c>
      <c r="B199" s="21" t="s">
        <v>255</v>
      </c>
      <c r="C199" s="21" t="s">
        <v>539</v>
      </c>
      <c r="D199" s="21">
        <v>1140000</v>
      </c>
      <c r="E199" s="21" t="s">
        <v>237</v>
      </c>
      <c r="F199" s="21" t="str">
        <f t="shared" si="6"/>
        <v>rtdc.l.rtdc.4038:itc</v>
      </c>
      <c r="G199" s="8">
        <f t="shared" si="7"/>
        <v>42675.725868055553</v>
      </c>
    </row>
    <row r="200" spans="1:7" x14ac:dyDescent="0.25">
      <c r="A200" s="8">
        <v>42675.732291666667</v>
      </c>
      <c r="B200" s="21" t="s">
        <v>190</v>
      </c>
      <c r="C200" s="21" t="s">
        <v>540</v>
      </c>
      <c r="D200" s="21">
        <v>2000000</v>
      </c>
      <c r="E200" s="21" t="s">
        <v>516</v>
      </c>
      <c r="F200" s="21" t="str">
        <f t="shared" si="6"/>
        <v>rtdc.l.rtdc.4009:itc</v>
      </c>
      <c r="G200" s="8">
        <f t="shared" si="7"/>
        <v>42675.732291666667</v>
      </c>
    </row>
    <row r="201" spans="1:7" x14ac:dyDescent="0.25">
      <c r="A201" s="8">
        <v>42675.733715277776</v>
      </c>
      <c r="B201" s="21" t="s">
        <v>316</v>
      </c>
      <c r="C201" s="21" t="s">
        <v>541</v>
      </c>
      <c r="D201" s="21">
        <v>1540000</v>
      </c>
      <c r="E201" s="21" t="s">
        <v>327</v>
      </c>
      <c r="F201" s="21" t="str">
        <f t="shared" si="6"/>
        <v>rtdc.l.rtdc.4039:itc</v>
      </c>
      <c r="G201" s="8">
        <f t="shared" si="7"/>
        <v>42675.733715277776</v>
      </c>
    </row>
    <row r="202" spans="1:7" x14ac:dyDescent="0.25">
      <c r="A202" s="27">
        <v>42675.734884259262</v>
      </c>
      <c r="B202" s="21" t="s">
        <v>323</v>
      </c>
      <c r="C202" s="21" t="s">
        <v>542</v>
      </c>
      <c r="D202" s="21">
        <v>2460000</v>
      </c>
      <c r="E202" s="21" t="s">
        <v>328</v>
      </c>
      <c r="F202" s="21" t="str">
        <f t="shared" si="6"/>
        <v>rtdc.l.rtdc.4004:itc</v>
      </c>
      <c r="G202" s="8">
        <f t="shared" si="7"/>
        <v>42675.734884259262</v>
      </c>
    </row>
    <row r="203" spans="1:7" x14ac:dyDescent="0.25">
      <c r="A203" s="8">
        <v>42675.736539351848</v>
      </c>
      <c r="B203" s="21" t="s">
        <v>229</v>
      </c>
      <c r="C203" s="21" t="s">
        <v>541</v>
      </c>
      <c r="D203" s="21">
        <v>2250000</v>
      </c>
      <c r="E203" s="21" t="s">
        <v>300</v>
      </c>
      <c r="F203" s="21" t="str">
        <f t="shared" si="6"/>
        <v>rtdc.l.rtdc.4029:itc</v>
      </c>
      <c r="G203" s="8">
        <f t="shared" si="7"/>
        <v>42675.736539351848</v>
      </c>
    </row>
    <row r="204" spans="1:7" x14ac:dyDescent="0.25">
      <c r="A204" s="8">
        <v>42675.737164351849</v>
      </c>
      <c r="B204" s="21" t="s">
        <v>229</v>
      </c>
      <c r="C204" s="21" t="s">
        <v>543</v>
      </c>
      <c r="D204" s="21">
        <v>2250000</v>
      </c>
      <c r="E204" s="21" t="s">
        <v>300</v>
      </c>
      <c r="F204" s="21" t="str">
        <f t="shared" si="6"/>
        <v>rtdc.l.rtdc.4029:itc</v>
      </c>
      <c r="G204" s="8">
        <f t="shared" si="7"/>
        <v>42675.737164351849</v>
      </c>
    </row>
    <row r="205" spans="1:7" x14ac:dyDescent="0.25">
      <c r="A205" s="8">
        <v>42675.737870370373</v>
      </c>
      <c r="B205" s="21" t="s">
        <v>296</v>
      </c>
      <c r="C205" s="21" t="s">
        <v>544</v>
      </c>
      <c r="D205" s="21">
        <v>1230000</v>
      </c>
      <c r="E205" s="21" t="s">
        <v>545</v>
      </c>
      <c r="F205" s="21" t="str">
        <f t="shared" si="6"/>
        <v>rtdc.l.rtdc.4045:itc</v>
      </c>
      <c r="G205" s="8">
        <f t="shared" si="7"/>
        <v>42675.737870370373</v>
      </c>
    </row>
    <row r="206" spans="1:7" x14ac:dyDescent="0.25">
      <c r="A206" s="8">
        <v>42675.737881944442</v>
      </c>
      <c r="B206" s="21" t="s">
        <v>260</v>
      </c>
      <c r="C206" s="21" t="s">
        <v>546</v>
      </c>
      <c r="D206" s="21">
        <v>2540000</v>
      </c>
      <c r="E206" s="21" t="s">
        <v>326</v>
      </c>
      <c r="F206" s="21" t="str">
        <f t="shared" si="6"/>
        <v>rtdc.l.rtdc.4013:itc</v>
      </c>
      <c r="G206" s="8">
        <f t="shared" si="7"/>
        <v>42675.737881944442</v>
      </c>
    </row>
    <row r="207" spans="1:7" x14ac:dyDescent="0.25">
      <c r="A207" s="8">
        <v>42675.74622685185</v>
      </c>
      <c r="B207" s="21" t="s">
        <v>193</v>
      </c>
      <c r="C207" s="21" t="s">
        <v>547</v>
      </c>
      <c r="D207" s="21">
        <v>2470000</v>
      </c>
      <c r="E207" s="21" t="s">
        <v>331</v>
      </c>
      <c r="F207" s="21" t="str">
        <f t="shared" si="6"/>
        <v>rtdc.l.rtdc.4007:itc</v>
      </c>
      <c r="G207" s="8">
        <f t="shared" si="7"/>
        <v>42675.74622685185</v>
      </c>
    </row>
    <row r="208" spans="1:7" x14ac:dyDescent="0.25">
      <c r="A208" s="8">
        <v>42675.750347222223</v>
      </c>
      <c r="B208" s="21" t="s">
        <v>301</v>
      </c>
      <c r="C208" s="21" t="s">
        <v>548</v>
      </c>
      <c r="D208" s="21">
        <v>2460000</v>
      </c>
      <c r="E208" s="21" t="s">
        <v>328</v>
      </c>
      <c r="F208" s="21" t="str">
        <f t="shared" si="6"/>
        <v>rtdc.l.rtdc.4003:itc</v>
      </c>
      <c r="G208" s="8">
        <f t="shared" si="7"/>
        <v>42675.750347222223</v>
      </c>
    </row>
    <row r="209" spans="1:7" x14ac:dyDescent="0.25">
      <c r="A209" s="8">
        <v>42675.752615740741</v>
      </c>
      <c r="B209" s="21" t="s">
        <v>244</v>
      </c>
      <c r="C209" s="21" t="s">
        <v>549</v>
      </c>
      <c r="D209" s="21">
        <v>2430000</v>
      </c>
      <c r="E209" s="21" t="s">
        <v>330</v>
      </c>
      <c r="F209" s="21" t="str">
        <f t="shared" si="6"/>
        <v>rtdc.l.rtdc.4021:itc</v>
      </c>
      <c r="G209" s="8">
        <f t="shared" si="7"/>
        <v>42675.752615740741</v>
      </c>
    </row>
    <row r="210" spans="1:7" x14ac:dyDescent="0.25">
      <c r="A210" s="8">
        <v>42675.754733796297</v>
      </c>
      <c r="B210" s="21" t="s">
        <v>235</v>
      </c>
      <c r="C210" s="21" t="s">
        <v>401</v>
      </c>
      <c r="D210" s="21">
        <v>2370000</v>
      </c>
      <c r="E210" s="21" t="s">
        <v>231</v>
      </c>
      <c r="F210" s="21" t="str">
        <f t="shared" si="6"/>
        <v>rtdc.l.rtdc.4015:itc</v>
      </c>
      <c r="G210" s="8">
        <f t="shared" si="7"/>
        <v>42675.754733796297</v>
      </c>
    </row>
    <row r="211" spans="1:7" x14ac:dyDescent="0.25">
      <c r="A211" s="8">
        <v>42675.75577546296</v>
      </c>
      <c r="B211" s="21" t="s">
        <v>189</v>
      </c>
      <c r="C211" s="21" t="s">
        <v>402</v>
      </c>
      <c r="D211" s="21">
        <v>2000000</v>
      </c>
      <c r="E211" s="21" t="s">
        <v>516</v>
      </c>
      <c r="F211" s="21" t="str">
        <f t="shared" si="6"/>
        <v>rtdc.l.rtdc.4010:itc</v>
      </c>
      <c r="G211" s="8">
        <f t="shared" si="7"/>
        <v>42675.75577546296</v>
      </c>
    </row>
    <row r="212" spans="1:7" x14ac:dyDescent="0.25">
      <c r="A212" s="8">
        <v>42675.758368055554</v>
      </c>
      <c r="B212" s="21" t="s">
        <v>407</v>
      </c>
      <c r="C212" s="21" t="s">
        <v>550</v>
      </c>
      <c r="D212" s="21">
        <v>2480000</v>
      </c>
      <c r="E212" s="21" t="s">
        <v>332</v>
      </c>
      <c r="F212" s="21" t="str">
        <f t="shared" si="6"/>
        <v>rtdc.l.rtdc.4042:itc</v>
      </c>
      <c r="G212" s="8">
        <f t="shared" si="7"/>
        <v>42675.758368055554</v>
      </c>
    </row>
    <row r="213" spans="1:7" x14ac:dyDescent="0.25">
      <c r="A213" s="8">
        <v>42675.763298611113</v>
      </c>
      <c r="B213" s="21" t="s">
        <v>238</v>
      </c>
      <c r="C213" s="21" t="s">
        <v>551</v>
      </c>
      <c r="D213" s="21">
        <v>1140000</v>
      </c>
      <c r="E213" s="21" t="s">
        <v>237</v>
      </c>
      <c r="F213" s="21" t="str">
        <f t="shared" si="6"/>
        <v>rtdc.l.rtdc.4037:itc</v>
      </c>
      <c r="G213" s="8">
        <f t="shared" si="7"/>
        <v>42675.763298611113</v>
      </c>
    </row>
    <row r="214" spans="1:7" x14ac:dyDescent="0.25">
      <c r="A214" s="8">
        <v>42675.76902777778</v>
      </c>
      <c r="B214" s="21" t="s">
        <v>254</v>
      </c>
      <c r="C214" s="21" t="s">
        <v>552</v>
      </c>
      <c r="D214" s="21">
        <v>1800000</v>
      </c>
      <c r="E214" s="21" t="s">
        <v>283</v>
      </c>
      <c r="F214" s="21" t="str">
        <f t="shared" si="6"/>
        <v>rtdc.l.rtdc.4040:itc</v>
      </c>
      <c r="G214" s="8">
        <f t="shared" si="7"/>
        <v>42675.76902777778</v>
      </c>
    </row>
    <row r="215" spans="1:7" x14ac:dyDescent="0.25">
      <c r="A215" s="8">
        <v>42675.770891203705</v>
      </c>
      <c r="B215" s="21" t="s">
        <v>190</v>
      </c>
      <c r="C215" s="21" t="s">
        <v>553</v>
      </c>
      <c r="D215" s="21">
        <v>2000000</v>
      </c>
      <c r="E215" s="21" t="s">
        <v>516</v>
      </c>
      <c r="F215" s="21" t="str">
        <f t="shared" si="6"/>
        <v>rtdc.l.rtdc.4009:itc</v>
      </c>
      <c r="G215" s="8">
        <f t="shared" si="7"/>
        <v>42675.770891203705</v>
      </c>
    </row>
    <row r="216" spans="1:7" x14ac:dyDescent="0.25">
      <c r="A216" s="8">
        <v>42675.772800925923</v>
      </c>
      <c r="B216" s="21" t="s">
        <v>230</v>
      </c>
      <c r="C216" s="21" t="s">
        <v>554</v>
      </c>
      <c r="D216" s="21">
        <v>2250000</v>
      </c>
      <c r="E216" s="21" t="s">
        <v>300</v>
      </c>
      <c r="F216" s="21" t="str">
        <f t="shared" si="6"/>
        <v>rtdc.l.rtdc.4030:itc</v>
      </c>
      <c r="G216" s="8">
        <f t="shared" si="7"/>
        <v>42675.772800925923</v>
      </c>
    </row>
    <row r="217" spans="1:7" x14ac:dyDescent="0.25">
      <c r="A217" s="8">
        <v>42675.776597222219</v>
      </c>
      <c r="B217" s="21" t="s">
        <v>323</v>
      </c>
      <c r="C217" s="21" t="s">
        <v>555</v>
      </c>
      <c r="D217" s="21">
        <v>2460000</v>
      </c>
      <c r="E217" s="21" t="s">
        <v>328</v>
      </c>
      <c r="F217" s="21" t="str">
        <f t="shared" si="6"/>
        <v>rtdc.l.rtdc.4004:itc</v>
      </c>
      <c r="G217" s="8">
        <f t="shared" si="7"/>
        <v>42675.776597222219</v>
      </c>
    </row>
    <row r="218" spans="1:7" x14ac:dyDescent="0.25">
      <c r="A218" s="8">
        <v>42675.779594907406</v>
      </c>
      <c r="B218" s="21" t="s">
        <v>261</v>
      </c>
      <c r="C218" s="21" t="s">
        <v>556</v>
      </c>
      <c r="D218" s="21">
        <v>2540000</v>
      </c>
      <c r="E218" s="21" t="s">
        <v>326</v>
      </c>
      <c r="F218" s="21" t="str">
        <f t="shared" si="6"/>
        <v>rtdc.l.rtdc.4014:itc</v>
      </c>
      <c r="G218" s="8">
        <f t="shared" si="7"/>
        <v>42675.779594907406</v>
      </c>
    </row>
    <row r="219" spans="1:7" x14ac:dyDescent="0.25">
      <c r="A219" s="8">
        <v>42675.785405092596</v>
      </c>
      <c r="B219" s="21" t="s">
        <v>390</v>
      </c>
      <c r="C219" s="21" t="s">
        <v>557</v>
      </c>
      <c r="D219" s="21">
        <v>2470000</v>
      </c>
      <c r="E219" s="21" t="s">
        <v>331</v>
      </c>
      <c r="F219" s="21" t="str">
        <f t="shared" si="6"/>
        <v>rtdc.l.rtdc.4008:itc</v>
      </c>
      <c r="G219" s="8">
        <f t="shared" si="7"/>
        <v>42675.785405092596</v>
      </c>
    </row>
    <row r="220" spans="1:7" x14ac:dyDescent="0.25">
      <c r="A220" s="8">
        <v>42675.788611111115</v>
      </c>
      <c r="B220" s="21" t="s">
        <v>262</v>
      </c>
      <c r="C220" s="21" t="s">
        <v>558</v>
      </c>
      <c r="D220" s="21">
        <v>2430000</v>
      </c>
      <c r="E220" s="21" t="s">
        <v>330</v>
      </c>
      <c r="F220" s="21" t="str">
        <f t="shared" si="6"/>
        <v>rtdc.l.rtdc.4022:itc</v>
      </c>
      <c r="G220" s="8">
        <f t="shared" si="7"/>
        <v>42675.788611111115</v>
      </c>
    </row>
    <row r="221" spans="1:7" x14ac:dyDescent="0.25">
      <c r="A221" s="8">
        <v>42675.79446759259</v>
      </c>
      <c r="B221" s="21" t="s">
        <v>301</v>
      </c>
      <c r="C221" s="21" t="s">
        <v>559</v>
      </c>
      <c r="D221" s="21">
        <v>2460000</v>
      </c>
      <c r="E221" s="21" t="s">
        <v>328</v>
      </c>
      <c r="F221" s="21" t="str">
        <f t="shared" si="6"/>
        <v>rtdc.l.rtdc.4003:itc</v>
      </c>
      <c r="G221" s="8">
        <f t="shared" si="7"/>
        <v>42675.79446759259</v>
      </c>
    </row>
    <row r="222" spans="1:7" x14ac:dyDescent="0.25">
      <c r="A222" s="8">
        <v>42675.795127314814</v>
      </c>
      <c r="B222" s="21" t="s">
        <v>379</v>
      </c>
      <c r="C222" s="21" t="s">
        <v>560</v>
      </c>
      <c r="D222" s="21">
        <v>2480000</v>
      </c>
      <c r="E222" s="21" t="s">
        <v>332</v>
      </c>
      <c r="F222" s="21" t="str">
        <f t="shared" si="6"/>
        <v>rtdc.l.rtdc.4041:itc</v>
      </c>
      <c r="G222" s="8">
        <f t="shared" si="7"/>
        <v>42675.795127314814</v>
      </c>
    </row>
    <row r="223" spans="1:7" x14ac:dyDescent="0.25">
      <c r="A223" s="8">
        <v>42675.796875</v>
      </c>
      <c r="B223" s="21" t="s">
        <v>189</v>
      </c>
      <c r="C223" s="21" t="s">
        <v>561</v>
      </c>
      <c r="D223" s="21">
        <v>2000000</v>
      </c>
      <c r="E223" s="21" t="s">
        <v>516</v>
      </c>
      <c r="F223" s="21" t="str">
        <f t="shared" si="6"/>
        <v>rtdc.l.rtdc.4010:itc</v>
      </c>
      <c r="G223" s="8">
        <f t="shared" si="7"/>
        <v>42675.796875</v>
      </c>
    </row>
    <row r="224" spans="1:7" x14ac:dyDescent="0.25">
      <c r="A224" s="8">
        <v>42675.800995370373</v>
      </c>
      <c r="B224" t="s">
        <v>255</v>
      </c>
      <c r="C224" t="s">
        <v>562</v>
      </c>
      <c r="D224">
        <v>1140000</v>
      </c>
      <c r="E224" t="s">
        <v>237</v>
      </c>
      <c r="F224" s="21" t="str">
        <f t="shared" si="6"/>
        <v>rtdc.l.rtdc.4038:itc</v>
      </c>
      <c r="G224" s="8">
        <f t="shared" si="7"/>
        <v>42675.800995370373</v>
      </c>
    </row>
    <row r="225" spans="1:7" x14ac:dyDescent="0.25">
      <c r="A225" s="8">
        <v>42675.807650462964</v>
      </c>
      <c r="B225" t="s">
        <v>229</v>
      </c>
      <c r="C225" t="s">
        <v>563</v>
      </c>
      <c r="D225">
        <v>2250000</v>
      </c>
      <c r="E225" t="s">
        <v>300</v>
      </c>
      <c r="F225" s="21" t="str">
        <f t="shared" si="6"/>
        <v>rtdc.l.rtdc.4029:itc</v>
      </c>
      <c r="G225" s="8">
        <f t="shared" si="7"/>
        <v>42675.807650462964</v>
      </c>
    </row>
    <row r="226" spans="1:7" x14ac:dyDescent="0.25">
      <c r="A226" s="8">
        <v>42675.807939814818</v>
      </c>
      <c r="B226" t="s">
        <v>316</v>
      </c>
      <c r="C226" t="s">
        <v>564</v>
      </c>
      <c r="D226">
        <v>1800000</v>
      </c>
      <c r="E226" t="s">
        <v>283</v>
      </c>
      <c r="F226" s="21" t="str">
        <f t="shared" si="6"/>
        <v>rtdc.l.rtdc.4039:itc</v>
      </c>
      <c r="G226" s="8">
        <f t="shared" si="7"/>
        <v>42675.807939814818</v>
      </c>
    </row>
    <row r="227" spans="1:7" x14ac:dyDescent="0.25">
      <c r="A227" s="8">
        <v>42675.817812499998</v>
      </c>
      <c r="B227" t="s">
        <v>193</v>
      </c>
      <c r="C227" t="s">
        <v>565</v>
      </c>
      <c r="D227">
        <v>2470000</v>
      </c>
      <c r="E227" t="s">
        <v>331</v>
      </c>
      <c r="F227" s="21" t="str">
        <f t="shared" si="6"/>
        <v>rtdc.l.rtdc.4007:itc</v>
      </c>
      <c r="G227" s="8">
        <f t="shared" si="7"/>
        <v>42675.817812499998</v>
      </c>
    </row>
    <row r="228" spans="1:7" x14ac:dyDescent="0.25">
      <c r="A228" s="8">
        <v>42675.817997685182</v>
      </c>
      <c r="B228" t="s">
        <v>323</v>
      </c>
      <c r="C228" t="s">
        <v>566</v>
      </c>
      <c r="D228">
        <v>2460000</v>
      </c>
      <c r="E228" t="s">
        <v>328</v>
      </c>
      <c r="F228" s="21" t="str">
        <f t="shared" si="6"/>
        <v>rtdc.l.rtdc.4004:itc</v>
      </c>
      <c r="G228" s="8">
        <f t="shared" si="7"/>
        <v>42675.817997685182</v>
      </c>
    </row>
    <row r="229" spans="1:7" x14ac:dyDescent="0.25">
      <c r="A229" s="8">
        <v>42675.826504629629</v>
      </c>
      <c r="B229" t="s">
        <v>244</v>
      </c>
      <c r="C229" t="s">
        <v>567</v>
      </c>
      <c r="D229">
        <v>2430000</v>
      </c>
      <c r="E229" t="s">
        <v>330</v>
      </c>
      <c r="F229" s="21" t="str">
        <f t="shared" si="6"/>
        <v>rtdc.l.rtdc.4021:itc</v>
      </c>
      <c r="G229" s="8">
        <f t="shared" si="7"/>
        <v>42675.826504629629</v>
      </c>
    </row>
    <row r="230" spans="1:7" x14ac:dyDescent="0.25">
      <c r="A230" s="8">
        <v>42675.829560185186</v>
      </c>
      <c r="B230" t="s">
        <v>407</v>
      </c>
      <c r="C230" t="s">
        <v>568</v>
      </c>
      <c r="D230">
        <v>2480000</v>
      </c>
      <c r="E230" t="s">
        <v>332</v>
      </c>
      <c r="F230" s="21" t="str">
        <f t="shared" si="6"/>
        <v>rtdc.l.rtdc.4042:itc</v>
      </c>
      <c r="G230" s="8">
        <f t="shared" si="7"/>
        <v>42675.829560185186</v>
      </c>
    </row>
    <row r="231" spans="1:7" x14ac:dyDescent="0.25">
      <c r="A231" s="8">
        <v>42675.836099537039</v>
      </c>
      <c r="B231" t="s">
        <v>301</v>
      </c>
      <c r="C231" t="s">
        <v>569</v>
      </c>
      <c r="D231">
        <v>2460000</v>
      </c>
      <c r="E231" t="s">
        <v>328</v>
      </c>
      <c r="F231" s="21" t="str">
        <f t="shared" si="6"/>
        <v>rtdc.l.rtdc.4003:itc</v>
      </c>
      <c r="G231" s="8">
        <f t="shared" si="7"/>
        <v>42675.836099537039</v>
      </c>
    </row>
    <row r="232" spans="1:7" x14ac:dyDescent="0.25">
      <c r="A232" s="8">
        <v>42675.844942129632</v>
      </c>
      <c r="B232" t="s">
        <v>230</v>
      </c>
      <c r="C232" t="s">
        <v>570</v>
      </c>
      <c r="D232">
        <v>2250000</v>
      </c>
      <c r="E232" t="s">
        <v>300</v>
      </c>
      <c r="F232" s="21" t="str">
        <f t="shared" si="6"/>
        <v>rtdc.l.rtdc.4030:itc</v>
      </c>
      <c r="G232" s="8">
        <f t="shared" si="7"/>
        <v>42675.844942129632</v>
      </c>
    </row>
    <row r="233" spans="1:7" x14ac:dyDescent="0.25">
      <c r="A233" s="8">
        <v>42675.854108796295</v>
      </c>
      <c r="B233" t="s">
        <v>254</v>
      </c>
      <c r="C233" t="s">
        <v>571</v>
      </c>
      <c r="D233">
        <v>1800000</v>
      </c>
      <c r="E233" t="s">
        <v>283</v>
      </c>
      <c r="F233" s="21" t="str">
        <f t="shared" si="6"/>
        <v>rtdc.l.rtdc.4040:itc</v>
      </c>
      <c r="G233" s="8">
        <f t="shared" si="7"/>
        <v>42675.854108796295</v>
      </c>
    </row>
    <row r="234" spans="1:7" x14ac:dyDescent="0.25">
      <c r="A234" s="8">
        <v>42675.860995370371</v>
      </c>
      <c r="B234" t="s">
        <v>323</v>
      </c>
      <c r="C234" t="s">
        <v>572</v>
      </c>
      <c r="D234">
        <v>2460000</v>
      </c>
      <c r="E234" t="s">
        <v>328</v>
      </c>
      <c r="F234" s="21" t="str">
        <f t="shared" si="6"/>
        <v>rtdc.l.rtdc.4004:itc</v>
      </c>
      <c r="G234" s="8">
        <f t="shared" si="7"/>
        <v>42675.860995370371</v>
      </c>
    </row>
    <row r="235" spans="1:7" x14ac:dyDescent="0.25">
      <c r="A235" s="8">
        <v>42675.869317129633</v>
      </c>
      <c r="B235" t="s">
        <v>379</v>
      </c>
      <c r="C235" t="s">
        <v>573</v>
      </c>
      <c r="D235">
        <v>2480000</v>
      </c>
      <c r="E235" t="s">
        <v>332</v>
      </c>
      <c r="F235" s="21" t="str">
        <f t="shared" si="6"/>
        <v>rtdc.l.rtdc.4041:itc</v>
      </c>
      <c r="G235" s="8">
        <f t="shared" si="7"/>
        <v>42675.869317129633</v>
      </c>
    </row>
    <row r="236" spans="1:7" x14ac:dyDescent="0.25">
      <c r="A236" s="8">
        <v>42675.872175925928</v>
      </c>
      <c r="B236" t="s">
        <v>262</v>
      </c>
      <c r="C236" t="s">
        <v>574</v>
      </c>
      <c r="D236">
        <v>2430000</v>
      </c>
      <c r="E236" t="s">
        <v>330</v>
      </c>
      <c r="F236" s="21" t="str">
        <f t="shared" ref="F236:F265" si="8">B236</f>
        <v>rtdc.l.rtdc.4022:itc</v>
      </c>
      <c r="G236" s="8">
        <f t="shared" ref="G236:G265" si="9">A236</f>
        <v>42675.872175925928</v>
      </c>
    </row>
    <row r="237" spans="1:7" x14ac:dyDescent="0.25">
      <c r="A237" s="8">
        <v>42675.875335648147</v>
      </c>
      <c r="B237" t="s">
        <v>301</v>
      </c>
      <c r="C237" t="s">
        <v>575</v>
      </c>
      <c r="D237">
        <v>2000000</v>
      </c>
      <c r="E237" t="s">
        <v>516</v>
      </c>
      <c r="F237" s="21" t="str">
        <f t="shared" si="8"/>
        <v>rtdc.l.rtdc.4003:itc</v>
      </c>
      <c r="G237" s="8">
        <f t="shared" si="9"/>
        <v>42675.875335648147</v>
      </c>
    </row>
    <row r="238" spans="1:7" x14ac:dyDescent="0.25">
      <c r="A238" s="8">
        <v>42675.877118055556</v>
      </c>
      <c r="B238" t="s">
        <v>297</v>
      </c>
      <c r="C238" t="s">
        <v>576</v>
      </c>
      <c r="D238">
        <v>1770000</v>
      </c>
      <c r="E238" t="s">
        <v>577</v>
      </c>
      <c r="F238" s="21" t="str">
        <f t="shared" si="8"/>
        <v>rtdc.l.rtdc.4046:itc</v>
      </c>
      <c r="G238" s="8">
        <f t="shared" si="9"/>
        <v>42675.877118055556</v>
      </c>
    </row>
    <row r="239" spans="1:7" x14ac:dyDescent="0.25">
      <c r="A239" s="8">
        <v>42675.886689814812</v>
      </c>
      <c r="B239" t="s">
        <v>229</v>
      </c>
      <c r="C239" t="s">
        <v>578</v>
      </c>
      <c r="D239">
        <v>2250000</v>
      </c>
      <c r="E239" t="s">
        <v>300</v>
      </c>
      <c r="F239" s="21" t="str">
        <f t="shared" si="8"/>
        <v>rtdc.l.rtdc.4029:itc</v>
      </c>
      <c r="G239" s="8">
        <f t="shared" si="9"/>
        <v>42675.886689814812</v>
      </c>
    </row>
    <row r="240" spans="1:7" x14ac:dyDescent="0.25">
      <c r="A240" s="8">
        <v>42675.890949074077</v>
      </c>
      <c r="B240" t="s">
        <v>316</v>
      </c>
      <c r="C240" t="s">
        <v>579</v>
      </c>
      <c r="D240">
        <v>1800000</v>
      </c>
      <c r="E240" t="s">
        <v>283</v>
      </c>
      <c r="F240" s="21" t="str">
        <f t="shared" si="8"/>
        <v>rtdc.l.rtdc.4039:itc</v>
      </c>
      <c r="G240" s="8">
        <f t="shared" si="9"/>
        <v>42675.890949074077</v>
      </c>
    </row>
    <row r="241" spans="1:7" x14ac:dyDescent="0.25">
      <c r="A241" s="8">
        <v>42675.899953703702</v>
      </c>
      <c r="B241" t="s">
        <v>407</v>
      </c>
      <c r="C241" t="s">
        <v>580</v>
      </c>
      <c r="D241">
        <v>2480000</v>
      </c>
      <c r="E241" t="s">
        <v>332</v>
      </c>
      <c r="F241" s="21" t="str">
        <f t="shared" si="8"/>
        <v>rtdc.l.rtdc.4042:itc</v>
      </c>
      <c r="G241" s="8">
        <f t="shared" si="9"/>
        <v>42675.899953703702</v>
      </c>
    </row>
    <row r="242" spans="1:7" x14ac:dyDescent="0.25">
      <c r="A242" s="8">
        <v>42675.900949074072</v>
      </c>
      <c r="B242" t="s">
        <v>323</v>
      </c>
      <c r="C242" t="s">
        <v>581</v>
      </c>
      <c r="D242">
        <v>2000000</v>
      </c>
      <c r="E242" t="s">
        <v>516</v>
      </c>
      <c r="F242" s="21" t="str">
        <f t="shared" si="8"/>
        <v>rtdc.l.rtdc.4004:itc</v>
      </c>
      <c r="G242" s="8">
        <f t="shared" si="9"/>
        <v>42675.900949074072</v>
      </c>
    </row>
    <row r="243" spans="1:7" x14ac:dyDescent="0.25">
      <c r="A243" s="8">
        <v>42675.901747685188</v>
      </c>
      <c r="B243" t="s">
        <v>323</v>
      </c>
      <c r="C243" t="s">
        <v>582</v>
      </c>
      <c r="D243">
        <v>2000000</v>
      </c>
      <c r="E243" t="s">
        <v>516</v>
      </c>
      <c r="F243" s="21" t="str">
        <f t="shared" si="8"/>
        <v>rtdc.l.rtdc.4004:itc</v>
      </c>
      <c r="G243" s="8">
        <f t="shared" si="9"/>
        <v>42675.901747685188</v>
      </c>
    </row>
    <row r="244" spans="1:7" x14ac:dyDescent="0.25">
      <c r="A244" s="8">
        <v>42675.910613425927</v>
      </c>
      <c r="B244" t="s">
        <v>244</v>
      </c>
      <c r="C244" t="s">
        <v>583</v>
      </c>
      <c r="D244">
        <v>2430000</v>
      </c>
      <c r="E244" t="s">
        <v>330</v>
      </c>
      <c r="F244" s="21" t="str">
        <f t="shared" si="8"/>
        <v>rtdc.l.rtdc.4021:itc</v>
      </c>
      <c r="G244" s="8">
        <f t="shared" si="9"/>
        <v>42675.910613425927</v>
      </c>
    </row>
    <row r="245" spans="1:7" x14ac:dyDescent="0.25">
      <c r="A245" s="8">
        <v>42675.915821759256</v>
      </c>
      <c r="B245" t="s">
        <v>301</v>
      </c>
      <c r="C245" t="s">
        <v>581</v>
      </c>
      <c r="D245">
        <v>2000000</v>
      </c>
      <c r="E245" t="s">
        <v>516</v>
      </c>
      <c r="F245" s="21" t="str">
        <f t="shared" si="8"/>
        <v>rtdc.l.rtdc.4003:itc</v>
      </c>
      <c r="G245" s="8">
        <f t="shared" si="9"/>
        <v>42675.915821759256</v>
      </c>
    </row>
    <row r="246" spans="1:7" x14ac:dyDescent="0.25">
      <c r="A246" s="8">
        <v>42675.927916666667</v>
      </c>
      <c r="B246" t="s">
        <v>230</v>
      </c>
      <c r="C246" t="s">
        <v>584</v>
      </c>
      <c r="D246">
        <v>2250000</v>
      </c>
      <c r="E246" t="s">
        <v>300</v>
      </c>
      <c r="F246" s="21" t="str">
        <f t="shared" si="8"/>
        <v>rtdc.l.rtdc.4030:itc</v>
      </c>
      <c r="G246" s="8">
        <f t="shared" si="9"/>
        <v>42675.927916666667</v>
      </c>
    </row>
    <row r="247" spans="1:7" x14ac:dyDescent="0.25">
      <c r="A247" s="8">
        <v>42675.936550925922</v>
      </c>
      <c r="B247" t="s">
        <v>254</v>
      </c>
      <c r="C247" t="s">
        <v>585</v>
      </c>
      <c r="D247">
        <v>1800000</v>
      </c>
      <c r="E247" t="s">
        <v>283</v>
      </c>
      <c r="F247" s="21" t="str">
        <f t="shared" si="8"/>
        <v>rtdc.l.rtdc.4040:itc</v>
      </c>
      <c r="G247" s="8">
        <f t="shared" si="9"/>
        <v>42675.936550925922</v>
      </c>
    </row>
    <row r="248" spans="1:7" x14ac:dyDescent="0.25">
      <c r="A248" s="8">
        <v>42675.942418981482</v>
      </c>
      <c r="B248" t="s">
        <v>323</v>
      </c>
      <c r="C248" t="s">
        <v>586</v>
      </c>
      <c r="D248">
        <v>2000000</v>
      </c>
      <c r="E248" t="s">
        <v>516</v>
      </c>
      <c r="F248" s="21" t="str">
        <f t="shared" si="8"/>
        <v>rtdc.l.rtdc.4004:itc</v>
      </c>
      <c r="G248" s="8">
        <f t="shared" si="9"/>
        <v>42675.942418981482</v>
      </c>
    </row>
    <row r="249" spans="1:7" x14ac:dyDescent="0.25">
      <c r="A249" s="8">
        <v>42675.952037037037</v>
      </c>
      <c r="B249" t="s">
        <v>379</v>
      </c>
      <c r="C249" t="s">
        <v>587</v>
      </c>
      <c r="D249">
        <v>2480000</v>
      </c>
      <c r="E249" t="s">
        <v>332</v>
      </c>
      <c r="F249" s="21" t="str">
        <f t="shared" si="8"/>
        <v>rtdc.l.rtdc.4041:itc</v>
      </c>
      <c r="G249" s="8">
        <f t="shared" si="9"/>
        <v>42675.952037037037</v>
      </c>
    </row>
    <row r="250" spans="1:7" x14ac:dyDescent="0.25">
      <c r="A250" s="8">
        <v>42675.953252314815</v>
      </c>
      <c r="B250" t="s">
        <v>262</v>
      </c>
      <c r="C250" t="s">
        <v>588</v>
      </c>
      <c r="D250">
        <v>2430000</v>
      </c>
      <c r="E250" t="s">
        <v>330</v>
      </c>
      <c r="F250" s="21" t="str">
        <f t="shared" si="8"/>
        <v>rtdc.l.rtdc.4022:itc</v>
      </c>
      <c r="G250" s="8">
        <f t="shared" si="9"/>
        <v>42675.953252314815</v>
      </c>
    </row>
    <row r="251" spans="1:7" x14ac:dyDescent="0.25">
      <c r="A251" s="8">
        <v>42675.971018518518</v>
      </c>
      <c r="B251" t="s">
        <v>229</v>
      </c>
      <c r="C251" t="s">
        <v>589</v>
      </c>
      <c r="D251">
        <v>2250000</v>
      </c>
      <c r="E251" t="s">
        <v>300</v>
      </c>
      <c r="F251" s="21" t="str">
        <f t="shared" si="8"/>
        <v>rtdc.l.rtdc.4029:itc</v>
      </c>
      <c r="G251" s="8">
        <f t="shared" si="9"/>
        <v>42675.971018518518</v>
      </c>
    </row>
    <row r="252" spans="1:7" x14ac:dyDescent="0.25">
      <c r="A252" s="8">
        <v>42675.975601851853</v>
      </c>
      <c r="B252" t="s">
        <v>316</v>
      </c>
      <c r="C252" t="s">
        <v>590</v>
      </c>
      <c r="D252">
        <v>1800000</v>
      </c>
      <c r="E252" t="s">
        <v>283</v>
      </c>
      <c r="F252" s="21" t="str">
        <f t="shared" si="8"/>
        <v>rtdc.l.rtdc.4039:itc</v>
      </c>
      <c r="G252" s="8">
        <f t="shared" si="9"/>
        <v>42675.975601851853</v>
      </c>
    </row>
    <row r="253" spans="1:7" x14ac:dyDescent="0.25">
      <c r="A253" s="8">
        <v>42675.987546296295</v>
      </c>
      <c r="B253" t="s">
        <v>407</v>
      </c>
      <c r="C253" t="s">
        <v>591</v>
      </c>
      <c r="D253">
        <v>2480000</v>
      </c>
      <c r="E253" t="s">
        <v>332</v>
      </c>
      <c r="F253" s="21" t="str">
        <f t="shared" si="8"/>
        <v>rtdc.l.rtdc.4042:itc</v>
      </c>
      <c r="G253" s="8">
        <f t="shared" si="9"/>
        <v>42675.987546296295</v>
      </c>
    </row>
    <row r="254" spans="1:7" x14ac:dyDescent="0.25">
      <c r="A254" s="8">
        <v>42675.99359953704</v>
      </c>
      <c r="B254" t="s">
        <v>244</v>
      </c>
      <c r="C254" t="s">
        <v>592</v>
      </c>
      <c r="D254">
        <v>2430000</v>
      </c>
      <c r="E254" t="s">
        <v>330</v>
      </c>
      <c r="F254" s="21" t="str">
        <f t="shared" si="8"/>
        <v>rtdc.l.rtdc.4021:itc</v>
      </c>
      <c r="G254" s="8">
        <f t="shared" si="9"/>
        <v>42675.99359953704</v>
      </c>
    </row>
    <row r="255" spans="1:7" x14ac:dyDescent="0.25">
      <c r="A255" s="8">
        <v>42676.009699074071</v>
      </c>
      <c r="B255" t="s">
        <v>230</v>
      </c>
      <c r="C255" t="s">
        <v>593</v>
      </c>
      <c r="D255">
        <v>2250000</v>
      </c>
      <c r="E255" t="s">
        <v>300</v>
      </c>
      <c r="F255" s="21" t="str">
        <f t="shared" si="8"/>
        <v>rtdc.l.rtdc.4030:itc</v>
      </c>
      <c r="G255" s="8">
        <f t="shared" si="9"/>
        <v>42676.009699074071</v>
      </c>
    </row>
    <row r="256" spans="1:7" x14ac:dyDescent="0.25">
      <c r="A256" s="8">
        <v>42676.018993055557</v>
      </c>
      <c r="B256" t="s">
        <v>254</v>
      </c>
      <c r="C256" t="s">
        <v>594</v>
      </c>
      <c r="D256">
        <v>1800000</v>
      </c>
      <c r="E256" t="s">
        <v>283</v>
      </c>
      <c r="F256" s="21" t="str">
        <f t="shared" si="8"/>
        <v>rtdc.l.rtdc.4040:itc</v>
      </c>
      <c r="G256" s="8">
        <f t="shared" si="9"/>
        <v>42676.018993055557</v>
      </c>
    </row>
    <row r="257" spans="1:7" x14ac:dyDescent="0.25">
      <c r="A257" s="8">
        <v>42676.029178240744</v>
      </c>
      <c r="B257" t="s">
        <v>262</v>
      </c>
      <c r="C257" t="s">
        <v>595</v>
      </c>
      <c r="D257">
        <v>2430000</v>
      </c>
      <c r="E257" t="s">
        <v>330</v>
      </c>
      <c r="F257" s="21" t="str">
        <f t="shared" si="8"/>
        <v>rtdc.l.rtdc.4022:itc</v>
      </c>
      <c r="G257" s="8">
        <f t="shared" si="9"/>
        <v>42676.029178240744</v>
      </c>
    </row>
    <row r="258" spans="1:7" x14ac:dyDescent="0.25">
      <c r="A258" s="8">
        <v>42676.035960648151</v>
      </c>
      <c r="B258" t="s">
        <v>379</v>
      </c>
      <c r="C258" t="s">
        <v>596</v>
      </c>
      <c r="D258">
        <v>2480000</v>
      </c>
      <c r="E258" t="s">
        <v>332</v>
      </c>
      <c r="F258" s="21" t="str">
        <f t="shared" si="8"/>
        <v>rtdc.l.rtdc.4041:itc</v>
      </c>
      <c r="G258" s="8">
        <f t="shared" si="9"/>
        <v>42676.035960648151</v>
      </c>
    </row>
    <row r="259" spans="1:7" x14ac:dyDescent="0.25">
      <c r="A259" s="8">
        <v>42676.053287037037</v>
      </c>
      <c r="B259" t="s">
        <v>229</v>
      </c>
      <c r="C259" t="s">
        <v>403</v>
      </c>
      <c r="D259">
        <v>2250000</v>
      </c>
      <c r="E259" t="s">
        <v>300</v>
      </c>
      <c r="F259" s="21" t="str">
        <f t="shared" si="8"/>
        <v>rtdc.l.rtdc.4029:itc</v>
      </c>
      <c r="G259" s="8">
        <f t="shared" si="9"/>
        <v>42676.053287037037</v>
      </c>
    </row>
    <row r="260" spans="1:7" x14ac:dyDescent="0.25">
      <c r="A260" s="8">
        <v>42676.058553240742</v>
      </c>
      <c r="B260" t="s">
        <v>316</v>
      </c>
      <c r="C260" t="s">
        <v>597</v>
      </c>
      <c r="D260">
        <v>1800000</v>
      </c>
      <c r="E260" t="s">
        <v>283</v>
      </c>
      <c r="F260" s="21" t="str">
        <f t="shared" si="8"/>
        <v>rtdc.l.rtdc.4039:itc</v>
      </c>
      <c r="G260" s="8">
        <f t="shared" si="9"/>
        <v>42676.058553240742</v>
      </c>
    </row>
    <row r="261" spans="1:7" x14ac:dyDescent="0.25">
      <c r="A261" s="8">
        <v>42676.065972222219</v>
      </c>
      <c r="B261" t="s">
        <v>407</v>
      </c>
      <c r="C261" t="s">
        <v>598</v>
      </c>
      <c r="D261">
        <v>2480000</v>
      </c>
      <c r="E261" t="s">
        <v>332</v>
      </c>
      <c r="F261" s="21" t="str">
        <f t="shared" si="8"/>
        <v>rtdc.l.rtdc.4042:itc</v>
      </c>
      <c r="G261" s="8">
        <f t="shared" si="9"/>
        <v>42676.065972222219</v>
      </c>
    </row>
    <row r="262" spans="1:7" x14ac:dyDescent="0.25">
      <c r="A262" s="8">
        <v>42676.092233796298</v>
      </c>
      <c r="B262" t="s">
        <v>254</v>
      </c>
      <c r="C262" t="s">
        <v>599</v>
      </c>
      <c r="D262">
        <v>1800000</v>
      </c>
      <c r="E262" t="s">
        <v>283</v>
      </c>
      <c r="F262" s="21" t="str">
        <f t="shared" si="8"/>
        <v>rtdc.l.rtdc.4040:itc</v>
      </c>
      <c r="G262" s="8">
        <f t="shared" si="9"/>
        <v>42676.092233796298</v>
      </c>
    </row>
    <row r="263" spans="1:7" x14ac:dyDescent="0.25">
      <c r="A263" s="8">
        <v>42650.052835648145</v>
      </c>
      <c r="B263" t="s">
        <v>189</v>
      </c>
      <c r="C263" t="s">
        <v>195</v>
      </c>
      <c r="D263">
        <v>1480000</v>
      </c>
      <c r="E263" t="s">
        <v>187</v>
      </c>
      <c r="F263" s="21" t="str">
        <f t="shared" si="8"/>
        <v>rtdc.l.rtdc.4010:itc</v>
      </c>
      <c r="G263" s="8">
        <f t="shared" si="9"/>
        <v>42650.052835648145</v>
      </c>
    </row>
    <row r="264" spans="1:7" x14ac:dyDescent="0.25">
      <c r="A264" s="8">
        <v>42650.053078703706</v>
      </c>
      <c r="B264" t="s">
        <v>192</v>
      </c>
      <c r="C264" t="s">
        <v>196</v>
      </c>
      <c r="D264">
        <v>1300000</v>
      </c>
      <c r="E264" t="s">
        <v>113</v>
      </c>
      <c r="F264" s="21" t="str">
        <f t="shared" si="8"/>
        <v>rtdc.l.rtdc.4044:itc</v>
      </c>
      <c r="G264" s="8">
        <f t="shared" si="9"/>
        <v>42650.053078703706</v>
      </c>
    </row>
    <row r="265" spans="1:7" x14ac:dyDescent="0.25">
      <c r="A265" s="8">
        <v>42650.060115740744</v>
      </c>
      <c r="B265" t="s">
        <v>157</v>
      </c>
      <c r="C265" t="s">
        <v>194</v>
      </c>
      <c r="D265">
        <v>630000</v>
      </c>
      <c r="E265" t="b">
        <v>1</v>
      </c>
      <c r="F265" s="21" t="str">
        <f t="shared" si="8"/>
        <v>rtdc.l.rtdc.4052:itc</v>
      </c>
      <c r="G265" s="8">
        <f t="shared" si="9"/>
        <v>42650.060115740744</v>
      </c>
    </row>
    <row r="266" spans="1:7" x14ac:dyDescent="0.25">
      <c r="A266" s="8">
        <v>42650.078599537039</v>
      </c>
      <c r="B266" t="s">
        <v>156</v>
      </c>
      <c r="C266" t="s">
        <v>194</v>
      </c>
      <c r="D266">
        <v>630000</v>
      </c>
      <c r="E266" t="b">
        <v>1</v>
      </c>
      <c r="F266" s="21" t="str">
        <f t="shared" ref="F266:F281" si="10">B266</f>
        <v>rtdc.l.rtdc.4051:itc</v>
      </c>
      <c r="G266" s="8">
        <f t="shared" ref="G266:G281" si="11">A266</f>
        <v>42650.078599537039</v>
      </c>
    </row>
    <row r="267" spans="1:7" x14ac:dyDescent="0.25">
      <c r="A267" s="8">
        <v>42650.080208333333</v>
      </c>
      <c r="B267" t="s">
        <v>156</v>
      </c>
      <c r="C267" t="s">
        <v>194</v>
      </c>
      <c r="D267">
        <v>630000</v>
      </c>
      <c r="E267" t="b">
        <v>1</v>
      </c>
      <c r="F267" s="21" t="str">
        <f t="shared" si="10"/>
        <v>rtdc.l.rtdc.4051:itc</v>
      </c>
      <c r="G267" s="8">
        <f t="shared" si="11"/>
        <v>42650.080208333333</v>
      </c>
    </row>
    <row r="268" spans="1:7" x14ac:dyDescent="0.25">
      <c r="A268" s="8">
        <v>42650.08153935185</v>
      </c>
      <c r="B268" t="s">
        <v>156</v>
      </c>
      <c r="C268" t="s">
        <v>194</v>
      </c>
      <c r="D268">
        <v>630000</v>
      </c>
      <c r="E268" t="b">
        <v>1</v>
      </c>
      <c r="F268" s="21" t="str">
        <f t="shared" si="10"/>
        <v>rtdc.l.rtdc.4051:itc</v>
      </c>
      <c r="G268" s="8">
        <f t="shared" si="11"/>
        <v>42650.08153935185</v>
      </c>
    </row>
    <row r="269" spans="1:7" x14ac:dyDescent="0.25">
      <c r="A269" s="8">
        <v>42650.082824074074</v>
      </c>
      <c r="B269" t="s">
        <v>156</v>
      </c>
      <c r="C269" t="s">
        <v>194</v>
      </c>
      <c r="D269">
        <v>630000</v>
      </c>
      <c r="E269" t="b">
        <v>1</v>
      </c>
      <c r="F269" s="21" t="str">
        <f t="shared" si="10"/>
        <v>rtdc.l.rtdc.4051:itc</v>
      </c>
      <c r="G269" s="8">
        <f t="shared" si="11"/>
        <v>42650.082824074074</v>
      </c>
    </row>
    <row r="270" spans="1:7" x14ac:dyDescent="0.25">
      <c r="A270" s="8">
        <v>42650.090624999997</v>
      </c>
      <c r="B270" t="s">
        <v>190</v>
      </c>
      <c r="C270" t="s">
        <v>197</v>
      </c>
      <c r="D270">
        <v>1480000</v>
      </c>
      <c r="E270" t="s">
        <v>187</v>
      </c>
      <c r="F270" s="21" t="str">
        <f t="shared" si="10"/>
        <v>rtdc.l.rtdc.4009:itc</v>
      </c>
      <c r="G270" s="8">
        <f t="shared" si="11"/>
        <v>42650.090624999997</v>
      </c>
    </row>
    <row r="271" spans="1:7" x14ac:dyDescent="0.25">
      <c r="A271" s="8">
        <v>42650.101805555554</v>
      </c>
      <c r="B271" t="s">
        <v>157</v>
      </c>
      <c r="C271" t="s">
        <v>194</v>
      </c>
      <c r="D271">
        <v>630000</v>
      </c>
      <c r="E271" t="b">
        <v>1</v>
      </c>
      <c r="F271" s="21" t="str">
        <f t="shared" si="10"/>
        <v>rtdc.l.rtdc.4052:itc</v>
      </c>
      <c r="G271" s="8">
        <f t="shared" si="11"/>
        <v>42650.101805555554</v>
      </c>
    </row>
    <row r="272" spans="1:7" x14ac:dyDescent="0.25">
      <c r="A272" s="8">
        <v>42650.102453703701</v>
      </c>
      <c r="B272" t="s">
        <v>157</v>
      </c>
      <c r="C272" t="s">
        <v>194</v>
      </c>
      <c r="D272">
        <v>630000</v>
      </c>
      <c r="E272" t="b">
        <v>1</v>
      </c>
      <c r="F272" s="21" t="str">
        <f t="shared" si="10"/>
        <v>rtdc.l.rtdc.4052:itc</v>
      </c>
      <c r="G272" s="8">
        <f t="shared" si="11"/>
        <v>42650.102453703701</v>
      </c>
    </row>
    <row r="273" spans="1:7" x14ac:dyDescent="0.25">
      <c r="A273" s="8">
        <v>42650.103645833333</v>
      </c>
      <c r="B273" t="s">
        <v>157</v>
      </c>
      <c r="C273" t="s">
        <v>194</v>
      </c>
      <c r="D273">
        <v>630000</v>
      </c>
      <c r="E273" t="b">
        <v>1</v>
      </c>
      <c r="F273" s="21" t="str">
        <f t="shared" si="10"/>
        <v>rtdc.l.rtdc.4052:itc</v>
      </c>
      <c r="G273" s="8">
        <f t="shared" si="11"/>
        <v>42650.103645833333</v>
      </c>
    </row>
    <row r="274" spans="1:7" x14ac:dyDescent="0.25">
      <c r="F274" s="21">
        <f t="shared" si="10"/>
        <v>0</v>
      </c>
      <c r="G274" s="8">
        <f t="shared" si="11"/>
        <v>0</v>
      </c>
    </row>
    <row r="275" spans="1:7" x14ac:dyDescent="0.25">
      <c r="F275" s="21">
        <f t="shared" si="10"/>
        <v>0</v>
      </c>
      <c r="G275" s="8">
        <f t="shared" si="11"/>
        <v>0</v>
      </c>
    </row>
    <row r="276" spans="1:7" x14ac:dyDescent="0.25">
      <c r="F276" s="21">
        <f t="shared" si="10"/>
        <v>0</v>
      </c>
      <c r="G276" s="8">
        <f t="shared" si="11"/>
        <v>0</v>
      </c>
    </row>
    <row r="277" spans="1:7" x14ac:dyDescent="0.25">
      <c r="F277" s="21">
        <f t="shared" si="10"/>
        <v>0</v>
      </c>
      <c r="G277" s="8">
        <f t="shared" si="11"/>
        <v>0</v>
      </c>
    </row>
    <row r="278" spans="1:7" x14ac:dyDescent="0.25">
      <c r="F278" s="21">
        <f t="shared" si="10"/>
        <v>0</v>
      </c>
      <c r="G278" s="8">
        <f t="shared" si="11"/>
        <v>0</v>
      </c>
    </row>
    <row r="279" spans="1:7" x14ac:dyDescent="0.25">
      <c r="F279" s="21">
        <f t="shared" si="10"/>
        <v>0</v>
      </c>
      <c r="G279" s="8">
        <f t="shared" si="11"/>
        <v>0</v>
      </c>
    </row>
    <row r="280" spans="1:7" x14ac:dyDescent="0.25">
      <c r="F280" s="21">
        <f t="shared" si="10"/>
        <v>0</v>
      </c>
      <c r="G280" s="8">
        <f t="shared" si="11"/>
        <v>0</v>
      </c>
    </row>
    <row r="281" spans="1:7" x14ac:dyDescent="0.25">
      <c r="F281" s="21">
        <f t="shared" si="10"/>
        <v>0</v>
      </c>
      <c r="G281" s="8">
        <f t="shared" si="11"/>
        <v>0</v>
      </c>
    </row>
    <row r="282" spans="1:7" x14ac:dyDescent="0.25">
      <c r="F282" s="21">
        <f t="shared" ref="F282:F345" si="12">B282</f>
        <v>0</v>
      </c>
      <c r="G282" s="8">
        <f t="shared" ref="G282:G345" si="13">A282</f>
        <v>0</v>
      </c>
    </row>
    <row r="283" spans="1:7" x14ac:dyDescent="0.25">
      <c r="F283" s="21">
        <f t="shared" si="12"/>
        <v>0</v>
      </c>
      <c r="G283" s="8">
        <f t="shared" si="13"/>
        <v>0</v>
      </c>
    </row>
    <row r="284" spans="1:7" x14ac:dyDescent="0.25">
      <c r="F284" s="21">
        <f t="shared" si="12"/>
        <v>0</v>
      </c>
      <c r="G284" s="8">
        <f t="shared" si="13"/>
        <v>0</v>
      </c>
    </row>
    <row r="285" spans="1:7" x14ac:dyDescent="0.25">
      <c r="F285" s="21">
        <f t="shared" si="12"/>
        <v>0</v>
      </c>
      <c r="G285" s="8">
        <f t="shared" si="13"/>
        <v>0</v>
      </c>
    </row>
    <row r="286" spans="1:7" x14ac:dyDescent="0.25">
      <c r="F286" s="21">
        <f t="shared" si="12"/>
        <v>0</v>
      </c>
      <c r="G286" s="8">
        <f t="shared" si="13"/>
        <v>0</v>
      </c>
    </row>
    <row r="287" spans="1:7" x14ac:dyDescent="0.25">
      <c r="F287" s="21">
        <f t="shared" si="12"/>
        <v>0</v>
      </c>
      <c r="G287" s="8">
        <f t="shared" si="13"/>
        <v>0</v>
      </c>
    </row>
    <row r="288" spans="1:7" x14ac:dyDescent="0.25">
      <c r="F288" s="21">
        <f t="shared" si="12"/>
        <v>0</v>
      </c>
      <c r="G288" s="8">
        <f t="shared" si="13"/>
        <v>0</v>
      </c>
    </row>
    <row r="289" spans="6:7" x14ac:dyDescent="0.25">
      <c r="F289" s="21">
        <f t="shared" si="12"/>
        <v>0</v>
      </c>
      <c r="G289" s="8">
        <f t="shared" si="13"/>
        <v>0</v>
      </c>
    </row>
    <row r="290" spans="6:7" x14ac:dyDescent="0.25">
      <c r="F290" s="21">
        <f t="shared" si="12"/>
        <v>0</v>
      </c>
      <c r="G290" s="8">
        <f t="shared" si="13"/>
        <v>0</v>
      </c>
    </row>
    <row r="291" spans="6:7" x14ac:dyDescent="0.25">
      <c r="F291" s="21">
        <f t="shared" si="12"/>
        <v>0</v>
      </c>
      <c r="G291" s="8">
        <f t="shared" si="13"/>
        <v>0</v>
      </c>
    </row>
    <row r="292" spans="6:7" x14ac:dyDescent="0.25">
      <c r="F292" s="21">
        <f t="shared" si="12"/>
        <v>0</v>
      </c>
      <c r="G292" s="8">
        <f t="shared" si="13"/>
        <v>0</v>
      </c>
    </row>
    <row r="293" spans="6:7" x14ac:dyDescent="0.25">
      <c r="F293" s="21">
        <f t="shared" si="12"/>
        <v>0</v>
      </c>
      <c r="G293" s="8">
        <f t="shared" si="13"/>
        <v>0</v>
      </c>
    </row>
    <row r="294" spans="6:7" x14ac:dyDescent="0.25">
      <c r="F294" s="21">
        <f t="shared" si="12"/>
        <v>0</v>
      </c>
      <c r="G294" s="8">
        <f t="shared" si="13"/>
        <v>0</v>
      </c>
    </row>
    <row r="295" spans="6:7" x14ac:dyDescent="0.25">
      <c r="F295" s="21">
        <f t="shared" si="12"/>
        <v>0</v>
      </c>
      <c r="G295" s="8">
        <f t="shared" si="13"/>
        <v>0</v>
      </c>
    </row>
    <row r="296" spans="6:7" x14ac:dyDescent="0.25">
      <c r="F296" s="21">
        <f t="shared" si="12"/>
        <v>0</v>
      </c>
      <c r="G296" s="8">
        <f t="shared" si="13"/>
        <v>0</v>
      </c>
    </row>
    <row r="297" spans="6:7" x14ac:dyDescent="0.25">
      <c r="F297" s="21">
        <f t="shared" si="12"/>
        <v>0</v>
      </c>
      <c r="G297" s="8">
        <f t="shared" si="13"/>
        <v>0</v>
      </c>
    </row>
    <row r="298" spans="6:7" x14ac:dyDescent="0.25">
      <c r="F298" s="21">
        <f t="shared" si="12"/>
        <v>0</v>
      </c>
      <c r="G298" s="8">
        <f t="shared" si="13"/>
        <v>0</v>
      </c>
    </row>
    <row r="299" spans="6:7" x14ac:dyDescent="0.25">
      <c r="F299" s="21">
        <f t="shared" si="12"/>
        <v>0</v>
      </c>
      <c r="G299" s="8">
        <f t="shared" si="13"/>
        <v>0</v>
      </c>
    </row>
    <row r="300" spans="6:7" x14ac:dyDescent="0.25">
      <c r="F300" s="21">
        <f t="shared" si="12"/>
        <v>0</v>
      </c>
      <c r="G300" s="8">
        <f t="shared" si="13"/>
        <v>0</v>
      </c>
    </row>
    <row r="301" spans="6:7" x14ac:dyDescent="0.25">
      <c r="F301" s="21">
        <f t="shared" si="12"/>
        <v>0</v>
      </c>
      <c r="G301" s="8">
        <f t="shared" si="13"/>
        <v>0</v>
      </c>
    </row>
    <row r="302" spans="6:7" x14ac:dyDescent="0.25">
      <c r="F302" s="21">
        <f t="shared" si="12"/>
        <v>0</v>
      </c>
      <c r="G302" s="8">
        <f t="shared" si="13"/>
        <v>0</v>
      </c>
    </row>
    <row r="303" spans="6:7" x14ac:dyDescent="0.25">
      <c r="F303" s="21">
        <f t="shared" si="12"/>
        <v>0</v>
      </c>
      <c r="G303" s="8">
        <f t="shared" si="13"/>
        <v>0</v>
      </c>
    </row>
    <row r="304" spans="6:7" x14ac:dyDescent="0.25">
      <c r="F304" s="21">
        <f t="shared" si="12"/>
        <v>0</v>
      </c>
      <c r="G304" s="8">
        <f t="shared" si="13"/>
        <v>0</v>
      </c>
    </row>
    <row r="305" spans="6:7" x14ac:dyDescent="0.25">
      <c r="F305" s="21">
        <f t="shared" si="12"/>
        <v>0</v>
      </c>
      <c r="G305" s="8">
        <f t="shared" si="13"/>
        <v>0</v>
      </c>
    </row>
    <row r="306" spans="6:7" x14ac:dyDescent="0.25">
      <c r="F306" s="21">
        <f t="shared" si="12"/>
        <v>0</v>
      </c>
      <c r="G306" s="8">
        <f t="shared" si="13"/>
        <v>0</v>
      </c>
    </row>
    <row r="307" spans="6:7" x14ac:dyDescent="0.25">
      <c r="F307" s="21">
        <f t="shared" si="12"/>
        <v>0</v>
      </c>
      <c r="G307" s="8">
        <f t="shared" si="13"/>
        <v>0</v>
      </c>
    </row>
    <row r="308" spans="6:7" x14ac:dyDescent="0.25">
      <c r="F308" s="21">
        <f t="shared" si="12"/>
        <v>0</v>
      </c>
      <c r="G308" s="8">
        <f t="shared" si="13"/>
        <v>0</v>
      </c>
    </row>
    <row r="309" spans="6:7" x14ac:dyDescent="0.25">
      <c r="F309" s="21">
        <f t="shared" si="12"/>
        <v>0</v>
      </c>
      <c r="G309" s="8">
        <f t="shared" si="13"/>
        <v>0</v>
      </c>
    </row>
    <row r="310" spans="6:7" x14ac:dyDescent="0.25">
      <c r="F310" s="21">
        <f t="shared" si="12"/>
        <v>0</v>
      </c>
      <c r="G310" s="8">
        <f t="shared" si="13"/>
        <v>0</v>
      </c>
    </row>
    <row r="311" spans="6:7" x14ac:dyDescent="0.25">
      <c r="F311" s="21">
        <f t="shared" si="12"/>
        <v>0</v>
      </c>
      <c r="G311" s="8">
        <f t="shared" si="13"/>
        <v>0</v>
      </c>
    </row>
    <row r="312" spans="6:7" x14ac:dyDescent="0.25">
      <c r="F312" s="21">
        <f t="shared" si="12"/>
        <v>0</v>
      </c>
      <c r="G312" s="8">
        <f t="shared" si="13"/>
        <v>0</v>
      </c>
    </row>
    <row r="313" spans="6:7" x14ac:dyDescent="0.25">
      <c r="F313" s="21">
        <f t="shared" si="12"/>
        <v>0</v>
      </c>
      <c r="G313" s="8">
        <f t="shared" si="13"/>
        <v>0</v>
      </c>
    </row>
    <row r="314" spans="6:7" x14ac:dyDescent="0.25">
      <c r="F314" s="21">
        <f t="shared" si="12"/>
        <v>0</v>
      </c>
      <c r="G314" s="8">
        <f t="shared" si="13"/>
        <v>0</v>
      </c>
    </row>
    <row r="315" spans="6:7" x14ac:dyDescent="0.25">
      <c r="F315" s="21">
        <f t="shared" si="12"/>
        <v>0</v>
      </c>
      <c r="G315" s="8">
        <f t="shared" si="13"/>
        <v>0</v>
      </c>
    </row>
    <row r="316" spans="6:7" x14ac:dyDescent="0.25">
      <c r="F316" s="21">
        <f t="shared" si="12"/>
        <v>0</v>
      </c>
      <c r="G316" s="8">
        <f t="shared" si="13"/>
        <v>0</v>
      </c>
    </row>
    <row r="317" spans="6:7" x14ac:dyDescent="0.25">
      <c r="F317" s="21">
        <f t="shared" si="12"/>
        <v>0</v>
      </c>
      <c r="G317" s="8">
        <f t="shared" si="13"/>
        <v>0</v>
      </c>
    </row>
    <row r="318" spans="6:7" x14ac:dyDescent="0.25">
      <c r="F318" s="21">
        <f t="shared" si="12"/>
        <v>0</v>
      </c>
      <c r="G318" s="8">
        <f t="shared" si="13"/>
        <v>0</v>
      </c>
    </row>
    <row r="319" spans="6:7" x14ac:dyDescent="0.25">
      <c r="F319" s="21">
        <f t="shared" si="12"/>
        <v>0</v>
      </c>
      <c r="G319" s="8">
        <f t="shared" si="13"/>
        <v>0</v>
      </c>
    </row>
    <row r="320" spans="6:7" x14ac:dyDescent="0.25">
      <c r="F320" s="21">
        <f t="shared" si="12"/>
        <v>0</v>
      </c>
      <c r="G320" s="8">
        <f t="shared" si="13"/>
        <v>0</v>
      </c>
    </row>
    <row r="321" spans="6:7" x14ac:dyDescent="0.25">
      <c r="F321" s="21">
        <f t="shared" si="12"/>
        <v>0</v>
      </c>
      <c r="G321" s="8">
        <f t="shared" si="13"/>
        <v>0</v>
      </c>
    </row>
    <row r="322" spans="6:7" x14ac:dyDescent="0.25">
      <c r="F322" s="21">
        <f t="shared" si="12"/>
        <v>0</v>
      </c>
      <c r="G322" s="8">
        <f t="shared" si="13"/>
        <v>0</v>
      </c>
    </row>
    <row r="323" spans="6:7" x14ac:dyDescent="0.25">
      <c r="F323" s="21">
        <f t="shared" si="12"/>
        <v>0</v>
      </c>
      <c r="G323" s="8">
        <f t="shared" si="13"/>
        <v>0</v>
      </c>
    </row>
    <row r="324" spans="6:7" x14ac:dyDescent="0.25">
      <c r="F324" s="21">
        <f t="shared" si="12"/>
        <v>0</v>
      </c>
      <c r="G324" s="8">
        <f t="shared" si="13"/>
        <v>0</v>
      </c>
    </row>
    <row r="325" spans="6:7" x14ac:dyDescent="0.25">
      <c r="F325" s="21">
        <f t="shared" si="12"/>
        <v>0</v>
      </c>
      <c r="G325" s="8">
        <f t="shared" si="13"/>
        <v>0</v>
      </c>
    </row>
    <row r="326" spans="6:7" x14ac:dyDescent="0.25">
      <c r="F326" s="21">
        <f t="shared" si="12"/>
        <v>0</v>
      </c>
      <c r="G326" s="8">
        <f t="shared" si="13"/>
        <v>0</v>
      </c>
    </row>
    <row r="327" spans="6:7" x14ac:dyDescent="0.25">
      <c r="F327" s="21">
        <f t="shared" si="12"/>
        <v>0</v>
      </c>
      <c r="G327" s="8">
        <f t="shared" si="13"/>
        <v>0</v>
      </c>
    </row>
    <row r="328" spans="6:7" x14ac:dyDescent="0.25">
      <c r="F328" s="21">
        <f t="shared" si="12"/>
        <v>0</v>
      </c>
      <c r="G328" s="8">
        <f t="shared" si="13"/>
        <v>0</v>
      </c>
    </row>
    <row r="329" spans="6:7" x14ac:dyDescent="0.25">
      <c r="F329" s="21">
        <f t="shared" si="12"/>
        <v>0</v>
      </c>
      <c r="G329" s="8">
        <f t="shared" si="13"/>
        <v>0</v>
      </c>
    </row>
    <row r="330" spans="6:7" x14ac:dyDescent="0.25">
      <c r="F330" s="21">
        <f t="shared" si="12"/>
        <v>0</v>
      </c>
      <c r="G330" s="8">
        <f t="shared" si="13"/>
        <v>0</v>
      </c>
    </row>
    <row r="331" spans="6:7" x14ac:dyDescent="0.25">
      <c r="F331" s="21">
        <f t="shared" si="12"/>
        <v>0</v>
      </c>
      <c r="G331" s="8">
        <f t="shared" si="13"/>
        <v>0</v>
      </c>
    </row>
    <row r="332" spans="6:7" x14ac:dyDescent="0.25">
      <c r="F332" s="21">
        <f t="shared" si="12"/>
        <v>0</v>
      </c>
      <c r="G332" s="8">
        <f t="shared" si="13"/>
        <v>0</v>
      </c>
    </row>
    <row r="333" spans="6:7" x14ac:dyDescent="0.25">
      <c r="F333" s="21">
        <f t="shared" si="12"/>
        <v>0</v>
      </c>
      <c r="G333" s="8">
        <f t="shared" si="13"/>
        <v>0</v>
      </c>
    </row>
    <row r="334" spans="6:7" x14ac:dyDescent="0.25">
      <c r="F334" s="21">
        <f t="shared" si="12"/>
        <v>0</v>
      </c>
      <c r="G334" s="8">
        <f t="shared" si="13"/>
        <v>0</v>
      </c>
    </row>
    <row r="335" spans="6:7" x14ac:dyDescent="0.25">
      <c r="F335" s="21">
        <f t="shared" si="12"/>
        <v>0</v>
      </c>
      <c r="G335" s="8">
        <f t="shared" si="13"/>
        <v>0</v>
      </c>
    </row>
    <row r="336" spans="6:7" x14ac:dyDescent="0.25">
      <c r="F336" s="21">
        <f t="shared" si="12"/>
        <v>0</v>
      </c>
      <c r="G336" s="8">
        <f t="shared" si="13"/>
        <v>0</v>
      </c>
    </row>
    <row r="337" spans="6:7" x14ac:dyDescent="0.25">
      <c r="F337" s="21">
        <f t="shared" si="12"/>
        <v>0</v>
      </c>
      <c r="G337" s="8">
        <f t="shared" si="13"/>
        <v>0</v>
      </c>
    </row>
    <row r="338" spans="6:7" x14ac:dyDescent="0.25">
      <c r="F338" s="21">
        <f t="shared" si="12"/>
        <v>0</v>
      </c>
      <c r="G338" s="8">
        <f t="shared" si="13"/>
        <v>0</v>
      </c>
    </row>
    <row r="339" spans="6:7" x14ac:dyDescent="0.25">
      <c r="F339" s="21">
        <f t="shared" si="12"/>
        <v>0</v>
      </c>
      <c r="G339" s="8">
        <f t="shared" si="13"/>
        <v>0</v>
      </c>
    </row>
    <row r="340" spans="6:7" x14ac:dyDescent="0.25">
      <c r="F340" s="21">
        <f t="shared" si="12"/>
        <v>0</v>
      </c>
      <c r="G340" s="8">
        <f t="shared" si="13"/>
        <v>0</v>
      </c>
    </row>
    <row r="341" spans="6:7" x14ac:dyDescent="0.25">
      <c r="F341" s="21">
        <f t="shared" si="12"/>
        <v>0</v>
      </c>
      <c r="G341" s="8">
        <f t="shared" si="13"/>
        <v>0</v>
      </c>
    </row>
    <row r="342" spans="6:7" x14ac:dyDescent="0.25">
      <c r="F342" s="21">
        <f t="shared" si="12"/>
        <v>0</v>
      </c>
      <c r="G342" s="8">
        <f t="shared" si="13"/>
        <v>0</v>
      </c>
    </row>
    <row r="343" spans="6:7" x14ac:dyDescent="0.25">
      <c r="F343" s="21">
        <f t="shared" si="12"/>
        <v>0</v>
      </c>
      <c r="G343" s="8">
        <f t="shared" si="13"/>
        <v>0</v>
      </c>
    </row>
    <row r="344" spans="6:7" x14ac:dyDescent="0.25">
      <c r="F344" s="21">
        <f t="shared" si="12"/>
        <v>0</v>
      </c>
      <c r="G344" s="8">
        <f t="shared" si="13"/>
        <v>0</v>
      </c>
    </row>
    <row r="345" spans="6:7" x14ac:dyDescent="0.25">
      <c r="F345" s="21">
        <f t="shared" si="12"/>
        <v>0</v>
      </c>
      <c r="G345" s="8">
        <f t="shared" si="13"/>
        <v>0</v>
      </c>
    </row>
    <row r="346" spans="6:7" x14ac:dyDescent="0.25">
      <c r="F346" s="21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1">
        <f t="shared" si="14"/>
        <v>0</v>
      </c>
      <c r="G347" s="8">
        <f t="shared" si="15"/>
        <v>0</v>
      </c>
    </row>
    <row r="348" spans="6:7" x14ac:dyDescent="0.25">
      <c r="F348" s="21">
        <f t="shared" si="14"/>
        <v>0</v>
      </c>
      <c r="G348" s="8">
        <f t="shared" si="15"/>
        <v>0</v>
      </c>
    </row>
    <row r="349" spans="6:7" x14ac:dyDescent="0.25">
      <c r="F349" s="21">
        <f t="shared" si="14"/>
        <v>0</v>
      </c>
      <c r="G349" s="8">
        <f t="shared" si="15"/>
        <v>0</v>
      </c>
    </row>
    <row r="350" spans="6:7" x14ac:dyDescent="0.25">
      <c r="F350" s="21">
        <f t="shared" si="14"/>
        <v>0</v>
      </c>
      <c r="G350" s="8">
        <f t="shared" si="15"/>
        <v>0</v>
      </c>
    </row>
    <row r="351" spans="6:7" x14ac:dyDescent="0.25">
      <c r="F351" s="21">
        <f t="shared" si="14"/>
        <v>0</v>
      </c>
      <c r="G351" s="8">
        <f t="shared" si="15"/>
        <v>0</v>
      </c>
    </row>
    <row r="352" spans="6:7" x14ac:dyDescent="0.25">
      <c r="F352" s="21">
        <f t="shared" si="14"/>
        <v>0</v>
      </c>
      <c r="G352" s="8">
        <f t="shared" si="15"/>
        <v>0</v>
      </c>
    </row>
    <row r="353" spans="6:7" x14ac:dyDescent="0.25">
      <c r="F353" s="21">
        <f t="shared" si="14"/>
        <v>0</v>
      </c>
      <c r="G353" s="8">
        <f t="shared" si="15"/>
        <v>0</v>
      </c>
    </row>
    <row r="354" spans="6:7" x14ac:dyDescent="0.25">
      <c r="F354" s="21">
        <f t="shared" si="14"/>
        <v>0</v>
      </c>
      <c r="G354" s="8">
        <f t="shared" si="15"/>
        <v>0</v>
      </c>
    </row>
    <row r="355" spans="6:7" x14ac:dyDescent="0.25">
      <c r="F355" s="21">
        <f t="shared" si="14"/>
        <v>0</v>
      </c>
      <c r="G355" s="8">
        <f t="shared" si="15"/>
        <v>0</v>
      </c>
    </row>
    <row r="356" spans="6:7" x14ac:dyDescent="0.25">
      <c r="F356" s="21">
        <f t="shared" si="14"/>
        <v>0</v>
      </c>
      <c r="G356" s="8">
        <f t="shared" si="15"/>
        <v>0</v>
      </c>
    </row>
    <row r="357" spans="6:7" x14ac:dyDescent="0.25">
      <c r="F357" s="21">
        <f t="shared" si="14"/>
        <v>0</v>
      </c>
      <c r="G357" s="8">
        <f t="shared" si="15"/>
        <v>0</v>
      </c>
    </row>
    <row r="358" spans="6:7" x14ac:dyDescent="0.25">
      <c r="F358" s="21">
        <f t="shared" si="14"/>
        <v>0</v>
      </c>
      <c r="G358" s="8">
        <f t="shared" si="15"/>
        <v>0</v>
      </c>
    </row>
    <row r="359" spans="6:7" x14ac:dyDescent="0.25">
      <c r="F359" s="21">
        <f t="shared" si="14"/>
        <v>0</v>
      </c>
      <c r="G359" s="8">
        <f t="shared" si="15"/>
        <v>0</v>
      </c>
    </row>
    <row r="360" spans="6:7" x14ac:dyDescent="0.25">
      <c r="F360" s="21">
        <f t="shared" si="14"/>
        <v>0</v>
      </c>
      <c r="G360" s="8">
        <f t="shared" si="15"/>
        <v>0</v>
      </c>
    </row>
    <row r="361" spans="6:7" x14ac:dyDescent="0.25">
      <c r="F361" s="21">
        <f t="shared" si="14"/>
        <v>0</v>
      </c>
      <c r="G361" s="8">
        <f t="shared" si="15"/>
        <v>0</v>
      </c>
    </row>
    <row r="362" spans="6:7" x14ac:dyDescent="0.25">
      <c r="F362" s="21">
        <f t="shared" si="14"/>
        <v>0</v>
      </c>
      <c r="G362" s="8">
        <f t="shared" si="15"/>
        <v>0</v>
      </c>
    </row>
    <row r="363" spans="6:7" x14ac:dyDescent="0.25">
      <c r="F363" s="21">
        <f t="shared" si="14"/>
        <v>0</v>
      </c>
      <c r="G363" s="8">
        <f t="shared" si="15"/>
        <v>0</v>
      </c>
    </row>
    <row r="364" spans="6:7" x14ac:dyDescent="0.25">
      <c r="F364" s="21">
        <f t="shared" si="14"/>
        <v>0</v>
      </c>
      <c r="G364" s="8">
        <f t="shared" si="15"/>
        <v>0</v>
      </c>
    </row>
    <row r="365" spans="6:7" x14ac:dyDescent="0.25">
      <c r="F365" s="21">
        <f t="shared" si="14"/>
        <v>0</v>
      </c>
      <c r="G365" s="8">
        <f t="shared" si="15"/>
        <v>0</v>
      </c>
    </row>
    <row r="366" spans="6:7" x14ac:dyDescent="0.25">
      <c r="F366" s="21">
        <f t="shared" si="14"/>
        <v>0</v>
      </c>
      <c r="G366" s="8">
        <f t="shared" si="15"/>
        <v>0</v>
      </c>
    </row>
    <row r="367" spans="6:7" x14ac:dyDescent="0.25">
      <c r="F367" s="21">
        <f t="shared" si="14"/>
        <v>0</v>
      </c>
      <c r="G367" s="8">
        <f t="shared" si="15"/>
        <v>0</v>
      </c>
    </row>
    <row r="368" spans="6:7" x14ac:dyDescent="0.25">
      <c r="F368" s="21">
        <f t="shared" si="14"/>
        <v>0</v>
      </c>
      <c r="G368" s="8">
        <f t="shared" si="15"/>
        <v>0</v>
      </c>
    </row>
    <row r="369" spans="6:7" x14ac:dyDescent="0.25">
      <c r="F369" s="21">
        <f t="shared" si="14"/>
        <v>0</v>
      </c>
      <c r="G369" s="8">
        <f t="shared" si="15"/>
        <v>0</v>
      </c>
    </row>
    <row r="370" spans="6:7" x14ac:dyDescent="0.25">
      <c r="F370" s="21">
        <f t="shared" si="14"/>
        <v>0</v>
      </c>
      <c r="G370" s="8">
        <f t="shared" si="15"/>
        <v>0</v>
      </c>
    </row>
    <row r="371" spans="6:7" x14ac:dyDescent="0.25">
      <c r="F371" s="21">
        <f t="shared" si="14"/>
        <v>0</v>
      </c>
      <c r="G371" s="8">
        <f t="shared" si="15"/>
        <v>0</v>
      </c>
    </row>
    <row r="372" spans="6:7" x14ac:dyDescent="0.25">
      <c r="F372" s="21">
        <f t="shared" si="14"/>
        <v>0</v>
      </c>
      <c r="G372" s="8">
        <f t="shared" si="15"/>
        <v>0</v>
      </c>
    </row>
    <row r="373" spans="6:7" x14ac:dyDescent="0.25">
      <c r="F373" s="21">
        <f t="shared" si="14"/>
        <v>0</v>
      </c>
      <c r="G373" s="8">
        <f t="shared" si="15"/>
        <v>0</v>
      </c>
    </row>
    <row r="374" spans="6:7" x14ac:dyDescent="0.25">
      <c r="F374" s="21">
        <f t="shared" si="14"/>
        <v>0</v>
      </c>
      <c r="G374" s="8">
        <f t="shared" si="15"/>
        <v>0</v>
      </c>
    </row>
    <row r="375" spans="6:7" x14ac:dyDescent="0.25">
      <c r="F375" s="21">
        <f t="shared" si="14"/>
        <v>0</v>
      </c>
      <c r="G375" s="8">
        <f t="shared" si="15"/>
        <v>0</v>
      </c>
    </row>
    <row r="376" spans="6:7" x14ac:dyDescent="0.25">
      <c r="F376" s="21">
        <f t="shared" si="14"/>
        <v>0</v>
      </c>
      <c r="G376" s="8">
        <f t="shared" si="15"/>
        <v>0</v>
      </c>
    </row>
    <row r="377" spans="6:7" x14ac:dyDescent="0.25">
      <c r="F377" s="21">
        <f t="shared" si="14"/>
        <v>0</v>
      </c>
      <c r="G377" s="8">
        <f t="shared" si="15"/>
        <v>0</v>
      </c>
    </row>
    <row r="378" spans="6:7" x14ac:dyDescent="0.25">
      <c r="F378" s="21">
        <f t="shared" si="14"/>
        <v>0</v>
      </c>
      <c r="G378" s="8">
        <f t="shared" si="15"/>
        <v>0</v>
      </c>
    </row>
    <row r="379" spans="6:7" x14ac:dyDescent="0.25">
      <c r="F379" s="21">
        <f t="shared" si="14"/>
        <v>0</v>
      </c>
      <c r="G379" s="8">
        <f t="shared" si="15"/>
        <v>0</v>
      </c>
    </row>
    <row r="380" spans="6:7" x14ac:dyDescent="0.25">
      <c r="F380" s="21">
        <f t="shared" si="14"/>
        <v>0</v>
      </c>
      <c r="G380" s="8">
        <f t="shared" si="15"/>
        <v>0</v>
      </c>
    </row>
    <row r="381" spans="6:7" x14ac:dyDescent="0.25">
      <c r="F381" s="21">
        <f t="shared" si="14"/>
        <v>0</v>
      </c>
      <c r="G381" s="8">
        <f t="shared" si="15"/>
        <v>0</v>
      </c>
    </row>
    <row r="382" spans="6:7" x14ac:dyDescent="0.25">
      <c r="F382" s="21">
        <f t="shared" si="14"/>
        <v>0</v>
      </c>
      <c r="G382" s="8">
        <f t="shared" si="15"/>
        <v>0</v>
      </c>
    </row>
    <row r="383" spans="6:7" x14ac:dyDescent="0.25">
      <c r="F383" s="21">
        <f t="shared" si="14"/>
        <v>0</v>
      </c>
      <c r="G383" s="8">
        <f t="shared" si="15"/>
        <v>0</v>
      </c>
    </row>
    <row r="384" spans="6:7" x14ac:dyDescent="0.25">
      <c r="F384" s="21">
        <f t="shared" si="14"/>
        <v>0</v>
      </c>
      <c r="G384" s="8">
        <f t="shared" si="15"/>
        <v>0</v>
      </c>
    </row>
    <row r="385" spans="6:7" x14ac:dyDescent="0.25">
      <c r="F385" s="21">
        <f t="shared" si="14"/>
        <v>0</v>
      </c>
      <c r="G385" s="8">
        <f t="shared" si="15"/>
        <v>0</v>
      </c>
    </row>
    <row r="386" spans="6:7" x14ac:dyDescent="0.25">
      <c r="F386" s="21">
        <f t="shared" si="14"/>
        <v>0</v>
      </c>
      <c r="G386" s="8">
        <f t="shared" si="15"/>
        <v>0</v>
      </c>
    </row>
    <row r="387" spans="6:7" x14ac:dyDescent="0.25">
      <c r="F387" s="21">
        <f t="shared" si="14"/>
        <v>0</v>
      </c>
      <c r="G387" s="8">
        <f t="shared" si="15"/>
        <v>0</v>
      </c>
    </row>
    <row r="388" spans="6:7" x14ac:dyDescent="0.25">
      <c r="F388" s="21">
        <f t="shared" si="14"/>
        <v>0</v>
      </c>
      <c r="G388" s="8">
        <f t="shared" si="15"/>
        <v>0</v>
      </c>
    </row>
    <row r="389" spans="6:7" x14ac:dyDescent="0.25">
      <c r="F389" s="21">
        <f t="shared" si="14"/>
        <v>0</v>
      </c>
      <c r="G389" s="8">
        <f t="shared" si="15"/>
        <v>0</v>
      </c>
    </row>
    <row r="390" spans="6:7" x14ac:dyDescent="0.25">
      <c r="F390" s="21">
        <f t="shared" si="14"/>
        <v>0</v>
      </c>
      <c r="G390" s="8">
        <f t="shared" si="15"/>
        <v>0</v>
      </c>
    </row>
    <row r="391" spans="6:7" x14ac:dyDescent="0.25">
      <c r="F391" s="21">
        <f t="shared" si="14"/>
        <v>0</v>
      </c>
      <c r="G391" s="8">
        <f t="shared" si="15"/>
        <v>0</v>
      </c>
    </row>
    <row r="392" spans="6:7" x14ac:dyDescent="0.25">
      <c r="F392" s="21">
        <f t="shared" si="14"/>
        <v>0</v>
      </c>
      <c r="G392" s="8">
        <f t="shared" si="15"/>
        <v>0</v>
      </c>
    </row>
    <row r="393" spans="6:7" x14ac:dyDescent="0.25">
      <c r="F393" s="21">
        <f t="shared" si="14"/>
        <v>0</v>
      </c>
      <c r="G393" s="8">
        <f t="shared" si="15"/>
        <v>0</v>
      </c>
    </row>
    <row r="394" spans="6:7" x14ac:dyDescent="0.25">
      <c r="F394" s="21">
        <f t="shared" si="14"/>
        <v>0</v>
      </c>
      <c r="G394" s="8">
        <f t="shared" si="15"/>
        <v>0</v>
      </c>
    </row>
    <row r="395" spans="6:7" x14ac:dyDescent="0.25">
      <c r="F395" s="21">
        <f t="shared" si="14"/>
        <v>0</v>
      </c>
      <c r="G395" s="8">
        <f t="shared" si="15"/>
        <v>0</v>
      </c>
    </row>
    <row r="396" spans="6:7" x14ac:dyDescent="0.25">
      <c r="F396" s="21">
        <f t="shared" si="14"/>
        <v>0</v>
      </c>
      <c r="G396" s="8">
        <f t="shared" si="15"/>
        <v>0</v>
      </c>
    </row>
    <row r="397" spans="6:7" x14ac:dyDescent="0.25">
      <c r="F397" s="21">
        <f t="shared" si="14"/>
        <v>0</v>
      </c>
      <c r="G397" s="8">
        <f t="shared" si="15"/>
        <v>0</v>
      </c>
    </row>
    <row r="398" spans="6:7" x14ac:dyDescent="0.25">
      <c r="F398" s="21">
        <f t="shared" si="14"/>
        <v>0</v>
      </c>
      <c r="G398" s="8">
        <f t="shared" si="15"/>
        <v>0</v>
      </c>
    </row>
    <row r="399" spans="6:7" x14ac:dyDescent="0.25">
      <c r="F399" s="21">
        <f t="shared" si="14"/>
        <v>0</v>
      </c>
      <c r="G399" s="8">
        <f t="shared" si="15"/>
        <v>0</v>
      </c>
    </row>
    <row r="400" spans="6:7" x14ac:dyDescent="0.25">
      <c r="F400" s="21">
        <f t="shared" si="14"/>
        <v>0</v>
      </c>
      <c r="G400" s="8">
        <f t="shared" si="15"/>
        <v>0</v>
      </c>
    </row>
    <row r="401" spans="6:7" x14ac:dyDescent="0.25">
      <c r="F401" s="21">
        <f t="shared" si="14"/>
        <v>0</v>
      </c>
      <c r="G401" s="8">
        <f t="shared" si="15"/>
        <v>0</v>
      </c>
    </row>
    <row r="402" spans="6:7" x14ac:dyDescent="0.25">
      <c r="F402" s="21">
        <f t="shared" si="14"/>
        <v>0</v>
      </c>
      <c r="G402" s="8">
        <f t="shared" si="15"/>
        <v>0</v>
      </c>
    </row>
    <row r="403" spans="6:7" x14ac:dyDescent="0.25">
      <c r="F403" s="21">
        <f t="shared" si="14"/>
        <v>0</v>
      </c>
      <c r="G403" s="8">
        <f t="shared" si="15"/>
        <v>0</v>
      </c>
    </row>
    <row r="404" spans="6:7" x14ac:dyDescent="0.25">
      <c r="F404" s="21">
        <f t="shared" si="14"/>
        <v>0</v>
      </c>
      <c r="G404" s="8">
        <f t="shared" si="15"/>
        <v>0</v>
      </c>
    </row>
    <row r="405" spans="6:7" x14ac:dyDescent="0.25">
      <c r="F405" s="21">
        <f t="shared" si="14"/>
        <v>0</v>
      </c>
      <c r="G405" s="8">
        <f t="shared" si="15"/>
        <v>0</v>
      </c>
    </row>
    <row r="406" spans="6:7" x14ac:dyDescent="0.25">
      <c r="F406" s="21">
        <f t="shared" si="14"/>
        <v>0</v>
      </c>
      <c r="G406" s="8">
        <f t="shared" si="15"/>
        <v>0</v>
      </c>
    </row>
    <row r="407" spans="6:7" x14ac:dyDescent="0.25">
      <c r="F407" s="21">
        <f t="shared" si="14"/>
        <v>0</v>
      </c>
      <c r="G407" s="8">
        <f t="shared" si="15"/>
        <v>0</v>
      </c>
    </row>
    <row r="408" spans="6:7" x14ac:dyDescent="0.25">
      <c r="F408" s="21">
        <f t="shared" si="14"/>
        <v>0</v>
      </c>
      <c r="G408" s="8">
        <f t="shared" si="15"/>
        <v>0</v>
      </c>
    </row>
    <row r="409" spans="6:7" x14ac:dyDescent="0.25">
      <c r="F409" s="21">
        <f t="shared" si="14"/>
        <v>0</v>
      </c>
      <c r="G409" s="8">
        <f t="shared" si="15"/>
        <v>0</v>
      </c>
    </row>
    <row r="410" spans="6:7" x14ac:dyDescent="0.25">
      <c r="F410" s="21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1">
        <f t="shared" si="16"/>
        <v>0</v>
      </c>
      <c r="G411" s="8">
        <f t="shared" si="17"/>
        <v>0</v>
      </c>
    </row>
    <row r="412" spans="6:7" x14ac:dyDescent="0.25">
      <c r="F412" s="21">
        <f t="shared" si="16"/>
        <v>0</v>
      </c>
      <c r="G412" s="8">
        <f t="shared" si="17"/>
        <v>0</v>
      </c>
    </row>
    <row r="413" spans="6:7" x14ac:dyDescent="0.25">
      <c r="F413" s="21">
        <f t="shared" si="16"/>
        <v>0</v>
      </c>
      <c r="G413" s="8">
        <f t="shared" si="17"/>
        <v>0</v>
      </c>
    </row>
    <row r="414" spans="6:7" x14ac:dyDescent="0.25">
      <c r="F414" s="21">
        <f t="shared" si="16"/>
        <v>0</v>
      </c>
      <c r="G414" s="8">
        <f t="shared" si="17"/>
        <v>0</v>
      </c>
    </row>
    <row r="415" spans="6:7" x14ac:dyDescent="0.25">
      <c r="F415" s="21">
        <f t="shared" si="16"/>
        <v>0</v>
      </c>
      <c r="G415" s="8">
        <f t="shared" si="17"/>
        <v>0</v>
      </c>
    </row>
    <row r="416" spans="6:7" x14ac:dyDescent="0.25">
      <c r="F416" s="21">
        <f t="shared" si="16"/>
        <v>0</v>
      </c>
      <c r="G416" s="8">
        <f t="shared" si="17"/>
        <v>0</v>
      </c>
    </row>
    <row r="417" spans="6:7" x14ac:dyDescent="0.25">
      <c r="F417" s="21">
        <f t="shared" si="16"/>
        <v>0</v>
      </c>
      <c r="G417" s="8">
        <f t="shared" si="17"/>
        <v>0</v>
      </c>
    </row>
    <row r="418" spans="6:7" x14ac:dyDescent="0.25">
      <c r="F418" s="21">
        <f t="shared" si="16"/>
        <v>0</v>
      </c>
      <c r="G418" s="8">
        <f t="shared" si="17"/>
        <v>0</v>
      </c>
    </row>
    <row r="419" spans="6:7" x14ac:dyDescent="0.25">
      <c r="F419" s="21">
        <f t="shared" si="16"/>
        <v>0</v>
      </c>
      <c r="G419" s="8">
        <f t="shared" si="17"/>
        <v>0</v>
      </c>
    </row>
    <row r="420" spans="6:7" x14ac:dyDescent="0.25">
      <c r="F420" s="21">
        <f t="shared" si="16"/>
        <v>0</v>
      </c>
      <c r="G420" s="8">
        <f t="shared" si="17"/>
        <v>0</v>
      </c>
    </row>
    <row r="421" spans="6:7" x14ac:dyDescent="0.25">
      <c r="F421" s="21">
        <f t="shared" si="16"/>
        <v>0</v>
      </c>
      <c r="G421" s="8">
        <f t="shared" si="17"/>
        <v>0</v>
      </c>
    </row>
    <row r="422" spans="6:7" x14ac:dyDescent="0.25">
      <c r="F422" s="21">
        <f t="shared" si="16"/>
        <v>0</v>
      </c>
      <c r="G422" s="8">
        <f t="shared" si="17"/>
        <v>0</v>
      </c>
    </row>
    <row r="423" spans="6:7" x14ac:dyDescent="0.25">
      <c r="F423" s="21">
        <f t="shared" si="16"/>
        <v>0</v>
      </c>
      <c r="G423" s="8">
        <f t="shared" si="17"/>
        <v>0</v>
      </c>
    </row>
    <row r="424" spans="6:7" x14ac:dyDescent="0.25">
      <c r="F424" s="21">
        <f t="shared" si="16"/>
        <v>0</v>
      </c>
      <c r="G424" s="8">
        <f t="shared" si="17"/>
        <v>0</v>
      </c>
    </row>
    <row r="425" spans="6:7" x14ac:dyDescent="0.25">
      <c r="F425" s="21">
        <f t="shared" si="16"/>
        <v>0</v>
      </c>
      <c r="G425" s="8">
        <f t="shared" si="17"/>
        <v>0</v>
      </c>
    </row>
    <row r="426" spans="6:7" x14ac:dyDescent="0.25">
      <c r="F426" s="21">
        <f t="shared" si="16"/>
        <v>0</v>
      </c>
      <c r="G426" s="8">
        <f t="shared" si="17"/>
        <v>0</v>
      </c>
    </row>
    <row r="427" spans="6:7" x14ac:dyDescent="0.25">
      <c r="F427" s="21">
        <f t="shared" si="16"/>
        <v>0</v>
      </c>
      <c r="G427" s="8">
        <f t="shared" si="17"/>
        <v>0</v>
      </c>
    </row>
    <row r="428" spans="6:7" x14ac:dyDescent="0.25">
      <c r="F428" s="21">
        <f t="shared" si="16"/>
        <v>0</v>
      </c>
      <c r="G428" s="8">
        <f t="shared" si="17"/>
        <v>0</v>
      </c>
    </row>
    <row r="429" spans="6:7" x14ac:dyDescent="0.25">
      <c r="F429" s="21">
        <f t="shared" si="16"/>
        <v>0</v>
      </c>
      <c r="G429" s="8">
        <f t="shared" si="17"/>
        <v>0</v>
      </c>
    </row>
    <row r="430" spans="6:7" x14ac:dyDescent="0.25">
      <c r="F430" s="21">
        <f t="shared" si="16"/>
        <v>0</v>
      </c>
      <c r="G430" s="8">
        <f t="shared" si="17"/>
        <v>0</v>
      </c>
    </row>
    <row r="431" spans="6:7" x14ac:dyDescent="0.25">
      <c r="F431" s="21">
        <f t="shared" si="16"/>
        <v>0</v>
      </c>
      <c r="G431" s="8">
        <f t="shared" si="17"/>
        <v>0</v>
      </c>
    </row>
    <row r="432" spans="6:7" x14ac:dyDescent="0.25">
      <c r="F432" s="21">
        <f t="shared" si="16"/>
        <v>0</v>
      </c>
      <c r="G432" s="8">
        <f t="shared" si="17"/>
        <v>0</v>
      </c>
    </row>
    <row r="433" spans="6:7" x14ac:dyDescent="0.25">
      <c r="F433" s="21">
        <f t="shared" si="16"/>
        <v>0</v>
      </c>
      <c r="G433" s="8">
        <f t="shared" si="17"/>
        <v>0</v>
      </c>
    </row>
    <row r="434" spans="6:7" x14ac:dyDescent="0.25">
      <c r="F434" s="21">
        <f t="shared" si="16"/>
        <v>0</v>
      </c>
      <c r="G434" s="8">
        <f t="shared" si="17"/>
        <v>0</v>
      </c>
    </row>
    <row r="435" spans="6:7" x14ac:dyDescent="0.25">
      <c r="F435" s="21">
        <f t="shared" si="16"/>
        <v>0</v>
      </c>
      <c r="G435" s="8">
        <f t="shared" si="17"/>
        <v>0</v>
      </c>
    </row>
    <row r="436" spans="6:7" x14ac:dyDescent="0.25">
      <c r="F436" s="21">
        <f t="shared" si="16"/>
        <v>0</v>
      </c>
      <c r="G436" s="8">
        <f t="shared" si="17"/>
        <v>0</v>
      </c>
    </row>
    <row r="437" spans="6:7" x14ac:dyDescent="0.25">
      <c r="F437" s="21">
        <f t="shared" si="16"/>
        <v>0</v>
      </c>
      <c r="G437" s="8">
        <f t="shared" si="17"/>
        <v>0</v>
      </c>
    </row>
    <row r="438" spans="6:7" x14ac:dyDescent="0.25">
      <c r="F438" s="21">
        <f t="shared" si="16"/>
        <v>0</v>
      </c>
      <c r="G438" s="8">
        <f t="shared" si="17"/>
        <v>0</v>
      </c>
    </row>
    <row r="439" spans="6:7" x14ac:dyDescent="0.25">
      <c r="F439" s="21">
        <f t="shared" si="16"/>
        <v>0</v>
      </c>
      <c r="G439" s="8">
        <f t="shared" si="17"/>
        <v>0</v>
      </c>
    </row>
    <row r="440" spans="6:7" x14ac:dyDescent="0.25">
      <c r="F440" s="21">
        <f t="shared" si="16"/>
        <v>0</v>
      </c>
      <c r="G440" s="8">
        <f t="shared" si="17"/>
        <v>0</v>
      </c>
    </row>
    <row r="441" spans="6:7" x14ac:dyDescent="0.25">
      <c r="F441" s="21">
        <f t="shared" si="16"/>
        <v>0</v>
      </c>
      <c r="G441" s="8">
        <f t="shared" si="17"/>
        <v>0</v>
      </c>
    </row>
    <row r="442" spans="6:7" x14ac:dyDescent="0.25">
      <c r="F442" s="21">
        <f t="shared" si="16"/>
        <v>0</v>
      </c>
      <c r="G442" s="8">
        <f t="shared" si="17"/>
        <v>0</v>
      </c>
    </row>
    <row r="443" spans="6:7" x14ac:dyDescent="0.25">
      <c r="F443" s="21">
        <f t="shared" si="16"/>
        <v>0</v>
      </c>
      <c r="G443" s="8">
        <f t="shared" si="17"/>
        <v>0</v>
      </c>
    </row>
    <row r="444" spans="6:7" x14ac:dyDescent="0.25">
      <c r="F444" s="21">
        <f t="shared" si="16"/>
        <v>0</v>
      </c>
      <c r="G444" s="8">
        <f t="shared" si="17"/>
        <v>0</v>
      </c>
    </row>
    <row r="445" spans="6:7" x14ac:dyDescent="0.25">
      <c r="F445" s="21">
        <f t="shared" si="16"/>
        <v>0</v>
      </c>
      <c r="G445" s="8">
        <f t="shared" si="17"/>
        <v>0</v>
      </c>
    </row>
    <row r="446" spans="6:7" x14ac:dyDescent="0.25">
      <c r="F446" s="21">
        <f t="shared" si="16"/>
        <v>0</v>
      </c>
      <c r="G446" s="8">
        <f t="shared" si="17"/>
        <v>0</v>
      </c>
    </row>
    <row r="447" spans="6:7" x14ac:dyDescent="0.25">
      <c r="F447" s="21">
        <f t="shared" si="16"/>
        <v>0</v>
      </c>
      <c r="G447" s="8">
        <f t="shared" si="17"/>
        <v>0</v>
      </c>
    </row>
    <row r="448" spans="6:7" x14ac:dyDescent="0.25">
      <c r="F448" s="21">
        <f t="shared" si="16"/>
        <v>0</v>
      </c>
      <c r="G448" s="8">
        <f t="shared" si="17"/>
        <v>0</v>
      </c>
    </row>
    <row r="449" spans="6:7" x14ac:dyDescent="0.25">
      <c r="F449" s="21">
        <f t="shared" si="16"/>
        <v>0</v>
      </c>
      <c r="G449" s="8">
        <f t="shared" si="17"/>
        <v>0</v>
      </c>
    </row>
    <row r="450" spans="6:7" x14ac:dyDescent="0.25">
      <c r="F450" s="21">
        <f t="shared" si="16"/>
        <v>0</v>
      </c>
      <c r="G450" s="8">
        <f t="shared" si="17"/>
        <v>0</v>
      </c>
    </row>
    <row r="451" spans="6:7" x14ac:dyDescent="0.25">
      <c r="F451" s="21">
        <f t="shared" si="16"/>
        <v>0</v>
      </c>
      <c r="G451" s="8">
        <f t="shared" si="17"/>
        <v>0</v>
      </c>
    </row>
    <row r="452" spans="6:7" x14ac:dyDescent="0.25">
      <c r="F452" s="21">
        <f t="shared" si="16"/>
        <v>0</v>
      </c>
      <c r="G452" s="8">
        <f t="shared" si="17"/>
        <v>0</v>
      </c>
    </row>
    <row r="453" spans="6:7" x14ac:dyDescent="0.25">
      <c r="F453" s="21">
        <f t="shared" si="16"/>
        <v>0</v>
      </c>
      <c r="G453" s="8">
        <f t="shared" si="17"/>
        <v>0</v>
      </c>
    </row>
    <row r="454" spans="6:7" x14ac:dyDescent="0.25">
      <c r="F454" s="21">
        <f t="shared" si="16"/>
        <v>0</v>
      </c>
      <c r="G454" s="8">
        <f t="shared" si="17"/>
        <v>0</v>
      </c>
    </row>
    <row r="455" spans="6:7" x14ac:dyDescent="0.25">
      <c r="F455" s="21">
        <f t="shared" si="16"/>
        <v>0</v>
      </c>
      <c r="G455" s="8">
        <f t="shared" si="17"/>
        <v>0</v>
      </c>
    </row>
    <row r="456" spans="6:7" x14ac:dyDescent="0.25">
      <c r="F456" s="21">
        <f t="shared" si="16"/>
        <v>0</v>
      </c>
      <c r="G456" s="8">
        <f t="shared" si="17"/>
        <v>0</v>
      </c>
    </row>
    <row r="457" spans="6:7" x14ac:dyDescent="0.25">
      <c r="F457" s="21">
        <f t="shared" si="16"/>
        <v>0</v>
      </c>
      <c r="G457" s="8">
        <f t="shared" si="17"/>
        <v>0</v>
      </c>
    </row>
    <row r="458" spans="6:7" x14ac:dyDescent="0.25">
      <c r="F458" s="21">
        <f t="shared" si="16"/>
        <v>0</v>
      </c>
      <c r="G458" s="8">
        <f t="shared" si="17"/>
        <v>0</v>
      </c>
    </row>
    <row r="459" spans="6:7" x14ac:dyDescent="0.25">
      <c r="F459" s="21">
        <f t="shared" si="16"/>
        <v>0</v>
      </c>
      <c r="G459" s="8">
        <f t="shared" si="17"/>
        <v>0</v>
      </c>
    </row>
    <row r="460" spans="6:7" x14ac:dyDescent="0.25">
      <c r="F460" s="21">
        <f t="shared" si="16"/>
        <v>0</v>
      </c>
      <c r="G460" s="8">
        <f t="shared" si="17"/>
        <v>0</v>
      </c>
    </row>
    <row r="461" spans="6:7" x14ac:dyDescent="0.25">
      <c r="F461" s="21">
        <f t="shared" si="16"/>
        <v>0</v>
      </c>
      <c r="G461" s="8">
        <f t="shared" si="17"/>
        <v>0</v>
      </c>
    </row>
    <row r="462" spans="6:7" x14ac:dyDescent="0.25">
      <c r="F462" s="21">
        <f t="shared" si="16"/>
        <v>0</v>
      </c>
      <c r="G462" s="8">
        <f t="shared" si="17"/>
        <v>0</v>
      </c>
    </row>
    <row r="463" spans="6:7" x14ac:dyDescent="0.25">
      <c r="F463" s="21">
        <f t="shared" si="16"/>
        <v>0</v>
      </c>
      <c r="G463" s="8">
        <f t="shared" si="17"/>
        <v>0</v>
      </c>
    </row>
    <row r="464" spans="6:7" x14ac:dyDescent="0.25">
      <c r="F464" s="21">
        <f t="shared" si="16"/>
        <v>0</v>
      </c>
      <c r="G464" s="8">
        <f t="shared" si="17"/>
        <v>0</v>
      </c>
    </row>
    <row r="465" spans="6:7" x14ac:dyDescent="0.25">
      <c r="F465" s="21">
        <f t="shared" si="16"/>
        <v>0</v>
      </c>
      <c r="G465" s="8">
        <f t="shared" si="17"/>
        <v>0</v>
      </c>
    </row>
    <row r="466" spans="6:7" x14ac:dyDescent="0.25">
      <c r="F466" s="21">
        <f t="shared" si="16"/>
        <v>0</v>
      </c>
      <c r="G466" s="8">
        <f t="shared" si="17"/>
        <v>0</v>
      </c>
    </row>
    <row r="467" spans="6:7" x14ac:dyDescent="0.25">
      <c r="F467" s="21">
        <f t="shared" si="16"/>
        <v>0</v>
      </c>
      <c r="G467" s="8">
        <f t="shared" si="17"/>
        <v>0</v>
      </c>
    </row>
    <row r="468" spans="6:7" x14ac:dyDescent="0.25">
      <c r="F468" s="21">
        <f t="shared" si="16"/>
        <v>0</v>
      </c>
      <c r="G468" s="8">
        <f t="shared" si="17"/>
        <v>0</v>
      </c>
    </row>
    <row r="469" spans="6:7" x14ac:dyDescent="0.25">
      <c r="F469" s="21">
        <f t="shared" si="16"/>
        <v>0</v>
      </c>
      <c r="G469" s="8">
        <f t="shared" si="17"/>
        <v>0</v>
      </c>
    </row>
    <row r="470" spans="6:7" x14ac:dyDescent="0.25">
      <c r="F470" s="21">
        <f t="shared" si="16"/>
        <v>0</v>
      </c>
      <c r="G470" s="8">
        <f t="shared" si="17"/>
        <v>0</v>
      </c>
    </row>
    <row r="471" spans="6:7" x14ac:dyDescent="0.25">
      <c r="F471" s="21">
        <f t="shared" si="16"/>
        <v>0</v>
      </c>
      <c r="G471" s="8">
        <f t="shared" si="17"/>
        <v>0</v>
      </c>
    </row>
    <row r="472" spans="6:7" x14ac:dyDescent="0.25">
      <c r="F472" s="21">
        <f t="shared" si="16"/>
        <v>0</v>
      </c>
      <c r="G472" s="8">
        <f t="shared" si="17"/>
        <v>0</v>
      </c>
    </row>
    <row r="473" spans="6:7" x14ac:dyDescent="0.25">
      <c r="F473" s="21">
        <f t="shared" si="16"/>
        <v>0</v>
      </c>
      <c r="G473" s="8">
        <f t="shared" si="17"/>
        <v>0</v>
      </c>
    </row>
    <row r="474" spans="6:7" x14ac:dyDescent="0.25">
      <c r="F474" s="21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1">
        <f t="shared" si="18"/>
        <v>0</v>
      </c>
      <c r="G475" s="8">
        <f t="shared" si="19"/>
        <v>0</v>
      </c>
    </row>
    <row r="476" spans="6:7" x14ac:dyDescent="0.25">
      <c r="F476" s="21">
        <f t="shared" si="18"/>
        <v>0</v>
      </c>
      <c r="G476" s="8">
        <f t="shared" si="19"/>
        <v>0</v>
      </c>
    </row>
    <row r="477" spans="6:7" x14ac:dyDescent="0.25">
      <c r="F477" s="21">
        <f t="shared" si="18"/>
        <v>0</v>
      </c>
      <c r="G477" s="8">
        <f t="shared" si="19"/>
        <v>0</v>
      </c>
    </row>
    <row r="478" spans="6:7" x14ac:dyDescent="0.25">
      <c r="F478" s="21">
        <f t="shared" si="18"/>
        <v>0</v>
      </c>
      <c r="G478" s="8">
        <f t="shared" si="19"/>
        <v>0</v>
      </c>
    </row>
    <row r="479" spans="6:7" x14ac:dyDescent="0.25">
      <c r="F479" s="21">
        <f t="shared" si="18"/>
        <v>0</v>
      </c>
      <c r="G479" s="8">
        <f t="shared" si="19"/>
        <v>0</v>
      </c>
    </row>
    <row r="480" spans="6:7" x14ac:dyDescent="0.25">
      <c r="F480" s="21">
        <f t="shared" si="18"/>
        <v>0</v>
      </c>
      <c r="G480" s="8">
        <f t="shared" si="19"/>
        <v>0</v>
      </c>
    </row>
    <row r="481" spans="6:7" x14ac:dyDescent="0.25">
      <c r="F481" s="21">
        <f t="shared" si="18"/>
        <v>0</v>
      </c>
      <c r="G481" s="8">
        <f t="shared" si="19"/>
        <v>0</v>
      </c>
    </row>
    <row r="482" spans="6:7" x14ac:dyDescent="0.25">
      <c r="F482" s="21">
        <f t="shared" si="18"/>
        <v>0</v>
      </c>
      <c r="G482" s="8">
        <f t="shared" si="19"/>
        <v>0</v>
      </c>
    </row>
    <row r="483" spans="6:7" x14ac:dyDescent="0.25">
      <c r="F483" s="21">
        <f t="shared" si="18"/>
        <v>0</v>
      </c>
      <c r="G483" s="8">
        <f t="shared" si="19"/>
        <v>0</v>
      </c>
    </row>
    <row r="484" spans="6:7" x14ac:dyDescent="0.25">
      <c r="F484" s="21">
        <f t="shared" si="18"/>
        <v>0</v>
      </c>
      <c r="G484" s="8">
        <f t="shared" si="19"/>
        <v>0</v>
      </c>
    </row>
    <row r="485" spans="6:7" x14ac:dyDescent="0.25">
      <c r="F485" s="21">
        <f t="shared" si="18"/>
        <v>0</v>
      </c>
      <c r="G485" s="8">
        <f t="shared" si="19"/>
        <v>0</v>
      </c>
    </row>
    <row r="486" spans="6:7" x14ac:dyDescent="0.25">
      <c r="F486" s="21">
        <f t="shared" si="18"/>
        <v>0</v>
      </c>
      <c r="G486" s="8">
        <f t="shared" si="19"/>
        <v>0</v>
      </c>
    </row>
    <row r="487" spans="6:7" x14ac:dyDescent="0.25">
      <c r="F487" s="21">
        <f t="shared" si="18"/>
        <v>0</v>
      </c>
      <c r="G487" s="8">
        <f t="shared" si="19"/>
        <v>0</v>
      </c>
    </row>
    <row r="488" spans="6:7" x14ac:dyDescent="0.25">
      <c r="F488" s="21">
        <f t="shared" si="18"/>
        <v>0</v>
      </c>
      <c r="G488" s="8">
        <f t="shared" si="19"/>
        <v>0</v>
      </c>
    </row>
    <row r="489" spans="6:7" x14ac:dyDescent="0.25">
      <c r="F489" s="21">
        <f t="shared" si="18"/>
        <v>0</v>
      </c>
      <c r="G489" s="8">
        <f t="shared" si="19"/>
        <v>0</v>
      </c>
    </row>
    <row r="490" spans="6:7" x14ac:dyDescent="0.25">
      <c r="F490" s="21">
        <f t="shared" si="18"/>
        <v>0</v>
      </c>
      <c r="G490" s="8">
        <f t="shared" si="19"/>
        <v>0</v>
      </c>
    </row>
    <row r="491" spans="6:7" x14ac:dyDescent="0.25">
      <c r="F491" s="21">
        <f t="shared" si="18"/>
        <v>0</v>
      </c>
      <c r="G491" s="8">
        <f t="shared" si="19"/>
        <v>0</v>
      </c>
    </row>
    <row r="492" spans="6:7" x14ac:dyDescent="0.25">
      <c r="F492" s="21">
        <f t="shared" si="18"/>
        <v>0</v>
      </c>
      <c r="G492" s="8">
        <f t="shared" si="19"/>
        <v>0</v>
      </c>
    </row>
    <row r="493" spans="6:7" x14ac:dyDescent="0.25">
      <c r="F493" s="21">
        <f t="shared" si="18"/>
        <v>0</v>
      </c>
      <c r="G493" s="8">
        <f t="shared" si="19"/>
        <v>0</v>
      </c>
    </row>
    <row r="494" spans="6:7" x14ac:dyDescent="0.25">
      <c r="F494" s="21">
        <f t="shared" si="18"/>
        <v>0</v>
      </c>
      <c r="G494" s="8">
        <f t="shared" si="19"/>
        <v>0</v>
      </c>
    </row>
    <row r="495" spans="6:7" x14ac:dyDescent="0.25">
      <c r="F495" s="21">
        <f t="shared" si="18"/>
        <v>0</v>
      </c>
      <c r="G495" s="8">
        <f t="shared" si="19"/>
        <v>0</v>
      </c>
    </row>
    <row r="496" spans="6:7" x14ac:dyDescent="0.25">
      <c r="F496" s="21">
        <f t="shared" si="18"/>
        <v>0</v>
      </c>
      <c r="G496" s="8">
        <f t="shared" si="19"/>
        <v>0</v>
      </c>
    </row>
    <row r="497" spans="6:7" x14ac:dyDescent="0.25">
      <c r="F497" s="21">
        <f t="shared" si="18"/>
        <v>0</v>
      </c>
      <c r="G497" s="8">
        <f t="shared" si="19"/>
        <v>0</v>
      </c>
    </row>
    <row r="498" spans="6:7" x14ac:dyDescent="0.25">
      <c r="F498" s="21">
        <f t="shared" si="18"/>
        <v>0</v>
      </c>
      <c r="G498" s="8">
        <f t="shared" si="19"/>
        <v>0</v>
      </c>
    </row>
    <row r="499" spans="6:7" x14ac:dyDescent="0.25">
      <c r="F499" s="21">
        <f t="shared" si="18"/>
        <v>0</v>
      </c>
      <c r="G499" s="8">
        <f t="shared" si="19"/>
        <v>0</v>
      </c>
    </row>
    <row r="500" spans="6:7" x14ac:dyDescent="0.25">
      <c r="F500" s="21">
        <f t="shared" si="18"/>
        <v>0</v>
      </c>
      <c r="G500" s="8">
        <f t="shared" si="19"/>
        <v>0</v>
      </c>
    </row>
    <row r="501" spans="6:7" x14ac:dyDescent="0.25">
      <c r="F501" s="21">
        <f t="shared" si="18"/>
        <v>0</v>
      </c>
      <c r="G501" s="8">
        <f t="shared" si="19"/>
        <v>0</v>
      </c>
    </row>
    <row r="502" spans="6:7" x14ac:dyDescent="0.25">
      <c r="F502" s="21">
        <f t="shared" si="18"/>
        <v>0</v>
      </c>
      <c r="G502" s="8">
        <f t="shared" si="19"/>
        <v>0</v>
      </c>
    </row>
    <row r="503" spans="6:7" x14ac:dyDescent="0.25">
      <c r="F503" s="21">
        <f t="shared" si="18"/>
        <v>0</v>
      </c>
      <c r="G503" s="8">
        <f t="shared" si="19"/>
        <v>0</v>
      </c>
    </row>
    <row r="504" spans="6:7" x14ac:dyDescent="0.25">
      <c r="F504" s="21">
        <f t="shared" si="18"/>
        <v>0</v>
      </c>
      <c r="G504" s="8">
        <f t="shared" si="19"/>
        <v>0</v>
      </c>
    </row>
    <row r="505" spans="6:7" x14ac:dyDescent="0.25">
      <c r="F505" s="21">
        <f t="shared" si="18"/>
        <v>0</v>
      </c>
      <c r="G505" s="8">
        <f t="shared" si="19"/>
        <v>0</v>
      </c>
    </row>
    <row r="506" spans="6:7" x14ac:dyDescent="0.25">
      <c r="F506" s="21">
        <f t="shared" si="18"/>
        <v>0</v>
      </c>
      <c r="G506" s="8">
        <f t="shared" si="19"/>
        <v>0</v>
      </c>
    </row>
    <row r="507" spans="6:7" x14ac:dyDescent="0.25">
      <c r="F507" s="21">
        <f t="shared" si="18"/>
        <v>0</v>
      </c>
      <c r="G507" s="8">
        <f t="shared" si="19"/>
        <v>0</v>
      </c>
    </row>
    <row r="508" spans="6:7" x14ac:dyDescent="0.25">
      <c r="F508" s="21">
        <f t="shared" si="18"/>
        <v>0</v>
      </c>
      <c r="G508" s="8">
        <f t="shared" si="19"/>
        <v>0</v>
      </c>
    </row>
    <row r="509" spans="6:7" x14ac:dyDescent="0.25">
      <c r="F509" s="21">
        <f t="shared" si="18"/>
        <v>0</v>
      </c>
      <c r="G509" s="8">
        <f t="shared" si="19"/>
        <v>0</v>
      </c>
    </row>
    <row r="510" spans="6:7" x14ac:dyDescent="0.25">
      <c r="F510" s="21">
        <f t="shared" si="18"/>
        <v>0</v>
      </c>
      <c r="G510" s="8">
        <f t="shared" si="19"/>
        <v>0</v>
      </c>
    </row>
    <row r="511" spans="6:7" x14ac:dyDescent="0.25">
      <c r="F511" s="21">
        <f t="shared" si="18"/>
        <v>0</v>
      </c>
      <c r="G511" s="8">
        <f t="shared" si="19"/>
        <v>0</v>
      </c>
    </row>
    <row r="512" spans="6:7" x14ac:dyDescent="0.25">
      <c r="F512" s="21">
        <f t="shared" si="18"/>
        <v>0</v>
      </c>
      <c r="G512" s="8">
        <f t="shared" si="19"/>
        <v>0</v>
      </c>
    </row>
    <row r="513" spans="6:7" x14ac:dyDescent="0.25">
      <c r="F513" s="21">
        <f t="shared" si="18"/>
        <v>0</v>
      </c>
      <c r="G513" s="8">
        <f t="shared" si="19"/>
        <v>0</v>
      </c>
    </row>
    <row r="514" spans="6:7" x14ac:dyDescent="0.25">
      <c r="F514" s="21">
        <f t="shared" si="18"/>
        <v>0</v>
      </c>
      <c r="G514" s="8">
        <f t="shared" si="19"/>
        <v>0</v>
      </c>
    </row>
    <row r="515" spans="6:7" x14ac:dyDescent="0.25">
      <c r="F515" s="21">
        <f t="shared" si="18"/>
        <v>0</v>
      </c>
      <c r="G515" s="8">
        <f t="shared" si="19"/>
        <v>0</v>
      </c>
    </row>
    <row r="516" spans="6:7" x14ac:dyDescent="0.25">
      <c r="F516" s="21">
        <f t="shared" si="18"/>
        <v>0</v>
      </c>
      <c r="G516" s="8">
        <f t="shared" si="19"/>
        <v>0</v>
      </c>
    </row>
    <row r="517" spans="6:7" x14ac:dyDescent="0.25">
      <c r="F517" s="21">
        <f t="shared" si="18"/>
        <v>0</v>
      </c>
      <c r="G517" s="8">
        <f t="shared" si="19"/>
        <v>0</v>
      </c>
    </row>
    <row r="518" spans="6:7" x14ac:dyDescent="0.25">
      <c r="F518" s="21">
        <f t="shared" si="18"/>
        <v>0</v>
      </c>
      <c r="G518" s="8">
        <f t="shared" si="19"/>
        <v>0</v>
      </c>
    </row>
    <row r="519" spans="6:7" x14ac:dyDescent="0.25">
      <c r="F519" s="21">
        <f t="shared" si="18"/>
        <v>0</v>
      </c>
      <c r="G519" s="8">
        <f t="shared" si="19"/>
        <v>0</v>
      </c>
    </row>
    <row r="520" spans="6:7" x14ac:dyDescent="0.25">
      <c r="F520" s="21">
        <f t="shared" si="18"/>
        <v>0</v>
      </c>
      <c r="G520" s="8">
        <f t="shared" si="19"/>
        <v>0</v>
      </c>
    </row>
    <row r="521" spans="6:7" x14ac:dyDescent="0.25">
      <c r="F521" s="21">
        <f t="shared" si="18"/>
        <v>0</v>
      </c>
      <c r="G521" s="8">
        <f t="shared" si="19"/>
        <v>0</v>
      </c>
    </row>
    <row r="522" spans="6:7" x14ac:dyDescent="0.25">
      <c r="F522" s="21">
        <f t="shared" si="18"/>
        <v>0</v>
      </c>
      <c r="G522" s="8">
        <f t="shared" si="19"/>
        <v>0</v>
      </c>
    </row>
    <row r="523" spans="6:7" x14ac:dyDescent="0.25">
      <c r="F523" s="21">
        <f t="shared" si="18"/>
        <v>0</v>
      </c>
      <c r="G523" s="8">
        <f t="shared" si="19"/>
        <v>0</v>
      </c>
    </row>
    <row r="524" spans="6:7" x14ac:dyDescent="0.25">
      <c r="F524" s="21">
        <f t="shared" si="18"/>
        <v>0</v>
      </c>
      <c r="G524" s="8">
        <f t="shared" si="19"/>
        <v>0</v>
      </c>
    </row>
    <row r="525" spans="6:7" x14ac:dyDescent="0.25">
      <c r="F525" s="21">
        <f t="shared" si="18"/>
        <v>0</v>
      </c>
      <c r="G525" s="8">
        <f t="shared" si="19"/>
        <v>0</v>
      </c>
    </row>
    <row r="526" spans="6:7" x14ac:dyDescent="0.25">
      <c r="F526" s="21">
        <f t="shared" si="18"/>
        <v>0</v>
      </c>
      <c r="G526" s="8">
        <f t="shared" si="19"/>
        <v>0</v>
      </c>
    </row>
    <row r="527" spans="6:7" x14ac:dyDescent="0.25">
      <c r="F527" s="21">
        <f t="shared" si="18"/>
        <v>0</v>
      </c>
      <c r="G527" s="8">
        <f t="shared" si="19"/>
        <v>0</v>
      </c>
    </row>
    <row r="528" spans="6:7" x14ac:dyDescent="0.25">
      <c r="F528" s="21">
        <f t="shared" si="18"/>
        <v>0</v>
      </c>
      <c r="G528" s="8">
        <f t="shared" si="19"/>
        <v>0</v>
      </c>
    </row>
    <row r="529" spans="6:7" x14ac:dyDescent="0.25">
      <c r="F529" s="21">
        <f t="shared" si="18"/>
        <v>0</v>
      </c>
      <c r="G529" s="8">
        <f t="shared" si="19"/>
        <v>0</v>
      </c>
    </row>
    <row r="530" spans="6:7" x14ac:dyDescent="0.25">
      <c r="F530" s="21">
        <f t="shared" si="18"/>
        <v>0</v>
      </c>
      <c r="G530" s="8">
        <f t="shared" si="19"/>
        <v>0</v>
      </c>
    </row>
    <row r="531" spans="6:7" x14ac:dyDescent="0.25">
      <c r="F531" s="21">
        <f t="shared" si="18"/>
        <v>0</v>
      </c>
      <c r="G531" s="8">
        <f t="shared" si="19"/>
        <v>0</v>
      </c>
    </row>
    <row r="532" spans="6:7" x14ac:dyDescent="0.25">
      <c r="F532" s="21">
        <f t="shared" si="18"/>
        <v>0</v>
      </c>
      <c r="G532" s="8">
        <f t="shared" si="19"/>
        <v>0</v>
      </c>
    </row>
    <row r="533" spans="6:7" x14ac:dyDescent="0.25">
      <c r="F533" s="21">
        <f t="shared" si="18"/>
        <v>0</v>
      </c>
      <c r="G533" s="8">
        <f t="shared" si="19"/>
        <v>0</v>
      </c>
    </row>
    <row r="534" spans="6:7" x14ac:dyDescent="0.25">
      <c r="F534" s="21">
        <f t="shared" si="18"/>
        <v>0</v>
      </c>
      <c r="G534" s="8">
        <f t="shared" si="19"/>
        <v>0</v>
      </c>
    </row>
    <row r="535" spans="6:7" x14ac:dyDescent="0.25">
      <c r="F535" s="21">
        <f t="shared" si="18"/>
        <v>0</v>
      </c>
      <c r="G535" s="8">
        <f t="shared" si="19"/>
        <v>0</v>
      </c>
    </row>
    <row r="536" spans="6:7" x14ac:dyDescent="0.25">
      <c r="F536" s="21">
        <f t="shared" si="18"/>
        <v>0</v>
      </c>
      <c r="G536" s="8">
        <f t="shared" si="19"/>
        <v>0</v>
      </c>
    </row>
    <row r="537" spans="6:7" x14ac:dyDescent="0.25">
      <c r="F537" s="21">
        <f t="shared" si="18"/>
        <v>0</v>
      </c>
      <c r="G537" s="8">
        <f t="shared" si="19"/>
        <v>0</v>
      </c>
    </row>
    <row r="538" spans="6:7" x14ac:dyDescent="0.25">
      <c r="F538" s="21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1">
        <f t="shared" si="20"/>
        <v>0</v>
      </c>
      <c r="G539" s="8">
        <f t="shared" si="21"/>
        <v>0</v>
      </c>
    </row>
    <row r="540" spans="6:7" x14ac:dyDescent="0.25">
      <c r="F540" s="21">
        <f t="shared" si="20"/>
        <v>0</v>
      </c>
      <c r="G540" s="8">
        <f t="shared" si="21"/>
        <v>0</v>
      </c>
    </row>
    <row r="541" spans="6:7" x14ac:dyDescent="0.25">
      <c r="F541" s="21">
        <f t="shared" si="20"/>
        <v>0</v>
      </c>
      <c r="G541" s="8">
        <f t="shared" si="21"/>
        <v>0</v>
      </c>
    </row>
    <row r="542" spans="6:7" x14ac:dyDescent="0.25">
      <c r="F542" s="21">
        <f t="shared" si="20"/>
        <v>0</v>
      </c>
      <c r="G542" s="8">
        <f t="shared" si="21"/>
        <v>0</v>
      </c>
    </row>
    <row r="543" spans="6:7" x14ac:dyDescent="0.25">
      <c r="F543" s="21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29"/>
    </sheetView>
  </sheetViews>
  <sheetFormatPr defaultRowHeight="15" x14ac:dyDescent="0.25"/>
  <cols>
    <col min="1" max="1" width="22.5703125" style="136" customWidth="1"/>
    <col min="2" max="2" width="8.42578125" style="136" bestFit="1" customWidth="1"/>
    <col min="3" max="3" width="12.5703125" style="136" bestFit="1" customWidth="1"/>
    <col min="4" max="4" width="18.5703125" style="156" bestFit="1" customWidth="1"/>
    <col min="5" max="5" width="9.85546875" style="136" bestFit="1" customWidth="1"/>
    <col min="6" max="6" width="9" style="136" bestFit="1" customWidth="1"/>
    <col min="7" max="7" width="8.85546875" style="136" bestFit="1" customWidth="1"/>
    <col min="8" max="8" width="14" style="136" bestFit="1" customWidth="1"/>
    <col min="9" max="9" width="21.140625" style="136" bestFit="1" customWidth="1"/>
    <col min="10" max="10" width="8.7109375" style="136" bestFit="1" customWidth="1"/>
    <col min="11" max="11" width="11.28515625" style="136" bestFit="1" customWidth="1"/>
    <col min="12" max="12" width="11" style="136" bestFit="1" customWidth="1"/>
    <col min="13" max="13" width="11.28515625" style="136" bestFit="1" customWidth="1"/>
    <col min="14" max="14" width="13.7109375" style="136" bestFit="1" customWidth="1"/>
    <col min="15" max="15" width="14.85546875" style="136" bestFit="1" customWidth="1"/>
    <col min="16" max="16" width="16.7109375" style="136" bestFit="1" customWidth="1"/>
    <col min="17" max="17" width="9.42578125" style="136" bestFit="1" customWidth="1"/>
    <col min="18" max="16384" width="9.140625" style="136"/>
  </cols>
  <sheetData>
    <row r="1" spans="1:17" s="137" customFormat="1" x14ac:dyDescent="0.25">
      <c r="A1" s="178" t="s">
        <v>167</v>
      </c>
      <c r="B1" s="178" t="s">
        <v>170</v>
      </c>
      <c r="C1" s="178" t="s">
        <v>163</v>
      </c>
      <c r="D1" s="163" t="s">
        <v>177</v>
      </c>
      <c r="E1" s="178" t="s">
        <v>164</v>
      </c>
      <c r="F1" s="178" t="s">
        <v>162</v>
      </c>
      <c r="G1" s="178" t="s">
        <v>160</v>
      </c>
      <c r="H1" s="178" t="s">
        <v>173</v>
      </c>
      <c r="I1" s="178" t="s">
        <v>174</v>
      </c>
      <c r="J1" s="178" t="s">
        <v>600</v>
      </c>
      <c r="K1" s="178" t="s">
        <v>168</v>
      </c>
      <c r="L1" s="178" t="s">
        <v>166</v>
      </c>
      <c r="M1" s="178" t="s">
        <v>161</v>
      </c>
      <c r="N1" s="178" t="s">
        <v>171</v>
      </c>
      <c r="O1" s="178" t="s">
        <v>165</v>
      </c>
      <c r="P1" s="178" t="s">
        <v>172</v>
      </c>
      <c r="Q1" s="178" t="s">
        <v>169</v>
      </c>
    </row>
    <row r="2" spans="1:17" x14ac:dyDescent="0.25">
      <c r="A2" s="169">
        <v>51.43</v>
      </c>
      <c r="B2" s="169">
        <v>0.79</v>
      </c>
      <c r="C2" s="169">
        <v>30.32</v>
      </c>
      <c r="D2" s="8">
        <v>42675</v>
      </c>
      <c r="E2" s="169">
        <v>0.44</v>
      </c>
      <c r="F2" s="169" t="s">
        <v>264</v>
      </c>
      <c r="G2" s="169">
        <v>225.7</v>
      </c>
      <c r="H2" s="169">
        <v>0</v>
      </c>
      <c r="I2" s="169">
        <v>0</v>
      </c>
      <c r="J2" s="169"/>
      <c r="K2" s="169">
        <v>1011.72</v>
      </c>
      <c r="L2" s="169" t="s">
        <v>267</v>
      </c>
      <c r="M2" s="169">
        <v>51.43</v>
      </c>
      <c r="N2" s="169">
        <v>1477980000</v>
      </c>
      <c r="O2" s="169">
        <v>7.84</v>
      </c>
      <c r="P2" s="169">
        <v>179</v>
      </c>
      <c r="Q2" s="169">
        <v>1.54</v>
      </c>
    </row>
    <row r="3" spans="1:17" x14ac:dyDescent="0.25">
      <c r="A3" s="169">
        <v>50.35</v>
      </c>
      <c r="B3" s="169">
        <v>0.75</v>
      </c>
      <c r="C3" s="169">
        <v>30.41</v>
      </c>
      <c r="D3" s="8">
        <v>42675.041666666664</v>
      </c>
      <c r="E3" s="169">
        <v>0.46</v>
      </c>
      <c r="F3" s="169" t="s">
        <v>264</v>
      </c>
      <c r="G3" s="169">
        <v>225.68</v>
      </c>
      <c r="H3" s="169">
        <v>0</v>
      </c>
      <c r="I3" s="169">
        <v>0</v>
      </c>
      <c r="J3" s="169"/>
      <c r="K3" s="169">
        <v>1011.93</v>
      </c>
      <c r="L3" s="169" t="s">
        <v>267</v>
      </c>
      <c r="M3" s="169">
        <v>50.35</v>
      </c>
      <c r="N3" s="169">
        <v>1477983600</v>
      </c>
      <c r="O3" s="169">
        <v>8.16</v>
      </c>
      <c r="P3" s="169">
        <v>170</v>
      </c>
      <c r="Q3" s="169">
        <v>2.61</v>
      </c>
    </row>
    <row r="4" spans="1:17" x14ac:dyDescent="0.25">
      <c r="A4" s="169">
        <v>48.55</v>
      </c>
      <c r="B4" s="169">
        <v>0.74</v>
      </c>
      <c r="C4" s="169">
        <v>29.65</v>
      </c>
      <c r="D4" s="8">
        <v>42675.083333333336</v>
      </c>
      <c r="E4" s="169">
        <v>0.48</v>
      </c>
      <c r="F4" s="169" t="s">
        <v>264</v>
      </c>
      <c r="G4" s="169">
        <v>225.66</v>
      </c>
      <c r="H4" s="169">
        <v>0</v>
      </c>
      <c r="I4" s="169">
        <v>0</v>
      </c>
      <c r="J4" s="169"/>
      <c r="K4" s="169">
        <v>1012.16</v>
      </c>
      <c r="L4" s="169" t="s">
        <v>267</v>
      </c>
      <c r="M4" s="169">
        <v>48.55</v>
      </c>
      <c r="N4" s="169">
        <v>1477987200</v>
      </c>
      <c r="O4" s="169">
        <v>8.14</v>
      </c>
      <c r="P4" s="169">
        <v>179</v>
      </c>
      <c r="Q4" s="169">
        <v>2.64</v>
      </c>
    </row>
    <row r="5" spans="1:17" x14ac:dyDescent="0.25">
      <c r="A5" s="169">
        <v>47.29</v>
      </c>
      <c r="B5" s="169">
        <v>0.72</v>
      </c>
      <c r="C5" s="169">
        <v>30.03</v>
      </c>
      <c r="D5" s="8">
        <v>42675.125</v>
      </c>
      <c r="E5" s="169">
        <v>0.51</v>
      </c>
      <c r="F5" s="169" t="s">
        <v>264</v>
      </c>
      <c r="G5" s="169">
        <v>225.64</v>
      </c>
      <c r="H5" s="169">
        <v>0</v>
      </c>
      <c r="I5" s="169">
        <v>0</v>
      </c>
      <c r="J5" s="169"/>
      <c r="K5" s="169">
        <v>1012.44</v>
      </c>
      <c r="L5" s="169" t="s">
        <v>267</v>
      </c>
      <c r="M5" s="169">
        <v>47.29</v>
      </c>
      <c r="N5" s="169">
        <v>1477990800</v>
      </c>
      <c r="O5" s="169">
        <v>10</v>
      </c>
      <c r="P5" s="169">
        <v>172</v>
      </c>
      <c r="Q5" s="169">
        <v>2.86</v>
      </c>
    </row>
    <row r="6" spans="1:17" x14ac:dyDescent="0.25">
      <c r="A6" s="169">
        <v>45.72</v>
      </c>
      <c r="B6" s="169">
        <v>0.78</v>
      </c>
      <c r="C6" s="169">
        <v>28.24</v>
      </c>
      <c r="D6" s="8">
        <v>42675.166666666664</v>
      </c>
      <c r="E6" s="169">
        <v>0.5</v>
      </c>
      <c r="F6" s="169" t="s">
        <v>264</v>
      </c>
      <c r="G6" s="169">
        <v>226.44</v>
      </c>
      <c r="H6" s="169">
        <v>0</v>
      </c>
      <c r="I6" s="169">
        <v>0</v>
      </c>
      <c r="J6" s="169"/>
      <c r="K6" s="169">
        <v>1012.47</v>
      </c>
      <c r="L6" s="169" t="s">
        <v>267</v>
      </c>
      <c r="M6" s="169">
        <v>45.72</v>
      </c>
      <c r="N6" s="169">
        <v>1477994400</v>
      </c>
      <c r="O6" s="169">
        <v>7.49</v>
      </c>
      <c r="P6" s="169">
        <v>176</v>
      </c>
      <c r="Q6" s="169">
        <v>2.72</v>
      </c>
    </row>
    <row r="7" spans="1:17" x14ac:dyDescent="0.25">
      <c r="A7" s="169">
        <v>45.26</v>
      </c>
      <c r="B7" s="169">
        <v>0.85</v>
      </c>
      <c r="C7" s="169">
        <v>28.37</v>
      </c>
      <c r="D7" s="8">
        <v>42675.208333333336</v>
      </c>
      <c r="E7" s="169">
        <v>0.51</v>
      </c>
      <c r="F7" s="169" t="s">
        <v>264</v>
      </c>
      <c r="G7" s="169">
        <v>227.6</v>
      </c>
      <c r="H7" s="169">
        <v>0</v>
      </c>
      <c r="I7" s="169">
        <v>0</v>
      </c>
      <c r="J7" s="169"/>
      <c r="K7" s="169">
        <v>1012.43</v>
      </c>
      <c r="L7" s="169" t="s">
        <v>267</v>
      </c>
      <c r="M7" s="169">
        <v>45.26</v>
      </c>
      <c r="N7" s="169">
        <v>1477998000</v>
      </c>
      <c r="O7" s="169">
        <v>7.92</v>
      </c>
      <c r="P7" s="169">
        <v>168</v>
      </c>
      <c r="Q7" s="169">
        <v>2.4700000000000002</v>
      </c>
    </row>
    <row r="8" spans="1:17" x14ac:dyDescent="0.25">
      <c r="A8" s="169">
        <v>45.89</v>
      </c>
      <c r="B8" s="169">
        <v>0.9</v>
      </c>
      <c r="C8" s="169">
        <v>29.71</v>
      </c>
      <c r="D8" s="8">
        <v>42675.25</v>
      </c>
      <c r="E8" s="169">
        <v>0.53</v>
      </c>
      <c r="F8" s="169" t="s">
        <v>264</v>
      </c>
      <c r="G8" s="169">
        <v>228.9</v>
      </c>
      <c r="H8" s="169">
        <v>0</v>
      </c>
      <c r="I8" s="169">
        <v>0</v>
      </c>
      <c r="J8" s="169"/>
      <c r="K8" s="169">
        <v>1012.51</v>
      </c>
      <c r="L8" s="169" t="s">
        <v>267</v>
      </c>
      <c r="M8" s="169">
        <v>45.89</v>
      </c>
      <c r="N8" s="169">
        <v>1478001600</v>
      </c>
      <c r="O8" s="169">
        <v>8.01</v>
      </c>
      <c r="P8" s="169">
        <v>145</v>
      </c>
      <c r="Q8" s="169">
        <v>1.87</v>
      </c>
    </row>
    <row r="9" spans="1:17" x14ac:dyDescent="0.25">
      <c r="A9" s="169">
        <v>45.41</v>
      </c>
      <c r="B9" s="169">
        <v>0.82</v>
      </c>
      <c r="C9" s="169">
        <v>30.11</v>
      </c>
      <c r="D9" s="8">
        <v>42675.291666666664</v>
      </c>
      <c r="E9" s="169">
        <v>0.55000000000000004</v>
      </c>
      <c r="F9" s="169" t="s">
        <v>264</v>
      </c>
      <c r="G9" s="169">
        <v>230.34</v>
      </c>
      <c r="H9" s="169">
        <v>0</v>
      </c>
      <c r="I9" s="169">
        <v>0</v>
      </c>
      <c r="J9" s="169"/>
      <c r="K9" s="169">
        <v>1012.7</v>
      </c>
      <c r="L9" s="169" t="s">
        <v>267</v>
      </c>
      <c r="M9" s="169">
        <v>45.41</v>
      </c>
      <c r="N9" s="169">
        <v>1478005200</v>
      </c>
      <c r="O9" s="169">
        <v>7.14</v>
      </c>
      <c r="P9" s="169">
        <v>171</v>
      </c>
      <c r="Q9" s="169">
        <v>1.47</v>
      </c>
    </row>
    <row r="10" spans="1:17" x14ac:dyDescent="0.25">
      <c r="A10" s="169">
        <v>45.77</v>
      </c>
      <c r="B10" s="169">
        <v>0.74</v>
      </c>
      <c r="C10" s="169">
        <v>30.34</v>
      </c>
      <c r="D10" s="8">
        <v>42675.333333333336</v>
      </c>
      <c r="E10" s="169">
        <v>0.55000000000000004</v>
      </c>
      <c r="F10" s="169" t="s">
        <v>266</v>
      </c>
      <c r="G10" s="169">
        <v>231.93</v>
      </c>
      <c r="H10" s="169">
        <v>0</v>
      </c>
      <c r="I10" s="169">
        <v>0</v>
      </c>
      <c r="J10" s="169"/>
      <c r="K10" s="169">
        <v>1013.02</v>
      </c>
      <c r="L10" s="169" t="s">
        <v>267</v>
      </c>
      <c r="M10" s="169">
        <v>45.77</v>
      </c>
      <c r="N10" s="169">
        <v>1478008800</v>
      </c>
      <c r="O10" s="169">
        <v>6.68</v>
      </c>
      <c r="P10" s="169">
        <v>184</v>
      </c>
      <c r="Q10" s="169">
        <v>2.33</v>
      </c>
    </row>
    <row r="11" spans="1:17" x14ac:dyDescent="0.25">
      <c r="A11" s="169">
        <v>48.36</v>
      </c>
      <c r="B11" s="169">
        <v>0.68</v>
      </c>
      <c r="C11" s="169">
        <v>31.92</v>
      </c>
      <c r="D11" s="8">
        <v>42675.375</v>
      </c>
      <c r="E11" s="169">
        <v>0.53</v>
      </c>
      <c r="F11" s="169" t="s">
        <v>266</v>
      </c>
      <c r="G11" s="169">
        <v>233.42</v>
      </c>
      <c r="H11" s="169">
        <v>2.2000000000000001E-3</v>
      </c>
      <c r="I11" s="169">
        <v>0.06</v>
      </c>
      <c r="J11" s="169" t="s">
        <v>601</v>
      </c>
      <c r="K11" s="169">
        <v>1012.91</v>
      </c>
      <c r="L11" s="169" t="s">
        <v>267</v>
      </c>
      <c r="M11" s="169">
        <v>48.36</v>
      </c>
      <c r="N11" s="169">
        <v>1478012400</v>
      </c>
      <c r="O11" s="169">
        <v>6.41</v>
      </c>
      <c r="P11" s="169">
        <v>182</v>
      </c>
      <c r="Q11" s="169">
        <v>2.61</v>
      </c>
    </row>
    <row r="12" spans="1:17" x14ac:dyDescent="0.25">
      <c r="A12" s="169">
        <v>52.35</v>
      </c>
      <c r="B12" s="169">
        <v>0.7</v>
      </c>
      <c r="C12" s="169">
        <v>33.28</v>
      </c>
      <c r="D12" s="8">
        <v>42675.416666666664</v>
      </c>
      <c r="E12" s="169">
        <v>0.48</v>
      </c>
      <c r="F12" s="169" t="s">
        <v>266</v>
      </c>
      <c r="G12" s="169">
        <v>234.51</v>
      </c>
      <c r="H12" s="169">
        <v>0</v>
      </c>
      <c r="I12" s="169">
        <v>0</v>
      </c>
      <c r="J12" s="169"/>
      <c r="K12" s="169">
        <v>1011.87</v>
      </c>
      <c r="L12" s="169" t="s">
        <v>267</v>
      </c>
      <c r="M12" s="169">
        <v>52.35</v>
      </c>
      <c r="N12" s="169">
        <v>1478016000</v>
      </c>
      <c r="O12" s="169">
        <v>6.48</v>
      </c>
      <c r="P12" s="169">
        <v>184</v>
      </c>
      <c r="Q12" s="169">
        <v>3.79</v>
      </c>
    </row>
    <row r="13" spans="1:17" x14ac:dyDescent="0.25">
      <c r="A13" s="169">
        <v>57.18</v>
      </c>
      <c r="B13" s="169">
        <v>0.71</v>
      </c>
      <c r="C13" s="169">
        <v>33.78</v>
      </c>
      <c r="D13" s="8">
        <v>42675.458333333336</v>
      </c>
      <c r="E13" s="169">
        <v>0.41</v>
      </c>
      <c r="F13" s="169" t="s">
        <v>266</v>
      </c>
      <c r="G13" s="169">
        <v>235.5</v>
      </c>
      <c r="H13" s="169">
        <v>0</v>
      </c>
      <c r="I13" s="169">
        <v>0</v>
      </c>
      <c r="J13" s="169"/>
      <c r="K13" s="169">
        <v>1010.51</v>
      </c>
      <c r="L13" s="169" t="s">
        <v>267</v>
      </c>
      <c r="M13" s="169">
        <v>57.18</v>
      </c>
      <c r="N13" s="169">
        <v>1478019600</v>
      </c>
      <c r="O13" s="169">
        <v>6.42</v>
      </c>
      <c r="P13" s="169">
        <v>181</v>
      </c>
      <c r="Q13" s="169">
        <v>4.29</v>
      </c>
    </row>
    <row r="14" spans="1:17" x14ac:dyDescent="0.25">
      <c r="A14" s="169">
        <v>60.7</v>
      </c>
      <c r="B14" s="169">
        <v>0.74</v>
      </c>
      <c r="C14" s="169">
        <v>34.06</v>
      </c>
      <c r="D14" s="8">
        <v>42675.5</v>
      </c>
      <c r="E14" s="169">
        <v>0.37</v>
      </c>
      <c r="F14" s="169" t="s">
        <v>266</v>
      </c>
      <c r="G14" s="169">
        <v>237.14</v>
      </c>
      <c r="H14" s="169">
        <v>0</v>
      </c>
      <c r="I14" s="169">
        <v>0</v>
      </c>
      <c r="J14" s="169"/>
      <c r="K14" s="169">
        <v>1009.25</v>
      </c>
      <c r="L14" s="169" t="s">
        <v>267</v>
      </c>
      <c r="M14" s="169">
        <v>60.7</v>
      </c>
      <c r="N14" s="169">
        <v>1478023200</v>
      </c>
      <c r="O14" s="169">
        <v>4.78</v>
      </c>
      <c r="P14" s="169">
        <v>185</v>
      </c>
      <c r="Q14" s="169">
        <v>1.7</v>
      </c>
    </row>
    <row r="15" spans="1:17" x14ac:dyDescent="0.25">
      <c r="A15" s="169">
        <v>64.05</v>
      </c>
      <c r="B15" s="169">
        <v>0.65</v>
      </c>
      <c r="C15" s="169">
        <v>32.729999999999997</v>
      </c>
      <c r="D15" s="8">
        <v>42675.541666666664</v>
      </c>
      <c r="E15" s="169">
        <v>0.31</v>
      </c>
      <c r="F15" s="169" t="s">
        <v>266</v>
      </c>
      <c r="G15" s="169">
        <v>240.3</v>
      </c>
      <c r="H15" s="169">
        <v>0</v>
      </c>
      <c r="I15" s="169">
        <v>0</v>
      </c>
      <c r="J15" s="169"/>
      <c r="K15" s="169">
        <v>1008.12</v>
      </c>
      <c r="L15" s="169" t="s">
        <v>267</v>
      </c>
      <c r="M15" s="169">
        <v>64.05</v>
      </c>
      <c r="N15" s="169">
        <v>1478026800</v>
      </c>
      <c r="O15" s="169">
        <v>4.54</v>
      </c>
      <c r="P15" s="169">
        <v>134</v>
      </c>
      <c r="Q15" s="169">
        <v>0.8</v>
      </c>
    </row>
    <row r="16" spans="1:17" x14ac:dyDescent="0.25">
      <c r="A16" s="169">
        <v>65.48</v>
      </c>
      <c r="B16" s="169">
        <v>0.55000000000000004</v>
      </c>
      <c r="C16" s="169">
        <v>30.85</v>
      </c>
      <c r="D16" s="8">
        <v>42675.583333333336</v>
      </c>
      <c r="E16" s="169">
        <v>0.27</v>
      </c>
      <c r="F16" s="169" t="s">
        <v>266</v>
      </c>
      <c r="G16" s="169">
        <v>244.09</v>
      </c>
      <c r="H16" s="169">
        <v>0</v>
      </c>
      <c r="I16" s="169">
        <v>0</v>
      </c>
      <c r="J16" s="169"/>
      <c r="K16" s="169">
        <v>1007.1</v>
      </c>
      <c r="L16" s="169" t="s">
        <v>265</v>
      </c>
      <c r="M16" s="169">
        <v>65.48</v>
      </c>
      <c r="N16" s="169">
        <v>1478030400</v>
      </c>
      <c r="O16" s="169">
        <v>4.53</v>
      </c>
      <c r="P16" s="169">
        <v>78</v>
      </c>
      <c r="Q16" s="169">
        <v>1.44</v>
      </c>
    </row>
    <row r="17" spans="1:17" x14ac:dyDescent="0.25">
      <c r="A17" s="169">
        <v>67.209999999999994</v>
      </c>
      <c r="B17" s="169">
        <v>0.47</v>
      </c>
      <c r="C17" s="169">
        <v>31.87</v>
      </c>
      <c r="D17" s="8">
        <v>42675.625</v>
      </c>
      <c r="E17" s="169">
        <v>0.27</v>
      </c>
      <c r="F17" s="169" t="s">
        <v>266</v>
      </c>
      <c r="G17" s="169">
        <v>246.58</v>
      </c>
      <c r="H17" s="169">
        <v>0</v>
      </c>
      <c r="I17" s="169">
        <v>0</v>
      </c>
      <c r="J17" s="169"/>
      <c r="K17" s="169">
        <v>1006.64</v>
      </c>
      <c r="L17" s="169" t="s">
        <v>265</v>
      </c>
      <c r="M17" s="169">
        <v>67.209999999999994</v>
      </c>
      <c r="N17" s="169">
        <v>1478034000</v>
      </c>
      <c r="O17" s="169">
        <v>4.54</v>
      </c>
      <c r="P17" s="169">
        <v>40</v>
      </c>
      <c r="Q17" s="169">
        <v>2.89</v>
      </c>
    </row>
    <row r="18" spans="1:17" x14ac:dyDescent="0.25">
      <c r="A18" s="169">
        <v>67.150000000000006</v>
      </c>
      <c r="B18" s="169">
        <v>0.39</v>
      </c>
      <c r="C18" s="169">
        <v>32.11</v>
      </c>
      <c r="D18" s="8">
        <v>42675.666666666664</v>
      </c>
      <c r="E18" s="169">
        <v>0.27</v>
      </c>
      <c r="F18" s="169" t="s">
        <v>266</v>
      </c>
      <c r="G18" s="169">
        <v>246.5</v>
      </c>
      <c r="H18" s="169">
        <v>0</v>
      </c>
      <c r="I18" s="169">
        <v>0</v>
      </c>
      <c r="J18" s="169"/>
      <c r="K18" s="169">
        <v>1007.01</v>
      </c>
      <c r="L18" s="169" t="s">
        <v>265</v>
      </c>
      <c r="M18" s="169">
        <v>67.150000000000006</v>
      </c>
      <c r="N18" s="169">
        <v>1478037600</v>
      </c>
      <c r="O18" s="169">
        <v>4.8600000000000003</v>
      </c>
      <c r="P18" s="169">
        <v>23</v>
      </c>
      <c r="Q18" s="169">
        <v>2.92</v>
      </c>
    </row>
    <row r="19" spans="1:17" x14ac:dyDescent="0.25">
      <c r="A19" s="169">
        <v>63.57</v>
      </c>
      <c r="B19" s="169">
        <v>0.31</v>
      </c>
      <c r="C19" s="169">
        <v>31.71</v>
      </c>
      <c r="D19" s="8">
        <v>42675.708333333336</v>
      </c>
      <c r="E19" s="169">
        <v>0.3</v>
      </c>
      <c r="F19" s="169" t="s">
        <v>266</v>
      </c>
      <c r="G19" s="169">
        <v>245.11</v>
      </c>
      <c r="H19" s="169">
        <v>0</v>
      </c>
      <c r="I19" s="169">
        <v>0</v>
      </c>
      <c r="J19" s="169"/>
      <c r="K19" s="169">
        <v>1007.96</v>
      </c>
      <c r="L19" s="169" t="s">
        <v>265</v>
      </c>
      <c r="M19" s="169">
        <v>63.57</v>
      </c>
      <c r="N19" s="169">
        <v>1478041200</v>
      </c>
      <c r="O19" s="169">
        <v>5.0999999999999996</v>
      </c>
      <c r="P19" s="169">
        <v>8</v>
      </c>
      <c r="Q19" s="169">
        <v>3.99</v>
      </c>
    </row>
    <row r="20" spans="1:17" x14ac:dyDescent="0.25">
      <c r="A20" s="169">
        <v>61.02</v>
      </c>
      <c r="B20" s="169">
        <v>0.2</v>
      </c>
      <c r="C20" s="169">
        <v>32.24</v>
      </c>
      <c r="D20" s="8">
        <v>42675.75</v>
      </c>
      <c r="E20" s="169">
        <v>0.34</v>
      </c>
      <c r="F20" s="169" t="s">
        <v>302</v>
      </c>
      <c r="G20" s="169">
        <v>244.2</v>
      </c>
      <c r="H20" s="169">
        <v>0</v>
      </c>
      <c r="I20" s="169">
        <v>0</v>
      </c>
      <c r="J20" s="169"/>
      <c r="K20" s="169">
        <v>1008.98</v>
      </c>
      <c r="L20" s="169" t="s">
        <v>303</v>
      </c>
      <c r="M20" s="169">
        <v>61.02</v>
      </c>
      <c r="N20" s="169">
        <v>1478044800</v>
      </c>
      <c r="O20" s="169">
        <v>5.32</v>
      </c>
      <c r="P20" s="169">
        <v>356</v>
      </c>
      <c r="Q20" s="169">
        <v>3.61</v>
      </c>
    </row>
    <row r="21" spans="1:17" x14ac:dyDescent="0.25">
      <c r="A21" s="169">
        <v>58.62</v>
      </c>
      <c r="B21" s="169">
        <v>0.35</v>
      </c>
      <c r="C21" s="169">
        <v>32.19</v>
      </c>
      <c r="D21" s="8">
        <v>42675.791666666664</v>
      </c>
      <c r="E21" s="169">
        <v>0.37</v>
      </c>
      <c r="F21" s="169" t="s">
        <v>264</v>
      </c>
      <c r="G21" s="169">
        <v>244.4</v>
      </c>
      <c r="H21" s="169">
        <v>0</v>
      </c>
      <c r="I21" s="169">
        <v>0</v>
      </c>
      <c r="J21" s="169"/>
      <c r="K21" s="169">
        <v>1009.56</v>
      </c>
      <c r="L21" s="169" t="s">
        <v>265</v>
      </c>
      <c r="M21" s="169">
        <v>58.62</v>
      </c>
      <c r="N21" s="169">
        <v>1478048400</v>
      </c>
      <c r="O21" s="169">
        <v>5.87</v>
      </c>
      <c r="P21" s="169">
        <v>345</v>
      </c>
      <c r="Q21" s="169">
        <v>3.63</v>
      </c>
    </row>
    <row r="22" spans="1:17" x14ac:dyDescent="0.25">
      <c r="A22" s="169">
        <v>57.07</v>
      </c>
      <c r="B22" s="169">
        <v>0.44</v>
      </c>
      <c r="C22" s="169">
        <v>31.69</v>
      </c>
      <c r="D22" s="8">
        <v>42675.833333333336</v>
      </c>
      <c r="E22" s="169">
        <v>0.38</v>
      </c>
      <c r="F22" s="169" t="s">
        <v>264</v>
      </c>
      <c r="G22" s="169">
        <v>245.08</v>
      </c>
      <c r="H22" s="169">
        <v>8.0000000000000004E-4</v>
      </c>
      <c r="I22" s="169">
        <v>0.01</v>
      </c>
      <c r="J22" s="169" t="s">
        <v>601</v>
      </c>
      <c r="K22" s="169">
        <v>1010.5</v>
      </c>
      <c r="L22" s="169" t="s">
        <v>265</v>
      </c>
      <c r="M22" s="169">
        <v>57.07</v>
      </c>
      <c r="N22" s="169">
        <v>1478052000</v>
      </c>
      <c r="O22" s="169">
        <v>6.83</v>
      </c>
      <c r="P22" s="169">
        <v>351</v>
      </c>
      <c r="Q22" s="169">
        <v>2.66</v>
      </c>
    </row>
    <row r="23" spans="1:17" x14ac:dyDescent="0.25">
      <c r="A23" s="169">
        <v>54.52</v>
      </c>
      <c r="B23" s="169">
        <v>0.48</v>
      </c>
      <c r="C23" s="169">
        <v>33.03</v>
      </c>
      <c r="D23" s="8">
        <v>42675.875</v>
      </c>
      <c r="E23" s="169">
        <v>0.44</v>
      </c>
      <c r="F23" s="169" t="s">
        <v>264</v>
      </c>
      <c r="G23" s="169">
        <v>246.05</v>
      </c>
      <c r="H23" s="169">
        <v>0</v>
      </c>
      <c r="I23" s="169">
        <v>0</v>
      </c>
      <c r="J23" s="169"/>
      <c r="K23" s="169">
        <v>1011.48</v>
      </c>
      <c r="L23" s="169" t="s">
        <v>265</v>
      </c>
      <c r="M23" s="169">
        <v>54.52</v>
      </c>
      <c r="N23" s="169">
        <v>1478055600</v>
      </c>
      <c r="O23" s="169">
        <v>7.6</v>
      </c>
      <c r="P23" s="169">
        <v>346</v>
      </c>
      <c r="Q23" s="169">
        <v>2.13</v>
      </c>
    </row>
    <row r="24" spans="1:17" x14ac:dyDescent="0.25">
      <c r="A24" s="169">
        <v>52.73</v>
      </c>
      <c r="B24" s="169">
        <v>0.49</v>
      </c>
      <c r="C24" s="169">
        <v>32.18</v>
      </c>
      <c r="D24" s="8">
        <v>42675.916666666664</v>
      </c>
      <c r="E24" s="169">
        <v>0.45</v>
      </c>
      <c r="F24" s="169" t="s">
        <v>264</v>
      </c>
      <c r="G24" s="169">
        <v>247.32</v>
      </c>
      <c r="H24" s="169">
        <v>0</v>
      </c>
      <c r="I24" s="169">
        <v>0</v>
      </c>
      <c r="J24" s="169"/>
      <c r="K24" s="169">
        <v>1012.56</v>
      </c>
      <c r="L24" s="169" t="s">
        <v>265</v>
      </c>
      <c r="M24" s="169">
        <v>52.73</v>
      </c>
      <c r="N24" s="169">
        <v>1478059200</v>
      </c>
      <c r="O24" s="169">
        <v>6.47</v>
      </c>
      <c r="P24" s="169">
        <v>345</v>
      </c>
      <c r="Q24" s="169">
        <v>4.2</v>
      </c>
    </row>
    <row r="25" spans="1:17" x14ac:dyDescent="0.25">
      <c r="A25" s="169">
        <v>52.21</v>
      </c>
      <c r="B25" s="169">
        <v>0.39</v>
      </c>
      <c r="C25" s="169">
        <v>30.83</v>
      </c>
      <c r="D25" s="8">
        <v>42675.958333333336</v>
      </c>
      <c r="E25" s="169">
        <v>0.44</v>
      </c>
      <c r="F25" s="169" t="s">
        <v>264</v>
      </c>
      <c r="G25" s="169">
        <v>248.88</v>
      </c>
      <c r="H25" s="169">
        <v>0</v>
      </c>
      <c r="I25" s="169">
        <v>0</v>
      </c>
      <c r="J25" s="169"/>
      <c r="K25" s="169">
        <v>1013.76</v>
      </c>
      <c r="L25" s="169" t="s">
        <v>265</v>
      </c>
      <c r="M25" s="169">
        <v>52.21</v>
      </c>
      <c r="N25" s="169">
        <v>1478062800</v>
      </c>
      <c r="O25" s="169">
        <v>6.4</v>
      </c>
      <c r="P25" s="169">
        <v>355</v>
      </c>
      <c r="Q25" s="169">
        <v>4.84</v>
      </c>
    </row>
    <row r="26" spans="1:17" x14ac:dyDescent="0.25">
      <c r="A26" s="169">
        <v>50.12</v>
      </c>
      <c r="B26" s="169">
        <v>0.38</v>
      </c>
      <c r="C26" s="169">
        <v>29.7</v>
      </c>
      <c r="D26" s="8">
        <v>42676</v>
      </c>
      <c r="E26" s="169">
        <v>0.45</v>
      </c>
      <c r="F26" s="169" t="s">
        <v>264</v>
      </c>
      <c r="G26" s="169">
        <v>250.52</v>
      </c>
      <c r="H26" s="169">
        <v>0</v>
      </c>
      <c r="I26" s="169">
        <v>0</v>
      </c>
      <c r="J26" s="169"/>
      <c r="K26" s="169">
        <v>1014.9</v>
      </c>
      <c r="L26" s="169" t="s">
        <v>265</v>
      </c>
      <c r="M26" s="169">
        <v>50.12</v>
      </c>
      <c r="N26" s="169">
        <v>1478066400</v>
      </c>
      <c r="O26" s="169">
        <v>6.84</v>
      </c>
      <c r="P26" s="169">
        <v>355</v>
      </c>
      <c r="Q26" s="169">
        <v>4.25</v>
      </c>
    </row>
    <row r="27" spans="1:17" x14ac:dyDescent="0.25">
      <c r="A27" s="169">
        <v>48.73</v>
      </c>
      <c r="B27" s="169">
        <v>0.57999999999999996</v>
      </c>
      <c r="C27" s="169">
        <v>30.63</v>
      </c>
      <c r="D27" s="8">
        <v>42676.041666666664</v>
      </c>
      <c r="E27" s="169">
        <v>0.48</v>
      </c>
      <c r="F27" s="169" t="s">
        <v>264</v>
      </c>
      <c r="G27" s="169">
        <v>252.23</v>
      </c>
      <c r="H27" s="169">
        <v>0</v>
      </c>
      <c r="I27" s="169">
        <v>0</v>
      </c>
      <c r="J27" s="169"/>
      <c r="K27" s="169">
        <v>1015.76</v>
      </c>
      <c r="L27" s="169" t="s">
        <v>265</v>
      </c>
      <c r="M27" s="169">
        <v>49.45</v>
      </c>
      <c r="N27" s="169">
        <v>1478070000</v>
      </c>
      <c r="O27" s="169">
        <v>7.07</v>
      </c>
      <c r="P27" s="169">
        <v>1</v>
      </c>
      <c r="Q27" s="169">
        <v>3.37</v>
      </c>
    </row>
    <row r="28" spans="1:17" x14ac:dyDescent="0.25">
      <c r="A28" s="169">
        <v>46.36</v>
      </c>
      <c r="B28" s="169">
        <v>0.73</v>
      </c>
      <c r="C28" s="169">
        <v>31.39</v>
      </c>
      <c r="D28" s="8">
        <v>42676.083333333336</v>
      </c>
      <c r="E28" s="169">
        <v>0.54</v>
      </c>
      <c r="F28" s="169" t="s">
        <v>264</v>
      </c>
      <c r="G28" s="169">
        <v>253.95</v>
      </c>
      <c r="H28" s="169">
        <v>1.8E-3</v>
      </c>
      <c r="I28" s="169">
        <v>0.04</v>
      </c>
      <c r="J28" s="169" t="s">
        <v>601</v>
      </c>
      <c r="K28" s="169">
        <v>1016.62</v>
      </c>
      <c r="L28" s="169" t="s">
        <v>267</v>
      </c>
      <c r="M28" s="169">
        <v>47.21</v>
      </c>
      <c r="N28" s="169">
        <v>1478073600</v>
      </c>
      <c r="O28" s="169">
        <v>6.9</v>
      </c>
      <c r="P28" s="169">
        <v>1</v>
      </c>
      <c r="Q28" s="169">
        <v>3.17</v>
      </c>
    </row>
    <row r="29" spans="1:17" x14ac:dyDescent="0.25">
      <c r="A29" s="169">
        <v>46.26</v>
      </c>
      <c r="B29" s="169">
        <v>0.75</v>
      </c>
      <c r="C29" s="169">
        <v>31.87</v>
      </c>
      <c r="D29" s="8">
        <v>42676.125</v>
      </c>
      <c r="E29" s="169">
        <v>0.56999999999999995</v>
      </c>
      <c r="F29" s="169" t="s">
        <v>264</v>
      </c>
      <c r="G29" s="169">
        <v>255.66</v>
      </c>
      <c r="H29" s="169">
        <v>0</v>
      </c>
      <c r="I29" s="169">
        <v>0</v>
      </c>
      <c r="J29" s="169"/>
      <c r="K29" s="169">
        <v>1017.47</v>
      </c>
      <c r="L29" s="169" t="s">
        <v>267</v>
      </c>
      <c r="M29" s="169">
        <v>46.26</v>
      </c>
      <c r="N29" s="169">
        <v>1478077200</v>
      </c>
      <c r="O29" s="169">
        <v>4.87</v>
      </c>
      <c r="P29" s="169">
        <v>7</v>
      </c>
      <c r="Q29" s="169">
        <v>2.61</v>
      </c>
    </row>
    <row r="31" spans="1:17" x14ac:dyDescent="0.25">
      <c r="A31" s="136" t="s">
        <v>225</v>
      </c>
    </row>
    <row r="33" spans="1:1" x14ac:dyDescent="0.25">
      <c r="A33" s="136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5" t="s">
        <v>99</v>
      </c>
      <c r="D1" s="146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42675</v>
      </c>
      <c r="B2" s="4"/>
      <c r="C2" s="147">
        <v>50</v>
      </c>
      <c r="D2" s="148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5" t="s">
        <v>99</v>
      </c>
      <c r="D4" s="146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4" t="s">
        <v>227</v>
      </c>
      <c r="J17" s="33"/>
      <c r="K17" s="34"/>
      <c r="L17" s="34"/>
    </row>
    <row r="18" spans="3:13" x14ac:dyDescent="0.25">
      <c r="C18" t="s">
        <v>780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781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782</v>
      </c>
      <c r="J20" t="s">
        <v>87</v>
      </c>
      <c r="M20" s="68" t="s">
        <v>186</v>
      </c>
    </row>
    <row r="21" spans="3:13" x14ac:dyDescent="0.25">
      <c r="C21" t="s">
        <v>783</v>
      </c>
      <c r="J21" s="21" t="s">
        <v>90</v>
      </c>
      <c r="K21" s="21" t="s">
        <v>91</v>
      </c>
      <c r="M21" s="68" t="s">
        <v>188</v>
      </c>
    </row>
    <row r="22" spans="3:13" x14ac:dyDescent="0.25">
      <c r="C22" t="s">
        <v>784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785</v>
      </c>
      <c r="J23" s="29" t="s">
        <v>95</v>
      </c>
      <c r="K23" s="21"/>
      <c r="M23" s="69">
        <v>-6</v>
      </c>
    </row>
    <row r="24" spans="3:13" x14ac:dyDescent="0.25">
      <c r="C24" t="s">
        <v>786</v>
      </c>
      <c r="J24" s="21" t="s">
        <v>108</v>
      </c>
      <c r="K24" s="21"/>
      <c r="M24" s="68" t="s">
        <v>110</v>
      </c>
    </row>
    <row r="25" spans="3:13" x14ac:dyDescent="0.25">
      <c r="C25" t="s">
        <v>787</v>
      </c>
      <c r="J25" t="s">
        <v>151</v>
      </c>
      <c r="M25" s="68" t="b">
        <v>1</v>
      </c>
    </row>
    <row r="26" spans="3:13" x14ac:dyDescent="0.25">
      <c r="C26" t="s">
        <v>788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C:\Users\stu\Documents\GitHub\eaglep3-reporting\EC\2016-11-01-refined-times.txt</v>
      </c>
    </row>
    <row r="27" spans="3:13" x14ac:dyDescent="0.25">
      <c r="C27" t="s">
        <v>789</v>
      </c>
      <c r="J27" t="s">
        <v>199</v>
      </c>
      <c r="M27" s="68" t="str">
        <f>"C:\Users\stu\Documents\GitHub\eaglep3-reporting\EC\"&amp;TEXT(A2,"YYYY-MM-DD")&amp;"-Enforcements.txt"</f>
        <v>C:\Users\stu\Documents\GitHub\eaglep3-reporting\EC\2016-11-01-Enforcements.txt</v>
      </c>
    </row>
    <row r="28" spans="3:13" x14ac:dyDescent="0.25">
      <c r="J28" t="s">
        <v>200</v>
      </c>
      <c r="M28" s="106" t="str">
        <f>"C:\Users\stu\Documents\GitHub\eaglep3-reporting\EC\"&amp;TEXT(A2,"YYYY-MM-DD")&amp;"-Runs-Refined.txt"</f>
        <v>C:\Users\stu\Documents\GitHub\eaglep3-reporting\EC\2016-11-01-Runs-Refined.txt</v>
      </c>
    </row>
    <row r="29" spans="3:13" x14ac:dyDescent="0.25">
      <c r="J29" t="s">
        <v>201</v>
      </c>
      <c r="M29" s="106" t="str">
        <f>"C:\Users\stu\Documents\GitHub\eaglep3-reporting\EC\"&amp;TEXT(A2,"YYYY-MM-DD")&amp;"-Trips.txt"</f>
        <v>C:\Users\stu\Documents\GitHub\eaglep3-reporting\EC\2016-11-01-Trips.txt</v>
      </c>
    </row>
    <row r="30" spans="3:13" x14ac:dyDescent="0.25">
      <c r="J30" t="s">
        <v>202</v>
      </c>
      <c r="M30" s="106" t="str">
        <f>"C:\Users\stu\Documents\GitHub\eaglep3-reporting\EC\"&amp;TEXT(A2,"YYYY-MM-DD")&amp;"-Weather.txt"</f>
        <v>C:\Users\stu\Documents\GitHub\eaglep3-reporting\EC\2016-11-01-Weather.txt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C16" sqref="C16"/>
    </sheetView>
  </sheetViews>
  <sheetFormatPr defaultRowHeight="15" x14ac:dyDescent="0.25"/>
  <cols>
    <col min="1" max="1" width="32.85546875" style="116" bestFit="1" customWidth="1"/>
    <col min="2" max="7" width="9.140625" style="116"/>
    <col min="8" max="8" width="17.7109375" style="116" bestFit="1" customWidth="1"/>
    <col min="9" max="9" width="9.140625" style="118"/>
    <col min="10" max="16384" width="9.140625" style="116"/>
  </cols>
  <sheetData>
    <row r="1" spans="1:11" x14ac:dyDescent="0.25">
      <c r="A1" s="115" t="s">
        <v>122</v>
      </c>
      <c r="B1" s="115" t="s">
        <v>123</v>
      </c>
      <c r="C1" s="116" t="s">
        <v>124</v>
      </c>
      <c r="H1" t="s">
        <v>118</v>
      </c>
      <c r="I1" s="117" t="s">
        <v>120</v>
      </c>
      <c r="J1"/>
    </row>
    <row r="2" spans="1:11" x14ac:dyDescent="0.25">
      <c r="A2" s="116" t="s">
        <v>125</v>
      </c>
      <c r="B2" s="116" t="s">
        <v>126</v>
      </c>
      <c r="C2" s="116" t="s">
        <v>127</v>
      </c>
      <c r="H2" t="s">
        <v>119</v>
      </c>
      <c r="I2" s="106" t="s">
        <v>121</v>
      </c>
      <c r="J2"/>
    </row>
    <row r="3" spans="1:11" x14ac:dyDescent="0.25">
      <c r="A3" s="116" t="s">
        <v>128</v>
      </c>
      <c r="B3" s="116" t="s">
        <v>129</v>
      </c>
      <c r="C3" s="116" t="s">
        <v>130</v>
      </c>
      <c r="H3" t="s">
        <v>144</v>
      </c>
      <c r="I3" s="106">
        <v>1</v>
      </c>
      <c r="J3"/>
      <c r="K3" s="68"/>
    </row>
    <row r="4" spans="1:11" x14ac:dyDescent="0.25">
      <c r="A4" s="116" t="s">
        <v>131</v>
      </c>
      <c r="C4" s="116" t="s">
        <v>132</v>
      </c>
      <c r="H4" t="s">
        <v>145</v>
      </c>
      <c r="I4" s="106">
        <v>2</v>
      </c>
      <c r="J4"/>
      <c r="K4" s="68"/>
    </row>
    <row r="5" spans="1:11" x14ac:dyDescent="0.25">
      <c r="A5" s="116" t="s">
        <v>133</v>
      </c>
      <c r="C5" s="116" t="s">
        <v>134</v>
      </c>
      <c r="H5" t="s">
        <v>146</v>
      </c>
      <c r="I5" s="106">
        <v>23</v>
      </c>
      <c r="J5"/>
      <c r="K5" s="68"/>
    </row>
    <row r="6" spans="1:11" x14ac:dyDescent="0.25">
      <c r="A6" s="116" t="s">
        <v>135</v>
      </c>
      <c r="C6" s="116" t="s">
        <v>136</v>
      </c>
      <c r="H6" s="119" t="s">
        <v>147</v>
      </c>
      <c r="I6" s="120" t="s">
        <v>126</v>
      </c>
    </row>
    <row r="7" spans="1:11" x14ac:dyDescent="0.25">
      <c r="A7" s="116" t="s">
        <v>137</v>
      </c>
      <c r="C7" s="116" t="s">
        <v>138</v>
      </c>
    </row>
    <row r="8" spans="1:11" x14ac:dyDescent="0.25">
      <c r="C8" s="116" t="s">
        <v>139</v>
      </c>
    </row>
    <row r="9" spans="1:11" x14ac:dyDescent="0.25">
      <c r="C9" s="119" t="s">
        <v>178</v>
      </c>
    </row>
    <row r="10" spans="1:11" x14ac:dyDescent="0.25">
      <c r="C10" s="116" t="s">
        <v>140</v>
      </c>
    </row>
    <row r="11" spans="1:11" x14ac:dyDescent="0.25">
      <c r="C11" s="116" t="s">
        <v>141</v>
      </c>
    </row>
    <row r="12" spans="1:11" x14ac:dyDescent="0.25">
      <c r="C12" s="116" t="s">
        <v>142</v>
      </c>
    </row>
    <row r="13" spans="1:11" x14ac:dyDescent="0.25">
      <c r="C13" s="116" t="s">
        <v>143</v>
      </c>
    </row>
    <row r="14" spans="1:11" x14ac:dyDescent="0.25">
      <c r="C14" s="119" t="s">
        <v>179</v>
      </c>
    </row>
    <row r="15" spans="1:11" x14ac:dyDescent="0.25">
      <c r="C15" s="119" t="s">
        <v>372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2016-11-02T15:56:36Z</dcterms:modified>
</cp:coreProperties>
</file>